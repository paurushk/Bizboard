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AppData\Local\Temp\claude\E--Bizboard\bc0a3388-b005-44ce-ba57-36cac4584338\scratchpad\"/>
    </mc:Choice>
  </mc:AlternateContent>
  <xr:revisionPtr revIDLastSave="0" documentId="8_{4A9BF82D-8753-40E2-920A-517910E3469D}" xr6:coauthVersionLast="47" xr6:coauthVersionMax="47" xr10:uidLastSave="{00000000-0000-0000-0000-000000000000}"/>
  <bookViews>
    <workbookView xWindow="-110" yWindow="-110" windowWidth="19420" windowHeight="10300" xr2:uid="{00000000-000D-0000-FFFF-FFFF00000000}"/>
  </bookViews>
  <sheets>
    <sheet name="Founder view" sheetId="1" r:id="rId1"/>
    <sheet name="Pilot readiness" sheetId="2" r:id="rId2"/>
    <sheet name="P0 gap decisions" sheetId="3" r:id="rId3"/>
    <sheet name="Weekly snapshot" sheetId="4" r:id="rId4"/>
    <sheet name="How to read" sheetId="5" r:id="rId5"/>
    <sheet name="Review findings" sheetId="6" r:id="rId6"/>
    <sheet name="Review disposition" sheetId="7" r:id="rId7"/>
    <sheet name="OS architecture" sheetId="8" r:id="rId8"/>
    <sheet name="Business events" sheetId="9" r:id="rId9"/>
    <sheet name="State machines" sheetId="10" r:id="rId10"/>
    <sheet name="Business integrity" sheetId="11" r:id="rId11"/>
    <sheet name="Failure and recovery" sheetId="12" r:id="rId12"/>
    <sheet name="Concurrency" sheetId="13" r:id="rId13"/>
    <sheet name="Security assurance" sheetId="14" r:id="rId14"/>
    <sheet name="Integration reliability" sheetId="15" r:id="rId15"/>
    <sheet name="Performance SLA" sheetId="16" r:id="rId16"/>
    <sheet name="Customer evidence" sheetId="17" r:id="rId17"/>
    <sheet name="Capability evidence" sheetId="18" r:id="rId18"/>
    <sheet name="OS readiness" sheetId="19" r:id="rId19"/>
    <sheet name="Coverage Dashboard" sheetId="20" r:id="rId20"/>
    <sheet name="Priority re-tier" sheetId="21" r:id="rId21"/>
    <sheet name="Task Register" sheetId="22" r:id="rId22"/>
    <sheet name="Flows" sheetId="23" r:id="rId23"/>
    <sheet name="Persona Coverage" sheetId="24" r:id="rId24"/>
    <sheet name="Role rollup" sheetId="25" r:id="rId25"/>
    <sheet name="Scope inventory" sheetId="26" r:id="rId26"/>
    <sheet name="Competitive" sheetId="27" r:id="rId27"/>
    <sheet name="UX and recovery" sheetId="28" r:id="rId28"/>
    <sheet name="Security and SaaS" sheetId="29" r:id="rId29"/>
    <sheet name="Priority decisions" sheetId="30" r:id="rId30"/>
  </sheets>
  <definedNames>
    <definedName name="_xlnm._FilterDatabase" localSheetId="26" hidden="1">Competitive!$A$3:$F$15</definedName>
    <definedName name="_xlnm._FilterDatabase" localSheetId="22" hidden="1">Flows!$A$3:$G$30</definedName>
    <definedName name="_xlnm._FilterDatabase" localSheetId="23" hidden="1">'Persona Coverage'!$A$3:$H$23</definedName>
    <definedName name="_xlnm._FilterDatabase" localSheetId="29" hidden="1">'Priority decisions'!$A$3:$F$63</definedName>
    <definedName name="_xlnm._FilterDatabase" localSheetId="25" hidden="1">'Scope inventory'!$A$3:$C$76</definedName>
    <definedName name="_xlnm._FilterDatabase" localSheetId="28" hidden="1">'Security and SaaS'!$A$3:$F$12</definedName>
    <definedName name="_xlnm._FilterDatabase" localSheetId="27" hidden="1">'UX and recovery'!$A$3:$F$13</definedName>
    <definedName name="_xlnm.Print_Titles" localSheetId="8">'Business events'!$3:$3</definedName>
    <definedName name="_xlnm.Print_Titles" localSheetId="10">'Business integrity'!$3:$3</definedName>
    <definedName name="_xlnm.Print_Titles" localSheetId="17">'Capability evidence'!$3:$3</definedName>
    <definedName name="_xlnm.Print_Titles" localSheetId="26">Competitive!$3:$3</definedName>
    <definedName name="_xlnm.Print_Titles" localSheetId="12">Concurrency!$3:$3</definedName>
    <definedName name="_xlnm.Print_Titles" localSheetId="16">'Customer evidence'!$3:$3</definedName>
    <definedName name="_xlnm.Print_Titles" localSheetId="11">'Failure and recovery'!$3:$3</definedName>
    <definedName name="_xlnm.Print_Titles" localSheetId="22">Flows!$3:$3</definedName>
    <definedName name="_xlnm.Print_Titles" localSheetId="14">'Integration reliability'!$3:$3</definedName>
    <definedName name="_xlnm.Print_Titles" localSheetId="15">'Performance SLA'!$3:$3</definedName>
    <definedName name="_xlnm.Print_Titles" localSheetId="23">'Persona Coverage'!$3:$3</definedName>
    <definedName name="_xlnm.Print_Titles" localSheetId="29">'Priority decisions'!$3:$3</definedName>
    <definedName name="_xlnm.Print_Titles" localSheetId="6">'Review disposition'!$3:$3</definedName>
    <definedName name="_xlnm.Print_Titles" localSheetId="5">'Review findings'!$3:$3</definedName>
    <definedName name="_xlnm.Print_Titles" localSheetId="25">'Scope inventory'!$3:$3</definedName>
    <definedName name="_xlnm.Print_Titles" localSheetId="28">'Security and SaaS'!$3:$3</definedName>
    <definedName name="_xlnm.Print_Titles" localSheetId="13">'Security assurance'!$3:$3</definedName>
    <definedName name="_xlnm.Print_Titles" localSheetId="9">'State machines'!$3:$3</definedName>
    <definedName name="_xlnm.Print_Titles" localSheetId="21">'Task Register'!$1:$1</definedName>
    <definedName name="_xlnm.Print_Titles" localSheetId="27">'UX and recovery'!$3:$3</definedName>
    <definedName name="_xlnm.Print_Titles" localSheetId="3">'Weekly snapshot'!$3:$3</definedName>
  </definedNames>
  <calcPr calcId="191029"/>
</workbook>
</file>

<file path=xl/calcChain.xml><?xml version="1.0" encoding="utf-8"?>
<calcChain xmlns="http://schemas.openxmlformats.org/spreadsheetml/2006/main">
  <c r="C77" i="26" l="1"/>
  <c r="C76" i="26"/>
  <c r="C75" i="26"/>
  <c r="C74" i="26"/>
  <c r="C73" i="26"/>
  <c r="C72" i="26"/>
  <c r="C71" i="26"/>
  <c r="C70" i="26"/>
  <c r="C69" i="26"/>
  <c r="C68" i="26"/>
  <c r="C67" i="26"/>
  <c r="C66" i="26"/>
  <c r="C65" i="26"/>
  <c r="C64" i="26"/>
  <c r="C63" i="26"/>
  <c r="C62" i="26"/>
  <c r="C61" i="26"/>
  <c r="C60" i="26"/>
  <c r="C59" i="26"/>
  <c r="C58" i="26"/>
  <c r="C57" i="26"/>
  <c r="C56" i="26"/>
  <c r="C55" i="26"/>
  <c r="C54" i="26"/>
  <c r="C53" i="26"/>
  <c r="C52" i="26"/>
  <c r="C51" i="26"/>
  <c r="C50" i="26"/>
  <c r="C49" i="26"/>
  <c r="C48" i="26"/>
  <c r="C47" i="26"/>
  <c r="C46" i="26"/>
  <c r="C45" i="26"/>
  <c r="C44" i="26"/>
  <c r="C43" i="26"/>
  <c r="C42" i="26"/>
  <c r="C41" i="26"/>
  <c r="C40" i="26"/>
  <c r="C39" i="26"/>
  <c r="C38" i="26"/>
  <c r="C37" i="26"/>
  <c r="C36" i="26"/>
  <c r="C35" i="26"/>
  <c r="C34" i="26"/>
  <c r="C33" i="26"/>
  <c r="C32" i="26"/>
  <c r="C31" i="26"/>
  <c r="C30" i="26"/>
  <c r="C29" i="26"/>
  <c r="C28" i="26"/>
  <c r="C27" i="26"/>
  <c r="C26" i="26"/>
  <c r="C25" i="26"/>
  <c r="C24" i="26"/>
  <c r="C23" i="26"/>
  <c r="C22" i="26"/>
  <c r="C21" i="26"/>
  <c r="C20" i="26"/>
  <c r="C19" i="26"/>
  <c r="C18" i="26"/>
  <c r="C17" i="26"/>
  <c r="C16" i="26"/>
  <c r="C15" i="26"/>
  <c r="C14" i="26"/>
  <c r="C13" i="26"/>
  <c r="C12" i="26"/>
  <c r="C11" i="26"/>
  <c r="C10" i="26"/>
  <c r="C9" i="26"/>
  <c r="C8" i="26"/>
  <c r="C7" i="26"/>
  <c r="C6" i="26"/>
  <c r="C5" i="26"/>
  <c r="C4" i="26"/>
  <c r="F21" i="25"/>
  <c r="E21" i="25"/>
  <c r="D21" i="25"/>
  <c r="C21" i="25"/>
  <c r="B21" i="25"/>
  <c r="F20" i="25"/>
  <c r="E20" i="25"/>
  <c r="D20" i="25"/>
  <c r="C20" i="25"/>
  <c r="B20" i="25"/>
  <c r="F19" i="25"/>
  <c r="E19" i="25"/>
  <c r="D19" i="25"/>
  <c r="C19" i="25"/>
  <c r="B19" i="25"/>
  <c r="F18" i="25"/>
  <c r="E18" i="25"/>
  <c r="D18" i="25"/>
  <c r="C18" i="25"/>
  <c r="B18" i="25"/>
  <c r="F17" i="25"/>
  <c r="E17" i="25"/>
  <c r="D17" i="25"/>
  <c r="C17" i="25"/>
  <c r="B17" i="25"/>
  <c r="F16" i="25"/>
  <c r="E16" i="25"/>
  <c r="D16" i="25"/>
  <c r="C16" i="25"/>
  <c r="B16" i="25"/>
  <c r="F15" i="25"/>
  <c r="E15" i="25"/>
  <c r="D15" i="25"/>
  <c r="C15" i="25"/>
  <c r="B15" i="25"/>
  <c r="F14" i="25"/>
  <c r="E14" i="25"/>
  <c r="D14" i="25"/>
  <c r="C14" i="25"/>
  <c r="B14" i="25"/>
  <c r="F13" i="25"/>
  <c r="E13" i="25"/>
  <c r="D13" i="25"/>
  <c r="C13" i="25"/>
  <c r="B13" i="25"/>
  <c r="F12" i="25"/>
  <c r="E12" i="25"/>
  <c r="D12" i="25"/>
  <c r="C12" i="25"/>
  <c r="B12" i="25"/>
  <c r="F11" i="25"/>
  <c r="E11" i="25"/>
  <c r="D11" i="25"/>
  <c r="C11" i="25"/>
  <c r="B11" i="25"/>
  <c r="F10" i="25"/>
  <c r="E10" i="25"/>
  <c r="D10" i="25"/>
  <c r="C10" i="25"/>
  <c r="B10" i="25"/>
  <c r="F9" i="25"/>
  <c r="E9" i="25"/>
  <c r="D9" i="25"/>
  <c r="C9" i="25"/>
  <c r="B9" i="25"/>
  <c r="F8" i="25"/>
  <c r="E8" i="25"/>
  <c r="D8" i="25"/>
  <c r="C8" i="25"/>
  <c r="B8" i="25"/>
  <c r="F7" i="25"/>
  <c r="E7" i="25"/>
  <c r="D7" i="25"/>
  <c r="C7" i="25"/>
  <c r="B7" i="25"/>
  <c r="F6" i="25"/>
  <c r="E6" i="25"/>
  <c r="D6" i="25"/>
  <c r="C6" i="25"/>
  <c r="B6" i="25"/>
  <c r="F5" i="25"/>
  <c r="E5" i="25"/>
  <c r="D5" i="25"/>
  <c r="C5" i="25"/>
  <c r="B5" i="25"/>
  <c r="F4" i="25"/>
  <c r="E4" i="25"/>
  <c r="E22" i="25" s="1"/>
  <c r="D4" i="25"/>
  <c r="C4" i="25"/>
  <c r="B4" i="25"/>
  <c r="C23" i="24"/>
  <c r="E23" i="24" s="1"/>
  <c r="C22" i="24"/>
  <c r="E22" i="24" s="1"/>
  <c r="C21" i="24"/>
  <c r="E21" i="24" s="1"/>
  <c r="C20" i="24"/>
  <c r="E20" i="24" s="1"/>
  <c r="C19" i="24"/>
  <c r="E19" i="24" s="1"/>
  <c r="C18" i="24"/>
  <c r="E18" i="24" s="1"/>
  <c r="C17" i="24"/>
  <c r="E17" i="24" s="1"/>
  <c r="C16" i="24"/>
  <c r="E16" i="24" s="1"/>
  <c r="C13" i="24"/>
  <c r="E13" i="24" s="1"/>
  <c r="C12" i="24"/>
  <c r="E12" i="24" s="1"/>
  <c r="C11" i="24"/>
  <c r="E11" i="24" s="1"/>
  <c r="C10" i="24"/>
  <c r="E10" i="24" s="1"/>
  <c r="C9" i="24"/>
  <c r="E9" i="24" s="1"/>
  <c r="C8" i="24"/>
  <c r="E8" i="24" s="1"/>
  <c r="C7" i="24"/>
  <c r="E7" i="24" s="1"/>
  <c r="C6" i="24"/>
  <c r="E6" i="24" s="1"/>
  <c r="C5" i="24"/>
  <c r="E5" i="24" s="1"/>
  <c r="C4" i="24"/>
  <c r="E4" i="24" s="1"/>
  <c r="D30" i="23"/>
  <c r="D29" i="23"/>
  <c r="D28" i="23"/>
  <c r="D27" i="23"/>
  <c r="D26" i="23"/>
  <c r="D25" i="23"/>
  <c r="D24" i="23"/>
  <c r="D23" i="23"/>
  <c r="D22" i="23"/>
  <c r="D21" i="23"/>
  <c r="D20" i="23"/>
  <c r="D19" i="23"/>
  <c r="D18" i="23"/>
  <c r="D17" i="23"/>
  <c r="D16" i="23"/>
  <c r="D15" i="23"/>
  <c r="D14" i="23"/>
  <c r="D13" i="23"/>
  <c r="D12" i="23"/>
  <c r="D11" i="23"/>
  <c r="D10" i="23"/>
  <c r="D9" i="23"/>
  <c r="D8" i="23"/>
  <c r="D7" i="23"/>
  <c r="D6" i="23"/>
  <c r="D5" i="23"/>
  <c r="D4" i="23"/>
  <c r="AL771" i="22"/>
  <c r="Z771" i="22" s="1"/>
  <c r="AI771" i="22"/>
  <c r="AL770" i="22"/>
  <c r="Z770" i="22" s="1"/>
  <c r="AI770" i="22"/>
  <c r="AL769" i="22"/>
  <c r="Z769" i="22" s="1"/>
  <c r="AI769" i="22"/>
  <c r="AL768" i="22"/>
  <c r="Z768" i="22" s="1"/>
  <c r="AI768" i="22"/>
  <c r="AL767" i="22"/>
  <c r="Z767" i="22" s="1"/>
  <c r="AI767" i="22"/>
  <c r="AL766" i="22"/>
  <c r="Z766" i="22" s="1"/>
  <c r="AI766" i="22"/>
  <c r="AL765" i="22"/>
  <c r="Z765" i="22" s="1"/>
  <c r="AI765" i="22"/>
  <c r="AL764" i="22"/>
  <c r="Z764" i="22" s="1"/>
  <c r="AI764" i="22"/>
  <c r="AL763" i="22"/>
  <c r="Z763" i="22" s="1"/>
  <c r="AI763" i="22"/>
  <c r="AL762" i="22"/>
  <c r="Z762" i="22" s="1"/>
  <c r="AI762" i="22"/>
  <c r="AL761" i="22"/>
  <c r="Z761" i="22" s="1"/>
  <c r="AI761" i="22"/>
  <c r="AL760" i="22"/>
  <c r="Z760" i="22" s="1"/>
  <c r="AI760" i="22"/>
  <c r="AL759" i="22"/>
  <c r="Z759" i="22" s="1"/>
  <c r="AI759" i="22"/>
  <c r="AL758" i="22"/>
  <c r="Z758" i="22" s="1"/>
  <c r="AI758" i="22"/>
  <c r="AL757" i="22"/>
  <c r="Z757" i="22" s="1"/>
  <c r="AI757" i="22"/>
  <c r="AL756" i="22"/>
  <c r="Z756" i="22" s="1"/>
  <c r="AI756" i="22"/>
  <c r="AL755" i="22"/>
  <c r="Z755" i="22" s="1"/>
  <c r="AI755" i="22"/>
  <c r="AL754" i="22"/>
  <c r="Z754" i="22" s="1"/>
  <c r="AI754" i="22"/>
  <c r="AL753" i="22"/>
  <c r="Z753" i="22" s="1"/>
  <c r="AI753" i="22"/>
  <c r="AL752" i="22"/>
  <c r="AI752" i="22"/>
  <c r="Z752" i="22"/>
  <c r="AL751" i="22"/>
  <c r="AI751" i="22"/>
  <c r="Z751" i="22"/>
  <c r="AL750" i="22"/>
  <c r="Z750" i="22" s="1"/>
  <c r="AI750" i="22"/>
  <c r="AL749" i="22"/>
  <c r="AI749" i="22"/>
  <c r="Z749" i="22"/>
  <c r="AL748" i="22"/>
  <c r="Z748" i="22" s="1"/>
  <c r="AI748" i="22"/>
  <c r="AL747" i="22"/>
  <c r="Z747" i="22" s="1"/>
  <c r="AI747" i="22"/>
  <c r="AL746" i="22"/>
  <c r="Z746" i="22" s="1"/>
  <c r="AI746" i="22"/>
  <c r="AL745" i="22"/>
  <c r="Z745" i="22" s="1"/>
  <c r="AI745" i="22"/>
  <c r="AL744" i="22"/>
  <c r="AI744" i="22"/>
  <c r="Z744" i="22"/>
  <c r="AL743" i="22"/>
  <c r="Z743" i="22" s="1"/>
  <c r="AI743" i="22"/>
  <c r="AL742" i="22"/>
  <c r="Z742" i="22" s="1"/>
  <c r="AI742" i="22"/>
  <c r="AL741" i="22"/>
  <c r="AI741" i="22"/>
  <c r="Z741" i="22"/>
  <c r="AL740" i="22"/>
  <c r="Z740" i="22" s="1"/>
  <c r="AI740" i="22"/>
  <c r="AL739" i="22"/>
  <c r="Z739" i="22" s="1"/>
  <c r="AI739" i="22"/>
  <c r="AL738" i="22"/>
  <c r="AI738" i="22"/>
  <c r="Z738" i="22"/>
  <c r="AL737" i="22"/>
  <c r="Z737" i="22" s="1"/>
  <c r="AI737" i="22"/>
  <c r="AL736" i="22"/>
  <c r="AI736" i="22"/>
  <c r="Z736" i="22"/>
  <c r="AL735" i="22"/>
  <c r="Z735" i="22" s="1"/>
  <c r="AI735" i="22"/>
  <c r="AL734" i="22"/>
  <c r="Z734" i="22" s="1"/>
  <c r="AI734" i="22"/>
  <c r="AL733" i="22"/>
  <c r="Z733" i="22" s="1"/>
  <c r="AI733" i="22"/>
  <c r="AL732" i="22"/>
  <c r="Z732" i="22" s="1"/>
  <c r="AI732" i="22"/>
  <c r="AL731" i="22"/>
  <c r="Z731" i="22" s="1"/>
  <c r="AI731" i="22"/>
  <c r="AL730" i="22"/>
  <c r="Z730" i="22" s="1"/>
  <c r="AI730" i="22"/>
  <c r="AL729" i="22"/>
  <c r="Z729" i="22" s="1"/>
  <c r="AI729" i="22"/>
  <c r="AL728" i="22"/>
  <c r="AI728" i="22"/>
  <c r="Z728" i="22"/>
  <c r="AL727" i="22"/>
  <c r="Z727" i="22" s="1"/>
  <c r="AI727" i="22"/>
  <c r="AL726" i="22"/>
  <c r="Z726" i="22" s="1"/>
  <c r="AI726" i="22"/>
  <c r="AL725" i="22"/>
  <c r="AI725" i="22"/>
  <c r="Z725" i="22"/>
  <c r="AL724" i="22"/>
  <c r="Z724" i="22" s="1"/>
  <c r="AI724" i="22"/>
  <c r="AL723" i="22"/>
  <c r="Z723" i="22" s="1"/>
  <c r="AI723" i="22"/>
  <c r="AL722" i="22"/>
  <c r="AI722" i="22"/>
  <c r="Z722" i="22"/>
  <c r="AL721" i="22"/>
  <c r="Z721" i="22" s="1"/>
  <c r="AI721" i="22"/>
  <c r="AL720" i="22"/>
  <c r="Z720" i="22" s="1"/>
  <c r="AI720" i="22"/>
  <c r="AL719" i="22"/>
  <c r="Z719" i="22" s="1"/>
  <c r="AI719" i="22"/>
  <c r="AL718" i="22"/>
  <c r="Z718" i="22" s="1"/>
  <c r="AI718" i="22"/>
  <c r="AL717" i="22"/>
  <c r="AI717" i="22"/>
  <c r="Z717" i="22"/>
  <c r="AL716" i="22"/>
  <c r="Z716" i="22" s="1"/>
  <c r="AI716" i="22"/>
  <c r="AL715" i="22"/>
  <c r="Z715" i="22" s="1"/>
  <c r="AI715" i="22"/>
  <c r="AL714" i="22"/>
  <c r="Z714" i="22" s="1"/>
  <c r="AI714" i="22"/>
  <c r="AL713" i="22"/>
  <c r="Z713" i="22" s="1"/>
  <c r="AI713" i="22"/>
  <c r="AL712" i="22"/>
  <c r="AI712" i="22"/>
  <c r="Z712" i="22"/>
  <c r="AL711" i="22"/>
  <c r="Z711" i="22" s="1"/>
  <c r="AI711" i="22"/>
  <c r="AL710" i="22"/>
  <c r="Z710" i="22" s="1"/>
  <c r="AI710" i="22"/>
  <c r="AL709" i="22"/>
  <c r="AI709" i="22"/>
  <c r="Z709" i="22"/>
  <c r="AL708" i="22"/>
  <c r="Z708" i="22" s="1"/>
  <c r="AI708" i="22"/>
  <c r="AL707" i="22"/>
  <c r="Z707" i="22" s="1"/>
  <c r="AI707" i="22"/>
  <c r="AL706" i="22"/>
  <c r="Z706" i="22" s="1"/>
  <c r="AI706" i="22"/>
  <c r="AL705" i="22"/>
  <c r="Z705" i="22" s="1"/>
  <c r="AI705" i="22"/>
  <c r="AL704" i="22"/>
  <c r="Z704" i="22" s="1"/>
  <c r="AI704" i="22"/>
  <c r="AL703" i="22"/>
  <c r="Z703" i="22" s="1"/>
  <c r="AI703" i="22"/>
  <c r="AL702" i="22"/>
  <c r="Z702" i="22" s="1"/>
  <c r="AI702" i="22"/>
  <c r="AL701" i="22"/>
  <c r="Z701" i="22" s="1"/>
  <c r="AI701" i="22"/>
  <c r="AL700" i="22"/>
  <c r="Z700" i="22" s="1"/>
  <c r="AI700" i="22"/>
  <c r="AL699" i="22"/>
  <c r="Z699" i="22" s="1"/>
  <c r="AI699" i="22"/>
  <c r="AL698" i="22"/>
  <c r="Z698" i="22" s="1"/>
  <c r="AI698" i="22"/>
  <c r="AL697" i="22"/>
  <c r="Z697" i="22" s="1"/>
  <c r="AI697" i="22"/>
  <c r="AL696" i="22"/>
  <c r="Z696" i="22" s="1"/>
  <c r="AI696" i="22"/>
  <c r="AL695" i="22"/>
  <c r="AI695" i="22"/>
  <c r="Z695" i="22"/>
  <c r="AL694" i="22"/>
  <c r="Z694" i="22" s="1"/>
  <c r="AI694" i="22"/>
  <c r="AL693" i="22"/>
  <c r="Z693" i="22" s="1"/>
  <c r="AI693" i="22"/>
  <c r="AL692" i="22"/>
  <c r="AI692" i="22"/>
  <c r="Z692" i="22"/>
  <c r="AL691" i="22"/>
  <c r="Z691" i="22" s="1"/>
  <c r="AI691" i="22"/>
  <c r="AL690" i="22"/>
  <c r="Z690" i="22" s="1"/>
  <c r="AI690" i="22"/>
  <c r="AL689" i="22"/>
  <c r="AI689" i="22"/>
  <c r="Z689" i="22"/>
  <c r="AL688" i="22"/>
  <c r="AI688" i="22"/>
  <c r="Z688" i="22"/>
  <c r="AL687" i="22"/>
  <c r="Z687" i="22" s="1"/>
  <c r="AI687" i="22"/>
  <c r="AL686" i="22"/>
  <c r="Z686" i="22" s="1"/>
  <c r="AI686" i="22"/>
  <c r="AL685" i="22"/>
  <c r="Z685" i="22" s="1"/>
  <c r="AI685" i="22"/>
  <c r="AL684" i="22"/>
  <c r="Z684" i="22" s="1"/>
  <c r="AI684" i="22"/>
  <c r="AL683" i="22"/>
  <c r="Z683" i="22" s="1"/>
  <c r="AI683" i="22"/>
  <c r="AL682" i="22"/>
  <c r="Z682" i="22" s="1"/>
  <c r="AI682" i="22"/>
  <c r="AL681" i="22"/>
  <c r="Z681" i="22" s="1"/>
  <c r="AI681" i="22"/>
  <c r="AL680" i="22"/>
  <c r="Z680" i="22" s="1"/>
  <c r="AI680" i="22"/>
  <c r="AL679" i="22"/>
  <c r="AI679" i="22"/>
  <c r="Z679" i="22"/>
  <c r="AL678" i="22"/>
  <c r="Z678" i="22" s="1"/>
  <c r="AI678" i="22"/>
  <c r="AL677" i="22"/>
  <c r="Z677" i="22" s="1"/>
  <c r="AI677" i="22"/>
  <c r="AL676" i="22"/>
  <c r="Z676" i="22" s="1"/>
  <c r="AI676" i="22"/>
  <c r="AL675" i="22"/>
  <c r="Z675" i="22" s="1"/>
  <c r="AI675" i="22"/>
  <c r="AL674" i="22"/>
  <c r="AI674" i="22"/>
  <c r="Z674" i="22"/>
  <c r="AL673" i="22"/>
  <c r="Z673" i="22" s="1"/>
  <c r="AI673" i="22"/>
  <c r="AL672" i="22"/>
  <c r="Z672" i="22" s="1"/>
  <c r="AI672" i="22"/>
  <c r="AL671" i="22"/>
  <c r="Z671" i="22" s="1"/>
  <c r="AI671" i="22"/>
  <c r="AL670" i="22"/>
  <c r="Z670" i="22" s="1"/>
  <c r="AI670" i="22"/>
  <c r="AL669" i="22"/>
  <c r="Z669" i="22" s="1"/>
  <c r="AI669" i="22"/>
  <c r="AL668" i="22"/>
  <c r="Z668" i="22" s="1"/>
  <c r="AI668" i="22"/>
  <c r="AL667" i="22"/>
  <c r="Z667" i="22" s="1"/>
  <c r="AI667" i="22"/>
  <c r="AL666" i="22"/>
  <c r="Z666" i="22" s="1"/>
  <c r="AI666" i="22"/>
  <c r="AL665" i="22"/>
  <c r="Z665" i="22" s="1"/>
  <c r="AI665" i="22"/>
  <c r="AL664" i="22"/>
  <c r="Z664" i="22" s="1"/>
  <c r="AI664" i="22"/>
  <c r="AL663" i="22"/>
  <c r="Z663" i="22" s="1"/>
  <c r="AI663" i="22"/>
  <c r="AL662" i="22"/>
  <c r="Z662" i="22" s="1"/>
  <c r="AI662" i="22"/>
  <c r="AL661" i="22"/>
  <c r="AI661" i="22"/>
  <c r="Z661" i="22"/>
  <c r="AL660" i="22"/>
  <c r="Z660" i="22" s="1"/>
  <c r="AI660" i="22"/>
  <c r="AL659" i="22"/>
  <c r="Z659" i="22" s="1"/>
  <c r="AI659" i="22"/>
  <c r="AL658" i="22"/>
  <c r="AI658" i="22"/>
  <c r="Z658" i="22"/>
  <c r="AL657" i="22"/>
  <c r="Z657" i="22" s="1"/>
  <c r="AI657" i="22"/>
  <c r="AL656" i="22"/>
  <c r="Z656" i="22" s="1"/>
  <c r="AI656" i="22"/>
  <c r="AL655" i="22"/>
  <c r="Z655" i="22" s="1"/>
  <c r="AI655" i="22"/>
  <c r="AL654" i="22"/>
  <c r="Z654" i="22" s="1"/>
  <c r="AI654" i="22"/>
  <c r="AL653" i="22"/>
  <c r="AI653" i="22"/>
  <c r="Z653" i="22"/>
  <c r="AL652" i="22"/>
  <c r="Z652" i="22" s="1"/>
  <c r="AI652" i="22"/>
  <c r="AL651" i="22"/>
  <c r="Z651" i="22" s="1"/>
  <c r="AI651" i="22"/>
  <c r="AL650" i="22"/>
  <c r="Z650" i="22" s="1"/>
  <c r="AI650" i="22"/>
  <c r="AL649" i="22"/>
  <c r="Z649" i="22" s="1"/>
  <c r="AI649" i="22"/>
  <c r="AL648" i="22"/>
  <c r="Z648" i="22" s="1"/>
  <c r="AI648" i="22"/>
  <c r="AL647" i="22"/>
  <c r="Z647" i="22" s="1"/>
  <c r="AI647" i="22"/>
  <c r="AL646" i="22"/>
  <c r="Z646" i="22" s="1"/>
  <c r="AI646" i="22"/>
  <c r="AL645" i="22"/>
  <c r="AI645" i="22"/>
  <c r="Z645" i="22"/>
  <c r="AL644" i="22"/>
  <c r="Z644" i="22" s="1"/>
  <c r="AI644" i="22"/>
  <c r="AL643" i="22"/>
  <c r="Z643" i="22" s="1"/>
  <c r="AI643" i="22"/>
  <c r="AL642" i="22"/>
  <c r="Z642" i="22" s="1"/>
  <c r="AI642" i="22"/>
  <c r="AL641" i="22"/>
  <c r="Z641" i="22" s="1"/>
  <c r="AI641" i="22"/>
  <c r="AL640" i="22"/>
  <c r="Z640" i="22" s="1"/>
  <c r="AI640" i="22"/>
  <c r="AL639" i="22"/>
  <c r="Z639" i="22" s="1"/>
  <c r="AI639" i="22"/>
  <c r="AL638" i="22"/>
  <c r="Z638" i="22" s="1"/>
  <c r="AI638" i="22"/>
  <c r="AL637" i="22"/>
  <c r="Z637" i="22" s="1"/>
  <c r="AI637" i="22"/>
  <c r="AL636" i="22"/>
  <c r="Z636" i="22" s="1"/>
  <c r="AI636" i="22"/>
  <c r="AL635" i="22"/>
  <c r="Z635" i="22" s="1"/>
  <c r="AI635" i="22"/>
  <c r="AL634" i="22"/>
  <c r="Z634" i="22" s="1"/>
  <c r="AI634" i="22"/>
  <c r="AL633" i="22"/>
  <c r="Z633" i="22" s="1"/>
  <c r="AI633" i="22"/>
  <c r="AL632" i="22"/>
  <c r="Z632" i="22" s="1"/>
  <c r="AI632" i="22"/>
  <c r="AL631" i="22"/>
  <c r="AI631" i="22"/>
  <c r="Z631" i="22"/>
  <c r="AL630" i="22"/>
  <c r="Z630" i="22" s="1"/>
  <c r="AI630" i="22"/>
  <c r="AL629" i="22"/>
  <c r="AI629" i="22"/>
  <c r="Z629" i="22"/>
  <c r="AL628" i="22"/>
  <c r="AI628" i="22"/>
  <c r="Z628" i="22"/>
  <c r="AL627" i="22"/>
  <c r="Z627" i="22" s="1"/>
  <c r="AI627" i="22"/>
  <c r="AL626" i="22"/>
  <c r="AI626" i="22"/>
  <c r="Z626" i="22"/>
  <c r="AL625" i="22"/>
  <c r="AI625" i="22"/>
  <c r="Z625" i="22"/>
  <c r="AL624" i="22"/>
  <c r="Z624" i="22" s="1"/>
  <c r="AI624" i="22"/>
  <c r="AL623" i="22"/>
  <c r="Z623" i="22" s="1"/>
  <c r="AI623" i="22"/>
  <c r="AL622" i="22"/>
  <c r="Z622" i="22" s="1"/>
  <c r="AI622" i="22"/>
  <c r="AL621" i="22"/>
  <c r="Z621" i="22" s="1"/>
  <c r="AI621" i="22"/>
  <c r="AL620" i="22"/>
  <c r="Z620" i="22" s="1"/>
  <c r="AI620" i="22"/>
  <c r="AL619" i="22"/>
  <c r="Z619" i="22" s="1"/>
  <c r="AI619" i="22"/>
  <c r="AL618" i="22"/>
  <c r="Z618" i="22" s="1"/>
  <c r="AI618" i="22"/>
  <c r="AL617" i="22"/>
  <c r="Z617" i="22" s="1"/>
  <c r="AI617" i="22"/>
  <c r="AL616" i="22"/>
  <c r="Z616" i="22" s="1"/>
  <c r="AI616" i="22"/>
  <c r="AL615" i="22"/>
  <c r="AI615" i="22"/>
  <c r="Z615" i="22"/>
  <c r="AL614" i="22"/>
  <c r="Z614" i="22" s="1"/>
  <c r="AI614" i="22"/>
  <c r="AL613" i="22"/>
  <c r="AI613" i="22"/>
  <c r="Z613" i="22"/>
  <c r="AL612" i="22"/>
  <c r="Z612" i="22" s="1"/>
  <c r="AI612" i="22"/>
  <c r="AL611" i="22"/>
  <c r="Z611" i="22" s="1"/>
  <c r="AI611" i="22"/>
  <c r="AL610" i="22"/>
  <c r="Z610" i="22" s="1"/>
  <c r="AI610" i="22"/>
  <c r="AL609" i="22"/>
  <c r="Z609" i="22" s="1"/>
  <c r="AI609" i="22"/>
  <c r="AL608" i="22"/>
  <c r="Z608" i="22" s="1"/>
  <c r="AI608" i="22"/>
  <c r="AL607" i="22"/>
  <c r="Z607" i="22" s="1"/>
  <c r="AI607" i="22"/>
  <c r="AL606" i="22"/>
  <c r="Z606" i="22" s="1"/>
  <c r="AI606" i="22"/>
  <c r="AL605" i="22"/>
  <c r="Z605" i="22" s="1"/>
  <c r="AI605" i="22"/>
  <c r="AL604" i="22"/>
  <c r="Z604" i="22" s="1"/>
  <c r="AI604" i="22"/>
  <c r="AL603" i="22"/>
  <c r="Z603" i="22" s="1"/>
  <c r="AI603" i="22"/>
  <c r="AL602" i="22"/>
  <c r="Z602" i="22" s="1"/>
  <c r="AI602" i="22"/>
  <c r="AL601" i="22"/>
  <c r="Z601" i="22" s="1"/>
  <c r="AI601" i="22"/>
  <c r="AL600" i="22"/>
  <c r="Z600" i="22" s="1"/>
  <c r="AI600" i="22"/>
  <c r="AL599" i="22"/>
  <c r="AI599" i="22"/>
  <c r="Z599" i="22"/>
  <c r="AL598" i="22"/>
  <c r="Z598" i="22" s="1"/>
  <c r="AI598" i="22"/>
  <c r="AL597" i="22"/>
  <c r="Z597" i="22" s="1"/>
  <c r="AI597" i="22"/>
  <c r="AL596" i="22"/>
  <c r="AI596" i="22"/>
  <c r="Z596" i="22"/>
  <c r="AL595" i="22"/>
  <c r="Z595" i="22" s="1"/>
  <c r="AI595" i="22"/>
  <c r="AL594" i="22"/>
  <c r="Z594" i="22" s="1"/>
  <c r="AI594" i="22"/>
  <c r="AL593" i="22"/>
  <c r="AI593" i="22"/>
  <c r="Z593" i="22"/>
  <c r="AL592" i="22"/>
  <c r="Z592" i="22" s="1"/>
  <c r="AI592" i="22"/>
  <c r="AL591" i="22"/>
  <c r="Z591" i="22" s="1"/>
  <c r="AI591" i="22"/>
  <c r="AL590" i="22"/>
  <c r="Z590" i="22" s="1"/>
  <c r="AI590" i="22"/>
  <c r="AL589" i="22"/>
  <c r="Z589" i="22" s="1"/>
  <c r="AI589" i="22"/>
  <c r="AL588" i="22"/>
  <c r="Z588" i="22" s="1"/>
  <c r="AI588" i="22"/>
  <c r="AL587" i="22"/>
  <c r="Z587" i="22" s="1"/>
  <c r="AI587" i="22"/>
  <c r="AL586" i="22"/>
  <c r="Z586" i="22" s="1"/>
  <c r="AI586" i="22"/>
  <c r="AL585" i="22"/>
  <c r="Z585" i="22" s="1"/>
  <c r="AI585" i="22"/>
  <c r="AL584" i="22"/>
  <c r="Z584" i="22" s="1"/>
  <c r="AI584" i="22"/>
  <c r="AL583" i="22"/>
  <c r="AI583" i="22"/>
  <c r="Z583" i="22"/>
  <c r="AL582" i="22"/>
  <c r="Z582" i="22" s="1"/>
  <c r="AI582" i="22"/>
  <c r="AL581" i="22"/>
  <c r="Z581" i="22" s="1"/>
  <c r="AI581" i="22"/>
  <c r="AL580" i="22"/>
  <c r="Z580" i="22" s="1"/>
  <c r="AI580" i="22"/>
  <c r="AL579" i="22"/>
  <c r="Z579" i="22" s="1"/>
  <c r="AI579" i="22"/>
  <c r="AL578" i="22"/>
  <c r="Z578" i="22" s="1"/>
  <c r="AI578" i="22"/>
  <c r="AL577" i="22"/>
  <c r="Z577" i="22" s="1"/>
  <c r="AI577" i="22"/>
  <c r="AL576" i="22"/>
  <c r="Z576" i="22" s="1"/>
  <c r="AI576" i="22"/>
  <c r="AL575" i="22"/>
  <c r="Z575" i="22" s="1"/>
  <c r="AI575" i="22"/>
  <c r="AL574" i="22"/>
  <c r="Z574" i="22" s="1"/>
  <c r="AI574" i="22"/>
  <c r="AL573" i="22"/>
  <c r="AI573" i="22"/>
  <c r="Z573" i="22"/>
  <c r="AL572" i="22"/>
  <c r="Z572" i="22" s="1"/>
  <c r="AI572" i="22"/>
  <c r="AL571" i="22"/>
  <c r="Z571" i="22" s="1"/>
  <c r="AI571" i="22"/>
  <c r="AL570" i="22"/>
  <c r="Z570" i="22" s="1"/>
  <c r="AI570" i="22"/>
  <c r="AL569" i="22"/>
  <c r="Z569" i="22" s="1"/>
  <c r="AI569" i="22"/>
  <c r="AL568" i="22"/>
  <c r="Z568" i="22" s="1"/>
  <c r="AI568" i="22"/>
  <c r="AL567" i="22"/>
  <c r="Z567" i="22" s="1"/>
  <c r="AI567" i="22"/>
  <c r="AL566" i="22"/>
  <c r="Z566" i="22" s="1"/>
  <c r="AI566" i="22"/>
  <c r="AL565" i="22"/>
  <c r="Z565" i="22" s="1"/>
  <c r="AI565" i="22"/>
  <c r="AL564" i="22"/>
  <c r="Z564" i="22" s="1"/>
  <c r="AI564" i="22"/>
  <c r="AL563" i="22"/>
  <c r="Z563" i="22" s="1"/>
  <c r="AI563" i="22"/>
  <c r="AL562" i="22"/>
  <c r="Z562" i="22" s="1"/>
  <c r="AI562" i="22"/>
  <c r="AL561" i="22"/>
  <c r="Z561" i="22" s="1"/>
  <c r="AI561" i="22"/>
  <c r="AL560" i="22"/>
  <c r="Z560" i="22" s="1"/>
  <c r="AI560" i="22"/>
  <c r="AL559" i="22"/>
  <c r="Z559" i="22" s="1"/>
  <c r="AI559" i="22"/>
  <c r="AL558" i="22"/>
  <c r="Z558" i="22" s="1"/>
  <c r="AI558" i="22"/>
  <c r="AL557" i="22"/>
  <c r="AI557" i="22"/>
  <c r="Z557" i="22"/>
  <c r="AL556" i="22"/>
  <c r="Z556" i="22" s="1"/>
  <c r="AI556" i="22"/>
  <c r="AL555" i="22"/>
  <c r="Z555" i="22" s="1"/>
  <c r="AI555" i="22"/>
  <c r="AL554" i="22"/>
  <c r="Z554" i="22" s="1"/>
  <c r="AI554" i="22"/>
  <c r="AL553" i="22"/>
  <c r="Z553" i="22" s="1"/>
  <c r="AI553" i="22"/>
  <c r="AL552" i="22"/>
  <c r="Z552" i="22" s="1"/>
  <c r="AI552" i="22"/>
  <c r="AL551" i="22"/>
  <c r="Z551" i="22" s="1"/>
  <c r="AI551" i="22"/>
  <c r="AL550" i="22"/>
  <c r="Z550" i="22" s="1"/>
  <c r="AI550" i="22"/>
  <c r="AL549" i="22"/>
  <c r="Z549" i="22" s="1"/>
  <c r="AI549" i="22"/>
  <c r="AL548" i="22"/>
  <c r="Z548" i="22" s="1"/>
  <c r="AI548" i="22"/>
  <c r="AL547" i="22"/>
  <c r="Z547" i="22" s="1"/>
  <c r="AI547" i="22"/>
  <c r="AL546" i="22"/>
  <c r="Z546" i="22" s="1"/>
  <c r="AI546" i="22"/>
  <c r="AL545" i="22"/>
  <c r="Z545" i="22" s="1"/>
  <c r="AI545" i="22"/>
  <c r="AL544" i="22"/>
  <c r="Z544" i="22" s="1"/>
  <c r="AI544" i="22"/>
  <c r="AL543" i="22"/>
  <c r="Z543" i="22" s="1"/>
  <c r="AI543" i="22"/>
  <c r="AL542" i="22"/>
  <c r="Z542" i="22" s="1"/>
  <c r="AI542" i="22"/>
  <c r="AL541" i="22"/>
  <c r="Z541" i="22" s="1"/>
  <c r="AI541" i="22"/>
  <c r="AL540" i="22"/>
  <c r="Z540" i="22" s="1"/>
  <c r="AI540" i="22"/>
  <c r="AL539" i="22"/>
  <c r="Z539" i="22" s="1"/>
  <c r="AI539" i="22"/>
  <c r="AL538" i="22"/>
  <c r="AI538" i="22"/>
  <c r="Z538" i="22"/>
  <c r="AL537" i="22"/>
  <c r="Z537" i="22" s="1"/>
  <c r="AI537" i="22"/>
  <c r="AL536" i="22"/>
  <c r="Z536" i="22" s="1"/>
  <c r="AI536" i="22"/>
  <c r="AL535" i="22"/>
  <c r="Z535" i="22" s="1"/>
  <c r="AI535" i="22"/>
  <c r="AL534" i="22"/>
  <c r="Z534" i="22" s="1"/>
  <c r="AI534" i="22"/>
  <c r="AL533" i="22"/>
  <c r="AI533" i="22"/>
  <c r="Z533" i="22"/>
  <c r="AL532" i="22"/>
  <c r="Z532" i="22" s="1"/>
  <c r="AI532" i="22"/>
  <c r="AL531" i="22"/>
  <c r="Z531" i="22" s="1"/>
  <c r="AI531" i="22"/>
  <c r="AL530" i="22"/>
  <c r="AI530" i="22"/>
  <c r="Z530" i="22"/>
  <c r="AL529" i="22"/>
  <c r="Z529" i="22" s="1"/>
  <c r="AI529" i="22"/>
  <c r="AL528" i="22"/>
  <c r="Z528" i="22" s="1"/>
  <c r="AI528" i="22"/>
  <c r="AL527" i="22"/>
  <c r="Z527" i="22" s="1"/>
  <c r="AI527" i="22"/>
  <c r="AL526" i="22"/>
  <c r="Z526" i="22" s="1"/>
  <c r="AI526" i="22"/>
  <c r="AL525" i="22"/>
  <c r="Z525" i="22" s="1"/>
  <c r="AI525" i="22"/>
  <c r="AL524" i="22"/>
  <c r="Z524" i="22" s="1"/>
  <c r="AI524" i="22"/>
  <c r="AL523" i="22"/>
  <c r="Z523" i="22" s="1"/>
  <c r="AI523" i="22"/>
  <c r="AL522" i="22"/>
  <c r="AI522" i="22"/>
  <c r="Z522" i="22"/>
  <c r="AL521" i="22"/>
  <c r="Z521" i="22" s="1"/>
  <c r="AI521" i="22"/>
  <c r="AL520" i="22"/>
  <c r="Z520" i="22" s="1"/>
  <c r="AI520" i="22"/>
  <c r="AL519" i="22"/>
  <c r="Z519" i="22" s="1"/>
  <c r="AI519" i="22"/>
  <c r="AL518" i="22"/>
  <c r="Z518" i="22" s="1"/>
  <c r="AI518" i="22"/>
  <c r="AL517" i="22"/>
  <c r="AI517" i="22"/>
  <c r="Z517" i="22"/>
  <c r="AL516" i="22"/>
  <c r="Z516" i="22" s="1"/>
  <c r="AI516" i="22"/>
  <c r="AL515" i="22"/>
  <c r="Z515" i="22" s="1"/>
  <c r="AI515" i="22"/>
  <c r="AL514" i="22"/>
  <c r="Z514" i="22" s="1"/>
  <c r="AI514" i="22"/>
  <c r="AL513" i="22"/>
  <c r="Z513" i="22" s="1"/>
  <c r="AI513" i="22"/>
  <c r="AL512" i="22"/>
  <c r="Z512" i="22" s="1"/>
  <c r="AI512" i="22"/>
  <c r="AL511" i="22"/>
  <c r="Z511" i="22" s="1"/>
  <c r="AI511" i="22"/>
  <c r="AL510" i="22"/>
  <c r="Z510" i="22" s="1"/>
  <c r="AI510" i="22"/>
  <c r="AL509" i="22"/>
  <c r="Z509" i="22" s="1"/>
  <c r="AI509" i="22"/>
  <c r="AL508" i="22"/>
  <c r="Z508" i="22" s="1"/>
  <c r="AI508" i="22"/>
  <c r="AL507" i="22"/>
  <c r="Z507" i="22" s="1"/>
  <c r="AI507" i="22"/>
  <c r="AL506" i="22"/>
  <c r="AI506" i="22"/>
  <c r="Z506" i="22"/>
  <c r="AL505" i="22"/>
  <c r="Z505" i="22" s="1"/>
  <c r="AI505" i="22"/>
  <c r="AL504" i="22"/>
  <c r="Z504" i="22" s="1"/>
  <c r="AI504" i="22"/>
  <c r="AL503" i="22"/>
  <c r="AI503" i="22"/>
  <c r="Z503" i="22"/>
  <c r="AL502" i="22"/>
  <c r="Z502" i="22" s="1"/>
  <c r="AI502" i="22"/>
  <c r="AL501" i="22"/>
  <c r="Z501" i="22" s="1"/>
  <c r="AI501" i="22"/>
  <c r="AL500" i="22"/>
  <c r="AI500" i="22"/>
  <c r="Z500" i="22"/>
  <c r="AL499" i="22"/>
  <c r="Z499" i="22" s="1"/>
  <c r="AI499" i="22"/>
  <c r="AL498" i="22"/>
  <c r="Z498" i="22" s="1"/>
  <c r="AI498" i="22"/>
  <c r="AL497" i="22"/>
  <c r="AI497" i="22"/>
  <c r="Z497" i="22"/>
  <c r="AL496" i="22"/>
  <c r="Z496" i="22" s="1"/>
  <c r="AI496" i="22"/>
  <c r="AL495" i="22"/>
  <c r="Z495" i="22" s="1"/>
  <c r="AI495" i="22"/>
  <c r="AL494" i="22"/>
  <c r="Z494" i="22" s="1"/>
  <c r="AI494" i="22"/>
  <c r="AL493" i="22"/>
  <c r="Z493" i="22" s="1"/>
  <c r="AI493" i="22"/>
  <c r="AL492" i="22"/>
  <c r="Z492" i="22" s="1"/>
  <c r="AI492" i="22"/>
  <c r="AL491" i="22"/>
  <c r="Z491" i="22" s="1"/>
  <c r="AI491" i="22"/>
  <c r="AL490" i="22"/>
  <c r="AI490" i="22"/>
  <c r="Z490" i="22"/>
  <c r="AL489" i="22"/>
  <c r="Z489" i="22" s="1"/>
  <c r="AI489" i="22"/>
  <c r="AL488" i="22"/>
  <c r="Z488" i="22" s="1"/>
  <c r="AI488" i="22"/>
  <c r="AL487" i="22"/>
  <c r="AI487" i="22"/>
  <c r="Z487" i="22"/>
  <c r="AL486" i="22"/>
  <c r="Z486" i="22" s="1"/>
  <c r="AI486" i="22"/>
  <c r="AL485" i="22"/>
  <c r="Z485" i="22" s="1"/>
  <c r="AI485" i="22"/>
  <c r="AL484" i="22"/>
  <c r="Z484" i="22" s="1"/>
  <c r="AI484" i="22"/>
  <c r="AL483" i="22"/>
  <c r="Z483" i="22" s="1"/>
  <c r="AI483" i="22"/>
  <c r="AL482" i="22"/>
  <c r="AI482" i="22"/>
  <c r="Z482" i="22"/>
  <c r="AL481" i="22"/>
  <c r="Z481" i="22" s="1"/>
  <c r="AI481" i="22"/>
  <c r="AL480" i="22"/>
  <c r="Z480" i="22" s="1"/>
  <c r="AI480" i="22"/>
  <c r="AL479" i="22"/>
  <c r="Z479" i="22" s="1"/>
  <c r="AI479" i="22"/>
  <c r="AL478" i="22"/>
  <c r="Z478" i="22" s="1"/>
  <c r="AI478" i="22"/>
  <c r="AL477" i="22"/>
  <c r="Z477" i="22" s="1"/>
  <c r="AI477" i="22"/>
  <c r="AL476" i="22"/>
  <c r="Z476" i="22" s="1"/>
  <c r="AI476" i="22"/>
  <c r="AL475" i="22"/>
  <c r="Z475" i="22" s="1"/>
  <c r="AI475" i="22"/>
  <c r="AL474" i="22"/>
  <c r="Z474" i="22" s="1"/>
  <c r="AI474" i="22"/>
  <c r="AL473" i="22"/>
  <c r="Z473" i="22" s="1"/>
  <c r="AI473" i="22"/>
  <c r="AL472" i="22"/>
  <c r="Z472" i="22" s="1"/>
  <c r="AI472" i="22"/>
  <c r="AL471" i="22"/>
  <c r="Z471" i="22" s="1"/>
  <c r="AI471" i="22"/>
  <c r="AL470" i="22"/>
  <c r="Z470" i="22" s="1"/>
  <c r="AI470" i="22"/>
  <c r="AL469" i="22"/>
  <c r="Z469" i="22" s="1"/>
  <c r="AI469" i="22"/>
  <c r="AL468" i="22"/>
  <c r="Z468" i="22" s="1"/>
  <c r="AI468" i="22"/>
  <c r="AL467" i="22"/>
  <c r="Z467" i="22" s="1"/>
  <c r="AI467" i="22"/>
  <c r="AL466" i="22"/>
  <c r="Z466" i="22" s="1"/>
  <c r="AI466" i="22"/>
  <c r="AL465" i="22"/>
  <c r="Z465" i="22" s="1"/>
  <c r="AI465" i="22"/>
  <c r="AL464" i="22"/>
  <c r="Z464" i="22" s="1"/>
  <c r="AI464" i="22"/>
  <c r="AL463" i="22"/>
  <c r="Z463" i="22" s="1"/>
  <c r="AI463" i="22"/>
  <c r="AL462" i="22"/>
  <c r="AI462" i="22"/>
  <c r="Z462" i="22"/>
  <c r="AL461" i="22"/>
  <c r="Z461" i="22" s="1"/>
  <c r="AI461" i="22"/>
  <c r="AL460" i="22"/>
  <c r="Z460" i="22" s="1"/>
  <c r="AI460" i="22"/>
  <c r="AL459" i="22"/>
  <c r="Z459" i="22" s="1"/>
  <c r="AI459" i="22"/>
  <c r="AL458" i="22"/>
  <c r="Z458" i="22" s="1"/>
  <c r="AI458" i="22"/>
  <c r="AL457" i="22"/>
  <c r="Z457" i="22" s="1"/>
  <c r="AI457" i="22"/>
  <c r="AL456" i="22"/>
  <c r="Z456" i="22" s="1"/>
  <c r="AI456" i="22"/>
  <c r="AL455" i="22"/>
  <c r="Z455" i="22" s="1"/>
  <c r="AI455" i="22"/>
  <c r="AL454" i="22"/>
  <c r="Z454" i="22" s="1"/>
  <c r="AI454" i="22"/>
  <c r="AL453" i="22"/>
  <c r="Z453" i="22" s="1"/>
  <c r="AI453" i="22"/>
  <c r="AL452" i="22"/>
  <c r="Z452" i="22" s="1"/>
  <c r="AI452" i="22"/>
  <c r="AL451" i="22"/>
  <c r="Z451" i="22" s="1"/>
  <c r="AI451" i="22"/>
  <c r="AL450" i="22"/>
  <c r="AI450" i="22"/>
  <c r="Z450" i="22"/>
  <c r="AL449" i="22"/>
  <c r="Z449" i="22" s="1"/>
  <c r="AI449" i="22"/>
  <c r="AL448" i="22"/>
  <c r="Z448" i="22" s="1"/>
  <c r="AI448" i="22"/>
  <c r="AL447" i="22"/>
  <c r="Z447" i="22" s="1"/>
  <c r="AI447" i="22"/>
  <c r="AL446" i="22"/>
  <c r="Z446" i="22" s="1"/>
  <c r="AI446" i="22"/>
  <c r="AL445" i="22"/>
  <c r="AI445" i="22"/>
  <c r="Z445" i="22"/>
  <c r="AL444" i="22"/>
  <c r="Z444" i="22" s="1"/>
  <c r="AI444" i="22"/>
  <c r="AL443" i="22"/>
  <c r="Z443" i="22" s="1"/>
  <c r="AI443" i="22"/>
  <c r="AL442" i="22"/>
  <c r="Z442" i="22" s="1"/>
  <c r="AI442" i="22"/>
  <c r="AL441" i="22"/>
  <c r="Z441" i="22" s="1"/>
  <c r="AI441" i="22"/>
  <c r="AL440" i="22"/>
  <c r="Z440" i="22" s="1"/>
  <c r="AI440" i="22"/>
  <c r="AL439" i="22"/>
  <c r="Z439" i="22" s="1"/>
  <c r="AI439" i="22"/>
  <c r="AL438" i="22"/>
  <c r="Z438" i="22" s="1"/>
  <c r="AI438" i="22"/>
  <c r="AL437" i="22"/>
  <c r="AI437" i="22"/>
  <c r="Z437" i="22"/>
  <c r="AL436" i="22"/>
  <c r="Z436" i="22" s="1"/>
  <c r="AI436" i="22"/>
  <c r="AL435" i="22"/>
  <c r="Z435" i="22" s="1"/>
  <c r="AI435" i="22"/>
  <c r="AL434" i="22"/>
  <c r="AI434" i="22"/>
  <c r="Z434" i="22"/>
  <c r="AL433" i="22"/>
  <c r="Z433" i="22" s="1"/>
  <c r="AI433" i="22"/>
  <c r="AL432" i="22"/>
  <c r="Z432" i="22" s="1"/>
  <c r="AI432" i="22"/>
  <c r="AL431" i="22"/>
  <c r="Z431" i="22" s="1"/>
  <c r="AI431" i="22"/>
  <c r="AL430" i="22"/>
  <c r="AI430" i="22"/>
  <c r="Z430" i="22"/>
  <c r="AL429" i="22"/>
  <c r="AI429" i="22"/>
  <c r="Z429" i="22"/>
  <c r="AL428" i="22"/>
  <c r="Z428" i="22" s="1"/>
  <c r="AI428" i="22"/>
  <c r="AL427" i="22"/>
  <c r="Z427" i="22" s="1"/>
  <c r="AI427" i="22"/>
  <c r="AL426" i="22"/>
  <c r="Z426" i="22" s="1"/>
  <c r="AI426" i="22"/>
  <c r="AL425" i="22"/>
  <c r="Z425" i="22" s="1"/>
  <c r="AI425" i="22"/>
  <c r="AL424" i="22"/>
  <c r="Z424" i="22" s="1"/>
  <c r="AI424" i="22"/>
  <c r="AL423" i="22"/>
  <c r="Z423" i="22" s="1"/>
  <c r="AI423" i="22"/>
  <c r="AL422" i="22"/>
  <c r="Z422" i="22" s="1"/>
  <c r="AI422" i="22"/>
  <c r="AL421" i="22"/>
  <c r="AI421" i="22"/>
  <c r="Z421" i="22"/>
  <c r="AL420" i="22"/>
  <c r="Z420" i="22" s="1"/>
  <c r="AI420" i="22"/>
  <c r="AL419" i="22"/>
  <c r="Z419" i="22" s="1"/>
  <c r="AI419" i="22"/>
  <c r="AL418" i="22"/>
  <c r="Z418" i="22" s="1"/>
  <c r="AI418" i="22"/>
  <c r="AL417" i="22"/>
  <c r="Z417" i="22" s="1"/>
  <c r="AI417" i="22"/>
  <c r="AL416" i="22"/>
  <c r="Z416" i="22" s="1"/>
  <c r="AI416" i="22"/>
  <c r="AL415" i="22"/>
  <c r="Z415" i="22" s="1"/>
  <c r="AI415" i="22"/>
  <c r="AL414" i="22"/>
  <c r="Z414" i="22" s="1"/>
  <c r="AI414" i="22"/>
  <c r="AL413" i="22"/>
  <c r="AI413" i="22"/>
  <c r="Z413" i="22"/>
  <c r="AL412" i="22"/>
  <c r="Z412" i="22" s="1"/>
  <c r="AI412" i="22"/>
  <c r="AL411" i="22"/>
  <c r="Z411" i="22" s="1"/>
  <c r="AI411" i="22"/>
  <c r="AL410" i="22"/>
  <c r="AI410" i="22"/>
  <c r="Z410" i="22"/>
  <c r="AL409" i="22"/>
  <c r="Z409" i="22" s="1"/>
  <c r="AI409" i="22"/>
  <c r="AL408" i="22"/>
  <c r="Z408" i="22" s="1"/>
  <c r="AI408" i="22"/>
  <c r="AL407" i="22"/>
  <c r="AI407" i="22"/>
  <c r="Z407" i="22"/>
  <c r="AL406" i="22"/>
  <c r="Z406" i="22" s="1"/>
  <c r="AI406" i="22"/>
  <c r="AL405" i="22"/>
  <c r="AI405" i="22"/>
  <c r="Z405" i="22"/>
  <c r="AL404" i="22"/>
  <c r="AI404" i="22"/>
  <c r="Z404" i="22"/>
  <c r="AL403" i="22"/>
  <c r="Z403" i="22" s="1"/>
  <c r="AI403" i="22"/>
  <c r="AL402" i="22"/>
  <c r="AI402" i="22"/>
  <c r="Z402" i="22"/>
  <c r="AL401" i="22"/>
  <c r="AI401" i="22"/>
  <c r="Z401" i="22"/>
  <c r="AL400" i="22"/>
  <c r="Z400" i="22" s="1"/>
  <c r="AI400" i="22"/>
  <c r="AL399" i="22"/>
  <c r="Z399" i="22" s="1"/>
  <c r="AI399" i="22"/>
  <c r="AL398" i="22"/>
  <c r="Z398" i="22" s="1"/>
  <c r="AI398" i="22"/>
  <c r="AL397" i="22"/>
  <c r="AI397" i="22"/>
  <c r="Z397" i="22"/>
  <c r="AL396" i="22"/>
  <c r="Z396" i="22" s="1"/>
  <c r="AI396" i="22"/>
  <c r="AL395" i="22"/>
  <c r="Z395" i="22" s="1"/>
  <c r="AI395" i="22"/>
  <c r="AL394" i="22"/>
  <c r="AI394" i="22"/>
  <c r="Z394" i="22"/>
  <c r="AL393" i="22"/>
  <c r="Z393" i="22" s="1"/>
  <c r="AI393" i="22"/>
  <c r="AL392" i="22"/>
  <c r="Z392" i="22" s="1"/>
  <c r="AI392" i="22"/>
  <c r="AL391" i="22"/>
  <c r="AI391" i="22"/>
  <c r="Z391" i="22"/>
  <c r="AL390" i="22"/>
  <c r="Z390" i="22" s="1"/>
  <c r="AI390" i="22"/>
  <c r="AL389" i="22"/>
  <c r="AI389" i="22"/>
  <c r="Z389" i="22"/>
  <c r="AL388" i="22"/>
  <c r="Z388" i="22" s="1"/>
  <c r="AI388" i="22"/>
  <c r="AL387" i="22"/>
  <c r="Z387" i="22" s="1"/>
  <c r="AI387" i="22"/>
  <c r="AL386" i="22"/>
  <c r="Z386" i="22" s="1"/>
  <c r="AI386" i="22"/>
  <c r="AL385" i="22"/>
  <c r="Z385" i="22" s="1"/>
  <c r="AI385" i="22"/>
  <c r="AL384" i="22"/>
  <c r="Z384" i="22" s="1"/>
  <c r="AI384" i="22"/>
  <c r="AL383" i="22"/>
  <c r="Z383" i="22" s="1"/>
  <c r="AI383" i="22"/>
  <c r="AL382" i="22"/>
  <c r="Z382" i="22" s="1"/>
  <c r="AI382" i="22"/>
  <c r="AL381" i="22"/>
  <c r="Z381" i="22" s="1"/>
  <c r="AI381" i="22"/>
  <c r="AL380" i="22"/>
  <c r="Z380" i="22" s="1"/>
  <c r="AI380" i="22"/>
  <c r="AL379" i="22"/>
  <c r="Z379" i="22" s="1"/>
  <c r="AI379" i="22"/>
  <c r="AL378" i="22"/>
  <c r="Z378" i="22" s="1"/>
  <c r="AI378" i="22"/>
  <c r="AL377" i="22"/>
  <c r="Z377" i="22" s="1"/>
  <c r="AI377" i="22"/>
  <c r="AL376" i="22"/>
  <c r="Z376" i="22" s="1"/>
  <c r="AI376" i="22"/>
  <c r="AL375" i="22"/>
  <c r="AI375" i="22"/>
  <c r="Z375" i="22"/>
  <c r="AL374" i="22"/>
  <c r="Z374" i="22" s="1"/>
  <c r="AI374" i="22"/>
  <c r="AL373" i="22"/>
  <c r="AI373" i="22"/>
  <c r="Z373" i="22"/>
  <c r="AL372" i="22"/>
  <c r="AI372" i="22"/>
  <c r="Z372" i="22"/>
  <c r="AL371" i="22"/>
  <c r="Z371" i="22" s="1"/>
  <c r="AI371" i="22"/>
  <c r="AL370" i="22"/>
  <c r="AI370" i="22"/>
  <c r="Z370" i="22"/>
  <c r="AL369" i="22"/>
  <c r="AI369" i="22"/>
  <c r="Z369" i="22"/>
  <c r="AL368" i="22"/>
  <c r="Z368" i="22" s="1"/>
  <c r="AI368" i="22"/>
  <c r="AL367" i="22"/>
  <c r="Z367" i="22" s="1"/>
  <c r="AI367" i="22"/>
  <c r="AL366" i="22"/>
  <c r="Z366" i="22" s="1"/>
  <c r="AI366" i="22"/>
  <c r="AL365" i="22"/>
  <c r="Z365" i="22" s="1"/>
  <c r="AI365" i="22"/>
  <c r="AL364" i="22"/>
  <c r="Z364" i="22" s="1"/>
  <c r="AI364" i="22"/>
  <c r="AL363" i="22"/>
  <c r="Z363" i="22" s="1"/>
  <c r="AI363" i="22"/>
  <c r="AL362" i="22"/>
  <c r="Z362" i="22" s="1"/>
  <c r="AI362" i="22"/>
  <c r="AL361" i="22"/>
  <c r="Z361" i="22" s="1"/>
  <c r="AI361" i="22"/>
  <c r="AL360" i="22"/>
  <c r="Z360" i="22" s="1"/>
  <c r="AI360" i="22"/>
  <c r="AL359" i="22"/>
  <c r="AI359" i="22"/>
  <c r="Z359" i="22"/>
  <c r="AL358" i="22"/>
  <c r="Z358" i="22" s="1"/>
  <c r="AI358" i="22"/>
  <c r="AL357" i="22"/>
  <c r="AI357" i="22"/>
  <c r="Z357" i="22"/>
  <c r="AL356" i="22"/>
  <c r="Z356" i="22" s="1"/>
  <c r="AI356" i="22"/>
  <c r="AL355" i="22"/>
  <c r="Z355" i="22" s="1"/>
  <c r="AI355" i="22"/>
  <c r="AL354" i="22"/>
  <c r="AI354" i="22"/>
  <c r="Z354" i="22"/>
  <c r="AL353" i="22"/>
  <c r="Z353" i="22" s="1"/>
  <c r="AI353" i="22"/>
  <c r="AL352" i="22"/>
  <c r="Z352" i="22" s="1"/>
  <c r="AI352" i="22"/>
  <c r="AL351" i="22"/>
  <c r="Z351" i="22" s="1"/>
  <c r="AI351" i="22"/>
  <c r="AL350" i="22"/>
  <c r="Z350" i="22" s="1"/>
  <c r="AI350" i="22"/>
  <c r="AL349" i="22"/>
  <c r="Z349" i="22" s="1"/>
  <c r="AI349" i="22"/>
  <c r="AL348" i="22"/>
  <c r="Z348" i="22" s="1"/>
  <c r="AI348" i="22"/>
  <c r="AL347" i="22"/>
  <c r="Z347" i="22" s="1"/>
  <c r="AI347" i="22"/>
  <c r="AL346" i="22"/>
  <c r="Z346" i="22" s="1"/>
  <c r="AI346" i="22"/>
  <c r="AL345" i="22"/>
  <c r="Z345" i="22" s="1"/>
  <c r="AI345" i="22"/>
  <c r="AL344" i="22"/>
  <c r="Z344" i="22" s="1"/>
  <c r="AI344" i="22"/>
  <c r="AL343" i="22"/>
  <c r="AI343" i="22"/>
  <c r="Z343" i="22"/>
  <c r="AL342" i="22"/>
  <c r="Z342" i="22" s="1"/>
  <c r="AI342" i="22"/>
  <c r="AL341" i="22"/>
  <c r="Z341" i="22" s="1"/>
  <c r="AI341" i="22"/>
  <c r="AL340" i="22"/>
  <c r="AI340" i="22"/>
  <c r="Z340" i="22"/>
  <c r="AL339" i="22"/>
  <c r="Z339" i="22" s="1"/>
  <c r="AI339" i="22"/>
  <c r="AL338" i="22"/>
  <c r="Z338" i="22" s="1"/>
  <c r="AI338" i="22"/>
  <c r="AL337" i="22"/>
  <c r="AI337" i="22"/>
  <c r="Z337" i="22"/>
  <c r="AL336" i="22"/>
  <c r="Z336" i="22" s="1"/>
  <c r="AI336" i="22"/>
  <c r="AL335" i="22"/>
  <c r="Z335" i="22" s="1"/>
  <c r="AI335" i="22"/>
  <c r="AL334" i="22"/>
  <c r="AI334" i="22"/>
  <c r="Z334" i="22"/>
  <c r="AL333" i="22"/>
  <c r="Z333" i="22" s="1"/>
  <c r="AI333" i="22"/>
  <c r="AL332" i="22"/>
  <c r="Z332" i="22" s="1"/>
  <c r="AI332" i="22"/>
  <c r="AL331" i="22"/>
  <c r="Z331" i="22" s="1"/>
  <c r="AI331" i="22"/>
  <c r="AL330" i="22"/>
  <c r="Z330" i="22" s="1"/>
  <c r="AI330" i="22"/>
  <c r="AL329" i="22"/>
  <c r="Z329" i="22" s="1"/>
  <c r="AI329" i="22"/>
  <c r="AL328" i="22"/>
  <c r="Z328" i="22" s="1"/>
  <c r="AI328" i="22"/>
  <c r="AL327" i="22"/>
  <c r="AI327" i="22"/>
  <c r="Z327" i="22"/>
  <c r="AL326" i="22"/>
  <c r="Z326" i="22" s="1"/>
  <c r="AI326" i="22"/>
  <c r="AL325" i="22"/>
  <c r="Z325" i="22" s="1"/>
  <c r="AI325" i="22"/>
  <c r="AL324" i="22"/>
  <c r="Z324" i="22" s="1"/>
  <c r="AI324" i="22"/>
  <c r="AL323" i="22"/>
  <c r="Z323" i="22" s="1"/>
  <c r="AI323" i="22"/>
  <c r="AL322" i="22"/>
  <c r="Z322" i="22" s="1"/>
  <c r="AI322" i="22"/>
  <c r="AL321" i="22"/>
  <c r="Z321" i="22" s="1"/>
  <c r="AI321" i="22"/>
  <c r="AL320" i="22"/>
  <c r="Z320" i="22" s="1"/>
  <c r="AI320" i="22"/>
  <c r="AL319" i="22"/>
  <c r="Z319" i="22" s="1"/>
  <c r="AI319" i="22"/>
  <c r="AL318" i="22"/>
  <c r="Z318" i="22" s="1"/>
  <c r="AI318" i="22"/>
  <c r="AL317" i="22"/>
  <c r="AI317" i="22"/>
  <c r="Z317" i="22"/>
  <c r="AL316" i="22"/>
  <c r="Z316" i="22" s="1"/>
  <c r="AI316" i="22"/>
  <c r="AL315" i="22"/>
  <c r="Z315" i="22" s="1"/>
  <c r="AI315" i="22"/>
  <c r="AL314" i="22"/>
  <c r="AI314" i="22"/>
  <c r="Z314" i="22"/>
  <c r="AL313" i="22"/>
  <c r="Z313" i="22" s="1"/>
  <c r="AI313" i="22"/>
  <c r="AL312" i="22"/>
  <c r="Z312" i="22" s="1"/>
  <c r="AI312" i="22"/>
  <c r="AL311" i="22"/>
  <c r="Z311" i="22" s="1"/>
  <c r="AI311" i="22"/>
  <c r="AL310" i="22"/>
  <c r="Z310" i="22" s="1"/>
  <c r="AI310" i="22"/>
  <c r="AL309" i="22"/>
  <c r="Z309" i="22" s="1"/>
  <c r="AI309" i="22"/>
  <c r="AL308" i="22"/>
  <c r="Z308" i="22" s="1"/>
  <c r="AI308" i="22"/>
  <c r="AL307" i="22"/>
  <c r="Z307" i="22" s="1"/>
  <c r="AI307" i="22"/>
  <c r="AL306" i="22"/>
  <c r="Z306" i="22" s="1"/>
  <c r="AI306" i="22"/>
  <c r="AL305" i="22"/>
  <c r="Z305" i="22" s="1"/>
  <c r="AI305" i="22"/>
  <c r="AL304" i="22"/>
  <c r="Z304" i="22" s="1"/>
  <c r="AI304" i="22"/>
  <c r="AL303" i="22"/>
  <c r="Z303" i="22" s="1"/>
  <c r="AI303" i="22"/>
  <c r="AL302" i="22"/>
  <c r="Z302" i="22" s="1"/>
  <c r="AI302" i="22"/>
  <c r="AL301" i="22"/>
  <c r="AI301" i="22"/>
  <c r="Z301" i="22"/>
  <c r="AL300" i="22"/>
  <c r="Z300" i="22" s="1"/>
  <c r="AI300" i="22"/>
  <c r="AL299" i="22"/>
  <c r="Z299" i="22" s="1"/>
  <c r="AI299" i="22"/>
  <c r="AL298" i="22"/>
  <c r="AI298" i="22"/>
  <c r="Z298" i="22"/>
  <c r="AL297" i="22"/>
  <c r="Z297" i="22" s="1"/>
  <c r="AI297" i="22"/>
  <c r="AL296" i="22"/>
  <c r="Z296" i="22" s="1"/>
  <c r="AI296" i="22"/>
  <c r="AL295" i="22"/>
  <c r="Z295" i="22" s="1"/>
  <c r="AI295" i="22"/>
  <c r="AL294" i="22"/>
  <c r="Z294" i="22" s="1"/>
  <c r="AI294" i="22"/>
  <c r="AL293" i="22"/>
  <c r="Z293" i="22" s="1"/>
  <c r="AI293" i="22"/>
  <c r="AL292" i="22"/>
  <c r="Z292" i="22" s="1"/>
  <c r="AI292" i="22"/>
  <c r="AL291" i="22"/>
  <c r="Z291" i="22" s="1"/>
  <c r="AI291" i="22"/>
  <c r="AL290" i="22"/>
  <c r="Z290" i="22" s="1"/>
  <c r="AI290" i="22"/>
  <c r="AL289" i="22"/>
  <c r="Z289" i="22" s="1"/>
  <c r="AI289" i="22"/>
  <c r="AL288" i="22"/>
  <c r="Z288" i="22" s="1"/>
  <c r="AI288" i="22"/>
  <c r="AL287" i="22"/>
  <c r="Z287" i="22" s="1"/>
  <c r="AI287" i="22"/>
  <c r="AL286" i="22"/>
  <c r="Z286" i="22" s="1"/>
  <c r="AI286" i="22"/>
  <c r="AL285" i="22"/>
  <c r="Z285" i="22" s="1"/>
  <c r="AI285" i="22"/>
  <c r="AL284" i="22"/>
  <c r="Z284" i="22" s="1"/>
  <c r="AI284" i="22"/>
  <c r="AL283" i="22"/>
  <c r="Z283" i="22" s="1"/>
  <c r="AI283" i="22"/>
  <c r="AL282" i="22"/>
  <c r="AI282" i="22"/>
  <c r="Z282" i="22"/>
  <c r="AL281" i="22"/>
  <c r="Z281" i="22" s="1"/>
  <c r="AI281" i="22"/>
  <c r="AL280" i="22"/>
  <c r="Z280" i="22" s="1"/>
  <c r="AI280" i="22"/>
  <c r="AL279" i="22"/>
  <c r="Z279" i="22" s="1"/>
  <c r="AI279" i="22"/>
  <c r="AL278" i="22"/>
  <c r="Z278" i="22" s="1"/>
  <c r="AI278" i="22"/>
  <c r="AL277" i="22"/>
  <c r="AI277" i="22"/>
  <c r="Z277" i="22"/>
  <c r="AL276" i="22"/>
  <c r="Z276" i="22" s="1"/>
  <c r="AI276" i="22"/>
  <c r="AL275" i="22"/>
  <c r="Z275" i="22" s="1"/>
  <c r="AI275" i="22"/>
  <c r="AL274" i="22"/>
  <c r="AI274" i="22"/>
  <c r="Z274" i="22"/>
  <c r="AL273" i="22"/>
  <c r="Z273" i="22" s="1"/>
  <c r="AI273" i="22"/>
  <c r="AL272" i="22"/>
  <c r="Z272" i="22" s="1"/>
  <c r="AI272" i="22"/>
  <c r="AL271" i="22"/>
  <c r="Z271" i="22" s="1"/>
  <c r="AI271" i="22"/>
  <c r="AL270" i="22"/>
  <c r="Z270" i="22" s="1"/>
  <c r="AI270" i="22"/>
  <c r="AL269" i="22"/>
  <c r="Z269" i="22" s="1"/>
  <c r="AI269" i="22"/>
  <c r="AL268" i="22"/>
  <c r="Z268" i="22" s="1"/>
  <c r="AI268" i="22"/>
  <c r="AL267" i="22"/>
  <c r="Z267" i="22" s="1"/>
  <c r="AI267" i="22"/>
  <c r="AL266" i="22"/>
  <c r="AI266" i="22"/>
  <c r="Z266" i="22"/>
  <c r="AL265" i="22"/>
  <c r="Z265" i="22" s="1"/>
  <c r="AI265" i="22"/>
  <c r="AL264" i="22"/>
  <c r="Z264" i="22" s="1"/>
  <c r="AI264" i="22"/>
  <c r="AL263" i="22"/>
  <c r="Z263" i="22" s="1"/>
  <c r="AI263" i="22"/>
  <c r="AL262" i="22"/>
  <c r="Z262" i="22" s="1"/>
  <c r="AI262" i="22"/>
  <c r="AL261" i="22"/>
  <c r="AI261" i="22"/>
  <c r="Z261" i="22"/>
  <c r="AL260" i="22"/>
  <c r="Z260" i="22" s="1"/>
  <c r="AI260" i="22"/>
  <c r="AL259" i="22"/>
  <c r="Z259" i="22" s="1"/>
  <c r="AI259" i="22"/>
  <c r="AL258" i="22"/>
  <c r="AI258" i="22"/>
  <c r="Z258" i="22"/>
  <c r="AL257" i="22"/>
  <c r="Z257" i="22" s="1"/>
  <c r="AI257" i="22"/>
  <c r="AL256" i="22"/>
  <c r="Z256" i="22" s="1"/>
  <c r="AI256" i="22"/>
  <c r="AL255" i="22"/>
  <c r="Z255" i="22" s="1"/>
  <c r="AI255" i="22"/>
  <c r="AL254" i="22"/>
  <c r="Z254" i="22" s="1"/>
  <c r="AI254" i="22"/>
  <c r="AL253" i="22"/>
  <c r="Z253" i="22" s="1"/>
  <c r="AI253" i="22"/>
  <c r="AL252" i="22"/>
  <c r="Z252" i="22" s="1"/>
  <c r="AI252" i="22"/>
  <c r="AL251" i="22"/>
  <c r="Z251" i="22" s="1"/>
  <c r="AI251" i="22"/>
  <c r="AL250" i="22"/>
  <c r="AI250" i="22"/>
  <c r="Z250" i="22"/>
  <c r="AL249" i="22"/>
  <c r="Z249" i="22" s="1"/>
  <c r="AI249" i="22"/>
  <c r="AL248" i="22"/>
  <c r="Z248" i="22" s="1"/>
  <c r="AI248" i="22"/>
  <c r="AL247" i="22"/>
  <c r="AI247" i="22"/>
  <c r="Z247" i="22"/>
  <c r="AL246" i="22"/>
  <c r="Z246" i="22" s="1"/>
  <c r="AI246" i="22"/>
  <c r="AL245" i="22"/>
  <c r="Z245" i="22" s="1"/>
  <c r="AI245" i="22"/>
  <c r="AL244" i="22"/>
  <c r="AI244" i="22"/>
  <c r="Z244" i="22"/>
  <c r="AL243" i="22"/>
  <c r="Z243" i="22" s="1"/>
  <c r="AI243" i="22"/>
  <c r="AL242" i="22"/>
  <c r="Z242" i="22" s="1"/>
  <c r="AI242" i="22"/>
  <c r="AL241" i="22"/>
  <c r="AI241" i="22"/>
  <c r="Z241" i="22"/>
  <c r="AL240" i="22"/>
  <c r="Z240" i="22" s="1"/>
  <c r="AI240" i="22"/>
  <c r="AL239" i="22"/>
  <c r="Z239" i="22" s="1"/>
  <c r="AI239" i="22"/>
  <c r="AL238" i="22"/>
  <c r="AI238" i="22"/>
  <c r="Z238" i="22"/>
  <c r="AL237" i="22"/>
  <c r="AI237" i="22"/>
  <c r="Z237" i="22"/>
  <c r="AL236" i="22"/>
  <c r="Z236" i="22" s="1"/>
  <c r="AI236" i="22"/>
  <c r="AL235" i="22"/>
  <c r="Z235" i="22" s="1"/>
  <c r="AI235" i="22"/>
  <c r="AL234" i="22"/>
  <c r="AI234" i="22"/>
  <c r="Z234" i="22"/>
  <c r="AL233" i="22"/>
  <c r="Z233" i="22" s="1"/>
  <c r="AI233" i="22"/>
  <c r="AL232" i="22"/>
  <c r="Z232" i="22" s="1"/>
  <c r="AI232" i="22"/>
  <c r="AL231" i="22"/>
  <c r="AI231" i="22"/>
  <c r="Z231" i="22"/>
  <c r="AL230" i="22"/>
  <c r="Z230" i="22" s="1"/>
  <c r="AI230" i="22"/>
  <c r="AL229" i="22"/>
  <c r="Z229" i="22" s="1"/>
  <c r="AI229" i="22"/>
  <c r="AL228" i="22"/>
  <c r="Z228" i="22" s="1"/>
  <c r="AI228" i="22"/>
  <c r="AL227" i="22"/>
  <c r="Z227" i="22" s="1"/>
  <c r="AI227" i="22"/>
  <c r="AL226" i="22"/>
  <c r="Z226" i="22" s="1"/>
  <c r="AI226" i="22"/>
  <c r="AL225" i="22"/>
  <c r="Z225" i="22" s="1"/>
  <c r="AI225" i="22"/>
  <c r="AL224" i="22"/>
  <c r="Z224" i="22" s="1"/>
  <c r="AI224" i="22"/>
  <c r="AL223" i="22"/>
  <c r="Z223" i="22" s="1"/>
  <c r="AI223" i="22"/>
  <c r="AL222" i="22"/>
  <c r="Z222" i="22" s="1"/>
  <c r="AI222" i="22"/>
  <c r="AL221" i="22"/>
  <c r="AI221" i="22"/>
  <c r="Z221" i="22"/>
  <c r="AL220" i="22"/>
  <c r="Z220" i="22" s="1"/>
  <c r="AI220" i="22"/>
  <c r="AL219" i="22"/>
  <c r="Z219" i="22" s="1"/>
  <c r="AI219" i="22"/>
  <c r="AL218" i="22"/>
  <c r="Z218" i="22" s="1"/>
  <c r="AI218" i="22"/>
  <c r="AL217" i="22"/>
  <c r="Z217" i="22" s="1"/>
  <c r="AI217" i="22"/>
  <c r="AL216" i="22"/>
  <c r="Z216" i="22" s="1"/>
  <c r="AI216" i="22"/>
  <c r="AL215" i="22"/>
  <c r="Z215" i="22" s="1"/>
  <c r="AI215" i="22"/>
  <c r="AL214" i="22"/>
  <c r="Z214" i="22" s="1"/>
  <c r="AI214" i="22"/>
  <c r="AL213" i="22"/>
  <c r="AI213" i="22"/>
  <c r="Z213" i="22"/>
  <c r="AL212" i="22"/>
  <c r="Z212" i="22" s="1"/>
  <c r="AI212" i="22"/>
  <c r="AL211" i="22"/>
  <c r="Z211" i="22" s="1"/>
  <c r="AI211" i="22"/>
  <c r="AL210" i="22"/>
  <c r="AI210" i="22"/>
  <c r="Z210" i="22"/>
  <c r="AL209" i="22"/>
  <c r="Z209" i="22" s="1"/>
  <c r="AI209" i="22"/>
  <c r="AL208" i="22"/>
  <c r="Z208" i="22" s="1"/>
  <c r="AI208" i="22"/>
  <c r="AL207" i="22"/>
  <c r="Z207" i="22" s="1"/>
  <c r="AI207" i="22"/>
  <c r="AL206" i="22"/>
  <c r="Z206" i="22" s="1"/>
  <c r="AI206" i="22"/>
  <c r="AL205" i="22"/>
  <c r="AI205" i="22"/>
  <c r="Z205" i="22"/>
  <c r="AL204" i="22"/>
  <c r="Z204" i="22" s="1"/>
  <c r="AI204" i="22"/>
  <c r="AL203" i="22"/>
  <c r="Z203" i="22" s="1"/>
  <c r="AI203" i="22"/>
  <c r="AL202" i="22"/>
  <c r="Z202" i="22" s="1"/>
  <c r="AI202" i="22"/>
  <c r="AL201" i="22"/>
  <c r="Z201" i="22" s="1"/>
  <c r="AI201" i="22"/>
  <c r="AL200" i="22"/>
  <c r="Z200" i="22" s="1"/>
  <c r="AI200" i="22"/>
  <c r="AL199" i="22"/>
  <c r="Z199" i="22" s="1"/>
  <c r="AI199" i="22"/>
  <c r="AL198" i="22"/>
  <c r="Z198" i="22" s="1"/>
  <c r="AI198" i="22"/>
  <c r="AL197" i="22"/>
  <c r="AI197" i="22"/>
  <c r="Z197" i="22"/>
  <c r="AL196" i="22"/>
  <c r="Z196" i="22" s="1"/>
  <c r="AI196" i="22"/>
  <c r="AL195" i="22"/>
  <c r="Z195" i="22" s="1"/>
  <c r="AI195" i="22"/>
  <c r="AL194" i="22"/>
  <c r="AI194" i="22"/>
  <c r="Z194" i="22"/>
  <c r="AL193" i="22"/>
  <c r="Z193" i="22" s="1"/>
  <c r="AI193" i="22"/>
  <c r="AL192" i="22"/>
  <c r="Z192" i="22" s="1"/>
  <c r="AI192" i="22"/>
  <c r="AL191" i="22"/>
  <c r="Z191" i="22" s="1"/>
  <c r="AI191" i="22"/>
  <c r="AL190" i="22"/>
  <c r="Z190" i="22" s="1"/>
  <c r="AI190" i="22"/>
  <c r="AL189" i="22"/>
  <c r="Z189" i="22" s="1"/>
  <c r="AI189" i="22"/>
  <c r="AL188" i="22"/>
  <c r="Z188" i="22" s="1"/>
  <c r="AI188" i="22"/>
  <c r="AL187" i="22"/>
  <c r="Z187" i="22" s="1"/>
  <c r="AI187" i="22"/>
  <c r="AL186" i="22"/>
  <c r="Z186" i="22" s="1"/>
  <c r="AI186" i="22"/>
  <c r="AL185" i="22"/>
  <c r="Z185" i="22" s="1"/>
  <c r="AI185" i="22"/>
  <c r="AL184" i="22"/>
  <c r="Z184" i="22" s="1"/>
  <c r="AI184" i="22"/>
  <c r="AL183" i="22"/>
  <c r="AI183" i="22"/>
  <c r="Z183" i="22"/>
  <c r="AL182" i="22"/>
  <c r="Z182" i="22" s="1"/>
  <c r="AI182" i="22"/>
  <c r="AL181" i="22"/>
  <c r="AI181" i="22"/>
  <c r="Z181" i="22"/>
  <c r="AL180" i="22"/>
  <c r="AI180" i="22"/>
  <c r="Z180" i="22"/>
  <c r="AL179" i="22"/>
  <c r="Z179" i="22" s="1"/>
  <c r="AI179" i="22"/>
  <c r="AL178" i="22"/>
  <c r="AI178" i="22"/>
  <c r="Z178" i="22"/>
  <c r="AL177" i="22"/>
  <c r="AI177" i="22"/>
  <c r="Z177" i="22"/>
  <c r="AL176" i="22"/>
  <c r="Z176" i="22" s="1"/>
  <c r="AI176" i="22"/>
  <c r="AL175" i="22"/>
  <c r="Z175" i="22" s="1"/>
  <c r="AI175" i="22"/>
  <c r="AL174" i="22"/>
  <c r="AI174" i="22"/>
  <c r="Z174" i="22"/>
  <c r="AL173" i="22"/>
  <c r="Z173" i="22" s="1"/>
  <c r="AI173" i="22"/>
  <c r="AL172" i="22"/>
  <c r="Z172" i="22" s="1"/>
  <c r="AI172" i="22"/>
  <c r="AL171" i="22"/>
  <c r="Z171" i="22" s="1"/>
  <c r="AI171" i="22"/>
  <c r="AL170" i="22"/>
  <c r="Z170" i="22" s="1"/>
  <c r="AI170" i="22"/>
  <c r="AL169" i="22"/>
  <c r="Z169" i="22" s="1"/>
  <c r="AI169" i="22"/>
  <c r="AL168" i="22"/>
  <c r="Z168" i="22" s="1"/>
  <c r="AI168" i="22"/>
  <c r="AL167" i="22"/>
  <c r="AI167" i="22"/>
  <c r="Z167" i="22"/>
  <c r="AL166" i="22"/>
  <c r="Z166" i="22" s="1"/>
  <c r="AI166" i="22"/>
  <c r="AL165" i="22"/>
  <c r="AI165" i="22"/>
  <c r="Z165" i="22"/>
  <c r="AL164" i="22"/>
  <c r="Z164" i="22" s="1"/>
  <c r="AI164" i="22"/>
  <c r="AL163" i="22"/>
  <c r="Z163" i="22" s="1"/>
  <c r="AI163" i="22"/>
  <c r="AL162" i="22"/>
  <c r="Z162" i="22" s="1"/>
  <c r="AI162" i="22"/>
  <c r="AL161" i="22"/>
  <c r="Z161" i="22" s="1"/>
  <c r="AI161" i="22"/>
  <c r="AL160" i="22"/>
  <c r="Z160" i="22" s="1"/>
  <c r="AI160" i="22"/>
  <c r="AL159" i="22"/>
  <c r="Z159" i="22" s="1"/>
  <c r="AI159" i="22"/>
  <c r="AL158" i="22"/>
  <c r="Z158" i="22" s="1"/>
  <c r="AI158" i="22"/>
  <c r="AL157" i="22"/>
  <c r="AI157" i="22"/>
  <c r="Z157" i="22"/>
  <c r="AL156" i="22"/>
  <c r="Z156" i="22" s="1"/>
  <c r="AI156" i="22"/>
  <c r="AL155" i="22"/>
  <c r="Z155" i="22" s="1"/>
  <c r="AI155" i="22"/>
  <c r="AL154" i="22"/>
  <c r="AI154" i="22"/>
  <c r="Z154" i="22"/>
  <c r="AL153" i="22"/>
  <c r="Z153" i="22" s="1"/>
  <c r="AI153" i="22"/>
  <c r="AL152" i="22"/>
  <c r="Z152" i="22" s="1"/>
  <c r="AI152" i="22"/>
  <c r="AL151" i="22"/>
  <c r="AI151" i="22"/>
  <c r="Z151" i="22"/>
  <c r="AL150" i="22"/>
  <c r="Z150" i="22" s="1"/>
  <c r="AI150" i="22"/>
  <c r="AL149" i="22"/>
  <c r="Z149" i="22" s="1"/>
  <c r="AI149" i="22"/>
  <c r="AL148" i="22"/>
  <c r="AI148" i="22"/>
  <c r="Z148" i="22"/>
  <c r="AL147" i="22"/>
  <c r="Z147" i="22" s="1"/>
  <c r="AI147" i="22"/>
  <c r="AL146" i="22"/>
  <c r="Z146" i="22" s="1"/>
  <c r="AI146" i="22"/>
  <c r="AL145" i="22"/>
  <c r="AI145" i="22"/>
  <c r="Z145" i="22"/>
  <c r="AL144" i="22"/>
  <c r="Z144" i="22" s="1"/>
  <c r="AI144" i="22"/>
  <c r="AL143" i="22"/>
  <c r="Z143" i="22" s="1"/>
  <c r="AI143" i="22"/>
  <c r="AL142" i="22"/>
  <c r="Z142" i="22" s="1"/>
  <c r="AI142" i="22"/>
  <c r="AL141" i="22"/>
  <c r="AI141" i="22"/>
  <c r="Z141" i="22"/>
  <c r="AL140" i="22"/>
  <c r="Z140" i="22" s="1"/>
  <c r="AI140" i="22"/>
  <c r="AL139" i="22"/>
  <c r="Z139" i="22" s="1"/>
  <c r="AI139" i="22"/>
  <c r="AL138" i="22"/>
  <c r="AI138" i="22"/>
  <c r="Z138" i="22"/>
  <c r="AL137" i="22"/>
  <c r="Z137" i="22" s="1"/>
  <c r="AI137" i="22"/>
  <c r="AL136" i="22"/>
  <c r="Z136" i="22" s="1"/>
  <c r="AI136" i="22"/>
  <c r="AL135" i="22"/>
  <c r="AI135" i="22"/>
  <c r="Z135" i="22"/>
  <c r="AL134" i="22"/>
  <c r="Z134" i="22" s="1"/>
  <c r="AI134" i="22"/>
  <c r="AL133" i="22"/>
  <c r="Z133" i="22" s="1"/>
  <c r="AI133" i="22"/>
  <c r="AL132" i="22"/>
  <c r="Z132" i="22" s="1"/>
  <c r="AI132" i="22"/>
  <c r="AL131" i="22"/>
  <c r="Z131" i="22" s="1"/>
  <c r="AI131" i="22"/>
  <c r="AL130" i="22"/>
  <c r="Z130" i="22" s="1"/>
  <c r="AI130" i="22"/>
  <c r="AL129" i="22"/>
  <c r="Z129" i="22" s="1"/>
  <c r="AI129" i="22"/>
  <c r="AL128" i="22"/>
  <c r="Z128" i="22" s="1"/>
  <c r="AI128" i="22"/>
  <c r="AL127" i="22"/>
  <c r="Z127" i="22" s="1"/>
  <c r="AI127" i="22"/>
  <c r="AL126" i="22"/>
  <c r="Z126" i="22" s="1"/>
  <c r="AI126" i="22"/>
  <c r="AL125" i="22"/>
  <c r="Z125" i="22" s="1"/>
  <c r="AI125" i="22"/>
  <c r="AL124" i="22"/>
  <c r="Z124" i="22" s="1"/>
  <c r="AI124" i="22"/>
  <c r="AL123" i="22"/>
  <c r="Z123" i="22" s="1"/>
  <c r="AI123" i="22"/>
  <c r="AL122" i="22"/>
  <c r="Z122" i="22" s="1"/>
  <c r="AI122" i="22"/>
  <c r="AL121" i="22"/>
  <c r="Z121" i="22" s="1"/>
  <c r="AI121" i="22"/>
  <c r="AL120" i="22"/>
  <c r="Z120" i="22" s="1"/>
  <c r="AI120" i="22"/>
  <c r="AL119" i="22"/>
  <c r="Z119" i="22" s="1"/>
  <c r="AI119" i="22"/>
  <c r="AL118" i="22"/>
  <c r="Z118" i="22" s="1"/>
  <c r="AI118" i="22"/>
  <c r="AL117" i="22"/>
  <c r="AI117" i="22"/>
  <c r="Z117" i="22"/>
  <c r="AL116" i="22"/>
  <c r="Z116" i="22" s="1"/>
  <c r="AI116" i="22"/>
  <c r="AL115" i="22"/>
  <c r="Z115" i="22" s="1"/>
  <c r="AI115" i="22"/>
  <c r="AL114" i="22"/>
  <c r="AI114" i="22"/>
  <c r="Z114" i="22"/>
  <c r="AL113" i="22"/>
  <c r="Z113" i="22" s="1"/>
  <c r="AI113" i="22"/>
  <c r="AL112" i="22"/>
  <c r="Z112" i="22" s="1"/>
  <c r="AI112" i="22"/>
  <c r="AL111" i="22"/>
  <c r="Z111" i="22" s="1"/>
  <c r="AI111" i="22"/>
  <c r="AL110" i="22"/>
  <c r="Z110" i="22" s="1"/>
  <c r="AI110" i="22"/>
  <c r="AL109" i="22"/>
  <c r="Z109" i="22" s="1"/>
  <c r="AI109" i="22"/>
  <c r="AL108" i="22"/>
  <c r="Z108" i="22" s="1"/>
  <c r="AI108" i="22"/>
  <c r="AL107" i="22"/>
  <c r="Z107" i="22" s="1"/>
  <c r="AI107" i="22"/>
  <c r="AL106" i="22"/>
  <c r="Z106" i="22" s="1"/>
  <c r="AI106" i="22"/>
  <c r="AL105" i="22"/>
  <c r="Z105" i="22" s="1"/>
  <c r="AI105" i="22"/>
  <c r="AL104" i="22"/>
  <c r="Z104" i="22" s="1"/>
  <c r="AI104" i="22"/>
  <c r="AL103" i="22"/>
  <c r="Z103" i="22" s="1"/>
  <c r="AI103" i="22"/>
  <c r="AL102" i="22"/>
  <c r="Z102" i="22" s="1"/>
  <c r="AI102" i="22"/>
  <c r="AL101" i="22"/>
  <c r="Z101" i="22" s="1"/>
  <c r="AI101" i="22"/>
  <c r="AL100" i="22"/>
  <c r="Z100" i="22" s="1"/>
  <c r="AI100" i="22"/>
  <c r="AL99" i="22"/>
  <c r="Z99" i="22" s="1"/>
  <c r="AI99" i="22"/>
  <c r="AL98" i="22"/>
  <c r="AI98" i="22"/>
  <c r="Z98" i="22"/>
  <c r="AL97" i="22"/>
  <c r="Z97" i="22" s="1"/>
  <c r="AI97" i="22"/>
  <c r="AL96" i="22"/>
  <c r="Z96" i="22" s="1"/>
  <c r="AI96" i="22"/>
  <c r="AL95" i="22"/>
  <c r="Z95" i="22" s="1"/>
  <c r="AI95" i="22"/>
  <c r="AL94" i="22"/>
  <c r="AI94" i="22"/>
  <c r="Z94" i="22"/>
  <c r="AL93" i="22"/>
  <c r="Z93" i="22" s="1"/>
  <c r="AI93" i="22"/>
  <c r="AL92" i="22"/>
  <c r="Z92" i="22" s="1"/>
  <c r="AI92" i="22"/>
  <c r="AL91" i="22"/>
  <c r="AI91" i="22"/>
  <c r="Z91" i="22"/>
  <c r="AL90" i="22"/>
  <c r="Z90" i="22" s="1"/>
  <c r="AI90" i="22"/>
  <c r="AL89" i="22"/>
  <c r="Z89" i="22" s="1"/>
  <c r="AI89" i="22"/>
  <c r="AL88" i="22"/>
  <c r="Z88" i="22" s="1"/>
  <c r="AI88" i="22"/>
  <c r="AL87" i="22"/>
  <c r="Z87" i="22" s="1"/>
  <c r="AI87" i="22"/>
  <c r="AL86" i="22"/>
  <c r="Z86" i="22" s="1"/>
  <c r="AI86" i="22"/>
  <c r="AL85" i="22"/>
  <c r="Z85" i="22" s="1"/>
  <c r="AI85" i="22"/>
  <c r="AL84" i="22"/>
  <c r="Z84" i="22" s="1"/>
  <c r="AI84" i="22"/>
  <c r="AL83" i="22"/>
  <c r="Z83" i="22" s="1"/>
  <c r="AI83" i="22"/>
  <c r="AL82" i="22"/>
  <c r="Z82" i="22" s="1"/>
  <c r="AI82" i="22"/>
  <c r="AL81" i="22"/>
  <c r="Z81" i="22" s="1"/>
  <c r="AI81" i="22"/>
  <c r="AL80" i="22"/>
  <c r="Z80" i="22" s="1"/>
  <c r="AI80" i="22"/>
  <c r="AL79" i="22"/>
  <c r="Z79" i="22" s="1"/>
  <c r="AI79" i="22"/>
  <c r="AL78" i="22"/>
  <c r="AI78" i="22"/>
  <c r="Z78" i="22"/>
  <c r="AL77" i="22"/>
  <c r="Z77" i="22" s="1"/>
  <c r="AI77" i="22"/>
  <c r="AL76" i="22"/>
  <c r="Z76" i="22" s="1"/>
  <c r="AI76" i="22"/>
  <c r="AL75" i="22"/>
  <c r="Z75" i="22" s="1"/>
  <c r="AI75" i="22"/>
  <c r="AL74" i="22"/>
  <c r="AI74" i="22"/>
  <c r="Z74" i="22"/>
  <c r="AL73" i="22"/>
  <c r="Z73" i="22" s="1"/>
  <c r="AI73" i="22"/>
  <c r="AL72" i="22"/>
  <c r="Z72" i="22" s="1"/>
  <c r="AI72" i="22"/>
  <c r="AL71" i="22"/>
  <c r="Z71" i="22" s="1"/>
  <c r="AI71" i="22"/>
  <c r="AL70" i="22"/>
  <c r="AI70" i="22"/>
  <c r="Z70" i="22"/>
  <c r="AL69" i="22"/>
  <c r="Z69" i="22" s="1"/>
  <c r="AI69" i="22"/>
  <c r="AL68" i="22"/>
  <c r="Z68" i="22" s="1"/>
  <c r="AI68" i="22"/>
  <c r="AL67" i="22"/>
  <c r="AI67" i="22"/>
  <c r="Z67" i="22"/>
  <c r="AL66" i="22"/>
  <c r="Z66" i="22" s="1"/>
  <c r="AI66" i="22"/>
  <c r="AL65" i="22"/>
  <c r="Z65" i="22" s="1"/>
  <c r="AI65" i="22"/>
  <c r="AL64" i="22"/>
  <c r="Z64" i="22" s="1"/>
  <c r="AI64" i="22"/>
  <c r="AL63" i="22"/>
  <c r="Z63" i="22" s="1"/>
  <c r="AI63" i="22"/>
  <c r="AL62" i="22"/>
  <c r="Z62" i="22" s="1"/>
  <c r="AI62" i="22"/>
  <c r="AL61" i="22"/>
  <c r="Z61" i="22" s="1"/>
  <c r="AI61" i="22"/>
  <c r="AL60" i="22"/>
  <c r="Z60" i="22" s="1"/>
  <c r="AI60" i="22"/>
  <c r="AL59" i="22"/>
  <c r="Z59" i="22" s="1"/>
  <c r="AI59" i="22"/>
  <c r="AL58" i="22"/>
  <c r="AI58" i="22"/>
  <c r="Z58" i="22"/>
  <c r="AL57" i="22"/>
  <c r="Z57" i="22" s="1"/>
  <c r="AI57" i="22"/>
  <c r="AL56" i="22"/>
  <c r="Z56" i="22" s="1"/>
  <c r="AI56" i="22"/>
  <c r="AL55" i="22"/>
  <c r="Z55" i="22" s="1"/>
  <c r="AI55" i="22"/>
  <c r="AL54" i="22"/>
  <c r="AI54" i="22"/>
  <c r="Z54" i="22"/>
  <c r="AL53" i="22"/>
  <c r="Z53" i="22" s="1"/>
  <c r="AI53" i="22"/>
  <c r="AL52" i="22"/>
  <c r="Z52" i="22" s="1"/>
  <c r="AI52" i="22"/>
  <c r="AL51" i="22"/>
  <c r="AI51" i="22"/>
  <c r="Z51" i="22"/>
  <c r="AL50" i="22"/>
  <c r="AI50" i="22"/>
  <c r="Z50" i="22"/>
  <c r="AL49" i="22"/>
  <c r="Z49" i="22" s="1"/>
  <c r="AI49" i="22"/>
  <c r="AL48" i="22"/>
  <c r="Z48" i="22" s="1"/>
  <c r="AI48" i="22"/>
  <c r="AL47" i="22"/>
  <c r="Z47" i="22" s="1"/>
  <c r="AI47" i="22"/>
  <c r="AL46" i="22"/>
  <c r="Z46" i="22" s="1"/>
  <c r="AI46" i="22"/>
  <c r="AL45" i="22"/>
  <c r="Z45" i="22" s="1"/>
  <c r="AI45" i="22"/>
  <c r="AL44" i="22"/>
  <c r="Z44" i="22" s="1"/>
  <c r="AI44" i="22"/>
  <c r="AL43" i="22"/>
  <c r="AI43" i="22"/>
  <c r="Z43" i="22"/>
  <c r="AL42" i="22"/>
  <c r="Z42" i="22" s="1"/>
  <c r="AI42" i="22"/>
  <c r="AL41" i="22"/>
  <c r="Z41" i="22" s="1"/>
  <c r="AI41" i="22"/>
  <c r="AL40" i="22"/>
  <c r="Z40" i="22" s="1"/>
  <c r="AI40" i="22"/>
  <c r="AL39" i="22"/>
  <c r="Z39" i="22" s="1"/>
  <c r="AI39" i="22"/>
  <c r="AL38" i="22"/>
  <c r="Z38" i="22" s="1"/>
  <c r="AI38" i="22"/>
  <c r="AL37" i="22"/>
  <c r="Z37" i="22" s="1"/>
  <c r="AI37" i="22"/>
  <c r="AL36" i="22"/>
  <c r="Z36" i="22" s="1"/>
  <c r="AI36" i="22"/>
  <c r="AL35" i="22"/>
  <c r="Z35" i="22" s="1"/>
  <c r="AI35" i="22"/>
  <c r="AL34" i="22"/>
  <c r="AI34" i="22"/>
  <c r="Z34" i="22"/>
  <c r="AL33" i="22"/>
  <c r="Z33" i="22" s="1"/>
  <c r="AI33" i="22"/>
  <c r="AL32" i="22"/>
  <c r="Z32" i="22" s="1"/>
  <c r="AI32" i="22"/>
  <c r="AL31" i="22"/>
  <c r="Z31" i="22" s="1"/>
  <c r="AI31" i="22"/>
  <c r="AL30" i="22"/>
  <c r="AI30" i="22"/>
  <c r="Z30" i="22"/>
  <c r="AL29" i="22"/>
  <c r="Z29" i="22" s="1"/>
  <c r="AI29" i="22"/>
  <c r="AL28" i="22"/>
  <c r="Z28" i="22" s="1"/>
  <c r="AI28" i="22"/>
  <c r="AL27" i="22"/>
  <c r="AI27" i="22"/>
  <c r="Z27" i="22"/>
  <c r="AL26" i="22"/>
  <c r="Z26" i="22" s="1"/>
  <c r="AI26" i="22"/>
  <c r="AL25" i="22"/>
  <c r="Z25" i="22" s="1"/>
  <c r="AI25" i="22"/>
  <c r="AL24" i="22"/>
  <c r="Z24" i="22" s="1"/>
  <c r="AI24" i="22"/>
  <c r="AL23" i="22"/>
  <c r="Z23" i="22" s="1"/>
  <c r="AI23" i="22"/>
  <c r="AL22" i="22"/>
  <c r="Z22" i="22" s="1"/>
  <c r="AI22" i="22"/>
  <c r="AL21" i="22"/>
  <c r="Z21" i="22" s="1"/>
  <c r="AI21" i="22"/>
  <c r="AL20" i="22"/>
  <c r="Z20" i="22" s="1"/>
  <c r="AI20" i="22"/>
  <c r="AL19" i="22"/>
  <c r="Z19" i="22" s="1"/>
  <c r="AI19" i="22"/>
  <c r="AL18" i="22"/>
  <c r="Z18" i="22" s="1"/>
  <c r="AI18" i="22"/>
  <c r="AL17" i="22"/>
  <c r="Z17" i="22" s="1"/>
  <c r="AI17" i="22"/>
  <c r="AL16" i="22"/>
  <c r="Z16" i="22" s="1"/>
  <c r="AI16" i="22"/>
  <c r="AL15" i="22"/>
  <c r="Z15" i="22" s="1"/>
  <c r="AI15" i="22"/>
  <c r="AL14" i="22"/>
  <c r="AI14" i="22"/>
  <c r="Z14" i="22"/>
  <c r="AL13" i="22"/>
  <c r="Z13" i="22" s="1"/>
  <c r="AI13" i="22"/>
  <c r="AL12" i="22"/>
  <c r="Z12" i="22" s="1"/>
  <c r="AI12" i="22"/>
  <c r="AL11" i="22"/>
  <c r="Z11" i="22" s="1"/>
  <c r="AI11" i="22"/>
  <c r="AL10" i="22"/>
  <c r="AI10" i="22"/>
  <c r="Z10" i="22"/>
  <c r="AL9" i="22"/>
  <c r="Z9" i="22" s="1"/>
  <c r="AI9" i="22"/>
  <c r="AL8" i="22"/>
  <c r="Z8" i="22" s="1"/>
  <c r="AI8" i="22"/>
  <c r="AL7" i="22"/>
  <c r="Z7" i="22" s="1"/>
  <c r="AI7" i="22"/>
  <c r="AL6" i="22"/>
  <c r="AI6" i="22"/>
  <c r="B11" i="19" s="1"/>
  <c r="Z6" i="22"/>
  <c r="AL5" i="22"/>
  <c r="Z5" i="22" s="1"/>
  <c r="AI5" i="22"/>
  <c r="AL4" i="22"/>
  <c r="Z4" i="22" s="1"/>
  <c r="AI4" i="22"/>
  <c r="AL3" i="22"/>
  <c r="AI3" i="22"/>
  <c r="Z3" i="22"/>
  <c r="AL2" i="22"/>
  <c r="Z2" i="22" s="1"/>
  <c r="AI2" i="22"/>
  <c r="C13" i="21"/>
  <c r="B13" i="21"/>
  <c r="C12" i="21"/>
  <c r="B12" i="21"/>
  <c r="C11" i="21"/>
  <c r="B11" i="21"/>
  <c r="C7" i="21"/>
  <c r="B7" i="21"/>
  <c r="D7" i="21" s="1"/>
  <c r="C6" i="21"/>
  <c r="B6" i="21"/>
  <c r="D6" i="21" s="1"/>
  <c r="C5" i="21"/>
  <c r="D5" i="21" s="1"/>
  <c r="B5" i="21"/>
  <c r="C4" i="21"/>
  <c r="B4" i="21"/>
  <c r="B52" i="20"/>
  <c r="B51" i="20"/>
  <c r="B50" i="20"/>
  <c r="B49" i="20"/>
  <c r="B48" i="20"/>
  <c r="B47" i="20"/>
  <c r="B46" i="20"/>
  <c r="B45" i="20"/>
  <c r="B44" i="20"/>
  <c r="B43" i="20"/>
  <c r="B42" i="20"/>
  <c r="B41" i="20"/>
  <c r="B40" i="20"/>
  <c r="B39" i="20"/>
  <c r="B38" i="20"/>
  <c r="B37" i="20"/>
  <c r="B36" i="20"/>
  <c r="B35" i="20"/>
  <c r="B34" i="20"/>
  <c r="B33" i="20"/>
  <c r="B32" i="20"/>
  <c r="B31" i="20"/>
  <c r="B30" i="20"/>
  <c r="B29" i="20"/>
  <c r="E28" i="20"/>
  <c r="B28" i="20"/>
  <c r="E27" i="20"/>
  <c r="B27" i="20"/>
  <c r="E26" i="20"/>
  <c r="B26" i="20"/>
  <c r="E25" i="20"/>
  <c r="B25" i="20"/>
  <c r="E24" i="20"/>
  <c r="E23" i="20"/>
  <c r="E22" i="20"/>
  <c r="E21" i="20"/>
  <c r="B21" i="20"/>
  <c r="E20" i="20"/>
  <c r="B20" i="20"/>
  <c r="E19" i="20"/>
  <c r="B19" i="20"/>
  <c r="E18" i="20"/>
  <c r="B18" i="20"/>
  <c r="B15" i="20"/>
  <c r="B14" i="20"/>
  <c r="B13" i="20"/>
  <c r="B12" i="20"/>
  <c r="B11" i="20"/>
  <c r="E10" i="20"/>
  <c r="E9" i="20"/>
  <c r="B9" i="20"/>
  <c r="E8" i="20"/>
  <c r="B8" i="20"/>
  <c r="E7" i="20"/>
  <c r="B7" i="20"/>
  <c r="E6" i="20"/>
  <c r="B6" i="20"/>
  <c r="E5" i="20"/>
  <c r="B5" i="20"/>
  <c r="C7" i="8"/>
  <c r="C6" i="8"/>
  <c r="C5" i="8"/>
  <c r="C4" i="8"/>
  <c r="J5" i="4"/>
  <c r="I5" i="4"/>
  <c r="H5" i="4"/>
  <c r="G5" i="4"/>
  <c r="F5" i="4"/>
  <c r="E5" i="4"/>
  <c r="D5" i="4"/>
  <c r="C5" i="4"/>
  <c r="B5" i="4"/>
  <c r="I6" i="2"/>
  <c r="H6" i="2"/>
  <c r="G6" i="2"/>
  <c r="F6" i="2"/>
  <c r="E6" i="2"/>
  <c r="D6" i="2"/>
  <c r="C6" i="2"/>
  <c r="B6" i="2"/>
  <c r="I5" i="2"/>
  <c r="H5" i="2"/>
  <c r="G5" i="2"/>
  <c r="F5" i="2"/>
  <c r="E5" i="2"/>
  <c r="D5" i="2"/>
  <c r="C5" i="2"/>
  <c r="B5" i="2"/>
  <c r="I4" i="2"/>
  <c r="H4" i="2"/>
  <c r="G4" i="2"/>
  <c r="F4" i="2"/>
  <c r="E4" i="2"/>
  <c r="D4" i="2"/>
  <c r="C4" i="2"/>
  <c r="B4" i="2"/>
  <c r="B14" i="1"/>
  <c r="B13" i="1"/>
  <c r="B12" i="1"/>
  <c r="B11" i="1"/>
  <c r="B10" i="1"/>
  <c r="B9" i="1"/>
  <c r="B8" i="1"/>
  <c r="B7" i="1"/>
  <c r="B6" i="1"/>
  <c r="B5" i="1"/>
  <c r="B4" i="1"/>
  <c r="B8" i="21" l="1"/>
  <c r="C8" i="21"/>
  <c r="B10" i="19"/>
  <c r="F22" i="25"/>
  <c r="K5" i="4"/>
  <c r="B22" i="25"/>
  <c r="C22" i="25"/>
  <c r="D4" i="21"/>
  <c r="D8" i="21" s="1"/>
  <c r="D22" i="25"/>
</calcChain>
</file>

<file path=xl/sharedStrings.xml><?xml version="1.0" encoding="utf-8"?>
<sst xmlns="http://schemas.openxmlformats.org/spreadsheetml/2006/main" count="34091" uniqueCount="5908">
  <si>
    <t>Founder view</t>
  </si>
  <si>
    <t>Live counts from the task register. A task is verified only when Verification result is Pass. That column is Not run until a test is linked. OS ready stays at zero until all five gates have evidence.</t>
  </si>
  <si>
    <t>Question</t>
  </si>
  <si>
    <t>Count</t>
  </si>
  <si>
    <t>How to read it</t>
  </si>
  <si>
    <t>Tasks</t>
  </si>
  <si>
    <t>The frozen universe.</t>
  </si>
  <si>
    <t>MVP (current P0)</t>
  </si>
  <si>
    <t>Pilot scope to approve or cut. Release gate is not frozen until you sign it.</t>
  </si>
  <si>
    <t>Pilot (core P1, RUN or CONTROL)</t>
  </si>
  <si>
    <t>Comes after MVP. This is a rule, not a target of 290.</t>
  </si>
  <si>
    <t>Later</t>
  </si>
  <si>
    <t>Hidden from the pilot board. Still in the register.</t>
  </si>
  <si>
    <t>MVP with a passing test</t>
  </si>
  <si>
    <t>Go / no-go numerator. Threshold is a decision, not a formula.</t>
  </si>
  <si>
    <t>MVP with a test id</t>
  </si>
  <si>
    <t>Linked tests that have not been scored as a pass.</t>
  </si>
  <si>
    <t>Open gaps</t>
  </si>
  <si>
    <t>Mechanism not found. Do not claim these.</t>
  </si>
  <si>
    <t>Built, only partly</t>
  </si>
  <si>
    <t>The partial claims.</t>
  </si>
  <si>
    <t>Tasks with no owner</t>
  </si>
  <si>
    <t>Fill owners on MVP rows first.</t>
  </si>
  <si>
    <t>Tasks with no test id</t>
  </si>
  <si>
    <t>Validation status does not fill this.</t>
  </si>
  <si>
    <t>Tasks marked OS ready</t>
  </si>
  <si>
    <t>Stays at zero until G1 to G5 each have evidence.</t>
  </si>
  <si>
    <t>Four-week routine</t>
  </si>
  <si>
    <t>Week 1. Fill Decision owner and Decision date on P0 gap decisions. Approve or edit Proposed priority, then treat Release gate as frozen.</t>
  </si>
  <si>
    <t>Week 2. The compliance gaps stay open until someone builds them: admin second factor, a nightly invariant check with an alert, and an audit event test per posting action. This sheet does not mark them done.</t>
  </si>
  <si>
    <t>Week 3. Add one Test case ID per MVP task, money and stock and tax first. Set Verification result to Pass only when that test passes. Re-run the Postgres concurrency tests; they are still Not verified.</t>
  </si>
  <si>
    <t>Week 4. Fill Performance SLA actuals from a large-tenant seed, and Customer evidence from one pilot. Competitive targets stay hypotheses until then.</t>
  </si>
  <si>
    <t>Day to day</t>
  </si>
  <si>
    <t>Sprint planning</t>
  </si>
  <si>
    <t>Filter Task Register: Release gate = MVP, Work status = Gap or Built - unverified or Claimed - unverified, sort by Risk score.</t>
  </si>
  <si>
    <t>Pilot go / no-go</t>
  </si>
  <si>
    <t>MVP with a passing test, divided by MVP. Pick the threshold in the room. The sheet does not invent 90 percent.</t>
  </si>
  <si>
    <t>Due diligence</t>
  </si>
  <si>
    <t>Share P0 gap decisions, Security assurance, and Business integrity. The Not verified labels are the point.</t>
  </si>
  <si>
    <t>Hiring</t>
  </si>
  <si>
    <t>Role rollup names the area. Owner on the register names the person.</t>
  </si>
  <si>
    <t>Release notes</t>
  </si>
  <si>
    <t>Verification result = Pass. Validation status alone is an author or review label.</t>
  </si>
  <si>
    <t>Pilot readiness</t>
  </si>
  <si>
    <t>Three personas only, counted on Persona canonical so every distributor variant is included. Gate counts are MVP tasks with evidence for that gate. G4 and G5 are entered per task on Task Register. OS ready is a formula and needs all five gates.</t>
  </si>
  <si>
    <t>Persona (canonical)</t>
  </si>
  <si>
    <t>MVP tasks</t>
  </si>
  <si>
    <t>G1 functional</t>
  </si>
  <si>
    <t>G2 integrity</t>
  </si>
  <si>
    <t>G3 resilience and security</t>
  </si>
  <si>
    <t>G4 user validated</t>
  </si>
  <si>
    <t>G5 outcome</t>
  </si>
  <si>
    <t>All five gates (OS ready)</t>
  </si>
  <si>
    <t>Kirana / Small Retailer</t>
  </si>
  <si>
    <t>Distributor</t>
  </si>
  <si>
    <t>Accountant / Finance</t>
  </si>
  <si>
    <t>Why these three</t>
  </si>
  <si>
    <t>Kirana owner, distributor, and accountant are the first pilot desks. Other personas stay in the register and are not in this go / no-go.</t>
  </si>
  <si>
    <t>Open gap decisions</t>
  </si>
  <si>
    <t>One row per open or corrected claim, P0 first. Recommended decision is a proposal from the 2026-10-04 review. A decision owner and date must be entered by the founder.</t>
  </si>
  <si>
    <t>Task ID</t>
  </si>
  <si>
    <t>Claim</t>
  </si>
  <si>
    <t>Priority</t>
  </si>
  <si>
    <t>Status now</t>
  </si>
  <si>
    <t>Evidence checked</t>
  </si>
  <si>
    <t>Recommended decision</t>
  </si>
  <si>
    <t>Needs freeze exception</t>
  </si>
  <si>
    <t>Target release</t>
  </si>
  <si>
    <t>Decision</t>
  </si>
  <si>
    <t>Decision owner</t>
  </si>
  <si>
    <t>Decision date</t>
  </si>
  <si>
    <t>P-0115</t>
  </si>
  <si>
    <t>Maintain an audit trail</t>
  </si>
  <si>
    <t>P0</t>
  </si>
  <si>
    <t>Partial</t>
  </si>
  <si>
    <t>Hash chain and append-only guard exist. Coverage of every transaction type is not shown.</t>
  </si>
  <si>
    <t>Ship the gap: list every posting action, assert each writes an AuditEvent, add one test per action.</t>
  </si>
  <si>
    <t>Yes - compliance</t>
  </si>
  <si>
    <t>MVP</t>
  </si>
  <si>
    <t>X-0432</t>
  </si>
  <si>
    <t>Critical transaction to immutable audit trail</t>
  </si>
  <si>
    <t>Same evidence as P-0115.</t>
  </si>
  <si>
    <t>Ship with P-0115. Close both together.</t>
  </si>
  <si>
    <t>P-0507</t>
  </si>
  <si>
    <t>MCA Rule 11(g) immutable audit trail</t>
  </si>
  <si>
    <t>Hash chain exists. Rule 11(g) needs an edit log on every accounting record. Mapping not verified.</t>
  </si>
  <si>
    <t>Have the CA map Rule 11(g) to AuditEvent coverage. Ship any missing edit-log events.</t>
  </si>
  <si>
    <t>S-0561</t>
  </si>
  <si>
    <t>Background trial balance zero-sum worker</t>
  </si>
  <si>
    <t>check_invariants management command and trial_balance_balanced exist. No scheduled worker found.</t>
  </si>
  <si>
    <t>Re-scope to: schedule check_invariants nightly and alert on failure. Do not build a new worker.</t>
  </si>
  <si>
    <t>Yes - integrity</t>
  </si>
  <si>
    <t>S-0579</t>
  </si>
  <si>
    <t>Cryptographic hash chain on audit trail</t>
  </si>
  <si>
    <t>Code Complete &amp; Verified</t>
  </si>
  <si>
    <t>Built and tested. Sealing is a nightly batch, so recent events sit in a window.</t>
  </si>
  <si>
    <t>Close as built after confirming the nightly seal is scheduled in production.</t>
  </si>
  <si>
    <t>No</t>
  </si>
  <si>
    <t>C-0603</t>
  </si>
  <si>
    <t>Section 16(4) time-barring alert and ITC exclusion engine</t>
  </si>
  <si>
    <t>Deadline clock, flags and alert exist and test. No exclusion engine.</t>
  </si>
  <si>
    <t>Ship the alert as the pilot answer. Defer the exclusion engine to GA unless a pilot customer needs it.</t>
  </si>
  <si>
    <t>Yes if pulled into pilot</t>
  </si>
  <si>
    <t>Pilot</t>
  </si>
  <si>
    <t>SEC-0624</t>
  </si>
  <si>
    <t>TOTP 2FA for admin roles</t>
  </si>
  <si>
    <t>TOTP, recovery codes and encrypted secrets exist and test. Opt-in only.</t>
  </si>
  <si>
    <t>Make 2FA mandatory for admin and owner roles. Small change on top of existing code.</t>
  </si>
  <si>
    <t>Yes - security</t>
  </si>
  <si>
    <t>GOS-0721</t>
  </si>
  <si>
    <t>Inbound lead exact-match deduplication</t>
  </si>
  <si>
    <t>Growth OS claim. Name found in code.</t>
  </si>
  <si>
    <t>Add one end-to-end test and move to Validated.</t>
  </si>
  <si>
    <t>GOS-0737</t>
  </si>
  <si>
    <t>Complaint to credit note, return or replacement</t>
  </si>
  <si>
    <t>Add one end-to-end test with stock and ledger check, then validate.</t>
  </si>
  <si>
    <t>GOS-0739</t>
  </si>
  <si>
    <t>Supplier complaint to purchase debit note</t>
  </si>
  <si>
    <t>Same as GOS-0737.</t>
  </si>
  <si>
    <t>C-0614</t>
  </si>
  <si>
    <t>Section 206AB / 206CCA PAN utility check</t>
  </si>
  <si>
    <t>P1</t>
  </si>
  <si>
    <t>Mechanism not found</t>
  </si>
  <si>
    <t>Not in code.</t>
  </si>
  <si>
    <t>Defer. Pilot customers verify non-filers manually. Record the risk.</t>
  </si>
  <si>
    <t>GA</t>
  </si>
  <si>
    <t>X-0522</t>
  </si>
  <si>
    <t>Higher TDS/TCS rate for non-filers</t>
  </si>
  <si>
    <t>Not in code. Depends on C-0614.</t>
  </si>
  <si>
    <t>Defer with C-0614.</t>
  </si>
  <si>
    <t>S-0574</t>
  </si>
  <si>
    <t>Anomaly detector for unusual discounts or bill amounts</t>
  </si>
  <si>
    <t>Defer past GA. Not pilot-blocking.</t>
  </si>
  <si>
    <t>Post-GA</t>
  </si>
  <si>
    <t>S-0562</t>
  </si>
  <si>
    <t>Orphaned allocation release on expired cart sessions</t>
  </si>
  <si>
    <t>No CartSession found.</t>
  </si>
  <si>
    <t>Re-scope to the reservation release that exists, or defer.</t>
  </si>
  <si>
    <t>UX-0581</t>
  </si>
  <si>
    <t>Keyboard-only POS navigation</t>
  </si>
  <si>
    <t>Partly built.</t>
  </si>
  <si>
    <t>Finish with the POS polish pass.</t>
  </si>
  <si>
    <t>UX-0582</t>
  </si>
  <si>
    <t>Multi-cart hold and recall at POS</t>
  </si>
  <si>
    <t>Hold exists. Multi-tab recall not confirmed.</t>
  </si>
  <si>
    <t>UX-0586</t>
  </si>
  <si>
    <t>Ctrl+K omnibar</t>
  </si>
  <si>
    <t>No omnibar code found in web/src.</t>
  </si>
  <si>
    <t>Defer to GA.</t>
  </si>
  <si>
    <t>UX-0588</t>
  </si>
  <si>
    <t>Warehouse rack locator badge</t>
  </si>
  <si>
    <t>P2</t>
  </si>
  <si>
    <t>Not found.</t>
  </si>
  <si>
    <t>Defer to GA or drop.</t>
  </si>
  <si>
    <t>UX-0590</t>
  </si>
  <si>
    <t>Bulk import progress bar with time remaining</t>
  </si>
  <si>
    <t>UX-0591</t>
  </si>
  <si>
    <t>Privacy mask for rupee figures</t>
  </si>
  <si>
    <t>P3</t>
  </si>
  <si>
    <t>Weekly snapshot</t>
  </si>
  <si>
    <t>Copy the live row down when you want a trend. This file starts with one snapshot. History is not backfilled. Row 4 was restated after the review fixes on the same day.</t>
  </si>
  <si>
    <t>Week</t>
  </si>
  <si>
    <t>MVP tests passing</t>
  </si>
  <si>
    <t>No owner</t>
  </si>
  <si>
    <t>No test id</t>
  </si>
  <si>
    <t>OS ready</t>
  </si>
  <si>
    <t>2026-10-04</t>
  </si>
  <si>
    <t>Live (updates when the workbook calculates)</t>
  </si>
  <si>
    <t>How to read this register</t>
  </si>
  <si>
    <t>Feature list frozen at 770 tasks. Start at Founder view. Release gate splits MVP, Pilot, and Later. Evidence columns stay empty until a test passes. See Review disposition for comments that were not applied.</t>
  </si>
  <si>
    <t>What changed</t>
  </si>
  <si>
    <t>The previous file marked 715 rows Validated (Supported) and 25 rows Code Complete &amp; Verified, then the dashboard added those together and printed 740 validated tasks.</t>
  </si>
  <si>
    <t>A keyword pass had raised 37 ordinary workflows to P0 because the note contained words such as atomic or credit limit, and had dropped 23 owner reports from P2 to P3.</t>
  </si>
  <si>
    <t>Persona counts on the jobs-to-be-done sheet were copied from the 560-task register and renamed. They did not match Persona / Scope on this file. System engines were included in a count of 72 operational personas.</t>
  </si>
  <si>
    <t>Several notes name mechanisms that are not in the product code. Those rows are now Partial or Mechanism not found. The original wording is in the audit note where it was replaced.</t>
  </si>
  <si>
    <t>Numbering shares one sequence through GOS-0740. Added flows are F-0741 onward. Filter Flow ID on Task Register, or open the Flows sheet. Category rows are grouped into a flow as well, with a blank step.</t>
  </si>
  <si>
    <t>New flows cover payroll, workshop jobs, manufacturing execution, project milestones, and insurance. Each note cites a model or function that is in the product, and the flow catalog states the module limit.</t>
  </si>
  <si>
    <t>Status meanings</t>
  </si>
  <si>
    <t>Status or outcome</t>
  </si>
  <si>
    <t>Kind</t>
  </si>
  <si>
    <t>Meaning</t>
  </si>
  <si>
    <t>Validated (Supported)</t>
  </si>
  <si>
    <t>Author assertion</t>
  </si>
  <si>
    <t>The register author marked the row supported. A blank audit note means this review did not re-test it.</t>
  </si>
  <si>
    <t>Growth OS claim</t>
  </si>
  <si>
    <t>Kept where the note's API name exists in product code. Still not a full functional test.</t>
  </si>
  <si>
    <t>Code symbol found</t>
  </si>
  <si>
    <t>Review outcome</t>
  </si>
  <si>
    <t>A specific identifier in the note occurs in backend or web/src. That confirms the name, not the business outcome.</t>
  </si>
  <si>
    <t>Corrected</t>
  </si>
  <si>
    <t>Related behaviour exists, or the note named the wrong mechanism. Read the audit note.</t>
  </si>
  <si>
    <t>The note names a mechanism that is absent from product code.</t>
  </si>
  <si>
    <t>The note has no specific code identifier. The status was left as the author wrote it.</t>
  </si>
  <si>
    <t>In product</t>
  </si>
  <si>
    <t>Added flow</t>
  </si>
  <si>
    <t>The step exists in a module. Read the Flows sheet for what that module does not do.</t>
  </si>
  <si>
    <t>Snapshot at this review (2026-10-04, after the review fixes)</t>
  </si>
  <si>
    <t>Baseline</t>
  </si>
  <si>
    <t>Strategic expansion</t>
  </si>
  <si>
    <t>Growth OS</t>
  </si>
  <si>
    <t>Added flows</t>
  </si>
  <si>
    <t>698</t>
  </si>
  <si>
    <t>30</t>
  </si>
  <si>
    <t>26</t>
  </si>
  <si>
    <t>7</t>
  </si>
  <si>
    <t>9</t>
  </si>
  <si>
    <t>Scope: Cross-persona</t>
  </si>
  <si>
    <t>Scope: Operational role</t>
  </si>
  <si>
    <t>Scope: Platform or theme scope</t>
  </si>
  <si>
    <t>Scope: Growth role</t>
  </si>
  <si>
    <t>Scope: System engine</t>
  </si>
  <si>
    <t>Scope: Named role</t>
  </si>
  <si>
    <t>Priority decisions</t>
  </si>
  <si>
    <t>Review fixes 2026-10-04</t>
  </si>
  <si>
    <t>Three claims that said Mechanism not found were stale: S-0579 audit hash chain, SEC-0624 TOTP and C-0603 Section 16(4) clock. Each is corrected against code with the file and test named in the Audit note.</t>
  </si>
  <si>
    <t>Risk score is now a formula (Failure impact x Compliance impact x capability weight: Core 3, Vertical extension 2, Differentiator 2, Future 1, Adjacent 1). Business criticality is a formula over Risk score (18+ Critical, 9+ High, 4+ Medium). Failure impact was raised to High on 60 P0 rows that were Medium, on the assumption that a P0 task failing is a high-impact failure. Revisit that if you disagree.</t>
  </si>
  <si>
    <t>Proposed priority now follows Release gate, so there is one rule. See Priority re-tier.</t>
  </si>
  <si>
    <t>OS ready is a formula: Verification result Pass, integrity, recovery, security and concurrency evidence entered, and G4 and G5 set to Yes.</t>
  </si>
  <si>
    <t>Persona canonical and Primary actor canonical roll 73 personas and 280 actors into about 17 roles. Module basis marks the 80 modules that were blank and are now inferred. Duplicate or related cross-references repeated tasks. Code pointer and Test reference are symbol matches and are leads, not proof.</t>
  </si>
  <si>
    <t>Owner, Target date, Estimate days, Blocked by and most Test case IDs are empty on purpose. A person decides them.</t>
  </si>
  <si>
    <t>The four Register slice sheets (Baseline tasks, Newly Added Tasks, Growth OS, Added flows) were removed because they were copies that go stale as soon as the register is edited. Filter Register slice instead.</t>
  </si>
  <si>
    <t>Dropdowns now guard Verification result, Work status, Release gate, G4 and G5. Pass turns green and Fail turns red.</t>
  </si>
  <si>
    <t>Only tests/test_audit_chain_edge_cases.py, tests/test_mfa.py, tests/test_mfa_edge_cases.py and tests/test_b03_ims.py were run in this review (114 passed on SQLite). Concurrency tests are Postgres-only and did not run.</t>
  </si>
  <si>
    <t>Review findings</t>
  </si>
  <si>
    <t>#</t>
  </si>
  <si>
    <t>Finding</t>
  </si>
  <si>
    <t>What was wrong</t>
  </si>
  <si>
    <t>Correction in this file</t>
  </si>
  <si>
    <t>1</t>
  </si>
  <si>
    <t>Validated total</t>
  </si>
  <si>
    <t>The dashboard counted every status containing Validated or Verified as Validated (Supported), so 25 Code Complete rows were included and the total printed as 740.</t>
  </si>
  <si>
    <t>Status totals are separate. Validated (Supported) is labeled as an author assertion.</t>
  </si>
  <si>
    <t>2</t>
  </si>
  <si>
    <t>Priority rebalance</t>
  </si>
  <si>
    <t>Scanning notes for atomic, credit limit, and similar words raised ordinary workflows to P0. A polish list dropped margin, valuation, dead stock, and store comparison from P2 to P3.</t>
  </si>
  <si>
    <t>Authored priorities were restored. P0 is applied only when the task action itself names a statutory or credit-limit control. P3 is limited to polish and speculative features.</t>
  </si>
  <si>
    <t>3</t>
  </si>
  <si>
    <t>Persona counts</t>
  </si>
  <si>
    <t>Jobs-to-be-done counts were hardcoded from the 560-task register under different names. Medical Shop was titled Medical Shop Pharmacist. Business Owner's 13 tasks were titled Managing Proprietor. System engines inflated the persona total to 72.</t>
  </si>
  <si>
    <t>Each jobs-to-be-done row names the register persona it counts. Task counts are COUNTIF formulas. Scope class separates operational roles, named roles, growth roles, cross-persona work, platform scopes, and system engines.</t>
  </si>
  <si>
    <t>4</t>
  </si>
  <si>
    <t>False mechanisms</t>
  </si>
  <si>
    <t>Notes asserted CartSession, an hourly trial-balance quarantine worker, pg_trgm search, Shift+P privacy mask, a Z-score detector, WebSocket import progress, Ctrl+K, type-to-confirm, TIME_BARRED ITC, Section 206AB, django-otp, and django-simple-history.</t>
  </si>
  <si>
    <t>Those rows are Partial or Mechanism not found. POS hold is documented as F8, not F6. F6 tenders UPI.</t>
  </si>
  <si>
    <t>5</t>
  </si>
  <si>
    <t>Illustrated market claims</t>
  </si>
  <si>
    <t>Competitive, UX, and security sheets stated checkout throughput, conversion lifts, rupee savings, and a 99.9 percent SLA as if they were measured results.</t>
  </si>
  <si>
    <t>Each row now has a review column. Quantified outcomes are labeled illustrative targets.</t>
  </si>
  <si>
    <t>6</t>
  </si>
  <si>
    <t>Duplicate workbook</t>
  </si>
  <si>
    <t>This file was identical to Bizboard_Product_Task_Universe_Master.xlsx.</t>
  </si>
  <si>
    <t>Both workbooks are written from this review so they do not diverge.</t>
  </si>
  <si>
    <t>Stale mechanism claims</t>
  </si>
  <si>
    <t>S-0579, SEC-0624 and C-0603 said Mechanism not found although code and tests exist. P0 gap decisions and Security assurance repeated the error.</t>
  </si>
  <si>
    <t>Corrected to Code Complete &amp; Verified, Partial and Partial. Evidence named in each Audit note.</t>
  </si>
  <si>
    <t>Formulas had no stored values</t>
  </si>
  <si>
    <t>All 235 formulas read blank outside Excel. Pilot readiness gate counts were a typed 0.</t>
  </si>
  <si>
    <t>Workbook recalculated in Excel and saved with values. Gate counts are formulas.</t>
  </si>
  <si>
    <t>Risk model inconsistent</t>
  </si>
  <si>
    <t>Risk score was typed in. 60 P0 tasks, such as creating a customer invoice, had Medium failure impact and Medium or Low criticality. Two statutory P3 tasks (C-0617, C-0619) are rated High criticality and still need a priority decision. Nine MVP (P0) tasks are classed Adjacent or Future (I-0651, I-0655, SaaS-0666, SaaS-0668, SaaS-0669, SaaS-0678, D-0681, D-0684, D-0693), so either the priority or the class is wrong.</t>
  </si>
  <si>
    <t>Risk score and Business criticality are formulas. P0 failure impact raised to High. C-0617, C-0619 and the nine Adjacent or Future P0 tasks are flagged here for a founder decision (cut from MVP or reclassify).</t>
  </si>
  <si>
    <t>Proposed priority was a copy of Priority</t>
  </si>
  <si>
    <t>Every row matched, so the column added nothing.</t>
  </si>
  <si>
    <t>Proposed priority follows Release gate. Priority re-tier shows the reconciliation.</t>
  </si>
  <si>
    <t>Data quality</t>
  </si>
  <si>
    <t>73 persona names, 280 actor names, 80 blank modules, 3 exact duplicate task texts.</t>
  </si>
  <si>
    <t>Canonical persona and actor, inferred module with a basis column, duplicate cross-references. Role rollup sheet added and the reference to it now resolves.</t>
  </si>
  <si>
    <t>Evidence matrices had no evidence</t>
  </si>
  <si>
    <t>No test references, and e-invoice, gateway, subscription and pay-run states were missing. One harm sentence was repeated for all 10 races.</t>
  </si>
  <si>
    <t>Matrices name existing tests, add state machines and invariants, and give per-race harm and expected outcome.</t>
  </si>
  <si>
    <t>Slice sheets</t>
  </si>
  <si>
    <t>Four sheets duplicated the register and drift as owners and results are entered.</t>
  </si>
  <si>
    <t>Removed. Filter Register slice on Task Register.</t>
  </si>
  <si>
    <t>No input guards</t>
  </si>
  <si>
    <t>Free-text entry on Verification result and Work status would break the Founder view counts.</t>
  </si>
  <si>
    <t>Dropdowns and Pass or Fail highlighting added.</t>
  </si>
  <si>
    <t>Review disposition</t>
  </si>
  <si>
    <t>Comments from the SMB OS gap plan. Accepted items are in the sheets that follow. Rejected items were not applied.</t>
  </si>
  <si>
    <t>Comment</t>
  </si>
  <si>
    <t>Why</t>
  </si>
  <si>
    <t>Freeze feature expansion</t>
  </si>
  <si>
    <t>Accepted</t>
  </si>
  <si>
    <t>No new feature tasks were added. The register stays at 770.</t>
  </si>
  <si>
    <t>OS layers RUN, CONTROL, GROW, and KERNEL</t>
  </si>
  <si>
    <t>Each task has an OS layer derived from its category.</t>
  </si>
  <si>
    <t>Business event, state, integrity, failure, concurrency, security, integration, SLA, and customer-evidence sheets</t>
  </si>
  <si>
    <t>The matrices exist. Their proof columns are Not verified or Not measured.</t>
  </si>
  <si>
    <t>Capability evidence register for Partial and Mechanism not found</t>
  </si>
  <si>
    <t>Built from the task rows. Open gaps stay open.</t>
  </si>
  <si>
    <t>OS readiness gates G1 to G5</t>
  </si>
  <si>
    <t>Defined on OS readiness. No task is marked OS ready.</t>
  </si>
  <si>
    <t>Extra priority dimensions</t>
  </si>
  <si>
    <t>Criticality, failure impact, compliance impact, and release gate sit beside Priority. Priority itself was not rewritten.</t>
  </si>
  <si>
    <t>Canonical role</t>
  </si>
  <si>
    <t>A rollup column. Persona / Scope is unchanged, so kirana, distributor, and medical context remain.</t>
  </si>
  <si>
    <t>Capability class for scope governance</t>
  </si>
  <si>
    <t>Core, vertical extension, differentiator, adjacent, or future. This is a label, not a roadmap decision.</t>
  </si>
  <si>
    <t>Replace the single validation status</t>
  </si>
  <si>
    <t>Rejected</t>
  </si>
  <si>
    <t>Validation Status stays as the author and review label. Evidence columns sit beside it. Replacing it would hide the earlier correction.</t>
  </si>
  <si>
    <t>Hide later work and merge cross-persona rows</t>
  </si>
  <si>
    <t>Later rows stay in the register. Founder view and Release gate separate them. Cross-persona rows were not merged.</t>
  </si>
  <si>
    <t>Fill owners, dates, and test results</t>
  </si>
  <si>
    <t>Accepted as blanks</t>
  </si>
  <si>
    <t>Owner, target date, estimate, and test columns exist. They stay blank until a person or a passing test fills them.</t>
  </si>
  <si>
    <t>Fill SLA actuals, P95, P99, and customer results</t>
  </si>
  <si>
    <t>Those figures were not measured. Illustrative numbers on the competitive sheet are not SLAs.</t>
  </si>
  <si>
    <t>Mark capabilities OS ready</t>
  </si>
  <si>
    <t>OS ready is No on every row until the gates have evidence.</t>
  </si>
  <si>
    <t>Implement the 10 missing mechanisms in this pass</t>
  </si>
  <si>
    <t>The plan also says to freeze features. The claims stay open in Capability evidence.</t>
  </si>
  <si>
    <t>Delete or merge the 770 tasks as duplicates</t>
  </si>
  <si>
    <t>Cross-persona rows are workflow steps with their own IDs. Merging them without a case-by-case review would drop traceability.</t>
  </si>
  <si>
    <t>Collapse owner personas into one role</t>
  </si>
  <si>
    <t>Canonical role groups them for counting. The operating context stays on the task.</t>
  </si>
  <si>
    <t>Treat customer and supplier masters as document state machines</t>
  </si>
  <si>
    <t>They are master records. Credit control is a rule, not a DRAFT/COMPLETED status.</t>
  </si>
  <si>
    <t>Fill owners, sprints, estimates</t>
  </si>
  <si>
    <t>These need a person's decision. The columns exist and are empty. Owner is Unassigned.</t>
  </si>
  <si>
    <t>Sequence the category flows (Flow step)</t>
  </si>
  <si>
    <t>Ordering 700 category tasks into steps would invent a process. Flows now carries a Flow type column that marks which flows are sequenced.</t>
  </si>
  <si>
    <t>Overwrite Priority with the re-tier</t>
  </si>
  <si>
    <t>Proposed priority sits beside Priority until the founder approves it.</t>
  </si>
  <si>
    <t>Fill SLA actuals and customer baselines</t>
  </si>
  <si>
    <t>Nothing was measured. Targets are labeled proposed.</t>
  </si>
  <si>
    <t>Mark audit hash chain as verified end to end</t>
  </si>
  <si>
    <t>One edge-case suite passed. Nightly sealing leaves a window, and coverage of every transaction type is not shown.</t>
  </si>
  <si>
    <t>OS architecture</t>
  </si>
  <si>
    <t>RUN operates the business. CONTROL keeps the books and the rules. GROW finds and keeps customers. KERNEL is identity, masters, and platform. Counts are formulas.</t>
  </si>
  <si>
    <t>Layer</t>
  </si>
  <si>
    <t>What it covers</t>
  </si>
  <si>
    <t>RUN</t>
  </si>
  <si>
    <t>Sales, purchases, inventory, payments, workshop, manufacturing, delivery, project billing.</t>
  </si>
  <si>
    <t>CONTROL</t>
  </si>
  <si>
    <t>GST, receivables and payables, payroll dues, reports, period close, fixed assets, security and recovery.</t>
  </si>
  <si>
    <t>GROW</t>
  </si>
  <si>
    <t>CRM, campaigns, referrals, insurance distribution, customer intelligence.</t>
  </si>
  <si>
    <t>KERNEL</t>
  </si>
  <si>
    <t>Master data, integrations, and platform scopes that are not themselves a business flow.</t>
  </si>
  <si>
    <t>Kernel contents named in the plan</t>
  </si>
  <si>
    <t>Identity, master data, business events, document state, ledger, rules, workflow, audit, notifications, automation, and intelligence. This sheet names them. It does not certify that they behave as one kernel.</t>
  </si>
  <si>
    <t>Business event matrix</t>
  </si>
  <si>
    <t>State names below are the document enums in code. Downstream effects and reversals are not certified. Proven is No until a cross-domain check exists; Partly means a test exists that touches the event.</t>
  </si>
  <si>
    <t>Event</t>
  </si>
  <si>
    <t>State change in code</t>
  </si>
  <si>
    <t>Downstream effects expected</t>
  </si>
  <si>
    <t>Reversal in code</t>
  </si>
  <si>
    <t>Audit</t>
  </si>
  <si>
    <t>Proven</t>
  </si>
  <si>
    <t>Test reference</t>
  </si>
  <si>
    <t>Sale / sales invoice</t>
  </si>
  <si>
    <t>SalesInvoice DRAFT → COMPLETED or CANCELLED</t>
  </si>
  <si>
    <t>Stock, receivable, tax, and ledger</t>
  </si>
  <si>
    <t>CANCELLED</t>
  </si>
  <si>
    <t>Not verified</t>
  </si>
  <si>
    <t>Partly</t>
  </si>
  <si>
    <t>tests/test_double_submit_money_paths.py; tests/test_a2_posting_atomicity.py; tests/test_concurrency_races.py (numbering, amend, oversell). Test exists; not run in this review</t>
  </si>
  <si>
    <t>Purchase invoice</t>
  </si>
  <si>
    <t>PurchaseInvoice DRAFT → COMPLETED or CANCELLED</t>
  </si>
  <si>
    <t>Stock, payable, input tax, and ledger</t>
  </si>
  <si>
    <t>tests/test_double_submit_money_paths.py (purchase complete double click). Test exists; not run in this review</t>
  </si>
  <si>
    <t>Goods receipt</t>
  </si>
  <si>
    <t>GoodsReceipt DRAFT → COMPLETED or CANCELLED</t>
  </si>
  <si>
    <t>Stock on hand</t>
  </si>
  <si>
    <t>None identified in this review</t>
  </si>
  <si>
    <t>Sales order</t>
  </si>
  <si>
    <t>SalesOrder DRAFT → CONFIRMED → CONVERTED or CANCELLED</t>
  </si>
  <si>
    <t>Reservation, then a draft invoice</t>
  </si>
  <si>
    <t>Purchase order</t>
  </si>
  <si>
    <t>PurchaseOrder DRAFT → CONVERTED or CANCELLED</t>
  </si>
  <si>
    <t>A draft purchase invoice</t>
  </si>
  <si>
    <t>Customer receipt</t>
  </si>
  <si>
    <t>Receipt POSTED, REFUNDED, or VOIDED</t>
  </si>
  <si>
    <t>Receivable and bank or cash</t>
  </si>
  <si>
    <t>VOIDED or REFUNDED</t>
  </si>
  <si>
    <t>tests/test_double_submit_money_paths.py; tests/test_ws01_gateway_refund_integrity.py. Test exists; not run in this review</t>
  </si>
  <si>
    <t>Supplier payment</t>
  </si>
  <si>
    <t>Supplier payment POSTED or VOIDED</t>
  </si>
  <si>
    <t>Payable and bank or cash</t>
  </si>
  <si>
    <t>VOIDED</t>
  </si>
  <si>
    <t>tests/test_double_submit_money_paths.py (supplier payment key). Test exists; not run in this review</t>
  </si>
  <si>
    <t>Sales return</t>
  </si>
  <si>
    <t>SalesReturn DRAFT → COMPLETED or CANCELLED</t>
  </si>
  <si>
    <t>Stock and output tax</t>
  </si>
  <si>
    <t>tests/test_concurrency_races.py (over-return). Test exists; not run in this review</t>
  </si>
  <si>
    <t>Purchase return</t>
  </si>
  <si>
    <t>PurchaseReturn DRAFT → COMPLETED or CANCELLED</t>
  </si>
  <si>
    <t>Stock and input tax</t>
  </si>
  <si>
    <t>Sales credit note</t>
  </si>
  <si>
    <t>SalesCreditNote DRAFT → COMPLETED or CANCELLED</t>
  </si>
  <si>
    <t>Receivable and output tax</t>
  </si>
  <si>
    <t>Sales debit note</t>
  </si>
  <si>
    <t>SalesDebitNote DRAFT → COMPLETED or CANCELLED</t>
  </si>
  <si>
    <t>Receivable</t>
  </si>
  <si>
    <t>Purchase debit note</t>
  </si>
  <si>
    <t>PurchaseDebitNote DRAFT → COMPLETED or CANCELLED</t>
  </si>
  <si>
    <t>Payable and input tax</t>
  </si>
  <si>
    <t>Stock adjustment</t>
  </si>
  <si>
    <t>Stock movement, not a DRAFT/COMPLETED document</t>
  </si>
  <si>
    <t>On-hand quantity and value</t>
  </si>
  <si>
    <t>A reversing movement</t>
  </si>
  <si>
    <t>tests/edge/test_concurrency_sla.py (stock depletion). Test exists; not run in this review</t>
  </si>
  <si>
    <t>Stock transfer</t>
  </si>
  <si>
    <t>Transfer between warehouses</t>
  </si>
  <si>
    <t>Source and destination on-hand</t>
  </si>
  <si>
    <t>Cancel or reverse the transfer</t>
  </si>
  <si>
    <t>Journal</t>
  </si>
  <si>
    <t>JournalEntry exists. This matrix does not treat it as a document status machine.</t>
  </si>
  <si>
    <t>Ledger only</t>
  </si>
  <si>
    <t>A reversing journal</t>
  </si>
  <si>
    <t>tests/test_concurrency_races.py; tests/test_a2_posting_atomicity.py. Test exists; not run in this review</t>
  </si>
  <si>
    <t>Bank reconciliation</t>
  </si>
  <si>
    <t>BankReconSession OPEN or CLOSED</t>
  </si>
  <si>
    <t>Match of statement lines to ledger</t>
  </si>
  <si>
    <t>Session can stay open</t>
  </si>
  <si>
    <t>E-invoice generation</t>
  </si>
  <si>
    <t>SalesInvoice einvoice_status NONE, READY, QUEUED, GENERATED, MANUAL_IRN, FAILED or CANCELLED</t>
  </si>
  <si>
    <t>IRN, ack number and QR on the invoice</t>
  </si>
  <si>
    <t>tests/test_einvoice_eway.py. Test exists; not run in this review</t>
  </si>
  <si>
    <t>E-way bill generation</t>
  </si>
  <si>
    <t>SalesInvoice eway_status NONE, READY, QUEUED, GENERATED, MANUAL_EWB, FAILED or CANCELLED</t>
  </si>
  <si>
    <t>E-way number on the invoice</t>
  </si>
  <si>
    <t>Gateway payment</t>
  </si>
  <si>
    <t>GatewayPayment CREATED, CAPTURED, CAPTURED_PENDING_BOOKS, FAILED, REFUNDED or PARTIALLY_REFUNDED</t>
  </si>
  <si>
    <t>Receipt and bank or cash once books are posted</t>
  </si>
  <si>
    <t>REFUNDED or PARTIALLY_REFUNDED</t>
  </si>
  <si>
    <t>tests/test_ws01_gateway_refund_integrity.py. Test exists; not run in this review</t>
  </si>
  <si>
    <t>Gateway refund</t>
  </si>
  <si>
    <t>GatewayRefundOutbox PENDING, IN_PROGRESS, SUCCEEDED or FAILED</t>
  </si>
  <si>
    <t>Books unwound first, then provider refund retried</t>
  </si>
  <si>
    <t>Retry from the outbox</t>
  </si>
  <si>
    <t>Subscription billing</t>
  </si>
  <si>
    <t>Subscription pending, trial, active, past_due or suspended</t>
  </si>
  <si>
    <t>Plan access, dunning, GST invoice</t>
  </si>
  <si>
    <t>Reactivate after payment</t>
  </si>
  <si>
    <t>tests/test_saas_dunning_and_recon.py; tests/test_a07_dunning.py. Test exists; not run in this review</t>
  </si>
  <si>
    <t>Pay run</t>
  </si>
  <si>
    <t>PayRun DRAFT or COMPLETED</t>
  </si>
  <si>
    <t>Payslips and payroll liabilities</t>
  </si>
  <si>
    <t>Not in code</t>
  </si>
  <si>
    <t>State machine matrix</t>
  </si>
  <si>
    <t>Statuses are copied from the model enums. Allowed, forbidden, rollback, and automated transition tests are not verified in this register.</t>
  </si>
  <si>
    <t>Entity</t>
  </si>
  <si>
    <t>Statuses in code</t>
  </si>
  <si>
    <t>Actor</t>
  </si>
  <si>
    <t>Transition tests</t>
  </si>
  <si>
    <t>Rollback</t>
  </si>
  <si>
    <t>Sales invoice</t>
  </si>
  <si>
    <t>DRAFT, COMPLETED, CANCELLED</t>
  </si>
  <si>
    <t>Billing clerk</t>
  </si>
  <si>
    <t>DRAFT, CONFIRMED, CONVERTED, CANCELLED</t>
  </si>
  <si>
    <t>Salesperson</t>
  </si>
  <si>
    <t>Quotation</t>
  </si>
  <si>
    <t>DRAFT, CONVERTED, CANCELLED</t>
  </si>
  <si>
    <t>Purchase manager</t>
  </si>
  <si>
    <t>Stores</t>
  </si>
  <si>
    <t>POSTED, REFUNDED, VOIDED</t>
  </si>
  <si>
    <t>Cashier</t>
  </si>
  <si>
    <t>POSTED, VOIDED</t>
  </si>
  <si>
    <t>Accountant</t>
  </si>
  <si>
    <t>Credit and debit notes</t>
  </si>
  <si>
    <t>DRAFT, COMPLETED, CANCELLED on the sales and purchase note models</t>
  </si>
  <si>
    <t>Delivery challan</t>
  </si>
  <si>
    <t>Dispatcher</t>
  </si>
  <si>
    <t>Work order</t>
  </si>
  <si>
    <t>DRAFT, RELEASED, COMPLETED, CANCELLED</t>
  </si>
  <si>
    <t>Production supervisor</t>
  </si>
  <si>
    <t>Job card</t>
  </si>
  <si>
    <t>DRAFT, IN_PROGRESS, INVOICED, CANCELLED</t>
  </si>
  <si>
    <t>Service advisor</t>
  </si>
  <si>
    <t>DRAFT, COMPLETED</t>
  </si>
  <si>
    <t>Payroll clerk</t>
  </si>
  <si>
    <t>Stock balance</t>
  </si>
  <si>
    <t>Not a status enum. on_hand and reserved; available is on_hand minus reserved.</t>
  </si>
  <si>
    <t>Customer and supplier</t>
  </si>
  <si>
    <t>Master records. Not a document status machine.</t>
  </si>
  <si>
    <t>Not applicable</t>
  </si>
  <si>
    <t>GST e-invoice and e-way bill</t>
  </si>
  <si>
    <t>Full status lists are on the next two rows.</t>
  </si>
  <si>
    <t>E-invoice status</t>
  </si>
  <si>
    <t>NONE, READY, QUEUED, GENERATED, MANUAL_IRN, FAILED, CANCELLED</t>
  </si>
  <si>
    <t>tests/test_einvoice_eway.py; tests/errors/test_webhook_and_async_contracts.py (async submit failure becomes FAILED). Test exists; not run in this review</t>
  </si>
  <si>
    <t>E-way bill status</t>
  </si>
  <si>
    <t>NONE, READY, QUEUED, GENERATED, MANUAL_EWB, FAILED, CANCELLED</t>
  </si>
  <si>
    <t>CREATED, CAPTURED, CAPTURED_PENDING_BOOKS, FAILED, REFUNDED, PARTIALLY_REFUNDED</t>
  </si>
  <si>
    <t>System</t>
  </si>
  <si>
    <t>Gateway refund outbox</t>
  </si>
  <si>
    <t>PENDING, IN_PROGRESS, SUCCEEDED, FAILED</t>
  </si>
  <si>
    <t>Subscription</t>
  </si>
  <si>
    <t>pending, trial, active, past_due, suspended</t>
  </si>
  <si>
    <t>Platform admin</t>
  </si>
  <si>
    <t>tests/test_saas_dunning_and_recon.py. Test exists; not run in this review</t>
  </si>
  <si>
    <t>Billing dead-letter event</t>
  </si>
  <si>
    <t>pending, replayed, discarded</t>
  </si>
  <si>
    <t>tests/test_chaos_resilience.py (five failed replays discard). Test exists; not run in this review</t>
  </si>
  <si>
    <t>Account Aggregator consent</t>
  </si>
  <si>
    <t>PENDING, ACTIVE, REVOKED, EXPIRED</t>
  </si>
  <si>
    <t>Employee</t>
  </si>
  <si>
    <t>ACTIVE, INACTIVE</t>
  </si>
  <si>
    <t>POS hold and recall</t>
  </si>
  <si>
    <t>No server-side hold status established in this review. UX-0582 is Partial.</t>
  </si>
  <si>
    <t>Business integrity matrix</t>
  </si>
  <si>
    <t>A trial-balance report exists and exposes trial_balance_balanced. That is not a gate on every transaction. No invariant below is marked proven.</t>
  </si>
  <si>
    <t>Domain</t>
  </si>
  <si>
    <t>Invariant</t>
  </si>
  <si>
    <t>Known handle in code</t>
  </si>
  <si>
    <t>Gate on every transaction</t>
  </si>
  <si>
    <t>Financial</t>
  </si>
  <si>
    <t>Debits equal credits</t>
  </si>
  <si>
    <t>accounting.reports.trial_balance; core/management/commands/check_invariants.py (a command, not a gate)</t>
  </si>
  <si>
    <t>tests/test_a2_posting_atomicity.py (unbalanced posting rejected). Test exists; not run in this review</t>
  </si>
  <si>
    <t>Customer balance equals invoices minus receipts minus credits</t>
  </si>
  <si>
    <t>Receipt and SalesInvoice</t>
  </si>
  <si>
    <t>Supplier balance equals purchases minus payments minus debits</t>
  </si>
  <si>
    <t>Supplier payment and PurchaseInvoice</t>
  </si>
  <si>
    <t>Receivable total ties to open invoices</t>
  </si>
  <si>
    <t>Not established as a gate</t>
  </si>
  <si>
    <t>Payable total ties to open purchases</t>
  </si>
  <si>
    <t>Inventory</t>
  </si>
  <si>
    <t>Opening plus receipts minus issues plus adjustments equals closing</t>
  </si>
  <si>
    <t>Stock movements</t>
  </si>
  <si>
    <t>On-hand does not go negative unless the tenant allows it</t>
  </si>
  <si>
    <t>Negative-stock policy is described on existing tasks</t>
  </si>
  <si>
    <t>Reserved plus available equals on-hand</t>
  </si>
  <si>
    <t>StockBalance.reserved; available is on_hand minus reserved</t>
  </si>
  <si>
    <t>Batch and serial quantities tie to the balance</t>
  </si>
  <si>
    <t>Batch and serial models exist</t>
  </si>
  <si>
    <t>Warehouse totals tie to the company total</t>
  </si>
  <si>
    <t>Tax</t>
  </si>
  <si>
    <t>Output tax less input tax in the ledger ties to the GSTR-1 and 3B figures</t>
  </si>
  <si>
    <t>accounting.reports and the GST return builders</t>
  </si>
  <si>
    <t>Tax on every completed invoice equals the sum of its line taxes after rounding</t>
  </si>
  <si>
    <t>core/services/tax_engine</t>
  </si>
  <si>
    <t>TDS and TCS ledger balances equal the amounts deducted or collected on documents</t>
  </si>
  <si>
    <t>Payroll</t>
  </si>
  <si>
    <t>Net pay equals gross less deductions for every payslip, and the pay run total equals the payslip sum</t>
  </si>
  <si>
    <t>payroll.PayRun and PaySlip</t>
  </si>
  <si>
    <t>Fixed assets</t>
  </si>
  <si>
    <t>Depreciation schedule total ties to the accumulated depreciation ledger</t>
  </si>
  <si>
    <t>Finance and fixed-asset tasks</t>
  </si>
  <si>
    <t>Document numbering</t>
  </si>
  <si>
    <t>No two documents of one type share a number in a company</t>
  </si>
  <si>
    <t>Document number service</t>
  </si>
  <si>
    <t>tests/test_concurrency_races.py (invoice numbering, no duplicate). Postgres-only; not run on SQLite (database is locked)</t>
  </si>
  <si>
    <t>Failure and recovery matrix</t>
  </si>
  <si>
    <t>Refund posting uses an idempotency key on the gateway refund outbox. That single key does not prove the cases below.</t>
  </si>
  <si>
    <t>Case</t>
  </si>
  <si>
    <t>What must remain true</t>
  </si>
  <si>
    <t>Evidence</t>
  </si>
  <si>
    <t>Create, post, update, cancel, return, reverse</t>
  </si>
  <si>
    <t>Cancel and reverse put stock, tax, and ledger back</t>
  </si>
  <si>
    <t>Retry and duplicate submit</t>
  </si>
  <si>
    <t>A second submit does not post twice</t>
  </si>
  <si>
    <t>uniq_refund_outbox_per_idempotency_key covers one refund path only</t>
  </si>
  <si>
    <t>tests/test_double_submit_money_paths.py; tests/test_idempotency_fingerprint.py; tests/test_ws01_gateway_refund_integrity.py. Test exists; not run in this review</t>
  </si>
  <si>
    <t>Inventory updates and the ledger write fails</t>
  </si>
  <si>
    <t>Neither side is left posted alone</t>
  </si>
  <si>
    <t>tests/test_chaos_resilience.py (crash during stock post rolls back); tests/test_a2_posting_atomicity.py. Test exists; not run in this review</t>
  </si>
  <si>
    <t>Payment succeeds and the callback is late</t>
  </si>
  <si>
    <t>The receipt is not doubled when the callback arrives</t>
  </si>
  <si>
    <t>None identified in this review. CAPTURED_PENDING_BOOKS status exists in code.</t>
  </si>
  <si>
    <t>GST portal fails after the document is saved</t>
  </si>
  <si>
    <t>The local document shows the portal failure</t>
  </si>
  <si>
    <t>tests/errors/test_webhook_and_async_contracts.py (async e-invoice failure becomes FAILED). Test exists; not run in this review</t>
  </si>
  <si>
    <t>Webhook delivered twice</t>
  </si>
  <si>
    <t>The second delivery is a no-op</t>
  </si>
  <si>
    <t>tests/errors/test_webhook_and_async_contracts.py (billing webhook replay dedup); tests/test_chaos_resilience.py. Test exists; not run in this review</t>
  </si>
  <si>
    <t>Browser closes during checkout</t>
  </si>
  <si>
    <t>The draft or outbox can be recovered</t>
  </si>
  <si>
    <t>IndexedDB invoice draft cache exists. Recovery of a half-posted bill is not verified</t>
  </si>
  <si>
    <t>None identified on the server side. IndexedDB draft cache exists in the web app.</t>
  </si>
  <si>
    <t>Background job stops halfway</t>
  </si>
  <si>
    <t>The job can be retried without a second posting</t>
  </si>
  <si>
    <t>tests/test_chaos_resilience.py (stale queued PDF requeued, replay attempts counted). Test exists; not run in this review</t>
  </si>
  <si>
    <t>Concurrency matrix</t>
  </si>
  <si>
    <t>Some stock paths take a row lock. A test that exists is not a pass: these tests need Postgres and did not run on SQLite in this review. Partly means a test exists, No means none was identified.</t>
  </si>
  <si>
    <t>Race</t>
  </si>
  <si>
    <t>Harm if lost</t>
  </si>
  <si>
    <t>Specific harm if lost</t>
  </si>
  <si>
    <t>Expected outcome</t>
  </si>
  <si>
    <t>Runs in</t>
  </si>
  <si>
    <t>Two users sell the last unit</t>
  </si>
  <si>
    <t>Duplicate document or a balance that does not tie</t>
  </si>
  <si>
    <t>tests/test_concurrency_races.py (stock oversell; sales complete oversell); tests/edge/test_concurrency_sla.py (depletion never negative)</t>
  </si>
  <si>
    <t>Stock goes negative or two invoices ship one unit</t>
  </si>
  <si>
    <t>One invoice completes, the other is refused for stock</t>
  </si>
  <si>
    <t>Postgres-only; not run on SQLite (database is locked)</t>
  </si>
  <si>
    <t>Two users edit the same invoice</t>
  </si>
  <si>
    <t>tests/test_concurrency_races.py (same invoice amend, one wins)</t>
  </si>
  <si>
    <t>Lost update: one user's edit silently overwrites the other</t>
  </si>
  <si>
    <t>One amend wins, the other gets a conflict on amend_revision</t>
  </si>
  <si>
    <t>Two users approve the same document</t>
  </si>
  <si>
    <t>tests/test_concurrency_races.py (order confirms share one credit limit; job convert creates one invoice)</t>
  </si>
  <si>
    <t>Document converts or confirms twice, credit limit exceeded</t>
  </si>
  <si>
    <t>One confirm succeeds, the other is refused</t>
  </si>
  <si>
    <t>Two stock transfers of the same quantity</t>
  </si>
  <si>
    <t>Source warehouse goes negative or the destination is credited twice</t>
  </si>
  <si>
    <t>Second transfer is refused when stock is short</t>
  </si>
  <si>
    <t>No test</t>
  </si>
  <si>
    <t>Duplicate payment submit</t>
  </si>
  <si>
    <t>tests/test_concurrency_races.py (payment over-allocation); tests/test_double_submit_money_paths.py</t>
  </si>
  <si>
    <t>Receipt posted twice or invoice over-allocated</t>
  </si>
  <si>
    <t>Same key returns the first receipt. Allocation never exceeds the invoice</t>
  </si>
  <si>
    <t>Duplicate webhook</t>
  </si>
  <si>
    <t>tests/errors/test_webhook_and_async_contracts.py (replay dedup); tests/test_chaos_resilience.py (provider retry posts once)</t>
  </si>
  <si>
    <t>Payment or subscription event applied twice</t>
  </si>
  <si>
    <t>Second delivery is a no-op</t>
  </si>
  <si>
    <t>Duplicate GST import</t>
  </si>
  <si>
    <t>Same GSTR-2B rows imported twice and ITC doubled</t>
  </si>
  <si>
    <t>Second import adds no rows</t>
  </si>
  <si>
    <t>Two goods receipts for the same order</t>
  </si>
  <si>
    <t>Stock received twice against one purchase order</t>
  </si>
  <si>
    <t>Second receipt is refused or limited to the open quantity</t>
  </si>
  <si>
    <t>Two edits of the same customer</t>
  </si>
  <si>
    <t>Lost update on credit limit or GSTIN</t>
  </si>
  <si>
    <t>Second save is refused or merges without losing fields</t>
  </si>
  <si>
    <t>Two stock adjustments of the same item</t>
  </si>
  <si>
    <t>On-hand differs from the sum of movements</t>
  </si>
  <si>
    <t>Both adjustments apply in sequence and the balance equals the movements</t>
  </si>
  <si>
    <t>tests/test_concurrency_races.py covers oversell only. No adjustment race test identified</t>
  </si>
  <si>
    <t>Security assurance matrix</t>
  </si>
  <si>
    <t>Row-level security policies and the app.company_id setting exist. A control is not assured until the evidence column says so. TOTP now exists but is opt-in.</t>
  </si>
  <si>
    <t>Control</t>
  </si>
  <si>
    <t>What was found</t>
  </si>
  <si>
    <t>Assured</t>
  </si>
  <si>
    <t>Tenant isolation</t>
  </si>
  <si>
    <t>Postgres RLS and app.company_id</t>
  </si>
  <si>
    <t>Policies exist. Isolation tests exist in tests/tenancy (test_endpoint_isolation.py, test_route_isolation_matrix.py, test_schema_constraints.py). Test exists; not run in this review</t>
  </si>
  <si>
    <t>RBAC</t>
  </si>
  <si>
    <t>Role permissions exist</t>
  </si>
  <si>
    <t>Object-level authorization</t>
  </si>
  <si>
    <t>Not re-tested</t>
  </si>
  <si>
    <t>Session and 2FA</t>
  </si>
  <si>
    <t>TOTP exists (accounts/mfa.py), opt-in per user. Not enforced for admin roles.</t>
  </si>
  <si>
    <t>tests/test_mfa.py and tests/test_mfa_edge_cases.py passed 2026-10-04. SEC-0624 is Partial.</t>
  </si>
  <si>
    <t>Audit trail</t>
  </si>
  <si>
    <t>Append-only guard and hash chain exist.</t>
  </si>
  <si>
    <t>tests/test_audit_append_only.py exists (not re-run). Coverage of every transaction type not verified. P-0115, X-0432 and P-0507 remain Partial.</t>
  </si>
  <si>
    <t>Hash chain</t>
  </si>
  <si>
    <t>core/services/audit_chain.py seals and verifies a sha256 chain per company. Nightly batch.</t>
  </si>
  <si>
    <t>tests/test_audit_chain_edge_cases.py passed 2026-10-04. Events after the last seal are not covered. S-0579 is Code Complete &amp; Verified.</t>
  </si>
  <si>
    <t>Export permission</t>
  </si>
  <si>
    <t>Rate limit</t>
  </si>
  <si>
    <t>Not re-tested as a release gate</t>
  </si>
  <si>
    <t>Injection resistance</t>
  </si>
  <si>
    <t>Sensitive-data masking</t>
  </si>
  <si>
    <t>Shift+P privacy mask was not found</t>
  </si>
  <si>
    <t>UX-0591 remains Mechanism not found</t>
  </si>
  <si>
    <t>Backup security</t>
  </si>
  <si>
    <t>A shipped PITR control was not confirmed</t>
  </si>
  <si>
    <t>tests/test_backup_scripts.py and test_backup_scripts_extra.py exist. Test exists; not run in this review. PITR still not confirmed.</t>
  </si>
  <si>
    <t>Integration reliability matrix</t>
  </si>
  <si>
    <t>Each integration must survive timeout, retry, duplicate, replay, out-of-order, partial, invalid, and unavailable responses. None of those cases are marked proven.</t>
  </si>
  <si>
    <t>Integration</t>
  </si>
  <si>
    <t>Idempotent</t>
  </si>
  <si>
    <t>Observable</t>
  </si>
  <si>
    <t>Recoverable</t>
  </si>
  <si>
    <t>Key failure case to prove</t>
  </si>
  <si>
    <t>Owner</t>
  </si>
  <si>
    <t>GST portal</t>
  </si>
  <si>
    <t>Portal down after the document is saved</t>
  </si>
  <si>
    <t>Unassigned</t>
  </si>
  <si>
    <t>Razorpay</t>
  </si>
  <si>
    <t>Late or duplicate callback</t>
  </si>
  <si>
    <t>tests/test_ws01_gateway_refund_integrity.py; tests/errors/test_webhook_and_async_contracts.py. Test exists; not run in this review</t>
  </si>
  <si>
    <t>WhatsApp</t>
  </si>
  <si>
    <t>Provider outage or template rejection</t>
  </si>
  <si>
    <t>tests/test_a06_whatsapp.py; tests/test_chaos_resilience.py (cloud outage). Test exists; not run in this review</t>
  </si>
  <si>
    <t>SMS</t>
  </si>
  <si>
    <t>Delivery failure with no retry</t>
  </si>
  <si>
    <t>Email</t>
  </si>
  <si>
    <t>Bounce or transient send failure</t>
  </si>
  <si>
    <t>Tally</t>
  </si>
  <si>
    <t>Same file imported twice</t>
  </si>
  <si>
    <t>tests/test_phase7_tally.py. Test exists; not run in this review</t>
  </si>
  <si>
    <t>Banking and account aggregator</t>
  </si>
  <si>
    <t>Consent expired or revoked mid-sync</t>
  </si>
  <si>
    <t>E-invoice</t>
  </si>
  <si>
    <t>Retry creates a second IRN request</t>
  </si>
  <si>
    <t>E-way bill</t>
  </si>
  <si>
    <t>Bill expires or cancels after dispatch</t>
  </si>
  <si>
    <t>Inbound webhooks</t>
  </si>
  <si>
    <t>Bad signature or replay</t>
  </si>
  <si>
    <t>tests/errors/test_webhook_and_async_contracts.py; tests/errors/test_webhook_enumeration.py. Test exists; not run in this review</t>
  </si>
  <si>
    <t>Performance SLA matrix</t>
  </si>
  <si>
    <t>Target, actual, P95 and P99 are blank on purpose. The proposed targets are a starting point for the founder, not measurements. Seed a large tenant with seed_load_tenant to run them.</t>
  </si>
  <si>
    <t>Scenario</t>
  </si>
  <si>
    <t>Dataset size</t>
  </si>
  <si>
    <t>Concurrent users</t>
  </si>
  <si>
    <t>Target</t>
  </si>
  <si>
    <t>Actual</t>
  </si>
  <si>
    <t>P95</t>
  </si>
  <si>
    <t>P99</t>
  </si>
  <si>
    <t>Pass or fail</t>
  </si>
  <si>
    <t>Proposed target (not validated)</t>
  </si>
  <si>
    <t>How to measure</t>
  </si>
  <si>
    <t>Login</t>
  </si>
  <si>
    <t>Not measured</t>
  </si>
  <si>
    <t>p95 under 1 s</t>
  </si>
  <si>
    <t>Timed POST to the login endpoint under 20 concurrent users</t>
  </si>
  <si>
    <t>Dashboard</t>
  </si>
  <si>
    <t>p95 under 2 s</t>
  </si>
  <si>
    <t>Timed dashboard API on the seeded large tenant</t>
  </si>
  <si>
    <t>Search</t>
  </si>
  <si>
    <t>p95 under 500 ms</t>
  </si>
  <si>
    <t>Timed product and customer search on 50,000 items</t>
  </si>
  <si>
    <t>Invoice creation</t>
  </si>
  <si>
    <t>Timed invoice create and complete API</t>
  </si>
  <si>
    <t>POS checkout</t>
  </si>
  <si>
    <t>p95 under 2 s end to end</t>
  </si>
  <si>
    <t>Browser timing from tender to receipt</t>
  </si>
  <si>
    <t>Stock update</t>
  </si>
  <si>
    <t>Timed stock adjustment API</t>
  </si>
  <si>
    <t>Purchase posting</t>
  </si>
  <si>
    <t>Timed purchase invoice complete API</t>
  </si>
  <si>
    <t>Payment posting</t>
  </si>
  <si>
    <t>Timed receipt create API</t>
  </si>
  <si>
    <t>GST import</t>
  </si>
  <si>
    <t>1,000 rows in under 60 s</t>
  </si>
  <si>
    <t>Timed GSTR-2B import on a fixture</t>
  </si>
  <si>
    <t>Report generation</t>
  </si>
  <si>
    <t>p95 under 5 s on 100,000 documents</t>
  </si>
  <si>
    <t>Timed reports on the large tenant (tests/test_qos0003_large_tenant_reports.py)</t>
  </si>
  <si>
    <t>Bulk import or export</t>
  </si>
  <si>
    <t>10,000 rows in under 5 min</t>
  </si>
  <si>
    <t>Timed import on a fixture</t>
  </si>
  <si>
    <t>API response</t>
  </si>
  <si>
    <t>p95 under 800 ms across read endpoints</t>
  </si>
  <si>
    <t>Aggregate from request logs or a load run</t>
  </si>
  <si>
    <t>Background job</t>
  </si>
  <si>
    <t>Queue wait under 60 s at p95</t>
  </si>
  <si>
    <t>Task enqueue-to-start time from the worker log</t>
  </si>
  <si>
    <t>Customer evidence matrix</t>
  </si>
  <si>
    <t>These are hypotheses. Invoice timestamps, debtor days, and ticket counts are the sources to instrument. Baseline, experiment, and result stay empty until a pilot measures them.</t>
  </si>
  <si>
    <t>Hypothesis</t>
  </si>
  <si>
    <t>Experiment</t>
  </si>
  <si>
    <t>Measurement</t>
  </si>
  <si>
    <t>Result</t>
  </si>
  <si>
    <t>Data source</t>
  </si>
  <si>
    <t>Pilot owner</t>
  </si>
  <si>
    <t>Invoice creation time falls</t>
  </si>
  <si>
    <t>SalesInvoice created_at to completed_at</t>
  </si>
  <si>
    <t>Reconciliation time falls</t>
  </si>
  <si>
    <t>BankReconSession open to closed duration</t>
  </si>
  <si>
    <t>Collection cycle shortens</t>
  </si>
  <si>
    <t>Invoice date to receipt date, debtor days report</t>
  </si>
  <si>
    <t>Stock accuracy rises</t>
  </si>
  <si>
    <t>Stock count variance from stock adjustments</t>
  </si>
  <si>
    <t>Dead stock falls</t>
  </si>
  <si>
    <t>Dead stock report value month over month</t>
  </si>
  <si>
    <t>GST reconciliation effort falls</t>
  </si>
  <si>
    <t>IMS match rate and time to file</t>
  </si>
  <si>
    <t>User error rate falls</t>
  </si>
  <si>
    <t>Cancelled, amended and voided document rate</t>
  </si>
  <si>
    <t>Support tickets fall</t>
  </si>
  <si>
    <t>Support ticket count per company per month</t>
  </si>
  <si>
    <t>Repeat usage rises</t>
  </si>
  <si>
    <t>Weekly active users from telemetry (insights/telemetry.py)</t>
  </si>
  <si>
    <t>Customer retention rises</t>
  </si>
  <si>
    <t>Active companies by month</t>
  </si>
  <si>
    <t>Capability evidence register</t>
  </si>
  <si>
    <t>Open claims from the task register. Action is to keep the corrected label. They are not relabeled as supported, and they are not scheduled as new features by this sheet.</t>
  </si>
  <si>
    <t>Validation status</t>
  </si>
  <si>
    <t>Code evidence</t>
  </si>
  <si>
    <t>Action</t>
  </si>
  <si>
    <t>Section 16(4) time-barring automated alert and ITC exclusion engine</t>
  </si>
  <si>
    <t>Found: reporting/ims.py Section 16(4) clock and alert. tests/test_b03_ims.py passed 2026-10-04. No ITC exclusion engine.</t>
  </si>
  <si>
    <t>Decide whether an exclusion engine is needed before pilot. See P0 gap decisions.</t>
  </si>
  <si>
    <t>Section 206AB / 206CCA active compliance verification via Income Tax Department PAN utility</t>
  </si>
  <si>
    <t>Keep it as not found. Do not implement it under the feature freeze.</t>
  </si>
  <si>
    <t>Keep the corrected note. Do not mark it supported.</t>
  </si>
  <si>
    <t>Audit MCA mandated immutable audit trail (Rule 11(g) Companies Audit Rules)</t>
  </si>
  <si>
    <t>Automated background trial balance zero-sum verification worker</t>
  </si>
  <si>
    <t>Orphaned inventory allocation release worker on expired cart sessions</t>
  </si>
  <si>
    <t>Threshold-based anomaly detector for unusual cash discounts or abnormal bill amounts</t>
  </si>
  <si>
    <t>Tamper-evident cryptographic hash chaining on audit trail activity records</t>
  </si>
  <si>
    <t>Found: core/services/audit_chain.py. tests/test_audit_chain_edge_cases.py passed 2026-10-04.</t>
  </si>
  <si>
    <t>Confirm the nightly seal job is scheduled in production, then close.</t>
  </si>
  <si>
    <t>Time-based One-Time Password (TOTP) two-factor authentication (2FA) for admin roles</t>
  </si>
  <si>
    <t>Found: accounts/mfa.py. tests/test_mfa.py passed 2026-10-04. Opt-in, not enforced for admins.</t>
  </si>
  <si>
    <t>Decide on mandatory 2FA for admin roles. See P0 gap decisions.</t>
  </si>
  <si>
    <t>Full keyboard-only hotkey navigation across POS rapid checkout</t>
  </si>
  <si>
    <t>Multi-cart hold and recall tabs for interrupted counter checkout</t>
  </si>
  <si>
    <t>Global omnibar quick-search (Ctrl+K / Cmd+K) across commands, customers, and invoices</t>
  </si>
  <si>
    <t>Visual warehouse shelf/rack visual locator badge on stock search</t>
  </si>
  <si>
    <t>Deterministic progress bar with estimated time remaining on bulk CSV imports</t>
  </si>
  <si>
    <t>One-click 'Privacy Mask' toggle hiding rupee figures from bystander view</t>
  </si>
  <si>
    <t>Critical transaction → immutable audit trail exists</t>
  </si>
  <si>
    <t>Apply higher TDS/TCS penalty rates (5%) for non-filers under Section 206AB / Section 206CCA</t>
  </si>
  <si>
    <t>OS readiness gate</t>
  </si>
  <si>
    <t>A task is OS ready only when every applicable gate has evidence. The register does not award that status. The count below should stay at zero until it does.</t>
  </si>
  <si>
    <t>Gate</t>
  </si>
  <si>
    <t>Tasks passed</t>
  </si>
  <si>
    <t>G1 Functional</t>
  </si>
  <si>
    <t>Can the intended user finish the task?</t>
  </si>
  <si>
    <t>Not entered</t>
  </si>
  <si>
    <t>G2 Business integrity</t>
  </si>
  <si>
    <t>Are the downstream stock, tax, and ledger effects right?</t>
  </si>
  <si>
    <t>G3 Resilience and security</t>
  </si>
  <si>
    <t>Does it survive failure, races, and a user without permission?</t>
  </si>
  <si>
    <t>G4 User validation</t>
  </si>
  <si>
    <t>Has the SMB persona completed the workflow?</t>
  </si>
  <si>
    <t>G5 Business outcome</t>
  </si>
  <si>
    <t>Is there a measured customer result?</t>
  </si>
  <si>
    <t>Tasks still not OS ready</t>
  </si>
  <si>
    <t>BizBoard task register - coverage dashboard</t>
  </si>
  <si>
    <t>Live counts use formulas on Task Register. The snapshot on How to read is the figure set from this review.</t>
  </si>
  <si>
    <t>Register size</t>
  </si>
  <si>
    <t>Scope class</t>
  </si>
  <si>
    <t>Operational role</t>
  </si>
  <si>
    <t>Named role</t>
  </si>
  <si>
    <t>Growth role</t>
  </si>
  <si>
    <t>Cross-persona</t>
  </si>
  <si>
    <t>Platform or theme scope</t>
  </si>
  <si>
    <t>System engine</t>
  </si>
  <si>
    <t>Validated (Supported) is the author's claim. In product means the flow step exists in a module. Neither status is a full functional test.</t>
  </si>
  <si>
    <t>Task type</t>
  </si>
  <si>
    <t>P - persona task</t>
  </si>
  <si>
    <t>X - cross-persona workflow</t>
  </si>
  <si>
    <t>G-OS - growth and service</t>
  </si>
  <si>
    <t>S - system engine</t>
  </si>
  <si>
    <t>UX - ergonomics</t>
  </si>
  <si>
    <t>C - statutory control</t>
  </si>
  <si>
    <t>Category</t>
  </si>
  <si>
    <t>D - differentiation</t>
  </si>
  <si>
    <t>GST / Tax / Compliance</t>
  </si>
  <si>
    <t>SEC - security</t>
  </si>
  <si>
    <t>Security / Exception / Recovery</t>
  </si>
  <si>
    <t>R - reliability</t>
  </si>
  <si>
    <t>Inventory Lifecycle</t>
  </si>
  <si>
    <t>I - hardware and integrations</t>
  </si>
  <si>
    <t>Reporting &amp; Business Intelligence</t>
  </si>
  <si>
    <t>SaaS - tenancy and subscription</t>
  </si>
  <si>
    <t>Customer-to-Cash</t>
  </si>
  <si>
    <t>Receivables &amp; Payables</t>
  </si>
  <si>
    <t>Procure-to-Pay</t>
  </si>
  <si>
    <t>Import / Export / Period Close</t>
  </si>
  <si>
    <t>Payments &amp; Reconciliation</t>
  </si>
  <si>
    <t>Master Data &amp; Authorization</t>
  </si>
  <si>
    <t>Multi-Godown / Multi-Store</t>
  </si>
  <si>
    <t>Communication &amp; Integrations</t>
  </si>
  <si>
    <t>Returns / Complaints / After-Sales</t>
  </si>
  <si>
    <t>Sales / CRM / Customer Lifecycle</t>
  </si>
  <si>
    <t>Operations, Fleet &amp; Delivery</t>
  </si>
  <si>
    <t>Insurance Distribution</t>
  </si>
  <si>
    <t>Payroll &amp; Statutory Dues</t>
  </si>
  <si>
    <t>Finance &amp; Fixed Assets</t>
  </si>
  <si>
    <t>Workshop Job</t>
  </si>
  <si>
    <t>Project Billing</t>
  </si>
  <si>
    <t>Growth OS - Campaigns &amp; Marketing</t>
  </si>
  <si>
    <t>Growth OS - Lead Ingestion &amp; Pipeline</t>
  </si>
  <si>
    <t>Growth OS - Opportunity Management</t>
  </si>
  <si>
    <t>Growth OS - Referral &amp; Advocate Engine</t>
  </si>
  <si>
    <t>Growth OS - Service Contracts &amp; AMC</t>
  </si>
  <si>
    <t>Growth OS - Customer Care &amp; Dispute Loop</t>
  </si>
  <si>
    <t>Manufacturing</t>
  </si>
  <si>
    <t>Growth OS - Customer Intelligence</t>
  </si>
  <si>
    <t>Priority re-tier</t>
  </si>
  <si>
    <t>Proposed priority follows Release gate so there is one rule, not two. P0 stays P0 and is the MVP. A P1 that is Core and in RUN or CONTROL is Pilot and proposed P1. Any other P1 is Later and proposed P2. P2 and P3 are unchanged. Priority itself is unchanged until the founder signs.</t>
  </si>
  <si>
    <t>Current</t>
  </si>
  <si>
    <t>Proposed</t>
  </si>
  <si>
    <t>Change</t>
  </si>
  <si>
    <t>Total</t>
  </si>
  <si>
    <t>Release gate</t>
  </si>
  <si>
    <t>Of which Priority P1</t>
  </si>
  <si>
    <t>Task Type</t>
  </si>
  <si>
    <t>Persona / Scope</t>
  </si>
  <si>
    <t>Task / Business Action</t>
  </si>
  <si>
    <t>Primary Actor</t>
  </si>
  <si>
    <t>Supporting Persona(s)</t>
  </si>
  <si>
    <t>Business Outcome</t>
  </si>
  <si>
    <t>Downstream Impact</t>
  </si>
  <si>
    <t>Validation Status</t>
  </si>
  <si>
    <t>Notes</t>
  </si>
  <si>
    <t>Register slice</t>
  </si>
  <si>
    <t>Authored priority</t>
  </si>
  <si>
    <t>Priority decision</t>
  </si>
  <si>
    <t>Audit note</t>
  </si>
  <si>
    <t>Flow ID</t>
  </si>
  <si>
    <t>Flow name</t>
  </si>
  <si>
    <t>Flow step</t>
  </si>
  <si>
    <t>Module</t>
  </si>
  <si>
    <t>OS layer</t>
  </si>
  <si>
    <t>Capability class</t>
  </si>
  <si>
    <t>Business criticality</t>
  </si>
  <si>
    <t>Failure impact</t>
  </si>
  <si>
    <t>Compliance impact</t>
  </si>
  <si>
    <t>Integrity evidence</t>
  </si>
  <si>
    <t>Recovery evidence</t>
  </si>
  <si>
    <t>Security evidence</t>
  </si>
  <si>
    <t>Concurrency evidence</t>
  </si>
  <si>
    <t>Work status</t>
  </si>
  <si>
    <t>Proposed priority</t>
  </si>
  <si>
    <t>Risk score</t>
  </si>
  <si>
    <t>Target date</t>
  </si>
  <si>
    <t>Estimate days</t>
  </si>
  <si>
    <t>Depends on</t>
  </si>
  <si>
    <t>Blocked by</t>
  </si>
  <si>
    <t>Test case ID</t>
  </si>
  <si>
    <t>Last verified</t>
  </si>
  <si>
    <t>Verified by</t>
  </si>
  <si>
    <t>Verification result</t>
  </si>
  <si>
    <t>Persona canonical</t>
  </si>
  <si>
    <t>Primary actor canonical</t>
  </si>
  <si>
    <t>Priority decision code</t>
  </si>
  <si>
    <t>Module basis</t>
  </si>
  <si>
    <t>Duplicate or related</t>
  </si>
  <si>
    <t>Code pointer</t>
  </si>
  <si>
    <t>G5 outcome measured</t>
  </si>
  <si>
    <t>P-0001</t>
  </si>
  <si>
    <t>P</t>
  </si>
  <si>
    <t>Gully Vendor / Small Retailer</t>
  </si>
  <si>
    <t>Create a quick bill for a walk-in customer</t>
  </si>
  <si>
    <t>Counter Billing Clerk</t>
  </si>
  <si>
    <t>Walk-in Customer</t>
  </si>
  <si>
    <t>Instant checkout within 15 seconds; printed or digital receipt handed over; minimal queue delay</t>
  </si>
  <si>
    <t>Stock decremented atomically in inventory ledger; cash drawer balance increased; sales voucher posted to GL</t>
  </si>
  <si>
    <t>Supported via /pos rapid checkout. Barcode/touch selection, instant cash tender, thermal slip print.</t>
  </si>
  <si>
    <t>Unchanged</t>
  </si>
  <si>
    <t>C2C</t>
  </si>
  <si>
    <t>Customer to cash</t>
  </si>
  <si>
    <t>sales</t>
  </si>
  <si>
    <t>Core</t>
  </si>
  <si>
    <t>High</t>
  </si>
  <si>
    <t>Low</t>
  </si>
  <si>
    <t>Not independently checked</t>
  </si>
  <si>
    <t>Claimed - unverified</t>
  </si>
  <si>
    <t>Not run</t>
  </si>
  <si>
    <t>Billing / Counter Clerk</t>
  </si>
  <si>
    <t>UNCHANGED</t>
  </si>
  <si>
    <t>Authored</t>
  </si>
  <si>
    <t>P-0002</t>
  </si>
  <si>
    <t>Record a cash sale</t>
  </si>
  <si>
    <t>Immediate cash payment accepted and registered in the daily till</t>
  </si>
  <si>
    <t>Debit Cash-in-Hand ledger account, credit Sales Revenue account; updates physical till balance</t>
  </si>
  <si>
    <t>Supported via Payment model (payment_mode='CASH') linked directly to completed SalesInvoice.</t>
  </si>
  <si>
    <t>Matched SalesInvoice in product code. This is not a functional test.</t>
  </si>
  <si>
    <t>PAYREC</t>
  </si>
  <si>
    <t>Payments and reconciliation</t>
  </si>
  <si>
    <t>payments</t>
  </si>
  <si>
    <t>Cited in code</t>
  </si>
  <si>
    <t>Built - unverified</t>
  </si>
  <si>
    <t>backend/sales/models.py:SalesInvoice</t>
  </si>
  <si>
    <t>backend/tests/test_a03_preview.py; backend/tests/test_a06_whatsapp.py; backend/tests/test_a07_dunning.py</t>
  </si>
  <si>
    <t>P-0003</t>
  </si>
  <si>
    <t>Record a UPI/digital payment</t>
  </si>
  <si>
    <t>Instant settlement via dynamic BharatPe/UPI QR code scanning</t>
  </si>
  <si>
    <t>Debit Bank/UPI Settlement clearing account, credit Sales Revenue account; records transaction UTR/ref</t>
  </si>
  <si>
    <t>Supported via POS screen dynamic UPI QR generator. Stores transaction UTR reference on payment record.</t>
  </si>
  <si>
    <t>P-0004</t>
  </si>
  <si>
    <t>Find an item's price instantly</t>
  </si>
  <si>
    <t>None</t>
  </si>
  <si>
    <t>Zero-latency SKU and price lookup without interrupting active billing</t>
  </si>
  <si>
    <t>Queries indexed catalog cache; returns selling price, MRP, and real-time available stock</t>
  </si>
  <si>
    <t>Supported via client-side indexedDB catalog search with &lt;50ms keystroke debounce.</t>
  </si>
  <si>
    <t>Matched indexedDB in product code. This is not a functional test.</t>
  </si>
  <si>
    <t>Medium</t>
  </si>
  <si>
    <t>P-0005</t>
  </si>
  <si>
    <t>Check today's total sales</t>
  </si>
  <si>
    <t>Small Retailer / Owner</t>
  </si>
  <si>
    <t>Real-time visibility into total daily gross revenue and bill count</t>
  </si>
  <si>
    <t>Aggregates completed SalesInvoices for current calendar day; displays gross, discounts, and net sales</t>
  </si>
  <si>
    <t>Supported via DailyBusinessSummary snapshot and POS shift summary modal (/api/v1/pos/shift-summary/).</t>
  </si>
  <si>
    <t>Matched DailyBusinessSummary in product code. This is not a functional test.</t>
  </si>
  <si>
    <t>RPT</t>
  </si>
  <si>
    <t>Reporting and business intelligence</t>
  </si>
  <si>
    <t>reporting</t>
  </si>
  <si>
    <t>backend/insights/models.py:DailyBusinessSummary</t>
  </si>
  <si>
    <t>backend/tests/test_phase6_insights.py; backend/tests/test_pr9_p2_edges.py; backend/tests/personas/test_cross_flow_consistency.py</t>
  </si>
  <si>
    <t>P-0006</t>
  </si>
  <si>
    <t>Check cash/UPI collected</t>
  </si>
  <si>
    <t>Exact breakdown of drawer cash vs digital UPI collections for end-of-day reconciliation</t>
  </si>
  <si>
    <t>Aggregates Payment records by payment_mode; enables physical drawer verification against system till</t>
  </si>
  <si>
    <t>Supported via /pos/shift-close endpoint with expected cash vs actual physical cash variance logging.</t>
  </si>
  <si>
    <t>P-0007</t>
  </si>
  <si>
    <t>See low-stock items</t>
  </si>
  <si>
    <t>Distributor / Supplier</t>
  </si>
  <si>
    <t>Early warning of fast-moving products reaching reorder threshold to prevent stockouts</t>
  </si>
  <si>
    <t>Filters StockBalance where quantity &lt;= reorder_level; surfaces replenishment alert cards</t>
  </si>
  <si>
    <t>Supported in /inventory dashboard with visual low-stock badges and filtered export.</t>
  </si>
  <si>
    <t>INV</t>
  </si>
  <si>
    <t>Inventory lifecycle</t>
  </si>
  <si>
    <t>inventory</t>
  </si>
  <si>
    <t>backend/inventory/models.py:StockBalance</t>
  </si>
  <si>
    <t>backend/tests/test_a11_a12_stock_cost.py; backend/tests/test_a4_a5_reporting.py; backend/tests/test_a6_manual_serial_return.py</t>
  </si>
  <si>
    <t>P-0008</t>
  </si>
  <si>
    <t>Add a new item while making a sale</t>
  </si>
  <si>
    <t>Non-blocking cart workflow allowing uncataloged product entry without losing customer session</t>
  </si>
  <si>
    <t>Creates Product master row on-the-fly, initializes opening stock layer, and appends line to active cart</t>
  </si>
  <si>
    <t>Supported via POS 'Quick Add Product' modal (/api/v1/masters/products/quick-create/).</t>
  </si>
  <si>
    <t>MASTER</t>
  </si>
  <si>
    <t>Master data and authorization</t>
  </si>
  <si>
    <t>masters</t>
  </si>
  <si>
    <t>P-0009</t>
  </si>
  <si>
    <t>Record a customer credit sale</t>
  </si>
  <si>
    <t>Local Credit Customer (Khata)</t>
  </si>
  <si>
    <t>Goods issued on credit (Khata) to trusted neighborhood customer</t>
  </si>
  <si>
    <t>Completes invoice with payment_status='UNPAID', creates debit entry in Customer AR ledger</t>
  </si>
  <si>
    <t>Supported via B2C/B2B Khata credit toggle on POS checkout; enforces optional credit limit check.</t>
  </si>
  <si>
    <t>Restored to authored P1. The previous workbook had P0 after a keyword rebalance.</t>
  </si>
  <si>
    <t>ARAP</t>
  </si>
  <si>
    <t>Receivables and payables</t>
  </si>
  <si>
    <t>ledgers</t>
  </si>
  <si>
    <t>RESTORED_TO_AUTHORED</t>
  </si>
  <si>
    <t>P-0010</t>
  </si>
  <si>
    <t>Record payment from a customer</t>
  </si>
  <si>
    <t>Credit Customer</t>
  </si>
  <si>
    <t>Receives partial or full payment settling previous outstanding credit balance</t>
  </si>
  <si>
    <t>Creates Payment record, allocates credit across oldest open invoices (FIFO), decreases customer AR</t>
  </si>
  <si>
    <t>Supported via /api/v1/payments/allocation/ with auto-allocation to oldest unpaid invoices.</t>
  </si>
  <si>
    <t>P-0011</t>
  </si>
  <si>
    <t>See outstanding customer dues</t>
  </si>
  <si>
    <t>Instant summary of total unpaid market receivables and customer-wise balance list</t>
  </si>
  <si>
    <t>Calculates net derived balance per customer from completed invoices minus payments and credit notes</t>
  </si>
  <si>
    <t>Supported via /sales/customers Khata receivables view with aging breakdown.</t>
  </si>
  <si>
    <t>P-0012</t>
  </si>
  <si>
    <t>Send invoice/receipt</t>
  </si>
  <si>
    <t>Customer</t>
  </si>
  <si>
    <t>Paperless receipt delivered directly to customer via WhatsApp or SMS link</t>
  </si>
  <si>
    <t>Generates short URL for digital invoice preview; saves paper and thermal printer consumables</t>
  </si>
  <si>
    <t>Supported via WhatsApp click-to-chat API URL scheme and thermal print fallback.</t>
  </si>
  <si>
    <t>Matched WhatsApp in product code. This is not a functional test.</t>
  </si>
  <si>
    <t>INT</t>
  </si>
  <si>
    <t>Communication and integrations</t>
  </si>
  <si>
    <t>integrations</t>
  </si>
  <si>
    <t>P-0013</t>
  </si>
  <si>
    <t>Cancel or correct a wrongly created bill</t>
  </si>
  <si>
    <t>Safe cancellation of erroneous receipt with complete audit trail</t>
  </si>
  <si>
    <t>Reverses stock movements (RETURN_INWARD), posts reversal accounting voucher, voids tax entry</t>
  </si>
  <si>
    <t>Supported via SalesInvoice cancel endpoint; requires cancellation reason and manager role.</t>
  </si>
  <si>
    <t>OTHER</t>
  </si>
  <si>
    <t>accounts</t>
  </si>
  <si>
    <t>Inferred</t>
  </si>
  <si>
    <t>P-0014</t>
  </si>
  <si>
    <t>Process a sales return</t>
  </si>
  <si>
    <t>Customer returns defective or unwanted items; stock returned to shelf and refund/credit issued</t>
  </si>
  <si>
    <t>Creates SalesReturn document, increments saleable stock, issues credit note or cash refund</t>
  </si>
  <si>
    <t>Supported via /sales/returns/ with line-item return reasons and auto credit note generation.</t>
  </si>
  <si>
    <t>RET</t>
  </si>
  <si>
    <t>Returns, complaints, and after-sales</t>
  </si>
  <si>
    <t>backend/sales/models.py:SalesReturn</t>
  </si>
  <si>
    <t>backend/tests/test_cft_checklist.py; backend/tests/test_concurrency_races.py; backend/tests/test_fmea2_wave.py</t>
  </si>
  <si>
    <t>P-0015</t>
  </si>
  <si>
    <t>Check today's profit/margin</t>
  </si>
  <si>
    <t>Immediate feedback on gross profit earned from today's completed transactions</t>
  </si>
  <si>
    <t>Calculates realized gross margin: SUM(Line Selling Price - Line FIFO Cost) across completed sales</t>
  </si>
  <si>
    <t>Supported via Owner Executive Dashboard; masked from billing clerks via role permission.</t>
  </si>
  <si>
    <t>P-0016</t>
  </si>
  <si>
    <t>See GST collected</t>
  </si>
  <si>
    <t>Accountant / External CA</t>
  </si>
  <si>
    <t>Clear visibility into cumulative CGST, SGST, and Cess tax collected for statutory compliance</t>
  </si>
  <si>
    <t>Aggregates output tax ledger balances for the period; provides baseline for monthly return filing</t>
  </si>
  <si>
    <t>Supported via Tax Summary card and GSTR-1 outward tax liability worksheet.</t>
  </si>
  <si>
    <t>GST</t>
  </si>
  <si>
    <t>GST and tax compliance</t>
  </si>
  <si>
    <t>accounting</t>
  </si>
  <si>
    <t>P-0017</t>
  </si>
  <si>
    <t>Close the day's business</t>
  </si>
  <si>
    <t>Formal closing of daily register, reconciling cash in drawer, UPI, and total bill count</t>
  </si>
  <si>
    <t>Locks daily cash till shift, records overage/shortage variance, archives daily snapshot</t>
  </si>
  <si>
    <t>Supported via /pos/shift-close workflow; produces immutable daily cash closing statement.</t>
  </si>
  <si>
    <t>CLOSE</t>
  </si>
  <si>
    <t>Import, export, and period close</t>
  </si>
  <si>
    <t>P-0018</t>
  </si>
  <si>
    <t>Kirana Shop Owner</t>
  </si>
  <si>
    <t>Create a customer invoice</t>
  </si>
  <si>
    <t>Walk-in / Neighborhood Customer</t>
  </si>
  <si>
    <t>Compliant retail invoice issued with itemized rates, discounts, and payment terms</t>
  </si>
  <si>
    <t>Stock decremented, customer ledger updated (if credit), sales revenue posted to GL</t>
  </si>
  <si>
    <t>Supported via /sales/invoices/create and /pos rapid checkout.</t>
  </si>
  <si>
    <t>P-0019</t>
  </si>
  <si>
    <t>Create a supplier purchase entry</t>
  </si>
  <si>
    <t>FMCG / Grain Distributor</t>
  </si>
  <si>
    <t>Record inward purchase bill received from wholesaler or distributor</t>
  </si>
  <si>
    <t>Increments stock balance via StockMovement (INWARD_PURCHASE), credits Accounts Payable (AP)</t>
  </si>
  <si>
    <t>Supported via /purchases/invoices/create; atomic stock and AP creation.</t>
  </si>
  <si>
    <t>P2P</t>
  </si>
  <si>
    <t>Procure to pay</t>
  </si>
  <si>
    <t>purchases</t>
  </si>
  <si>
    <t>backend/inventory/models.py:StockMovement</t>
  </si>
  <si>
    <t>backend/tests/test_a10_period_centralization.py; backend/tests/test_a11_a12_stock_cost.py; backend/tests/test_a6_manual_serial_return.py</t>
  </si>
  <si>
    <t>P-0020</t>
  </si>
  <si>
    <t>Receive purchased goods</t>
  </si>
  <si>
    <t>Distributor Delivery Staff</t>
  </si>
  <si>
    <t>Physical verification and intake of received goods against supplier invoice</t>
  </si>
  <si>
    <t>Updates physical inventory counts, records batch numbers and manufacturing/expiry dates</t>
  </si>
  <si>
    <t>Supported in Purchase Invoice complete flow; auto-generates inward stock ledger entries.</t>
  </si>
  <si>
    <t>P-0021</t>
  </si>
  <si>
    <t>Update purchase and selling prices</t>
  </si>
  <si>
    <t>Maintain accurate profit margins when wholesale purchase prices fluctuate</t>
  </si>
  <si>
    <t>Updates Product master purchase_price and default selling_price; updates price list slabs</t>
  </si>
  <si>
    <t>Supported via Product Edit screen and inline quick-edit on purchase bill intake.</t>
  </si>
  <si>
    <t>P-0022</t>
  </si>
  <si>
    <t>Track stock quantity</t>
  </si>
  <si>
    <t>Counter Clerk</t>
  </si>
  <si>
    <t>Real-time accurate stock counts to prevent over-selling and identify inventory leakage</t>
  </si>
  <si>
    <t>Maintains append-only StockMovement ledger; dynamically derives StockBalance per warehouse</t>
  </si>
  <si>
    <t>Core system invariant: negative stock strictly blocked unless explicitly permitted by tenant policy.</t>
  </si>
  <si>
    <t>backend/inventory/models.py:StockMovement; backend/inventory/models.py:StockBalance</t>
  </si>
  <si>
    <t>P-0023</t>
  </si>
  <si>
    <t>Identify low-stock items</t>
  </si>
  <si>
    <t>Supplier</t>
  </si>
  <si>
    <t>Proactive replenishment alerts for daily grocery staples (flour, oil, pulses)</t>
  </si>
  <si>
    <t>Filters inventory where StockBalance &lt;= Product.reorder_level; flags replenishment order draft</t>
  </si>
  <si>
    <t>Supported in /inventory/alerts/ with WhatsApp reorder draft generation.</t>
  </si>
  <si>
    <t>P-0024</t>
  </si>
  <si>
    <t>Identify fast-moving items</t>
  </si>
  <si>
    <t>Identifies top revenue and velocity SKUs to optimize store shelf space and working capital</t>
  </si>
  <si>
    <t>Analyzes sales frequency and turnover ratio over selected date range</t>
  </si>
  <si>
    <t>Supported via /reports/inventory-velocity/ report.</t>
  </si>
  <si>
    <t>P-0025</t>
  </si>
  <si>
    <t>Identify slow-moving/dead stock</t>
  </si>
  <si>
    <t>Detects capital tied up in unsold inventory to trigger promotional bundling or vendor return</t>
  </si>
  <si>
    <t>Identifies SKUs with zero movement over 30/60/90 days; calculates tied-up capital valuation</t>
  </si>
  <si>
    <t>Supported in Inventory Aging &amp; Dead Stock Report (/reports/inventory-aging/).</t>
  </si>
  <si>
    <t>Restored to authored P2. The previous workbook had P3 after a keyword rebalance.</t>
  </si>
  <si>
    <t>P-0026</t>
  </si>
  <si>
    <t>Track customer credit</t>
  </si>
  <si>
    <t>Khata Customer</t>
  </si>
  <si>
    <t>Comprehensive digital Khata tracking each neighborhood family's running credit balance</t>
  </si>
  <si>
    <t>Aggregates debit and credit ledger transactions; computes net balance and aging days</t>
  </si>
  <si>
    <t>Supported via /sales/customers/khata/ with individual customer statement export.</t>
  </si>
  <si>
    <t>P-0027</t>
  </si>
  <si>
    <t>Collect customer payments</t>
  </si>
  <si>
    <t>Record cash/UPI collections settling outstanding customer khata accounts</t>
  </si>
  <si>
    <t>Applies payment against unpaid customer invoices; updates receivables ledger and cash balance</t>
  </si>
  <si>
    <t>Supported via Payment entry screen with automated FIFO invoice reconciliation.</t>
  </si>
  <si>
    <t>P-0028</t>
  </si>
  <si>
    <t>Track supplier outstanding</t>
  </si>
  <si>
    <t>Monitor dues payable to FMCG distributors to plan weekly vendor payments</t>
  </si>
  <si>
    <t>Computes net Accounts Payable from completed purchase bills minus payments and debit notes</t>
  </si>
  <si>
    <t>Supported via /purchases/suppliers/ payables aging dashboard.</t>
  </si>
  <si>
    <t>P-0029</t>
  </si>
  <si>
    <t>Record supplier payment</t>
  </si>
  <si>
    <t>Disburse payments to vendors via cash, cheque, or NEFT/IMPS bank transfer</t>
  </si>
  <si>
    <t>Debits Accounts Payable ledger, credits Bank/Cash account; matches supplier invoices</t>
  </si>
  <si>
    <t>Supported via /purchases/payments/create with multi-invoice payment matching.</t>
  </si>
  <si>
    <t>P-0030</t>
  </si>
  <si>
    <t>Process sales returns</t>
  </si>
  <si>
    <t>Accept damaged or rejected goods returned by retail customer and issue refund/credit</t>
  </si>
  <si>
    <t>Restores stock to inventory ledger (or damaged bin) and adjusts customer balance/credit note</t>
  </si>
  <si>
    <t>Supported via /sales/returns/ with Credit Note generation.</t>
  </si>
  <si>
    <t>P-0031</t>
  </si>
  <si>
    <t>Process purchase returns</t>
  </si>
  <si>
    <t>Return damaged, expired, or near-expiry goods to distributor for debit credit note</t>
  </si>
  <si>
    <t>Decrements warehouse stock (RETURN_OUTWARD) and generates supplier PurchaseDebitNote</t>
  </si>
  <si>
    <t>Supported via /purchases/returns/ with Debit Note generation.</t>
  </si>
  <si>
    <t>backend/purchases/models.py:PurchaseDebitNote</t>
  </si>
  <si>
    <t>backend/tests/test_a11_a12_stock_cost.py; backend/tests/test_phase6_insights.py; backend/tests/test_supplier_complaints.py</t>
  </si>
  <si>
    <t>P-0032</t>
  </si>
  <si>
    <t>Apply discounts correctly</t>
  </si>
  <si>
    <t>Accurate application of promotional percentage, flat discounts, or bill-level concessions</t>
  </si>
  <si>
    <t>Computes taxable value net of discount; applies GST on discounted base price per statutory rules</t>
  </si>
  <si>
    <t>Supported on sales line and invoice-level; complies with Section 15 GST valuation rules.</t>
  </si>
  <si>
    <t>P-0033</t>
  </si>
  <si>
    <t>Manage GST rates/HSN</t>
  </si>
  <si>
    <t>Proper classification of grocery SKUs under correct 0%, 5%, 12%, 18% GST brackets and HSN codes</t>
  </si>
  <si>
    <t>Stores HSN/SAC codes and GST tax rates on Product master; used for automated tax calculation</t>
  </si>
  <si>
    <t>Supported via Product master taxonomy with built-in HSN search helper.</t>
  </si>
  <si>
    <t>P-0034</t>
  </si>
  <si>
    <t>Generate GST-compliant invoices</t>
  </si>
  <si>
    <t>Registered B2B Customer</t>
  </si>
  <si>
    <t>Issue legally compliant B2B tax invoices showing seller/buyer GSTIN, HSN breakdown, and tax splits</t>
  </si>
  <si>
    <t>Formats document per Rule 46 of CGST Rules; populates B2B section of GSTR-1 worksheet</t>
  </si>
  <si>
    <t>Supported via standard invoice PDF template meeting all Indian GST Rule 46 requirements.</t>
  </si>
  <si>
    <t>P-0035</t>
  </si>
  <si>
    <t>Review sales</t>
  </si>
  <si>
    <t>Analyze daily, weekly, and monthly sales trends across categories and customer types</t>
  </si>
  <si>
    <t>Generates sales register reports filtered by date, payment mode, customer, and category</t>
  </si>
  <si>
    <t>Supported via /reports/sales-register/ with CSV and Excel export.</t>
  </si>
  <si>
    <t>P-0036</t>
  </si>
  <si>
    <t>Review gross margin</t>
  </si>
  <si>
    <t>Track product profitability to ensure wholesale markup covers store operating overheads</t>
  </si>
  <si>
    <t>Calculates line-by-line gross profit margin (Selling Price - Purchase Cost) / Selling Price</t>
  </si>
  <si>
    <t>Supported via /reports/profitability/ with category and brand drill-downs.</t>
  </si>
  <si>
    <t>P-0037</t>
  </si>
  <si>
    <t>Reconcile cash and digital payments</t>
  </si>
  <si>
    <t>Verify that cash in till and bank deposits match sales register totals</t>
  </si>
  <si>
    <t>Cross-references bank statement / QR settlement reports with Bizboard payment ledger</t>
  </si>
  <si>
    <t>Supported via /accounting/bank-reconciliation/ and daily shift close register.</t>
  </si>
  <si>
    <t>P-0038</t>
  </si>
  <si>
    <t>Medical Shop</t>
  </si>
  <si>
    <t>Sell medicines with batch information</t>
  </si>
  <si>
    <t>Pharmacist</t>
  </si>
  <si>
    <t>Patient / Retail Customer</t>
  </si>
  <si>
    <t>Dispense prescription/OTC medicines with mandatory batch number, expiry date, and MRP printed on bill</t>
  </si>
  <si>
    <t>Decrements specific BatchLot stock; captures batch and expiry on SalesItem for statutory traceability</t>
  </si>
  <si>
    <t>Supported via /pos and /sales/invoices/ with batch-selector popup and FEFO pre-selection.</t>
  </si>
  <si>
    <t>Pharmacist (Medical Shop)</t>
  </si>
  <si>
    <t>backend/inventory/models.py:BatchLot; backend/sales/models.py:SalesItem</t>
  </si>
  <si>
    <t>backend/tests/test_a11_a12_stock_cost.py; backend/tests/test_c02_lot_identity.py; backend/tests/test_cft_cross_flow.py</t>
  </si>
  <si>
    <t>P-0039</t>
  </si>
  <si>
    <t>Track batch-wise inventory</t>
  </si>
  <si>
    <t>Pharmacist / Inventory Staff</t>
  </si>
  <si>
    <t>Drug Inspector</t>
  </si>
  <si>
    <t>Maintain complete stock balances segregated by individual manufacturer batch lots</t>
  </si>
  <si>
    <t>Maintains BatchLot records linked to Product; tracks quantity, inward date, and cost per batch</t>
  </si>
  <si>
    <t>Supported via BatchLot and StockBalance models with batch-level audit history.</t>
  </si>
  <si>
    <t>Matched StockBalance in product code. This is not a functional test.</t>
  </si>
  <si>
    <t>backend/inventory/models.py:BatchLot; backend/inventory/models.py:StockBalance</t>
  </si>
  <si>
    <t>P-0040</t>
  </si>
  <si>
    <t>Track expiry dates</t>
  </si>
  <si>
    <t>Active monitoring of shelf-life across all pharmaceutical batches</t>
  </si>
  <si>
    <t>Categorizes stock into Expiry Bands (&gt;180 days, 90-180 days, &lt;90 days, Expired)</t>
  </si>
  <si>
    <t>Supported via /inventory/expiry-alerts/ with color-coded expiry countdowns.</t>
  </si>
  <si>
    <t>P-0041</t>
  </si>
  <si>
    <t>Flag/prevent expired-stock sales</t>
  </si>
  <si>
    <t>Drug Inspector / Regulatory Authority</t>
  </si>
  <si>
    <t>Strict system block preventing billing of medicines past their statutory expiration date</t>
  </si>
  <si>
    <t>Validates item expiry against transaction date; hard-blocks invoice completion if expired</t>
  </si>
  <si>
    <t>Core system invariant: billing expired BatchLot raises ValidationError and disables checkout.</t>
  </si>
  <si>
    <t>Matched ValidationError in product code. This is not a functional test.</t>
  </si>
  <si>
    <t>backend/inventory/models.py:BatchLot</t>
  </si>
  <si>
    <t>P-0042</t>
  </si>
  <si>
    <t>Identify near-expiry inventory</t>
  </si>
  <si>
    <t>Pharma Distributor</t>
  </si>
  <si>
    <t>Identify medicines nearing expiry (30/60/90 days) to initiate vendor return for credit</t>
  </si>
  <si>
    <t>Generates near-expiry stock report with vendor details for return debit note processing</t>
  </si>
  <si>
    <t>Supported via /inventory/expiry-alerts/ with 'Prepare Return to Vendor' batch action.</t>
  </si>
  <si>
    <t>P-0043</t>
  </si>
  <si>
    <t>Record purchases by batch</t>
  </si>
  <si>
    <t>Pharmacist / Store Manager</t>
  </si>
  <si>
    <t>Pharma Wholesaler</t>
  </si>
  <si>
    <t>Inward medicine purchases capturing manufacturer batch number, manufacturing date, expiry date, and MRP</t>
  </si>
  <si>
    <t>Creates or updates BatchLot records; increments batch quantity and updates latest purchase rate</t>
  </si>
  <si>
    <t>Supported via /purchases/invoices/create with batch lot table inputs per line item.</t>
  </si>
  <si>
    <t>P-0044</t>
  </si>
  <si>
    <t>Track medicine stock</t>
  </si>
  <si>
    <t>Maintain real-time available stock of strips, syrups, vials, and schedule drugs</t>
  </si>
  <si>
    <t>Maintains perpetual inventory ledger; prevents stockouts of life-saving medicines</t>
  </si>
  <si>
    <t>Supported via /inventory/products/ with multi-unit packaging support (Strip / Tablet).</t>
  </si>
  <si>
    <t>P-0045</t>
  </si>
  <si>
    <t>Handle medicine returns</t>
  </si>
  <si>
    <t>Accept patient returns of un-opened strips, verify batch identity, and issue credit/refund</t>
  </si>
  <si>
    <t>Validates that returned batch was originally sold on referenced invoice; restores batch stock</t>
  </si>
  <si>
    <t>Supported via SalesReturn with mandatory batch lot selection and condition grading.</t>
  </si>
  <si>
    <t>Matched SalesReturn in product code. This is not a functional test.</t>
  </si>
  <si>
    <t>P-0046</t>
  </si>
  <si>
    <t>Search medicines while billing</t>
  </si>
  <si>
    <t>Rapid search by brand name, generic composition / salt name, or barcode during billing</t>
  </si>
  <si>
    <t>Queries product catalog and active batch lots; displays composition, manufacturer, and stock</t>
  </si>
  <si>
    <t>Supported via multi-field indexed search (brand, salt, manufacturer, barcode) on POS.</t>
  </si>
  <si>
    <t>P-0047</t>
  </si>
  <si>
    <t>Maintain MRP and selling price</t>
  </si>
  <si>
    <t>Drug Price Regulator (NPPA)</t>
  </si>
  <si>
    <t>Enforce statutory Maximum Retail Price (MRP) compliance and apply pharmacy discounts</t>
  </si>
  <si>
    <t>Ensures selling price never exceeds statutory MRP; displays discount percentage clearly</t>
  </si>
  <si>
    <t>System validation rule: SP &lt;= MRP strictly enforced on all pharmaceutical SKUs.</t>
  </si>
  <si>
    <t>P-0048</t>
  </si>
  <si>
    <t>Track supplier-wise purchases</t>
  </si>
  <si>
    <t>Pharmacist / Owner</t>
  </si>
  <si>
    <t>Track purchase volumes, credit terms, and payment history per pharmaceutical distributor</t>
  </si>
  <si>
    <t>Maintains supplier purchase register; enables reconciliation of distributor statements</t>
  </si>
  <si>
    <t>Supported via /purchases/suppliers/ with comprehensive statement ledger.</t>
  </si>
  <si>
    <t>P-0049</t>
  </si>
  <si>
    <t>Generate GST-compliant medicine invoices</t>
  </si>
  <si>
    <t>Patient / B2B Hospital Client</t>
  </si>
  <si>
    <t>Generate invoices with Drug Licence numbers (Form 20B/21B), HSN, batch, expiry, and GST split</t>
  </si>
  <si>
    <t>Renders statutory pharmacy invoice template compliant with Drugs and Cosmetics Act and GST rules</t>
  </si>
  <si>
    <t>Supported via specialized Pharmacy Invoice PDF template showing DL numbers and batch grid.</t>
  </si>
  <si>
    <t>P-0050</t>
  </si>
  <si>
    <t>Identify expiry-risk stock</t>
  </si>
  <si>
    <t>Quantify total financial capital tied up in stock expiring within the next 90 days</t>
  </si>
  <si>
    <t>Calculates value at risk: SUM(Quantity * Cost Price) for all batches expiring within threshold</t>
  </si>
  <si>
    <t>Supported via Capital at Risk dashboard widget in Insights module.</t>
  </si>
  <si>
    <t>P-0051</t>
  </si>
  <si>
    <t>View profitability by item/category</t>
  </si>
  <si>
    <t>Medical Shop Owner</t>
  </si>
  <si>
    <t>Analyze gross margins across ethical drugs, generic medicines, OTC products, and surgicals</t>
  </si>
  <si>
    <t>Aggregates sales revenue and cost of goods sold grouped by drug category and manufacturer</t>
  </si>
  <si>
    <t>Supported via Category Profitability report (/reports/category-margins/).</t>
  </si>
  <si>
    <t>P-0052</t>
  </si>
  <si>
    <t>Create bulk sales invoices</t>
  </si>
  <si>
    <t>Wholesale Billing Clerk</t>
  </si>
  <si>
    <t>Retail Merchant / Dealer</t>
  </si>
  <si>
    <t>Create high-volume B2B tax invoices with tiered wholesale price lists, discounts, and credit terms</t>
  </si>
  <si>
    <t>Decrements warehouse stock, debits customer AR ledger, generates GST B2B tax invoice</t>
  </si>
  <si>
    <t>Supported via /sales/invoices/ with wholesale price list auto-application and bulk CSV entry.</t>
  </si>
  <si>
    <t>P-0053</t>
  </si>
  <si>
    <t>Process retailer orders</t>
  </si>
  <si>
    <t>Commercial Order Desk</t>
  </si>
  <si>
    <t>Retailer / Field Sales Agent</t>
  </si>
  <si>
    <t>Capture and validate bulk purchase orders submitted by retailers or field salesmen</t>
  </si>
  <si>
    <t>Creates SalesOrder in system; validates stock availability and credit status before confirmation</t>
  </si>
  <si>
    <t>Supported via /sales/orders/ with order-to-invoice conversion workflow.</t>
  </si>
  <si>
    <t>Other</t>
  </si>
  <si>
    <t>backend/sales/models.py:SalesOrder</t>
  </si>
  <si>
    <t>backend/tests/test_a13_a14_reporting_sales.py; backend/tests/test_a15_cr090_plus.py; backend/tests/test_b05_attention.py</t>
  </si>
  <si>
    <t>P-0054</t>
  </si>
  <si>
    <t>Allocate inventory against orders</t>
  </si>
  <si>
    <t>Warehouse Dispatcher</t>
  </si>
  <si>
    <t>Sales Desk</t>
  </si>
  <si>
    <t>Reserve inventory against confirmed retailer orders to prevent double-allocation</t>
  </si>
  <si>
    <t>Updates reserved_quantity on StockBalance; recalculates available_to_promise (ATP) stock</t>
  </si>
  <si>
    <t>Supported in SalesOrder confirmation: reserves stock prior to dispatch note generation.</t>
  </si>
  <si>
    <t>Matched SalesOrder in product code. This is not a functional test.</t>
  </si>
  <si>
    <t>Inventory / Warehouse</t>
  </si>
  <si>
    <t>backend/inventory/models.py:StockBalance; backend/sales/models.py:SalesOrder</t>
  </si>
  <si>
    <t>P-0055</t>
  </si>
  <si>
    <t>Generate delivery documents</t>
  </si>
  <si>
    <t>Logistics Dispatcher</t>
  </si>
  <si>
    <t>Delivery Driver / Transport Agency</t>
  </si>
  <si>
    <t>Generate Delivery Challans and packing slips to accompany goods during transport</t>
  </si>
  <si>
    <t>Generates delivery document referencing SalesOrder/Invoice; records vehicle and driver details</t>
  </si>
  <si>
    <t>Supported via DeliveryChallan generator (/sales/delivery-challans/).</t>
  </si>
  <si>
    <t>Matched DeliveryChallan in product code. This is not a functional test.</t>
  </si>
  <si>
    <t>Logistics &amp; Delivery</t>
  </si>
  <si>
    <t>backend/sales/models.py:SalesOrder; backend/sales/models.py:DeliveryChallan</t>
  </si>
  <si>
    <t>P-0056</t>
  </si>
  <si>
    <t>Track pending customer orders</t>
  </si>
  <si>
    <t>Sales Manager</t>
  </si>
  <si>
    <t>Retailer</t>
  </si>
  <si>
    <t>Monitor backlog of unfulfilled or partially fulfilled sales orders</t>
  </si>
  <si>
    <t>Surfaces open orders grouped by dispatch status, aging days, and order value</t>
  </si>
  <si>
    <t>Supported via /sales/orders/?status=PENDING filter and dashboard backlog widget.</t>
  </si>
  <si>
    <t>Sales &amp; Growth</t>
  </si>
  <si>
    <t>P-0057</t>
  </si>
  <si>
    <t>Track customer outstanding</t>
  </si>
  <si>
    <t>Credit Controller / Owner</t>
  </si>
  <si>
    <t>Monitor wholesale receivables with aging analysis (0-30, 31-60, 61-90, 90+ days)</t>
  </si>
  <si>
    <t>Computes real-time AR aging per dealer; flags overdue accounts for payment collection</t>
  </si>
  <si>
    <t>Supported via /sales/reports/receivables-aging/ with drill-down to unpaid invoices.</t>
  </si>
  <si>
    <t>Business Owner</t>
  </si>
  <si>
    <t>P-0058</t>
  </si>
  <si>
    <t>Manage credit limits</t>
  </si>
  <si>
    <t>Enforce maximum allowed credit exposure and payment grace periods per retailer</t>
  </si>
  <si>
    <t>Validates total unpaid balance + new order value against customer.credit_limit; blocks if breached</t>
  </si>
  <si>
    <t>Hard validation check in SalesService.create; blocks invoice completion without Owner override.</t>
  </si>
  <si>
    <t>Matched SalesService in product code. This is not a functional test.</t>
  </si>
  <si>
    <t>backend/sales/services.py:SalesService</t>
  </si>
  <si>
    <t>backend/tests/test_a10_period_centralization.py; backend/tests/test_a13_a14_reporting_sales.py; backend/tests/test_chaos_resilience.py</t>
  </si>
  <si>
    <t>P-0059</t>
  </si>
  <si>
    <t>Record customer collections</t>
  </si>
  <si>
    <t>Accounts Cashier</t>
  </si>
  <si>
    <t>Record high-value NEFT, RTGS, cheque, or cash collections from retailers</t>
  </si>
  <si>
    <t>Creates Payment record; matches and closes specific open invoices; updates bank ledger</t>
  </si>
  <si>
    <t>Supported via /payments/create with multi-bill allocation and TDS deduction support.</t>
  </si>
  <si>
    <t>P-0060</t>
  </si>
  <si>
    <t>Track supplier purchases</t>
  </si>
  <si>
    <t>Procurement Manager</t>
  </si>
  <si>
    <t>Manufacturing Principal</t>
  </si>
  <si>
    <t>Track large-scale procurement purchase orders and supplier dispatch consignments</t>
  </si>
  <si>
    <t>Tracks PO fulfillment percentage, received shipments, and outstanding supplier liabilities</t>
  </si>
  <si>
    <t>Supported via /purchases/orders/ and supplier ledger dashboard.</t>
  </si>
  <si>
    <t>Purchase Manager</t>
  </si>
  <si>
    <t>P-0061</t>
  </si>
  <si>
    <t>Manage large inventory volumes</t>
  </si>
  <si>
    <t>Warehouse Custodian</t>
  </si>
  <si>
    <t>Efficient tracking and auditing of thousands of SKUs across pallet racks and storage bins</t>
  </si>
  <si>
    <t>Provides bulk inventory search, location tagging, and barcode-based inventory reconciliation</t>
  </si>
  <si>
    <t>Supported via optimized paginated inventory ledger with sub-second SKU queries.</t>
  </si>
  <si>
    <t>P-0062</t>
  </si>
  <si>
    <t>Transfer stock between warehouses</t>
  </si>
  <si>
    <t>Logistics Coordinator</t>
  </si>
  <si>
    <t>Warehouse Staff</t>
  </si>
  <si>
    <t>Move goods between central hub and regional spoke godowns with transit tracking</t>
  </si>
  <si>
    <t>Decrements source godown, stages stock in-transit, increments destination godown upon receipt</t>
  </si>
  <si>
    <t>Supported via StockTransfer workflow (status: DRAFT -&gt; IN_TRANSIT -&gt; RECEIVED).</t>
  </si>
  <si>
    <t>Matched StockTransfer in product code. This is not a functional test.</t>
  </si>
  <si>
    <t>WH</t>
  </si>
  <si>
    <t>Multi-godown and multi-store</t>
  </si>
  <si>
    <t>backend/inventory/models.py:StockTransfer</t>
  </si>
  <si>
    <t>backend/tests/test_a10_period_centralization.py; backend/tests/test_a11_a12_stock_cost.py; backend/tests/test_phase4_inventory.py</t>
  </si>
  <si>
    <t>P-0063</t>
  </si>
  <si>
    <t>Track batch/serial inventory</t>
  </si>
  <si>
    <t>Maintain complete lifecycle and warranty traceability of serialized and batched SKUs</t>
  </si>
  <si>
    <t>Tracks serial numbers (status: AVAILABLE, SOLD, RETURNED) and batch lots with expiry dates</t>
  </si>
  <si>
    <t>Supported via SerialNumber and BatchLot models across sales and purchase flows.</t>
  </si>
  <si>
    <t>Matched SerialNumber in product code. This is not a functional test.</t>
  </si>
  <si>
    <t>backend/inventory/models.py:SerialNumber; backend/inventory/models.py:BatchLot</t>
  </si>
  <si>
    <t>backend/tests/test_a6_manual_serial_return.py; backend/tests/test_b4_b5_notes_serial.py; backend/tests/test_c02_lot_identity.py</t>
  </si>
  <si>
    <t>P-0064</t>
  </si>
  <si>
    <t>Track expiry-risk stock</t>
  </si>
  <si>
    <t>Warehouse Manager</t>
  </si>
  <si>
    <t>Principal Supplier</t>
  </si>
  <si>
    <t>Detect perishable or near-expiry wholesale stock to negotiate vendor return or clearance</t>
  </si>
  <si>
    <t>Surfaces aggregate stock value expiring within 30/60/90 days; generates supplier claim list</t>
  </si>
  <si>
    <t>Supported via Expiry Risk Dashboard in Inventory reporting.</t>
  </si>
  <si>
    <t>P-0065</t>
  </si>
  <si>
    <t>Analyze customer profitability</t>
  </si>
  <si>
    <t>Commercial Director</t>
  </si>
  <si>
    <t>Evaluate gross margin and net profit contribution generated by each retail dealer</t>
  </si>
  <si>
    <t>Aggregates total sales, discounts given, and cost of goods sold per customer account</t>
  </si>
  <si>
    <t>Supported via Customer Profitability Analysis Report (/reports/customer-profitability/).</t>
  </si>
  <si>
    <t>P-0066</t>
  </si>
  <si>
    <t>Analyze product profitability</t>
  </si>
  <si>
    <t>Product Manager</t>
  </si>
  <si>
    <t>Identify highest and lowest margin brand categories to optimize procurement volume commitments</t>
  </si>
  <si>
    <t>Computes product contribution margin after supplier rebates, discounts, and direct freight</t>
  </si>
  <si>
    <t>Supported via Product Margin Matrix Report (/reports/product-margins/).</t>
  </si>
  <si>
    <t>Platform Admin</t>
  </si>
  <si>
    <t>P-0067</t>
  </si>
  <si>
    <t>Reconcile receivables and payments</t>
  </si>
  <si>
    <t>Senior Accountant</t>
  </si>
  <si>
    <t>Regular ledger reconciliation with retail dealers to clear mismatched balances and disputes</t>
  </si>
  <si>
    <t>Generates unified customer statement showing invoices, debit/credit notes, and payment receipts</t>
  </si>
  <si>
    <t>Supported via Customer Statement Generator with PDF/Excel shareable link.</t>
  </si>
  <si>
    <t>P-0068</t>
  </si>
  <si>
    <t>Single-Godown Distributor</t>
  </si>
  <si>
    <t>Receive stock into godown</t>
  </si>
  <si>
    <t>Godown Custodian</t>
  </si>
  <si>
    <t>Delivery Carrier / Supplier</t>
  </si>
  <si>
    <t>Verify received physical goods against supplier delivery challan and inward into stock</t>
  </si>
  <si>
    <t>Creates StockMovement (INWARD_PURCHASE); updates physical on-hand quantity</t>
  </si>
  <si>
    <t>Supported in Purchase Invoice complete flow; auto-generates stock inward movement.</t>
  </si>
  <si>
    <t>Stock</t>
  </si>
  <si>
    <t>P-0069</t>
  </si>
  <si>
    <t>Allocate stock to customer orders</t>
  </si>
  <si>
    <t>Assign physical bin stock to pending sales orders for picking and packing</t>
  </si>
  <si>
    <t>Updates reserved inventory quantity, preventing duplicate commitment of stock</t>
  </si>
  <si>
    <t>Supported via order reservation mechanism in sales processing.</t>
  </si>
  <si>
    <t>P-0070</t>
  </si>
  <si>
    <t>Pick and dispatch customer orders</t>
  </si>
  <si>
    <t>Logistics Driver</t>
  </si>
  <si>
    <t>Generate pick list, pull items from shelves, pack, and prepare dispatch consignment</t>
  </si>
  <si>
    <t>Changes sales order status to DISPATCHED; attaches vehicle and driver details</t>
  </si>
  <si>
    <t>Supported via Pick List printing and Delivery Challan generation.</t>
  </si>
  <si>
    <t>P-0071</t>
  </si>
  <si>
    <t>Track available and committed stock</t>
  </si>
  <si>
    <t>Sales Team</t>
  </si>
  <si>
    <t>Distinguish between total physical on-hand stock and uncommitted available-to-sell stock</t>
  </si>
  <si>
    <t>Computes available_stock = on_hand_stock - committed_order_stock in real time</t>
  </si>
  <si>
    <t>Supported via StockBalance model displaying on_hand vs available columns.</t>
  </si>
  <si>
    <t>P-0072</t>
  </si>
  <si>
    <t>Track damaged stock</t>
  </si>
  <si>
    <t>Supplier / Claims Adjuster</t>
  </si>
  <si>
    <t>Quarantine broken, leaking, or damaged items into a non-saleable virtual location</t>
  </si>
  <si>
    <t>Transfers inventory to DAMAGED warehouse bin; excludes from available-to-sell inventory</t>
  </si>
  <si>
    <t>Supported via internal StockAdjustment with reason='DAMAGED' or transfer to Quarantine.</t>
  </si>
  <si>
    <t>Matched StockAdjustment in product code. This is not a functional test.</t>
  </si>
  <si>
    <t>P-0073</t>
  </si>
  <si>
    <t>Track returned stock</t>
  </si>
  <si>
    <t>Retailer / Delivery Driver</t>
  </si>
  <si>
    <t>Inspect goods returned from customer delivery, verify condition, and route to shelf or scrap</t>
  </si>
  <si>
    <t>Records return receipt, verifies line items, restores inventory if sellable</t>
  </si>
  <si>
    <t>Supported via SalesReturn inspection step with condition tagging (Sellable / Damaged).</t>
  </si>
  <si>
    <t>P-0074</t>
  </si>
  <si>
    <t>Perform physical stock verification</t>
  </si>
  <si>
    <t>Internal Auditor</t>
  </si>
  <si>
    <t>Periodic wall-to-wall or cycle count of physical warehouse inventory</t>
  </si>
  <si>
    <t>Opens StockCountSession; freezes count lines, records physical counts, highlights variances</t>
  </si>
  <si>
    <t>Supported via /inventory/stock-counts/ workflow with blind-count support.</t>
  </si>
  <si>
    <t>backend/inventory/models.py:StockCountSession</t>
  </si>
  <si>
    <t>backend/tests/test_c01_godown.py; backend/tests/personas/test_pj_stock_audit_and_adjustments.py</t>
  </si>
  <si>
    <t>P-0075</t>
  </si>
  <si>
    <t>Identify inventory discrepancies</t>
  </si>
  <si>
    <t>Identify shrinkage, misplacements, or count mismatches between system and physical count</t>
  </si>
  <si>
    <t>Generates Variance Report showing quantity difference and financial impact per SKU</t>
  </si>
  <si>
    <t>Supported via StockCountSession variance analysis before formal approval.</t>
  </si>
  <si>
    <t>Matched StockCountSession in product code. This is not a functional test.</t>
  </si>
  <si>
    <t>P-0076</t>
  </si>
  <si>
    <t>Generate stock valuation</t>
  </si>
  <si>
    <t>In-house Accountant</t>
  </si>
  <si>
    <t>External CA</t>
  </si>
  <si>
    <t>Compute total monetary value of inventory holding for balance sheet and tax reporting</t>
  </si>
  <si>
    <t>Multiplies current stock balance by FIFO cost layer or weighted average purchase cost</t>
  </si>
  <si>
    <t>Supported via /reports/inventory-valuation/ compliant with AS-2 / Ind-AS 2 valuation rules.</t>
  </si>
  <si>
    <t>P-0077</t>
  </si>
  <si>
    <t>Track FIFO inventory costing</t>
  </si>
  <si>
    <t>Auditor</t>
  </si>
  <si>
    <t>Ensure cost of goods sold reflects oldest inward purchase prices according to FIFO principles</t>
  </si>
  <si>
    <t>Maintains inward cost layers; consumes earliest available layer upon each outward sale</t>
  </si>
  <si>
    <t>Core system invariant: inventory valuation engine strictly follows FIFO cost layering.</t>
  </si>
  <si>
    <t>P-0078</t>
  </si>
  <si>
    <t>Monitor reorder requirements</t>
  </si>
  <si>
    <t>Monitor minimum stock thresholds and generate replenishment recommendations</t>
  </si>
  <si>
    <t>Evaluates lead time and daily burn rate to recommend purchase order quantities</t>
  </si>
  <si>
    <t>Supported via /inventory/reorder-report/ with one-click PO draft generation.</t>
  </si>
  <si>
    <t>P-0079</t>
  </si>
  <si>
    <t>Multi-Godown Distributor</t>
  </si>
  <si>
    <t>View consolidated inventory</t>
  </si>
  <si>
    <t>Logistics Director / Owner</t>
  </si>
  <si>
    <t>Godown Managers</t>
  </si>
  <si>
    <t>Single unified dashboard showing total stock holding across all godowns and regional hubs</t>
  </si>
  <si>
    <t>Aggregates StockBalance across all Warehouse entities for the tenant company</t>
  </si>
  <si>
    <t>Supported via /inventory/ with 'All Godowns' view and location filter dropdown.</t>
  </si>
  <si>
    <t>P-0080</t>
  </si>
  <si>
    <t>Check stock by location</t>
  </si>
  <si>
    <t>Wholesale Sales Clerk</t>
  </si>
  <si>
    <t>Godown Keepers</t>
  </si>
  <si>
    <t>Check exact stock availability at specific warehouse locations during order booking</t>
  </si>
  <si>
    <t>Filters StockBalance table by specific warehouse_id to confirm localized dispatch capability</t>
  </si>
  <si>
    <t>Supported across all billing and inventory screens via Warehouse selector.</t>
  </si>
  <si>
    <t>P-0081</t>
  </si>
  <si>
    <t>Transfer stock between godowns</t>
  </si>
  <si>
    <t>Source &amp; Dest Godown Custodians</t>
  </si>
  <si>
    <t>Execute formalized transfer of goods from central replenishment hub to regional depot</t>
  </si>
  <si>
    <t>Creates StockTransfer record; records dispatch, transit insurance, and receipt confirmation</t>
  </si>
  <si>
    <t>Supported via /inventory/transfers/ with full multi-stage state machine.</t>
  </si>
  <si>
    <t>P-0082</t>
  </si>
  <si>
    <t>Allocate orders to the appropriate godown</t>
  </si>
  <si>
    <t>Commercial Manager</t>
  </si>
  <si>
    <t>Route customer order fulfillment to the nearest godown holding sufficient stock</t>
  </si>
  <si>
    <t>Assigns warehouse_id to sales invoice lines, optimizing delivery freight and transit time</t>
  </si>
  <si>
    <t>Supported in SalesOrder fulfillment routing; supports line-item warehouse allocation.</t>
  </si>
  <si>
    <t>P-0083</t>
  </si>
  <si>
    <t>Track inter-godown transfers</t>
  </si>
  <si>
    <t>Logistics Manager</t>
  </si>
  <si>
    <t>Transport Vendor</t>
  </si>
  <si>
    <t>Monitor stock in-transit between company warehouses to prevent theft and shrinkage</t>
  </si>
  <si>
    <t>Tracks shipment status (IN_TRANSIT); alerts if expected arrival date is exceeded</t>
  </si>
  <si>
    <t>Supported via StockTransfer in-transit tracking and overdue transfer alerts.</t>
  </si>
  <si>
    <t>P-0084</t>
  </si>
  <si>
    <t>Compare godown-wise sales</t>
  </si>
  <si>
    <t>Managing Proprietor</t>
  </si>
  <si>
    <t>Branch Managers</t>
  </si>
  <si>
    <t>Analyze sales revenue and volume contribution generated by each warehouse or depot</t>
  </si>
  <si>
    <t>Aggregates sales invoices grouped by source warehouse_id over specified date range</t>
  </si>
  <si>
    <t>Supported via /reports/warehouse-sales/ comparative report.</t>
  </si>
  <si>
    <t>P-0085</t>
  </si>
  <si>
    <t>Compare godown-wise profitability</t>
  </si>
  <si>
    <t>Evaluate gross profit and operating efficiency across different regional godowns</t>
  </si>
  <si>
    <t>Computes location-specific gross margin and cross-references localized handling expenses</t>
  </si>
  <si>
    <t>Supported via Branch/Warehouse Profit &amp; Loss breakdown report.</t>
  </si>
  <si>
    <t>P-0086</t>
  </si>
  <si>
    <t>Identify stock imbalance</t>
  </si>
  <si>
    <t>Detect overstocked items in one depot and stockouts in another to trigger rebalancing</t>
  </si>
  <si>
    <t>Compares days of stock cover per SKU across warehouses; highlights rebalance candidates</t>
  </si>
  <si>
    <t>Supported via Inventory Balancing report with auto-generated StockTransfer draft.</t>
  </si>
  <si>
    <t>Matched StockTransfer in product code. This is not a functional test. Restored to authored P2. The previous workbook had P3 after a keyword rebalance.</t>
  </si>
  <si>
    <t>P-0087</t>
  </si>
  <si>
    <t>Perform location-wise stock audits</t>
  </si>
  <si>
    <t>Internal Audit Team</t>
  </si>
  <si>
    <t>Local Godown Keepers</t>
  </si>
  <si>
    <t>Conduct physical inventory counts independently at specific regional warehouses</t>
  </si>
  <si>
    <t>Scoped StockCountSession locked to a specific warehouse_id without halting other depots</t>
  </si>
  <si>
    <t>Supported in /inventory/stock-counts/ with warehouse-isolated audit sessions.</t>
  </si>
  <si>
    <t>External CA / Auditor</t>
  </si>
  <si>
    <t>P-0088</t>
  </si>
  <si>
    <t>Track inventory movement across locations</t>
  </si>
  <si>
    <t>Complete audit trail of all inward, outward, and transfer movements for any SKU across locations</t>
  </si>
  <si>
    <t>Queries immutable StockMovement ledger filtered by SKU and warehouse_id with chronological replay</t>
  </si>
  <si>
    <t>Supported via SKU Movement Ledger (/inventory/products/{id}/movements/).</t>
  </si>
  <si>
    <t>P-0089</t>
  </si>
  <si>
    <t>Multi-Shop Owner</t>
  </si>
  <si>
    <t>View all shops from one dashboard</t>
  </si>
  <si>
    <t>Multi-Shop Managing Proprietor</t>
  </si>
  <si>
    <t>Store Managers</t>
  </si>
  <si>
    <t>Executive real-time visibility into consolidated revenue, cash collections, and stock across all outlets</t>
  </si>
  <si>
    <t>Consolidates live data across all retail branch locations on a single unified screen</t>
  </si>
  <si>
    <t>Supported via Multi-Store Executive Dashboard with outlet switching and consolidated totals.</t>
  </si>
  <si>
    <t>P-0090</t>
  </si>
  <si>
    <t>Compare shop sales</t>
  </si>
  <si>
    <t>Benchmark daily and monthly sales performance between retail store branches</t>
  </si>
  <si>
    <t>Generates comparative sales bar charts and tabular metrics broken down by store outlet</t>
  </si>
  <si>
    <t>Supported via /reports/multi-store-comparison/ with ranking by sales and footfall.</t>
  </si>
  <si>
    <t>P-0091</t>
  </si>
  <si>
    <t>Compare shop profitability</t>
  </si>
  <si>
    <t>Analyze net profit contributions of individual store locations after outlet operating expenses</t>
  </si>
  <si>
    <t>Matches outlet revenue against localized cost of goods sold, rent, utilities, and payroll</t>
  </si>
  <si>
    <t>Supported via Cost Center / Store P&amp;L report (/accounting/cost-centers/).</t>
  </si>
  <si>
    <t>P-0092</t>
  </si>
  <si>
    <t>Transfer inventory between shops</t>
  </si>
  <si>
    <t>Store Manager / Central Coordinator</t>
  </si>
  <si>
    <t>Store Cashiers</t>
  </si>
  <si>
    <t>Quick transfer of fast-moving items from low-demand shop to high-demand shop</t>
  </si>
  <si>
    <t>Generates inter-shop delivery challan; updates source and destination shop stock balances</t>
  </si>
  <si>
    <t>Supported via StockTransfer mechanism with store-to-store transfer presets.</t>
  </si>
  <si>
    <t>P-0093</t>
  </si>
  <si>
    <t>Monitor shop-wise inventory</t>
  </si>
  <si>
    <t>Inventory Controller</t>
  </si>
  <si>
    <t>Store Keepers</t>
  </si>
  <si>
    <t>Audit stock holding levels at each individual retail outlet to prevent stockouts</t>
  </si>
  <si>
    <t>Displays real-time inventory balances broken down by store location</t>
  </si>
  <si>
    <t>Supported via /inventory/ with outlet-specific balance views.</t>
  </si>
  <si>
    <t>P-0094</t>
  </si>
  <si>
    <t>Monitor shop-wise cash collections</t>
  </si>
  <si>
    <t>Managing Proprietor / Auditor</t>
  </si>
  <si>
    <t>Track physical cash collected at each store drawer and verify bank deposits</t>
  </si>
  <si>
    <t>Aggregates daily shift-close cash reports per branch; highlights cash deposit variances</t>
  </si>
  <si>
    <t>Supported via /accounting/cash-desks/ with store-wise till reconciliation.</t>
  </si>
  <si>
    <t>P-0095</t>
  </si>
  <si>
    <t>Monitor shop-wise outstanding</t>
  </si>
  <si>
    <t>Store Credit Staff</t>
  </si>
  <si>
    <t>Monitor customer khata and credit receivables originated across different retail stores</t>
  </si>
  <si>
    <t>Segments accounts receivable ledger by originating store location; tracks local recovery</t>
  </si>
  <si>
    <t>Supported via Customer Ledger filtered by branch/store origin.</t>
  </si>
  <si>
    <t>P-0096</t>
  </si>
  <si>
    <t>Consolidate business performance</t>
  </si>
  <si>
    <t>Generate company-wide Profit &amp; Loss statement, Balance Sheet, and Trial Balance</t>
  </si>
  <si>
    <t>Consolidates all financial journal entries into master double-entry general ledger</t>
  </si>
  <si>
    <t>Supported via /accounting/reports/ (Trial Balance, P&amp;L, Balance Sheet) with consolidated rollup.</t>
  </si>
  <si>
    <t>P-0097</t>
  </si>
  <si>
    <t>Identify underperforming locations</t>
  </si>
  <si>
    <t>Regional Manager</t>
  </si>
  <si>
    <t>Identify stores failing to meet sales targets, gross margin benchmarks, or inventory turnover</t>
  </si>
  <si>
    <t>Highlights outlets with falling sales velocity, high discount rates, or excessive dead stock</t>
  </si>
  <si>
    <t>Supported via Store Performance Matrix in Insights module.</t>
  </si>
  <si>
    <t>P-0098</t>
  </si>
  <si>
    <t>Manage centralized product masters</t>
  </si>
  <si>
    <t>Catalog Manager / Admin</t>
  </si>
  <si>
    <t>Maintain uniform product catalog, barcodes, HSN codes, and standard pricing across all outlets</t>
  </si>
  <si>
    <t>Changes made to central Product master propagate instantly to all store POS terminals</t>
  </si>
  <si>
    <t>Core system invariant: Product catalog is company-scoped; synchronized across all branches.</t>
  </si>
  <si>
    <t>P-0099</t>
  </si>
  <si>
    <t>Control user access by shop</t>
  </si>
  <si>
    <t>System Administrator</t>
  </si>
  <si>
    <t>Store Staff</t>
  </si>
  <si>
    <t>Restrict store staff to accessing only their assigned shop's billing and inventory records</t>
  </si>
  <si>
    <t>Enforces Row-Level Security (RLS) and warehouse assignment guards on API and UI</t>
  </si>
  <si>
    <t>Supported via CompanyUser.assigned_warehouses and tenant permission boundaries.</t>
  </si>
  <si>
    <t>Matched CompanyUser in product code. This is not a functional test.</t>
  </si>
  <si>
    <t>backend/accounts/models.py:CompanyUser</t>
  </si>
  <si>
    <t>backend/tests/conftest.py; backend/tests/test_a03_preview.py; backend/tests/test_attention_outcomes.py</t>
  </si>
  <si>
    <t>P-0100</t>
  </si>
  <si>
    <t>Accountant / GST Operator</t>
  </si>
  <si>
    <t>Review sales transactions</t>
  </si>
  <si>
    <t>Billing Operators</t>
  </si>
  <si>
    <t>Audit all sales invoices for correct customer GSTIN, tax classification, and rate splits</t>
  </si>
  <si>
    <t>Validates tax calculation accuracy; confirms invoice number sequencing and ledger postings</t>
  </si>
  <si>
    <t>Supported via /sales/invoices/ with audit status filters and tax split breakdown.</t>
  </si>
  <si>
    <t>P-0101</t>
  </si>
  <si>
    <t>Review purchase transactions</t>
  </si>
  <si>
    <t>Verify supplier bills for accurate Input Tax Credit (ITC) eligibility and reverse charge</t>
  </si>
  <si>
    <t>Matches invoice amounts against purchase entries; validates supplier GSTIN active status</t>
  </si>
  <si>
    <t>Supported via /purchases/invoices/ with ITC eligibility flags.</t>
  </si>
  <si>
    <t>P-0102</t>
  </si>
  <si>
    <t>Validate GST data</t>
  </si>
  <si>
    <t>Automated validation of all outward and inward transactions before statutory return generation</t>
  </si>
  <si>
    <t>Runs GST Guard rules: checks GSTIN checksum, HSN mandatory digits, state code vs Place of Supply</t>
  </si>
  <si>
    <t>Supported via GST Guard validation engine; surfaces actionable error cards on invalid records.</t>
  </si>
  <si>
    <t>P-0103</t>
  </si>
  <si>
    <t>Identify missing GST information</t>
  </si>
  <si>
    <t>Billing Clerk</t>
  </si>
  <si>
    <t>Detect customer or supplier records with missing GSTIN, state code, or blank HSN</t>
  </si>
  <si>
    <t>Filters transactions with missing statutory fields; flags documents blocking clean tax filing</t>
  </si>
  <si>
    <t>Supported via /gst/missing-data/ exception queue with inline resolution.</t>
  </si>
  <si>
    <t>P-0104</t>
  </si>
  <si>
    <t>Reconcile purchase records with GST data</t>
  </si>
  <si>
    <t>Supplier / Tax Consultant</t>
  </si>
  <si>
    <t>Reconcile inward purchase invoices recorded in books against government GSTR-2B portal data</t>
  </si>
  <si>
    <t>Matches supplier GSTIN, invoice number, date, taxable value, and tax amounts; categorizes matches</t>
  </si>
  <si>
    <t>Supported via GSTR-2B automated reconciliation engine (/gst/gstr2b-recon/).</t>
  </si>
  <si>
    <t>P-0105</t>
  </si>
  <si>
    <t>Review GSTR-2B/IMS information</t>
  </si>
  <si>
    <t>Import and analyze official GSTR-2B JSON and Invoice Management System (IMS) feeds</t>
  </si>
  <si>
    <t>Parses official GSTR-2B JSON format; displays matched, mismatched, and supplier-missing invoices</t>
  </si>
  <si>
    <t>Supported via GSTR-2B JSON import parser and IMS reconciliation view.</t>
  </si>
  <si>
    <t>P-0106</t>
  </si>
  <si>
    <t>Accept/reject/pending invoice actions</t>
  </si>
  <si>
    <t>Mark recipient actions (Accept, Reject, Keep Pending) on supplier invoices per IMS guidelines</t>
  </si>
  <si>
    <t>Records recipient decision; exports structured action JSON for upload to GST IMS portal</t>
  </si>
  <si>
    <t>Supported via IMS Action Dashboard with bulk Accept/Reject/Pending decision tagging.</t>
  </si>
  <si>
    <t>P-0107</t>
  </si>
  <si>
    <t>Identify ITC at risk</t>
  </si>
  <si>
    <t>Flag inward invoices where supplier has not uploaded to GSTR-1, putting input tax credit at risk</t>
  </si>
  <si>
    <t>Quantifies blocked/risky ITC; generates automated supplier payment hold alert</t>
  </si>
  <si>
    <t>Supported via ITC at Risk dashboard with direct supplier notification generator.</t>
  </si>
  <si>
    <t>P-0108</t>
  </si>
  <si>
    <t>Track Section 16(4) deadlines</t>
  </si>
  <si>
    <t>Track statutory deadlines (30th November following financial year) for claiming unclaimed ITC</t>
  </si>
  <si>
    <t>Alerts accountant to aging purchase invoices approaching Section 16(4) time-bar limit</t>
  </si>
  <si>
    <t>Supported via Section 16(4) Expiry Warning widget in GST Health report.</t>
  </si>
  <si>
    <t>P-0109</t>
  </si>
  <si>
    <t>Identify supplier invoice defects</t>
  </si>
  <si>
    <t>Score and rank suppliers based on frequency of tax mismatches, delayed filing, and incorrect GSTINs</t>
  </si>
  <si>
    <t>Maintains supplier compliance score; alerts purchase team before issuing repeat orders</t>
  </si>
  <si>
    <t>Supported via Supplier Compliance &amp; Defect Matrix (/purchases/supplier-scores/).</t>
  </si>
  <si>
    <t>P-0110</t>
  </si>
  <si>
    <t>Prepare GST returns</t>
  </si>
  <si>
    <t>Generate offline computation worksheets for GSTR-1 (Outward), GSTR-3B (Summary), and CMP-08</t>
  </si>
  <si>
    <t>Compiles summary tables (B2B, B2CL, B2CS, CDNR, HSN summary); generates compliant offline JSON</t>
  </si>
  <si>
    <t>Supported via /gst/gstr1/ and /gst/gstr3b/ with government offline utility JSON export.</t>
  </si>
  <si>
    <t>P-0111</t>
  </si>
  <si>
    <t>Export accounting data</t>
  </si>
  <si>
    <t>External CA (Tally Operator)</t>
  </si>
  <si>
    <t>Export complete financial books and vouchers into standard Tally XML or Excel format</t>
  </si>
  <si>
    <t>Exports chart of accounts, sales vouchers, purchase vouchers, and journal entries in Tally-compatible XML</t>
  </si>
  <si>
    <t>Supported via /accounting/export/tally-xml/ and standard CSV/Excel book exports.</t>
  </si>
  <si>
    <t>P-0112</t>
  </si>
  <si>
    <t>Reconcile books with GST records</t>
  </si>
  <si>
    <t>Cross-reconcile output tax ledgers with GSTR-1 and input tax ledgers with GSTR-3B/2B</t>
  </si>
  <si>
    <t>Generates tax liability reconciliation statement; identifies accounting ledger adjustments</t>
  </si>
  <si>
    <t>Supported via Book-to-GST Reconciliation worksheet.</t>
  </si>
  <si>
    <t>P-0113</t>
  </si>
  <si>
    <t>Identify duplicate transactions</t>
  </si>
  <si>
    <t>Detect duplicate sales or purchase entries with identical invoice number, date, or amount</t>
  </si>
  <si>
    <t>Scans transaction tables for duplicate signatures; alerts accountant before period close</t>
  </si>
  <si>
    <t>Built-in unique database constraint (company_id, supplier_id, invoice_number) and duplicate scanner.</t>
  </si>
  <si>
    <t>Matched invoice_number in product code. This is not a functional test.</t>
  </si>
  <si>
    <t>P-0114</t>
  </si>
  <si>
    <t>Identify tax calculation errors</t>
  </si>
  <si>
    <t>System Admin</t>
  </si>
  <si>
    <t>Identify rounding discrepancies or incorrect tax rate applications across historical vouchers</t>
  </si>
  <si>
    <t>Validates line-item tax sum against invoice total tax; highlights fractional rounding variances</t>
  </si>
  <si>
    <t>Core system invariant: line-item and document total tax calculations strictly match Rule 46.</t>
  </si>
  <si>
    <t>Statutory Auditor (MCA/GST)</t>
  </si>
  <si>
    <t>Immutable change log capturing who edited, approved, or cancelled any financial transaction</t>
  </si>
  <si>
    <t>Stores timestamp, user ID, IP address, previous value, and new value for every record mutation</t>
  </si>
  <si>
    <t>Supported via Django SimpleHistory and immutable ActivityLog; satisfies MCA audit trail mandates.</t>
  </si>
  <si>
    <t>django-simple-history is not a dependency. The note names the wrong audit mechanism. 2026-10-04: hash chain (core/services/audit_chain.py) and append-only guard (tests/test_audit_append_only.py, not re-run) exist. Full coverage of every transaction type not verified.</t>
  </si>
  <si>
    <t>Built - partial</t>
  </si>
  <si>
    <t>P-0116</t>
  </si>
  <si>
    <t>See today's business performance</t>
  </si>
  <si>
    <t>Business Owner ('Sethji')</t>
  </si>
  <si>
    <t>Morning and evening executive snapshot of daily sales, cash collections, and pending orders</t>
  </si>
  <si>
    <t>Displays high-level KPI cards (Total Sales, Cash In, Unpaid Bills, Net Margin) on mobile or desktop</t>
  </si>
  <si>
    <t>Supported via Owner Executive Dashboard and automated daily summary WhatsApp/Email digest.</t>
  </si>
  <si>
    <t>P-0117</t>
  </si>
  <si>
    <t>See sales, purchases and profit together</t>
  </si>
  <si>
    <t>Unified bird's-eye view comparing revenue, procurement expenditure, and gross operating profit</t>
  </si>
  <si>
    <t>Aggregates monthly sales vs purchases vs gross margin on a synchronized comparative timeline</t>
  </si>
  <si>
    <t>Supported via Executive Business Overview dashboard (/insights/).</t>
  </si>
  <si>
    <t>P-0118</t>
  </si>
  <si>
    <t>Identify outstanding receivables</t>
  </si>
  <si>
    <t>Identify top debtors and total market credit outstanding to drive debt collection</t>
  </si>
  <si>
    <t>Ranks customers by total outstanding balance and oldest overdue days; enables instant chasing</t>
  </si>
  <si>
    <t>Supported via Debtor Summary card with one-click WhatsApp payment reminder dispatch.</t>
  </si>
  <si>
    <t>P-0119</t>
  </si>
  <si>
    <t>Identify overdue payments</t>
  </si>
  <si>
    <t>Credit Controller</t>
  </si>
  <si>
    <t>Pinpoint critically overdue bills crossing credit grace periods (30+ days)</t>
  </si>
  <si>
    <t>Filters receivables aging &gt; 30 days; calculates interest exposure and bad debt risk</t>
  </si>
  <si>
    <t>Supported via Overdue Invoices screen with priority chasing flags.</t>
  </si>
  <si>
    <t>P-0120</t>
  </si>
  <si>
    <t>Identify low-stock products</t>
  </si>
  <si>
    <t>Spot high-selling inventory running low to approve emergency supplier purchase orders</t>
  </si>
  <si>
    <t>Displays top 20 revenue-generating SKUs currently at or below minimum reorder buffer</t>
  </si>
  <si>
    <t>Supported via Executive Alert widget: 'Critical Stockout Threats'.</t>
  </si>
  <si>
    <t>P-0121</t>
  </si>
  <si>
    <t>Identify profitable products</t>
  </si>
  <si>
    <t>Discover products delivering highest gross margin percentage to promote in marketing campaigns</t>
  </si>
  <si>
    <t>Ranks catalog by gross margin contribution (Gross Profit / Sales Revenue)</t>
  </si>
  <si>
    <t>Supported via Product Margin Leaderboard in Insights module.</t>
  </si>
  <si>
    <t>P-0122</t>
  </si>
  <si>
    <t>Identify loss-making products</t>
  </si>
  <si>
    <t>Identify items being sold below purchase cost or suffering heavy discounting</t>
  </si>
  <si>
    <t>Flags transactions where Selling Price &lt; Unit Cost; alerts owner to pricing or discounting errors</t>
  </si>
  <si>
    <t>Supported via Negative Margin Alert audit report.</t>
  </si>
  <si>
    <t>P-0123</t>
  </si>
  <si>
    <t>Compare performance across periods</t>
  </si>
  <si>
    <t>Compare current month/quarter revenue and profits against previous period or previous year (MoM/YoY)</t>
  </si>
  <si>
    <t>Generates comparative period graphs showing percentage growth or contraction across metrics</t>
  </si>
  <si>
    <t>Supported via Period Trend Analysis Report (/reports/period-comparison/).</t>
  </si>
  <si>
    <t>P-0124</t>
  </si>
  <si>
    <t>Monitor GST liability</t>
  </si>
  <si>
    <t>Anticipate net GST cash tax payout due on the 20th of the month to plan cashflow reserves</t>
  </si>
  <si>
    <t>Computes estimated Net GST Payable = Output Tax Liability - Eligible Input Tax Credit (ITC)</t>
  </si>
  <si>
    <t>Supported via Real-time GST Liability Estimator in Insights module.</t>
  </si>
  <si>
    <t>P-0125</t>
  </si>
  <si>
    <t>Monitor cash flow</t>
  </si>
  <si>
    <t>30-day forward-looking cash flow forecast balancing expected customer collections vs vendor payables</t>
  </si>
  <si>
    <t>Projects net bank balance based on invoice due dates, scheduled payables, and recurring expenses</t>
  </si>
  <si>
    <t>Supported via CashflowForecastRun engine in insights app (/insights/cashflow/).</t>
  </si>
  <si>
    <t>Matched CashflowForecastRun in product code. This is not a functional test.</t>
  </si>
  <si>
    <t>backend/insights/models.py:CashflowForecastRun</t>
  </si>
  <si>
    <t>backend/tests/test_phase6_insights.py</t>
  </si>
  <si>
    <t>P-0126</t>
  </si>
  <si>
    <t>Review business alerts</t>
  </si>
  <si>
    <t>Central notification feed highlighting critical operational exceptions (credit breach, negative stock, refund)</t>
  </si>
  <si>
    <t>Surfaces high-priority BusinessAlertEvent cards requiring owner attention or intervention</t>
  </si>
  <si>
    <t>Supported via Attention / Alert Feed on Owner Home Screen.</t>
  </si>
  <si>
    <t>backend/insights/models.py:BusinessAlertEvent</t>
  </si>
  <si>
    <t>P-0127</t>
  </si>
  <si>
    <t>Drill down from KPI to transactions</t>
  </si>
  <si>
    <t>Click on any summary KPI number (e.g. Sales, Expenses) to inspect underlying source vouchers</t>
  </si>
  <si>
    <t>Opens filtered transaction ledger displaying the specific invoices or journal lines composing the KPI</t>
  </si>
  <si>
    <t>Supported across all dashboard metric cards; full bidirectional transaction drill-down.</t>
  </si>
  <si>
    <t>P-0128</t>
  </si>
  <si>
    <t>Approve important business actions</t>
  </si>
  <si>
    <t>Staff Requestors</t>
  </si>
  <si>
    <t>Authorize sensitive actions: credit limit overrides, manual stock write-offs, discount exceptions</t>
  </si>
  <si>
    <t>Review pending approval queue; approve or reject with recorded digital signature and comments</t>
  </si>
  <si>
    <t>Supported via Manager Approval workflow and authorization modal prompts.</t>
  </si>
  <si>
    <t>core</t>
  </si>
  <si>
    <t>P-0129</t>
  </si>
  <si>
    <t>Create a customer/order</t>
  </si>
  <si>
    <t>Field Salesperson</t>
  </si>
  <si>
    <t>Retailer / Dealer</t>
  </si>
  <si>
    <t>Book sales order while visiting retailer premises using mobile phone or tablet</t>
  </si>
  <si>
    <t>Creates SalesOrder draft with customer pricing, items, and delivery instructions; syncs to server</t>
  </si>
  <si>
    <t>Supported via Mobile PWA / Capacitor Android app (/sales/orders/create).</t>
  </si>
  <si>
    <t>CRM</t>
  </si>
  <si>
    <t>Sales and CRM lifecycle</t>
  </si>
  <si>
    <t>crm</t>
  </si>
  <si>
    <t>Sales</t>
  </si>
  <si>
    <t>P-0130</t>
  </si>
  <si>
    <t>Search customer history</t>
  </si>
  <si>
    <t>View customer's past orders, favorite products, and payment track record before negotiating</t>
  </si>
  <si>
    <t>Displays historical order timeline, average order value, and preferred SKUs</t>
  </si>
  <si>
    <t>Supported via Customer 360 profile view on mobile sales interface.</t>
  </si>
  <si>
    <t>P-0131</t>
  </si>
  <si>
    <t>Create a quotation</t>
  </si>
  <si>
    <t>Prospective B2B Client</t>
  </si>
  <si>
    <t>Generate professional quotation PDF with itemized prices, validity period, and payment terms</t>
  </si>
  <si>
    <t>Creates Quotation record; computes applicable taxes and discounts; generates shareable PDF</t>
  </si>
  <si>
    <t>Supported via /sales/quotations/create with WhatsApp share button.</t>
  </si>
  <si>
    <t>P-0132</t>
  </si>
  <si>
    <t>Convert quotation into an order</t>
  </si>
  <si>
    <t>One-click conversion of accepted quotation into an active sales order without re-typing</t>
  </si>
  <si>
    <t>Clones Quotation items into SalesOrder, marks quotation as CONVERTED, reserves inventory</t>
  </si>
  <si>
    <t>Supported via Quotation 'Convert to Order' action in Quotation detail view.</t>
  </si>
  <si>
    <t>P-0133</t>
  </si>
  <si>
    <t>Check product availability</t>
  </si>
  <si>
    <t>Godown Keeper</t>
  </si>
  <si>
    <t>Check real-time warehouse available-to-promise (ATP) stock before confirming delivery dates</t>
  </si>
  <si>
    <t>Queries central stock balance deducting currently reserved customer orders</t>
  </si>
  <si>
    <t>Supported on mobile sales screen with instant SKU stock check.</t>
  </si>
  <si>
    <t>P-0134</t>
  </si>
  <si>
    <t>Record customer follow-up</t>
  </si>
  <si>
    <t>Log meeting notes, scheduled calls, and follow-up reminders for open quotations</t>
  </si>
  <si>
    <t>Creates CRM activity log attached to customer account; sets calendar reminder</t>
  </si>
  <si>
    <t>Supported via CRM interaction log (/crm/activities/).</t>
  </si>
  <si>
    <t>P-0135</t>
  </si>
  <si>
    <t>Track pending orders</t>
  </si>
  <si>
    <t>Track dispatch and delivery progress of booked customer orders to update clients</t>
  </si>
  <si>
    <t>Displays order fulfillment status (CONFIRMED, PICKED, DISPATCHED, DELIVERED)</t>
  </si>
  <si>
    <t>Supported in mobile order dashboard with status tracking badges.</t>
  </si>
  <si>
    <t>P-0136</t>
  </si>
  <si>
    <t>Record customer payment</t>
  </si>
  <si>
    <t>Customer / Cashier</t>
  </si>
  <si>
    <t>Collect on-site cash, cheque, or initiate UPI QR payment from customer during field visit</t>
  </si>
  <si>
    <t>Creates payment collection receipt; updates customer outstanding subject to cashier verification</t>
  </si>
  <si>
    <t>Supported via Mobile Payment Collection screen with receipt issuance.</t>
  </si>
  <si>
    <t>P-0137</t>
  </si>
  <si>
    <t>View customer outstanding</t>
  </si>
  <si>
    <t>Check retailer's current unpaid balance and available credit limit before accepting new order</t>
  </si>
  <si>
    <t>Displays total balance, overdue aging, and remaining credit buffer</t>
  </si>
  <si>
    <t>Supported on customer card in mobile sales booking flow.</t>
  </si>
  <si>
    <t>P-0138</t>
  </si>
  <si>
    <t>Track sales performance</t>
  </si>
  <si>
    <t>Track personal monthly sales achievement against assigned sales quota and commission target</t>
  </si>
  <si>
    <t>Computes personal sales volume, order count, and gross margin contribution for the month</t>
  </si>
  <si>
    <t>Supported via Sales Rep Performance Leaderboard (/reports/sales-team/).</t>
  </si>
  <si>
    <t>P-0139</t>
  </si>
  <si>
    <t>Create a purchase order</t>
  </si>
  <si>
    <t>Supplier / Manufacturer</t>
  </si>
  <si>
    <t>Generate formal Purchase Order (PO) with negotiated rates, delivery dates, and payment credit terms</t>
  </si>
  <si>
    <t>Creates PurchaseOrder document; records line items, taxes, and agreed shipping terms</t>
  </si>
  <si>
    <t>Supported via /purchases/orders/create with PDF export and vendor email/WhatsApp share.</t>
  </si>
  <si>
    <t>Buyer</t>
  </si>
  <si>
    <t>backend/purchases/models.py:PurchaseOrder</t>
  </si>
  <si>
    <t>backend/tests/test_inventory_replenishment.py; backend/tests/test_supplier_price_history.py; backend/tests/tenancy/test_schema_constraints.py</t>
  </si>
  <si>
    <t>P-0140</t>
  </si>
  <si>
    <t>Send/order products from supplier</t>
  </si>
  <si>
    <t>Transmit approved purchase orders to vendors and track order confirmation status</t>
  </si>
  <si>
    <t>Updates PO status to SENT; logs delivery commitment date and vendor acknowledgment</t>
  </si>
  <si>
    <t>Supported via PO status workflow (DRAFT -&gt; APPROVED -&gt; SENT -&gt; CONFIRMED).</t>
  </si>
  <si>
    <t>P-0141</t>
  </si>
  <si>
    <t>Receive goods against purchase order</t>
  </si>
  <si>
    <t>P-0142</t>
  </si>
  <si>
    <t>Record GRN</t>
  </si>
  <si>
    <t>Purchase Manager / Godown Custodian</t>
  </si>
  <si>
    <t>Formalize physical goods receipt note documenting actual counted quantity, batch, and condition</t>
  </si>
  <si>
    <t>Increments warehouse inventory; creates physical receipt record before vendor bill arrives</t>
  </si>
  <si>
    <t>Supported via Goods Receipt Note (GRN) workflow in purchases app.</t>
  </si>
  <si>
    <t>P-0143</t>
  </si>
  <si>
    <t>Compare ordered versus received quantities</t>
  </si>
  <si>
    <t>Detect short-shipments, excess shipments, or back-orders against original purchase order</t>
  </si>
  <si>
    <t>Calculates line-by-line quantity variance; keeps PO partially open if balance remains</t>
  </si>
  <si>
    <t>Automated 2-way matching in GRN/Purchase intake interface.</t>
  </si>
  <si>
    <t>P-0144</t>
  </si>
  <si>
    <t>Record damaged/short stock</t>
  </si>
  <si>
    <t>Document transit breakage, shortages, or defective goods for debit note recovery</t>
  </si>
  <si>
    <t>Logs damaged quantity on GRN; routes damaged items to quarantine; triggers supplier claim</t>
  </si>
  <si>
    <t>Supported via GRN rejection / damage line items with photo attachment.</t>
  </si>
  <si>
    <t>P-0145</t>
  </si>
  <si>
    <t>Update supplier invoice</t>
  </si>
  <si>
    <t>Purchase Manager / Accountant</t>
  </si>
  <si>
    <t>Enter final vendor tax invoice, matching line rates, GST, and extra freight charges against PO</t>
  </si>
  <si>
    <t>Completes PurchaseInvoice; updates Accounts Payable and finalizes inventory valuation</t>
  </si>
  <si>
    <t>Supported via /purchases/invoices/ with PO matching and 3-way reconciliation.</t>
  </si>
  <si>
    <t>backend/purchases/models.py:PurchaseInvoice</t>
  </si>
  <si>
    <t>backend/tests/test_a03_preview.py; backend/tests/test_a11_a12_stock_cost.py; backend/tests/test_a13_a14_reporting_sales.py</t>
  </si>
  <si>
    <t>P-0146</t>
  </si>
  <si>
    <t>Accounts Payable Munshi</t>
  </si>
  <si>
    <t>Monitor company liabilities to suppliers to ensure on-time settlement and preserve credit terms</t>
  </si>
  <si>
    <t>Displays total payables, due dates, and aging buckets across all active vendors</t>
  </si>
  <si>
    <t>Supported via Supplier Payables Aging Dashboard (/purchases/suppliers/).</t>
  </si>
  <si>
    <t>Duplicate of P-0028</t>
  </si>
  <si>
    <t>P-0147</t>
  </si>
  <si>
    <t>Identify best-priced suppliers</t>
  </si>
  <si>
    <t>Compare historical purchase prices across multiple vendors for the same raw material or SKU</t>
  </si>
  <si>
    <t>Analyzes historical purchase bills; highlights supplier offering lowest landed cost</t>
  </si>
  <si>
    <t>Supported via Vendor Price Comparison Matrix report (/reports/vendor-rates/).</t>
  </si>
  <si>
    <t>P-0148</t>
  </si>
  <si>
    <t>Review supplier performance</t>
  </si>
  <si>
    <t>Evaluate vendors on delivery punctuality, order fill rate, and quality rejection percentage</t>
  </si>
  <si>
    <t>Computes vendor score: on-time delivery %, fill rate %, defect %, and price stability</t>
  </si>
  <si>
    <t>Supported via Supplier Performance Scorecard (/purchases/vendor-metrics/).</t>
  </si>
  <si>
    <t>P-0149</t>
  </si>
  <si>
    <t>Inventory Manager</t>
  </si>
  <si>
    <t>View current inventory</t>
  </si>
  <si>
    <t>Godown Staff</t>
  </si>
  <si>
    <t>Comprehensive view of current on-hand, committed, and available stock across all product lines</t>
  </si>
  <si>
    <t>Displays real-time stock balances, warehouse distribution, reorder levels, and valuation</t>
  </si>
  <si>
    <t>Supported via /inventory/ with multi-warehouse filters and instant SKU search.</t>
  </si>
  <si>
    <t>P-0150</t>
  </si>
  <si>
    <t>Receive stock</t>
  </si>
  <si>
    <t>Inventory Manager / Custodian</t>
  </si>
  <si>
    <t>Authorize and record physical stock inwarding from supplier deliveries or internal transfers</t>
  </si>
  <si>
    <t>Generates StockMovement (INWARD_PURCHASE); updates warehouse inventory ledger</t>
  </si>
  <si>
    <t>Supported via Goods Receipt and Purchase completion flows.</t>
  </si>
  <si>
    <t>P-0151</t>
  </si>
  <si>
    <t>Transfer stock</t>
  </si>
  <si>
    <t>Direct and authorize movement of stock between storage godowns, packing areas, or retail floors</t>
  </si>
  <si>
    <t>Creates and dispatches StockTransfer; adjusts source and destination ledger balances</t>
  </si>
  <si>
    <t>Supported via /inventory/transfers/ with transfer challan generation.</t>
  </si>
  <si>
    <t>P-0152</t>
  </si>
  <si>
    <t>Adjust stock with authorization</t>
  </si>
  <si>
    <t>Business Owner / Auditor</t>
  </si>
  <si>
    <t>Make formal manual stock adjustments for shrinkage, breakage, or opening stock corrections</t>
  </si>
  <si>
    <t>Requires manager authorization; writes StockMovement (COUNT_ADJUSTMENT) with mandatory reason</t>
  </si>
  <si>
    <t>Supported via /inventory/adjustments/ with dual-approval requirement.</t>
  </si>
  <si>
    <t>P-0153</t>
  </si>
  <si>
    <t>Record damaged stock</t>
  </si>
  <si>
    <t>Scrap Dealer / Insurance Adjuster</t>
  </si>
  <si>
    <t>Record and isolate damaged or spoiled goods into designated non-saleable bin</t>
  </si>
  <si>
    <t>Transfers items out of active saleable stock into damaged holding; logs write-off value</t>
  </si>
  <si>
    <t>Supported via StockAdjustment with reason code 'DAMAGED_WRITE_OFF'.</t>
  </si>
  <si>
    <t>P-0154</t>
  </si>
  <si>
    <t>Record returned stock</t>
  </si>
  <si>
    <t>Billing Team</t>
  </si>
  <si>
    <t>Process incoming customer returns, inspect package integrity, and return to saleable bins</t>
  </si>
  <si>
    <t>Verifies returned goods, updates StockBalance (RETURN_INWARD), tags condition</t>
  </si>
  <si>
    <t>Supported via SalesReturn inspection step with inventory restoration toggle.</t>
  </si>
  <si>
    <t>backend/inventory/models.py:StockBalance; backend/sales/models.py:SalesReturn</t>
  </si>
  <si>
    <t>P-0155</t>
  </si>
  <si>
    <t>Perform stock count</t>
  </si>
  <si>
    <t>Counting Staff</t>
  </si>
  <si>
    <t>Conduct scheduled physical inventory audits using barcode scanners or mobile tally sheets</t>
  </si>
  <si>
    <t>Initializes StockCountSession; captures scanned counts against frozen snapshot</t>
  </si>
  <si>
    <t>Supported via /inventory/stock-counts/ with blind counting and scanner support.</t>
  </si>
  <si>
    <t>P-0156</t>
  </si>
  <si>
    <t>Reconcile physical versus system stock</t>
  </si>
  <si>
    <t>Compare actual physical count against system book balance to uncover stock variances</t>
  </si>
  <si>
    <t>Generates Variance Ledger detailing overages, shortages, and net financial discrepancy</t>
  </si>
  <si>
    <t>Supported via StockCountSession discrepancy analysis dashboard.</t>
  </si>
  <si>
    <t>P-0157</t>
  </si>
  <si>
    <t>Track batch/serial numbers</t>
  </si>
  <si>
    <t>Customer Service</t>
  </si>
  <si>
    <t>Track complete movement history of individual serial numbers or manufacturer batch lots</t>
  </si>
  <si>
    <t>Maintains comprehensive lifecycle history: origin PO -&gt; godown -&gt; transfer -&gt; sales invoice</t>
  </si>
  <si>
    <t>Supported via Serial/Batch Traceability Explorer (/inventory/traceability/).</t>
  </si>
  <si>
    <t>P-0158</t>
  </si>
  <si>
    <t>Track expiry</t>
  </si>
  <si>
    <t>Enforce First-Expiry-First-Out (FEFO) rules and track impending shelf-life expirations</t>
  </si>
  <si>
    <t>Sorts available batches by expiry date; restricts allocation of expiring lots</t>
  </si>
  <si>
    <t>Core system invariant: FEFO auto-selection in warehouse picking and billing.</t>
  </si>
  <si>
    <t>P-0159</t>
  </si>
  <si>
    <t>Calculate inventory valuation</t>
  </si>
  <si>
    <t>Accountant / Auditor</t>
  </si>
  <si>
    <t>Calculate total balance sheet inventory value based on FIFO cost layers</t>
  </si>
  <si>
    <t>Computes total asset value: SUM(Stock Layer Quantity * Layer Unit Cost)</t>
  </si>
  <si>
    <t>Supported via Inventory Valuation Ledger (/reports/inventory-valuation/).</t>
  </si>
  <si>
    <t>P-0160</t>
  </si>
  <si>
    <t>Investigate stock discrepancies</t>
  </si>
  <si>
    <t>Security / Store Auditor</t>
  </si>
  <si>
    <t>Drill into transaction logs to uncover root cause of missing stock (theft, unbilled dispatch, count error)</t>
  </si>
  <si>
    <t>Replays all inward, outward, and transfer movements chronologically for disputed SKU</t>
  </si>
  <si>
    <t>Supported via SKU Timeline Explorer with audit trail log.</t>
  </si>
  <si>
    <t>P-0161</t>
  </si>
  <si>
    <t>Review inventory movement history</t>
  </si>
  <si>
    <t>Audit chronological log of every stock increment and decrement across the company</t>
  </si>
  <si>
    <t>Queries immutable StockMovement table with filters for movement type, user, and date</t>
  </si>
  <si>
    <t>Supported via /inventory/movements/ with export to Excel/CSV.</t>
  </si>
  <si>
    <t>P-0162</t>
  </si>
  <si>
    <t>Receive invoice</t>
  </si>
  <si>
    <t>Receive transparent, itemized invoice via paper print, SMS link, or WhatsApp message</t>
  </si>
  <si>
    <t>Provides proof of purchase, warranty record, and tax breakdown for input tax credit</t>
  </si>
  <si>
    <t>Supported via digital invoice web view and WhatsApp share link.</t>
  </si>
  <si>
    <t>External party</t>
  </si>
  <si>
    <t>External Party (Customer / Supplier)</t>
  </si>
  <si>
    <t>P-0163</t>
  </si>
  <si>
    <t>View purchase history</t>
  </si>
  <si>
    <t>Review past orders, reorder previous items, and track order fulfillment status</t>
  </si>
  <si>
    <t>Accesses self-service customer ledger or order summary link</t>
  </si>
  <si>
    <t>Supported via Customer Portal / shared statement link.</t>
  </si>
  <si>
    <t>P-0164</t>
  </si>
  <si>
    <t>Receive dues information</t>
  </si>
  <si>
    <t>Accountant / Cashier</t>
  </si>
  <si>
    <t>Receive clear, polite payment reminders showing total unpaid credit balance and due date</t>
  </si>
  <si>
    <t>Displays list of outstanding invoices with embedded UPI quick-payment link</t>
  </si>
  <si>
    <t>Supported via Automated WhatsApp payment reminder engine.</t>
  </si>
  <si>
    <t>P-0165</t>
  </si>
  <si>
    <t>Make payment</t>
  </si>
  <si>
    <t>Cashier / Payment Gateway</t>
  </si>
  <si>
    <t>Pay outstanding balance easily via Cash, UPI QR, Debit/Credit Card, or NetBanking</t>
  </si>
  <si>
    <t>Generates immediate payment receipt; reduces customer outstanding balance in real time</t>
  </si>
  <si>
    <t>Supported via dynamic UPI QR on POS and online payment link.</t>
  </si>
  <si>
    <t>P-0166</t>
  </si>
  <si>
    <t>Request return</t>
  </si>
  <si>
    <t>Customer Support / Clerk</t>
  </si>
  <si>
    <t>Initiate return request for defective, damaged, or wrongly supplied products</t>
  </si>
  <si>
    <t>Generates return request ticket; captures reason and invoice reference</t>
  </si>
  <si>
    <t>Supported via SalesReturn draft initiation with invoice lookup.</t>
  </si>
  <si>
    <t>P-0167</t>
  </si>
  <si>
    <t>Request replacement</t>
  </si>
  <si>
    <t>Store Clerk</t>
  </si>
  <si>
    <t>Request exchange of damaged product for a fresh replacement unit</t>
  </si>
  <si>
    <t>Links return voucher with replacement sales order; balances financial difference</t>
  </si>
  <si>
    <t>Supported via Return &amp; Exchange workflow in POS interface.</t>
  </si>
  <si>
    <t>P-0168</t>
  </si>
  <si>
    <t>View outstanding balance</t>
  </si>
  <si>
    <t>Store Owner</t>
  </si>
  <si>
    <t>Verify running khata statement to confirm payments have been correctly credited</t>
  </si>
  <si>
    <t>Generates statement showing all historical purchases, payments, and running balance</t>
  </si>
  <si>
    <t>Supported via Customer Statement PDF export and WhatsApp share.</t>
  </si>
  <si>
    <t>Matched WhatsApp in product code. This is not a functional test. Restored to authored P2. The previous workbook had P3 after a keyword rebalance.</t>
  </si>
  <si>
    <t>P-0169</t>
  </si>
  <si>
    <t>Receive order/status updates</t>
  </si>
  <si>
    <t>Delivery Driver</t>
  </si>
  <si>
    <t>Receive SMS or WhatsApp notifications when order is confirmed, packed, dispatched, and delivered</t>
  </si>
  <si>
    <t>Maintains customer transparency and reduces inbound status inquiry calls</t>
  </si>
  <si>
    <t>Supported via automated order event webhook and WhatsApp status triggers.</t>
  </si>
  <si>
    <t>P-0170</t>
  </si>
  <si>
    <t>Receive purchase/order information</t>
  </si>
  <si>
    <t>Supplier / Vendor</t>
  </si>
  <si>
    <t>Receive structured purchase order detailing required SKUs, quantities, and delivery timeframe</t>
  </si>
  <si>
    <t>Provides binding commercial order for manufacturer or distributor fulfillment</t>
  </si>
  <si>
    <t>Supported via PO PDF generation and automated email/WhatsApp dispatch.</t>
  </si>
  <si>
    <t>P-0171</t>
  </si>
  <si>
    <t>Provide invoice</t>
  </si>
  <si>
    <t>Submit tax invoice and delivery challan accompanying physical shipment</t>
  </si>
  <si>
    <t>Serves as legal basis for buyer's inventory intake and Input Tax Credit (ITC) claim</t>
  </si>
  <si>
    <t>Supported via Supplier Bill intake and OCR/LLM document extraction (/purchases/upload/).</t>
  </si>
  <si>
    <t>P-0172</t>
  </si>
  <si>
    <t>Track payment status</t>
  </si>
  <si>
    <t>Verify payment remittance status, UTR numbers, and TDS certificates</t>
  </si>
  <si>
    <t>Reduces payment disputes; provides payment advice referencing paid invoices</t>
  </si>
  <si>
    <t>Supported via Payment Advice generation and supplier statement export.</t>
  </si>
  <si>
    <t>P-0173</t>
  </si>
  <si>
    <t>View outstanding amount</t>
  </si>
  <si>
    <t>Reconcile trade receivables against buyer's records to resolve balance discrepancies</t>
  </si>
  <si>
    <t>Generates supplier ledger statement matching buyer's Accounts Payable against supplier's AR</t>
  </si>
  <si>
    <t>Supported via /purchases/suppliers/{id}/statement/ export.</t>
  </si>
  <si>
    <t>P-0174</t>
  </si>
  <si>
    <t>Handle purchase returns</t>
  </si>
  <si>
    <t>Accept returned defective or expired goods and issue corresponding credit note</t>
  </si>
  <si>
    <t>Matches buyer's PurchaseDebitNote; adjusts supplier's outstanding ledger balance</t>
  </si>
  <si>
    <t>Supported via PurchaseDebitNote reconciliation workflow.</t>
  </si>
  <si>
    <t>Matched PurchaseDebitNote in product code. This is not a functional test.</t>
  </si>
  <si>
    <t>P-0175</t>
  </si>
  <si>
    <t>Resolve invoice discrepancies</t>
  </si>
  <si>
    <t>Resolve billing discrepancies regarding rates, discounts, freight charges, or tax amounts</t>
  </si>
  <si>
    <t>Enables line-item adjustment and supplementary credit/debit note matching</t>
  </si>
  <si>
    <t>Supported via Purchase Invoice revision / discrepancy resolution interface.</t>
  </si>
  <si>
    <t>P-0176</t>
  </si>
  <si>
    <t>Admin / System Owner</t>
  </si>
  <si>
    <t>Create and manage business users</t>
  </si>
  <si>
    <t>Company Users</t>
  </si>
  <si>
    <t>Onboard employees, assign login credentials, and manage active/deactivated user status</t>
  </si>
  <si>
    <t>Creates User and CompanyUser records; controls login authentication and session access</t>
  </si>
  <si>
    <t>Supported via /settings/users/ with role assignment and invitation management.</t>
  </si>
  <si>
    <t>Admin</t>
  </si>
  <si>
    <t>P-0177</t>
  </si>
  <si>
    <t>Configure roles and permissions</t>
  </si>
  <si>
    <t>Department Heads</t>
  </si>
  <si>
    <t>Define granular access control rules (RBAC) across sales, purchases, inventory, and accounting</t>
  </si>
  <si>
    <t>Enforces permission checks across UI routes and REST API endpoints</t>
  </si>
  <si>
    <t>Supported via Role Permission Matrix (Owner, Manager, Sales Staff, Inventory Staff, Accountant).</t>
  </si>
  <si>
    <t>P-0178</t>
  </si>
  <si>
    <t>Configure business settings</t>
  </si>
  <si>
    <t>Configure company profile, legal name, registered address, logo, currency, and financial year</t>
  </si>
  <si>
    <t>Updates Company master model; sets default behaviors for documents and system operations</t>
  </si>
  <si>
    <t>Supported via /settings/company/ profile management.</t>
  </si>
  <si>
    <t>P-0179</t>
  </si>
  <si>
    <t>Configure GST information</t>
  </si>
  <si>
    <t>Configure company GSTIN, legal registered trade name, state code, and tax filing frequency</t>
  </si>
  <si>
    <t>Sets up CompanyGstin records; defines Place of Supply rules for intra-state vs inter-state taxes</t>
  </si>
  <si>
    <t>Supported via /settings/gst/ with active GSTIN validation and composition scheme toggles.</t>
  </si>
  <si>
    <t>backend/accounts/models.py:CompanyGstin</t>
  </si>
  <si>
    <t>backend/tests/test_audit_p0_decisions.py; backend/tests/test_b06_020_cross_tenant_membership_gstin.py; backend/tests/test_help_codes_live.py</t>
  </si>
  <si>
    <t>P-0180</t>
  </si>
  <si>
    <t>Configure branches/godowns</t>
  </si>
  <si>
    <t>Logistics Team</t>
  </si>
  <si>
    <t>Register company warehouse locations, storage godowns, and retail branch stores</t>
  </si>
  <si>
    <t>Creates Warehouse records; assigns default dispatch godowns and user location mappings</t>
  </si>
  <si>
    <t>Supported via /settings/warehouses/ with location address and contact details.</t>
  </si>
  <si>
    <t>P-0181</t>
  </si>
  <si>
    <t>Configure taxes and HSN</t>
  </si>
  <si>
    <t>Configure standard tax rate slabs (0%, 5%, 12%, 18%, 28%) and custom cess rules</t>
  </si>
  <si>
    <t>Configures TaxRate models; enables automated line-item tax calculation during billing</t>
  </si>
  <si>
    <t>Supported via /settings/taxes/ with support for per-unit cess and compensation cess.</t>
  </si>
  <si>
    <t>backend/masters/models.py:TaxRate</t>
  </si>
  <si>
    <t>P-0182</t>
  </si>
  <si>
    <t>Configure invoice templates</t>
  </si>
  <si>
    <t>Billing Clerks</t>
  </si>
  <si>
    <t>Customize invoice layout, thermal slip sizes (2-inch vs 3-inch), bank account details, and terms</t>
  </si>
  <si>
    <t>Updates PDF rendering configuration; customizes header logo, signature block, and QR placement</t>
  </si>
  <si>
    <t>Supported via /settings/invoice-templates/ with live visual preview.</t>
  </si>
  <si>
    <t>P-0183</t>
  </si>
  <si>
    <t>Configure integrations</t>
  </si>
  <si>
    <t>Set up external messaging (WhatsApp Web, SMS gateway), payment gateways, and printer settings</t>
  </si>
  <si>
    <t>Stores integration credentials safely; configures webhook endpoints and API keys</t>
  </si>
  <si>
    <t>Supported via /settings/integrations/ (WhatsApp Web, UPI QR, Thermal Printers).</t>
  </si>
  <si>
    <t>P-0184</t>
  </si>
  <si>
    <t>Review system activity</t>
  </si>
  <si>
    <t>Security Auditor</t>
  </si>
  <si>
    <t>Monitor real-time user logins, transaction throughput, and active user sessions</t>
  </si>
  <si>
    <t>Surfaces operational event telemetry; highlights anomalous login attempts or high failure rates</t>
  </si>
  <si>
    <t>Supported via System Activity Dashboard and Django session monitoring.</t>
  </si>
  <si>
    <t>P-0185</t>
  </si>
  <si>
    <t>Review audit logs</t>
  </si>
  <si>
    <t>Statutory Auditor</t>
  </si>
  <si>
    <t>Inspect comprehensive immutable audit trail of all record creates, updates, and deletions</t>
  </si>
  <si>
    <t>Queries ActivityLog and simple_history tables; provides legal compliance evidence</t>
  </si>
  <si>
    <t>Supported via /settings/audit-logs/ with user, entity, and date filtering.</t>
  </si>
  <si>
    <t>P-0186</t>
  </si>
  <si>
    <t>Manage data imports/exports</t>
  </si>
  <si>
    <t>Manage bulk CSV/Excel data imports (Products, Customers, Stock) and full database backups</t>
  </si>
  <si>
    <t>Processes bulk asynchronous import jobs with error report generation; exports full datasets</t>
  </si>
  <si>
    <t>Supported via /settings/data-management/ with schema validation and dry-run previews.</t>
  </si>
  <si>
    <t>P-0187</t>
  </si>
  <si>
    <t>Manage backups/recovery</t>
  </si>
  <si>
    <t>Ensure automated daily database backups and test disaster recovery procedures</t>
  </si>
  <si>
    <t>Executes encrypted PostgreSQL pg_dump; archives to isolated secondary storage</t>
  </si>
  <si>
    <t>Supported via automated daily cron / scripts/backup.sh with point-in-time recovery capability.</t>
  </si>
  <si>
    <t>P-0188</t>
  </si>
  <si>
    <t>Monitor system health</t>
  </si>
  <si>
    <t>Monitor database connection pool, API latency, worker queue status, and disk storage usage</t>
  </si>
  <si>
    <t>Surfaces /health/ check endpoint metrics; alerts on memory exhaustion or queue lag</t>
  </si>
  <si>
    <t>Supported via /health/ endpoint and Prometheus/Grafana health probes.</t>
  </si>
  <si>
    <t>X-0189</t>
  </si>
  <si>
    <t>X</t>
  </si>
  <si>
    <t>Multiple / Cross-persona</t>
  </si>
  <si>
    <t>Customer order → salesperson records order → inventory availability is checked</t>
  </si>
  <si>
    <t>Retailer / Godown Keeper</t>
  </si>
  <si>
    <t>Salesperson books customer order with real-time stock verification</t>
  </si>
  <si>
    <t>Creates SalesOrder in DRAFT status; checks available-to-promise (ATP) stock in real time</t>
  </si>
  <si>
    <t>Supported via /sales/orders/create with real-time inventory ATP verification.</t>
  </si>
  <si>
    <t>X-0190</t>
  </si>
  <si>
    <t>Customer accepts quotation → quotation converts to sales order</t>
  </si>
  <si>
    <t>Approved quotation seamlessly converted to binding sales order without re-entry</t>
  </si>
  <si>
    <t>Marks Quotation as ACCEPTED; generates linked SalesOrder copying all line rates and terms</t>
  </si>
  <si>
    <t>X-0191</t>
  </si>
  <si>
    <t>Sales order → inventory is reserved → available stock is updated</t>
  </si>
  <si>
    <t>Commercial Sales Desk</t>
  </si>
  <si>
    <t>Inventory committed to confirmed order, preventing double-selling</t>
  </si>
  <si>
    <t>Increments reserved_stock and decrements available_stock on StockBalance model</t>
  </si>
  <si>
    <t>Core system invariant: order confirmation reserves stock atomically.</t>
  </si>
  <si>
    <t>X-0192</t>
  </si>
  <si>
    <t>Sales order → warehouse receives picking request</t>
  </si>
  <si>
    <t>Sales Coordinator</t>
  </si>
  <si>
    <t>Warehouse notified of confirmed order ready for picking and packing</t>
  </si>
  <si>
    <t>Generates warehouse PickList document grouped by godown rack and bin location</t>
  </si>
  <si>
    <t>Supported via PickList generator in Warehouse module.</t>
  </si>
  <si>
    <t>X-0193</t>
  </si>
  <si>
    <t>Warehouse picks stock → order becomes ready for dispatch</t>
  </si>
  <si>
    <t>Physical items retrieved from shelves, verified, and staged in dispatch bay</t>
  </si>
  <si>
    <t>Updates SalesOrder fulfillment status to READY_FOR_DISPATCH; locks picked batch numbers</t>
  </si>
  <si>
    <t>Supported via PickList fulfillment confirmation screen.</t>
  </si>
  <si>
    <t>X-0194</t>
  </si>
  <si>
    <t>Order dispatched → delivery status is recorded</t>
  </si>
  <si>
    <t>Delivery Driver / Transport Vendor</t>
  </si>
  <si>
    <t>Goods leave warehouse premises with formal delivery documentation</t>
  </si>
  <si>
    <t>Creates DeliveryChallan; logs vehicle number, driver contact, and dispatch timestamp</t>
  </si>
  <si>
    <t>Supported via /sales/delivery-challans/ with vehicle and driver logging.</t>
  </si>
  <si>
    <t>backend/sales/models.py:DeliveryChallan</t>
  </si>
  <si>
    <t>backend/tests/test_a10_period_centralization.py; backend/tests/test_phase1_documents.py; backend/tests/test_sales_purchase_ux_plan.py</t>
  </si>
  <si>
    <t>X-0195</t>
  </si>
  <si>
    <t>Delivery completed → invoice is generated</t>
  </si>
  <si>
    <t>Customer receives delivery and final legal tax invoice is issued</t>
  </si>
  <si>
    <t>Generates completed SalesInvoice; triggers accounting and statutory tax postings</t>
  </si>
  <si>
    <t>Supported via Challan-to-Invoice conversion workflow.</t>
  </si>
  <si>
    <t>X-0196</t>
  </si>
  <si>
    <t>Invoice generated → inventory is reduced</t>
  </si>
  <si>
    <t>System / Billing Engine</t>
  </si>
  <si>
    <t>Inventory on-hand balance decremented permanently upon invoice completion</t>
  </si>
  <si>
    <t>Creates append-only StockMovement record with movement_type='OUTWARD_SALE'</t>
  </si>
  <si>
    <t>Core system invariant: completing sales invoice permanently decrements warehouse inventory.</t>
  </si>
  <si>
    <t>System / Automation</t>
  </si>
  <si>
    <t>X-0197</t>
  </si>
  <si>
    <t>Invoice generated → customer receivable is created</t>
  </si>
  <si>
    <t>System / Ledger Engine</t>
  </si>
  <si>
    <t>Trade receivable created in customer ledger for credit tracking</t>
  </si>
  <si>
    <t>Debits Customer Accounts Receivable ledger account; credits Sales Revenue account in GL</t>
  </si>
  <si>
    <t>Core system invariant: SalesService.complete atomically posts double-entry GL voucher.</t>
  </si>
  <si>
    <t>Matched SalesService in product code. This is not a functional test. Restored to authored P1. The previous workbook had P0 after a keyword rebalance.</t>
  </si>
  <si>
    <t>X-0198</t>
  </si>
  <si>
    <t>Invoice generated → GST liability is calculated</t>
  </si>
  <si>
    <t>Tax Calculation Engine</t>
  </si>
  <si>
    <t>Statutory output tax calculated and recorded for government GST compliance</t>
  </si>
  <si>
    <t>Evaluates Place of Supply; posts CGST/SGST or IGST liability to GST output ledgers</t>
  </si>
  <si>
    <t>Supported via TaxEngine; populates GSTR-1 outward tax liability register.</t>
  </si>
  <si>
    <t>Matched TaxEngine in product code. This is not a functional test.</t>
  </si>
  <si>
    <t>backend/core/services/tax_engine/base.py:TaxEngine</t>
  </si>
  <si>
    <t>X-0199</t>
  </si>
  <si>
    <t>Customer pays → payment is recorded</t>
  </si>
  <si>
    <t>Customer settlement recorded via cash, UPI, bank transfer, or payment gateway</t>
  </si>
  <si>
    <t>Creates Payment record; links transaction reference, payment mode, and timestamp</t>
  </si>
  <si>
    <t>Supported via /payments/create with instant receipt generation.</t>
  </si>
  <si>
    <t>X-0200</t>
  </si>
  <si>
    <t>Payment recorded → customer outstanding decreases</t>
  </si>
  <si>
    <t>Customer khata/credit balance reduced immediately upon payment receipt</t>
  </si>
  <si>
    <t>Credits Customer AR ledger; debits Cash/Bank ledger; updates customer credit availability</t>
  </si>
  <si>
    <t>Core system invariant: derived ledger balance updates instantaneously on payment post.</t>
  </si>
  <si>
    <t>X-0201</t>
  </si>
  <si>
    <t>Partial payment → remaining outstanding is maintained</t>
  </si>
  <si>
    <t>Accurate tracking of partial settlements against open invoices</t>
  </si>
  <si>
    <t>Applies partial payment amount to invoice; updates invoice status to PARTIALLY_PAID</t>
  </si>
  <si>
    <t>Supported via PaymentAllocation model tracking exact remaining balance per invoice.</t>
  </si>
  <si>
    <t>Matched PaymentAllocation in product code. This is not a functional test.</t>
  </si>
  <si>
    <t>backend/payments/models.py:PaymentAllocation</t>
  </si>
  <si>
    <t>backend/tests/test_a07_dunning.py; backend/tests/test_a13_a14_reporting_sales.py; backend/tests/test_a15_cr090_plus.py</t>
  </si>
  <si>
    <t>X-0202</t>
  </si>
  <si>
    <t>Customer exceeds credit limit → sale/order is flagged or blocked</t>
  </si>
  <si>
    <t>Billing Clerk / Salesperson</t>
  </si>
  <si>
    <t>Prevent excessive credit exposure by blocking sales to over-limit customers</t>
  </si>
  <si>
    <t>Validates current customer balance + cart total against credit_limit; blocks checkout</t>
  </si>
  <si>
    <t>Core business invariant: hard validation guard; requires Owner override token to bypass.</t>
  </si>
  <si>
    <t>X-0203</t>
  </si>
  <si>
    <t>Invoice becomes overdue → receivable ageing changes</t>
  </si>
  <si>
    <t>System / Aging Engine</t>
  </si>
  <si>
    <t>Unpaid invoices automatically advance into aging overdue brackets (30, 60, 90+ days)</t>
  </si>
  <si>
    <t>Recalculates aging bucket based on invoice due_date; updates receivables aging report</t>
  </si>
  <si>
    <t>Supported via automated daily aging recalculation in reporting module.</t>
  </si>
  <si>
    <t>X-0204</t>
  </si>
  <si>
    <t>Overdue invoice → owner receives business alert</t>
  </si>
  <si>
    <t>Alert Notification Engine</t>
  </si>
  <si>
    <t>Proactive alert to business owner when key customer breaches overdue payment threshold</t>
  </si>
  <si>
    <t>Creates BusinessAlertEvent record; pushes high-priority notification to owner dashboard</t>
  </si>
  <si>
    <t>Supported via Insights alert engine (/insights/alerts/).</t>
  </si>
  <si>
    <t>X-0205</t>
  </si>
  <si>
    <t>Customer requests return → return request is recorded</t>
  </si>
  <si>
    <t>Customer Service / Salesperson</t>
  </si>
  <si>
    <t>Formal recording of customer return request referencing original invoice</t>
  </si>
  <si>
    <t>Creates SalesReturn in DRAFT status; records return reason, item quantities, and batch numbers</t>
  </si>
  <si>
    <t>Supported via /sales/returns/create with invoice item selector.</t>
  </si>
  <si>
    <t>X-0206</t>
  </si>
  <si>
    <t>Return approved → inventory is restored where applicable</t>
  </si>
  <si>
    <t>Restoration of undamaged returned goods back into active saleable inventory</t>
  </si>
  <si>
    <t>Creates StockMovement (RETURN_INWARD) for sellable items; damaged items routed to scrap bin</t>
  </si>
  <si>
    <t>Supported via SalesReturn approval; restores inventory atomically.</t>
  </si>
  <si>
    <t>Matched SalesReturn in product code. This is not a functional test. Restored to authored P1. The previous workbook had P0 after a keyword rebalance.</t>
  </si>
  <si>
    <t>backend/inventory/models.py:StockMovement; backend/sales/models.py:SalesReturn</t>
  </si>
  <si>
    <t>X-0207</t>
  </si>
  <si>
    <t>Return approved → customer credit/refund is created</t>
  </si>
  <si>
    <t>Issuance of GST-compliant Credit Note or monetary refund settling return value</t>
  </si>
  <si>
    <t>Generates SalesCreditNote; credits customer AR account or issues cash/bank refund voucher</t>
  </si>
  <si>
    <t>Supported via SalesReturn complete action; auto-generates SalesCreditNote.</t>
  </si>
  <si>
    <t>Matched SalesCreditNote in product code. This is not a functional test.</t>
  </si>
  <si>
    <t>backend/sales/models.py:SalesCreditNote; backend/sales/models.py:SalesReturn</t>
  </si>
  <si>
    <t>backend/tests/test_a13_a14_reporting_sales.py; backend/tests/test_audit_p0_decisions.py; backend/tests/test_b4_b5_notes_serial.py</t>
  </si>
  <si>
    <t>X-0208</t>
  </si>
  <si>
    <t>Sales return → GST impact is recalculated</t>
  </si>
  <si>
    <t>Tax Engine</t>
  </si>
  <si>
    <t>Output GST tax liability reduced legally upon issuance of credit note</t>
  </si>
  <si>
    <t>Reduces output tax liability ledger; records negative tax entry in GSTR-1 Table 9B</t>
  </si>
  <si>
    <t>Supported via Section 34 CGST Act compliant Credit Note tax adjustments.</t>
  </si>
  <si>
    <t>X-0209</t>
  </si>
  <si>
    <t>Refund processed → customer balance is updated</t>
  </si>
  <si>
    <t>Cashier / Accountant</t>
  </si>
  <si>
    <t>Payment of cash or bank refund reflected accurately in customer account</t>
  </si>
  <si>
    <t>Credits Cash/Bank account, debits Customer Ledger; closes out credit note balance</t>
  </si>
  <si>
    <t>Supported via Refund payment workflow linked to Credit Note.</t>
  </si>
  <si>
    <t>X-0210</t>
  </si>
  <si>
    <t>Invoice corrected → correction history remains auditable</t>
  </si>
  <si>
    <t>Modifications to invoice metadata or cancellations preserve complete historical audit trail</t>
  </si>
  <si>
    <t>Logs modification timestamp, user ID, original values, and amendment reason in audit history</t>
  </si>
  <si>
    <t>Core system invariant: completed financial documents are immutable; corrections create audit versions.</t>
  </si>
  <si>
    <t>X-0211</t>
  </si>
  <si>
    <t>Purchase manager creates purchase order</t>
  </si>
  <si>
    <t>Formalize commercial procurement requirements with vendor</t>
  </si>
  <si>
    <t>Creates PurchaseOrder in DRAFT/APPROVED status; records agreed prices and delivery timeline</t>
  </si>
  <si>
    <t>Supported via /purchases/orders/create with vendor catalog lookup.</t>
  </si>
  <si>
    <t>X-0212</t>
  </si>
  <si>
    <t>Purchase order → supplier receives order</t>
  </si>
  <si>
    <t>Purchase order transmitted to vendor via digital PDF, email, or WhatsApp</t>
  </si>
  <si>
    <t>Updates PO status to SENT; records delivery commitment timestamp</t>
  </si>
  <si>
    <t>Supported via PO PDF export and WhatsApp share link.</t>
  </si>
  <si>
    <t>X-0213</t>
  </si>
  <si>
    <t>Supplier confirms order → order status changes</t>
  </si>
  <si>
    <t>Vendor confirms order acceptance and expected dispatch date</t>
  </si>
  <si>
    <t>Updates PO status to CONFIRMED; locks agreed pricing and expected delivery date</t>
  </si>
  <si>
    <t>Supported in PO detail view with status transition buttons.</t>
  </si>
  <si>
    <t>X-0214</t>
  </si>
  <si>
    <t>Supplier ships goods → expected receipt is recorded</t>
  </si>
  <si>
    <t>Supplier / Transporter</t>
  </si>
  <si>
    <t>Advance shipping notice (ASN) recorded to prepare warehouse staging area</t>
  </si>
  <si>
    <t>Records transport docket / LR number and estimated arrival date against open PO</t>
  </si>
  <si>
    <t>Supported via Inbound Shipment tracking on Purchase Orders.</t>
  </si>
  <si>
    <t>X-0215</t>
  </si>
  <si>
    <t>Goods arrive → warehouse creates GRN</t>
  </si>
  <si>
    <t>Transporter / Purchase Manager</t>
  </si>
  <si>
    <t>Physical delivery inspected, counted, and recorded on Goods Receipt Note</t>
  </si>
  <si>
    <t>Creates GoodsReceiptNote (GRN) document; records actual received quantities and damages</t>
  </si>
  <si>
    <t>Supported via GRN creation workflow in purchases module.</t>
  </si>
  <si>
    <t>X-0216</t>
  </si>
  <si>
    <t>GRN → inventory quantity increases</t>
  </si>
  <si>
    <t>System / Inventory Ledger</t>
  </si>
  <si>
    <t>Physical warehouse stock incremented upon goods verification</t>
  </si>
  <si>
    <t>Creates StockMovement record with movement_type='INWARD_PURCHASE'; updates StockBalance</t>
  </si>
  <si>
    <t>Core system invariant: GRN/Purchase intake atomically increases inventory on-hand balance.</t>
  </si>
  <si>
    <t>X-0217</t>
  </si>
  <si>
    <t>GRN → batch/serial information is captured</t>
  </si>
  <si>
    <t>Capture manufacturer batch numbers, manufacturing/expiry dates, or unit serial numbers</t>
  </si>
  <si>
    <t>Creates BatchLot or SerialNumber records linked to inward stock movement</t>
  </si>
  <si>
    <t>Supported in GRN line-item entry with batch and serial modal inputs.</t>
  </si>
  <si>
    <t>backend/inventory/models.py:BatchLot; backend/inventory/models.py:SerialNumber</t>
  </si>
  <si>
    <t>X-0218</t>
  </si>
  <si>
    <t>GRN → damaged/short quantity is recorded</t>
  </si>
  <si>
    <t>Purchase Manager / Supplier</t>
  </si>
  <si>
    <t>Shortages and damaged packages documented for supplier debit note claim</t>
  </si>
  <si>
    <t>Records damaged/rejected quantity; isolates damaged stock into quarantine location</t>
  </si>
  <si>
    <t>Supported via GRN rejection quantities with reason code tagging.</t>
  </si>
  <si>
    <t>X-0219</t>
  </si>
  <si>
    <t>GRN → purchase order received quantity is updated</t>
  </si>
  <si>
    <t>System / Procurement Engine</t>
  </si>
  <si>
    <t>Purchase order line received quantities updated; tracks partial shipment balances</t>
  </si>
  <si>
    <t>Updates received_quantity on PO lines; marks PO as PARTIALLY_RECEIVED or RECEIVED</t>
  </si>
  <si>
    <t>Automated PO line-item balance reconciliation upon GRN posting.</t>
  </si>
  <si>
    <t>X-0220</t>
  </si>
  <si>
    <t>Supplier invoice arrives → invoice is matched against PO/GRN</t>
  </si>
  <si>
    <t>3-way matching between Purchase Order, Goods Receipt Note, and Supplier Tax Invoice</t>
  </si>
  <si>
    <t>Matches invoice quantities, unit prices, and tax rates against GRN and PO records</t>
  </si>
  <si>
    <t>Supported via 3-way matching interface in /purchases/invoices/create.</t>
  </si>
  <si>
    <t>X-0221</t>
  </si>
  <si>
    <t>Quantity mismatch → exception is generated</t>
  </si>
  <si>
    <t>Discrepancy flagged when billed invoice quantity exceeds physically received GRN quantity</t>
  </si>
  <si>
    <t>Generates Quantity Mismatch exception; blocks automated invoice approval pending review</t>
  </si>
  <si>
    <t>Automated validation check; surfaces variance warning badge on invoice line.</t>
  </si>
  <si>
    <t>X-0222</t>
  </si>
  <si>
    <t>Price mismatch → exception is generated</t>
  </si>
  <si>
    <t>Discrepancy flagged when billed unit price exceeds PO contracted price</t>
  </si>
  <si>
    <t>Generates Price Variance exception; requires Purchase Manager authorization to accept</t>
  </si>
  <si>
    <t>Automated price variance check against PO master rate.</t>
  </si>
  <si>
    <t>X-0223</t>
  </si>
  <si>
    <t>Tax mismatch → exception is generated</t>
  </si>
  <si>
    <t>Discrepancy flagged when supplier tax rate or calculation differs from configured HSN rate</t>
  </si>
  <si>
    <t>Flags statutory tax mismatch; prevents incorrect Input Tax Credit (ITC) booking</t>
  </si>
  <si>
    <t>GST Guard validation rule checking invoice tax against master HSN schedule.</t>
  </si>
  <si>
    <t>X-0224</t>
  </si>
  <si>
    <t>Supplier invoice accepted → payable is created</t>
  </si>
  <si>
    <t>Accounts Payable liability booked in general ledger for supplier settlement</t>
  </si>
  <si>
    <t>Credits Supplier Accounts Payable ledger account; debits Purchase Expense/Inventory asset in GL</t>
  </si>
  <si>
    <t>Core system invariant: PurchaseInvoice completion atomically creates double-entry AP voucher.</t>
  </si>
  <si>
    <t>Matched PurchaseInvoice in product code. This is not a functional test. Restored to authored P1. The previous workbook had P0 after a keyword rebalance.</t>
  </si>
  <si>
    <t>X-0225</t>
  </si>
  <si>
    <t>Purchase → GST input tax is calculated</t>
  </si>
  <si>
    <t>Input Tax Credit (ITC) calculated and credited to CGST/SGST/IGST input tax ledgers</t>
  </si>
  <si>
    <t>Debits GST Input Tax ledger accounts; populates inward tax summary for GSTR-3B Table 4</t>
  </si>
  <si>
    <t>Supported via TaxEngine inward tax calculation.</t>
  </si>
  <si>
    <t>X-0226</t>
  </si>
  <si>
    <t>Purchase → eligible ITC is identified</t>
  </si>
  <si>
    <t>Categorization of input tax credit as eligible or ineligible (blocked under Section 17(5))</t>
  </si>
  <si>
    <t>Tags ITC eligibility status; separates blocked ITC (motor vehicles, food) from eligible trade ITC</t>
  </si>
  <si>
    <t>Supported via Section 17(5) blocked credit selector on purchase invoice line items.</t>
  </si>
  <si>
    <t>X-0227</t>
  </si>
  <si>
    <t>Supplier payment recorded → payable decreases</t>
  </si>
  <si>
    <t>Payment disbursement to vendor via NEFT/RTGS/Cheque recorded in system</t>
  </si>
  <si>
    <t>Debits Supplier Accounts Payable account; credits Bank/Cash account; decreases liability</t>
  </si>
  <si>
    <t>Supported via /purchases/payments/create with multi-invoice allocation.</t>
  </si>
  <si>
    <t>X-0228</t>
  </si>
  <si>
    <t>Partial supplier payment → remaining payable is maintained</t>
  </si>
  <si>
    <t>Accurate tracking of remaining balance on partially paid supplier bills</t>
  </si>
  <si>
    <t>Maintains exact remaining unpaid balance on purchase invoice; updates AP aging</t>
  </si>
  <si>
    <t>Supported via PaymentAllocation model for purchase invoices.</t>
  </si>
  <si>
    <t>X-0229</t>
  </si>
  <si>
    <t>Supplier credit note → payable and tax impact are adjusted</t>
  </si>
  <si>
    <t>Supplier credit note for rate difference, discounts, or returns applied to reduce payable</t>
  </si>
  <si>
    <t>Reduces Accounts Payable balance and reverses corresponding Input Tax Credit in GSTR-3B Table 4(B)</t>
  </si>
  <si>
    <t>Supported via PurchaseCreditNote model with automated ITC reversal.</t>
  </si>
  <si>
    <t>Matched PurchaseCreditNote in product code. This is not a functional test.</t>
  </si>
  <si>
    <t>backend/purchases/models.py:PurchaseCreditNote</t>
  </si>
  <si>
    <t>backend/tests/test_a15_cr090_plus.py; backend/tests/test_next_batch_smtp_gsp.py; backend/tests/test_phase1_notes_ledger.py</t>
  </si>
  <si>
    <t>X-0230</t>
  </si>
  <si>
    <t>Purchase return → inventory decreases</t>
  </si>
  <si>
    <t>Physical removal of returned goods from warehouse shelves and stock records</t>
  </si>
  <si>
    <t>Creates StockMovement with movement_type='RETURN_OUTWARD'; decrements StockBalance</t>
  </si>
  <si>
    <t>Core system invariant: PurchaseReturn completion decrements warehouse stock atomically.</t>
  </si>
  <si>
    <t>Matched PurchaseReturn in product code. This is not a functional test. Restored to authored P1. The previous workbook had P0 after a keyword rebalance.</t>
  </si>
  <si>
    <t>backend/inventory/models.py:StockMovement; backend/inventory/models.py:StockBalance; backend/purchases/models.py:PurchaseReturn</t>
  </si>
  <si>
    <t>X-0231</t>
  </si>
  <si>
    <t>Purchase return → supplier balance is adjusted</t>
  </si>
  <si>
    <t>Issuance of Purchase Debit Note reducing outstanding balance owed to supplier</t>
  </si>
  <si>
    <t>Debits Supplier Accounts Payable account; generates legal Purchase Debit Note PDF</t>
  </si>
  <si>
    <t>Supported via PurchaseReturn complete flow; generates PurchaseDebitNote.</t>
  </si>
  <si>
    <t>backend/purchases/models.py:PurchaseReturn; backend/purchases/models.py:PurchaseDebitNote</t>
  </si>
  <si>
    <t>backend/tests/test_concurrency_races.py; backend/tests/test_wave22_f2_fifo_serial_mfg.py; backend/tests/test_a11_a12_stock_cost.py</t>
  </si>
  <si>
    <t>X-0232</t>
  </si>
  <si>
    <t>Purchase return → GST impact is adjusted</t>
  </si>
  <si>
    <t>Input Tax Credit reversed legally in accordance with Section 34 of CGST Act</t>
  </si>
  <si>
    <t>Reduces eligible ITC; reports debit note in GSTR-3B Table 4(B) and GSTR-2B reconciliation</t>
  </si>
  <si>
    <t>Supported via automated statutory ITC reversal calculation.</t>
  </si>
  <si>
    <t>X-0233</t>
  </si>
  <si>
    <t>Supplier invoice discrepancy → accountant is alerted</t>
  </si>
  <si>
    <t>Accountant alerted immediately to billing anomalies before payment disbursement</t>
  </si>
  <si>
    <t>Generates high-priority AttentionRowState exception in accounting dashboard</t>
  </si>
  <si>
    <t>Supported via attention row exception queue in accounting module.</t>
  </si>
  <si>
    <t>backend/insights/models.py:AttentionRowState</t>
  </si>
  <si>
    <t>backend/tests/test_attention_outcomes.py; backend/tests/test_b05_attention.py</t>
  </si>
  <si>
    <t>X-0234</t>
  </si>
  <si>
    <t>Supplier invoice correction → original transaction remains traceable</t>
  </si>
  <si>
    <t>Adjustments or amendments to supplier bills preserve original document history</t>
  </si>
  <si>
    <t>Maintains immutable version history; records amendment rationale and approving user</t>
  </si>
  <si>
    <t>Core system invariant: complete audit history retained for all AP modifications.</t>
  </si>
  <si>
    <t>X-0235</t>
  </si>
  <si>
    <t>Purchase receipt → stock enters inventory</t>
  </si>
  <si>
    <t>Warehouse inventory incremented upon physical goods intake</t>
  </si>
  <si>
    <t>Creates StockMovement (INWARD_PURCHASE); updates StockBalance and FIFO cost layers</t>
  </si>
  <si>
    <t>Supported via PurchaseInvoice completion and standalone GRN flow.</t>
  </si>
  <si>
    <t>Matched PurchaseInvoice in product code. This is not a functional test.</t>
  </si>
  <si>
    <t>backend/inventory/models.py:StockMovement; backend/inventory/models.py:StockBalance; backend/purchases/models.py:PurchaseInvoice</t>
  </si>
  <si>
    <t>X-0236</t>
  </si>
  <si>
    <t>Sale → stock leaves inventory</t>
  </si>
  <si>
    <t>Counter Clerk / Billing Staff</t>
  </si>
  <si>
    <t>Warehouse inventory decremented upon sales invoice completion</t>
  </si>
  <si>
    <t>Creates StockMovement (OUTWARD_SALE); consumes FIFO cost layer; prevents over-allocation</t>
  </si>
  <si>
    <t>Core system invariant: sales completion atomically decrements stock balance.</t>
  </si>
  <si>
    <t>X-0237</t>
  </si>
  <si>
    <t>Sales return → stock comes back into inventory</t>
  </si>
  <si>
    <t>Customer-returned goods restored to active saleable inventory</t>
  </si>
  <si>
    <t>Creates StockMovement (RETURN_INWARD); restores stock balance at original cost</t>
  </si>
  <si>
    <t>Supported via SalesReturn approval with inventory restoration enabled.</t>
  </si>
  <si>
    <t>X-0238</t>
  </si>
  <si>
    <t>Purchase return → stock leaves inventory</t>
  </si>
  <si>
    <t>Vendor-returned goods removed from warehouse inventory records</t>
  </si>
  <si>
    <t>Creates StockMovement (RETURN_OUTWARD); reduces stock balance and FIFO cost layer</t>
  </si>
  <si>
    <t>Supported via PurchaseReturn completion.</t>
  </si>
  <si>
    <t>Matched PurchaseReturn in product code. This is not a functional test.</t>
  </si>
  <si>
    <t>backend/inventory/models.py:StockMovement; backend/purchases/models.py:PurchaseReturn</t>
  </si>
  <si>
    <t>X-0239</t>
  </si>
  <si>
    <t>Stock transfer → source location decreases</t>
  </si>
  <si>
    <t>Godown Custodian (Source)</t>
  </si>
  <si>
    <t>Inventory deducted from sending warehouse upon inter-godown dispatch</t>
  </si>
  <si>
    <t>Creates StockMovement (TRANSFER_OUT); reduces source warehouse StockBalance</t>
  </si>
  <si>
    <t>Supported via StockTransfer dispatch step.</t>
  </si>
  <si>
    <t>backend/inventory/models.py:StockMovement; backend/inventory/models.py:StockBalance; backend/inventory/models.py:StockTransfer</t>
  </si>
  <si>
    <t>X-0240</t>
  </si>
  <si>
    <t>Stock transfer → destination location increases</t>
  </si>
  <si>
    <t>Godown Custodian (Dest)</t>
  </si>
  <si>
    <t>Inventory added to receiving warehouse upon inter-godown receipt</t>
  </si>
  <si>
    <t>Creates StockMovement (TRANSFER_IN); increases destination warehouse StockBalance</t>
  </si>
  <si>
    <t>Supported via StockTransfer receive step.</t>
  </si>
  <si>
    <t>X-0241</t>
  </si>
  <si>
    <t>Stock transfer → complete movement history is retained</t>
  </si>
  <si>
    <t>Complete audit trail of transit dates, quantities, and carrier details retained</t>
  </si>
  <si>
    <t>Maintains StockTransfer record linking dispatch and receipt movements with user IDs</t>
  </si>
  <si>
    <t>Supported via immutable StockTransfer history.</t>
  </si>
  <si>
    <t>X-0242</t>
  </si>
  <si>
    <t>Stock adjustment → authorized user approves adjustment</t>
  </si>
  <si>
    <t>Warehouse Manager / Owner</t>
  </si>
  <si>
    <t>Inventory Staff</t>
  </si>
  <si>
    <t>Manager authorization required before manual stock write-offs or adjustments take effect</t>
  </si>
  <si>
    <t>Validates user permission; records approver identity, approval timestamp, and justification</t>
  </si>
  <si>
    <t>Supported via dual-authorization workflow for StockAdjustment records.</t>
  </si>
  <si>
    <t>X-0243</t>
  </si>
  <si>
    <t>Stock adjustment → inventory ledger records adjustment</t>
  </si>
  <si>
    <t>Stock balance corrected and inventory adjustment voucher posted to general ledger</t>
  </si>
  <si>
    <t>Creates StockMovement (COUNT_ADJUSTMENT); posts inventory shrinkage expense to GL</t>
  </si>
  <si>
    <t>Core system invariant: stock adjustment atomically adjusts both inventory and GL.</t>
  </si>
  <si>
    <t>X-0244</t>
  </si>
  <si>
    <t>Damaged stock → inventory is separated from saleable stock</t>
  </si>
  <si>
    <t>Damaged goods isolated into quarantined virtual bin to prevent accidental customer sale</t>
  </si>
  <si>
    <t>Transfers quantity from SALEABLE warehouse bin to DAMAGED quarantine bin</t>
  </si>
  <si>
    <t>Supported via warehouse quarantine bin configuration.</t>
  </si>
  <si>
    <t>X-0245</t>
  </si>
  <si>
    <t>Lost stock → inventory adjustment is recorded</t>
  </si>
  <si>
    <t>Missing or stolen items written off with complete financial and quantity loss documentation</t>
  </si>
  <si>
    <t>Creates StockAdjustment; debits Inventory Shrinkage Expense account; credits Inventory Asset</t>
  </si>
  <si>
    <t>Supported via StockAdjustment with reason code 'THEFT_OR_LOSS'.</t>
  </si>
  <si>
    <t>X-0246</t>
  </si>
  <si>
    <t>Expired stock → sale is prevented/flagged</t>
  </si>
  <si>
    <t>Pharmacist / Retail Clerk</t>
  </si>
  <si>
    <t>System hard-blocks checkout if any item in cart is past its statutory expiry date</t>
  </si>
  <si>
    <t>Validates batch_lot.expiry_date against current date; raises blocking validation error</t>
  </si>
  <si>
    <t>Core system invariant: billing expired stock is strictly blocked at API and UI layers.</t>
  </si>
  <si>
    <t>Restored to authored P0. The previous workbook had P1 after a keyword rebalance.</t>
  </si>
  <si>
    <t>X-0247</t>
  </si>
  <si>
    <t>Near-expiry stock → owner receives alert</t>
  </si>
  <si>
    <t>Business Owner / Store Manager</t>
  </si>
  <si>
    <t>Early warning alerts for stock approaching expiry within 30/60/90 days</t>
  </si>
  <si>
    <t>Creates BusinessAlertEvent; displays near-expiry alert cards on dashboard</t>
  </si>
  <si>
    <t>Supported via automated daily expiry scan in inventory module.</t>
  </si>
  <si>
    <t>X-0248</t>
  </si>
  <si>
    <t>Batch sale → specific batch quantity decreases</t>
  </si>
  <si>
    <t>Outward sale accurately deducted from the specific selected manufacturer batch lot</t>
  </si>
  <si>
    <t>Decrements BatchLot.quantity; creates batch-tagged StockMovement record</t>
  </si>
  <si>
    <t>Core system invariant: batched item sales maintain lot-level perpetual balance.</t>
  </si>
  <si>
    <t>backend/inventory/models.py:BatchLot; backend/inventory/models.py:StockMovement</t>
  </si>
  <si>
    <t>X-0249</t>
  </si>
  <si>
    <t>Serial-number sale → serial is marked as sold</t>
  </si>
  <si>
    <t>Individual serialized item (IMEI/Serial) marked as SOLD and linked to customer invoice</t>
  </si>
  <si>
    <t>Updates SerialNumber status to SOLD; records sales invoice reference and warranty start date</t>
  </si>
  <si>
    <t>Supported via SerialNumber lifecycle tracking (AVAILABLE -&gt; SOLD).</t>
  </si>
  <si>
    <t>backend/inventory/models.py:SerialNumber</t>
  </si>
  <si>
    <t>X-0250</t>
  </si>
  <si>
    <t>Serial-number return → serial becomes available/returned according to policy</t>
  </si>
  <si>
    <t>Returned serialized unit verified against sales records and restored to available or RMA status</t>
  </si>
  <si>
    <t>Validates serial identity; updates SerialNumber status to AVAILABLE or DEFECTIVE_RETURN</t>
  </si>
  <si>
    <t>Supported via SerialNumber return validation in SalesReturn workflow.</t>
  </si>
  <si>
    <t>backend/inventory/models.py:SerialNumber; backend/sales/models.py:SalesReturn</t>
  </si>
  <si>
    <t>X-0251</t>
  </si>
  <si>
    <t>Physical stock count → system stock is compared</t>
  </si>
  <si>
    <t>Stock Audit Team</t>
  </si>
  <si>
    <t>Auditors record physical counts and system instantly compares against book balances</t>
  </si>
  <si>
    <t>Calculates count variance = physical_count - book_balance for every audited SKU</t>
  </si>
  <si>
    <t>Supported via StockCountSession counting interface.</t>
  </si>
  <si>
    <t>X-0252</t>
  </si>
  <si>
    <t>Stock variance → discrepancy is created</t>
  </si>
  <si>
    <t>Discrepancies exceeding tolerance thresholds converted into formal review items</t>
  </si>
  <si>
    <t>Generates Stock Discrepancy item requiring managerial investigation and explanation</t>
  </si>
  <si>
    <t>Supported via StockCountSession variance ledger.</t>
  </si>
  <si>
    <t>X-0253</t>
  </si>
  <si>
    <t>Discrepancy approval → inventory adjustment occurs</t>
  </si>
  <si>
    <t>Business Owner / Operations Head</t>
  </si>
  <si>
    <t>Approved inventory variances automatically write adjustment movements and post GL loss</t>
  </si>
  <si>
    <t>Finalizes StockCountSession; creates batch StockMovement adjustments across all verified SKUs</t>
  </si>
  <si>
    <t>Supported via StockCountSession 'Post Adjustments' action with manager sign-off.</t>
  </si>
  <si>
    <t>backend/inventory/models.py:StockCountSession; backend/inventory/models.py:StockMovement</t>
  </si>
  <si>
    <t>backend/tests/test_c01_godown.py; backend/tests/personas/test_pj_stock_audit_and_adjustments.py; backend/tests/test_a10_period_centralization.py</t>
  </si>
  <si>
    <t>X-0254</t>
  </si>
  <si>
    <t>Inventory adjustment → audit trail records who/why/when</t>
  </si>
  <si>
    <t>System / Audit Logger</t>
  </si>
  <si>
    <t>Immutable log of who authorized each inventory write-off, why, and the exact timestamp</t>
  </si>
  <si>
    <t>Records adjustment reason, user ID, IP address, and financial write-off value in audit log</t>
  </si>
  <si>
    <t>Core system invariant: all inventory adjustments permanently logged in ActivityLog.</t>
  </si>
  <si>
    <t>X-0255</t>
  </si>
  <si>
    <t>FIFO costing → correct cost is assigned to sale</t>
  </si>
  <si>
    <t>Costing Engine</t>
  </si>
  <si>
    <t>Each outward sale consumes cost from oldest inward inventory layers according to FIFO</t>
  </si>
  <si>
    <t>Computes exact Cost of Goods Sold (COGS) per sales line; posts accurate gross margin</t>
  </si>
  <si>
    <t>Core system invariant: inventory valuation strictly implements perpetual FIFO costing.</t>
  </si>
  <si>
    <t>X-0256</t>
  </si>
  <si>
    <t>Inventory valuation → owner sees current stock value</t>
  </si>
  <si>
    <t>Owner views accurate real-time valuation of total warehouse assets across all locations</t>
  </si>
  <si>
    <t>Calculates inventory asset valuation = SUM(Remaining Stock Layers * Inward Unit Cost)</t>
  </si>
  <si>
    <t>Supported via /reports/inventory-valuation/ with category and warehouse filters.</t>
  </si>
  <si>
    <t>X-0257</t>
  </si>
  <si>
    <t>Inventory movement → historical transaction remains immutable</t>
  </si>
  <si>
    <t>System / Database Engine</t>
  </si>
  <si>
    <t>Completed inventory transactions cannot be deleted or modified; reversals require new movement</t>
  </si>
  <si>
    <t>Enforces append-only ledger pattern; guarantees ledger integrity and audit defensibility</t>
  </si>
  <si>
    <t>Core system invariant: StockMovement table is append-only; update/delete operations blocked.</t>
  </si>
  <si>
    <t>Matched StockMovement in product code. This is not a functional test.</t>
  </si>
  <si>
    <t>X-0258</t>
  </si>
  <si>
    <t>Shop requests stock from godown</t>
  </si>
  <si>
    <t>Store Manager</t>
  </si>
  <si>
    <t>Central Godown Keeper</t>
  </si>
  <si>
    <t>Retail shop raises digital requisition for replenishment from central godown</t>
  </si>
  <si>
    <t>Creates StockTransferRequest in DRAFT status specifying required SKUs and quantities</t>
  </si>
  <si>
    <t>Supported via Stock Transfer Request workflow.</t>
  </si>
  <si>
    <t>X-0259</t>
  </si>
  <si>
    <t>Godown approves stock request</t>
  </si>
  <si>
    <t>Central godown verifies availability and approves store replenishment requisition</t>
  </si>
  <si>
    <t>Updates transfer request status to APPROVED; generates warehouse picking ticket</t>
  </si>
  <si>
    <t>Supported via Transfer Request approval screen.</t>
  </si>
  <si>
    <t>X-0260</t>
  </si>
  <si>
    <t>Godown allocates stock</t>
  </si>
  <si>
    <t>Stock committed and reserved at source godown for transfer dispatch</t>
  </si>
  <si>
    <t>Reserves inventory at source warehouse, preventing local order allocation</t>
  </si>
  <si>
    <t>Supported via automated inventory reservation on transfer approval.</t>
  </si>
  <si>
    <t>X-0261</t>
  </si>
  <si>
    <t>Goods dispatched from godown</t>
  </si>
  <si>
    <t>Stock dispatched with inter-godown delivery challan; moves into transit state</t>
  </si>
  <si>
    <t>Updates StockTransfer status to IN_TRANSIT; decrements source godown on-hand inventory</t>
  </si>
  <si>
    <t>Supported via StockTransfer dispatch step with Challan generation.</t>
  </si>
  <si>
    <t>X-0262</t>
  </si>
  <si>
    <t>Destination receives goods</t>
  </si>
  <si>
    <t>Store Custodian</t>
  </si>
  <si>
    <t>Destination store verifies received physical boxes against transfer delivery challan</t>
  </si>
  <si>
    <t>Records received quantities; marks transfer status as RECEIVED</t>
  </si>
  <si>
    <t>Supported via StockTransfer receipt confirmation screen.</t>
  </si>
  <si>
    <t>X-0263</t>
  </si>
  <si>
    <t>Source inventory decreases</t>
  </si>
  <si>
    <t>Source Godown Keeper</t>
  </si>
  <si>
    <t>Source godown stock balance reduced upon transfer dispatch</t>
  </si>
  <si>
    <t>Creates StockMovement (TRANSFER_OUT) at source warehouse</t>
  </si>
  <si>
    <t>Core system invariant: stock transfer dispatch immediately reduces source stock.</t>
  </si>
  <si>
    <t>X-0264</t>
  </si>
  <si>
    <t>Destination inventory increases</t>
  </si>
  <si>
    <t>Destination shop stock balance increased upon transfer receipt confirmation</t>
  </si>
  <si>
    <t>Creates StockMovement (TRANSFER_IN) at destination warehouse</t>
  </si>
  <si>
    <t>Core system invariant: stock transfer receipt immediately increases destination stock.</t>
  </si>
  <si>
    <t>X-0265</t>
  </si>
  <si>
    <t>Transfer discrepancy is recorded</t>
  </si>
  <si>
    <t>Shortages during inter-godown transit flagged and documented for carrier investigation</t>
  </si>
  <si>
    <t>Records discrepancy quantity; generates in-transit shrinkage investigation row</t>
  </si>
  <si>
    <t>Supported via partial receipt and discrepancy logging on StockTransfer.</t>
  </si>
  <si>
    <t>X-0266</t>
  </si>
  <si>
    <t>Transfer damage is recorded</t>
  </si>
  <si>
    <t>Insurance / Transporter</t>
  </si>
  <si>
    <t>Goods damaged during road transit recorded and segregated upon destination arrival</t>
  </si>
  <si>
    <t>Routes damaged units to quarantine; logs transit loss write-off claim</t>
  </si>
  <si>
    <t>Supported via damaged stock tagging during transfer intake.</t>
  </si>
  <si>
    <t>X-0267</t>
  </si>
  <si>
    <t>Transfer cancellation reverses appropriate inventory state</t>
  </si>
  <si>
    <t>Cancelled transfer safely restores reserved or dispatched stock back to source godown</t>
  </si>
  <si>
    <t>Reverses in-transit state; restores source warehouse on-hand balance without data corruption</t>
  </si>
  <si>
    <t>Supported via StockTransfer cancel workflow with atomic state reversal.</t>
  </si>
  <si>
    <t>Matched StockTransfer in product code. This is not a functional test. Restored to authored P1. The previous workbook had P0 after a keyword rebalance.</t>
  </si>
  <si>
    <t>X-0268</t>
  </si>
  <si>
    <t>Owner views consolidated inventory</t>
  </si>
  <si>
    <t>Unified view of total stock holdings across all stores and godowns on single screen</t>
  </si>
  <si>
    <t>Aggregates stock quantities and valuations across all company warehouses</t>
  </si>
  <si>
    <t>Supported via /inventory/ with All-Warehouses view.</t>
  </si>
  <si>
    <t>X-0269</t>
  </si>
  <si>
    <t>Owner drills from consolidated stock to location</t>
  </si>
  <si>
    <t>Drill down from company-wide product stock to see exact quantity held at each godown</t>
  </si>
  <si>
    <t>Displays location breakdown popup showing individual warehouse balances for the SKU</t>
  </si>
  <si>
    <t>Supported via SKU detail drawer with location breakdown table.</t>
  </si>
  <si>
    <t>X-0270</t>
  </si>
  <si>
    <t>Owner compares location-wise sales</t>
  </si>
  <si>
    <t>Compare sales revenue and volume across different retail branches and warehouses</t>
  </si>
  <si>
    <t>Generates comparative sales reports broken down by originating location</t>
  </si>
  <si>
    <t>X-0271</t>
  </si>
  <si>
    <t>Owner compares location-wise inventory</t>
  </si>
  <si>
    <t>Evaluate inventory turnover and stock-to-sales ratios across different locations</t>
  </si>
  <si>
    <t>Compares stock holding values and inventory velocity between branches</t>
  </si>
  <si>
    <t>Supported via Location Inventory Comparison dashboard.</t>
  </si>
  <si>
    <t>X-0272</t>
  </si>
  <si>
    <t>Owner compares location-wise profitability</t>
  </si>
  <si>
    <t>Analyze gross margin and net profit delivered by each individual store and godown</t>
  </si>
  <si>
    <t>Generates location P&amp;L allocating revenues, COGS, and localized operating expenses</t>
  </si>
  <si>
    <t>Supported via Cost Center / Store P&amp;L reports.</t>
  </si>
  <si>
    <t>X-0273</t>
  </si>
  <si>
    <t>One store requests stock from another store</t>
  </si>
  <si>
    <t>Store Manager (Requesting)</t>
  </si>
  <si>
    <t>Store Manager (Fulfilling)</t>
  </si>
  <si>
    <t>Peer-to-peer stock transfer request between retail stores to meet immediate customer demand</t>
  </si>
  <si>
    <t>Creates store-to-store requisition; notifies fulfilling store manager for approval</t>
  </si>
  <si>
    <t>Supported via peer-to-peer StockTransfer workflow.</t>
  </si>
  <si>
    <t>X-0274</t>
  </si>
  <si>
    <t>Inter-store transfer is authorized</t>
  </si>
  <si>
    <t>Requesting Store</t>
  </si>
  <si>
    <t>Fulfilling store authorizes transfer of stock to sister outlet</t>
  </si>
  <si>
    <t>Approves transfer; initiates stock dispatch and challan generation</t>
  </si>
  <si>
    <t>Supported via Transfer authorization screen.</t>
  </si>
  <si>
    <t>X-0275</t>
  </si>
  <si>
    <t>Stock is moved between stores</t>
  </si>
  <si>
    <t>Store Staff / Driver</t>
  </si>
  <si>
    <t>Both Store Managers</t>
  </si>
  <si>
    <t>Physical transportation and receipt of stock between retail outlets completed</t>
  </si>
  <si>
    <t>Executes TRANSFER_OUT at source store and TRANSFER_IN at destination store</t>
  </si>
  <si>
    <t>Supported via completed StockTransfer state transition.</t>
  </si>
  <si>
    <t>X-0276</t>
  </si>
  <si>
    <t>Location-specific user sees only authorized inventory</t>
  </si>
  <si>
    <t>Staff members restricted to viewing and billing only their assigned location's stock</t>
  </si>
  <si>
    <t>Applies warehouse filter in ORM queries based on user's assigned warehouse permissions</t>
  </si>
  <si>
    <t>Core security invariant: location-scoped RBAC strictly isolates store staff access.</t>
  </si>
  <si>
    <t>X-0277</t>
  </si>
  <si>
    <t>Central accountant sees consolidated accounting</t>
  </si>
  <si>
    <t>Central Accountant</t>
  </si>
  <si>
    <t>Head-office accountant accesses unified general ledger combining all branch operations</t>
  </si>
  <si>
    <t>Aggregates all store transactions into centralized Trial Balance, P&amp;L, and Balance Sheet</t>
  </si>
  <si>
    <t>Supported via consolidated accounting reports with store dimension slicing.</t>
  </si>
  <si>
    <t>X-0278</t>
  </si>
  <si>
    <t>Sales invoice → GST calculation</t>
  </si>
  <si>
    <t>Automated GST calculation on sales invoices conforming to Place of Supply rules</t>
  </si>
  <si>
    <t>Computes taxable value, CGST/SGST (intra-state) or IGST (inter-state), and cess per line</t>
  </si>
  <si>
    <t>Supported via core TaxEngine; validates tax round-off against statutory Rule 46.</t>
  </si>
  <si>
    <t>Matched TaxEngine in product code. This is not a functional test. Restored to authored P1. The previous workbook had P0 after a keyword rebalance.</t>
  </si>
  <si>
    <t>X-0279</t>
  </si>
  <si>
    <t>Purchase invoice → input GST calculation</t>
  </si>
  <si>
    <t>Automated input GST breakdown on inward purchase bills for tax credit claims</t>
  </si>
  <si>
    <t>Calculates eligible input tax credit; records CGST, SGST, IGST input ledger entries</t>
  </si>
  <si>
    <t>Supported via purchase invoice tax calculation module.</t>
  </si>
  <si>
    <t>X-0280</t>
  </si>
  <si>
    <t>HSN selection → appropriate tax treatment</t>
  </si>
  <si>
    <t>Selecting product HSN automatically populates correct statutory tax rates and cess</t>
  </si>
  <si>
    <t>Inherits GST tax rate and cess configuration from HSN master schedule</t>
  </si>
  <si>
    <t>Core system invariant: line-item tax rate strictly defaults to product HSN master.</t>
  </si>
  <si>
    <t>X-0281</t>
  </si>
  <si>
    <t>Customer GSTIN → invoice tax treatment</t>
  </si>
  <si>
    <t>System / Tax Engine</t>
  </si>
  <si>
    <t>Customer GSTIN state code determines intra-state (CGST+SGST) vs inter-state (IGST) taxation</t>
  </si>
  <si>
    <t>Compares company GSTIN state code with customer GSTIN state code; selects tax regime</t>
  </si>
  <si>
    <t>Automated Place of Supply evaluation based on first two digits of customer GSTIN.</t>
  </si>
  <si>
    <t>X-0282</t>
  </si>
  <si>
    <t>Supplier GSTIN → purchase tax treatment</t>
  </si>
  <si>
    <t>Supplier GSTIN state code determines intra-state vs inter-state input tax booking</t>
  </si>
  <si>
    <t>Evaluates supplier state; posts input tax to CGST+SGST or IGST input ledgers</t>
  </si>
  <si>
    <t>Automated tax regime selection based on supplier GSTIN state prefix.</t>
  </si>
  <si>
    <t>X-0283</t>
  </si>
  <si>
    <t>Intra-state transaction → CGST/SGST treatment</t>
  </si>
  <si>
    <t>Local transactions within same state accurately split tax 50/50 between CGST and SGST</t>
  </si>
  <si>
    <t>Calculates equal CGST and SGST line amounts; credits individual central and state tax ledgers</t>
  </si>
  <si>
    <t>Core tax invariant: intra-state tax split exactly into 50% CGST and 50% SGST.</t>
  </si>
  <si>
    <t>X-0284</t>
  </si>
  <si>
    <t>Inter-state transaction → IGST treatment</t>
  </si>
  <si>
    <t>Out-of-state transactions accurately charged integrated goods and services tax (IGST)</t>
  </si>
  <si>
    <t>Calculates full tax percentage under IGST; credits IGST liability ledger</t>
  </si>
  <si>
    <t>Core tax invariant: inter-state sales booked exclusively under IGST.</t>
  </si>
  <si>
    <t>X-0285</t>
  </si>
  <si>
    <t>GST invoice → reporting dataset is updated</t>
  </si>
  <si>
    <t>System / Reporting Engine</t>
  </si>
  <si>
    <t>Completed tax invoice automatically populates monthly GSTR-1 outward filing dataset</t>
  </si>
  <si>
    <t>Adds record to GSTR-1 worksheet in appropriate table (B2B, B2CL, B2CS, HSN Summary)</t>
  </si>
  <si>
    <t>Supported via automated GSTR-1 worksheet compiler in gst module.</t>
  </si>
  <si>
    <t>X-0286</t>
  </si>
  <si>
    <t>Invoice cancellation → GST/reporting data is updated</t>
  </si>
  <si>
    <t>Cancelled invoice removed from or flagged in GSTR-1 dataset and tax liability reversed</t>
  </si>
  <si>
    <t>Reverses output tax liability; updates Document Issued summary (Table 13) in GSTR-1</t>
  </si>
  <si>
    <t>Supported via SalesInvoice cancellation tax adjustment.</t>
  </si>
  <si>
    <t>X-0287</t>
  </si>
  <si>
    <t>Sales return → tax adjustment</t>
  </si>
  <si>
    <t>Sales return and credit note reduces gross output tax liability for the tax period</t>
  </si>
  <si>
    <t>Reduces output tax liability; records credit note entry in GSTR-1 Table 9B</t>
  </si>
  <si>
    <t>Supported via Credit Note tax posting per Section 34 of CGST Act.</t>
  </si>
  <si>
    <t>X-0288</t>
  </si>
  <si>
    <t>Purchase return → input-tax adjustment</t>
  </si>
  <si>
    <t>Purchase return and debit note reduces claimed Input Tax Credit (ITC) for the tax period</t>
  </si>
  <si>
    <t>Reduces eligible ITC; reports debit note reversal in GSTR-3B Table 4(B)</t>
  </si>
  <si>
    <t>Supported via Debit Note ITC adjustment calculation.</t>
  </si>
  <si>
    <t>X-0289</t>
  </si>
  <si>
    <t>Credit note → tax liability adjustment</t>
  </si>
  <si>
    <t>Legal credit note issued for rate difference or volume discount reduces output GST liability</t>
  </si>
  <si>
    <t>Adjusts output tax ledger; updates GSTR-1 Table 9B with credit note details</t>
  </si>
  <si>
    <t>Supported via SalesCreditNote complete action.</t>
  </si>
  <si>
    <t>Related to X-0290</t>
  </si>
  <si>
    <t>backend/sales/models.py:SalesCreditNote</t>
  </si>
  <si>
    <t>X-0290</t>
  </si>
  <si>
    <t>Debit note → tax liability adjustment</t>
  </si>
  <si>
    <t>Debit note issued to customer for price undercharge increases output GST liability</t>
  </si>
  <si>
    <t>Increments output tax liability; reports debit note in GSTR-1 Table 9B</t>
  </si>
  <si>
    <t>Supported via SalesDebitNote complete action.</t>
  </si>
  <si>
    <t>Matched SalesDebitNote in product code. This is not a functional test.</t>
  </si>
  <si>
    <t>Related to X-0289</t>
  </si>
  <si>
    <t>backend/sales/models.py:SalesDebitNote</t>
  </si>
  <si>
    <t>backend/tests/test_a07_dunning.py; backend/tests/test_a13_a14_reporting_sales.py; backend/tests/test_holistic_80.py</t>
  </si>
  <si>
    <t>X-0291</t>
  </si>
  <si>
    <t>Purchase data → IMS matching</t>
  </si>
  <si>
    <t>Inward purchase records matched against government Invoice Management System (IMS) records</t>
  </si>
  <si>
    <t>Compares supplier GSTIN, invoice number, date, and tax amounts; identifies match status</t>
  </si>
  <si>
    <t>Supported via IMS / GSTR-2B automated reconciliation dashboard.</t>
  </si>
  <si>
    <t>X-0292</t>
  </si>
  <si>
    <t>IMS invoice → accept action</t>
  </si>
  <si>
    <t>Supplier / Tax Authority</t>
  </si>
  <si>
    <t>Mark recipient acceptance on supplier invoice in IMS to confirm Input Tax Credit eligibility</t>
  </si>
  <si>
    <t>Tags invoice as ACCEPTED in IMS dataset; includes tax amount in GSTR-2B eligible ITC pool</t>
  </si>
  <si>
    <t>Supported via IMS action dashboard with 'Accept' button and bulk action export.</t>
  </si>
  <si>
    <t>X-0293</t>
  </si>
  <si>
    <t>IMS invoice → reject action</t>
  </si>
  <si>
    <t>Mark recipient rejection on erroneous or unrecognized supplier invoice in IMS</t>
  </si>
  <si>
    <t>Tags invoice as REJECTED in IMS dataset; excludes from GSTR-2B ITC; notifies supplier</t>
  </si>
  <si>
    <t>Supported via IMS action dashboard with 'Reject' decision logging.</t>
  </si>
  <si>
    <t>X-0294</t>
  </si>
  <si>
    <t>IMS invoice → pending action</t>
  </si>
  <si>
    <t>Keep invoice pending in IMS when goods are in-transit or undergoing verification</t>
  </si>
  <si>
    <t>Tags invoice as PENDING; rolls forward ITC eligibility to subsequent tax period</t>
  </si>
  <si>
    <t>Supported via IMS action dashboard with 'Keep Pending' decision tagging.</t>
  </si>
  <si>
    <t>X-0295</t>
  </si>
  <si>
    <t>Accepted invoice → ITC eligibility calculation</t>
  </si>
  <si>
    <t>Accepted IMS invoices automatically included in total eligible Input Tax Credit for GSTR-3B</t>
  </si>
  <si>
    <t>Computes total verified ITC available for set-off against monthly output tax liabilities</t>
  </si>
  <si>
    <t>Supported via automated GSTR-3B Table 4 computation from accepted invoices.</t>
  </si>
  <si>
    <t>X-0296</t>
  </si>
  <si>
    <t>Rejected invoice → ITC exclusion</t>
  </si>
  <si>
    <t>Rejected IMS invoices automatically excluded from ITC claims to prevent tax audit notices</t>
  </si>
  <si>
    <t>Excludes rejected invoice tax from eligible ITC pool; prevents irregular credit claims</t>
  </si>
  <si>
    <t>Core compliance invariant: rejected supplier invoices strictly blocked from GSTR-3B ITC.</t>
  </si>
  <si>
    <t>X-0297</t>
  </si>
  <si>
    <t>Missing supplier invoice → exception</t>
  </si>
  <si>
    <t>Purchases recorded in books but missing in supplier's GSTR-1/2B flagged as missing invoice</t>
  </si>
  <si>
    <t>Generates Missing Document exception; alerts purchase team to chase supplier for GSTR-1 filing</t>
  </si>
  <si>
    <t>Supported via GSTR-2B reconciliation missing invoice report.</t>
  </si>
  <si>
    <t>X-0298</t>
  </si>
  <si>
    <t>Invoice mismatch → exception</t>
  </si>
  <si>
    <t>Discrepancies in taxable value or tax amounts between books and GSTR-2B flagged as mismatch</t>
  </si>
  <si>
    <t>Generates Tax Mismatch exception detailing value difference; initiates dispute resolution</t>
  </si>
  <si>
    <t>Supported via GSTR-2B discrepancy drill-down with line-item comparison.</t>
  </si>
  <si>
    <t>X-0299</t>
  </si>
  <si>
    <t>Duplicate invoice → duplicate detection</t>
  </si>
  <si>
    <t>System / Validation Engine</t>
  </si>
  <si>
    <t>Duplicate supplier invoice numbers detected automatically upon entry or GSTR-2B import</t>
  </si>
  <si>
    <t>Blocks duplicate entry; alerts user that invoice was already recorded in previous period</t>
  </si>
  <si>
    <t>Enforced via unique database constraint (company_id, supplier_id, invoice_number).</t>
  </si>
  <si>
    <t>X-0300</t>
  </si>
  <si>
    <t>Supplier defect → supplier defect score updates</t>
  </si>
  <si>
    <t>System / Vendor Scoring</t>
  </si>
  <si>
    <t>Suppliers with missing invoices, tax errors, or delayed filings penalized in compliance score</t>
  </si>
  <si>
    <t>Updates supplier compliance score; displays risk badge on future purchase orders</t>
  </si>
  <si>
    <t>Supported via Supplier Compliance Scorecard in purchases module.</t>
  </si>
  <si>
    <t>X-0301</t>
  </si>
  <si>
    <t>ITC deadline approaching → alert</t>
  </si>
  <si>
    <t>In-house Accountant / Owner</t>
  </si>
  <si>
    <t>Proactive alert warning of approaching Section 16(4) statutory deadline for claiming open ITC</t>
  </si>
  <si>
    <t>Surfaces high-priority warning for unclaimed purchase invoices older than 180 days</t>
  </si>
  <si>
    <t>Supported via statutory deadline alert trigger in GST module.</t>
  </si>
  <si>
    <t>X-0302</t>
  </si>
  <si>
    <t>ITC-at-risk invoice → credit-at-risk dashboard updates</t>
  </si>
  <si>
    <t>Dashboard tracking total monetary value of Input Tax Credit currently at risk of lapsing</t>
  </si>
  <si>
    <t>Aggregates total disputed or unfiled ITC; updates Credit-at-Risk KPI card on home screen</t>
  </si>
  <si>
    <t>Supported via Credit-at-Risk Dashboard (/gst/itc-risk/).</t>
  </si>
  <si>
    <t>X-0303</t>
  </si>
  <si>
    <t>GST data correction → audit trail maintained</t>
  </si>
  <si>
    <t>Any adjustments or corrections made to statutory tax data preserve complete audit trail</t>
  </si>
  <si>
    <t>Records user ID, previous tax values, new values, timestamp, and justification reason</t>
  </si>
  <si>
    <t>Core system invariant: immutable audit logging for all statutory tax modifications.</t>
  </si>
  <si>
    <t>X-0304</t>
  </si>
  <si>
    <t>GST return preparation → source transactions remain traceable</t>
  </si>
  <si>
    <t>Every aggregate number on GSTR-1, GSTR-3B, or CMP-08 drillable to underlying source invoices</t>
  </si>
  <si>
    <t>Provides bidirectional audit linkage between return line items and individual vouchers</t>
  </si>
  <si>
    <t>Supported via full drill-down from return summary tables to underlying transaction ledgers.</t>
  </si>
  <si>
    <t>X-0305</t>
  </si>
  <si>
    <t>Accountant reviews GST exception → exception resolved</t>
  </si>
  <si>
    <t>Billing Clerk / Supplier</t>
  </si>
  <si>
    <t>Accountant investigates flagged tax exception, updates data, and marks exception resolved</t>
  </si>
  <si>
    <t>Updates exception status to RESOLVED; re-runs validation checks; includes in return pool</t>
  </si>
  <si>
    <t>Supported via Attention Row exception management interface.</t>
  </si>
  <si>
    <t>X-0306</t>
  </si>
  <si>
    <t>GST export → exported data reconciles with system</t>
  </si>
  <si>
    <t>Exported GSTR-1 JSON or Excel reconciles to the last rupee with system general ledger balances</t>
  </si>
  <si>
    <t>Performs automated cross-checksum validation between exported JSON and GL tax accounts</t>
  </si>
  <si>
    <t>Core compliance invariant: exported return data matches general ledger balances exactly.</t>
  </si>
  <si>
    <t>X-0307</t>
  </si>
  <si>
    <t>Customer purchases on credit</t>
  </si>
  <si>
    <t>Customer buys goods with agreed credit terms (e.g. 15, 30 days) instead of immediate cash</t>
  </si>
  <si>
    <t>Completes invoice with payment_status='UNPAID'; sets due_date; debits Customer AR ledger</t>
  </si>
  <si>
    <t>Supported on sales checkout with credit payment terms selection.</t>
  </si>
  <si>
    <t>X-0308</t>
  </si>
  <si>
    <t>Credit sale → customer ledger updated</t>
  </si>
  <si>
    <t>Customer account debited with invoice amount; running balance increased</t>
  </si>
  <si>
    <t>Posts debit voucher to Customer AR ledger; increases customer's outstanding balance</t>
  </si>
  <si>
    <t>Core system invariant: completing credit invoice atomically updates customer ledger balance.</t>
  </si>
  <si>
    <t>X-0309</t>
  </si>
  <si>
    <t>Customer payment → ledger updated</t>
  </si>
  <si>
    <t>Payment received from customer credited to customer account; running balance decreased</t>
  </si>
  <si>
    <t>Posts credit voucher to Customer AR ledger; debits Cash/Bank account in general ledger</t>
  </si>
  <si>
    <t>Supported via Payment entry screen with automated customer ledger posting.</t>
  </si>
  <si>
    <t>X-0310</t>
  </si>
  <si>
    <t>Partial payment → balance maintained</t>
  </si>
  <si>
    <t>Partial settlement recorded accurately, maintaining remaining unpaid balance</t>
  </si>
  <si>
    <t>Allocates partial amount; decrements customer net balance; tracks unallocated remainder</t>
  </si>
  <si>
    <t>Supported via PaymentAllocation engine with partial invoice matching.</t>
  </si>
  <si>
    <t>X-0311</t>
  </si>
  <si>
    <t>Advance payment → advance ledger maintained</t>
  </si>
  <si>
    <t>Advance payment received from customer before order delivery tracked in advance account</t>
  </si>
  <si>
    <t>Credits Customer Advance Liability ledger account; debits Bank/Cash account</t>
  </si>
  <si>
    <t>Supported via Customer Advance receipt workflow with future invoice adjustment.</t>
  </si>
  <si>
    <t>X-0312</t>
  </si>
  <si>
    <t>Payment allocation → payment applied to selected invoices</t>
  </si>
  <si>
    <t>Lump-sum payment allocated across specific open invoices (FIFO or manual selection)</t>
  </si>
  <si>
    <t>Creates PaymentAllocation links between payment and invoices; updates invoice statuses</t>
  </si>
  <si>
    <t>Supported via multi-invoice allocation modal in payments app.</t>
  </si>
  <si>
    <t>X-0313</t>
  </si>
  <si>
    <t>Payment received → invoice status changes</t>
  </si>
  <si>
    <t>System / Payment Engine</t>
  </si>
  <si>
    <t>Invoice status advances from UNPAID to PARTIALLY_PAID or PAID upon payment matching</t>
  </si>
  <si>
    <t>Updates SalesInvoice.payment_status; unlocks customer credit limit buffer</t>
  </si>
  <si>
    <t>Core system invariant: invoice payment status dynamically derived from payment allocations.</t>
  </si>
  <si>
    <t>X-0314</t>
  </si>
  <si>
    <t>Invoice overdue → ageing bucket changes</t>
  </si>
  <si>
    <t>Unpaid invoice moves into overdue aging category (1-30, 31-60, 61-90, 90+ days)</t>
  </si>
  <si>
    <t>Reclassifies invoice aging bucket based on days elapsed since payment due date</t>
  </si>
  <si>
    <t>Supported via dynamic aging classification in accounts receivable reports.</t>
  </si>
  <si>
    <t>X-0315</t>
  </si>
  <si>
    <t>Customer crosses credit limit → alert generated</t>
  </si>
  <si>
    <t>System / Credit Guard</t>
  </si>
  <si>
    <t>Business Owner / Salesperson</t>
  </si>
  <si>
    <t>Immediate warning generated when customer outstanding balance breaches approved credit limit</t>
  </si>
  <si>
    <t>Generates high-priority credit limit warning; flags new orders for owner approval</t>
  </si>
  <si>
    <t>Core business invariant: credit limit breach blocks checkout unless overridden by Owner.</t>
  </si>
  <si>
    <t>X-0316</t>
  </si>
  <si>
    <t>Payment reminder → reminder generated</t>
  </si>
  <si>
    <t>Professional payment reminder message generated with unpaid invoice list and payment link</t>
  </si>
  <si>
    <t>Generates personalized payment reminder text with total due and dynamic UPI QR link</t>
  </si>
  <si>
    <t>Supported via WhatsApp / SMS Payment Reminder dispatch tool.</t>
  </si>
  <si>
    <t>X-0317</t>
  </si>
  <si>
    <t>Customer settles multiple invoices → allocation is maintained</t>
  </si>
  <si>
    <t>Single lump-sum remittance allocated across multiple past invoices with clear audit trail</t>
  </si>
  <si>
    <t>Maintains exact allocation breakdown per invoice; updates individual invoice paid amounts</t>
  </si>
  <si>
    <t>Supported via bulk payment allocation interface.</t>
  </si>
  <si>
    <t>X-0318</t>
  </si>
  <si>
    <t>Credit note → customer balance changes</t>
  </si>
  <si>
    <t>Approved credit note for return or rate concession reduces customer outstanding balance</t>
  </si>
  <si>
    <t>Credits Customer AR ledger; reduces net outstanding balance owed by customer</t>
  </si>
  <si>
    <t>Core system invariant: Credit Note completion immediately reduces customer AR balance.</t>
  </si>
  <si>
    <t>X-0319</t>
  </si>
  <si>
    <t>Refund → customer balance changes</t>
  </si>
  <si>
    <t>Cash or bank refund issued to customer increases customer ledger balance</t>
  </si>
  <si>
    <t>Debits Customer AR ledger; credits Bank/Cash account; offsets open credit notes</t>
  </si>
  <si>
    <t>X-0320</t>
  </si>
  <si>
    <t>Customer statement → all transactions are visible</t>
  </si>
  <si>
    <t>Customer / Owner</t>
  </si>
  <si>
    <t>Comprehensive statement of account showing all invoices, debit/credit notes, and payments</t>
  </si>
  <si>
    <t>Renders chronological customer ledger statement with debit, credit, and running balance</t>
  </si>
  <si>
    <t>Supported via /sales/customers/{id}/statement/ with PDF and Excel export.</t>
  </si>
  <si>
    <t>X-0321</t>
  </si>
  <si>
    <t>Owner reviews receivables → customer-level drill-down</t>
  </si>
  <si>
    <t>Owner inspects total market receivables and clicks into any customer to see unpaid bills</t>
  </si>
  <si>
    <t>Provides instant drill-down from receivables summary KPI to individual customer invoices</t>
  </si>
  <si>
    <t>Supported via Receivables Dashboard with interactive drill-down.</t>
  </si>
  <si>
    <t>X-0322</t>
  </si>
  <si>
    <t>Accountant reconciles customer ledger → discrepancies identified</t>
  </si>
  <si>
    <t>Customer Accounts Team</t>
  </si>
  <si>
    <t>Periodic ledger reconciliation with customer accounting department to resolve variances</t>
  </si>
  <si>
    <t>Highlights mismatched invoice amounts, unrecorded deductions, or disputed debit notes</t>
  </si>
  <si>
    <t>Supported via Customer Ledger Reconciliation tool.</t>
  </si>
  <si>
    <t>X-0323</t>
  </si>
  <si>
    <t>Purchase creates supplier payable</t>
  </si>
  <si>
    <t>Completed purchase bill creates accounts payable liability owed to supplier</t>
  </si>
  <si>
    <t>Credits Supplier Accounts Payable ledger account; increases total trade payables</t>
  </si>
  <si>
    <t>Core system invariant: PurchaseInvoice completion atomically creates supplier payable.</t>
  </si>
  <si>
    <t>X-0324</t>
  </si>
  <si>
    <t>Supplier invoice updates payable</t>
  </si>
  <si>
    <t>Vendor bill recording updates supplier running ledger balance and payment schedule</t>
  </si>
  <si>
    <t>Updates net balance owed to supplier; sets payment due date based on vendor credit terms</t>
  </si>
  <si>
    <t>Supported in Purchase Invoice complete flow.</t>
  </si>
  <si>
    <t>X-0325</t>
  </si>
  <si>
    <t>Supplier payment reduces payable</t>
  </si>
  <si>
    <t>Disbursing payment to supplier reduces total liability balance in accounts payable</t>
  </si>
  <si>
    <t>Debits Supplier AP account; credits Bank/Cash account; updates vendor outstanding</t>
  </si>
  <si>
    <t>Supported via /purchases/payments/create.</t>
  </si>
  <si>
    <t>X-0326</t>
  </si>
  <si>
    <t>Partial supplier payment maintains balance</t>
  </si>
  <si>
    <t>Partial payment to vendor maintains accurate record of remaining unpaid bill amount</t>
  </si>
  <si>
    <t>Updates purchase invoice paid_amount; keeps remaining balance active in payables aging</t>
  </si>
  <si>
    <t>Supported via purchase PaymentAllocation engine.</t>
  </si>
  <si>
    <t>X-0327</t>
  </si>
  <si>
    <t>Supplier advance is recorded</t>
  </si>
  <si>
    <t>Advance deposit paid to vendor prior to shipment tracked in supplier advance ledger</t>
  </si>
  <si>
    <t>Debits Supplier Advance Asset account; credits Bank/Cash account</t>
  </si>
  <si>
    <t>Supported via Supplier Advance payment workflow.</t>
  </si>
  <si>
    <t>X-0328</t>
  </si>
  <si>
    <t>Advance is adjusted against invoice</t>
  </si>
  <si>
    <t>Previously paid advance applied against incoming supplier bill upon delivery</t>
  </si>
  <si>
    <t>Credits Supplier Advance Asset account; debits Accounts Payable; reduces net payable</t>
  </si>
  <si>
    <t>Supported via Advance Allocation against purchase invoices.</t>
  </si>
  <si>
    <t>X-0329</t>
  </si>
  <si>
    <t>Purchase return reduces payable</t>
  </si>
  <si>
    <t>Returning goods to supplier and issuing Debit Note reduces accounts payable liability</t>
  </si>
  <si>
    <t>Debits Supplier Accounts Payable account; credits Purchase Returns account in GL</t>
  </si>
  <si>
    <t>Supported via PurchaseDebitNote generation upon PurchaseReturn.</t>
  </si>
  <si>
    <t>backend/purchases/models.py:PurchaseDebitNote; backend/purchases/models.py:PurchaseReturn</t>
  </si>
  <si>
    <t>X-0330</t>
  </si>
  <si>
    <t>Supplier credit note reduces payable</t>
  </si>
  <si>
    <t>Credit note received from supplier for price rebate or discount reduces amount owed</t>
  </si>
  <si>
    <t>Debits Accounts Payable; credits Purchase Discount / Expense reduction in GL</t>
  </si>
  <si>
    <t>Supported via PurchaseCreditNote recording workflow.</t>
  </si>
  <si>
    <t>X-0331</t>
  </si>
  <si>
    <t>Supplier statement is generated</t>
  </si>
  <si>
    <t>Supplier / Owner</t>
  </si>
  <si>
    <t>Comprehensive statement of account showing all purchase bills, debit notes, and payments</t>
  </si>
  <si>
    <t>Renders chronological supplier ledger statement with debit, credit, and running balance</t>
  </si>
  <si>
    <t>Supported via /purchases/suppliers/{id}/statement/ with PDF export.</t>
  </si>
  <si>
    <t>X-0332</t>
  </si>
  <si>
    <t>Supplier ageing is calculated</t>
  </si>
  <si>
    <t>Payables classified into aging buckets (0-30, 31-60, 61-90, 90+ days) to manage working capital</t>
  </si>
  <si>
    <t>Computes aging days based on bill due dates; displays priority payment schedule</t>
  </si>
  <si>
    <t>Supported via Payables Aging Report (/purchases/reports/payables-aging/).</t>
  </si>
  <si>
    <t>X-0333</t>
  </si>
  <si>
    <t>Overdue supplier payment is identified</t>
  </si>
  <si>
    <t>Spot overdue supplier bills to prioritize payments and maintain critical vendor relationships</t>
  </si>
  <si>
    <t>Flags purchase bills past their due date; highlights risk of supplier supply disruption</t>
  </si>
  <si>
    <t>Supported via Overdue Payables list on accounting dashboard.</t>
  </si>
  <si>
    <t>X-0334</t>
  </si>
  <si>
    <t>Owner reviews supplier liabilities</t>
  </si>
  <si>
    <t>Owner reviews total trade payables commitments to plan weekly treasury cash outflows</t>
  </si>
  <si>
    <t>Displays summary of total supplier liabilities, upcoming due dates, and major vendor balances</t>
  </si>
  <si>
    <t>Supported via Owner Executive Payables Overview card.</t>
  </si>
  <si>
    <t>X-0335</t>
  </si>
  <si>
    <t>Accountant reconciles supplier ledger</t>
  </si>
  <si>
    <t>Supplier Accounts Desk</t>
  </si>
  <si>
    <t>Periodic ledger reconciliation with vendor statement to identify missing bills or payments</t>
  </si>
  <si>
    <t>Compares buyer AP ledger with vendor statement; highlights unrecorded bills or deductions</t>
  </si>
  <si>
    <t>Supported via Supplier Reconciliation worksheet.</t>
  </si>
  <si>
    <t>X-0336</t>
  </si>
  <si>
    <t>Supplier payment is linked to bank/cash transaction</t>
  </si>
  <si>
    <t>Every vendor payment voucher linked to specific bank account debit or cash withdrawal</t>
  </si>
  <si>
    <t>Maintains bidirectional link between Accounts Payable payment and Bank/Cash journal voucher</t>
  </si>
  <si>
    <t>Core system invariant: all payments create balanced double-entry GL journal vouchers.</t>
  </si>
  <si>
    <t>X-0337</t>
  </si>
  <si>
    <t>Cash sale → cash balance increases</t>
  </si>
  <si>
    <t>Cash received from retail sale increases physical drawer cash balance</t>
  </si>
  <si>
    <t>Debits Cash-in-Hand ledger account; credits Sales Revenue account in GL</t>
  </si>
  <si>
    <t>Core system invariant: cash sale completion immediately updates cash ledger balance.</t>
  </si>
  <si>
    <t>X-0338</t>
  </si>
  <si>
    <t>UPI sale → digital payment is recorded</t>
  </si>
  <si>
    <t>Instant UPI settlement recorded with transaction UTR reference number</t>
  </si>
  <si>
    <t>Debits Bank/UPI Clearing account; credits Sales Revenue; logs gateway reference</t>
  </si>
  <si>
    <t>Supported via dynamic UPI QR scanner on POS terminal.</t>
  </si>
  <si>
    <t>X-0339</t>
  </si>
  <si>
    <t>Bank payment → bank ledger updates</t>
  </si>
  <si>
    <t>Bank transfer (NEFT/RTGS/IMPS/Cheque) reflected in company bank account ledger</t>
  </si>
  <si>
    <t>Debits/credits Bank Account ledger; updates running bank book balance</t>
  </si>
  <si>
    <t>Supported via /accounting/bank-accounts/ ledger entries.</t>
  </si>
  <si>
    <t>X-0340</t>
  </si>
  <si>
    <t>Customer payment → receivable decreases</t>
  </si>
  <si>
    <t>Customer payment receipt reduces accounts receivable balance</t>
  </si>
  <si>
    <t>Credits Customer AR ledger; debits Bank/Cash; updates customer credit availability</t>
  </si>
  <si>
    <t>Core system invariant: payment post immediately reduces customer receivable balance.</t>
  </si>
  <si>
    <t>X-0341</t>
  </si>
  <si>
    <t>Supplier payment → payable decreases</t>
  </si>
  <si>
    <t>Vendor disbursement reduces accounts payable liability</t>
  </si>
  <si>
    <t>Debits Supplier AP ledger; credits Bank/Cash account; decreases outstanding liability</t>
  </si>
  <si>
    <t>Core system invariant: vendor payment immediately decreases accounts payable liability.</t>
  </si>
  <si>
    <t>X-0342</t>
  </si>
  <si>
    <t>Expense payment → expense ledger updates</t>
  </si>
  <si>
    <t>Vendor / Service Provider</t>
  </si>
  <si>
    <t>Operating expenses (rent, electricity, transport, tea) recorded with proper expense heads</t>
  </si>
  <si>
    <t>Debits specific Expense account (e.g. Rent, Freight); credits Bank/Cash account in GL</t>
  </si>
  <si>
    <t>Supported via /accounting/expenses/create with cost center allocation.</t>
  </si>
  <si>
    <t>X-0343</t>
  </si>
  <si>
    <t>Payment reversal → original payment remains traceable</t>
  </si>
  <si>
    <t>Reversing a bounced cheque or erroneous payment maintains complete audit history</t>
  </si>
  <si>
    <t>Posts reversal journal voucher; restores original invoice unpaid status; logs reversal reason</t>
  </si>
  <si>
    <t>Core system invariant: payments cannot be hard-deleted; reversals create linked reversal vouchers.</t>
  </si>
  <si>
    <t>X-0344</t>
  </si>
  <si>
    <t>Failed payment → invoice remains appropriately unpaid</t>
  </si>
  <si>
    <t>System / Payment Gateway</t>
  </si>
  <si>
    <t>Failed or rejected digital transaction keeps invoice status as UNPAID</t>
  </si>
  <si>
    <t>Logs failure event; prevents false invoice settlement; alerts cashier to re-prompt tender</t>
  </si>
  <si>
    <t>Automated webhook handler; preserves UNPAID status on gateway failure.</t>
  </si>
  <si>
    <t>X-0345</t>
  </si>
  <si>
    <t>Partial payment → outstanding remains</t>
  </si>
  <si>
    <t>Partial payments settle a portion of bill while maintaining exact remaining balance</t>
  </si>
  <si>
    <t>Maintains remaining unpaid balance on invoice; updates payment status to PARTIALLY_PAID</t>
  </si>
  <si>
    <t>Supported via PaymentAllocation model tracking exact unpaid balance.</t>
  </si>
  <si>
    <t>X-0346</t>
  </si>
  <si>
    <t>Multiple payments → invoice settlement is accurate</t>
  </si>
  <si>
    <t>Invoice paid in multiple installments tracks cumulative receipts accurately until full settlement</t>
  </si>
  <si>
    <t>Sums all linked payment allocations; marks invoice PAID only when sum equals invoice total</t>
  </si>
  <si>
    <t>Core system invariant: invoice marked PAID only when total allocations match grand total.</t>
  </si>
  <si>
    <t>X-0347</t>
  </si>
  <si>
    <t>Daily cash closing → expected versus actual cash is compared</t>
  </si>
  <si>
    <t>Store Cashier / Owner</t>
  </si>
  <si>
    <t>Daily till reconciliation comparing system expected cash with physical cash in drawer</t>
  </si>
  <si>
    <t>Computes expected cash = opening_cash + cash_sales - cash_expenses; compares counted cash</t>
  </si>
  <si>
    <t>Supported via /pos/shift-close screen with cash breakdown counter.</t>
  </si>
  <si>
    <t>X-0348</t>
  </si>
  <si>
    <t>Cash discrepancy → variance is recorded</t>
  </si>
  <si>
    <t>Store Manager / Owner</t>
  </si>
  <si>
    <t>Cash shortage or overage recorded as variance voucher for managerial investigation</t>
  </si>
  <si>
    <t>Posts variance to Cash Shortage/Overage expense account; flags shift for manager sign-off</t>
  </si>
  <si>
    <t>Supported via Shift Close variance logging with mandatory explanation note.</t>
  </si>
  <si>
    <t>X-0349</t>
  </si>
  <si>
    <t>Bank reconciliation → unmatched transactions are identified</t>
  </si>
  <si>
    <t>Bank / Auditor</t>
  </si>
  <si>
    <t>Bank reconciliation statement (BRS) matching system bank ledger against bank statement feed</t>
  </si>
  <si>
    <t>Matches debit and credit entries; highlights cheques issued but not presented, or direct debits</t>
  </si>
  <si>
    <t>Supported via /accounting/bank-reconciliation/ with automated date-amount matching.</t>
  </si>
  <si>
    <t>X-0350</t>
  </si>
  <si>
    <t>Payment reconciliation → business ledger matches payment records</t>
  </si>
  <si>
    <t>Verify that payment gateway settlement reports match bank deposits to the rupee</t>
  </si>
  <si>
    <t>Reconciles gross gateway collections minus processing fees against net bank account credits</t>
  </si>
  <si>
    <t>Supported via Gateway Settlement Reconciliation tool.</t>
  </si>
  <si>
    <t>X-0351</t>
  </si>
  <si>
    <t>Owner reviews cash position</t>
  </si>
  <si>
    <t>Owner checks liquid cash and bank balances across all company accounts on demand</t>
  </si>
  <si>
    <t>Displays real-time balances of Cash-in-Hand, Current Accounts, and Digital Wallets</t>
  </si>
  <si>
    <t>Supported via Cash &amp; Bank Summary card on Owner Home Screen.</t>
  </si>
  <si>
    <t>X-0352</t>
  </si>
  <si>
    <t>Owner drills cash balance into transactions</t>
  </si>
  <si>
    <t>Owner clicks cash balance to view all inflows and outflows for the day or week</t>
  </si>
  <si>
    <t>Opens Cash Book ledger showing chronological receipts, payments, and running cash balance</t>
  </si>
  <si>
    <t>Supported via Cash Book ledger drill-down (/accounting/cash-book/).</t>
  </si>
  <si>
    <t>X-0353</t>
  </si>
  <si>
    <t>Create new customer</t>
  </si>
  <si>
    <t>Sales Staff / Billing Clerk</t>
  </si>
  <si>
    <t>Register new retail or wholesale customer with name, mobile, GSTIN, and address</t>
  </si>
  <si>
    <t>Creates Customer master record; validates GSTIN checksum and assigns default price list</t>
  </si>
  <si>
    <t>Supported via /sales/customers/create and POS quick-customer modal.</t>
  </si>
  <si>
    <t>X-0354</t>
  </si>
  <si>
    <t>Update customer profile</t>
  </si>
  <si>
    <t>Sales Staff / Admin</t>
  </si>
  <si>
    <t>Update customer contact info, billing/shipping address, or credit limit</t>
  </si>
  <si>
    <t>Updates Customer master record; preserves historical invoice association</t>
  </si>
  <si>
    <t>Supported via /sales/customers/{id}/edit.</t>
  </si>
  <si>
    <t>X-0355</t>
  </si>
  <si>
    <t>Duplicate customer detection</t>
  </si>
  <si>
    <t>System / Master Guard</t>
  </si>
  <si>
    <t>Sales Staff</t>
  </si>
  <si>
    <t>Prevent duplicate customer entries with identical phone number or GSTIN</t>
  </si>
  <si>
    <t>Scans existing records on mobile number or GSTIN; warns user before saving duplicate</t>
  </si>
  <si>
    <t>Built-in phone and GSTIN duplicate detection check during customer creation.</t>
  </si>
  <si>
    <t>X-0356</t>
  </si>
  <si>
    <t>Customer inquiry → lead created</t>
  </si>
  <si>
    <t>Sales Representative</t>
  </si>
  <si>
    <t>Prospective Client</t>
  </si>
  <si>
    <t>Capture prospective customer inquiry from phone call, walk-in, or web inquiry</t>
  </si>
  <si>
    <t>Creates Lead record in CRM pipeline; records required items, estimated budget, and source</t>
  </si>
  <si>
    <t>Supported via /crm/leads/create with pipeline stage tracking.</t>
  </si>
  <si>
    <t>X-0357</t>
  </si>
  <si>
    <t>Lead → follow-up task created</t>
  </si>
  <si>
    <t>Schedule follow-up reminder or call task to advance prospective deal</t>
  </si>
  <si>
    <t>Creates follow-up task with due date; pushes reminder to salesperson's daily task feed</t>
  </si>
  <si>
    <t>Supported via CRM Task / Follow-up scheduler.</t>
  </si>
  <si>
    <t>X-0358</t>
  </si>
  <si>
    <t>Lead → quotation created</t>
  </si>
  <si>
    <t>Convert qualified lead into formal price quotation with product options</t>
  </si>
  <si>
    <t>Creates Quotation linked to Lead; copies customer details and proposed line items</t>
  </si>
  <si>
    <t>Supported via Lead 'Generate Quotation' action.</t>
  </si>
  <si>
    <t>X-0359</t>
  </si>
  <si>
    <t>Quotation → sales order</t>
  </si>
  <si>
    <t>Convert accepted quotation into binding sales order upon client approval</t>
  </si>
  <si>
    <t>Clones Quotation items into SalesOrder, marks quotation CONVERTED, commits stock</t>
  </si>
  <si>
    <t>X-0360</t>
  </si>
  <si>
    <t>Sales order → invoice</t>
  </si>
  <si>
    <t>Convert delivered sales order into legal tax invoice for billing and collection</t>
  </si>
  <si>
    <t>Creates SalesInvoice copying SalesOrder lines; updates inventory and customer ledger</t>
  </si>
  <si>
    <t>Supported via SalesOrder 'Create Invoice' action.</t>
  </si>
  <si>
    <t>backend/sales/models.py:SalesInvoice; backend/sales/models.py:SalesOrder</t>
  </si>
  <si>
    <t>X-0361</t>
  </si>
  <si>
    <t>Customer purchase → customer history updated</t>
  </si>
  <si>
    <t>System / CRM Engine</t>
  </si>
  <si>
    <t>Completed purchase appended to customer's permanent lifetime purchase history</t>
  </si>
  <si>
    <t>Updates customer lifetime spend, total order count, last purchase date, and favorite SKUs</t>
  </si>
  <si>
    <t>Automated customer metric rollup upon invoice completion.</t>
  </si>
  <si>
    <t>X-0362</t>
  </si>
  <si>
    <t>Customer purchase history → salesperson sees context</t>
  </si>
  <si>
    <t>Salesperson views customer past orders and preferred brands during sales conversation</t>
  </si>
  <si>
    <t>Displays Customer 360 card showing purchase frequency, outstanding balance, and preferences</t>
  </si>
  <si>
    <t>Supported via Customer 360 side-drawer in sales booking interface.</t>
  </si>
  <si>
    <t>X-0363</t>
  </si>
  <si>
    <t>Customer complaint → support case created</t>
  </si>
  <si>
    <t>Customer Support Desk</t>
  </si>
  <si>
    <t>Log customer complaint regarding defective product, late delivery, or billing error</t>
  </si>
  <si>
    <t>Creates SupportTicket / Complaint record; tags severity, category, and related invoice</t>
  </si>
  <si>
    <t>Supported via /complaints/create with SLA priority tracking.</t>
  </si>
  <si>
    <t>Customer Support</t>
  </si>
  <si>
    <t>X-0364</t>
  </si>
  <si>
    <t>Support case → responsible employee assigned</t>
  </si>
  <si>
    <t>Customer Support Lead</t>
  </si>
  <si>
    <t>Assigned Staff Member</t>
  </si>
  <si>
    <t>Assign complaint to specific warehouse, sales, or accounting staff member for resolution</t>
  </si>
  <si>
    <t>Assigns ticket owner; triggers notification to assigned employee with SLA deadline</t>
  </si>
  <si>
    <t>Supported via ticket assignment and workflow routing in complaints app.</t>
  </si>
  <si>
    <t>X-0365</t>
  </si>
  <si>
    <t>Complaint resolved → customer history updated</t>
  </si>
  <si>
    <t>Customer Support Staff</t>
  </si>
  <si>
    <t>Document complaint resolution, customer satisfaction, and corrective action taken</t>
  </si>
  <si>
    <t>Closes SupportTicket; records resolution notes; updates customer satisfaction history</t>
  </si>
  <si>
    <t>Supported via Ticket Resolution workflow with customer closure notification.</t>
  </si>
  <si>
    <t>X-0366</t>
  </si>
  <si>
    <t>Customer referral → referral recorded</t>
  </si>
  <si>
    <t>Existing Customer</t>
  </si>
  <si>
    <t>Track customer who referred a new client to credit referral commissions or loyalty points</t>
  </si>
  <si>
    <t>Links new customer to referring customer master; records referral commission liability</t>
  </si>
  <si>
    <t>Supported via CRM Customer Referral tracking.</t>
  </si>
  <si>
    <t>X-0367</t>
  </si>
  <si>
    <t>Customer becomes inactive → follow-up opportunity identified</t>
  </si>
  <si>
    <t>Marketing / Sales Manager</t>
  </si>
  <si>
    <t>Identify previously regular customers who have not placed an order in 30/60/90 days</t>
  </si>
  <si>
    <t>Flags churn risk customers; automatically generates re-engagement call task for sales rep</t>
  </si>
  <si>
    <t>Supported via Customer Inactivity &amp; Churn Alert report.</t>
  </si>
  <si>
    <t>X-0368</t>
  </si>
  <si>
    <t>Customer warranty/AMC → service obligation recorded</t>
  </si>
  <si>
    <t>Service Manager</t>
  </si>
  <si>
    <t>Track warranty period, Annual Maintenance Contract (AMC), or service obligations</t>
  </si>
  <si>
    <t>Creates WarrantyContract record linked to sold serial number; schedules preventive service</t>
  </si>
  <si>
    <t>Supported via Contracts / Warranty module (/contracts/).</t>
  </si>
  <si>
    <t>Production / Workshop / Projects</t>
  </si>
  <si>
    <t>X-0369</t>
  </si>
  <si>
    <t>Customer requests return</t>
  </si>
  <si>
    <t>Customer Support / Sales Clerk</t>
  </si>
  <si>
    <t>Receive customer request to return items, logging reason (defective, wrong item, excess)</t>
  </si>
  <si>
    <t>Creates SalesReturn in DRAFT status referencing original sales invoice</t>
  </si>
  <si>
    <t>Supported via /sales/returns/create with invoice lookup.</t>
  </si>
  <si>
    <t>X-0370</t>
  </si>
  <si>
    <t>Salesperson creates return request</t>
  </si>
  <si>
    <t>Customer / Store Manager</t>
  </si>
  <si>
    <t>Salesperson initiates return request on mobile app during customer site visit</t>
  </si>
  <si>
    <t>Submits return request with item photo and reason code for manager approval</t>
  </si>
  <si>
    <t>Supported via Mobile Return Request form.</t>
  </si>
  <si>
    <t>X-0371</t>
  </si>
  <si>
    <t>Manager approves return</t>
  </si>
  <si>
    <t>Store Manager / Operations Head</t>
  </si>
  <si>
    <t>Manager verifies return justification and authorizes warehouse intake and credit issuance</t>
  </si>
  <si>
    <t>Updates SalesReturn status to APPROVED; authorizes warehouse inspection and credit note</t>
  </si>
  <si>
    <t>Supported via Manager Return Approval queue.</t>
  </si>
  <si>
    <t>X-0372</t>
  </si>
  <si>
    <t>Warehouse receives returned goods</t>
  </si>
  <si>
    <t>Customer / Delivery Driver</t>
  </si>
  <si>
    <t>Physical intake of returned items at warehouse receiving dock</t>
  </si>
  <si>
    <t>Records physical package arrival; initiates quality inspection process</t>
  </si>
  <si>
    <t>Supported via Return Intake step in warehouse receiving.</t>
  </si>
  <si>
    <t>X-0373</t>
  </si>
  <si>
    <t>Returned goods inspected</t>
  </si>
  <si>
    <t>Quality Inspector / Custodian</t>
  </si>
  <si>
    <t>Inspect returned goods to determine if items are resaleable, repairable, or total scrap</t>
  </si>
  <si>
    <t>Tags item condition (RESELLABLE, DAMAGED, EXPIRED); determines restocking path</t>
  </si>
  <si>
    <t>Supported via Return Inspection modal with condition grading.</t>
  </si>
  <si>
    <t>X-0374</t>
  </si>
  <si>
    <t>Good stock → inventory restored</t>
  </si>
  <si>
    <t>Undamaged returned goods restored to active warehouse inventory for resale</t>
  </si>
  <si>
    <t>Creates StockMovement (RETURN_INWARD); increments warehouse StockBalance</t>
  </si>
  <si>
    <t>Core system invariant: approved return restores inventory balance atomically.</t>
  </si>
  <si>
    <t>X-0375</t>
  </si>
  <si>
    <t>Damaged return → damaged inventory recorded</t>
  </si>
  <si>
    <t>Supplier / Scrap Dealer</t>
  </si>
  <si>
    <t>Damaged or broken returns routed to scrap/damaged quarantine location</t>
  </si>
  <si>
    <t>Transfers item to DAMAGED warehouse bin; prevents accidental customer resale</t>
  </si>
  <si>
    <t>Supported via damaged inventory segregation on return receipt.</t>
  </si>
  <si>
    <t>X-0376</t>
  </si>
  <si>
    <t>Return → customer credit created</t>
  </si>
  <si>
    <t>Issue official GST-compliant Credit Note crediting customer's account for return value</t>
  </si>
  <si>
    <t>Generates SalesCreditNote; reduces customer Accounts Receivable balance</t>
  </si>
  <si>
    <t>Supported via SalesReturn completion; auto-generates SalesCreditNote.</t>
  </si>
  <si>
    <t>X-0377</t>
  </si>
  <si>
    <t>Return → refund initiated</t>
  </si>
  <si>
    <t>Disburse monetary refund via Cash, UPI, or Bank Transfer for returned goods</t>
  </si>
  <si>
    <t>Creates refund payment entry; credits Cash/Bank account in general ledger</t>
  </si>
  <si>
    <t>Supported via Cash/Bank Refund voucher linked to SalesCreditNote.</t>
  </si>
  <si>
    <t>X-0378</t>
  </si>
  <si>
    <t>Return → GST impact updated</t>
  </si>
  <si>
    <t>Output GST tax liability reduced legally following Credit Note issuance</t>
  </si>
  <si>
    <t>Adjusts output tax liability ledgers; records credit note in GSTR-1 Table 9B</t>
  </si>
  <si>
    <t>Core tax invariant: Credit Note issuance automatically adjusts statutory tax reporting.</t>
  </si>
  <si>
    <t>X-0379</t>
  </si>
  <si>
    <t>Customer complaint → support ticket</t>
  </si>
  <si>
    <t>Formal support ticket opened for customer issue regarding product quality or billing</t>
  </si>
  <si>
    <t>Creates SupportTicket with unique ticket ID; logs customer narrative and priority</t>
  </si>
  <si>
    <t>Supported via /complaints/tickets/create.</t>
  </si>
  <si>
    <t>X-0380</t>
  </si>
  <si>
    <t>Support ticket → owner/manager escalation</t>
  </si>
  <si>
    <t>Support Lead</t>
  </si>
  <si>
    <t>Business Owner / General Manager</t>
  </si>
  <si>
    <t>High-severity or unresolved complaint escalated to business owner for swift intervention</t>
  </si>
  <si>
    <t>Escalates ticket priority to CRITICAL; sends notification alert to owner dashboard</t>
  </si>
  <si>
    <t>Supported via Ticket Escalation workflow.</t>
  </si>
  <si>
    <t>X-0381</t>
  </si>
  <si>
    <t>Complaint resolution → customer notified</t>
  </si>
  <si>
    <t>Notify customer of resolution via WhatsApp or email with credit note or replacement details</t>
  </si>
  <si>
    <t>Sends automated resolution message to customer; marks ticket as RESOLVED</t>
  </si>
  <si>
    <t>Supported via WhatsApp notification integration on ticket closure.</t>
  </si>
  <si>
    <t>X-0382</t>
  </si>
  <si>
    <t>Warranty claim → product/serial verified</t>
  </si>
  <si>
    <t>Service Technician</t>
  </si>
  <si>
    <t>Verify product serial number against sales invoice to confirm warranty coverage status</t>
  </si>
  <si>
    <t>Validates serial number sale date and warranty expiry; checks coverage terms</t>
  </si>
  <si>
    <t>Supported via Serial Warranty Lookup tool.</t>
  </si>
  <si>
    <t>X-0383</t>
  </si>
  <si>
    <t>Warranty claim → service action recorded</t>
  </si>
  <si>
    <t>Record repair action, replaced spare parts, and technician labor charges</t>
  </si>
  <si>
    <t>Creates JobCard / ServiceRecord; decrements replaced spare parts from inventory</t>
  </si>
  <si>
    <t>Supported via Workshop / JobCard module (/workshop/).</t>
  </si>
  <si>
    <t>backend/workshop/models.py:JobCard</t>
  </si>
  <si>
    <t>backend/tests/test_concurrency_races.py; backend/tests/test_fmea2_wave.py; backend/tests/test_fmea_mitigations.py</t>
  </si>
  <si>
    <t>X-0384</t>
  </si>
  <si>
    <t>AMC renewal → customer follow-up generated</t>
  </si>
  <si>
    <t>Service Sales Coordinator</t>
  </si>
  <si>
    <t>Generate automated renewal reminder 30 days prior to contract expiration</t>
  </si>
  <si>
    <t>Generates AMC renewal quotation; creates sales follow-up task in CRM</t>
  </si>
  <si>
    <t>Supported via Contract Expiry Diary in contracts app.</t>
  </si>
  <si>
    <t>X-0385</t>
  </si>
  <si>
    <t>Transaction → sales dashboard updates</t>
  </si>
  <si>
    <t>Reporting Engine</t>
  </si>
  <si>
    <t>Business Owner / Sales Manager</t>
  </si>
  <si>
    <t>Real-time sales dashboard updates instantly upon invoice completion</t>
  </si>
  <si>
    <t>Recalculates today's gross sales, bill count, average order value, and hourly velocity</t>
  </si>
  <si>
    <t>Core system invariant: dashboard metrics update synchronously on invoice completion.</t>
  </si>
  <si>
    <t>X-0386</t>
  </si>
  <si>
    <t>Transaction → purchase dashboard updates</t>
  </si>
  <si>
    <t>Procurement analytics update immediately upon purchase bill posting</t>
  </si>
  <si>
    <t>Updates month-to-date procurement spend, top supplier spend, and pending receipts</t>
  </si>
  <si>
    <t>Supported via Purchase Analytics dashboard.</t>
  </si>
  <si>
    <t>X-0387</t>
  </si>
  <si>
    <t>Transaction → inventory dashboard updates</t>
  </si>
  <si>
    <t>Inventory analytics reflect real-time stock balances, valuation, and low-stock alerts</t>
  </si>
  <si>
    <t>Recalculates total inventory asset value, out-of-stock SKU count, and reorder warnings</t>
  </si>
  <si>
    <t>Supported via /inventory/ dashboard metric cards.</t>
  </si>
  <si>
    <t>X-0388</t>
  </si>
  <si>
    <t>Transaction → GST dashboard updates</t>
  </si>
  <si>
    <t>Tax dashboard reflects cumulative output liability, input credits, and estimated net payout</t>
  </si>
  <si>
    <t>Updates real-time tax summary cards for CGST, SGST, IGST, and cess</t>
  </si>
  <si>
    <t>Supported via GST Health Dashboard in reporting module.</t>
  </si>
  <si>
    <t>X-0389</t>
  </si>
  <si>
    <t>Transaction → receivables dashboard updates</t>
  </si>
  <si>
    <t>Accounts receivable dashboard updates total outstanding, overdue aging, and collections</t>
  </si>
  <si>
    <t>Updates AR total, 30+ days overdue percentage, and top debtor ranking</t>
  </si>
  <si>
    <t>Supported via Receivables Overview dashboard.</t>
  </si>
  <si>
    <t>X-0390</t>
  </si>
  <si>
    <t>Transaction → payables dashboard updates</t>
  </si>
  <si>
    <t>Accounts payable dashboard reflects updated supplier obligations and scheduled payments</t>
  </si>
  <si>
    <t>Updates AP total, upcoming 7-day payment commitments, and supplier balances</t>
  </si>
  <si>
    <t>Supported via Payables Overview dashboard.</t>
  </si>
  <si>
    <t>X-0391</t>
  </si>
  <si>
    <t>Transaction → profitability dashboard updates</t>
  </si>
  <si>
    <t>Real-time realized gross profit margin metrics update as transactions complete</t>
  </si>
  <si>
    <t>Computes cumulative gross profit = SUM(Line Revenue - Line FIFO Cost) for the period</t>
  </si>
  <si>
    <t>Supported via Executive Profitability Dashboard.</t>
  </si>
  <si>
    <t>X-0392</t>
  </si>
  <si>
    <t>Owner drills KPI → underlying transaction</t>
  </si>
  <si>
    <t>Business Owner / Accountant</t>
  </si>
  <si>
    <t>Click on any dashboard metric card to view filtered list of transactions composing the total</t>
  </si>
  <si>
    <t>Opens filtered transaction ledger displaying the specific invoices or journal lines</t>
  </si>
  <si>
    <t>Full bidirectional drill-down supported across all dashboard metric cards.</t>
  </si>
  <si>
    <t>X-0393</t>
  </si>
  <si>
    <t>Owner drills transaction → source document</t>
  </si>
  <si>
    <t>Click on any transaction row in ledger to inspect original full tax invoice or bill document</t>
  </si>
  <si>
    <t>Opens full document view showing customer details, line items, taxes, and payment history</t>
  </si>
  <si>
    <t>Supported via direct document link from all ledger tables.</t>
  </si>
  <si>
    <t>X-0394</t>
  </si>
  <si>
    <t>Salesperson sees personal sales performance</t>
  </si>
  <si>
    <t>Salesperson views personal sales achievement, commission earned, and customer order count</t>
  </si>
  <si>
    <t>Filters sales performance metrics specifically for logged-in salesperson's user ID</t>
  </si>
  <si>
    <t>Supported via Rep Self-Service Performance Card in mobile PWA.</t>
  </si>
  <si>
    <t>X-0395</t>
  </si>
  <si>
    <t>Manager sees team performance</t>
  </si>
  <si>
    <t>Manager monitors sales figures, target completion, and customer visits across all sales reps</t>
  </si>
  <si>
    <t>Aggregates sales figures grouped by sales representative with comparative rankings</t>
  </si>
  <si>
    <t>Supported via Sales Team Leaderboard report.</t>
  </si>
  <si>
    <t>X-0396</t>
  </si>
  <si>
    <t>Owner sees consolidated business performance</t>
  </si>
  <si>
    <t>Senior Management</t>
  </si>
  <si>
    <t>Consolidated overview of all company divisions, outlets, and financial operations</t>
  </si>
  <si>
    <t>Renders high-level executive briefing with multi-outlet and multi-department rollups</t>
  </si>
  <si>
    <t>Supported via Executive Dashboard in Insights module.</t>
  </si>
  <si>
    <t>X-0397</t>
  </si>
  <si>
    <t>Multi-shop owner compares locations</t>
  </si>
  <si>
    <t>Side-by-side comparison of revenue, profitability, footfall, and stock across retail stores</t>
  </si>
  <si>
    <t>Generates comparative store performance table with revenue and profit metrics</t>
  </si>
  <si>
    <t>Supported via /reports/multi-store-comparison/.</t>
  </si>
  <si>
    <t>X-0398</t>
  </si>
  <si>
    <t>Distributor compares customers</t>
  </si>
  <si>
    <t>Rank wholesale dealers by order frequency, revenue volume, payment promptness, and margin</t>
  </si>
  <si>
    <t>Computes customer scoring matrix; identifies top tier partners and credit risks</t>
  </si>
  <si>
    <t>Supported via Customer Ranking Matrix in reporting module.</t>
  </si>
  <si>
    <t>X-0399</t>
  </si>
  <si>
    <t>Distributor compares products</t>
  </si>
  <si>
    <t>Analyze product catalog velocity, profit margin, and return frequency across brands</t>
  </si>
  <si>
    <t>Generates product matrix evaluating sales velocity vs margin contribution</t>
  </si>
  <si>
    <t>Supported via Product Velocity Matrix (/reports/product-velocity/).</t>
  </si>
  <si>
    <t>X-0400</t>
  </si>
  <si>
    <t>Owner identifies high-value customers</t>
  </si>
  <si>
    <t>Business Owner / Sales Lead</t>
  </si>
  <si>
    <t>VIP Customers</t>
  </si>
  <si>
    <t>Identify top 20% of customer accounts generating 80% of company revenue (Pareto analysis)</t>
  </si>
  <si>
    <t>Ranks customer base by cumulative revenue contribution; flags VIP loyalty status</t>
  </si>
  <si>
    <t>Supported via Pareto Customer Analysis report.</t>
  </si>
  <si>
    <t>X-0401</t>
  </si>
  <si>
    <t>Owner identifies low-margin products</t>
  </si>
  <si>
    <t>Business Owner / Commercial Lead</t>
  </si>
  <si>
    <t>Spot products yielding inadequate gross margins after discounting to revise price list</t>
  </si>
  <si>
    <t>Filters catalog for SKUs with gross margin percentage below target threshold (e.g. &lt; 8%)</t>
  </si>
  <si>
    <t>Supported via Low Margin Exception report.</t>
  </si>
  <si>
    <t>X-0402</t>
  </si>
  <si>
    <t>Owner identifies dead stock</t>
  </si>
  <si>
    <t>Business Owner / Warehouse Manager</t>
  </si>
  <si>
    <t>Suppliers</t>
  </si>
  <si>
    <t>Identify inventory holding zero sales movements over 60/90/180 days to liquidate capital</t>
  </si>
  <si>
    <t>Identifies stagnant SKUs; computes total tied-up working capital valuation</t>
  </si>
  <si>
    <t>Supported via Aging &amp; Dead Stock Report (/reports/inventory-aging/).</t>
  </si>
  <si>
    <t>X-0403</t>
  </si>
  <si>
    <t>Owner identifies fast-moving products</t>
  </si>
  <si>
    <t>Business Owner / Purchase Manager</t>
  </si>
  <si>
    <t>Identify top-velocity SKUs to ensure priority supplier replenishment and bulk discounts</t>
  </si>
  <si>
    <t>Ranks items by daily inventory turnover rate and sales frequency</t>
  </si>
  <si>
    <t>Supported via Fast-Moving SKU Leaderboard.</t>
  </si>
  <si>
    <t>X-0404</t>
  </si>
  <si>
    <t>Owner identifies overdue receivables</t>
  </si>
  <si>
    <t>Business Owner / Credit Controller</t>
  </si>
  <si>
    <t>Debtors</t>
  </si>
  <si>
    <t>Pinpoint critically overdue accounts requiring legal notice or management debt chasing</t>
  </si>
  <si>
    <t>Filters customer accounts with invoices unpaid &gt; 45 days past agreed terms</t>
  </si>
  <si>
    <t>Supported via Critical Overdue Receivables report.</t>
  </si>
  <si>
    <t>X-0405</t>
  </si>
  <si>
    <t>Owner identifies supplier concentration</t>
  </si>
  <si>
    <t>Evaluate procurement risk by measuring dependency on top suppliers</t>
  </si>
  <si>
    <t>Calculates Herfindahl index and percentage of total procurement spend per vendor</t>
  </si>
  <si>
    <t>Supported via Supplier Concentration &amp; Risk report.</t>
  </si>
  <si>
    <t>X-0406</t>
  </si>
  <si>
    <t>Owner reviews business trends</t>
  </si>
  <si>
    <t>Review multi-month sales, procurement, margin, and expense trends to plan growth</t>
  </si>
  <si>
    <t>Renders longitudinal trend charts showing monthly revenue trajectory and seasonal patterns</t>
  </si>
  <si>
    <t>Supported via Longitudinal Business Trends dashboard (/insights/trends/).</t>
  </si>
  <si>
    <t>X-0407</t>
  </si>
  <si>
    <t>Admin creates product → salesperson can sell it</t>
  </si>
  <si>
    <t>System Administrator / Catalog Lead</t>
  </si>
  <si>
    <t>Salesperson / Cashier</t>
  </si>
  <si>
    <t>New product created in catalog immediately becomes available for billing on all POS terminals</t>
  </si>
  <si>
    <t>Creates Product master; updates search index; displays in active billing catalog</t>
  </si>
  <si>
    <t>Core system invariant: newly created active products are immediately available to sell.</t>
  </si>
  <si>
    <t>X-0408</t>
  </si>
  <si>
    <t>Admin creates product → purchase manager can purchase it</t>
  </si>
  <si>
    <t>New product immediately available for selection on Purchase Orders and supplier bills</t>
  </si>
  <si>
    <t>Enables SKU selection across procurement workflows with default purchase pricing</t>
  </si>
  <si>
    <t>Supported via product catalog integration across sales and purchases.</t>
  </si>
  <si>
    <t>X-0409</t>
  </si>
  <si>
    <t>Product HSN → invoice uses correct HSN</t>
  </si>
  <si>
    <t>Product HSN code automatically populates onto invoice line items for GST compliance</t>
  </si>
  <si>
    <t>Copies HSN/SAC code from Product master to SalesItem; prints on statutory invoice</t>
  </si>
  <si>
    <t>Core tax invariant: invoice line HSN strictly derived from Product master.</t>
  </si>
  <si>
    <t>backend/sales/models.py:SalesItem</t>
  </si>
  <si>
    <t>backend/tests/test_gst_guard_v2.py; backend/tests/test_next_batch_line_company.py; backend/tests/test_pdf_and_share.py</t>
  </si>
  <si>
    <t>X-0410</t>
  </si>
  <si>
    <t>Product tax rate → invoice uses configured tax</t>
  </si>
  <si>
    <t>Configured product GST rate automatically applied during billing calculation</t>
  </si>
  <si>
    <t>Applies master tax rate percentage; calculates line CGST/SGST/IGST breakdown</t>
  </si>
  <si>
    <t>Core tax invariant: invoice line tax percentage strictly derived from Product tax rate.</t>
  </si>
  <si>
    <t>X-0411</t>
  </si>
  <si>
    <t>Product unit → inventory quantities use correct unit</t>
  </si>
  <si>
    <t>Inventory Ledger Engine</t>
  </si>
  <si>
    <t>Stock transactions enforce standard unit of measure (PCS, KGS, BOX, LTR, MTR)</t>
  </si>
  <si>
    <t>Stores unit_of_measure on Product; validates all inward and outward movements conform to unit</t>
  </si>
  <si>
    <t>Core inventory invariant: all stock movements strictly validate master unit of measure.</t>
  </si>
  <si>
    <t>X-0412</t>
  </si>
  <si>
    <t>Product batch configuration → GRN captures batch</t>
  </si>
  <si>
    <t>Goods Receipt Engine</t>
  </si>
  <si>
    <t>Items flagged with is_batch_tracked require mandatory batch number and expiry entry on receipt</t>
  </si>
  <si>
    <t>Enforces batch lot entry on GRN/Purchase bill; rejects receipt if batch info is missing</t>
  </si>
  <si>
    <t>Core inventory invariant: batch-tracked SKUs strictly enforce batch metadata on inwarding.</t>
  </si>
  <si>
    <t>X-0413</t>
  </si>
  <si>
    <t>Product serial configuration → sale captures serial</t>
  </si>
  <si>
    <t>Billing Engine</t>
  </si>
  <si>
    <t>Items flagged with is_serialized require unique serial/IMEI scanning before checkout</t>
  </si>
  <si>
    <t>Validates scanned serial number against available serial inventory; records on sales line</t>
  </si>
  <si>
    <t>Core inventory invariant: serialized SKUs strictly enforce valid serial selection on sale.</t>
  </si>
  <si>
    <t>X-0414</t>
  </si>
  <si>
    <t>Customer master → sales invoice uses customer details</t>
  </si>
  <si>
    <t>Customer name, billing address, shipping address, and GSTIN automatically populate on invoice</t>
  </si>
  <si>
    <t>Copies customer master details to invoice header snapshot for immutable record-keeping</t>
  </si>
  <si>
    <t>Supported via customer auto-complete in invoice creation form.</t>
  </si>
  <si>
    <t>X-0415</t>
  </si>
  <si>
    <t>Supplier master → purchase invoice uses supplier details</t>
  </si>
  <si>
    <t>Procurement Engine</t>
  </si>
  <si>
    <t>Supplier legal name, address, GSTIN, and default payment terms populate on purchase bill</t>
  </si>
  <si>
    <t>Copies supplier master details to purchase invoice header snapshot</t>
  </si>
  <si>
    <t>Supported via supplier auto-complete in purchase form.</t>
  </si>
  <si>
    <t>X-0416</t>
  </si>
  <si>
    <t>Customer GSTIN → tax treatment uses GST status</t>
  </si>
  <si>
    <t>Customer GST status (Registered B2B, Unregistered B2C, Composition) dictates invoice format</t>
  </si>
  <si>
    <t>Formats document as B2B Tax Invoice with reverse charge check or B2C Retail Bill</t>
  </si>
  <si>
    <t>Supported via automated tax regime selection based on customer GSTIN presence.</t>
  </si>
  <si>
    <t>X-0417</t>
  </si>
  <si>
    <t>Supplier GSTIN → purchase tax treatment uses supplier status</t>
  </si>
  <si>
    <t>Supplier registration status determines whether purchase is eligible for Input Tax Credit</t>
  </si>
  <si>
    <t>Determines ITC eligibility; flags unregistered supplier purchases for Reverse Charge (RCM)</t>
  </si>
  <si>
    <t>Supported via supplier GSTIN validation during purchase bill intake.</t>
  </si>
  <si>
    <t>X-0418</t>
  </si>
  <si>
    <t>Price list → salesperson sees appropriate price</t>
  </si>
  <si>
    <t>Pricing Engine</t>
  </si>
  <si>
    <t>Salesperson / Counter Clerk</t>
  </si>
  <si>
    <t>Assigned price list (Retail, Wholesale, Distributor) dictates unit price on order line</t>
  </si>
  <si>
    <t>Applies customer's assigned PriceList; automatically sets approved tiered unit rate</t>
  </si>
  <si>
    <t>Supported via PriceList engine (/settings/price-lists/).</t>
  </si>
  <si>
    <t>Matched PriceList in product code. This is not a functional test.</t>
  </si>
  <si>
    <t>backend/masters/models.py:PriceList</t>
  </si>
  <si>
    <t>backend/tests/test_business_rules.py; backend/tests/test_c04_price_slabs.py; backend/tests/test_sprint3_multicompany_pricing.py</t>
  </si>
  <si>
    <t>X-0419</t>
  </si>
  <si>
    <t>Customer-specific pricing → correct price appears</t>
  </si>
  <si>
    <t>Special contracted rates for specific key customer automatically override standard list price</t>
  </si>
  <si>
    <t>Checks CustomerProductPrice contract table; applies negotiated rate if present</t>
  </si>
  <si>
    <t>Supported via customer-specific contracted price overrides.</t>
  </si>
  <si>
    <t>X-0420</t>
  </si>
  <si>
    <t>User role → permitted actions are enforced</t>
  </si>
  <si>
    <t>Security / Access Control</t>
  </si>
  <si>
    <t>All Users</t>
  </si>
  <si>
    <t>User role (Owner, Manager, Billing Clerk, Godown Staff, Accountant) strictly governs system access</t>
  </si>
  <si>
    <t>Enforces permission checks across UI buttons, navigation links, and REST API endpoints</t>
  </si>
  <si>
    <t>Core security invariant: RBAC enforced at Django view and DRF permission class levels.</t>
  </si>
  <si>
    <t>X-0421</t>
  </si>
  <si>
    <t>Location assignment → user sees authorized location data</t>
  </si>
  <si>
    <t>Branch Staff</t>
  </si>
  <si>
    <t>Store employees restricted to viewing inventory, sales, and registers of assigned store</t>
  </si>
  <si>
    <t>Applies warehouse filter in database queries based on user's authorized warehouse list</t>
  </si>
  <si>
    <t>Core security invariant: multi-location data isolation enforced via company user scope.</t>
  </si>
  <si>
    <t>X-0422</t>
  </si>
  <si>
    <t>Salesperson creates invoice → cannot modify restricted accounting fields</t>
  </si>
  <si>
    <t>Billing clerks prevented from altering ledger accounts, cost centers, or tax overrides</t>
  </si>
  <si>
    <t>Disables restricted accounting fields on billing UI; rejects tampered API requests</t>
  </si>
  <si>
    <t>Core security invariant: field-level permission checks block unauthorized field mutation.</t>
  </si>
  <si>
    <t>X-0423</t>
  </si>
  <si>
    <t>Inventory user adjusts stock → authorization is enforced</t>
  </si>
  <si>
    <t>Warehouse staff cannot execute inventory write-offs without manager approval</t>
  </si>
  <si>
    <t>Requires manager sign-off token before executing manual stock adjustment</t>
  </si>
  <si>
    <t>Supported via dual-authorization requirement for StockAdjustment.</t>
  </si>
  <si>
    <t>X-0424</t>
  </si>
  <si>
    <t>Accountant modifies GST data → audit trail is created</t>
  </si>
  <si>
    <t>In-house Accountant / Auditor</t>
  </si>
  <si>
    <t>Any manual override of tax data automatically logs user ID, old value, new value, and reason</t>
  </si>
  <si>
    <t>Creates immutable audit log row; satisfies statutory MCA audit trail requirements</t>
  </si>
  <si>
    <t>Core compliance invariant: all tax data adjustments logged permanently in ActivityLog.</t>
  </si>
  <si>
    <t>X-0425</t>
  </si>
  <si>
    <t>Manager approves adjustment → approval identity is recorded</t>
  </si>
  <si>
    <t>Manager / Auditor</t>
  </si>
  <si>
    <t>Digital identity of approving manager permanently stamped onto approved adjustment voucher</t>
  </si>
  <si>
    <t>Records approved_by_user_id and approval_timestamp on the adjustment document</t>
  </si>
  <si>
    <t>Supported via approval signature stamping on all approved exception documents.</t>
  </si>
  <si>
    <t>X-0426</t>
  </si>
  <si>
    <t>User attempts unauthorized transaction → action is blocked</t>
  </si>
  <si>
    <t>Unauthorized User</t>
  </si>
  <si>
    <t>System immediately rejects unauthorized action with HTTP 403 Forbidden error message</t>
  </si>
  <si>
    <t>Blocks request; logs security violation attempt in system security audit log</t>
  </si>
  <si>
    <t>Core security invariant: strict RBAC enforcement across all API endpoints.</t>
  </si>
  <si>
    <t>X-0427</t>
  </si>
  <si>
    <t>User changes role → permissions immediately reflect policy</t>
  </si>
  <si>
    <t>Role updates take effect immediately on next request without requiring system restart</t>
  </si>
  <si>
    <t>Updates CompanyUser.role; invalidates cached session permissions immediately</t>
  </si>
  <si>
    <t>Core security invariant: dynamic role evaluation on every authenticated request.</t>
  </si>
  <si>
    <t>X-0428</t>
  </si>
  <si>
    <t>User changes location → access follows assigned location</t>
  </si>
  <si>
    <t>Transferring an employee to another store updates their inventory and sales visibility</t>
  </si>
  <si>
    <t>Updates assigned_warehouses mapping; shifts user scope to new location immediately</t>
  </si>
  <si>
    <t>Supported via User Location Assignment management.</t>
  </si>
  <si>
    <t>X-0429</t>
  </si>
  <si>
    <t>Deactivated user → historical transactions remain intact</t>
  </si>
  <si>
    <t>Deactivating an ex-employee blocks login but preserves all historical vouchers signed by them</t>
  </si>
  <si>
    <t>Sets is_active=False; preserves foreign key references on all historical transactions</t>
  </si>
  <si>
    <t>Core data invariant: user deactivation preserves referential integrity; hard deletes blocked.</t>
  </si>
  <si>
    <t>X-0430</t>
  </si>
  <si>
    <t>Sensitive financial information → restricted users cannot access it</t>
  </si>
  <si>
    <t>Billing Clerk / Delivery Driver</t>
  </si>
  <si>
    <t>Billing clerks and delivery staff cannot view business profits, vendor costs, or bank balances</t>
  </si>
  <si>
    <t>Masks gross margin, purchase cost, and financial statement menus based on user role</t>
  </si>
  <si>
    <t>Supported via role-based field masking in API serializers and UI navigation guards.</t>
  </si>
  <si>
    <t>X-0431</t>
  </si>
  <si>
    <t>Export data → export permissions are enforced</t>
  </si>
  <si>
    <t>Bulk export of customer lists, sales registers, or financial books restricted to authorized roles</t>
  </si>
  <si>
    <t>Blocks export endpoints for unauthorized roles, preventing commercial data exfiltration</t>
  </si>
  <si>
    <t>Core security invariant: export actions restricted to Owner, Admin, and Accountant roles.</t>
  </si>
  <si>
    <t>Every financial, inventory, and tax voucher backed by append-only immutable audit trail</t>
  </si>
  <si>
    <t>Guarantees chronological traceability of who created, edited, approved, or cancelled records</t>
  </si>
  <si>
    <t>Core system invariant: MCA-compliant audit trail with Django SimpleHistory.</t>
  </si>
  <si>
    <t>django-simple-history is not a dependency. The note names the wrong audit mechanism. 2026-10-04: hash chain and append-only guard exist; coverage of every critical transaction not verified.</t>
  </si>
  <si>
    <t>X-0433</t>
  </si>
  <si>
    <t>Invalid invoice → actionable validation is shown</t>
  </si>
  <si>
    <t>Form validation errors highlight exact problematic field (e.g. missing HSN, invalid GSTIN)</t>
  </si>
  <si>
    <t>Surfaces clear, inline validation message explaining how to fix the error before saving</t>
  </si>
  <si>
    <t>Supported via descriptive form validation errors with field highlighting.</t>
  </si>
  <si>
    <t>X-0434</t>
  </si>
  <si>
    <t>Insufficient stock → sale is blocked/flagged appropriately</t>
  </si>
  <si>
    <t>System / Inventory Guard</t>
  </si>
  <si>
    <t>Attempting to bill more stock than available triggers clear error or manager override prompt</t>
  </si>
  <si>
    <t>Blocks negative inventory by default; enforces tenant policy regarding backorders</t>
  </si>
  <si>
    <t>Core inventory invariant: negative stock strictly blocked unless explicitly enabled.</t>
  </si>
  <si>
    <t>X-0435</t>
  </si>
  <si>
    <t>Invalid GSTIN → invoice validation catches it</t>
  </si>
  <si>
    <t>System / GST Guard</t>
  </si>
  <si>
    <t>Typing an invalid or malformed GSTIN triggers checksum error before saving invoice</t>
  </si>
  <si>
    <t>Validates 15-character GSTIN structure, state code, and Luhn checksum algorithm</t>
  </si>
  <si>
    <t>Supported via client-side and server-side GSTIN checksum validator.</t>
  </si>
  <si>
    <t>X-0436</t>
  </si>
  <si>
    <t>System prevents saving two invoices with identical invoice number for the same financial year</t>
  </si>
  <si>
    <t>Raises UniqueConstraint violation; warns user of existing invoice duplicate</t>
  </si>
  <si>
    <t>Core data invariant: database unique constraint on (company_id, invoice_number, financial_year).</t>
  </si>
  <si>
    <t>Duplicate of X-0299</t>
  </si>
  <si>
    <t>X-0437</t>
  </si>
  <si>
    <t>Network failure during save → no duplicate transaction is created</t>
  </si>
  <si>
    <t>System / Resilience</t>
  </si>
  <si>
    <t>POS Operator</t>
  </si>
  <si>
    <t>Network drop during checkout does not cause duplicate billing or double inventory deduction</t>
  </si>
  <si>
    <t>Enforces client-generated idempotency key; duplicate submission returns existing result</t>
  </si>
  <si>
    <t>Supported via Idempotency-Key header on all critical creation endpoints.</t>
  </si>
  <si>
    <t>X-0438</t>
  </si>
  <si>
    <t>Concurrent edits → conflict is handled</t>
  </si>
  <si>
    <t>System / Concurrency Engine</t>
  </si>
  <si>
    <t>Two Concurrent Editors</t>
  </si>
  <si>
    <t>Simultaneous edits to the same document detected safely without silent overwrites</t>
  </si>
  <si>
    <t>Uses optimistic locking (version / updated_at check); alerts second user to refresh</t>
  </si>
  <si>
    <t>Supported via optimistic concurrency locking on master and document models.</t>
  </si>
  <si>
    <t>X-0439</t>
  </si>
  <si>
    <t>Integration failure → transaction is not silently lost</t>
  </si>
  <si>
    <t>System / Integration Queue</t>
  </si>
  <si>
    <t>WhatsApp or payment gateway network failure queued for automatic background retry</t>
  </si>
  <si>
    <t>Records failed payload in IntegrationOutbox queue; retries with exponential backoff</t>
  </si>
  <si>
    <t>Supported via Celery background task retry queue for external integrations.</t>
  </si>
  <si>
    <t>X-0440</t>
  </si>
  <si>
    <t>GST integration failure → exception is visible</t>
  </si>
  <si>
    <t>System / GST Engine</t>
  </si>
  <si>
    <t>Errors during government portal sync surfaced with actionable error descriptions</t>
  </si>
  <si>
    <t>Logs exact government error code (e.g. Invalid Token, Duplicate IRN) in GST Error Queue</t>
  </si>
  <si>
    <t>Supported via GST Integration Exception Dashboard.</t>
  </si>
  <si>
    <t>X-0441</t>
  </si>
  <si>
    <t>Bulk operation failure → successful and failed records are separated</t>
  </si>
  <si>
    <t>System / Import Engine</t>
  </si>
  <si>
    <t>Bulk CSV import processes valid rows while isolating invalid rows into downloadable error CSV</t>
  </si>
  <si>
    <t>Commits valid records; generates error spreadsheet showing exact row and column failures</t>
  </si>
  <si>
    <t>Supported via transactional bulk import engine with error CSV download.</t>
  </si>
  <si>
    <t>X-0442</t>
  </si>
  <si>
    <t>Incorrect transaction → authorized correction mechanism exists</t>
  </si>
  <si>
    <t>Legitimate mechanism to void, cancel, or amend wrong bills while preserving audit history</t>
  </si>
  <si>
    <t>Generates offsetting reversal voucher; prompts user for mandatory cancellation reason</t>
  </si>
  <si>
    <t>Supported via formal Document Cancellation and Credit/Debit Note workflows.</t>
  </si>
  <si>
    <t>X-0443</t>
  </si>
  <si>
    <t>Cancellation → downstream impacts are correctly reversed</t>
  </si>
  <si>
    <t>Cancelling an invoice completely reverses stock decrements, AR debits, and tax liabilities</t>
  </si>
  <si>
    <t>Atomically posts reversal movements and GL vouchers in single database transaction</t>
  </si>
  <si>
    <t>Core system invariant: cancellation atomically reverses stock, receivables, and taxes.</t>
  </si>
  <si>
    <t>X-0444</t>
  </si>
  <si>
    <t>System recovery → financial/inventory integrity is preserved</t>
  </si>
  <si>
    <t>Unplanned server crash or power cut leaves zero corrupted half-completed transactions</t>
  </si>
  <si>
    <t>Enforces ACID compliance; uncommitted transactions rolled back completely by PostgreSQL</t>
  </si>
  <si>
    <t>Core architectural invariant: all operations wrapped in atomic database transactions.</t>
  </si>
  <si>
    <t>X-0445</t>
  </si>
  <si>
    <t>Invoice generated → invoice sent to customer through WhatsApp</t>
  </si>
  <si>
    <t>Counter Clerk / Salesperson</t>
  </si>
  <si>
    <t>Deliver professional invoice PDF and summary directly to customer's WhatsApp</t>
  </si>
  <si>
    <t>Opens WhatsApp Web / app with pre-filled message and secure invoice download link</t>
  </si>
  <si>
    <t>Supported via WhatsApp click-to-chat API integration and shareable link.</t>
  </si>
  <si>
    <t>X-0446</t>
  </si>
  <si>
    <t>Payment reminder → customer receives reminder</t>
  </si>
  <si>
    <t>Automated payment reminder delivered to customer WhatsApp/SMS with due amount and payment QR</t>
  </si>
  <si>
    <t>Dispatches reminder message; tracks delivery and customer acknowledgment status</t>
  </si>
  <si>
    <t>Supported via WhatsApp automated payment reminder dispatch.</t>
  </si>
  <si>
    <t>X-0447</t>
  </si>
  <si>
    <t>Order confirmation → customer receives confirmation</t>
  </si>
  <si>
    <t>Customer receives instant digital order confirmation receipt upon order booking</t>
  </si>
  <si>
    <t>Sends order confirmation notification with expected delivery date and items ordered</t>
  </si>
  <si>
    <t>Supported via automated order notification webhook.</t>
  </si>
  <si>
    <t>Related to X-0449</t>
  </si>
  <si>
    <t>X-0448</t>
  </si>
  <si>
    <t>Delivery update → customer receives update</t>
  </si>
  <si>
    <t>Customer receives real-time update when order is dispatched with vehicle tracking info</t>
  </si>
  <si>
    <t>Dispatches dispatch notification with driver phone number and estimated delivery time</t>
  </si>
  <si>
    <t>Supported via delivery challan dispatch event webhook.</t>
  </si>
  <si>
    <t>X-0449</t>
  </si>
  <si>
    <t>Return confirmation → customer receives confirmation</t>
  </si>
  <si>
    <t>Customer receives confirmation when returned items are accepted and credit note is issued</t>
  </si>
  <si>
    <t>Sends credit note PDF and balance confirmation directly to customer mobile</t>
  </si>
  <si>
    <t>Supported via SalesReturn approval customer notification.</t>
  </si>
  <si>
    <t>Related to X-0447</t>
  </si>
  <si>
    <t>X-0450</t>
  </si>
  <si>
    <t>Payment receipt → customer receives receipt</t>
  </si>
  <si>
    <t>Customer receives payment receipt acknowledgement immediately upon paying bill</t>
  </si>
  <si>
    <t>Sends digital payment receipt showing amount paid, payment mode, and remaining dues</t>
  </si>
  <si>
    <t>Supported via Payment entry instant receipt share.</t>
  </si>
  <si>
    <t>X-0451</t>
  </si>
  <si>
    <t>Failed message → delivery status is visible</t>
  </si>
  <si>
    <t>Support Desk</t>
  </si>
  <si>
    <t>Failed SMS or WhatsApp dispatches flagged clearly on message log screen</t>
  </si>
  <si>
    <t>Updates message status to FAILED; displays provider error description (e.g. Invalid Number)</t>
  </si>
  <si>
    <t>Supported via Outbound Message Log (/settings/messages/).</t>
  </si>
  <si>
    <t>X-0452</t>
  </si>
  <si>
    <t>User resends failed message</t>
  </si>
  <si>
    <t>One-click resend button to re-dispatch invoice or reminder after network failure</t>
  </si>
  <si>
    <t>Re-queues message payload for immediate re-transmission; updates delivery status</t>
  </si>
  <si>
    <t>Supported via 'Resend Message' action in message log.</t>
  </si>
  <si>
    <t>X-0453</t>
  </si>
  <si>
    <t>Communication history remains associated with transaction/customer</t>
  </si>
  <si>
    <t>Sales Staff / Support</t>
  </si>
  <si>
    <t>Full log of messages, reminders, and delivery receipts permanently linked to invoice</t>
  </si>
  <si>
    <t>Stores message audit trail on invoice detail view showing dispatch timestamps and user</t>
  </si>
  <si>
    <t>Supported via Activity Timeline on invoice and customer records.</t>
  </si>
  <si>
    <t>X-0454</t>
  </si>
  <si>
    <t>Payment gateway → payment status</t>
  </si>
  <si>
    <t>Payment Gateway Webhook</t>
  </si>
  <si>
    <t>Online payment gateway webhooks automatically update transaction status to SUCCESS or FAILED</t>
  </si>
  <si>
    <t>Receives webhook; verifies cryptographic signature; updates Payment record status</t>
  </si>
  <si>
    <t>Supported via Payment Gateway Webhook receiver (/api/v1/payments/webhook/).</t>
  </si>
  <si>
    <t>X-0455</t>
  </si>
  <si>
    <t>Payment gateway → customer ledger</t>
  </si>
  <si>
    <t>Confirmed online payment automatically credits customer ledger without manual entry</t>
  </si>
  <si>
    <t>Creates double-entry ledger voucher crediting Customer AR and debiting Gateway Clearing</t>
  </si>
  <si>
    <t>Core system invariant: verified gateway webhook atomically updates customer ledger.</t>
  </si>
  <si>
    <t>X-0456</t>
  </si>
  <si>
    <t>Payment gateway → invoice settlement</t>
  </si>
  <si>
    <t>Confirmed online payment automatically settles corresponding open invoice</t>
  </si>
  <si>
    <t>Creates PaymentAllocation record; marks invoice as PAID; unlocks customer credit limit</t>
  </si>
  <si>
    <t>Automated invoice settlement upon successful gateway payment notification.</t>
  </si>
  <si>
    <t>X-0457</t>
  </si>
  <si>
    <t>Accounting export → downstream accounting</t>
  </si>
  <si>
    <t>Export sales, purchases, and payments into standardized format for external accounting software</t>
  </si>
  <si>
    <t>Generates structured XML/Excel export compatible with Tally, Busy, or Zoho Books</t>
  </si>
  <si>
    <t>Supported via /accounting/export/tally-xml/ and standard CSV exports.</t>
  </si>
  <si>
    <t>X-0458</t>
  </si>
  <si>
    <t>Accounting data → reconciliation</t>
  </si>
  <si>
    <t>Verify that exported accounting records match external Tally balance sheet figures</t>
  </si>
  <si>
    <t>Provides Trial Balance reconciliation checksum comparing internal books with external export</t>
  </si>
  <si>
    <t>Supported via Trial Balance export reconciliation report.</t>
  </si>
  <si>
    <t>X-0459</t>
  </si>
  <si>
    <t>Integration failure → retry</t>
  </si>
  <si>
    <t>System / Celery Worker</t>
  </si>
  <si>
    <t>Transient external API failures automatically retried with exponential backoff</t>
  </si>
  <si>
    <t>Celery task retries up to 5 times with exponential backoff delay before alerting admin</t>
  </si>
  <si>
    <t>Supported via Celery integration retry decorator with exponential backoff.</t>
  </si>
  <si>
    <t>X-0460</t>
  </si>
  <si>
    <t>Integration retry → idempotent result</t>
  </si>
  <si>
    <t>System / Integration Engine</t>
  </si>
  <si>
    <t>External Service</t>
  </si>
  <si>
    <t>Retried integration requests guarantee zero duplicate records on external services</t>
  </si>
  <si>
    <t>Passes unique idempotency token to external service to prevent duplicate charges or messages</t>
  </si>
  <si>
    <t>Core architectural invariant: all external integration calls enforce idempotency keys.</t>
  </si>
  <si>
    <t>X-0461</t>
  </si>
  <si>
    <t>External reference ID → BizBoard transaction traceability</t>
  </si>
  <si>
    <t>Bank UTR, payment gateway payment ID, or e-way bill number permanently linked to voucher</t>
  </si>
  <si>
    <t>Stores external reference string on Payment/Invoice model; searchable across system</t>
  </si>
  <si>
    <t>Supported via external_reference_id field indexed across all transaction models.</t>
  </si>
  <si>
    <t>X-0462</t>
  </si>
  <si>
    <t>Import customer master</t>
  </si>
  <si>
    <t>System Administrator / Accountant</t>
  </si>
  <si>
    <t>Bulk import customer contact list, GSTINs, addresses, and credit limits from Excel/CSV</t>
  </si>
  <si>
    <t>Validates schema and GSTINs; inserts Customer master records in bulk transaction</t>
  </si>
  <si>
    <t>Supported via /imports/customers/ with sample template and dry-run preview.</t>
  </si>
  <si>
    <t>X-0463</t>
  </si>
  <si>
    <t>Import supplier master</t>
  </si>
  <si>
    <t>Purchase Team</t>
  </si>
  <si>
    <t>Bulk import vendor directory, GSTINs, payment terms, and contact details from Excel/CSV</t>
  </si>
  <si>
    <t>Inserts Supplier master records in bulk transaction; flags duplicate vendor GSTINs</t>
  </si>
  <si>
    <t>Supported via /imports/suppliers/ with sample CSV template.</t>
  </si>
  <si>
    <t>X-0464</t>
  </si>
  <si>
    <t>Import product master</t>
  </si>
  <si>
    <t>Catalog Lead / Admin</t>
  </si>
  <si>
    <t>Sales &amp; Inventory Teams</t>
  </si>
  <si>
    <t>Bulk import full product catalog including barcodes, HSN codes, tax rates, and prices</t>
  </si>
  <si>
    <t>Inserts Product master records in bulk; validates HSN format and pricing consistency</t>
  </si>
  <si>
    <t>Supported via /imports/products/ with multi-warehouse opening stock option.</t>
  </si>
  <si>
    <t>X-0465</t>
  </si>
  <si>
    <t>Import opening stock</t>
  </si>
  <si>
    <t>Inventory Manager / Admin</t>
  </si>
  <si>
    <t>Upload initial physical stock quantities, batch numbers, and unit purchase valuations</t>
  </si>
  <si>
    <t>Initializes StockBalance records; creates StockMovement (OPENING_BALANCE); posts to GL</t>
  </si>
  <si>
    <t>Supported via /imports/opening-stock/ with warehouse location tagging.</t>
  </si>
  <si>
    <t>backend/inventory/models.py:StockBalance; backend/inventory/models.py:StockMovement</t>
  </si>
  <si>
    <t>X-0466</t>
  </si>
  <si>
    <t>Import opening customer balances</t>
  </si>
  <si>
    <t>Upload existing customer credit (khata) balances and unpaid historical bills into system</t>
  </si>
  <si>
    <t>Initializes opening Accounts Receivable debit balances; establishes opening aging buckets</t>
  </si>
  <si>
    <t>Supported via /imports/customer-balances/ with invoice-level opening bill support.</t>
  </si>
  <si>
    <t>X-0467</t>
  </si>
  <si>
    <t>Import opening supplier balances</t>
  </si>
  <si>
    <t>Upload outstanding supplier liabilities and unpaid historical purchase bills</t>
  </si>
  <si>
    <t>Initializes opening Accounts Payable credit balances; establishes opening vendor aging</t>
  </si>
  <si>
    <t>Supported via /imports/supplier-balances/.</t>
  </si>
  <si>
    <t>X-0468</t>
  </si>
  <si>
    <t>Import historical invoices</t>
  </si>
  <si>
    <t>Import previous months' sales invoices for year-to-date GST return and reporting continuity</t>
  </si>
  <si>
    <t>Loads historical invoices with CLOSED status; populates annual sales reporting dataset</t>
  </si>
  <si>
    <t>Supported via /imports/historical-invoices/ with legacy flag.</t>
  </si>
  <si>
    <t>X-0469</t>
  </si>
  <si>
    <t>Import GST data</t>
  </si>
  <si>
    <t>Import official GSTR-2B or GSTR-1 JSON files downloaded from government GST portal</t>
  </si>
  <si>
    <t>Parses government JSON format; populates inward/outward tax reconciliation tables</t>
  </si>
  <si>
    <t>Supported via /gst/import-json/ supporting standard GST portal schema.</t>
  </si>
  <si>
    <t>X-0470</t>
  </si>
  <si>
    <t>Validate imported records</t>
  </si>
  <si>
    <t>Pre-import dry-run validation checking data types, mandatory fields, and foreign keys</t>
  </si>
  <si>
    <t>Scans uploaded spreadsheet; highlights formatting errors before committing to database</t>
  </si>
  <si>
    <t>Supported via Dry-Run Validation stage in all CSV import wizards.</t>
  </si>
  <si>
    <t>X-0471</t>
  </si>
  <si>
    <t>Identify duplicate imported records</t>
  </si>
  <si>
    <t>Detect SKUs, phone numbers, or invoice numbers already existing in database during import</t>
  </si>
  <si>
    <t>Prompts user to skip duplicates, overwrite existing records, or abort import job</t>
  </si>
  <si>
    <t>Built-in duplicate resolution prompt during spreadsheet import.</t>
  </si>
  <si>
    <t>X-0472</t>
  </si>
  <si>
    <t>Reject invalid records without corrupting valid records</t>
  </si>
  <si>
    <t>Process valid rows while cleanly separating invalid rows into downloadable error CSV</t>
  </si>
  <si>
    <t>Imports valid rows; outputs error spreadsheet with specific column error annotations</t>
  </si>
  <si>
    <t>Core resilience invariant: batch imports isolate bad rows without rolling back entire job.</t>
  </si>
  <si>
    <t>X-0473</t>
  </si>
  <si>
    <t>Export sales data</t>
  </si>
  <si>
    <t>Export complete itemized sales register with customer names, taxes, and payment status</t>
  </si>
  <si>
    <t>Generates comprehensive Excel/CSV sales export with date range and store filters</t>
  </si>
  <si>
    <t>Supported via /reports/sales-register/ export button.</t>
  </si>
  <si>
    <t>X-0474</t>
  </si>
  <si>
    <t>Export purchase data</t>
  </si>
  <si>
    <t>In-house Accountant / Purchase Manager</t>
  </si>
  <si>
    <t>Export itemized purchase register with supplier GSTINs, HSN breakdown, and input tax</t>
  </si>
  <si>
    <t>Generates Excel/CSV purchase export formatted for accounting and tax audit review</t>
  </si>
  <si>
    <t>Supported via /reports/purchase-register/ export button.</t>
  </si>
  <si>
    <t>X-0475</t>
  </si>
  <si>
    <t>Export inventory data</t>
  </si>
  <si>
    <t>Inventory Manager / Accountant</t>
  </si>
  <si>
    <t>Export full current inventory valuation, batch lots, expiry dates, and warehouse locations</t>
  </si>
  <si>
    <t>Generates Excel/CSV inventory asset valuation report compliant with accounting standards</t>
  </si>
  <si>
    <t>Supported via /inventory/export/ with warehouse breakdown.</t>
  </si>
  <si>
    <t>X-0476</t>
  </si>
  <si>
    <t>Export GST data</t>
  </si>
  <si>
    <t>Export monthly GSTR-1, GSTR-3B, or CMP-08 worksheets in government offline format</t>
  </si>
  <si>
    <t>Generates official offline utility JSON and summary Excel workbooks for tax portal upload</t>
  </si>
  <si>
    <t>Supported via /gst/export/ with JSON and Excel export options.</t>
  </si>
  <si>
    <t>X-0477</t>
  </si>
  <si>
    <t>Export customer ledger</t>
  </si>
  <si>
    <t>Customer / Credit Controller</t>
  </si>
  <si>
    <t>Export customer ledger statement showing debit, credit, and running balance history</t>
  </si>
  <si>
    <t>Generates customer statement PDF and Excel file ready for sharing with client</t>
  </si>
  <si>
    <t>Supported via /sales/customers/{id}/statement/ export.</t>
  </si>
  <si>
    <t>X-0478</t>
  </si>
  <si>
    <t>Export supplier ledger</t>
  </si>
  <si>
    <t>Export supplier ledger statement showing purchase bills, debit notes, and payments</t>
  </si>
  <si>
    <t>Generates supplier statement PDF and Excel file ready for sharing with vendor</t>
  </si>
  <si>
    <t>X-0479</t>
  </si>
  <si>
    <t>Export full double-entry general ledger, Trial Balance, and voucher entries</t>
  </si>
  <si>
    <t>Generates Tally-compatible XML voucher export and comprehensive Excel Trial Balance</t>
  </si>
  <si>
    <t>Supported via /accounting/export/tally-xml/.</t>
  </si>
  <si>
    <t>Duplicate of P-0111</t>
  </si>
  <si>
    <t>X-0480</t>
  </si>
  <si>
    <t>Imported data becomes available to downstream modules</t>
  </si>
  <si>
    <t>System / Data Engine</t>
  </si>
  <si>
    <t>Imported customers, products, and balances immediately accessible across billing and stock</t>
  </si>
  <si>
    <t>Refreshes search caches; enables newly imported entities across all transactional screens</t>
  </si>
  <si>
    <t>Core system invariant: imported entities immediately queryable across all application views.</t>
  </si>
  <si>
    <t>X-0481</t>
  </si>
  <si>
    <t>Exported data reconciles with on-screen business data</t>
  </si>
  <si>
    <t>Exported spreadsheets match figures and balances displayed on dashboard screens to the rupee</t>
  </si>
  <si>
    <t>Guarantees exact numerical alignment between on-screen dashboards and exported files</t>
  </si>
  <si>
    <t>Core reporting invariant: exported datasets generated from identical database queries as UI.</t>
  </si>
  <si>
    <t>X-0482</t>
  </si>
  <si>
    <t>Cashier closes day's sales</t>
  </si>
  <si>
    <t>Store Cashier</t>
  </si>
  <si>
    <t>Formal end-of-shift register closing locking daily sales and printing cashier shift summary</t>
  </si>
  <si>
    <t>Locks daily till shift; prints shift summary slip detailing total sales and payment splits</t>
  </si>
  <si>
    <t>Supported via /pos/shift-close workflow.</t>
  </si>
  <si>
    <t>X-0483</t>
  </si>
  <si>
    <t>Cashier reconciles cash</t>
  </si>
  <si>
    <t>Count physical currency denominations in cash drawer and compare against system expected cash</t>
  </si>
  <si>
    <t>Records denomination breakdown; calculates cash overage or shortage variance</t>
  </si>
  <si>
    <t>Supported via Cash Denomination Counter on shift close screen.</t>
  </si>
  <si>
    <t>X-0484</t>
  </si>
  <si>
    <t>Digital payments are reconciled</t>
  </si>
  <si>
    <t>Store Cashier / Accountant</t>
  </si>
  <si>
    <t>Verify UPI and card terminal settlement slips against POS digital payment totals</t>
  </si>
  <si>
    <t>Cross-checks EDC card swipe machine totals and UPI settlement against system payment records</t>
  </si>
  <si>
    <t>Supported via Digital Settlement Reconciliation step on shift close.</t>
  </si>
  <si>
    <t>X-0485</t>
  </si>
  <si>
    <t>Owner reviews daily sales</t>
  </si>
  <si>
    <t>Review daily store performance, total revenue, bill count, and cash collected at day end</t>
  </si>
  <si>
    <t>Displays daily closing executive summary card on mobile app; sends daily WhatsApp digest</t>
  </si>
  <si>
    <t>Supported via Daily Closing Summary card and automated owner WhatsApp report.</t>
  </si>
  <si>
    <t>X-0486</t>
  </si>
  <si>
    <t>Owner reviews daily gross margin</t>
  </si>
  <si>
    <t>Inspect realized gross margin earned on today's business to verify profitability</t>
  </si>
  <si>
    <t>Computes today's realized gross profit = SUM(Line Price - Line FIFO Cost) across all sales</t>
  </si>
  <si>
    <t>Supported via Daily Margin Snapshot on Owner Executive Dashboard.</t>
  </si>
  <si>
    <t>X-0487</t>
  </si>
  <si>
    <t>Owner reviews outstanding collections</t>
  </si>
  <si>
    <t>Review debt collections deposited today against overall accounts receivable target</t>
  </si>
  <si>
    <t>Summarizes total customer payments collected today; updates month-to-date collection target</t>
  </si>
  <si>
    <t>Supported via Daily Collections Summary widget.</t>
  </si>
  <si>
    <t>X-0488</t>
  </si>
  <si>
    <t>Owner reviews inventory movements</t>
  </si>
  <si>
    <t>Inspect daily stock summary: inward supplier receipts, outward sales, and transfer movements</t>
  </si>
  <si>
    <t>Renders summary of total units received, units sold, and transfer movements executed today</t>
  </si>
  <si>
    <t>Supported via Daily Inventory Movement Summary report.</t>
  </si>
  <si>
    <t>X-0489</t>
  </si>
  <si>
    <t>Owner reviews exceptions</t>
  </si>
  <si>
    <t>Review operational anomalies logged during the day: bill cancellations, discounts, shortages</t>
  </si>
  <si>
    <t>Displays AttentionRowState exception feed requiring owner review or acknowledgement</t>
  </si>
  <si>
    <t>Supported via Attention / Exception Feed on Owner Dashboard.</t>
  </si>
  <si>
    <t>X-0490</t>
  </si>
  <si>
    <t>Accountant reconciles sales</t>
  </si>
  <si>
    <t>Verify that all completed sales invoices match sales register and general ledger postings</t>
  </si>
  <si>
    <t>Cross-checks invoice subtotal, taxes, and round-offs against Sales Revenue GL account</t>
  </si>
  <si>
    <t>Supported via Sales Reconciliation Report (/accounting/reconcile-sales/).</t>
  </si>
  <si>
    <t>X-0491</t>
  </si>
  <si>
    <t>Accountant reconciles purchases</t>
  </si>
  <si>
    <t>Verify that all supplier bills match inventory receipts and Accounts Payable ledger postings</t>
  </si>
  <si>
    <t>Cross-checks purchase bill totals against Inventory Asset / Expense accounts in GL</t>
  </si>
  <si>
    <t>Supported via Purchase Reconciliation Report (/accounting/reconcile-purchases/).</t>
  </si>
  <si>
    <t>X-0492</t>
  </si>
  <si>
    <t>Accountant reconciles payments</t>
  </si>
  <si>
    <t>Ensure all cash, UPI, and bank collections reconcile with bank statements and till balances</t>
  </si>
  <si>
    <t>Performs daily payment reconciliation; verifies clearing accounts balance to zero</t>
  </si>
  <si>
    <t>Supported via Payment Clearing Reconciliation dashboard.</t>
  </si>
  <si>
    <t>X-0493</t>
  </si>
  <si>
    <t>Period closing prevents unauthorized historical modification</t>
  </si>
  <si>
    <t>In-house Accountant / Admin</t>
  </si>
  <si>
    <t>Locking financial accounting period prevents back-dated edits, deletions, or new vouchers</t>
  </si>
  <si>
    <t>Sets AccountingPeriod.is_closed=True; API blocks any transaction creation with date in closed period</t>
  </si>
  <si>
    <t>Core compliance invariant: closed accounting periods strictly reject new or amended vouchers.</t>
  </si>
  <si>
    <t>backend/accounting/models.py:AccountingPeriod</t>
  </si>
  <si>
    <t>backend/tests/test_a10_period_centralization.py; backend/tests/test_audit_p0_decisions.py; backend/tests/test_cft_checklist.py</t>
  </si>
  <si>
    <t>X-0494</t>
  </si>
  <si>
    <t>Period reports remain reproducible</t>
  </si>
  <si>
    <t>Financial statements for closed periods produce identical numbers upon future re-generation</t>
  </si>
  <si>
    <t>Guarantees that historical P&amp;L, Balance Sheet, and GST returns remain 100% reproducible</t>
  </si>
  <si>
    <t>Core accounting invariant: locked historical periods guarantee reproducible financial statements.</t>
  </si>
  <si>
    <t>P-0495</t>
  </si>
  <si>
    <t>Delivery Driver / Route Logistics</t>
  </si>
  <si>
    <t>Receive daily dispatch manifest and loaded vehicle stock</t>
  </si>
  <si>
    <t>Driver accepts assigned delivery route manifest and verifies physical vehicle parcel count</t>
  </si>
  <si>
    <t>Updates DispatchRun status to OUT_FOR_DELIVERY; transfers custody of goods to driver</t>
  </si>
  <si>
    <t>Supported via Driver Mobile PWA (/operations/driver/); displays sequential stop manifest.</t>
  </si>
  <si>
    <t>FLEET</t>
  </si>
  <si>
    <t>Fleet and delivery</t>
  </si>
  <si>
    <t>Driver</t>
  </si>
  <si>
    <t>P-0496</t>
  </si>
  <si>
    <t>Navigate multi-drop route using mobile PWA</t>
  </si>
  <si>
    <t>Driver navigates sequential retail drops using turn-by-turn map integration</t>
  </si>
  <si>
    <t>Tracks live vehicle delivery progress and timestamps arrival at each customer premise</t>
  </si>
  <si>
    <t>Supported in Driver PWA with Google Maps / OSM routing link per stop.</t>
  </si>
  <si>
    <t>P-0497</t>
  </si>
  <si>
    <t>Hand over goods and verify carton/box count with retailer</t>
  </si>
  <si>
    <t>Retail Merchant</t>
  </si>
  <si>
    <t>Physical verification of delivered parcels against Delivery Challan at customer shop</t>
  </si>
  <si>
    <t>Verifies parcel count and package integrity before obtaining receipt signature</t>
  </si>
  <si>
    <t>Supported via stop-level parcel verification checklist on mobile screen.</t>
  </si>
  <si>
    <t>P-0498</t>
  </si>
  <si>
    <t>Capture Proof of Delivery (POD) via customer digital signature or OTP</t>
  </si>
  <si>
    <t>Legally indisputable proof of physical delivery captured on mobile screen</t>
  </si>
  <si>
    <t>Uploads digital signature image or validates 4-digit customer SMS OTP; marks stop DELIVERED</t>
  </si>
  <si>
    <t>Supported via HTML5 signature canvas or customer delivery OTP verification.</t>
  </si>
  <si>
    <t>P-0499</t>
  </si>
  <si>
    <t>Record partial delivery rejection on-the-spot (damaged/refused boxes)</t>
  </si>
  <si>
    <t>Accurate logging of items rejected by customer at doorstep with mandatory photo capture</t>
  </si>
  <si>
    <t>Creates partial delivery note; generates return transit movement back to godown</t>
  </si>
  <si>
    <t>Supported via Delivery Exception workflow with camera photo attachment.</t>
  </si>
  <si>
    <t>P-0500</t>
  </si>
  <si>
    <t>Collect Cash-on-Delivery (COD) or UPI payment from customer</t>
  </si>
  <si>
    <t>Driver collects cash or displays dynamic UPI QR on driver phone to settle invoice</t>
  </si>
  <si>
    <t>Creates DriverPaymentReceipt; records driver cash liability; updates invoice payment status</t>
  </si>
  <si>
    <t>Supported via mobile UPI QR generator and driver cash collection ledger.</t>
  </si>
  <si>
    <t>P-0501</t>
  </si>
  <si>
    <t>Reconcile daily route collections and return unsold/rejected stock to godown</t>
  </si>
  <si>
    <t>Cashier / Godown Keeper</t>
  </si>
  <si>
    <t>Driver hands over collected cash to cashier and returns rejected boxes to warehouse</t>
  </si>
  <si>
    <t>Reconciles driver cash envelope against system collections; restores returned stock to bins</t>
  </si>
  <si>
    <t>Supported via Route Close &amp; Driver Reconciliation screen (/operations/driver-settlement/).</t>
  </si>
  <si>
    <t>P-0502</t>
  </si>
  <si>
    <t>External CA / Statutory Auditor</t>
  </si>
  <si>
    <t>Review Trial Balance, P&amp;L, and Balance Sheet in Schedule III format</t>
  </si>
  <si>
    <t>Statutory review of company financial statements aligned to Indian Accounting Standards</t>
  </si>
  <si>
    <t>Generates multi-period comparative Trial Balance, Profit &amp; Loss, and Balance Sheet</t>
  </si>
  <si>
    <t>Supported via /accounting/reports/ (Trial Balance, P&amp;L, Balance Sheet) with Schedule III grouping.</t>
  </si>
  <si>
    <t>P-0503</t>
  </si>
  <si>
    <t>Audit 2A/2B vs Books reconciliation and verify eligible vs blocked ITC</t>
  </si>
  <si>
    <t>Independent verification of Input Tax Credit claims; segregates Section 17(5) blocked credits</t>
  </si>
  <si>
    <t>Validates tax return audit trail; prevents tax demand notices and penalty interest under Sec 50</t>
  </si>
  <si>
    <t>Supported via GSTR-2B Automated Matcher with Section 17(5) blocked credit classification.</t>
  </si>
  <si>
    <t>P-0504</t>
  </si>
  <si>
    <t>Verify TDS Section 194Q and TCS Section 206C(1H) statutory deduction compliance</t>
  </si>
  <si>
    <t>Confirm that cumulative threshold (&gt; ₹50 Lakhs) TDS/TCS withholdings match statutory rates</t>
  </si>
  <si>
    <t>Generates TDS/TCS Audit Ledger verifying vendor PAN active status and quarterly challans</t>
  </si>
  <si>
    <t>Supported via TDS/TCS Withholding Summary Report (/accounting/reports/tds-tcs/).</t>
  </si>
  <si>
    <t>P-0505</t>
  </si>
  <si>
    <t>Inspect Depreciation Schedule and Fixed Assets Register under Income Tax / Companies Act</t>
  </si>
  <si>
    <t>Verify fixed asset capitalization, additions, disposals, and dual-rate depreciation schedules</t>
  </si>
  <si>
    <t>Validates WDV and SLM depreciation calculations; matches net block with balance sheet assets</t>
  </si>
  <si>
    <t>Supported via Fixed Assets Register and Depreciation Engine (/accounting/fixed-assets/).</t>
  </si>
  <si>
    <t>FA</t>
  </si>
  <si>
    <t>Finance and fixed assets</t>
  </si>
  <si>
    <t>P-0506</t>
  </si>
  <si>
    <t>Validate GSTR-9 annual return computation and reconciliation with audited financials</t>
  </si>
  <si>
    <t>Compile GSTR-9 Annual Return and GSTR-9C reconciliation statement from source vouchers</t>
  </si>
  <si>
    <t>Compares audited P&amp;L turnover with GSTR-1 outward taxable supplies; explains variances</t>
  </si>
  <si>
    <t>Supported via GSTR-9 Annual Worksheet compiler in gst module.</t>
  </si>
  <si>
    <t>Verify that accounting software maintains unbroken, tamper-proof edit logs without disabled periods</t>
  </si>
  <si>
    <t>Generates Audit Trail Certification Report proving edit logging was active throughout FY</t>
  </si>
  <si>
    <t>Core compliance invariant: Django SimpleHistory audit trail strictly conforms to MCA Rule 11(g).</t>
  </si>
  <si>
    <t>django-simple-history is not a dependency. The note names the wrong audit mechanism. 2026-10-04: hash chain exists. A mapping to MCA Rule 11(g) (edit log on every accounting record) was not verified.</t>
  </si>
  <si>
    <t>P-0508</t>
  </si>
  <si>
    <t>Export audited financial vouchers to external CA software (Tally / Computax / Winman)</t>
  </si>
  <si>
    <t>Seamless export of full year's vouchers into Tally XML format for final tax computation</t>
  </si>
  <si>
    <t>Generates clean Tally-compliant XML voucher dataset with ledger masters and inventory items</t>
  </si>
  <si>
    <t>P-0509</t>
  </si>
  <si>
    <t>Assembly / Production Supervisor</t>
  </si>
  <si>
    <t>Define Bill of Materials (BOM) for kit assembly or bulk repackaging</t>
  </si>
  <si>
    <t>Production Supervisor</t>
  </si>
  <si>
    <t>Specify exact raw materials, packaging pouches, and quantities required to produce finished SKU</t>
  </si>
  <si>
    <t>Creates BillOfMaterials master; links component SKUs, scrap factors, and yield ratios</t>
  </si>
  <si>
    <t>Supported via /manufacturing/boms/create with multi-level component definition.</t>
  </si>
  <si>
    <t>MFG</t>
  </si>
  <si>
    <t>Manufacture and assemble</t>
  </si>
  <si>
    <t>manufacturing</t>
  </si>
  <si>
    <t>Production</t>
  </si>
  <si>
    <t>P-0510</t>
  </si>
  <si>
    <t>Issue raw materials to production work order</t>
  </si>
  <si>
    <t>Deduct bulk grains, chemicals, or packaging material from warehouse for assembly line</t>
  </si>
  <si>
    <t>Creates StockMovement (CONSUMPTION_OUTWARD); reduces raw material stock balance</t>
  </si>
  <si>
    <t>Supported via WorkOrder execution step; decrements component stock atomically.</t>
  </si>
  <si>
    <t>Matched WorkOrder in product code. This is not a functional test. Restored to authored P1. The previous workbook had P0 after a keyword rebalance.</t>
  </si>
  <si>
    <t>F-0754</t>
  </si>
  <si>
    <t>backend/inventory/models.py:StockMovement; backend/manufacturing/models.py:WorkOrder</t>
  </si>
  <si>
    <t>P-0511</t>
  </si>
  <si>
    <t>Record finished goods receipt and waste / scrap shrinkage</t>
  </si>
  <si>
    <t>Inward packaged retail pouches or assembled kits into finished goods inventory warehouse</t>
  </si>
  <si>
    <t>Creates StockMovement (PRODUCTION_INWARD); records manufacturing batch number and scrap %</t>
  </si>
  <si>
    <t>Supported via WorkOrder completion screen; generates finished product batch lot.</t>
  </si>
  <si>
    <t>Matched WorkOrder in product code. This is not a functional test.</t>
  </si>
  <si>
    <t>P-0512</t>
  </si>
  <si>
    <t>Calculate finished goods unit cost including labor and packaging overhead</t>
  </si>
  <si>
    <t>Cost Accountant / Supervisor</t>
  </si>
  <si>
    <t>Determine true capitalized landed cost of manufactured SKU for accurate gross margin tracking</t>
  </si>
  <si>
    <t>Aggregates raw material FIFO costs + packaging cost + labor overhead = Finished SKU Cost</t>
  </si>
  <si>
    <t>Automated BOM unit cost rollup engine based on perpetual FIFO component costs.</t>
  </si>
  <si>
    <t>F-0755</t>
  </si>
  <si>
    <t>X-0513</t>
  </si>
  <si>
    <t>Generate E-Way Bill Part A &amp; Part B for transport consignments &gt; ₹50,000</t>
  </si>
  <si>
    <t>Billing Clerk / Logistics Dispatcher</t>
  </si>
  <si>
    <t>Statutory compliance for moving goods across state or intra-state above ₹50,000 threshold</t>
  </si>
  <si>
    <t>Generates 12-digit E-Way Bill Number (EWB); attaches vehicle number and transport distance</t>
  </si>
  <si>
    <t>Supported via NIC E-Way Bill offline JSON generator and direct GSP API integration.</t>
  </si>
  <si>
    <t>X-0514</t>
  </si>
  <si>
    <t>Update transport vehicle number / Transporter ID on active E-Way Bill during breakdown</t>
  </si>
  <si>
    <t>Delivery Driver / RTO Officer</t>
  </si>
  <si>
    <t>Maintain valid E-Way Bill Part B when delivery truck breaks down or transshipment occurs</t>
  </si>
  <si>
    <t>Updates vehicle registration number on active EWB; prints updated transport endorsement</t>
  </si>
  <si>
    <t>Supported via E-Way Bill Vehicle Update action (/sales/e-way-bills/{id}/update-vehicle/).</t>
  </si>
  <si>
    <t>X-0515</t>
  </si>
  <si>
    <t>Extend E-Way Bill validity before expiry due to transit delay or traffic accident</t>
  </si>
  <si>
    <t>Prevent vehicle impoundment and 200% tax penalty by extending validity within 8-hour window</t>
  </si>
  <si>
    <t>Extends EWB validity based on remaining distance; records reason code (Accident/Traffic)</t>
  </si>
  <si>
    <t>Supported via E-Way Bill Extension workflow compliant with Rule 138(10) of CGST Rules.</t>
  </si>
  <si>
    <t>X-0516</t>
  </si>
  <si>
    <t>Generate live B2B E-Invoice with IRN and Signed QR via NIC/IRP portal</t>
  </si>
  <si>
    <t>Mandatory statutory compliance for businesses exceeding legal turnover threshold</t>
  </si>
  <si>
    <t>Uploads invoice payload to IRP; receives 64-char Hash IRN, Ack No, and Signed QR code</t>
  </si>
  <si>
    <t>Supported via E-Invoice JSON payload generator and direct IRP integration.</t>
  </si>
  <si>
    <t>X-0517</t>
  </si>
  <si>
    <t>Print IRN, Ack No, and cryptographic QR code on customer tax invoice PDF</t>
  </si>
  <si>
    <t>Customer / GST Inspector</t>
  </si>
  <si>
    <t>Render legal B2B tax invoice PDF containing verifiable cryptographic B2B signed QR code</t>
  </si>
  <si>
    <t>Embeds 500x500 signed QR bitmap and IRN string on top-right of standard invoice layout</t>
  </si>
  <si>
    <t>Core rendering invariant: Rule 48(4) compliant PDF invoice template with IRN &amp; Signed QR.</t>
  </si>
  <si>
    <t>X-0518</t>
  </si>
  <si>
    <t>Cancel E-Invoice within 24 hours on IRP portal with cancellation reason code</t>
  </si>
  <si>
    <t>Tax Authority (IRP)</t>
  </si>
  <si>
    <t>Legally cancel incorrectly issued e-invoice within statutory 24-hour window</t>
  </si>
  <si>
    <t>Submits cancellation to IRP; voids IRN; updates document status to E_INVOICE_CANCELLED</t>
  </si>
  <si>
    <t>Supported via E-Invoice Cancel modal with mandatory reason code (1: Duplicate, 2: Data Error).</t>
  </si>
  <si>
    <t>X-0519</t>
  </si>
  <si>
    <t>Calculate Section 194Q TDS deduction (0.1%) on supplier purchases exceeding ₹50 Lakhs in FY</t>
  </si>
  <si>
    <t>Deduct 0.1% TDS on purchase value exceeding ₹50 Lakhs aggregate turnover threshold</t>
  </si>
  <si>
    <t>Credits TDS Payable (Sec 194Q) liability account; reduces net cash payable to vendor</t>
  </si>
  <si>
    <t>Supported via Section 194Q Withholding Rule Engine tracking cumulative vendor purchases.</t>
  </si>
  <si>
    <t>X-0520</t>
  </si>
  <si>
    <t>Generate Form 26Q quarterly TDS return summary and supplier Form 16A certificates</t>
  </si>
  <si>
    <t>External CA / Tax Dept</t>
  </si>
  <si>
    <t>Compile quarterly Form 26Q statement of tax deducted at source with BSR code and challan numbers</t>
  </si>
  <si>
    <t>Produces clean Form 26Q text file for NSDL e-TDS return upload; prepares Form 16A certificates</t>
  </si>
  <si>
    <t>Supported via /accounting/reports/tds-26q/ quarterly return generator.</t>
  </si>
  <si>
    <t>X-0521</t>
  </si>
  <si>
    <t>Calculate Section 206C(1H) TCS collection (0.1%) on receipts exceeding ₹50 Lakhs from customer</t>
  </si>
  <si>
    <t>Collect 0.1% TCS on customer receipts crossing ₹50 Lakhs in current financial year</t>
  </si>
  <si>
    <t>Debits Customer AR ledger; credits TCS Payable (Sec 206C) statutory liability account</t>
  </si>
  <si>
    <t>Supported via Section 206C(1H) Receipt Tax Engine with cumulative customer receipt tracking.</t>
  </si>
  <si>
    <t>Non-compliant Party</t>
  </si>
  <si>
    <t>Enforce 5% higher statutory tax withholding if vendor/customer failed to file ITR in previous year</t>
  </si>
  <si>
    <t>Applies 5% penalty rate on invoice; flags party as Specified Person under Section 206AB</t>
  </si>
  <si>
    <t>Supported via 206AB non-filer compliance flag on Customer/Supplier master.</t>
  </si>
  <si>
    <t>No Section 206AB PAN check was found.</t>
  </si>
  <si>
    <t>Gap</t>
  </si>
  <si>
    <t>X-0523</t>
  </si>
  <si>
    <t>Automated escalating collection cadence (T+3 reminder → T+7 statement → T+15 notice)</t>
  </si>
  <si>
    <t>Collections Autopilot Engine</t>
  </si>
  <si>
    <t>Debtor / Credit Controller</t>
  </si>
  <si>
    <t>Systematic automated payment chasing minimizing bad debt and debtor days</t>
  </si>
  <si>
    <t>Dispatches automated WhatsApp/SMS notifications with increasing urgency and payment links</t>
  </si>
  <si>
    <t>Supported via Collections Autopilot Cadence Engine (/sales/collections/autopilot/).</t>
  </si>
  <si>
    <t>X-0524</t>
  </si>
  <si>
    <t>Record Promise-to-Pay (PTP) commitment date and follow-up alerts</t>
  </si>
  <si>
    <t>Credit Controller / Salesperson</t>
  </si>
  <si>
    <t>Capture customer verbal promise to pay specific amount by date X to pause automated chasing</t>
  </si>
  <si>
    <t>Creates PromiseToPay record; suppresses automated reminders until committed date; alerts if broken</t>
  </si>
  <si>
    <t>Supported via PTP logging drawer on Customer profile and receivables ledger.</t>
  </si>
  <si>
    <t>X-0525</t>
  </si>
  <si>
    <t>Isolate disputed invoice lines while collecting undisputed remaining balance</t>
  </si>
  <si>
    <t>Customer / Salesperson</t>
  </si>
  <si>
    <t>Separate contested charge (e.g. ₹500 damaged box) so customer immediately settles ₹49,500 balance</t>
  </si>
  <si>
    <t>Marks specific line as DISPUTED; adjusts collection target; routes dispute to manager resolution</t>
  </si>
  <si>
    <t>Supported via Invoice Line-Item Dispute mechanism in receivables module.</t>
  </si>
  <si>
    <t>X-0526</t>
  </si>
  <si>
    <t>Calculate overdue interest penalty charges on delayed customer payments</t>
  </si>
  <si>
    <t>Apply agreed commercial interest (e.g. 18% p.a.) on invoices unpaid beyond credit terms</t>
  </si>
  <si>
    <t>Calculates penal interest; generates commercial Debit Note for interest; posts to Interest Income</t>
  </si>
  <si>
    <t>Supported via Overdue Interest Calculator with one-click Debit Note generation.</t>
  </si>
  <si>
    <t>X-0527</t>
  </si>
  <si>
    <t>Automatic debtor account freeze and delivery block on chronic overdue accounts</t>
  </si>
  <si>
    <t>Credit Guard Engine</t>
  </si>
  <si>
    <t>Hard system block preventing sales or dispatches to customers with invoices overdue &gt; 60 days</t>
  </si>
  <si>
    <t>Locks customer account; disables billing button; requires Business Owner unlock PIN</t>
  </si>
  <si>
    <t>Core credit invariant: chronic overdue lock strictly blocks invoice and dispatch completion.</t>
  </si>
  <si>
    <t>X-0528</t>
  </si>
  <si>
    <t>Record PDC (Post-Dated Cheque) received from customer and track presentation due date</t>
  </si>
  <si>
    <t>Safely register future-dated physical cheques received from B2B clients</t>
  </si>
  <si>
    <t>Creates ChequeRecord in PDC_HOLDING status; surfaces cheque on daily bank deposit schedule</t>
  </si>
  <si>
    <t>Supported via /payments/cheques/ with maturity calendar and bank presentation alerts.</t>
  </si>
  <si>
    <t>X-0529</t>
  </si>
  <si>
    <t>Deposit cheque into bank clearing account and monitor realization</t>
  </si>
  <si>
    <t>Bank</t>
  </si>
  <si>
    <t>Record physical deposit of customer cheques into bank clearing account</t>
  </si>
  <si>
    <t>Debits Bank Cheques-in-Clearing account; marks cheque as DEPOSITED</t>
  </si>
  <si>
    <t>Supported via Bank Deposit Slip generator and cheque clearing tracker.</t>
  </si>
  <si>
    <t>X-0530</t>
  </si>
  <si>
    <t>Handle bounced / dishonoured cheque: reverse invoice settlement, add bank fee, alert owner</t>
  </si>
  <si>
    <t>Customer / Bank</t>
  </si>
  <si>
    <t>Immediate accounting reversal when bank rejects cheque due to insufficient customer funds</t>
  </si>
  <si>
    <t>Restores original invoice UNPAID status; debits bank dishonour charges to customer account; alerts owner</t>
  </si>
  <si>
    <t>Supported via Cheque Dishonour action with automated ledger reversal and notice letter.</t>
  </si>
  <si>
    <t>X-0531</t>
  </si>
  <si>
    <t>Apply early settlement cash discount (e.g. 2% in 7 days) and book discount expense</t>
  </si>
  <si>
    <t>Incentivize prompt customer payment by offering dynamic early settlement discounts</t>
  </si>
  <si>
    <t>Calculates discount amount; debits Cash Discount Allowed expense account in GL; settles full bill</t>
  </si>
  <si>
    <t>Supported via Settlement Discount selector on payment receipt screen.</t>
  </si>
  <si>
    <t>X-0532</t>
  </si>
  <si>
    <t>Connected banking live feed integration (Account Aggregator / Bank API)</t>
  </si>
  <si>
    <t>Bank (ICICI/HDFC/Axis)</t>
  </si>
  <si>
    <t>Automated live synchronization of bank account statements and RTGS/NEFT inflows</t>
  </si>
  <si>
    <t>Fetches live bank statement lines via secure API; matches UTRs against open customer receivables</t>
  </si>
  <si>
    <t>Supported via Connected Banking module with Account Aggregator / Bank Open API hooks.</t>
  </si>
  <si>
    <t>X-0533</t>
  </si>
  <si>
    <t>Upload photo/PDF of supplier bill → AI/LLM extracts vendor GSTIN, invoice no, lines, taxes into draft bill</t>
  </si>
  <si>
    <t>Purchase Staff / Accountant</t>
  </si>
  <si>
    <t>Zero-manual-typing inward bill entry from scanned physical supplier tax bills</t>
  </si>
  <si>
    <t>Extracts header, items, HSN, rates, and tax split via OCR+LLM; pre-fills Purchase Invoice draft</t>
  </si>
  <si>
    <t>Supported via Deterministic LLM Bill Extractor (/purchases/upload-bill/).</t>
  </si>
  <si>
    <t>X-0534</t>
  </si>
  <si>
    <t>Inventory Run-Rate Autopilot: predict stockout dates based on 30-day velocity and auto-generate PO draft</t>
  </si>
  <si>
    <t>Inventory Autopilot Engine</t>
  </si>
  <si>
    <t>Prevent stockouts of high-velocity goods by analyzing historical daily sales burn rate</t>
  </si>
  <si>
    <t>Calculates Days of Stock Cover = On-Hand Stock / Daily Burn Rate; drafts supplier PO before stockout</t>
  </si>
  <si>
    <t>Supported via Inventory Autopilot run-rate forecasting engine.</t>
  </si>
  <si>
    <t>X-0535</t>
  </si>
  <si>
    <t>Predictive Cash-Flow Forecaster: simulate 30/60/90-day cash balance factoring debtor payment delays</t>
  </si>
  <si>
    <t>Cashflow Forecast Engine</t>
  </si>
  <si>
    <t>Realistic cashflow runway simulation modeling actual historical debtor payment delay behavior</t>
  </si>
  <si>
    <t>Projects daily liquid bank balance combining projected collections, payroll, rent, and vendor dues</t>
  </si>
  <si>
    <t>Supported via CashflowForecastRun in insights app (/insights/cashflow/).</t>
  </si>
  <si>
    <t>X-0536</t>
  </si>
  <si>
    <t>Natural Language Business Query Assistant: answer owner queries via conversational interface</t>
  </si>
  <si>
    <t>Conversational AI Assistant</t>
  </si>
  <si>
    <t>Owner asks natural language questions ('Who owes me more than 50k?') and receives instant figures</t>
  </si>
  <si>
    <t>Translates natural language into deterministic read-only database queries; returns charts and tables</t>
  </si>
  <si>
    <t>Supported via /insights/assistant/ conversational query agent.</t>
  </si>
  <si>
    <t>X-0537</t>
  </si>
  <si>
    <t>Automated Supplier Risk Scorecard based on delivery delays, price spikes, and GST filing failures</t>
  </si>
  <si>
    <t>Vendor Intelligence Engine</t>
  </si>
  <si>
    <t>Continuously evaluate vendor reliability across delivery punctuality, price inflation, and tax compliance</t>
  </si>
  <si>
    <t>Computes multi-factor supplier health index (0-100); flags high-risk vendors before issuing repeat POs</t>
  </si>
  <si>
    <t>Supported via Supplier Scorecard in purchases module.</t>
  </si>
  <si>
    <t>X-0538</t>
  </si>
  <si>
    <t>Staged fulfillment: group pending customer delivery orders by geographic transport route</t>
  </si>
  <si>
    <t>Consolidate individual sales orders destined for the same market or delivery sector into single run</t>
  </si>
  <si>
    <t>Creates DispatchRun; groups orders by geographic pin code and route sector</t>
  </si>
  <si>
    <t>Supported via /operations/dispatch-staging/ with route clustering.</t>
  </si>
  <si>
    <t>X-0539</t>
  </si>
  <si>
    <t>Vehicle load optimization: verify total consignment weight/volume against vehicle payload capacity</t>
  </si>
  <si>
    <t>Prevent dangerous vehicle overloading and optimize delivery tempo payload capacity</t>
  </si>
  <si>
    <t>Sums order gross weights and cubic volumes; validates against vehicle.max_payload_kg</t>
  </si>
  <si>
    <t>Supported via Vehicle Capacity &amp; Load Planner in operations module.</t>
  </si>
  <si>
    <t>X-0540</t>
  </si>
  <si>
    <t>Multi-drop sequential route planning for delivery driver</t>
  </si>
  <si>
    <t>Sequence retail customer delivery stops in optimal geographic order to minimize fuel and transit time</t>
  </si>
  <si>
    <t>Generates sequenced stop sequence (Drop 1 -&gt; Drop 2 -&gt; Drop N) with estimated arrival windows</t>
  </si>
  <si>
    <t>Supported via Route Sequencer in operations fleet management.</t>
  </si>
  <si>
    <t>X-0541</t>
  </si>
  <si>
    <t>Digital Proof of Delivery (POD) capture with customer signature, timestamp, and geo-location</t>
  </si>
  <si>
    <t>Capture tamper-evident digital proof of delivery at retail counter on mobile device</t>
  </si>
  <si>
    <t>Attaches signed bitmap, GPS latitude/longitude, and server timestamp to DeliveryChallan</t>
  </si>
  <si>
    <t>Supported via Driver Mobile PWA POD module.</t>
  </si>
  <si>
    <t>X-0542</t>
  </si>
  <si>
    <t>Mobile Cash-on-Delivery (COD) capture by driver with instant payment receipt</t>
  </si>
  <si>
    <t>Collect cash or UPI payment at customer doorstep upon delivery and issue instant digital receipt</t>
  </si>
  <si>
    <t>Creates Payment record linked to driver custody; triggers WhatsApp payment confirmation to customer</t>
  </si>
  <si>
    <t>Supported via Mobile Driver Checkout with dynamic QR.</t>
  </si>
  <si>
    <t>X-0543</t>
  </si>
  <si>
    <t>Driver route reconciliation: cashier matches delivered consignments, collected cash, and returns</t>
  </si>
  <si>
    <t>Accounts Cashier / Dispatcher</t>
  </si>
  <si>
    <t>Evening driver debrief verifying all delivered orders, cash handed over, and rejected packages</t>
  </si>
  <si>
    <t>Closes DispatchRun; settles driver cash till; returns rejected items to godown inventory</t>
  </si>
  <si>
    <t>Supported via /operations/driver-settlement/ reconciliation interface.</t>
  </si>
  <si>
    <t>X-0544</t>
  </si>
  <si>
    <t>Route economics analysis: evaluate delivery freight cost per order vs order gross margin</t>
  </si>
  <si>
    <t>Logistics Manager / Owner</t>
  </si>
  <si>
    <t>Evaluate route profitability factoring vehicle fuel, driver wages, and consignment gross margins</t>
  </si>
  <si>
    <t>Computes Net Route Contribution = Route Sales Margin - (Fuel Cost + Vehicle Depreciation)</t>
  </si>
  <si>
    <t>Supported via Route Economics &amp; Delivery Profitability Report (/reports/route-profitability/).</t>
  </si>
  <si>
    <t>X-0545</t>
  </si>
  <si>
    <t>Configure fiscal year document numbering series with custom prefix (e.g. INV/26-27/0001)</t>
  </si>
  <si>
    <t>Maintain statutory consecutive invoice numbering unique across each financial year per GST Rule 46</t>
  </si>
  <si>
    <t>Creates DocumentSequence record; enforces sequential numbers without gaps across FY</t>
  </si>
  <si>
    <t>Supported via /settings/document-series/ with financial year variable tokens ({FY}, {BRANCH}).</t>
  </si>
  <si>
    <t>X-0546</t>
  </si>
  <si>
    <t>Multi-branch document numbering isolation (Branch A 'DEL/INV/001' vs Branch B 'MUM/INV/001')</t>
  </si>
  <si>
    <t>Distinct consecutive numbering series per retail store or warehouse to comply with state GST rules</t>
  </si>
  <si>
    <t>Enforces branch-prefixed sequences; prevents document numbering collisions across locations</t>
  </si>
  <si>
    <t>Supported via branch-scoped document sequence configuration.</t>
  </si>
  <si>
    <t>X-0547</t>
  </si>
  <si>
    <t>Customer &amp; Vendor Self-Onboarding Portal: send magic link for party to input GSTIN, bank, and KYC</t>
  </si>
  <si>
    <t>Sales / Procurement Staff</t>
  </si>
  <si>
    <t>New Customer / Supplier</t>
  </si>
  <si>
    <t>Eliminate data entry errors by allowing new B2B clients and suppliers to submit their own masters</t>
  </si>
  <si>
    <t>Generates secure tokenized portal link; auto-validates GSTIN and populates master upon approval</t>
  </si>
  <si>
    <t>Supported via Self-Onboarding Magic Link generator (/onboarding/invite/).</t>
  </si>
  <si>
    <t>X-0548</t>
  </si>
  <si>
    <t>Vernacular language switching (Hindi, Gujarati, Tamil, Marathi, etc.) on POS and mobile app</t>
  </si>
  <si>
    <t>Counter Clerk / Driver</t>
  </si>
  <si>
    <t>Enable non-English speaking billing clerks and godown staff to operate software in regional language</t>
  </si>
  <si>
    <t>Toggles UI language string translation across product catalog, buttons, and receipts</t>
  </si>
  <si>
    <t>Supported via i18n localization engine supporting major Indian regional languages.</t>
  </si>
  <si>
    <t>X-0549</t>
  </si>
  <si>
    <t>Automated Right-to-Erasure &amp; Data Anonymization under Digital Personal Data Protection (DPDP) Act</t>
  </si>
  <si>
    <t>Data Protection Officer / Admin</t>
  </si>
  <si>
    <t>Fulfill customer personal data deletion requests while preserving statutory accounting records</t>
  </si>
  <si>
    <t>Anonymizes personal identifying data (name, mobile, address) while retaining financial invoice amounts</t>
  </si>
  <si>
    <t>Supported via DPDP Right-to-Erasure Engine (/settings/privacy/erasure/).</t>
  </si>
  <si>
    <t>X-0550</t>
  </si>
  <si>
    <t>Year-end financial closing: carry forward ledger balances and initialize new financial year</t>
  </si>
  <si>
    <t>External CA / Owner</t>
  </si>
  <si>
    <t>Formal financial year-end closing transferring P&amp;L net profit to Reserves and initializing opening TB</t>
  </si>
  <si>
    <t>Closes 31st March financial books; rolls forward asset and liability balances into 1st April opening</t>
  </si>
  <si>
    <t>Supported via Year-End Financial Close Wizard (/accounting/year-end-close/).</t>
  </si>
  <si>
    <t>X-0551</t>
  </si>
  <si>
    <t>Register company fixed assets (delivery vans, cold storage, billing machines, computers)</t>
  </si>
  <si>
    <t>Maintain fixed asset register recording asset tag, purchase invoice, serial, and location</t>
  </si>
  <si>
    <t>Creates FixedAsset record; capitalizes purchase cost to Fixed Asset balance sheet ledger</t>
  </si>
  <si>
    <t>Supported via /accounting/fixed-assets/create with asset tagging.</t>
  </si>
  <si>
    <t>backend/accounting/models.py:FixedAsset</t>
  </si>
  <si>
    <t>backend/tests/test_fmea2_wave.py; backend/tests/test_phase5_accounting.py; backend/tests/test_wave15d_books.py</t>
  </si>
  <si>
    <t>X-0552</t>
  </si>
  <si>
    <t>Calculate monthly/annual depreciation under WDV and SLM methods per Companies Act &amp; IT Act</t>
  </si>
  <si>
    <t>Accurate depreciation computation for statutory tax filing and book profit reporting</t>
  </si>
  <si>
    <t>Calculates depreciation expense based on useful life and method; updates asset net book value</t>
  </si>
  <si>
    <t>Supported via Automated Depreciation Engine with dual-book (IT Act &amp; Companies Act) rates.</t>
  </si>
  <si>
    <t>X-0553</t>
  </si>
  <si>
    <t>Post automated depreciation journal voucher to general ledger</t>
  </si>
  <si>
    <t>Automatic posting of periodic depreciation expense without manual journal entry errors</t>
  </si>
  <si>
    <t>Debits Depreciation Expense account in P&amp;L; credits Accumulated Depreciation on Balance Sheet</t>
  </si>
  <si>
    <t>Supported via one-click 'Post Depreciation' batch action.</t>
  </si>
  <si>
    <t>X-0554</t>
  </si>
  <si>
    <t>Record fixed asset disposal or scrap write-off and calculate capital gain/loss</t>
  </si>
  <si>
    <t>Accurate accounting entry when old vehicle or computer is sold or scrapped</t>
  </si>
  <si>
    <t>Removes asset cost and accumulated depreciation; computes and posts Net Gain/Loss on Sale of Assets</t>
  </si>
  <si>
    <t>Supported via Asset Disposal modal with gain/loss computation.</t>
  </si>
  <si>
    <t>X-0555</t>
  </si>
  <si>
    <t>Record inward supply subject to Reverse Charge Mechanism (RCM) from Goods Transport Agency (GTA)</t>
  </si>
  <si>
    <t>Goods Transport Agency (GTA)</t>
  </si>
  <si>
    <t>Identify and flag transport freight charges and legal fees where recipient is liable to pay GST</t>
  </si>
  <si>
    <t>Flags purchase invoice line as RCM; computes applicable CGST/SGST or IGST reverse tax liability</t>
  </si>
  <si>
    <t>Supported via Reverse Charge (RCM) toggle on purchase invoice line items.</t>
  </si>
  <si>
    <t>X-0556</t>
  </si>
  <si>
    <t>Generate self-invoice for RCM inward supplies and calculate reverse tax liability</t>
  </si>
  <si>
    <t>Tax Authority</t>
  </si>
  <si>
    <t>Statutory compliance under Section 31(3)(f) of CGST Act requiring self-invoice on RCM purchases</t>
  </si>
  <si>
    <t>Generates official Self-Invoice document; records reverse tax liability in GSTR-3B Table 3.1(d)</t>
  </si>
  <si>
    <t>Supported via Self-Invoice generator for unregistered RCM purchases.</t>
  </si>
  <si>
    <t>X-0557</t>
  </si>
  <si>
    <t>Claim Input Tax Credit on RCM tax paid in cash in subsequent GSTR-3B return</t>
  </si>
  <si>
    <t>Avail eligible Input Tax Credit for RCM tax paid to government in cash ledger</t>
  </si>
  <si>
    <t>Credits eligible ITC in GSTR-3B Table 4(A)(3) after confirming cash payment in Table 6.1</t>
  </si>
  <si>
    <t>Supported via RCM ITC Reconciliation worksheet.</t>
  </si>
  <si>
    <t>X-0558</t>
  </si>
  <si>
    <t>Composition Scheme merchant calculates quarterly flat turnover tax via CMP-08 without ITC</t>
  </si>
  <si>
    <t>Kirana Shop Owner / Accountant</t>
  </si>
  <si>
    <t>Simplified quarterly flat tax payment (1% for traders/manufacturers) under GST Composition Scheme</t>
  </si>
  <si>
    <t>Computes flat turnover tax; prepares official Statement for Payment of Self-Assessed Tax (CMP-08)</t>
  </si>
  <si>
    <t>Supported via /gst/cmp08/ quarterly return worksheet for composition taxpayers.</t>
  </si>
  <si>
    <t>X-0559</t>
  </si>
  <si>
    <t>Transition from Composition Scheme to Regular GST Scheme (stock credit under Section 18(1)(c))</t>
  </si>
  <si>
    <t>Claim statutory input tax credit on inputs held in stock when turnover crosses composition limit</t>
  </si>
  <si>
    <t>Compiles stock inventory on transition date; calculates eligible ITC on inputs via Form ITC-01</t>
  </si>
  <si>
    <t>Supported via Composition-to-Regular Transition Assistant.</t>
  </si>
  <si>
    <t>X-0560</t>
  </si>
  <si>
    <t>Issue non-GST / Bill of Supply for nil-rated, exempted, or non-taxable goods</t>
  </si>
  <si>
    <t>Issue legally compliant Bill of Supply (without tax charges) for fresh fruits, milk, unbranded grains</t>
  </si>
  <si>
    <t>Renders Bill of Supply per Rule 49; separates exempt turnover from taxable supplies in GSTR-1 Table 8</t>
  </si>
  <si>
    <t>Supported via Bill of Supply document template for exempt and nil-rated sales.</t>
  </si>
  <si>
    <t>S</t>
  </si>
  <si>
    <t>System / Reconciliation Worker</t>
  </si>
  <si>
    <t>Continuous verification that sum of all debits equals sum of all credits across the entire company GL</t>
  </si>
  <si>
    <t>Triggers high-priority alert if debit-credit discrepancy != 0; quarantines corrupted ledger batches</t>
  </si>
  <si>
    <t>Trial-balance reporting exists in accounting.reports.trial_balance, and books health exposes trial_balance_balanced. No hourly Celery beat task that quarantines unbalanced batches was found.</t>
  </si>
  <si>
    <t>Category moved off Payments &amp; Reconciliation. The previous note claimed an hourly Celery quarantine worker. 2026-10-04: no background worker found. A check_invariants management command exists (backend/core/management/commands/check_invariants.py) and the trial balance report exposes trial_balance_balanced.</t>
  </si>
  <si>
    <t>backend/accounting/reports.py:trial_balance</t>
  </si>
  <si>
    <t>backend/tests/test_fmea_mitigations.py; backend/tests/test_holistic_80.py; backend/tests/test_holistic_95.py</t>
  </si>
  <si>
    <t>System / Inventory Engine</t>
  </si>
  <si>
    <t>System / Inventory Worker</t>
  </si>
  <si>
    <t>Automatically release reserved stock back to available pool when uncompleted POS/web cart expires</t>
  </si>
  <si>
    <t>Decrements reserved_quantity and increments available_quantity on StockBalance after 30-min timeout</t>
  </si>
  <si>
    <t>No CartSession model and no 30-minute cart-expiry release worker were found. Do not treat that timeout as implemented.</t>
  </si>
  <si>
    <t>Previous note cited CartSession.updated_at. That model does not exist.</t>
  </si>
  <si>
    <t>backend/inventory/models.py:StockBalance; backend/inventory/services.py:available_quantity</t>
  </si>
  <si>
    <t>S-0563</t>
  </si>
  <si>
    <t>System / Cache Engine</t>
  </si>
  <si>
    <t>Event-driven product catalog cache invalidation across distributed POS nodes</t>
  </si>
  <si>
    <t>System / Redis Cache</t>
  </si>
  <si>
    <t>Price or tax changes made on central server instantly purge local Redis/memory caches on POS terminals</t>
  </si>
  <si>
    <t>Broadcasts WebSocket invalidation message; forces POS client-side indexedDB cache refresh within 500ms</t>
  </si>
  <si>
    <t>Django post_save signal on Product master triggers Redis pub/sub cache purge event.</t>
  </si>
  <si>
    <t>S-0564</t>
  </si>
  <si>
    <t>System / Document Engine</t>
  </si>
  <si>
    <t>Asynchronous PDF document generation queue for high-volume invoice printing</t>
  </si>
  <si>
    <t>Sub-second checkout response by offloading heavy WeasyPrint/PDF generation to background worker pool</t>
  </si>
  <si>
    <t>Returns instant HTTP 201 Created with JSON; queues PDF render job; pushes download URL via WebSocket</t>
  </si>
  <si>
    <t>Offloads PDF rendering to dedicated Celery worker; decouples HTTP request-response cycle.</t>
  </si>
  <si>
    <t>S-0565</t>
  </si>
  <si>
    <t>System / Sequence Engine</t>
  </si>
  <si>
    <t>Atomic database sequence locking preventing concurrent invoice numbering gaps</t>
  </si>
  <si>
    <t>All Billing Users</t>
  </si>
  <si>
    <t>Guarantee zero missing numbers in statutory invoice sequences even under heavy concurrent billing</t>
  </si>
  <si>
    <t>Uses PostgreSQL SELECT FOR UPDATE on DocumentSequence row; strictly guarantees sequential numbering</t>
  </si>
  <si>
    <t>Postgres row-level lock on sequence master; strictly satisfies GST Rule 46 sequentiality mandate.</t>
  </si>
  <si>
    <t>S-0566</t>
  </si>
  <si>
    <t>System / Outbox Engine</t>
  </si>
  <si>
    <t>Transactional Outbox pattern for external webhook and message dispatch</t>
  </si>
  <si>
    <t>System / Outbox Worker</t>
  </si>
  <si>
    <t>Guarantees that WhatsApp/SMS notifications are never lost if external provider fails during checkout</t>
  </si>
  <si>
    <t>Writes notification payload to database in same atomic transaction as invoice; background worker polls and sends</t>
  </si>
  <si>
    <t>Transactional Outbox pattern implementation; achieves at-least-once delivery guarantee.</t>
  </si>
  <si>
    <t>S-0567</t>
  </si>
  <si>
    <t>Nightly automated accounts receivable and payable aging bucket reclassification</t>
  </si>
  <si>
    <t>System / Cron Worker</t>
  </si>
  <si>
    <t>Daily recalculation of debtor and creditor aging buckets (0-30, 31-60, 61-90, 90+ days) at midnight</t>
  </si>
  <si>
    <t>Updates cached aging summaries on Customer and Supplier records; refreshes executive dashboard</t>
  </si>
  <si>
    <t>Nightly cron job evaluating (today - invoice.due_date); updates denormalized aging summary table.</t>
  </si>
  <si>
    <t>Matched due_date in product code. This is not a functional test.</t>
  </si>
  <si>
    <t>S-0568</t>
  </si>
  <si>
    <t>System / Integrity Engine</t>
  </si>
  <si>
    <t>Database foreign key cascade deletion defense and soft-delete enforcement</t>
  </si>
  <si>
    <t>System / ORM Guard</t>
  </si>
  <si>
    <t>Prevent accidental cascading deletion of critical historical invoices when master entity is removed</t>
  </si>
  <si>
    <t>Enforces on_delete=models.PROTECT on all transaction foreign keys; routes deletions to is_deleted=True</t>
  </si>
  <si>
    <t>Core architectural invariant: models.PROTECT enforced across all financial and inventory FKs.</t>
  </si>
  <si>
    <t>S-0569</t>
  </si>
  <si>
    <t>System / Telemetry Engine</t>
  </si>
  <si>
    <t>Automated API latency, error rate, and slow-query telemetry logger</t>
  </si>
  <si>
    <t>System / Telemetry Middleware</t>
  </si>
  <si>
    <t>DevOps / Architect</t>
  </si>
  <si>
    <t>Track 95th percentile (P95) response times and pinpoint database queries taking &gt; 200ms</t>
  </si>
  <si>
    <t>Logs structured JSON telemetry to APM; alerts engineering if checkout latency breaches 1.0 second</t>
  </si>
  <si>
    <t>Django middleware logging request duration, SQL query count, and memory allocation.</t>
  </si>
  <si>
    <t>Kept P3. The previous workbook had P3. Authored priority was P2.</t>
  </si>
  <si>
    <t>Future</t>
  </si>
  <si>
    <t>KEPT_PREVIOUS</t>
  </si>
  <si>
    <t>S-0570</t>
  </si>
  <si>
    <t>System / Backup Engine</t>
  </si>
  <si>
    <t>Automated continuous WAL archiving and daily encrypted PostgreSQL pg_dump snapshot</t>
  </si>
  <si>
    <t>System / Backup Daemon</t>
  </si>
  <si>
    <t>Zero-data-loss point-in-time recovery (PITR) capability in case of physical cloud hardware catastrophe</t>
  </si>
  <si>
    <t>Uploads encrypted pg_dump and Write-Ahead Logs (WAL) to air-gapped S3 bucket with 30-day retention</t>
  </si>
  <si>
    <t>Automated backup script with AES-256 encryption and automated test-restore health check.</t>
  </si>
  <si>
    <t>S-0571</t>
  </si>
  <si>
    <t>System / Cleanup Engine</t>
  </si>
  <si>
    <t>Temporary file and export archive garbage collection worker</t>
  </si>
  <si>
    <t>System / Maintenance Worker</t>
  </si>
  <si>
    <t>Prevent server disk exhaustion by automatically purging generated Excel/PDF export temp files older than 48h</t>
  </si>
  <si>
    <t>Deletes expired temporary media files and orphaned import CSV uploads; frees local server storage</t>
  </si>
  <si>
    <t>Daily Celery maintenance job cleaning /tmp/media_exports/ directory.</t>
  </si>
  <si>
    <t>S-0572</t>
  </si>
  <si>
    <t>System / Rate Limiter</t>
  </si>
  <si>
    <t>Distributed Redis token bucket rate limiting on public-facing API endpoints</t>
  </si>
  <si>
    <t>System / Redis Rate Limiter</t>
  </si>
  <si>
    <t>Anonymous / External Users</t>
  </si>
  <si>
    <t>Prevent brute force password guessing, OTP flooding, and DDoS attacks on auth and public checkout APIs</t>
  </si>
  <si>
    <t>Enforces strict per-IP and per-tenant rate limits (e.g. max 5 login attempts/min, 100 API requests/min)</t>
  </si>
  <si>
    <t>Django Ratelimit with Redis backend; returns HTTP 429 Too Many Requests.</t>
  </si>
  <si>
    <t>S-0573</t>
  </si>
  <si>
    <t>Automated payment gateway webhook signature cryptographic verification worker</t>
  </si>
  <si>
    <t>System / Webhook Engine</t>
  </si>
  <si>
    <t>Ensure payment gateway callback authenticity and reject fraudulent spoofed payment completion requests</t>
  </si>
  <si>
    <t>Verifies HMAC SHA-256 signature using webhook secret; rejects unverified payload with HTTP 400</t>
  </si>
  <si>
    <t>Core security invariant: HMAC signature verification required before marking invoice PAID.</t>
  </si>
  <si>
    <t>System / Alert Engine</t>
  </si>
  <si>
    <t>System / AI Anomaly Worker</t>
  </si>
  <si>
    <t>Detect employee fraud or fat-finger typos (e.g. ₹5,00,000 bill on retail counter or 90% discount)</t>
  </si>
  <si>
    <t>Flags transaction as STATISTICAL_OUTLIER; generates urgent AttentionRowState notification for owner</t>
  </si>
  <si>
    <t>Z-score statistical anomaly detector running on invoice completion signal.</t>
  </si>
  <si>
    <t>No Z-score invoice anomaly detector was found.</t>
  </si>
  <si>
    <t>S-0575</t>
  </si>
  <si>
    <t>System / Lock Engine</t>
  </si>
  <si>
    <t>Pessimistic database locking on concurrent warehouse stock deduction</t>
  </si>
  <si>
    <t>Multiple Billing Clerks</t>
  </si>
  <si>
    <t>Prevent negative inventory race condition when two cashiers bill the last remaining unit simultaneously</t>
  </si>
  <si>
    <t>Executes SELECT FOR UPDATE on StockBalance row; serializes deduction; rejects second bill cleanly</t>
  </si>
  <si>
    <t>Core concurrency invariant: atomic row-level lock on StockBalance during checkout.</t>
  </si>
  <si>
    <t>S-0576</t>
  </si>
  <si>
    <t>System / Indexing Engine</t>
  </si>
  <si>
    <t>Automated PostgreSQL Trigram and GIN full-text search indexing on product catalog</t>
  </si>
  <si>
    <t>System / Search Engine</t>
  </si>
  <si>
    <t>Sub-50ms search response when scanning barcodes or typing misspelled product brand names</t>
  </si>
  <si>
    <t>Maintains PostgreSQL pg_trgm and GIN indexes across SKU, Barcode, Brand, and Generic Composition</t>
  </si>
  <si>
    <t>Database GIN trigram index on products; handles partial matching and typo tolerance.</t>
  </si>
  <si>
    <t>S-0577</t>
  </si>
  <si>
    <t>System / Session Worker</t>
  </si>
  <si>
    <t>Concurrent session limiter and idle token expiration worker</t>
  </si>
  <si>
    <t>System / Auth Worker</t>
  </si>
  <si>
    <t>Enforce single-device login policy per user license and automatically terminate stale browser sessions</t>
  </si>
  <si>
    <t>Invalidates JWT refresh tokens on idle timeout (60 mins); blocks second concurrent browser login</t>
  </si>
  <si>
    <t>Redis session store tracking active user JWT tokens; rejects simultaneous logins if unlicensed.</t>
  </si>
  <si>
    <t>S-0578</t>
  </si>
  <si>
    <t>System / Valuation Worker</t>
  </si>
  <si>
    <t>FIFO cost layer consumption and recalculation worker on back-dated purchase intake</t>
  </si>
  <si>
    <t>System / Costing Engine</t>
  </si>
  <si>
    <t>Ensure inventory cost layers and Cost of Goods Sold (COGS) are retroactively accurate if bills arrive late</t>
  </si>
  <si>
    <t>Re-traverses outward sales movements chronologically; updates COGS and gross margin variance</t>
  </si>
  <si>
    <t>Perpetual FIFO cost re-sequencing engine with accounting adjustment journal creation.</t>
  </si>
  <si>
    <t>System / Audit Watchdog</t>
  </si>
  <si>
    <t>System / Security Daemon</t>
  </si>
  <si>
    <t>Cryptographically prove in a court of law or tax audit that activity logs have never been altered</t>
  </si>
  <si>
    <t>Computes SHA-256 hash = hash(prev_hash + log_data); creates immutable blockchain-style audit chain</t>
  </si>
  <si>
    <t>Cryptographic audit chain satisfying Section 65B Indian Evidence Act for digital records.</t>
  </si>
  <si>
    <t>Re-checked 2026-10-04: core/services/audit_chain.py seals and verifies a per-company sha256 chain (chain_seq, chain_prev, chain_hash). tests/test_audit_chain_edge_cases.py passed on SQLite on 2026-10-04 (tests/test_audit_append_only.py exists; not re-run). Limits: sealing is a nightly batch, so events after the last seal are not yet protected. Earlier 'Mechanism not found' was stale.</t>
  </si>
  <si>
    <t>tests/test_audit_chain_edge_cases.py passed 2026-10-04 (SQLite)</t>
  </si>
  <si>
    <t>tests/test_audit_chain_edge_cases.py</t>
  </si>
  <si>
    <t>pytest, manual run on SQLite</t>
  </si>
  <si>
    <t>Pass</t>
  </si>
  <si>
    <t>S-0580</t>
  </si>
  <si>
    <t>System / EWB Watchdog</t>
  </si>
  <si>
    <t>Automated E-Way Bill expiry warning crawler</t>
  </si>
  <si>
    <t>System / Compliance Worker</t>
  </si>
  <si>
    <t>Scan active E-Way Bills hourly and alert logistics team 4 hours prior to transit validity expiry</t>
  </si>
  <si>
    <t>Surfaces high-priority EWB_EXPIRING_SOON alert; prompts one-click 8-hour validity extension</t>
  </si>
  <si>
    <t>Hourly cron job comparing ewb.valid_upto against now(); pushes alerts to dispatch desk.</t>
  </si>
  <si>
    <t>Kept P0. The previous workbook had P0. Authored priority was P1.</t>
  </si>
  <si>
    <t>Matched valid_upto in product code. This is not a functional test. Kept P0. The previous workbook had P0. Authored priority was P1.</t>
  </si>
  <si>
    <t>UX</t>
  </si>
  <si>
    <t>Counter Clerk / POS Operator</t>
  </si>
  <si>
    <t>Cashier can complete 100% of retail checkout (scan, discount, tender, print) without touching mouse</t>
  </si>
  <si>
    <t>Reduces checkout time from 45s to 12s per customer; eliminates repetitive strain injury</t>
  </si>
  <si>
    <t>POS keys in web/src/pages/pos/PosPage.tsx: F2 focuses search, F1 cash, F4 card, F5 and F6 UPI, F7 credit, F8 holds the session. The previous note reversed this map.</t>
  </si>
  <si>
    <t>Previous note said F1 search, F4 cash, and F8 print.</t>
  </si>
  <si>
    <t>Differentiator</t>
  </si>
  <si>
    <t>Hold current customer's cart when they step away to pick another item; bill next customer immediately</t>
  </si>
  <si>
    <t>Saves active cart in memory/indexedDB; recalls held cart with 1 click; eliminates queue blockage</t>
  </si>
  <si>
    <t>Session hold is F8 (holdAndCreateSession). F9 recalls when more than one session exists. F6 tenders UPI. A five-cart cap was not verified.</t>
  </si>
  <si>
    <t>Previous note called F6 Hold Bill.</t>
  </si>
  <si>
    <t>UX-0583</t>
  </si>
  <si>
    <t>All Roles</t>
  </si>
  <si>
    <t>Universal 10-second 'Undo' toast notification on accidental deletions or cancellations</t>
  </si>
  <si>
    <t>Business User</t>
  </si>
  <si>
    <t>Allows user to instantly reverse accidental deletion of draft order or line item without data loss</t>
  </si>
  <si>
    <t>Delays destructive database purge by 10 seconds; restores UI state seamlessly if user clicks Undo</t>
  </si>
  <si>
    <t>Nielsen Heuristic 3: User Control &amp; Freedom. Snackbar toast with interactive Undo action.</t>
  </si>
  <si>
    <t>Platform scope</t>
  </si>
  <si>
    <t>UX-0584</t>
  </si>
  <si>
    <t>Contextual inline error guidance with auto-fix suggestions on GST validation failures</t>
  </si>
  <si>
    <t>Billing Clerk / Accountant</t>
  </si>
  <si>
    <t>Instead of cryptic 'Invalid Tax' error, UI explains: 'Customer is in Maharashtra. Apply IGST instead of CGST'</t>
  </si>
  <si>
    <t>Provides 1-click 'Auto-Fix Tax' button; resolves user confusion and eliminates support tickets</t>
  </si>
  <si>
    <t>Nielsen Heuristic 9: Error Recovery. Inline alert banner with prescriptive remediation action.</t>
  </si>
  <si>
    <t>UX-0585</t>
  </si>
  <si>
    <t>Visual empty-state illustrations with actionable onboarding shortcuts</t>
  </si>
  <si>
    <t>New Business Owner</t>
  </si>
  <si>
    <t>When opening a new account with zero sales, screen shows friendly graphic and 'Create Your First Bill' button</t>
  </si>
  <si>
    <t>Guides user directly into productive action; reduces first-day churn by 40%</t>
  </si>
  <si>
    <t>Designed empty states with call-to-action buttons across Invoices, Customers, and Products.</t>
  </si>
  <si>
    <t>Power User / Owner</t>
  </si>
  <si>
    <t>Instantly navigate to any customer profile, invoice, report, or action from anywhere in app via Ctrl+K</t>
  </si>
  <si>
    <t>Reduces menu clicking; allows keyboard navigation to any screen in under 2 seconds</t>
  </si>
  <si>
    <t>Command Palette modal (Ctrl+K) indexing system routes, recent records, and quick actions.</t>
  </si>
  <si>
    <t>No Ctrl+K command palette was found in the web client.</t>
  </si>
  <si>
    <t>UX-0587</t>
  </si>
  <si>
    <t>Dynamic customer credit health pill with color-coded risk indicator during billing</t>
  </si>
  <si>
    <t>Real-time visual pill on billing header showing customer credit status (Green: OK, Yellow: Near Limit, Red: Blocked)</t>
  </si>
  <si>
    <t>Prevents embarrassing checkout arguments; alerts clerk to customer payment status before packing items</t>
  </si>
  <si>
    <t>Color-coded Credit Health badge on customer search dropdown and order cart header.</t>
  </si>
  <si>
    <t>Warehouse Picker</t>
  </si>
  <si>
    <t>Stock search displays exact physical warehouse location tag (e.g. 'Godown 1 &gt; Aisle B &gt; Shelf 3')</t>
  </si>
  <si>
    <t>Reduces order picking search time from 5 minutes to 30 seconds per item</t>
  </si>
  <si>
    <t>Displays location_tag pill on product row in warehouse pick lists and search results.</t>
  </si>
  <si>
    <t>No location_tag shelf-locator field was found.</t>
  </si>
  <si>
    <t>UX-0589</t>
  </si>
  <si>
    <t>Interactive spreadsheet-style inline grid editing for bulk transaction review</t>
  </si>
  <si>
    <t>Edit HSN codes, tax rates, or accounts across 50 purchase bills in single Excel-like data grid</t>
  </si>
  <si>
    <t>Eliminates opening 50 individual forms; enables rapid month-end review in 15 minutes</t>
  </si>
  <si>
    <t>Keyboard-driven DataGrid with arrow key navigation, cell copy-paste, and batch save.</t>
  </si>
  <si>
    <t>Shows real-time progress bar (e.g. 'Row 450 of 1,200 imported - 15 seconds remaining') during large imports</t>
  </si>
  <si>
    <t>Prevents anxious users from refreshing browser or aborting ongoing database import jobs</t>
  </si>
  <si>
    <t>Nielsen Heuristic 1: Visibility of System Status. WebSocket progress bar with row counter.</t>
  </si>
  <si>
    <t>No WebSocket import-progress channel was found.</t>
  </si>
  <si>
    <t>Bystanders / Customers</t>
  </si>
  <si>
    <t>Quick eye icon toggle that obscures revenue, bank balance, and profit numbers when customers are standing nearby</t>
  </si>
  <si>
    <t>Protects business financial confidentiality while allowing owner to review operational lists</t>
  </si>
  <si>
    <t>Privacy Mode toggle (Shift+P) replacing currency digits with '₹ ••••••' across dashboard.</t>
  </si>
  <si>
    <t>Set to P3. The previous workbook had P2. Authored priority was P2.</t>
  </si>
  <si>
    <t>No Shift+P privacy mask was found in the web client. Set to P3. The previous workbook had P2. Authored priority was P2.</t>
  </si>
  <si>
    <t>OVERRIDDEN</t>
  </si>
  <si>
    <t>UX-0592</t>
  </si>
  <si>
    <t>Sound feedback cues on barcode scan success, duplicate scan, and error</t>
  </si>
  <si>
    <t>Distinct audible beeps confirming successful barcode scan (high chime) vs error/out-of-stock (low buzz)</t>
  </si>
  <si>
    <t>Allows clerk to scan rapid supermarket items without glancing back and forth at computer monitor</t>
  </si>
  <si>
    <t>Web Audio API sound synthesizers for SCAN_SUCCESS, DUPLICATE_WARNING, and ERROR_BLOCK.</t>
  </si>
  <si>
    <t>UX-0593</t>
  </si>
  <si>
    <t>High-contrast outdoor glare mode for mobile field order booking</t>
  </si>
  <si>
    <t>Optimized ultra-high-contrast UI theme designed for readability under direct bright Indian sunlight</t>
  </si>
  <si>
    <t>Eliminates outdoor screen squinting; enables smooth order booking on dusty street corners</t>
  </si>
  <si>
    <t>Outdoor Sunlight Mode with pure black text on pure white background and bold 16px typography.</t>
  </si>
  <si>
    <t>UX-0594</t>
  </si>
  <si>
    <t>Persistent customer quick-create side drawer without losing current document state</t>
  </si>
  <si>
    <t>New Customer</t>
  </si>
  <si>
    <t>Slide-out drawer allowing full new customer onboarding without navigating away or losing active cart items</t>
  </si>
  <si>
    <t>Saves customer master; auto-selects newly created party in active bill; cart remains 100% intact</t>
  </si>
  <si>
    <t>Non-modal slide-over drawer (Flyout) with isolated form state preserving background cart.</t>
  </si>
  <si>
    <t>UX-0595</t>
  </si>
  <si>
    <t>Executive Morning Briefing card summarizing '3 Things That Need You Today'</t>
  </si>
  <si>
    <t>Top of dashboard highlights 3 prioritized action items (e.g. '₹1.2L overdue from Sharma', '5 items out of stock')</t>
  </si>
  <si>
    <t>Eliminates analytical paralysis; gives owner clear 5-minute action plan every morning</t>
  </si>
  <si>
    <t>Priority Triage Engine generating 3 high-impact daily call-to-action cards.</t>
  </si>
  <si>
    <t>UX-0596</t>
  </si>
  <si>
    <t>Clear destructive action confirmation dialog with explicit entity name typing</t>
  </si>
  <si>
    <t>Permanently cancelling an annual return or deleting a company requires typing 'DELETE' to confirm</t>
  </si>
  <si>
    <t>Prevents catastrophic accidental clicks on destructive administrative actions</t>
  </si>
  <si>
    <t>Nielsen Heuristic 5: Error Prevention. Type-to-confirm modal on high-risk operations.</t>
  </si>
  <si>
    <t>web (frontend)</t>
  </si>
  <si>
    <t>UX-0597</t>
  </si>
  <si>
    <t>Quick quantity multiplier keypad shortcuts during retail barcode scanning</t>
  </si>
  <si>
    <t>Typing '5*' followed by scanning barcode automatically adds 5 units without scanning 5 individual times</t>
  </si>
  <si>
    <t>Accelerates supermarket checkout for multi-pack items (e.g. 10 soap bars)</t>
  </si>
  <si>
    <t>POS input parser supporting syntax 'N*BARCODE' or scanning followed by '+' key increment.</t>
  </si>
  <si>
    <t>UX-0598</t>
  </si>
  <si>
    <t>Live responsive document print preview with paper size switching (A4 vs A5 vs Thermal)</t>
  </si>
  <si>
    <t>Instant visual preview of invoice layout showing exact pagination, logo placement, and fold lines</t>
  </si>
  <si>
    <t>Allows instant toggling between 2-inch thermal slip, 3-inch roll, and A4 tax invoice before printing</t>
  </si>
  <si>
    <t>Client-side SVG/HTML print preview modal with live CSS media query switching.</t>
  </si>
  <si>
    <t>UX-0599</t>
  </si>
  <si>
    <t>Split-screen side-by-side reconciliation interface with drag-and-drop manual matching</t>
  </si>
  <si>
    <t>Left pane shows Purchase Register; right pane shows GSTR-2B government feed; click to match</t>
  </si>
  <si>
    <t>Makes tax reconciliation intuitive and visually satisfying; highlights rate and date differences in red</t>
  </si>
  <si>
    <t>Dual-pane interactive reconciliation workbench with automated match suggestions.</t>
  </si>
  <si>
    <t>UX-0600</t>
  </si>
  <si>
    <t>Contextual in-app chat and comment threads on specific invoices and orders</t>
  </si>
  <si>
    <t>Salesperson / Accountant</t>
  </si>
  <si>
    <t>Internal staff can leave notes ('Customer requested 3 days extra credit') directly on invoice audit panel</t>
  </si>
  <si>
    <t>Eliminates scattered WhatsApp internal chat; preserves institutional context alongside transaction</t>
  </si>
  <si>
    <t>Activity Timeline comment box with user @mentions attached to Document model.</t>
  </si>
  <si>
    <t>C-0601</t>
  </si>
  <si>
    <t>C</t>
  </si>
  <si>
    <t>Statutory Compliance</t>
  </si>
  <si>
    <t>CGST Rule 46 mandatory invoice particulars validation guard</t>
  </si>
  <si>
    <t>Tax Engine / Validator</t>
  </si>
  <si>
    <t>Ensure all 16 statutory particulars required by Rule 46 (GSTIN, HSN, Place of Supply, Date, Serial) are present</t>
  </si>
  <si>
    <t>Hard-blocks saving invoice if any mandatory statutory field is missing; guarantees legal defensibility</t>
  </si>
  <si>
    <t>Rule 46 statutory validator running on SalesInvoice.pre_save; raises descriptive ValidationError.</t>
  </si>
  <si>
    <t>C-0602</t>
  </si>
  <si>
    <t>Section 16(2) CGST Act 4-condition statutory Input Tax Credit entitlement verification</t>
  </si>
  <si>
    <t>Tax Auditor / Accountant</t>
  </si>
  <si>
    <t>Verify all 4 statutory conditions: tax invoice in hand, goods received, tax paid to govt, return filed</t>
  </si>
  <si>
    <t>Tags ITC verification checklist on purchase bill; prevents claiming irregular credit subject to 24% interest</t>
  </si>
  <si>
    <t>4-condition statutory ITC checklist on Purchase Invoice audit verification panel.</t>
  </si>
  <si>
    <t>Tax Engine / Cron</t>
  </si>
  <si>
    <t>Strictly identify purchase invoices approaching the 30th November cutoff for claiming previous year's ITC</t>
  </si>
  <si>
    <t>Alerts user 60 days, 30 days, and 7 days prior to cutoff; flags expired invoices as ITC_TIME_BARRED</t>
  </si>
  <si>
    <t>Automated rule evaluating invoice.date vs FY cutoff date (30th Nov); sets itc_status=TIME_BARRED.</t>
  </si>
  <si>
    <t>Re-checked 2026-10-04: reporting/ims.py computes a Section 16(4) deadline per row, flags rows expiring within 30 days and raises an alert (insights/attention.py). tests/test_b03_ims.py passes. An automated ITC exclusion engine was not found. Earlier 'Mechanism not found' was stale.</t>
  </si>
  <si>
    <t>tests/test_b03_ims.py</t>
  </si>
  <si>
    <t>C-0604</t>
  </si>
  <si>
    <t>Section 17(5) blocked credit automated identification and accounting reclassification</t>
  </si>
  <si>
    <t>Automatically flag purchase expenses on motor vehicles, food &amp; beverages, and gifts as ineligible ITC</t>
  </si>
  <si>
    <t>Transfers tax amount to Expense/Asset cost rather than Input Tax Credit ledger per Section 17(5)</t>
  </si>
  <si>
    <t>Built-in HSN/SAC statutory classification rule tagging blocked credits directly to expense ledgers.</t>
  </si>
  <si>
    <t>C-0605</t>
  </si>
  <si>
    <t>Section 34 CGST Act Credit and Debit Note statutory linking and time-limit validation</t>
  </si>
  <si>
    <t>Ensure every GST credit note references original tax invoice number and date, and is issued before statutory cutoff</t>
  </si>
  <si>
    <t>Validates original invoice link; blocks credit note issuance after 30th November of subsequent FY</t>
  </si>
  <si>
    <t>Section 34 validator enforcing mandatory original_invoice_id and statutory date limit check.</t>
  </si>
  <si>
    <t>C-0606</t>
  </si>
  <si>
    <t>Rule 138 CGST Rules mandatory E-Way Bill distance calculation via postal PIN codes</t>
  </si>
  <si>
    <t>E-Way Bill Engine</t>
  </si>
  <si>
    <t>Accurate calculation of road transit distance between consignor and consignee PIN codes per government logic</t>
  </si>
  <si>
    <t>Fetches official NIC PIN-to-PIN distance; computes statutory E-Way Bill validity days (1 day per 200 km)</t>
  </si>
  <si>
    <t>NIC E-Way Bill Distance API integration with fallback offline PIN code distance matrix.</t>
  </si>
  <si>
    <t>C-0607</t>
  </si>
  <si>
    <t>Section 50 CGST Act delayed tax payment interest calculator (18% &amp; 24% p.a.)</t>
  </si>
  <si>
    <t>Tax Engine / Calculator</t>
  </si>
  <si>
    <t>Calculate statutory interest on delayed tax liability payment from electronic cash ledger</t>
  </si>
  <si>
    <t>Computes interest on net tax liability paid through cash after return due date per Section 50(1)</t>
  </si>
  <si>
    <t>Automated interest computation worksheet for delayed GSTR-3B filings.</t>
  </si>
  <si>
    <t>C-0608</t>
  </si>
  <si>
    <t>Drug License Form 20B / 21B statutory licence number printing on pharmaceutical bills</t>
  </si>
  <si>
    <t>Document Renderer</t>
  </si>
  <si>
    <t>Mandatory display of wholesale/retail Drug License numbers and Pharmacist Registration ID on medicine invoices</t>
  </si>
  <si>
    <t>Renders DL numbers prominently on invoice header per Drugs and Cosmetics Act requirements</t>
  </si>
  <si>
    <t>CompanyStatutoryLicence model integration; auto-embeds Form 20B/21B licence strings.</t>
  </si>
  <si>
    <t>Matched CompanyStatutoryLicence in product code. This is not a functional test.</t>
  </si>
  <si>
    <t>backend/accounts/models.py:CompanyStatutoryLicence</t>
  </si>
  <si>
    <t>backend/tests/test_roadmap_items.py</t>
  </si>
  <si>
    <t>C-0609</t>
  </si>
  <si>
    <t>Schedule H and Schedule X restricted drug sales register and doctor prescription logging</t>
  </si>
  <si>
    <t>Pharmacist / Dispenser</t>
  </si>
  <si>
    <t>Maintain statutory prescription drug register recording prescribing doctor name, patient address, and batch</t>
  </si>
  <si>
    <t>Generates Schedule H/H1 inspection register exportable for state Drug Controller audits</t>
  </si>
  <si>
    <t>Supported via Prescription / Doctor logging modal on Schedule H pharma products.</t>
  </si>
  <si>
    <t>C-0610</t>
  </si>
  <si>
    <t>FSSAI 14-digit food safety licence number validation and mandatory invoice printing</t>
  </si>
  <si>
    <t>Kirana / FMCG Merchant</t>
  </si>
  <si>
    <t>Enforce printing of mandatory 14-digit FSSAI licence number on all food product invoices per FSSAI order</t>
  </si>
  <si>
    <t>Validates 14-digit FSSAI regex; embeds licence on invoice footer; separates food from non-food HSNs</t>
  </si>
  <si>
    <t>CompanyStatutoryLicence FSSAI validator and invoice template footer rendering.</t>
  </si>
  <si>
    <t>C-0611</t>
  </si>
  <si>
    <t>Legal Metrology (Packaged Commodities) Rules mandatory unit price declaration</t>
  </si>
  <si>
    <t>Display both packaged MRP and unit selling price (per gram / per ml / per piece) on retail bills</t>
  </si>
  <si>
    <t>Computes and prints unit price declaration compliant with Legal Metrology Amendment Rules</t>
  </si>
  <si>
    <t>Supported via Unit Sale Price (USP) calculator and POS receipt formatting.</t>
  </si>
  <si>
    <t>C-0612</t>
  </si>
  <si>
    <t>Section 194C TDS withholding on commercial transport and contractor payments</t>
  </si>
  <si>
    <t>Transporter / Contractor</t>
  </si>
  <si>
    <t>Deduct 1% (Individual) or 2% (Company) TDS on freight payments exceeding ₹30,000 single or ₹1,00,000 aggregate</t>
  </si>
  <si>
    <t>Credits TDS Payable (Sec 194C) account; generates Form 26Q quarterly compliance entries</t>
  </si>
  <si>
    <t>Expense entry Section 194C withholding rule with transporter PAN validation.</t>
  </si>
  <si>
    <t>C-0613</t>
  </si>
  <si>
    <t>Section 194J TDS withholding on professional and legal service fees</t>
  </si>
  <si>
    <t>External CA / Legal Counsel</t>
  </si>
  <si>
    <t>Deduct 10% (or 2% technical service) TDS on professional consultancy fees exceeding ₹30,000 threshold</t>
  </si>
  <si>
    <t>Creates TDS payable liability; tracks annual professional fee expenditure per consultant</t>
  </si>
  <si>
    <t>Expense voucher Section 194J deduction rule with Form 16A certificate generation.</t>
  </si>
  <si>
    <t>Tax Engine / Compliance</t>
  </si>
  <si>
    <t>Supplier / Customer</t>
  </si>
  <si>
    <t>Verify whether supplier/customer is a 'Specified Person' subject to 5% higher TDS/TCS deduction</t>
  </si>
  <si>
    <t>Stores Section 206AB verification status on party master; updates deduction rates automatically</t>
  </si>
  <si>
    <t>PAN 206AB compliance check utility supporting bulk party verification.</t>
  </si>
  <si>
    <t>C-0615</t>
  </si>
  <si>
    <t>Rule 42 and Rule 43 CGST Rules proportionate reversal of common input tax credit</t>
  </si>
  <si>
    <t>External CA / Accountant</t>
  </si>
  <si>
    <t>Calculate monthly and annual proportionate ITC reversal for goods used for both taxable and exempt supplies</t>
  </si>
  <si>
    <t>Computes common credit reversal ratio; posts reversal journal voucher to GL and GSTR-3B Table 4(B)(1)</t>
  </si>
  <si>
    <t>Rule 42/43 Common Credit Reversal Worksheet compiler in gst module.</t>
  </si>
  <si>
    <t>C-0616</t>
  </si>
  <si>
    <t>Companies (Accounts) Rules Rule 3(1) and Rule 11(g) audit trail compliance certification</t>
  </si>
  <si>
    <t>Generate cryptographic certification log proving that software edit log feature was enabled at all times</t>
  </si>
  <si>
    <t>Renders MCA Audit Trail Compliance Report detailing database immutability and user change logs</t>
  </si>
  <si>
    <t>MCA Rule 11(g) compliance export module verifying zero disabled audit logging intervals.</t>
  </si>
  <si>
    <t>C-0617</t>
  </si>
  <si>
    <t>Section 128A CGST Act amnesty scheme conditional waiver tracking and reconciliation</t>
  </si>
  <si>
    <t>Track tax demand notices eligible for interest and penalty waiver under Section 128A GST amnesty</t>
  </si>
  <si>
    <t>Prepares statement of disputed tax paid; reconciles waiver eligibility for FY 2017-18 to 2019-20</t>
  </si>
  <si>
    <t>Section 128A amnesty reconciliation tracking report in GST compliance module.</t>
  </si>
  <si>
    <t>C-0618</t>
  </si>
  <si>
    <t>E-Way Bill Part B vehicle update statutory time-limit and multi-vehicle consignment splitting</t>
  </si>
  <si>
    <t>Split large multi-ton consignment into multiple small delivery tempos with individual Part B records</t>
  </si>
  <si>
    <t>Generates multi-vehicle E-Way Bill manifest; tracks individual vehicle delivery completion</t>
  </si>
  <si>
    <t>Supported via NIC Multi-Vehicle E-Way Bill transshipment module.</t>
  </si>
  <si>
    <t>C-0619</t>
  </si>
  <si>
    <t>Section 171 CGST Act Anti-Profiteering tax rate cut price reduction compliance verification</t>
  </si>
  <si>
    <t>Catalog Manager</t>
  </si>
  <si>
    <t>Verify that government GST rate reductions (e.g. 18% to 12%) are commensurate with selling price cuts</t>
  </si>
  <si>
    <t>Calculates price reduction formula; adjusts product master selling prices to pass benefit to consumers</t>
  </si>
  <si>
    <t>Anti-profiteering price adjustment audit worksheet.</t>
  </si>
  <si>
    <t>C-0620</t>
  </si>
  <si>
    <t>Digital Personal Data Protection (DPDP) Act 2023 customer consent logging and withdrawal</t>
  </si>
  <si>
    <t>Data Protection Officer</t>
  </si>
  <si>
    <t>Capture explicit digital consent from customer for WhatsApp marketing messages and data processing</t>
  </si>
  <si>
    <t>Logs consent timestamp and IP address; immediately halts marketing messaging upon consent withdrawal</t>
  </si>
  <si>
    <t>Customer Consent Ledger conforming to Section 6 of Indian DPDP Act 2023.</t>
  </si>
  <si>
    <t>SEC-0621</t>
  </si>
  <si>
    <t>SEC</t>
  </si>
  <si>
    <t>Multi-tenant PostgreSQL Row-Level Security (RLS) tenant isolation enforcement</t>
  </si>
  <si>
    <t>Database Engine / RLS</t>
  </si>
  <si>
    <t>Hardware-enforced tenant isolation guaranteeing Company A can never view or modify Company B data</t>
  </si>
  <si>
    <t>Sets GUC app.company_id per database connection; rejects any query attempting cross-tenant access</t>
  </si>
  <si>
    <t>PostgreSQL native Row-Level Security (RLS) policies on all tenant-scoped tables.</t>
  </si>
  <si>
    <t>Matched ostgreSQL in product code. This is not a functional test.</t>
  </si>
  <si>
    <t>SEC-0622</t>
  </si>
  <si>
    <t>Field-level role masking for sensitive commercial margins and cost prices</t>
  </si>
  <si>
    <t>API Serializer / UI Guard</t>
  </si>
  <si>
    <t>Billing Clerk / Driver</t>
  </si>
  <si>
    <t>Billing clerks and delivery staff cannot inspect supplier purchase costs or gross margin percentages</t>
  </si>
  <si>
    <t>Omits cost_price and margin fields from JSON serializer response based on requesting user role</t>
  </si>
  <si>
    <t>Role-scoped serializer field permissions in Django REST Framework.</t>
  </si>
  <si>
    <t>SEC-0623</t>
  </si>
  <si>
    <t>Granular export permission gate preventing bulk customer list exfiltration</t>
  </si>
  <si>
    <t>Permission Guard</t>
  </si>
  <si>
    <t>Sales Staff / Cashier</t>
  </si>
  <si>
    <t>Prevent disgruntled departing employees from exporting customer phone numbers and sales registers to Excel</t>
  </si>
  <si>
    <t>Blocks export button and HTTP export endpoints for non-admin roles; logs export access attempts</t>
  </si>
  <si>
    <t>Dedicated permission 'can_export_master_data' restricted to Owner and Admin roles.</t>
  </si>
  <si>
    <t>Auth Engine</t>
  </si>
  <si>
    <t>Enforce Google Authenticator / TOTP 2FA for users accessing financial and tax filing screens</t>
  </si>
  <si>
    <t>Requires 6-digit TOTP code during login; prevents account compromise from stolen passwords</t>
  </si>
  <si>
    <t>TOTP 2FA implementation using django-otp library.</t>
  </si>
  <si>
    <t>Re-checked 2026-10-04: TOTP exists (accounts/mfa.py, mfa_service.py, mfa_views.py; tests/test_mfa.py, test_mfa_edge_cases.py pass). It is opt-in per user. tests/test_mfa.py says setup 'enforces nothing yet', so mandatory 2FA for admin roles is not in place. Earlier 'Mechanism not found' was stale.</t>
  </si>
  <si>
    <t>Mechanism tested; enforcement for admin roles not found</t>
  </si>
  <si>
    <t>tests/test_mfa.py; tests/test_mfa_edge_cases.py</t>
  </si>
  <si>
    <t>SEC-0625</t>
  </si>
  <si>
    <t>Instant user deactivation and immediate JWT session revocation</t>
  </si>
  <si>
    <t>Terminated Employee</t>
  </si>
  <si>
    <t>Terminate an employee's access in 1 click; immediately revokes all active mobile and desktop sessions</t>
  </si>
  <si>
    <t>Blacklists active JWT tokens in Redis; drops WebSocket connections; prevents further API calls</t>
  </si>
  <si>
    <t>Redis JWT token revocation blocklist evaluated on every authenticated request.</t>
  </si>
  <si>
    <t>SEC-0626</t>
  </si>
  <si>
    <t>Cross-Site Scripting (XSS) and SQL injection sanitization on document notes and inputs</t>
  </si>
  <si>
    <t>API Request Filter</t>
  </si>
  <si>
    <t>Malicious Actor</t>
  </si>
  <si>
    <t>Sanitize all user-entered notes, customer names, and invoice descriptions to prevent malicious script injection</t>
  </si>
  <si>
    <t>Strips HTML/script tags using Bleach library; parameterizes all raw SQL queries</t>
  </si>
  <si>
    <t>Core framework invariant: parameterized ORM queries and input HTML sanitization.</t>
  </si>
  <si>
    <t>SEC-0627</t>
  </si>
  <si>
    <t>IP address whitelisting for back-office accounting and admin access</t>
  </si>
  <si>
    <t>Security Guard</t>
  </si>
  <si>
    <t>External Hacker</t>
  </si>
  <si>
    <t>Restrict accounting and tax export operations to trusted store/office static IP addresses</t>
  </si>
  <si>
    <t>Rejects login attempts from unknown IP addresses when IP Whitelist policy is enabled for company</t>
  </si>
  <si>
    <t>Company-scoped IP Whitelist middleware evaluating HTTP X-Forwarded-For header.</t>
  </si>
  <si>
    <t>SEC-0628</t>
  </si>
  <si>
    <t>Cryptographic AES-256 encryption for stored bank account numbers and tax credentials</t>
  </si>
  <si>
    <t>Encryption Engine</t>
  </si>
  <si>
    <t>Database Administrator</t>
  </si>
  <si>
    <t>Ensure bank account numbers, IFSC codes, and GST portal passwords are encrypted at rest in database</t>
  </si>
  <si>
    <t>Encrypts fields using AES-256 before writing to disk; decrypts only in-memory upon authorized request</t>
  </si>
  <si>
    <t>Django EncryptedModelFields using AES-256-GCM authenticated encryption.</t>
  </si>
  <si>
    <t>SEC-0629</t>
  </si>
  <si>
    <t>Automated password complexity enforcement and breach dictionary checking</t>
  </si>
  <si>
    <t>Auth Validator</t>
  </si>
  <si>
    <t>Prevent users from setting weak passwords (e.g. '123456', 'admin') that compromise business data</t>
  </si>
  <si>
    <t>Enforces minimum 10 characters, upper/lower case, digits, and checks HaveIBeenPwned breach list</t>
  </si>
  <si>
    <t>Django Auth Password Validators with zxcvbn password strength estimator.</t>
  </si>
  <si>
    <t>SEC-0630</t>
  </si>
  <si>
    <t>HTTP Strict Transport Security (HSTS) and secure cookie flags enforcement</t>
  </si>
  <si>
    <t>Security Middleware</t>
  </si>
  <si>
    <t>External Snooper</t>
  </si>
  <si>
    <t>Enforce HTTPS across all traffic; set Secure, HttpOnly, and SameSite=Lax flags on all session cookies</t>
  </si>
  <si>
    <t>Prevents man-in-the-middle packet sniffing and session cookie theft over unsecured public Wi-Fi</t>
  </si>
  <si>
    <t>Production SSL settings: SECURE_HSTS_SECONDS=31536000, SESSION_COOKIE_SECURE=True.</t>
  </si>
  <si>
    <t>SEC-0631</t>
  </si>
  <si>
    <t>Role-based discount percentage approval cap enforcement</t>
  </si>
  <si>
    <t>Billing Clerk / Manager</t>
  </si>
  <si>
    <t>Clerks can give up to 5% discount, managers up to 15%; higher discounts require owner authorization token</t>
  </si>
  <si>
    <t>Validates discount percentage against role policy; blocks transaction if limit is exceeded without override</t>
  </si>
  <si>
    <t>Role Permission Matrix discount limits enforced at API and UI checkout layers.</t>
  </si>
  <si>
    <t>SEC-0632</t>
  </si>
  <si>
    <t>Automated security patch dependency scanner in CI/CD pipeline</t>
  </si>
  <si>
    <t>DevOps / Security Engine</t>
  </si>
  <si>
    <t>Scan Python pip packages and npm libraries for known CVE security vulnerabilities before production deploy</t>
  </si>
  <si>
    <t>Blocks production build if any dependency contains high or critical CVE security vulnerability</t>
  </si>
  <si>
    <t>GitHub Actions CI/CD pipeline integrating Dependabot, Pip-Audit, and npm audit.</t>
  </si>
  <si>
    <t>SEC-0633</t>
  </si>
  <si>
    <t>API webhook cryptographic HMAC replay attack prevention with timestamp verification</t>
  </si>
  <si>
    <t>Webhook Receiver</t>
  </si>
  <si>
    <t>Reject replayed webhook payloads captured by network attackers</t>
  </si>
  <si>
    <t>Validates webhook timestamp header is within 5 minutes of server time; rejects stale replay requests</t>
  </si>
  <si>
    <t>Webhook replay defense comparing X-Webhook-Timestamp against current server clock.</t>
  </si>
  <si>
    <t>SEC-0634</t>
  </si>
  <si>
    <t>Multi-factor authorization prompt for high-risk system configuration changes</t>
  </si>
  <si>
    <t>Re-prompt user for account password or TOTP before changing bank accounts or deleting company records</t>
  </si>
  <si>
    <t>Requires password confirmation modal (sudo mode) before executing critical administrative actions</t>
  </si>
  <si>
    <t>Sudo mode re-authentication decorator on high-risk settings endpoints.</t>
  </si>
  <si>
    <t>SEC-0635</t>
  </si>
  <si>
    <t>Automated dormant user account lockout after 90 days of inactivity</t>
  </si>
  <si>
    <t>Security Worker</t>
  </si>
  <si>
    <t>Inactive Users</t>
  </si>
  <si>
    <t>Automatically disable user accounts that have not logged in for 90 days to minimize attack surface</t>
  </si>
  <si>
    <t>Sets is_active=False on dormant users; alerts admin; requires admin re-activation to restore access</t>
  </si>
  <si>
    <t>Monthly cron job querying User.last_login &lt; now() - 90 days.</t>
  </si>
  <si>
    <t>Matched last_login in product code. This is not a functional test. Kept P3. The previous workbook had P3. Authored priority was P2.</t>
  </si>
  <si>
    <t>R-0636</t>
  </si>
  <si>
    <t>R</t>
  </si>
  <si>
    <t>Architecture &amp; Platform</t>
  </si>
  <si>
    <t>Sub-200ms POS billing checkout latency under continuous queue load</t>
  </si>
  <si>
    <t>Billing Clerk / Cashier</t>
  </si>
  <si>
    <t>Cashier can complete sales invoices with &lt; 200ms round-trip API response time during peak festival rush</t>
  </si>
  <si>
    <t>Eliminates billing delays; handles 100+ checkouts per minute across store network without lag</t>
  </si>
  <si>
    <t>Optimized checkout transaction benchmarked via Locust load test to &lt; 200ms P95 latency.</t>
  </si>
  <si>
    <t>R-0637</t>
  </si>
  <si>
    <t>10,000+ SKU instant client-side catalog search with zero network round-trip</t>
  </si>
  <si>
    <t>Instant keystroke SKU filtering across 10,000 products powered by client-side browser indexedDB cache</t>
  </si>
  <si>
    <t>Enables instant search results in &lt; 15ms even on low-cost store desktop computers</t>
  </si>
  <si>
    <t>Client-side IndexedDB caching using Dexie.js with memory-mapped SKU index.</t>
  </si>
  <si>
    <t>Matched ndexedDB in product code. This is not a functional test.</t>
  </si>
  <si>
    <t>R-0638</t>
  </si>
  <si>
    <t>Offline-first POS billing queue with automatic background sync upon internet recovery</t>
  </si>
  <si>
    <t>Cashier can continue scanning, billing, and printing thermal receipts when store broadband drops</t>
  </si>
  <si>
    <t>Queues bills in local IndexedDB outbox; auto-synchronizes and reconciles with server when internet returns</t>
  </si>
  <si>
    <t>ServiceWorker offline billing engine with background sync and server idempotency key reconciliation.</t>
  </si>
  <si>
    <t>R-0639</t>
  </si>
  <si>
    <t>Idempotent API design guaranteeing zero duplicate orders on network timeout retries</t>
  </si>
  <si>
    <t>API Engine</t>
  </si>
  <si>
    <t>Prevent accidental duplicate billing if user clicks 'Pay' twice or mobile app retries dropped connection</t>
  </si>
  <si>
    <t>Uses client-generated X-Idempotency-Key; returns existing transaction if duplicate key is received</t>
  </si>
  <si>
    <t>Idempotency middleware caching endpoint response in Redis for 120 seconds.</t>
  </si>
  <si>
    <t>R-0640</t>
  </si>
  <si>
    <t>Paginated cursor-based API streaming for high-volume ledger exports</t>
  </si>
  <si>
    <t>Seamlessly export 100,000+ transaction rows to Excel without causing server Out-Of-Memory (OOM) crash</t>
  </si>
  <si>
    <t>Streams records using server-side database cursors and chunked HTTP response; zero RAM spike</t>
  </si>
  <si>
    <t>PostgreSQL server-side cursor streaming via Django iterator(chunk_size=2000).</t>
  </si>
  <si>
    <t>Matched chunk_size in product code. This is not a functional test.</t>
  </si>
  <si>
    <t>R-0641</t>
  </si>
  <si>
    <t>Database connection pooling and keep-alive configuration for sudden traffic spikes</t>
  </si>
  <si>
    <t>Database Engine</t>
  </si>
  <si>
    <t>Prevent 'Too Many Connections' database errors during Diwali/Akshaya Tritiya peak retail rushes</t>
  </si>
  <si>
    <t>Maintains PgBouncer connection pool with transaction-level reuse; handles 1,000+ concurrent clients</t>
  </si>
  <si>
    <t>PgBouncer transaction-mode connection pooler configured in front of PostgreSQL.</t>
  </si>
  <si>
    <t>R-0642</t>
  </si>
  <si>
    <t>Circuit breaker pattern on third-party government and banking API integrations</t>
  </si>
  <si>
    <t>Integration Middleware</t>
  </si>
  <si>
    <t>Prevent system freezing when government GST portal or NIC E-Way server is down or timing out</t>
  </si>
  <si>
    <t>Trips circuit breaker after 3 consecutive timeouts; fails fast; falls back to offline queue without blocking UI</t>
  </si>
  <si>
    <t>Circuit Breaker pattern implemented via pybreaker on external NIC and bank APIs.</t>
  </si>
  <si>
    <t>R-0643</t>
  </si>
  <si>
    <t>Deadlock detection and automatic transaction retry on concurrent stock updates</t>
  </si>
  <si>
    <t>Warehouse / Billing Staff</t>
  </si>
  <si>
    <t>Automatically retry database transactions when concurrent warehouse transfers encounter PostgreSQL deadlock</t>
  </si>
  <si>
    <t>Catches OperationalError (deadlock detected); re-executes transaction with exponential jitter up to 3 times</t>
  </si>
  <si>
    <t>Database retry decorator catching deadlock exceptions with randomized backoff.</t>
  </si>
  <si>
    <t>R-0644</t>
  </si>
  <si>
    <t>Graceful degradation to read-only mode during scheduled database maintenance</t>
  </si>
  <si>
    <t>Platform Engine</t>
  </si>
  <si>
    <t>Allow users to view customer balances, search prices, and print past invoices while DB migration runs</t>
  </si>
  <si>
    <t>Routes read queries to read-replica; displays friendly maintenance banner explaining write freeze</t>
  </si>
  <si>
    <t>Read-replica routing middleware supporting read-only maintenance mode.</t>
  </si>
  <si>
    <t>R-0645</t>
  </si>
  <si>
    <t>Pre-computed materialization worker for heavy financial dashboards and reports</t>
  </si>
  <si>
    <t>Instant sub-second loading of multi-month executive sales and margin trend reports</t>
  </si>
  <si>
    <t>Pre-aggregates daily metrics into DailyBusinessSummary table; queries pre-computed sums instead of raw rows</t>
  </si>
  <si>
    <t>DailyBusinessSummary rollup model refreshed asynchronously via Celery beat.</t>
  </si>
  <si>
    <t>R-0646</t>
  </si>
  <si>
    <t>Automated health-check probes for Kubernetes / Docker container self-healing</t>
  </si>
  <si>
    <t>DevOps Engine</t>
  </si>
  <si>
    <t>Automatically restart crashed worker processes or web servers within 10 seconds of failure</t>
  </si>
  <si>
    <t>Exposes /health/liveness/ and /health/readiness/ endpoints validating database and Redis connectivity</t>
  </si>
  <si>
    <t>Standard health probe endpoints integrated with Docker Compose / Kubernetes restart policies.</t>
  </si>
  <si>
    <t>R-0647</t>
  </si>
  <si>
    <t>Exponential backoff retry with dead-letter queue (DLQ) for failed background tasks</t>
  </si>
  <si>
    <t>Celery Worker</t>
  </si>
  <si>
    <t>Ensure transient network drops do not drop WhatsApp messages or bank reconciliation jobs</t>
  </si>
  <si>
    <t>Retries failed jobs at 1m, 5m, 15m, 1h; moves persistently failing jobs to Dead-Letter Queue for inspection</t>
  </si>
  <si>
    <t>Celery task retry with exponential backoff and Celery DLQ error alerting.</t>
  </si>
  <si>
    <t>R-0648</t>
  </si>
  <si>
    <t>Optimistic locking with version check on concurrent customer master updates</t>
  </si>
  <si>
    <t>ORM Guard</t>
  </si>
  <si>
    <t>Prevent accidental overwrite when two sales reps edit customer credit limits at the exact same moment</t>
  </si>
  <si>
    <t>Stores version integer on Customer model; checks version matching on save; alerts user if changed</t>
  </si>
  <si>
    <t>Optimistic concurrency control using django-concurrency or version column check.</t>
  </si>
  <si>
    <t>R-0649</t>
  </si>
  <si>
    <t>Chunked multipart file upload engine for massive 50MB customer and product master imports</t>
  </si>
  <si>
    <t>Upload Engine</t>
  </si>
  <si>
    <t>Accountant / Admin</t>
  </si>
  <si>
    <t>Allow reliable upload of massive migration files over flaky 3G/4G broadband connections</t>
  </si>
  <si>
    <t>Splits file into 2MB chunks; resumes interrupted uploads automatically from last successful chunk</t>
  </si>
  <si>
    <t>Tus.io / Chunked upload protocol handling resilient file transfers.</t>
  </si>
  <si>
    <t>R-0650</t>
  </si>
  <si>
    <t>Automated database index bloat detection and periodic REINDEX maintenance</t>
  </si>
  <si>
    <t>Database Maintenance</t>
  </si>
  <si>
    <t>Maintain peak database query speed over years of high-volume invoicing and stock movements</t>
  </si>
  <si>
    <t>Detects bloated B-tree indexes; executes REINDEX CONCURRENTLY during off-peak hours without locking tables</t>
  </si>
  <si>
    <t>Weekly maintenance script analyzing pg_stat_user_indexes and executing concurrent reindexing.</t>
  </si>
  <si>
    <t>I-0651</t>
  </si>
  <si>
    <t>I</t>
  </si>
  <si>
    <t>Hardware Integrations</t>
  </si>
  <si>
    <t>ESC/POS thermal receipt printer direct driver integration via USB, Bluetooth &amp; Network</t>
  </si>
  <si>
    <t>Sub-second direct silent printing on 2-inch and 3-inch thermal printers without opening browser print dialog</t>
  </si>
  <si>
    <t>Sends raw ESC/POS command bytes directly to printer port; automatically triggers cash drawer kick-out</t>
  </si>
  <si>
    <t>WebUSB and WebBluetooth ESC/POS driver supporting Epson, TVS, and thermal receipt printers.</t>
  </si>
  <si>
    <t>I-0652</t>
  </si>
  <si>
    <t>Physical cash drawer automatic kick-out pulse on cash sale completion</t>
  </si>
  <si>
    <t>Physical cash till drawer springs open automatically when cashier selects Cash payment on POS</t>
  </si>
  <si>
    <t>Sends 24V drawer kick pulse via RJ11 printer port; prevents cashier leaving cash drawer unlocked</t>
  </si>
  <si>
    <t>ESC/POS drawer kick command byte sequence embedded in receipt print stream.</t>
  </si>
  <si>
    <t>I-0653</t>
  </si>
  <si>
    <t>Electronic weighing scale RS-232 serial port live weight reading</t>
  </si>
  <si>
    <t>Kirana / Grain Cashier</t>
  </si>
  <si>
    <t>Live weight of loose items (vegetables, grains, flour) automatically captured on POS bill line</t>
  </si>
  <si>
    <t>Reads RS-232 serial stream via Web Serial API; populates line quantity instantly; prevents manual weight fraud</t>
  </si>
  <si>
    <t>Web Serial API integration supporting CAS, Essae, and Avery weighing scales.</t>
  </si>
  <si>
    <t>I-0654</t>
  </si>
  <si>
    <t>Customer-facing Pole Display / Secondary Screen integration</t>
  </si>
  <si>
    <t>Live display of scanned items, prices, and grand total on secondary customer-facing VFD/LCD screen</t>
  </si>
  <si>
    <t>Updates customer display in real time; builds customer trust and reduces counter pricing disputes</t>
  </si>
  <si>
    <t>Serial VFD 2x20 pole display driver and browser secondary display window output.</t>
  </si>
  <si>
    <t>I-0655</t>
  </si>
  <si>
    <t>Barcode scanner HID USB wedge and 2D QR camera barcode reader</t>
  </si>
  <si>
    <t>Billing Clerk / Custodian</t>
  </si>
  <si>
    <t>Supports standard handheld 1D laser barcode guns, 2D QR scanners, and mobile device built-in camera</t>
  </si>
  <si>
    <t>Captures scanned barcode strings with automatic Enter delimiter; opens product in cart instantly</t>
  </si>
  <si>
    <t>Universal HID keyboard wedge listener with 50ms keystroke timing heuristic + HTML5 camera scanner.</t>
  </si>
  <si>
    <t>I-0656</t>
  </si>
  <si>
    <t>ZPL / TSPL thermal barcode label and sticker printer integration</t>
  </si>
  <si>
    <t>Print product price stickers, barcode labels, and shelf tags directly on Zebra / TSC label printers</t>
  </si>
  <si>
    <t>Generates raw ZPL / TSPL command code; prints customizable 50x25mm and 38x25mm barcode stickers</t>
  </si>
  <si>
    <t>ZPL / TSPL label template generator with barcode symbology encoding (Code 128 / EAN-13).</t>
  </si>
  <si>
    <t>I-0657</t>
  </si>
  <si>
    <t>External Integrations</t>
  </si>
  <si>
    <t>WhatsApp Business Cloud API official automated notification service</t>
  </si>
  <si>
    <t>Communication Engine</t>
  </si>
  <si>
    <t>Customer / Supplier</t>
  </si>
  <si>
    <t>Send verified branded WhatsApp messages with PDF invoices, payment receipts, and delivery updates</t>
  </si>
  <si>
    <t>Delivers messages via official Meta Cloud API; tracks delivery and read receipts; supports interactive buttons</t>
  </si>
  <si>
    <t>Meta WhatsApp Cloud API integration with approved HSM utility templates.</t>
  </si>
  <si>
    <t>I-0658</t>
  </si>
  <si>
    <t>BharatPe / Paytm / PhonePe Soundbox instant payment audio alert webhook</t>
  </si>
  <si>
    <t>Cashier / Counter Clerk</t>
  </si>
  <si>
    <t>Physical Soundbox on retail counter announces: 'Payment of ₹450 received successfully on UPI'</t>
  </si>
  <si>
    <t>Receives gateway webhook; triggers soundbox broadcast; marks POS bill PAID without clerk touching screen</t>
  </si>
  <si>
    <t>Soundbox webhook listener syncing UPI settlement with POS active register.</t>
  </si>
  <si>
    <t>I-0659</t>
  </si>
  <si>
    <t>Pine Labs / MSwipe / Mosambee EDC credit card swipe terminal integration</t>
  </si>
  <si>
    <t>Push bill amount directly to card swipe machine; machine captures card and confirms payment back to POS</t>
  </si>
  <si>
    <t>Eliminates manual re-typing of transaction amounts on card machine; prevents billing cashier fraud</t>
  </si>
  <si>
    <t>EDC Cloud POS API integration (Plutus / MSwipe) with automatic charge slip generation.</t>
  </si>
  <si>
    <t>I-0660</t>
  </si>
  <si>
    <t>NIC GST Portal GSP (GST Suvidha Provider) secure direct API connectivity</t>
  </si>
  <si>
    <t>Direct one-click upload of GSTR-1 and download of GSTR-2B JSON without visiting government website</t>
  </si>
  <si>
    <t>Authenticates via GSP secure tunnel using encrypted OTP token; pulls live filing status and ledger balances</t>
  </si>
  <si>
    <t>GSP REST API connector with OAuth2 token caching and payload encryption.</t>
  </si>
  <si>
    <t>I-0661</t>
  </si>
  <si>
    <t>National Informatics Centre (NIC) Invoice Registration Portal (IRP) live E-Invoice connector</t>
  </si>
  <si>
    <t>Billing Clerk / Tax Engine</t>
  </si>
  <si>
    <t>Instant sub-second generation of legal B2B IRN and Signed QR code on invoice completion</t>
  </si>
  <si>
    <t>Direct API handshake with ClearTax / Masters India / Cygnet IRP endpoints; auto-embeds IRN on PDF</t>
  </si>
  <si>
    <t>IRP REST client with token lifecycle management and automatic JSON payload signing.</t>
  </si>
  <si>
    <t>I-0662</t>
  </si>
  <si>
    <t>ICICI Bank / HDFC Bank Open Banking corporate API integration</t>
  </si>
  <si>
    <t>Execute vendor NEFT/RTGS payments directly from software without logging into bank netbanking portal</t>
  </si>
  <si>
    <t>Initiates 2-factor OTP bank transfer; retrieves live statement lines and real-time bank UTR numbers</t>
  </si>
  <si>
    <t>Corporate Connected Banking API integration with encrypted payload and corporate maker-checker auth.</t>
  </si>
  <si>
    <t>I-0663</t>
  </si>
  <si>
    <t>Government GSTIN Verification API auto-fill on customer and supplier creation</t>
  </si>
  <si>
    <t>Type 15-character GSTIN; software automatically fetches legal name, trade name, address, and status</t>
  </si>
  <si>
    <t>Eliminates manual typing errors; validates that counterparty GSTIN is active and not cancelled</t>
  </si>
  <si>
    <t>GSTIN Public Search API integration auto-populating master entity forms.</t>
  </si>
  <si>
    <t>I-0664</t>
  </si>
  <si>
    <t>Google Maps &amp; OpenStreetMap Directions API route optimization</t>
  </si>
  <si>
    <t>Calculate optimal delivery stop sequence and live turn-by-turn navigation distance for delivery tempos</t>
  </si>
  <si>
    <t>Optimizes route order; computes accurate delivery transit ETA; minimizes diesel consumption</t>
  </si>
  <si>
    <t>Google Maps Directions API integration with waypoint sequencing optimization.</t>
  </si>
  <si>
    <t>I-0665</t>
  </si>
  <si>
    <t>DLT-approved transactional SMS gateway integration (MSG91 / Fast2SMS)</t>
  </si>
  <si>
    <t>Deliver statutory invoice summary SMS with DLT-registered Header ID and approved 14-digit entity ID</t>
  </si>
  <si>
    <t>Dispatches SMS to feature phones and customers without WhatsApp; satisfies TRAI DLT regulations</t>
  </si>
  <si>
    <t>TRAI DLT compliant SMS gateway connector with approved template ID matching.</t>
  </si>
  <si>
    <t>SaaS-0666</t>
  </si>
  <si>
    <t>SaaS</t>
  </si>
  <si>
    <t>Platform / SaaS Admin</t>
  </si>
  <si>
    <t>Self-service tenant signup and automated workspace database provisioning</t>
  </si>
  <si>
    <t>New Customer (Merchant)</t>
  </si>
  <si>
    <t>New merchant signs up on website, verifies phone via OTP, and gets active company workspace in 60s</t>
  </si>
  <si>
    <t>Creates Company, initial CompanyUser (OWNER), default Chart of Accounts, and primary Warehouse</t>
  </si>
  <si>
    <t>Automated tenant onboarding pipeline provisioning company defaults and seed accounts.</t>
  </si>
  <si>
    <t>Adjacent</t>
  </si>
  <si>
    <t>SaaS-0667</t>
  </si>
  <si>
    <t>Multi-company workspace switcher for serial entrepreneurs and accounting firms</t>
  </si>
  <si>
    <t>Business Owner / CA</t>
  </si>
  <si>
    <t>Single login credentials allow switching between multiple registered companies or client accounts</t>
  </si>
  <si>
    <t>Toggles active company context in session header; preserves strict data isolation between companies</t>
  </si>
  <si>
    <t>Tenant context switching middleware evaluating active company_id header with permission check.</t>
  </si>
  <si>
    <t>SaaS-0668</t>
  </si>
  <si>
    <t>Subscription tier and plan quota enforcement engine (Invoices/month, SKUs, Users)</t>
  </si>
  <si>
    <t>Subscription Engine</t>
  </si>
  <si>
    <t>Enforce commercial plan limits (Free: 100 bills/mo, Pro: 2,000 bills/mo, Enterprise: Unlimited)</t>
  </si>
  <si>
    <t>Checks monthly invoice count before invoice completion; prompts 1-click plan upgrade if limit reached</t>
  </si>
  <si>
    <t>Subscription Plan Quota validator checking tenant usage against active tier limits.</t>
  </si>
  <si>
    <t>SaaS-0669</t>
  </si>
  <si>
    <t>Automated recurring subscription billing and GST tax invoice generation via Razorpay Subscriptions</t>
  </si>
  <si>
    <t>Automated monthly/annual recurring credit card / UPI auto-debit for software subscription fee</t>
  </si>
  <si>
    <t>Charges customer; activates subscription period; automatically emails GST-compliant B2B SaaS tax invoice</t>
  </si>
  <si>
    <t>Razorpay / Stripe recurring subscription webhook integration with automated invoice delivery.</t>
  </si>
  <si>
    <t>SaaS-0670</t>
  </si>
  <si>
    <t>Grace period management and automated read-only downgrade on subscription payment failure</t>
  </si>
  <si>
    <t>When credit card payment fails, provide 7-day grace period before shifting account to read-only mode</t>
  </si>
  <si>
    <t>Dispatches payment retry alerts; locks write actions after 7 days while preserving access to past records</t>
  </si>
  <si>
    <t>Automated dunning workflow transitioning tenant status (ACTIVE -&gt; PAST_DUE -&gt; READ_ONLY).</t>
  </si>
  <si>
    <t>SaaS-0671</t>
  </si>
  <si>
    <t>Role license seating and per-user add-on billing management</t>
  </si>
  <si>
    <t>Manage number of authorized staff login seats (e.g. 3 POS cashiers, 1 accountant, 1 manager)</t>
  </si>
  <si>
    <t>Tracks allocated user seats; calculates prorated monthly add-on fee for additional employee logins</t>
  </si>
  <si>
    <t>User seat quota manager in /settings/billing/ with prorated billing adjustments.</t>
  </si>
  <si>
    <t>SaaS-0672</t>
  </si>
  <si>
    <t>Self-service full tenant data export package upon subscription cancellation</t>
  </si>
  <si>
    <t>Departing customer can download complete backup of all products, customers, invoices, and ledgers in 1 zip</t>
  </si>
  <si>
    <t>Generates clean ZIP archive containing all historical Excel books and document PDFs; zero vendor lock-in</t>
  </si>
  <si>
    <t>Export All Data tool in /settings/privacy/ generating comprehensive tenant data archive.</t>
  </si>
  <si>
    <t>SaaS-0673</t>
  </si>
  <si>
    <t>Tenant account soft-deletion and 30-day recovery holding period</t>
  </si>
  <si>
    <t>When merchant deletes account, data is placed in 30-day quarantine before permanent physical purge</t>
  </si>
  <si>
    <t>Allows remorseful customer to reactivate account within 30 days; executes permanent purge after 30 days</t>
  </si>
  <si>
    <t>Soft-delete lifecycle with 30-day cron expiration job executing hard cascade cleanup.</t>
  </si>
  <si>
    <t>SaaS-0674</t>
  </si>
  <si>
    <t>White-label branding and custom domain mapping for enterprise distributors</t>
  </si>
  <si>
    <t>Enterprise Admin</t>
  </si>
  <si>
    <t>Large distributor can point software to their custom domain (e.g. portal.sharmadistributors.com)</t>
  </si>
  <si>
    <t>Customizes portal logo, theme colors, login screen, and outbound customer notification emails</t>
  </si>
  <si>
    <t>Multi-tenant custom domain CNAME routing with automated Let's Encrypt SSL provisioning.</t>
  </si>
  <si>
    <t>SaaS-0675</t>
  </si>
  <si>
    <t>SaaS SuperAdmin analytics dashboard (MRR, Churn, DAU, Feature Adoption)</t>
  </si>
  <si>
    <t>SaaS Product Manager</t>
  </si>
  <si>
    <t>Executive Team</t>
  </si>
  <si>
    <t>Track software business metrics: Monthly Recurring Revenue (MRR), churn rate, daily active users (DAU)</t>
  </si>
  <si>
    <t>Aggregates anonymized product analytics; identifies popular features and at-risk churn accounts</t>
  </si>
  <si>
    <t>Internal SaaS SuperAdmin telemetry dashboard tracking Stripe/Razorpay MRR and user activity.</t>
  </si>
  <si>
    <t>SaaS-0676</t>
  </si>
  <si>
    <t>Feature flag management and progressive rollout engine across tenant cohorts</t>
  </si>
  <si>
    <t>Product Manager / Engineer</t>
  </si>
  <si>
    <t>Beta Merchants</t>
  </si>
  <si>
    <t>Safely test new capabilities (e.g. new E-Invoice engine) with 5% of pilot merchants before full release</t>
  </si>
  <si>
    <t>Enables or disables feature toggles based on tenant ID, plan tier, or opt-in beta program</t>
  </si>
  <si>
    <t>Feature Flag engine (Waffle/LaunchDarkly pattern) evaluating tenant eligibility in real time.</t>
  </si>
  <si>
    <t>SaaS-0677</t>
  </si>
  <si>
    <t>14-day full-featured free trial with automated milestone onboarding nudges</t>
  </si>
  <si>
    <t>Customer Success Team</t>
  </si>
  <si>
    <t>Merchant experiences full software capabilities for 14 days without entering credit card</t>
  </si>
  <si>
    <t>Sends automated helpful tips on Day 1 (Add Product), Day 3 (First Bill), Day 7 (GST Report)</t>
  </si>
  <si>
    <t>Automated trial lifecycle manager with milestone-based email/WhatsApp onboarding triggers.</t>
  </si>
  <si>
    <t>SaaS-0678</t>
  </si>
  <si>
    <t>Automated tenant data isolation audit and penetration testing verification</t>
  </si>
  <si>
    <t>SaaS Architect</t>
  </si>
  <si>
    <t>Continuous automated testing proving that no tenant can ever execute SQL query accessing another tenant's row</t>
  </si>
  <si>
    <t>Executes synthetic multi-tenant test suite simulating cross-tenant query injection attacks</t>
  </si>
  <si>
    <t>Automated pytest multi-tenant isolation verification test suite running in CI/CD pipeline.</t>
  </si>
  <si>
    <t>SaaS-0679</t>
  </si>
  <si>
    <t>SuperAdmin 'Impersonate Tenant' support capability with mandatory audit logging</t>
  </si>
  <si>
    <t>Troubled Merchant</t>
  </si>
  <si>
    <t>Customer support agent can view merchant's screen to troubleshoot bug with merchant's explicit permission</t>
  </si>
  <si>
    <t>Generates temporary 15-minute support token; logs every staff action; displays bright 'Support Mode' banner</t>
  </si>
  <si>
    <t>Sudo impersonation engine requiring time-limited authorization and permanent audit logging.</t>
  </si>
  <si>
    <t>SaaS-0680</t>
  </si>
  <si>
    <t>In-app customer feedback, feature request, and bug reporting widget</t>
  </si>
  <si>
    <t>Product Team</t>
  </si>
  <si>
    <t>Users can report issues, attach screenshots, or upvote feature requests directly from app footer</t>
  </si>
  <si>
    <t>Routes user feedback directly to product management backlog; updates user when feature ships</t>
  </si>
  <si>
    <t>In-app feedback modal capturing console logs, screen resolution, and user screenshot.</t>
  </si>
  <si>
    <t>D-0681</t>
  </si>
  <si>
    <t>D</t>
  </si>
  <si>
    <t>AI &amp; Differentiation</t>
  </si>
  <si>
    <t>Deterministic LLM bill extraction: photo of crumpled paper bill → structured draft invoice</t>
  </si>
  <si>
    <t>Merchant snaps photo of physical vendor bill using mobile camera; AI extracts line items with 99% accuracy</t>
  </si>
  <si>
    <t>Parses vendor GSTIN, invoice number, items, HSN, rates, and taxes; pre-fills purchase invoice in 5 seconds</t>
  </si>
  <si>
    <t>Differentiator vs Tally/Vyapar: Vision LLM + OCR parsing pipeline with deterministic schema validation.</t>
  </si>
  <si>
    <t>D-0682</t>
  </si>
  <si>
    <t>WhatsApp Conversational Khata Bot: customer sends photo of handwritten order list → creates sales order</t>
  </si>
  <si>
    <t>Sales Staff / Merchant</t>
  </si>
  <si>
    <t>Retail Customer</t>
  </si>
  <si>
    <t>Customer sends WhatsApp image of handwritten grocery/hardware slip; AI converts into formal digital order</t>
  </si>
  <si>
    <t>Transcribes handwritten items; matches against store product catalog; pre-populates cart for merchant confirmation</t>
  </si>
  <si>
    <t>Differentiator vs market: Multi-modal handwritten text recognition mapped to tenant SKU catalog.</t>
  </si>
  <si>
    <t>Kept P3. The previous workbook had P3. Authored priority was P1.</t>
  </si>
  <si>
    <t>D-0683</t>
  </si>
  <si>
    <t>Inventory Autopilot: predictive run-rate stockout forecaster with automated vendor PO dispatch</t>
  </si>
  <si>
    <t>AI predicts exact date product will run out of stock based on seasonal velocity and lead time</t>
  </si>
  <si>
    <t>Calculates recommended replenishment order; automatically drafts PO to best-priced supplier before stockout</t>
  </si>
  <si>
    <t>Differentiator vs static min/max: dynamic velocity-adjusted reorder forecasting algorithm.</t>
  </si>
  <si>
    <t>D-0684</t>
  </si>
  <si>
    <t>Predictive cash-flow simulation engine modeling actual debtor payment delay probabilities</t>
  </si>
  <si>
    <t>Simulates 30-day cash balance incorporating probabilistic model of which specific debtors pay late</t>
  </si>
  <si>
    <t>Warns owner: 'You will face a ₹2.4 Lakh cash deficit on the 22nd due to GST payment; chase Sharma today'</t>
  </si>
  <si>
    <t>Differentiator vs standard reports: Monte Carlo cashflow simulation factoring historical debtor delay.</t>
  </si>
  <si>
    <t>D-0685</t>
  </si>
  <si>
    <t>Natural language voice and chat conversational assistant ('Ask BizBoard')</t>
  </si>
  <si>
    <t>Owner speaks in Hindi/English: 'Show me my top 5 debtors' or 'How much did we sell yesterday?' and gets instant chart</t>
  </si>
  <si>
    <t>Converts natural language speech into read-only SQL queries; displays formatted card and voice response</t>
  </si>
  <si>
    <t>Differentiator vs legacy ERP: Voice-enabled natural language analytics agent on mobile app.</t>
  </si>
  <si>
    <t>D-0686</t>
  </si>
  <si>
    <t>Route economics and delivery tempo profitability optimization engine</t>
  </si>
  <si>
    <t>Evaluate profitability of individual delivery runs factoring fuel, driver wage, and order margins</t>
  </si>
  <si>
    <t>Flags delivery routes losing money; recommends minimum order value threshold for remote delivery areas</t>
  </si>
  <si>
    <t>Differentiator vs trade competitors: integrated logistics route costing and margin analysis.</t>
  </si>
  <si>
    <t>D-0687</t>
  </si>
  <si>
    <t>Collections Autopilot: intelligent behavioral debtor chasing with personalized tone modulation</t>
  </si>
  <si>
    <t>Collections Engine</t>
  </si>
  <si>
    <t>Debtor Customer</t>
  </si>
  <si>
    <t>AI customizes payment reminder tone based on customer relationship (polite for VIPs, firm for chronic defaulters)</t>
  </si>
  <si>
    <t>Increases collection recovery by 28%; preserves customer goodwill while ensuring timely debt recovery</t>
  </si>
  <si>
    <t>Differentiator vs spam reminders: dynamic debtor segmentation and personalized payment cadence.</t>
  </si>
  <si>
    <t>D-0688</t>
  </si>
  <si>
    <t>Supplier Intelligence Scorecard: automated rating on delivery punctuality, price inflation &amp; GST defects</t>
  </si>
  <si>
    <t>Automatically scores suppliers on a 100-point scale factoring fill rate, price spikes, and missing 2B invoices</t>
  </si>
  <si>
    <t>Empowers purchase manager during price negotiations; directs orders to highest-performing vendors</t>
  </si>
  <si>
    <t>Differentiator vs manual spreadsheets: multi-dimensional algorithmic vendor health scorecard.</t>
  </si>
  <si>
    <t>D-0689</t>
  </si>
  <si>
    <t>Dynamic customer-specific volume slab pricing and margin protection guard</t>
  </si>
  <si>
    <t>Automatically applies tier pricing (e.g. 1-10 pcs: ₹100, 11-50 pcs: ₹92, 51+ pcs: ₹85) while enforcing min margin</t>
  </si>
  <si>
    <t>Ensures volume discounts never drop below mandatory 6% floor margin; alerts manager if breached</t>
  </si>
  <si>
    <t>Differentiator vs competitors: tiered pricing matrix with automated floor margin protection.</t>
  </si>
  <si>
    <t>D-0690</t>
  </si>
  <si>
    <t>Automated GSTR-2B 'Smart Reconciler' with fuzzy name and fractional rounding matching</t>
  </si>
  <si>
    <t>GST Guard Engine</t>
  </si>
  <si>
    <t>Fuzzy matching engine that links purchase bills with GSTR-2B even when invoice numbers have dashes or spaces</t>
  </si>
  <si>
    <t>Reduces manual reconciliation time by 85%; eliminates false mismatch exceptions caused by slash/dash typos</t>
  </si>
  <si>
    <t>Differentiator vs Tally: Levenshtein distance fuzzy invoice matcher with date tolerance.</t>
  </si>
  <si>
    <t>D-0691</t>
  </si>
  <si>
    <t>Interactive customer self-service invoice magic link with 1-click UPI payment and dispute raise</t>
  </si>
  <si>
    <t>Customer / Buyer</t>
  </si>
  <si>
    <t>Merchant</t>
  </si>
  <si>
    <t>Customer clicks link on WhatsApp; views beautiful interactive invoice; pays via UPI or raises query on 1 item</t>
  </si>
  <si>
    <t>Accelerates payment collection; provides self-service PDF download without calling store clerk</t>
  </si>
  <si>
    <t>Differentiator vs static PDF: interactive mobile web invoice portal with embedded UPI deep-link.</t>
  </si>
  <si>
    <t>D-0692</t>
  </si>
  <si>
    <t>AI Dead-Stock Liquidation Assistant: identifies stagnant inventory and suggests promotional bundles</t>
  </si>
  <si>
    <t>Merchandising AI</t>
  </si>
  <si>
    <t>Identifies items holding zero movement for 90 days; recommends pairing with fast-moving items in combo offer</t>
  </si>
  <si>
    <t>Converts trapped dead-stock capital back into liquid cash; prevents inventory obsolescence write-offs</t>
  </si>
  <si>
    <t>Differentiator vs basic aging reports: prescriptive promotional bundling recommendations.</t>
  </si>
  <si>
    <t>D-0693</t>
  </si>
  <si>
    <t>One-click complete Tally historical backup migration wizard</t>
  </si>
  <si>
    <t>Migration Engine</t>
  </si>
  <si>
    <t>Accountant / Owner</t>
  </si>
  <si>
    <t>Upload Tally XML backup; system automatically migrates all ledger masters, opening balances, and 3-year history</t>
  </si>
  <si>
    <t>Eliminates manual re-entry barrier; customer can switch from Tally to BizBoard in under 15 minutes</t>
  </si>
  <si>
    <t>Differentiator vs new software: automated Tally XML parser importing 100% of historical chart of accounts.</t>
  </si>
  <si>
    <t>D-0694</t>
  </si>
  <si>
    <t>Crowdsourced verified HSN code and statutory GST rate auto-suggester</t>
  </si>
  <si>
    <t>Tax Recommendation Engine</t>
  </si>
  <si>
    <t>Type item name (e.g. 'Basmati Rice 5kg'); AI immediately suggests correct HSN code (100630) and GST rate (5%)</t>
  </si>
  <si>
    <t>Eliminates tax classification errors for new grocery and hardware SKUs; protects against tax penalties</t>
  </si>
  <si>
    <t>Differentiator vs competitors: AI HSN classification model trained on 500,000+ Indian retail SKUs.</t>
  </si>
  <si>
    <t>D-0695</t>
  </si>
  <si>
    <t>Daily evening 8 PM WhatsApp executive voice and summary briefing to owner</t>
  </si>
  <si>
    <t>Executive Briefing Bot</t>
  </si>
  <si>
    <t>At 8 PM, owner receives automated WhatsApp voice message and infographic: 'Today's sales: ₹1.8L, Cash: ₹65k, Margin: 14%'</t>
  </si>
  <si>
    <t>Delivers complete business peace of mind without requiring owner to sit in front of computer</t>
  </si>
  <si>
    <t>Differentiator vs dashboard-only: push WhatsApp executive audio briefing and infographic summary.</t>
  </si>
  <si>
    <t>Restored to authored P1. The previous workbook had P3 after a keyword rebalance.</t>
  </si>
  <si>
    <t>Matched WhatsApp in product code. This is not a functional test. Restored to authored P1. The previous workbook had P3 after a keyword rebalance.</t>
  </si>
  <si>
    <t>D-0696</t>
  </si>
  <si>
    <t>Proof of Delivery (POD) photo tamper detection and GPS geo-fence verification</t>
  </si>
  <si>
    <t>Logistics Security Engine</t>
  </si>
  <si>
    <t>Verify that delivery driver captured POD photo physically at customer's shop using geo-fence comparison</t>
  </si>
  <si>
    <t>Prevents driver delivery fraud and false delivery confirmations; eliminates customer delivery disputes</t>
  </si>
  <si>
    <t>Differentiator vs basic delivery apps: GPS geo-fence comparison against customer master coordinates.</t>
  </si>
  <si>
    <t>D-0697</t>
  </si>
  <si>
    <t>B2B Customer Portal with live customized price lists, ledger statements &amp; re-ordering</t>
  </si>
  <si>
    <t>B2B Retailer Client</t>
  </si>
  <si>
    <t>Wholesale Distributor</t>
  </si>
  <si>
    <t>Wholesale customer logs into self-service portal; sees their specific contracted pricing; places reorders 24/7</t>
  </si>
  <si>
    <t>Increases wholesale order volume by 22%; eliminates late-night phone calls and WhatsApp order confusion</t>
  </si>
  <si>
    <t>Differentiator vs legacy software: self-service B2B ordering portal synchronized with central ERP.</t>
  </si>
  <si>
    <t>D-0698</t>
  </si>
  <si>
    <t>Multi-branch inter-company automated balancing ledger (Mirror Transaction Engine)</t>
  </si>
  <si>
    <t>Inter-Company Engine</t>
  </si>
  <si>
    <t>When Branch A transfers goods to Branch B, system automatically generates matching Inward &amp; Outward vouchers</t>
  </si>
  <si>
    <t>Eliminates manual duplicate voucher entry; ensures inter-branch reconciliation balances to zero</t>
  </si>
  <si>
    <t>Differentiator vs single-store tools: automated double-entry mirror voucher generation.</t>
  </si>
  <si>
    <t>D-0699</t>
  </si>
  <si>
    <t>Customer Lifetime Value (CLV) and churn prediction scoring</t>
  </si>
  <si>
    <t>CRM Analytics Engine</t>
  </si>
  <si>
    <t>Predicts which regular commercial customers are drifting to competitors based on order interval gaps</t>
  </si>
  <si>
    <t>Alerts sales manager to visit customer before account is completely lost to competition</t>
  </si>
  <si>
    <t>Differentiator vs basic CRM: predictive recency-frequency-monetary (RFM) churn modeling.</t>
  </si>
  <si>
    <t>D-0700</t>
  </si>
  <si>
    <t>AI automated WhatsApp payment negotiation bot with settlement discount authorization</t>
  </si>
  <si>
    <t>Autonomous Payment Bot</t>
  </si>
  <si>
    <t>Overdue Debtor</t>
  </si>
  <si>
    <t>AI chats with overdue customer on WhatsApp; offers authorized 2% cash discount if settled within 2 hours</t>
  </si>
  <si>
    <t>Recovers stalled debt autonomously without demanding manual debt collection phone calls from owner</t>
  </si>
  <si>
    <t>Differentiator: goal-directed negotiation agent operating within owner-configured discount rules.</t>
  </si>
  <si>
    <t>X-0701</t>
  </si>
  <si>
    <t>Concurrent checkout conflict: two cashiers bill last remaining stock unit simultaneously</t>
  </si>
  <si>
    <t>Two Cashiers / Inventory Engine</t>
  </si>
  <si>
    <t>First cashier's checkout succeeds; second cashier receives immediate graceful notification: 'Item out of stock'</t>
  </si>
  <si>
    <t>Prevents negative inventory; prompts second cashier with alternative brand suggestions without crashing cart</t>
  </si>
  <si>
    <t>Enforced via SELECT FOR UPDATE row-level lock on StockBalance; handles concurrent race condition cleanly.</t>
  </si>
  <si>
    <t>X-0702</t>
  </si>
  <si>
    <t>Credit limit breach during bulk invoice: owner sends temporary one-time authorization token</t>
  </si>
  <si>
    <t>Billing Clerk / Business Owner</t>
  </si>
  <si>
    <t>Customer cart exceeds credit limit; clerk sends 1-click WhatsApp approval request to owner; owner taps 'Approve'</t>
  </si>
  <si>
    <t>Authorizes specific invoice without permanently raising customer credit limit; checkout unfreezes immediately</t>
  </si>
  <si>
    <t>Temporary credit limit override token with 15-minute expiration and audit trail stamp.</t>
  </si>
  <si>
    <t>X-0703</t>
  </si>
  <si>
    <t>Customer overpays invoice via UPI: excess balance routed to unallocated customer advance account</t>
  </si>
  <si>
    <t>Customer owes ₹4,800 but transfers ₹5,000; invoice is marked PAID and ₹200 credited to Customer Advance account</t>
  </si>
  <si>
    <t>Maintains exact accounting balance; automatically applies ₹200 credit against next purchase</t>
  </si>
  <si>
    <t>PaymentAllocation splits receipt: ₹4,800 applied to invoice, ₹200 created as Advance credit voucher.</t>
  </si>
  <si>
    <t>X-0704</t>
  </si>
  <si>
    <t>Purchase bill rate higher than PO contracted rate: system flags price variance for manager approval</t>
  </si>
  <si>
    <t>Supplier bills ₹110/unit against approved PO contracted rate of ₹100/unit; variance flagged before AP posting</t>
  </si>
  <si>
    <t>Holds invoice payment; prompts Purchase Manager to approve price escalation or generate supplier debit note</t>
  </si>
  <si>
    <t>Automated 3-way matching price tolerance check (0% default tolerance).</t>
  </si>
  <si>
    <t>X-0705</t>
  </si>
  <si>
    <t>Customer returns serialized product after 6 months: system verifies serial warranty and original purchase bill</t>
  </si>
  <si>
    <t>Customer Service / Store Clerk</t>
  </si>
  <si>
    <t>Customer brings back broken appliance; scanning serial number brings up original purchase date and warranty terms</t>
  </si>
  <si>
    <t>Verifies warranty is still valid; checks serial history; initiates warranty replacement workflow</t>
  </si>
  <si>
    <t>SerialNumber lifecycle search linking serial to original SalesInvoice and warranty expiry.</t>
  </si>
  <si>
    <t>backend/inventory/models.py:SerialNumber; backend/sales/models.py:SalesInvoice</t>
  </si>
  <si>
    <t>X-0706</t>
  </si>
  <si>
    <t>Inter-godown transfer vehicle breakdown: goods transshipped to new tempo with E-Way Bill Part B update</t>
  </si>
  <si>
    <t>Delivery Drivers / Transporter</t>
  </si>
  <si>
    <t>Delivery tempo carrying ₹10L goods breaks down on highway; goods moved to backup tempo; Part B updated</t>
  </si>
  <si>
    <t>Updates active E-Way Bill vehicle number; preserves transit insurance coverage; prevents police impoundment</t>
  </si>
  <si>
    <t>E-Way Bill Part B vehicle update workflow recording transshipment reason and new vehicle RC.</t>
  </si>
  <si>
    <t>X-0707</t>
  </si>
  <si>
    <t>Supplier cancelled GSTIN after issuing invoice: system blocks ITC and alerts purchase team</t>
  </si>
  <si>
    <t>Supplier was active when bill was dated but cancelled GSTIN before filing GSTR-1; system flags tax risk</t>
  </si>
  <si>
    <t>Quarantines Input Tax Credit; holds pending payments to supplier until tax filing status is resolved</t>
  </si>
  <si>
    <t>GSTIN status verification engine cross-checking active registration status before ITC claim.</t>
  </si>
  <si>
    <t>X-0708</t>
  </si>
  <si>
    <t>Network disconnects during thermal receipt printing: reprint last completed receipt with 1 key</t>
  </si>
  <si>
    <t>Thermal printer runs out of paper roll midway through printing; cashier inserts new roll and presses 'Reprint'</t>
  </si>
  <si>
    <t>Reprints exact duplicate receipt stamped with 'DUPLICATE COPY' header without re-creating bill or stock deduction</t>
  </si>
  <si>
    <t>POS 'Reprint Last Bill' action (Ctrl+P) pulling cached print payload without database mutation.</t>
  </si>
  <si>
    <t>X-0709</t>
  </si>
  <si>
    <t>Customer disputed line item on ₹1,00,000 bill: customer pays ₹90,000; ₹10,000 routed to dispute resolution</t>
  </si>
  <si>
    <t>Credit Controller / Cashier</t>
  </si>
  <si>
    <t>Customer disputes ₹10,000 freight charge; pays ₹90,000 undisputed goods cost immediately</t>
  </si>
  <si>
    <t>Allocates ₹90,000 payment; isolates ₹10,000 dispute; keeps customer account active without credit lock</t>
  </si>
  <si>
    <t>Line-item dispute flag allowing partial settlement without triggering credit limit block.</t>
  </si>
  <si>
    <t>X-0710</t>
  </si>
  <si>
    <t>Batch stock expired overnight: system automatically removes expired batch from active billing terminals</t>
  </si>
  <si>
    <t>Inventory Watchdog / Cron</t>
  </si>
  <si>
    <t>Counter Cashier / Pharmacist</t>
  </si>
  <si>
    <t>Batch reaches 1st of month expiration; morning billing terminals instantly hide batch from checkout selection</t>
  </si>
  <si>
    <t>Prevents cashier accidentally selling expired medicine/food; creates quarantine movement to Expired Bin</t>
  </si>
  <si>
    <t>Midnight cron worker scanning batch_lot.expiry_date &lt; today; sets is_active=False on expired lots.</t>
  </si>
  <si>
    <t>Matched expiry_date in product code. This is not a functional test.</t>
  </si>
  <si>
    <t>X-0711</t>
  </si>
  <si>
    <t>Accountant discovers missing purchase invoice in locked accounting period: authorized supplementary entry</t>
  </si>
  <si>
    <t>In-house Accountant / Business Owner</t>
  </si>
  <si>
    <t>Vendor invoice from previously closed month arrives late; accountant records supplementary voucher in current open period</t>
  </si>
  <si>
    <t>Preserves locked period integrity; records invoice in current period with statutory explanation note</t>
  </si>
  <si>
    <t>AccountingPeriod governance allowing current-period entry of prior-period expenses with audit note.</t>
  </si>
  <si>
    <t>Matched AccountingPeriod in product code. This is not a functional test.</t>
  </si>
  <si>
    <t>X-0712</t>
  </si>
  <si>
    <t>Employee accidentally deletes 20 line items in bulk order: 1-click draft revision rollback</t>
  </si>
  <si>
    <t>Accidental bulk deletion in large 100-line distributor order; clerk restores previous draft version in 1 click</t>
  </si>
  <si>
    <t>Restores previous version snapshot from audit log; recovers all line quantities, prices, and discounts</t>
  </si>
  <si>
    <t>Document draft version history allowing rollback to any previous auto-save snapshot.</t>
  </si>
  <si>
    <t>X-0713</t>
  </si>
  <si>
    <t>Customer cheque dishonoured after 5 days: automated accounting reversal and bank fee debit</t>
  </si>
  <si>
    <t>₹50,000 cheque bounces; system reverses invoice payment, marks bill UNPAID, debits ₹350 bank bounce fee to customer</t>
  </si>
  <si>
    <t>Generates formal legal cheque bounce notice under Section 138 of Negotiable Instruments Act; alerts owner</t>
  </si>
  <si>
    <t>Automated Cheque Dishonour workflow with Section 138 statutory notice letter generator.</t>
  </si>
  <si>
    <t>X-0714</t>
  </si>
  <si>
    <t>Doorstep customer cash refusal: driver captures reason and routes goods back to godown receiving</t>
  </si>
  <si>
    <t>Delivery Driver / Cashier</t>
  </si>
  <si>
    <t>Customer / Godown Custodian</t>
  </si>
  <si>
    <t>Retailer refuses to accept shipment due to cash shortage; driver tags 'CUSTOMER_CASH_SHORTAGE' on mobile PWA</t>
  </si>
  <si>
    <t>Updates delivery status to FAILED_ATTEMPT; keeps goods in driver transit custody until evening godown return</t>
  </si>
  <si>
    <t>Delivery failure exception workflow with driver custody transfer back to warehouse.</t>
  </si>
  <si>
    <t>X-0715</t>
  </si>
  <si>
    <t>Customer changes legal name and registered address: system updates master while preserving historical invoices</t>
  </si>
  <si>
    <t>Admin / Sales Staff</t>
  </si>
  <si>
    <t>Customer moves to new premises and updates GSTIN; new invoices use new address, historical invoices preserve old address</t>
  </si>
  <si>
    <t>Updates Customer master; historical completed SalesInvoice headers retain immutable address snapshot</t>
  </si>
  <si>
    <t>Core data invariant: invoice headers store immutable address snapshot; master updates do not corrupt historical bills.</t>
  </si>
  <si>
    <t>GOS-0716</t>
  </si>
  <si>
    <t>G-OS</t>
  </si>
  <si>
    <t>Growth Lead / Head of Marketing</t>
  </si>
  <si>
    <t>Multi-Channel Marketing Campaign Setup &amp; Budget Allocation</t>
  </si>
  <si>
    <t>Growth Lead / Marketing Manager</t>
  </si>
  <si>
    <t>Business Owner, Finance Manager</t>
  </si>
  <si>
    <t>Enables configuration of multi-channel marketing campaigns (WhatsApp broadcasts, trade exhibitions, Google Ads, print collateral) with discrete allocated budgets, target revenue goals, and expected outcomes.</t>
  </si>
  <si>
    <t>Establishes financial tracking boundaries; links directly with incoming CRM leads, sales opportunities, and completed sales invoices to calculate real-time campaign customer acquisition cost (CAC).</t>
  </si>
  <si>
    <t>Implements Campaign model from web/src/api/growth.ts (createCampaign, updateCampaign) with budget, targetRevenue, and status transitions.</t>
  </si>
  <si>
    <t>Matched createCampaign in product code. This is not a functional test.</t>
  </si>
  <si>
    <t>GOS-CAM</t>
  </si>
  <si>
    <t>Growth campaigns</t>
  </si>
  <si>
    <t>Growth</t>
  </si>
  <si>
    <t>GOS-0717</t>
  </si>
  <si>
    <t>Multi-Stage Campaign Funnel Tracking &amp; Stage Conversion</t>
  </si>
  <si>
    <t>Visualizes real-time conversion velocity across pipeline stages: Inbound Leads -&gt; Open Opportunities -&gt; Won Opportunities with step-level drop-off rates.</t>
  </si>
  <si>
    <t>Identifies marketing channel drop-off points; triggers automatic notifications to sales leadership when lead-to-opportunity conversion drops below target thresholds.</t>
  </si>
  <si>
    <t>Implements getCampaignFunnel API from web/src/api/growth.ts aggregating total leads, opportunities, won opportunities, and funnel stage variance.</t>
  </si>
  <si>
    <t>Matched getCampaignFunnel in product code. This is not a functional test.</t>
  </si>
  <si>
    <t>GOS-0718</t>
  </si>
  <si>
    <t>Marketing Campaign ROI Ratio &amp; Revenue Variance Calculation</t>
  </si>
  <si>
    <t>Finance Manager, Business Owner</t>
  </si>
  <si>
    <t>Computes real-time Return on Investment (ROI) ratio: ((Realized Invoiced Revenue - Budget) / Budget) and calculates positive/negative revenue variance against initial targets.</t>
  </si>
  <si>
    <t>Feeds marketing spend effectiveness into executive P&amp;L dashboard; automatically flags underperforming campaigns where customer acquisition cost exceeds 30-day gross margin.</t>
  </si>
  <si>
    <t>Directly calculates roiRatio and variance metrics defined in Funnel type in web/src/api/growth.ts.</t>
  </si>
  <si>
    <t>Matched roiRatio in product code. This is not a functional test.</t>
  </si>
  <si>
    <t>GOS-0719</t>
  </si>
  <si>
    <t>Parent-Child Campaign Hierarchy &amp; Multi-Territory Rollup</t>
  </si>
  <si>
    <t>Regional Branch Manager</t>
  </si>
  <si>
    <t>Supports structuring overarching marketing umbrellas (e.g., Annual Diwali Expo) with nested sub-campaigns (e.g., North Zone WhatsApp Promo, South Zone Catalog Distribution) with automatic budget and revenue rollups.</t>
  </si>
  <si>
    <t>Aggregates multi-territory campaign performance up to parent campaign totals without manual Excel reconciliation or double-counting.</t>
  </si>
  <si>
    <t>Implements parent-child campaign relationships with rollup object support from web/src/api/growth.ts.</t>
  </si>
  <si>
    <t>GOS-0720</t>
  </si>
  <si>
    <t>Inside Sales / Web Lead Specialist</t>
  </si>
  <si>
    <t>Public Embeddable Web-to-Lead Ingestion Form</t>
  </si>
  <si>
    <t>Provides a lightweight, mobile-responsive public lead capture form (/public/lead-form/) with honeypot spam filtering, CORS validation, and instant CRM lead creation.</t>
  </si>
  <si>
    <t>Auto-ingests inbound trade inquiries from corporate websites, landing pages, and digital QR codes directly into CRM Leads table within 500ms.</t>
  </si>
  <si>
    <t>Implements LeadFormPage.tsx and web-to-lead API endpoint with rate limiting and automated sanitization.</t>
  </si>
  <si>
    <t>Matched LeadFormPage in product code. This is not a functional test.</t>
  </si>
  <si>
    <t>GOS-LEAD</t>
  </si>
  <si>
    <t>Growth leads</t>
  </si>
  <si>
    <t>Inbound Lead Exact-Match Deduplication &amp; Conflict Prevention</t>
  </si>
  <si>
    <t>Enforces strict deduplication on incoming leads using normalized E.164 phone numbers and lowercase email addresses against existing CRM leads and active Customer masters.</t>
  </si>
  <si>
    <t>Prevents multi-rep outreach collisions; appends new inquiry details and campaign tags to existing lead activity timeline rather than creating duplicate customer profiles.</t>
  </si>
  <si>
    <t>Enforces database uniqueness constraints and deduplication matching rules across backend/crm/ models.</t>
  </si>
  <si>
    <t>GOS-0722</t>
  </si>
  <si>
    <t>Sales Manager / Team Lead</t>
  </si>
  <si>
    <t>Automated Round-Robin Lead Assignment &amp; 2-Hour SLA Timer</t>
  </si>
  <si>
    <t>Automatically routes newly qualified inbound leads to on-duty sales representatives via round-robin allocation, initiating a 2-hour first-touch SLA countdown timer.</t>
  </si>
  <si>
    <t>Sends instant WhatsApp/push alerts to assigned sales reps; triggers managerial escalation if a high-intent lead remains uncontacted past the 2-hour window.</t>
  </si>
  <si>
    <t>Implements automated assignment logic and response time tracking defined in CRM service layer.</t>
  </si>
  <si>
    <t>GOS-0723</t>
  </si>
  <si>
    <t>Qualified Lead-to-Customer &amp; Opportunity One-Click Conversion</t>
  </si>
  <si>
    <t>Finance Manager, Store Cashier</t>
  </si>
  <si>
    <t>Converts a qualified lead into an official Customer master record while simultaneously creating a linked Opportunity with complete carry-forward of activity notes and interaction logs.</t>
  </si>
  <si>
    <t>Seamlessly bridges top-of-funnel marketing inquiry into bottom-of-funnel accounting and billing workflows without manual data re-entry.</t>
  </si>
  <si>
    <t>Implements convert_lead() service method and UI transition workflow verified in test_sprint_b_crm_convert.py.</t>
  </si>
  <si>
    <t>Matched convert_lead in product code. This is not a functional test.</t>
  </si>
  <si>
    <t>backend/crm/services.py:convert_lead</t>
  </si>
  <si>
    <t>backend/tests/test_os_vision_plan.py; backend/tests/test_referral_self_referral_guard.py; backend/tests/test_sprint_b_crm_convert.py</t>
  </si>
  <si>
    <t>GOS-0724</t>
  </si>
  <si>
    <t>Line-Item Product Requirement Specification on Opportunities</t>
  </si>
  <si>
    <t>Allows sales representatives to attach specific product SKUs, estimated purchase quantities, and target unit prices directly to an Opportunity pipeline record.</t>
  </si>
  <si>
    <t>Enables inventory demand forecasting and procurement pre-planning before sales orders are officially confirmed; feeds realistic bottom-up value into sales pipeline.</t>
  </si>
  <si>
    <t>Implements OpportunityLine CRUD APIs (createOpportunityLine, deleteOpportunityLine) from web/src/api/growth.ts.</t>
  </si>
  <si>
    <t>Matched createOpportunityLine in product code. This is not a functional test.</t>
  </si>
  <si>
    <t>GOS-OPP</t>
  </si>
  <si>
    <t>Growth opportunities</t>
  </si>
  <si>
    <t>backend/crm/models.py:OpportunityLine</t>
  </si>
  <si>
    <t>backend/tests/tenancy/test_route_isolation_matrix.py</t>
  </si>
  <si>
    <t>GOS-0725</t>
  </si>
  <si>
    <t>Sales Manager / Head of Sales</t>
  </si>
  <si>
    <t>Weighted Opportunity Pipeline Stage Forecasting</t>
  </si>
  <si>
    <t>Computes monthly weighted pipeline revenue forecasts by multiplying deal amount by stage probability (e.g., Prospecting 10%, Demo 40%, Negotiation 80%, Won 100%).</t>
  </si>
  <si>
    <t>Feeds forward-looking revenue projections into cashflow and procurement models; surfaces expected closing dates across next 30/60/90 days.</t>
  </si>
  <si>
    <t>Implements getForecast() API in web/src/api/growth.ts returning monthly forecast buckets and unscheduled deal volumes.</t>
  </si>
  <si>
    <t>Matched getForecast in product code. This is not a functional test.</t>
  </si>
  <si>
    <t>GOS-0726</t>
  </si>
  <si>
    <t>Finance Manager / Sales Ops</t>
  </si>
  <si>
    <t>Won-Versus-Invoiced Revenue Gap &amp; Leakage Analytics</t>
  </si>
  <si>
    <t>Sales Manager, Business Owner</t>
  </si>
  <si>
    <t>Performs automated monthly reconciliation between won opportunity contract values and actual posted Sales Invoices (getWonVersusInvoices).</t>
  </si>
  <si>
    <t>Detects revenue leakage, delayed billing, and unfulfilled customer commitments; alerts sales and finance leadership when invoiced revenue lags won pipeline by &gt; 15%.</t>
  </si>
  <si>
    <t>Implements getWonVersusInvoices endpoint comparing closed-won CRM commitments against realized ledger revenue.</t>
  </si>
  <si>
    <t>Matched getWonVersusInvoices in product code. This is not a functional test.</t>
  </si>
  <si>
    <t>GOS-0727</t>
  </si>
  <si>
    <t>Competitor Win/Loss Analytics &amp; Opportunity Loss Tracking</t>
  </si>
  <si>
    <t>Product Strategist, Business Owner</t>
  </si>
  <si>
    <t>Captures primary winning competitor, loss reason category (pricing, feature gap, delivery delay, credit terms), and qualitative debrief notes upon marking an opportunity as LOST.</t>
  </si>
  <si>
    <t>Populates executive competitive loss matrix; identifies systematic product or pricing weaknesses causing lost revenue to specific market rivals.</t>
  </si>
  <si>
    <t>Supported by competitor and stage fields in OpportunityRow schema in web/src/api/growth.ts.</t>
  </si>
  <si>
    <t>Matched OpportunityRow in product code. This is not a functional test.</t>
  </si>
  <si>
    <t>GOS-0728</t>
  </si>
  <si>
    <t>Customer Success / Growth Lead</t>
  </si>
  <si>
    <t>Advocate Unique Referral Code Generation &amp; Link Sharing</t>
  </si>
  <si>
    <t>Generates unique alphanumeric referral tracking codes and one-click WhatsApp sharing links for existing satisfied customers, brand advocates, or sales affiliates.</t>
  </si>
  <si>
    <t>Tracks inbound viral loops; automatically attributes new lead registrations and customer signups to the originating advocate.</t>
  </si>
  <si>
    <t>Implements issueReferralCode API in web/src/api/growth.ts supporting customer and employee advocate types.</t>
  </si>
  <si>
    <t>Matched issueReferralCode in product code. This is not a functional test.</t>
  </si>
  <si>
    <t>GOS-REF</t>
  </si>
  <si>
    <t>Growth referrals</t>
  </si>
  <si>
    <t>GOS-0729</t>
  </si>
  <si>
    <t>System / Automated Growth Engine</t>
  </si>
  <si>
    <t>Automated Referral Reward Generation on First Invoice Payment</t>
  </si>
  <si>
    <t>Finance Manager</t>
  </si>
  <si>
    <t>Monitors sales payment receipts; upon successful full settlement of a referred customer's first completed sales invoice, automatically instantiates a pending ReferralReward record.</t>
  </si>
  <si>
    <t>Enforces fraud prevention rules (minimum invoice value, non-cancelled order, distinct GSTIN/PAN); notifies the referrer via WhatsApp that their reward is pending audit.</t>
  </si>
  <si>
    <t>Event-driven hook connecting payments.Receipt allocation with ReferralReward table.</t>
  </si>
  <si>
    <t>Matched ReferralReward in product code. This is not a functional test.</t>
  </si>
  <si>
    <t>backend/crm/models.py:ReferralReward</t>
  </si>
  <si>
    <t>backend/tests/test_fmea_mitigations.py; backend/tests/test_growth_os.py; backend/tests/test_llm_path_to_ten.py</t>
  </si>
  <si>
    <t>GOS-0730</t>
  </si>
  <si>
    <t>Finance Manager / Accounts Lead</t>
  </si>
  <si>
    <t>Referral Reward Audit, Approval &amp; Idempotent Payout Workflow</t>
  </si>
  <si>
    <t>Provides a multi-step review workflow to inspect, approve, reject with audit reason, or execute payout for earned referral commissions (decideReferralReward).</t>
  </si>
  <si>
    <t>Guarantees financial integrity via idempotency headers; creates linked expense vouchers or customer ledger credit notes upon payout execution.</t>
  </si>
  <si>
    <t>Implements decideReferralReward with idempotencyHeaders from web/src/api/growth.ts.</t>
  </si>
  <si>
    <t>Matched decideReferralReward in product code. This is not a functional test.</t>
  </si>
  <si>
    <t>GOS-0731</t>
  </si>
  <si>
    <t>Growth Lead / Head of Sales</t>
  </si>
  <si>
    <t>Customer Advocate Referral Performance Leaderboard</t>
  </si>
  <si>
    <t>Maintains an updated public/internal leaderboard ranking top customer referrers and sales partners by count of successful conversions and total approved reward payout value.</t>
  </si>
  <si>
    <t>Gamifies customer advocacy; identifies high-value brand champions suitable for VIP partner discounts and co-marketing case studies.</t>
  </si>
  <si>
    <t>Implements referralLeaderboard API endpoint from web/src/api/growth.ts.</t>
  </si>
  <si>
    <t>Matched referralLeaderboard in product code. This is not a functional test.</t>
  </si>
  <si>
    <t>GOS-0732</t>
  </si>
  <si>
    <t>Service Manager / Operations Lead</t>
  </si>
  <si>
    <t>Annual Maintenance Contract (AMC) Master Registration</t>
  </si>
  <si>
    <t>Creates legally binding annual maintenance contracts, warranty agreements, and preventative service plans specifying covered equipment serial numbers, SLA response times, and billing schedules.</t>
  </si>
  <si>
    <t>Locks in predictable recurring revenue; links covered products with customer profiles and establishes automated service visit obligations.</t>
  </si>
  <si>
    <t>Implements ContractRow and createContract API from web/src/api/growth.ts.</t>
  </si>
  <si>
    <t>Matched createContract in product code. This is not a functional test.</t>
  </si>
  <si>
    <t>GOS-AMC</t>
  </si>
  <si>
    <t>Service contracts</t>
  </si>
  <si>
    <t>contracts</t>
  </si>
  <si>
    <t>GOS-0733</t>
  </si>
  <si>
    <t>Automated Periodic Maintenance Service Visit Generation</t>
  </si>
  <si>
    <t>Field Service Technician</t>
  </si>
  <si>
    <t>Automatically calculates and schedules recurring preventative maintenance visits (e.g., quarterly AC filter cleaning, bi-monthly machinery servicing) across the contract active period (createContractSchedule).</t>
  </si>
  <si>
    <t>Populates field service technician dispatch calendars; eliminates missed contractual maintenance visits and customer SLA penalties.</t>
  </si>
  <si>
    <t>Implements createContractSchedule with idempotency header enforcement from web/src/api/growth.ts.</t>
  </si>
  <si>
    <t>Matched createContractSchedule in product code. This is not a functional test.</t>
  </si>
  <si>
    <t>GOS-0734</t>
  </si>
  <si>
    <t>On-Site Service Event Logging &amp; Field Inspection Timeline</t>
  </si>
  <si>
    <t>Enables mobile field technicians to log completed preventative service visits, record meter readings, attach parts replacement details, and capture digital customer sign-offs.</t>
  </si>
  <si>
    <t>Builds an immutable contract timeline (contractTimeline); links service work directly to related customer support tickets for warranty compliance.</t>
  </si>
  <si>
    <t>Implements logServiceEvent, listServiceEvents, and contractTimeline APIs from web/src/api/growth.ts.</t>
  </si>
  <si>
    <t>Matched listServiceEvents in product code. This is not a functional test.</t>
  </si>
  <si>
    <t>GOS-0735</t>
  </si>
  <si>
    <t>Service Manager / Inside Sales</t>
  </si>
  <si>
    <t>Expiring Contract Automated Multi-Tier Renewal Alert Cadence</t>
  </si>
  <si>
    <t>Dispatches automated renewal reminder notifications at 30, 15, and 7 days prior to contract expiration with pre-generated renewal quotation links via WhatsApp and email.</t>
  </si>
  <si>
    <t>Prevents service lapses, increases recurring contract renewal rates by &gt; 25%, and prevents customer churn to competing third-party service providers.</t>
  </si>
  <si>
    <t>Enforces renewalReminderDays field on ContractRow with automated cron digest triggers.</t>
  </si>
  <si>
    <t>Matched renewalReminderDays in product code. This is not a functional test.</t>
  </si>
  <si>
    <t>GOS-0736</t>
  </si>
  <si>
    <t>Customer Support Specialist</t>
  </si>
  <si>
    <t>Customer Defect Complaint Ingestion with Photographic Evidence</t>
  </si>
  <si>
    <t>Quality Control Inspector</t>
  </si>
  <si>
    <t>Logs formal customer complaints (/complaints/) categorizing issues (damaged transit, wrong SKU, expired batch, billing error) linked to specific sales invoices with photo proof attachments.</t>
  </si>
  <si>
    <t>Establishes formal complaint investigation chain; quarantines disputed balances from aggressive dunning reminders pending quality inspection.</t>
  </si>
  <si>
    <t>Implements ComplaintRow CRUD and uploadComplaintAttachment from web/src/api/growth.ts.</t>
  </si>
  <si>
    <t>Matched uploadComplaintAttachment in product code. This is not a functional test.</t>
  </si>
  <si>
    <t>GOS-CARE</t>
  </si>
  <si>
    <t>Customer care</t>
  </si>
  <si>
    <t>complaints</t>
  </si>
  <si>
    <t>Customer Support / Accounts Lead</t>
  </si>
  <si>
    <t>One-Click Complaint-to-Credit Note / Return / Replacement</t>
  </si>
  <si>
    <t>Store Cashier, Warehouse Lead</t>
  </si>
  <si>
    <t>Directly transitions an inspected, approved customer complaint into downstream operational documents in one click: GST Credit Note, Sales Return, or Zero-Value Replacement Order (complaintDocument).</t>
  </si>
  <si>
    <t>Eliminates duplicate manual data entry across support and billing desks; automatically updates inventory ledgers and customer khata balances simultaneously.</t>
  </si>
  <si>
    <t>Implements complaintDocument API endpoint supporting 'create-return', 'create-credit-note', and 'create-replacement-order'.</t>
  </si>
  <si>
    <t>Matched complaintDocument in product code. This is not a functional test.</t>
  </si>
  <si>
    <t>GOS-0738</t>
  </si>
  <si>
    <t>Warehouse Lead / Receiving Clerk</t>
  </si>
  <si>
    <t>Supplier Quality Defect Ingestion &amp; Inward Quarantine Tagging</t>
  </si>
  <si>
    <t>Logs vendor defect complaints (/complaints/supplier/) upon discovering broken, short-supplied, or substandard merchandise during Goods Receipt Note (GRN) verification.</t>
  </si>
  <si>
    <t>Places rejected stock into physical and digital quarantine bins; prevents damaged supplier inventory from being inadvertently picked or sold to customers.</t>
  </si>
  <si>
    <t>Implements SupplierComplaintRow, transitionSupplierComplaint, and uploadSupplierComplaintAttachment from web/src/api/growth.ts.</t>
  </si>
  <si>
    <t>Matched uploadSupplierComplaintAttachment in product code. This is not a functional test.</t>
  </si>
  <si>
    <t>Purchase Manager / Finance Lead</t>
  </si>
  <si>
    <t>One-Click Supplier Complaint-to-Purchase Debit Note Engine</t>
  </si>
  <si>
    <t>Accountant, Vendor</t>
  </si>
  <si>
    <t>Converts approved supplier quality rejections directly into official GST Purchase Debit Notes (createSupplierDebitNote) with itemized tax reversals.</t>
  </si>
  <si>
    <t>Instantly debits the vendor's ledger balance; guarantees recovery of funds or credit for defective inward materials before paying upcoming supplier invoices.</t>
  </si>
  <si>
    <t>Implements createSupplierDebitNote API from web/src/api/growth.ts with idempotency protection.</t>
  </si>
  <si>
    <t>Matched createSupplierDebitNote in product code. This is not a functional test.</t>
  </si>
  <si>
    <t>GOS-0740</t>
  </si>
  <si>
    <t>Business Owner / Managing Director</t>
  </si>
  <si>
    <t>Customer 360 Living Dossier &amp; Automated Growth Hints Aggregation</t>
  </si>
  <si>
    <t>Sales Manager, Finance Manager</t>
  </si>
  <si>
    <t>Synthesizes a single-pane executive dossier (Customer360Page.tsx) aggregating lifetime purchase value, average collection lag, open receivables, active AMCs, and complaint history.</t>
  </si>
  <si>
    <t>Surfaces automated Growth Hints (customer revenue concentration &gt; 40%, SKU margin compression &lt; 5%, excessive manual discounts, dead-stock capital liberation) to protect margins and drive expansion.</t>
  </si>
  <si>
    <t>Integrates Customer360Page.tsx with build_growth_hints() service layer from backend/insights/services.py.</t>
  </si>
  <si>
    <t>Matched build_growth_hints in product code. This is not a functional test.</t>
  </si>
  <si>
    <t>GOS-360</t>
  </si>
  <si>
    <t>Customer intelligence</t>
  </si>
  <si>
    <t>insights</t>
  </si>
  <si>
    <t>backend/insights/services.py:build_growth_hints</t>
  </si>
  <si>
    <t>F-0741</t>
  </si>
  <si>
    <t>F</t>
  </si>
  <si>
    <t>Register an employee with a unique code and contracted salary</t>
  </si>
  <si>
    <t>Business owner</t>
  </si>
  <si>
    <t>The month can be paid only for people who are on the employee list</t>
  </si>
  <si>
    <t>Employee is stored once per company code and starts ACTIVE</t>
  </si>
  <si>
    <t>uniq_employee_code_per_company on Employee. Payroll is a preview, not a full HRMS.</t>
  </si>
  <si>
    <t>Matched uniq_employee_code_per_company in product code. This is not a functional test.</t>
  </si>
  <si>
    <t>PAY</t>
  </si>
  <si>
    <t>Pay the month</t>
  </si>
  <si>
    <t>payroll</t>
  </si>
  <si>
    <t>Vertical extension</t>
  </si>
  <si>
    <t>F-0742</t>
  </si>
  <si>
    <t>Set PF applicability, basic, DA, and the PF wage ceiling</t>
  </si>
  <si>
    <t>PF is calculated on basic plus DA when those amounts are set</t>
  </si>
  <si>
    <t>When basic and DA are both zero, PF falls back to the contracted gross</t>
  </si>
  <si>
    <t>compute_statutory uses Employee.basic, Employee.da, and pf_wage_ceiling.</t>
  </si>
  <si>
    <t>Matched compute_statutory in product code. This is not a functional test.</t>
  </si>
  <si>
    <t>backend/payroll/services.py:compute_statutory</t>
  </si>
  <si>
    <t>backend/tests/test_sprint_b_payroll_statutory.py; backend/tests/test_wave22_f0_gst_accounting_payroll.py; backend/tests/test_ws24_payroll_math.py</t>
  </si>
  <si>
    <t>F-0743</t>
  </si>
  <si>
    <t>Set ESI, professional-tax state, and the section 192 tax regime</t>
  </si>
  <si>
    <t>ESI, PT, and TDS on the slip follow the employee flags</t>
  </si>
  <si>
    <t>New regime can project TDS from contracted gross. Old regime without a flat rate does not apply Chapter VI-A</t>
  </si>
  <si>
    <t>Employee.tax_regime and compute_statutory. Chapter VI-A declarations are not collected.</t>
  </si>
  <si>
    <t>F-0744</t>
  </si>
  <si>
    <t>Open one draft pay run for a calendar month</t>
  </si>
  <si>
    <t>A month has a single pay run to complete</t>
  </si>
  <si>
    <t>PayRun.period is YYYY-MM and is unique per company</t>
  </si>
  <si>
    <t>uniq_payrun_period_per_company. PayRun status starts DRAFT.</t>
  </si>
  <si>
    <t>Matched uniq_payrun_period_per_company in product code. This is not a functional test.</t>
  </si>
  <si>
    <t>backend/payroll/models.py:PayRun</t>
  </si>
  <si>
    <t>backend/tests/test_fmea_mitigations.py; backend/tests/test_sprint2_purchases_payments.py; backend/tests/test_sprint4_erp_rls.py</t>
  </si>
  <si>
    <t>F-0745</t>
  </si>
  <si>
    <t>Enter paid days so a partial month prorates gross and statutory dues</t>
  </si>
  <si>
    <t>Attendance keeper</t>
  </si>
  <si>
    <t>Loss of pay reduces the slip instead of paying a full month</t>
  </si>
  <si>
    <t>paid_days below the calendar days in the month prorates gross, PF, ESI, and PT</t>
  </si>
  <si>
    <t>PaySlip.paid_days. complete_pay_run starts from contracted salary so proration is applied once.</t>
  </si>
  <si>
    <t>Matched complete_pay_run in product code. This is not a functional test.</t>
  </si>
  <si>
    <t>backend/payroll/models.py:PaySlip; backend/payroll/services.py:complete_pay_run</t>
  </si>
  <si>
    <t>backend/tests/test_sprint4_erp_rls.py; backend/tests/test_ws24_payroll_math.py; backend/tests/personas/test_pj_payroll_and_advances.py</t>
  </si>
  <si>
    <t>F-0746</t>
  </si>
  <si>
    <t>Complete the pay run and keep one payslip per active employee</t>
  </si>
  <si>
    <t>The month is closed for pay and can be reopened only through the pay-run actions</t>
  </si>
  <si>
    <t>complete_pay_run writes PaySlip rows and can pay from cash. A completed run cannot be completed again</t>
  </si>
  <si>
    <t>complete_pay_run. There are no bonus, arrear, advance, or one-off deduction lines on a slip.</t>
  </si>
  <si>
    <t>F-0747</t>
  </si>
  <si>
    <t>Read the employer PF split and employer ESI on the payslip</t>
  </si>
  <si>
    <t>The employer can see EPS, EPF, admin, and EDLI besides the employee deduction</t>
  </si>
  <si>
    <t>PaySlip stores pf_employer_eps, pf_employer_epf, pf_admin_charges, edli_charges, and esi_employer</t>
  </si>
  <si>
    <t>pf_employer_eps, pf_employer_epf, pf_admin_charges, and edli_charges are on PaySlip. This is not an EPFO return file.</t>
  </si>
  <si>
    <t>Matched pf_admin_charges in product code. This is not a functional test.</t>
  </si>
  <si>
    <t>backend/payroll/models.py:PaySlip</t>
  </si>
  <si>
    <t>F-0748</t>
  </si>
  <si>
    <t>Workshop Supervisor</t>
  </si>
  <si>
    <t>Open a job card for a customer complaint</t>
  </si>
  <si>
    <t>The workshop has a numbered job before any parts are issued</t>
  </si>
  <si>
    <t>JobCard starts DRAFT and stores the complaint text</t>
  </si>
  <si>
    <t>uniq_jobcard_number_per_company on JobCard.</t>
  </si>
  <si>
    <t>Matched uniq_jobcard_number_per_company in product code. This is not a functional test.</t>
  </si>
  <si>
    <t>JOB</t>
  </si>
  <si>
    <t>Run a workshop job</t>
  </si>
  <si>
    <t>workshop</t>
  </si>
  <si>
    <t>Service</t>
  </si>
  <si>
    <t>F-0749</t>
  </si>
  <si>
    <t>Assign a technician and mark the job in progress</t>
  </si>
  <si>
    <t>Technician</t>
  </si>
  <si>
    <t>Someone owns the job while it is open</t>
  </si>
  <si>
    <t>JobCard.technician points at a company user. Status can move to IN_PROGRESS</t>
  </si>
  <si>
    <t>JobCard.technician is a CompanyUser. Status can be IN_PROGRESS.</t>
  </si>
  <si>
    <t>backend/workshop/models.py:JobCard; backend/accounts/models.py:CompanyUser</t>
  </si>
  <si>
    <t>F-0750</t>
  </si>
  <si>
    <t>Add part lines and labour lines, including a serial when the part is tracked</t>
  </si>
  <si>
    <t>The invoice can be built from the job instead of typed again</t>
  </si>
  <si>
    <t>JobCardLine kind is PART or LABOUR and can reference a serial</t>
  </si>
  <si>
    <t>JobCardLine. A job with no lines cannot be invoiced.</t>
  </si>
  <si>
    <t>Matched JobCardLine in product code. This is not a functional test.</t>
  </si>
  <si>
    <t>backend/workshop/models.py:JobCardLine</t>
  </si>
  <si>
    <t>backend/tests/test_concurrency_races.py; backend/tests/test_llm_path_to_ten.py</t>
  </si>
  <si>
    <t>F-0751</t>
  </si>
  <si>
    <t>Convert the job card into a sales invoice</t>
  </si>
  <si>
    <t>Parts and labour become a GST invoice linked back to the job</t>
  </si>
  <si>
    <t>convert_to_invoice creates a draft SalesInvoice and sets the job to INVOICED</t>
  </si>
  <si>
    <t>convert_to_invoice in backend/workshop/services.py. A second call returns the same invoice.</t>
  </si>
  <si>
    <t>Matched convert_to_invoice in product code. This is not a functional test.</t>
  </si>
  <si>
    <t>backend/sales/models.py:SalesInvoice; backend/workshop/services.py:convert_to_invoice</t>
  </si>
  <si>
    <t>F-0752</t>
  </si>
  <si>
    <t>Cancel a job card that will not be billed</t>
  </si>
  <si>
    <t>Abandoned jobs stay out of the invoice list</t>
  </si>
  <si>
    <t>JobCard status CANCELLED. An invoiced job is not invoiced again</t>
  </si>
  <si>
    <t>JobCard.Status.CANCELLED. convert_to_invoice only accepts DRAFT or IN_PROGRESS.</t>
  </si>
  <si>
    <t>backend/workshop/models.py:JobCard; backend/workshop/services.py:convert_to_invoice</t>
  </si>
  <si>
    <t>F-0753</t>
  </si>
  <si>
    <t>Activate a bill of materials before a work order can be released</t>
  </si>
  <si>
    <t>Inventory manager</t>
  </si>
  <si>
    <t>Release is refused while the BOM is still a draft</t>
  </si>
  <si>
    <t>Bom.status must be ACTIVE. More than one ACTIVE BOM per finished good is allowed</t>
  </si>
  <si>
    <t>release_work_order checks Bom status. The work order stores the BOM it was created from.</t>
  </si>
  <si>
    <t>Matched release_work_order in product code. This is not a functional test.</t>
  </si>
  <si>
    <t>backend/manufacturing/services.py:release_work_order</t>
  </si>
  <si>
    <t>backend/tests/test_partial_closures.py; backend/tests/test_pr6_period_gl.py; backend/tests/test_sprint_a_accounting_p1.py</t>
  </si>
  <si>
    <t>Create a draft work order and snapshot the component quantities</t>
  </si>
  <si>
    <t>A later BOM edit does not change a work order that already exists</t>
  </si>
  <si>
    <t>WorkOrder starts DRAFT. Component lines are copied when the order is created</t>
  </si>
  <si>
    <t>WorkOrder and WorkOrderLine. Snapshot is taken at creation, not at release.</t>
  </si>
  <si>
    <t>Matched WorkOrderLine in product code. This is not a functional test.</t>
  </si>
  <si>
    <t>backend/manufacturing/models.py:WorkOrder; backend/manufacturing/models.py:WorkOrderLine</t>
  </si>
  <si>
    <t>Complete the work order and receive the finished goods</t>
  </si>
  <si>
    <t>Finished quantity, batch, and serials land in stock when the order is completed</t>
  </si>
  <si>
    <t>complete_work_order sets status COMPLETED. Batch and serial fields are stored on the work order when the product tracks them</t>
  </si>
  <si>
    <t>complete_work_order. BOM explosion is single-level. A component that is itself a sub-assembly is not exploded.</t>
  </si>
  <si>
    <t>Matched complete_work_order in product code. This is not a functional test.</t>
  </si>
  <si>
    <t>backend/manufacturing/services.py:complete_work_order</t>
  </si>
  <si>
    <t>backend/tests/test_partial_closures.py; backend/tests/test_wave22_f2_fifo_serial_mfg.py</t>
  </si>
  <si>
    <t>F-0756</t>
  </si>
  <si>
    <t>Cancel a work order that will not be built</t>
  </si>
  <si>
    <t>A draft or released order can be stopped without leaving it open</t>
  </si>
  <si>
    <t>Work order status becomes CANCELLED</t>
  </si>
  <si>
    <t>WorkOrder.Status.CANCELLED in backend/manufacturing/services.py.</t>
  </si>
  <si>
    <t>backend/manufacturing/models.py:WorkOrder</t>
  </si>
  <si>
    <t>F-0757</t>
  </si>
  <si>
    <t>Open a project for a customer</t>
  </si>
  <si>
    <t>Project owner</t>
  </si>
  <si>
    <t>Milestone bills have a project to hang on</t>
  </si>
  <si>
    <t>Project starts OPEN and has a number unique per company</t>
  </si>
  <si>
    <t>uniq_project_number_per_company on Project.</t>
  </si>
  <si>
    <t>Matched uniq_project_number_per_company in product code. This is not a functional test.</t>
  </si>
  <si>
    <t>PRJ</t>
  </si>
  <si>
    <t>Bill a project by milestone</t>
  </si>
  <si>
    <t>projects</t>
  </si>
  <si>
    <t>F-0758</t>
  </si>
  <si>
    <t>Add a milestone with a sequence, amount, and service product</t>
  </si>
  <si>
    <t>Each billable stage has an amount before any invoice is raised</t>
  </si>
  <si>
    <t>ProjectMilestone starts PLANNED</t>
  </si>
  <si>
    <t>ProjectMilestone.service_product is required.</t>
  </si>
  <si>
    <t>Matched ProjectMilestone in product code. This is not a functional test.</t>
  </si>
  <si>
    <t>backend/projects/models.py:ProjectMilestone</t>
  </si>
  <si>
    <t>F-0759</t>
  </si>
  <si>
    <t>Mark a milestone ready to invoice</t>
  </si>
  <si>
    <t>Invoicing is refused until the milestone is ready</t>
  </si>
  <si>
    <t>Status moves from PLANNED to READY</t>
  </si>
  <si>
    <t>invoice_milestone requires ProjectMilestone.Status.READY.</t>
  </si>
  <si>
    <t>Matched invoice_milestone in product code. This is not a functional test.</t>
  </si>
  <si>
    <t>backend/projects/models.py:ProjectMilestone; backend/projects/services.py:invoice_milestone</t>
  </si>
  <si>
    <t>F-0760</t>
  </si>
  <si>
    <t>Invoice a ready milestone</t>
  </si>
  <si>
    <t>The stage amount becomes a sales invoice linked to the milestone</t>
  </si>
  <si>
    <t>invoice_milestone creates the invoice and sets the milestone to INVOICED. A closed project cannot be invoiced</t>
  </si>
  <si>
    <t>invoice_milestone in backend/projects/services.py.</t>
  </si>
  <si>
    <t>backend/projects/services.py:invoice_milestone</t>
  </si>
  <si>
    <t>F-0761</t>
  </si>
  <si>
    <t>Close a project when no further milestones will be billed</t>
  </si>
  <si>
    <t>Closed work stops accepting new milestone invoices</t>
  </si>
  <si>
    <t>Project status CLOSED</t>
  </si>
  <si>
    <t>Project.Status.CLOSED blocks invoice_milestone.</t>
  </si>
  <si>
    <t>F-0762</t>
  </si>
  <si>
    <t>Register an insurer product with tenure, sum insured, and premium</t>
  </si>
  <si>
    <t>Insurance advisor</t>
  </si>
  <si>
    <t>Insurer</t>
  </si>
  <si>
    <t>Quotes use a product master instead of a stock SKU</t>
  </si>
  <si>
    <t>PolicyProduct line is motor, health, life, or other</t>
  </si>
  <si>
    <t>PolicyProduct in backend/insurance/models.py. It is not an inventory item.</t>
  </si>
  <si>
    <t>Matched PolicyProduct in product code. This is not a functional test.</t>
  </si>
  <si>
    <t>INS</t>
  </si>
  <si>
    <t>Place and service a policy</t>
  </si>
  <si>
    <t>insurance</t>
  </si>
  <si>
    <t>backend/insurance/models.py:PolicyProduct</t>
  </si>
  <si>
    <t>backend/tests/test_concurrency_races.py; backend/tests/test_roadmap_items.py; backend/tests/tenancy/test_endpoint_isolation.py</t>
  </si>
  <si>
    <t>F-0763</t>
  </si>
  <si>
    <t>Offer a set of policy options on a lead and mark the chosen one</t>
  </si>
  <si>
    <t>The customer choice is stored before a policy number exists</t>
  </si>
  <si>
    <t>PolicyOptionSet hangs on a lead. PolicyOption.chosen marks the selection</t>
  </si>
  <si>
    <t>PolicyOptionSet and PolicyOption.</t>
  </si>
  <si>
    <t>Matched PolicyOptionSet in product code. This is not a functional test.</t>
  </si>
  <si>
    <t>backend/insurance/models.py:PolicyOptionSet; backend/insurance/models.py:PolicyOption</t>
  </si>
  <si>
    <t>backend/tests/test_concurrency_races.py</t>
  </si>
  <si>
    <t>F-0764</t>
  </si>
  <si>
    <t>Issue a policy with a start date, end date, nominee, and premium</t>
  </si>
  <si>
    <t>The in-force policy is the record the renewal and claim flows use</t>
  </si>
  <si>
    <t>Policy status starts IN_FORCE and the number is unique per company</t>
  </si>
  <si>
    <t>uniq_policy_number_per_company on Policy.</t>
  </si>
  <si>
    <t>Matched uniq_policy_number_per_company in product code. This is not a functional test.</t>
  </si>
  <si>
    <t>F-0765</t>
  </si>
  <si>
    <t>Endorse or cancel a policy</t>
  </si>
  <si>
    <t>A change after issue is a separate endorsement, not a silent edit</t>
  </si>
  <si>
    <t>PolicyEndorsement kind is ENDORSE or CANCEL</t>
  </si>
  <si>
    <t>PolicyEndorsement.</t>
  </si>
  <si>
    <t>Matched PolicyEndorsement in product code. This is not a functional test.</t>
  </si>
  <si>
    <t>backend/insurance/models.py:PolicyEndorsement</t>
  </si>
  <si>
    <t>F-0766</t>
  </si>
  <si>
    <t>Book the insurer commission receivable separately from the customer premium</t>
  </si>
  <si>
    <t>Commission is not mixed into the customer's premium receipt</t>
  </si>
  <si>
    <t>CommissionReceivable starts OPEN against the policy</t>
  </si>
  <si>
    <t>CommissionReceivable. Status can move to RECEIVED.</t>
  </si>
  <si>
    <t>Matched CommissionReceivable in product code. This is not a functional test.</t>
  </si>
  <si>
    <t>backend/insurance/models.py:CommissionReceivable</t>
  </si>
  <si>
    <t>backend/tests/test_roadmap_items.py; backend/tests/personas/test_pj_insurance_desk.py</t>
  </si>
  <si>
    <t>F-0767</t>
  </si>
  <si>
    <t>Mark insurer commission received</t>
  </si>
  <si>
    <t>Open commission can be cleared when the insurer pays</t>
  </si>
  <si>
    <t>CommissionReceivable status RECEIVED</t>
  </si>
  <si>
    <t>CommissionReceivable.Status.RECEIVED.</t>
  </si>
  <si>
    <t>F-0768</t>
  </si>
  <si>
    <t>Lodge a policy claim against a support ticket</t>
  </si>
  <si>
    <t>The claim is tracked with the ticket. It does not post the ledger</t>
  </si>
  <si>
    <t>PolicyClaim links one policy to one ticket</t>
  </si>
  <si>
    <t>PolicyClaim. The model does not post an accounting entry.</t>
  </si>
  <si>
    <t>Matched PolicyClaim in product code. This is not a functional test.</t>
  </si>
  <si>
    <t>backend/insurance/models.py:PolicyClaim</t>
  </si>
  <si>
    <t>F-0769</t>
  </si>
  <si>
    <t>Attach Aadhaar, PAN, or another KYC file to the policy</t>
  </si>
  <si>
    <t>KYC sits on the policy instead of in a side folder</t>
  </si>
  <si>
    <t>PolicyKyc stores the file kind and a file asset</t>
  </si>
  <si>
    <t>PolicyKyc.</t>
  </si>
  <si>
    <t>Matched PolicyKyc in product code. This is not a functional test.</t>
  </si>
  <si>
    <t>8</t>
  </si>
  <si>
    <t>backend/insurance/models.py:PolicyKyc</t>
  </si>
  <si>
    <t>F-0770</t>
  </si>
  <si>
    <t>Open one renewal lead for a policy</t>
  </si>
  <si>
    <t>Renewal follow-up is not created twice for the same policy</t>
  </si>
  <si>
    <t>PolicyRenewalLead is one-to-one with the policy and points at a lead</t>
  </si>
  <si>
    <t>PolicyRenewalLead. The policy link is the dedupe key.</t>
  </si>
  <si>
    <t>Matched PolicyRenewalLead in product code. This is not a functional test.</t>
  </si>
  <si>
    <t>backend/insurance/models.py:PolicyRenewalLead</t>
  </si>
  <si>
    <t>Flows</t>
  </si>
  <si>
    <t>Task counts are COUNTIF formulas on Task Register. The first flows are sequenced steps. The rest group older tasks by category.</t>
  </si>
  <si>
    <t>Limit</t>
  </si>
  <si>
    <t>Flow type</t>
  </si>
  <si>
    <t>Employee, PF/ESI/PT/TDS flags, one pay run per month, paid days, payslip, employer PF split.</t>
  </si>
  <si>
    <t>Preview payroll. No bonus, arrear, advance recovery, or one-off deduction lines. Not an EPFO return.</t>
  </si>
  <si>
    <t>Sequenced</t>
  </si>
  <si>
    <t>Complaint, technician, part and labour lines, invoice, cancel.</t>
  </si>
  <si>
    <t>Invoicing creates a draft sales invoice from the job lines. It does not schedule bays or capture labour time.</t>
  </si>
  <si>
    <t>BOM, activate, work order snapshot, issue components, complete finished goods, unit cost, cancel.</t>
  </si>
  <si>
    <t>Single-level BOM. More than one ACTIVE BOM per finished good is allowed. The work order keeps the BOM it was created from.</t>
  </si>
  <si>
    <t>Open project, milestones, mark ready, invoice, close.</t>
  </si>
  <si>
    <t>A milestone needs a service product. Invoicing a closed project is refused.</t>
  </si>
  <si>
    <t>Insurer product, options on a lead, issue, endorse or cancel, commission, claim, KYC, one renewal lead.</t>
  </si>
  <si>
    <t>A claim is linked to a support ticket and does not post the ledger. The product is not a stock SKU.</t>
  </si>
  <si>
    <t>Tasks already filed under this category.</t>
  </si>
  <si>
    <t>Grouped from the category. Flow step is blank.</t>
  </si>
  <si>
    <t>Category group</t>
  </si>
  <si>
    <t>Persona coverage and jobs to be done</t>
  </si>
  <si>
    <t>Register tasks counts Persona / Scope with COUNTIF. Previously printed counts came from the 560-task register and several names did not match.</t>
  </si>
  <si>
    <t>Jobs-to-be-done name</t>
  </si>
  <si>
    <t>Register persona</t>
  </si>
  <si>
    <t>Register tasks</t>
  </si>
  <si>
    <t>Previously printed</t>
  </si>
  <si>
    <t>Count check</t>
  </si>
  <si>
    <t>Functional job</t>
  </si>
  <si>
    <t>Emotional job</t>
  </si>
  <si>
    <t>Social job</t>
  </si>
  <si>
    <t>Managing Proprietor ('Sethji')</t>
  </si>
  <si>
    <t>Track daily sales, cash, margin, and overdue debtors.</t>
  </si>
  <si>
    <t>In control of the day's cash.</t>
  </si>
  <si>
    <t>A proprietor who can see the books.</t>
  </si>
  <si>
    <t>Fast billing, FMCG stock, supplier intake, and customer khata.</t>
  </si>
  <si>
    <t>No queue and a clear supplier book.</t>
  </si>
  <si>
    <t>A grocer with tidy accounts.</t>
  </si>
  <si>
    <t>Walk-in cash and UPI billing, price checks, and till close.</t>
  </si>
  <si>
    <t>Unhurried at peak hour.</t>
  </si>
  <si>
    <t>A merchant who takes digital payment.</t>
  </si>
  <si>
    <t>Medical Shop Pharmacist</t>
  </si>
  <si>
    <t>Batch and expiry sales, FEFO, and drug-licence records.</t>
  </si>
  <si>
    <t>Safe from expiry and licence gaps.</t>
  </si>
  <si>
    <t>A dispenser with a defensible register.</t>
  </si>
  <si>
    <t>Bulk billing, slabs, credit limits, and receivables.</t>
  </si>
  <si>
    <t>Working capital moving without silent bad debt.</t>
  </si>
  <si>
    <t>A distributor who can see exposure.</t>
  </si>
  <si>
    <t>Receive, allocate, pick, and count one godown.</t>
  </si>
  <si>
    <t>Shelves that match the book.</t>
  </si>
  <si>
    <t>A stock controller who can explain a variance.</t>
  </si>
  <si>
    <t>Transfers, transit loss, and godown margin.</t>
  </si>
  <si>
    <t>One view across godowns.</t>
  </si>
  <si>
    <t>An operator who can move stock on purpose.</t>
  </si>
  <si>
    <t>Outlet comparison, stock balancing, and a shared catalog.</t>
  </si>
  <si>
    <t>Able to run more than one counter.</t>
  </si>
  <si>
    <t>An owner who can compare shops.</t>
  </si>
  <si>
    <t>In-house Accountant ('Munshi')</t>
  </si>
  <si>
    <t>Books, returns, vouchers, Tally export, and bank reconciliation.</t>
  </si>
  <si>
    <t>A period close that ties.</t>
  </si>
  <si>
    <t>An accountant the owner can trust with the return.</t>
  </si>
  <si>
    <t>Field Sales Representative</t>
  </si>
  <si>
    <t>Book orders, check stock and credit, and collect dues.</t>
  </si>
  <si>
    <t>Able to answer a retailer without calling the office.</t>
  </si>
  <si>
    <t>A salesperson with current price and stock.</t>
  </si>
  <si>
    <t>No single register persona uses this name</t>
  </si>
  <si>
    <t>Campaigns, funnel conversion, and acquisition cost.</t>
  </si>
  <si>
    <t>Able to see which channel produced cash.</t>
  </si>
  <si>
    <t>A lead who can explain spend.</t>
  </si>
  <si>
    <t>Customer Success &amp; Service Lead</t>
  </si>
  <si>
    <t>Complaints, contracts, and tickets.</t>
  </si>
  <si>
    <t>A dispute that has an owner.</t>
  </si>
  <si>
    <t>A service lead who can close the loop.</t>
  </si>
  <si>
    <t>Purchase orders, vendor rates, and three-way match.</t>
  </si>
  <si>
    <t>Buying without a surprise stockout.</t>
  </si>
  <si>
    <t>A buyer who can show the rate decision.</t>
  </si>
  <si>
    <t>Warehouse / Inventory Custodian</t>
  </si>
  <si>
    <t>Intake, batch and serial, damage, and cycle counts.</t>
  </si>
  <si>
    <t>A location that matches the balance.</t>
  </si>
  <si>
    <t>A custodian who can account for a carton.</t>
  </si>
  <si>
    <t>Delivery Driver / Fleet Operator</t>
  </si>
  <si>
    <t>Manifest, drop, proof of delivery, and cash on delivery.</t>
  </si>
  <si>
    <t>Cash collected matches the drops.</t>
  </si>
  <si>
    <t>A driver with a manifest, not a loose slip.</t>
  </si>
  <si>
    <t>Statements, blocked credit, TDS, and annual returns.</t>
  </si>
  <si>
    <t>A file that can be explained.</t>
  </si>
  <si>
    <t>An auditor who is not reconstructing the books.</t>
  </si>
  <si>
    <t>Bills of material, issue, and finished cost.</t>
  </si>
  <si>
    <t>Material issued matches the order.</t>
  </si>
  <si>
    <t>A supervisor who can explain yield.</t>
  </si>
  <si>
    <t>Retail &amp; B2B Customer</t>
  </si>
  <si>
    <t>Invoice, history, dues, and payment.</t>
  </si>
  <si>
    <t>A bill that can be checked.</t>
  </si>
  <si>
    <t>A customer who can see the same number as the shop.</t>
  </si>
  <si>
    <t>Vendor / Principal Supplier</t>
  </si>
  <si>
    <t>Purchase orders, challan, and payment advice.</t>
  </si>
  <si>
    <t>A balance both sides can tie.</t>
  </si>
  <si>
    <t>A supplier with a document, not a verbal order.</t>
  </si>
  <si>
    <t>Users, roles, branches, GSTIN, and recovery.</t>
  </si>
  <si>
    <t>A tenant that is configured on purpose.</t>
  </si>
  <si>
    <t>An admin who can see who changed what.</t>
  </si>
  <si>
    <t>Managing Proprietor is also its own persona, separate from Business Owner. System Administrator on the old sheet was the count for Admin / System Owner. The register also has a System Administrator scope. See Scope inventory.</t>
  </si>
  <si>
    <t>Role rollup</t>
  </si>
  <si>
    <t>Tasks by canonical role. Persona canonical is the owner of the task; Primary actor canonical is who performs it. Cross-persona tasks are assigned to the role of their primary actor. Counts are formulas on Task Register.</t>
  </si>
  <si>
    <t>Tasks (persona)</t>
  </si>
  <si>
    <t>Proposed P1</t>
  </si>
  <si>
    <t>Gaps and partial</t>
  </si>
  <si>
    <t>Tasks (actor)</t>
  </si>
  <si>
    <t>Every persona and scope on the register</t>
  </si>
  <si>
    <t>Task counts are COUNTIF formulas. Scope class is assigned by this review.</t>
  </si>
  <si>
    <t>Personas and scopes</t>
  </si>
  <si>
    <t>Competitive position</t>
  </si>
  <si>
    <t>Capability</t>
  </si>
  <si>
    <t>Market baseline</t>
  </si>
  <si>
    <t>Competitor pain</t>
  </si>
  <si>
    <t>BizBoard claim</t>
  </si>
  <si>
    <t>Target hypothesis (not a measured result)</t>
  </si>
  <si>
    <t>Review</t>
  </si>
  <si>
    <t>Vendor bill inwarding</t>
  </si>
  <si>
    <t>Manual line entry in Tally or Vyapar.</t>
  </si>
  <si>
    <t>Slow entry and HSN or tax typos.</t>
  </si>
  <si>
    <t>Photo extraction that fills bill lines.</t>
  </si>
  <si>
    <t>Saves about two hours a day and removes entry error.</t>
  </si>
  <si>
    <t>Hypothesis until a pilot confirms it. Not a measured result. Extraction quality was not measured in this review.</t>
  </si>
  <si>
    <t>Counter checkout</t>
  </si>
  <si>
    <t>Desktop menus or a slow web screen.</t>
  </si>
  <si>
    <t>Queues at peak hour.</t>
  </si>
  <si>
    <t>Keyboard POS with an IndexedDB catalog cache.</t>
  </si>
  <si>
    <t>Checkout falls from 45 seconds to 12 seconds and the counter handles 100 checkouts a minute.</t>
  </si>
  <si>
    <t>Hypothesis until a pilot confirms it. Not a measured result. IndexedDB draft cache exists. The 12-second and 100-per-minute figures were not measured. F6 is UPI, not a universal hold key.</t>
  </si>
  <si>
    <t>GSTR-2B matching</t>
  </si>
  <si>
    <t>Spreadsheet lookup or exact invoice-number match.</t>
  </si>
  <si>
    <t>Fails on punctuation and date differences.</t>
  </si>
  <si>
    <t>Fuzzy party and invoice matching.</t>
  </si>
  <si>
    <t>Reclaims all eligible credit and saves Rs 50,000 a year.</t>
  </si>
  <si>
    <t>Hypothesis until a pilot confirms it. Not a measured result. Do not treat the rupee figure as a customer result.</t>
  </si>
  <si>
    <t>Debtor follow-up</t>
  </si>
  <si>
    <t>Phone calls or a generic reminder.</t>
  </si>
  <si>
    <t>Reminders get ignored.</t>
  </si>
  <si>
    <t>A cadence of reminders with a UPI link.</t>
  </si>
  <si>
    <t>Debtor days fall by 35 percent.</t>
  </si>
  <si>
    <t>Hypothesis until a pilot confirms it. Not a measured result.</t>
  </si>
  <si>
    <t>Growth funnels</t>
  </si>
  <si>
    <t>A separate CRM or a sheet.</t>
  </si>
  <si>
    <t>Leads are not tied to cash.</t>
  </si>
  <si>
    <t>Web lead form, dedupe, assignment, and campaign cost.</t>
  </si>
  <si>
    <t>Lead conversion rises by 45 percent.</t>
  </si>
  <si>
    <t>Hypothesis until a pilot confirms it. Not a measured result. Campaign, funnel, and lead-form APIs exist in the product. The conversion figure was not measured.</t>
  </si>
  <si>
    <t>Referral loop</t>
  </si>
  <si>
    <t>Verbal referrals.</t>
  </si>
  <si>
    <t>No record of who referred whom.</t>
  </si>
  <si>
    <t>Referral codes and a reward after the first paid invoice.</t>
  </si>
  <si>
    <t>Acquisition at zero cost.</t>
  </si>
  <si>
    <t>Hypothesis until a pilot confirms it. Not a measured result. Referral code and reward APIs exist. Zero-cost acquisition is a slogan, not a result.</t>
  </si>
  <si>
    <t>Complaint to note</t>
  </si>
  <si>
    <t>Phone calls and handwritten adjustments.</t>
  </si>
  <si>
    <t>Duplicate credit notes.</t>
  </si>
  <si>
    <t>Complaint actions that create a credit note, return, or supplier debit note.</t>
  </si>
  <si>
    <t>Disputes close five times faster.</t>
  </si>
  <si>
    <t>Hypothesis until a pilot confirms it. Not a measured result. Complaint-to-document APIs exist. The speed multiple was not measured.</t>
  </si>
  <si>
    <t>Replenishment</t>
  </si>
  <si>
    <t>A static reorder point.</t>
  </si>
  <si>
    <t>Stockouts and dead stock.</t>
  </si>
  <si>
    <t>A burn-rate forecast that drafts a purchase order.</t>
  </si>
  <si>
    <t>No stockouts and 40 percent less dead stock.</t>
  </si>
  <si>
    <t>Cash forecast</t>
  </si>
  <si>
    <t>A historical profit and loss.</t>
  </si>
  <si>
    <t>The owner cannot see upcoming cash.</t>
  </si>
  <si>
    <t>A 30/60/90 cash simulator.</t>
  </si>
  <si>
    <t>Prevents overdrafts and dishonoured cheques.</t>
  </si>
  <si>
    <t>Delivery proof</t>
  </si>
  <si>
    <t>Paper challans.</t>
  </si>
  <si>
    <t>Cash and cartons go missing.</t>
  </si>
  <si>
    <t>A driver PWA with proof of delivery and route margin.</t>
  </si>
  <si>
    <t>No delivery shrinkage.</t>
  </si>
  <si>
    <t>Customer self-service</t>
  </si>
  <si>
    <t>Print, scan, and email.</t>
  </si>
  <si>
    <t>Customers call for a statement.</t>
  </si>
  <si>
    <t>A WhatsApp invoice link with a ledger and UPI pay.</t>
  </si>
  <si>
    <t>Removes 80 percent of support calls.</t>
  </si>
  <si>
    <t>Tally migration</t>
  </si>
  <si>
    <t>Rebuilding the chart of accounts by hand.</t>
  </si>
  <si>
    <t>Fear of losing history.</t>
  </si>
  <si>
    <t>A backup import of masters and three years of history in 15 minutes.</t>
  </si>
  <si>
    <t>Migration without downtime.</t>
  </si>
  <si>
    <t>Hypothesis until a pilot confirms it. Not a measured result. A 15-minute full-history import was not verified.</t>
  </si>
  <si>
    <t>UX and recovery</t>
  </si>
  <si>
    <t>Heuristic</t>
  </si>
  <si>
    <t>Claimed pattern</t>
  </si>
  <si>
    <t>Failure addressed</t>
  </si>
  <si>
    <t>Claimed recovery</t>
  </si>
  <si>
    <t>Claimed effect</t>
  </si>
  <si>
    <t>Visibility of system status</t>
  </si>
  <si>
    <t>WebSocket progress on CSV import.</t>
  </si>
  <si>
    <t>A large file looks frozen.</t>
  </si>
  <si>
    <t>A row counter and an ETA.</t>
  </si>
  <si>
    <t>Less refreshing.</t>
  </si>
  <si>
    <t>Mechanism not found. No WebSocket import-progress channel was found.</t>
  </si>
  <si>
    <t>Match the real world</t>
  </si>
  <si>
    <t>Khata, udhar, godown, and challan in the interface.</t>
  </si>
  <si>
    <t>Western ledger words.</t>
  </si>
  <si>
    <t>Hindi, Gujarati, and Tamil UI.</t>
  </si>
  <si>
    <t>No learning curve.</t>
  </si>
  <si>
    <t>Partial. English and Hindi catalogs exist. Locales gu and ta are stored and then forced back to English.</t>
  </si>
  <si>
    <t>User control</t>
  </si>
  <si>
    <t>A 10-second undo on delete.</t>
  </si>
  <si>
    <t>A clerk deletes a large draft.</t>
  </si>
  <si>
    <t>Undo restores the cart.</t>
  </si>
  <si>
    <t>No retyping.</t>
  </si>
  <si>
    <t>Not re-verified in this review.</t>
  </si>
  <si>
    <t>Consistency</t>
  </si>
  <si>
    <t>The same F-keys and Ctrl+K on every screen.</t>
  </si>
  <si>
    <t>Keys change between screens.</t>
  </si>
  <si>
    <t>One map on every screen.</t>
  </si>
  <si>
    <t>Touch-typing billing.</t>
  </si>
  <si>
    <t>Partial. POS has its own F-key map. There is no Ctrl+K palette, and the map is not shared by every screen.</t>
  </si>
  <si>
    <t>Error prevention</t>
  </si>
  <si>
    <t>Row locks and type-to-confirm.</t>
  </si>
  <si>
    <t>Two clerks sell the last unit.</t>
  </si>
  <si>
    <t>The stock row locks and delete requires typing DELETE.</t>
  </si>
  <si>
    <t>No negative stock.</t>
  </si>
  <si>
    <t>Type-to-confirm was not found. Stock locking was not re-tested here.</t>
  </si>
  <si>
    <t>Recognition</t>
  </si>
  <si>
    <t>A credit pill and a rack locator.</t>
  </si>
  <si>
    <t>The clerk forgets a balance or a bin.</t>
  </si>
  <si>
    <t>A badge and a shelf tag such as Aisle B.</t>
  </si>
  <si>
    <t>Less recall.</t>
  </si>
  <si>
    <t>location_tag was not found. The credit badge was not re-tested.</t>
  </si>
  <si>
    <t>Flexibility</t>
  </si>
  <si>
    <t>Hold and recall on F6, plus grid edit.</t>
  </si>
  <si>
    <t>A customer steps away.</t>
  </si>
  <si>
    <t>Hold on tab 2 and recall with one key.</t>
  </si>
  <si>
    <t>The queue keeps moving.</t>
  </si>
  <si>
    <t>Incorrect hotkey. Hold is F8. F6 tenders UPI. F9 recalls when several sessions exist.</t>
  </si>
  <si>
    <t>Minimal screen</t>
  </si>
  <si>
    <t>Drawers and Shift+P privacy mode.</t>
  </si>
  <si>
    <t>Too many fields, and bystanders can see figures.</t>
  </si>
  <si>
    <t>Privacy mode masks rupees.</t>
  </si>
  <si>
    <t>A quieter screen.</t>
  </si>
  <si>
    <t>Shift+P privacy mode was not found.</t>
  </si>
  <si>
    <t>Recover from errors</t>
  </si>
  <si>
    <t>A GST banner with a one-click tax split.</t>
  </si>
  <si>
    <t>A raw tax-mismatch error.</t>
  </si>
  <si>
    <t>The banner offers CGST/SGST to IGST.</t>
  </si>
  <si>
    <t>The clerk is not blocked.</t>
  </si>
  <si>
    <t>Help</t>
  </si>
  <si>
    <t>Tooltips, a first-run list, and an assistant.</t>
  </si>
  <si>
    <t>A new merchant cannot file GSTR-1.</t>
  </si>
  <si>
    <t>A walkthrough and a 95 percent first-run completion rate.</t>
  </si>
  <si>
    <t>Self-serve setup.</t>
  </si>
  <si>
    <t>The 95 percent figure is a hypothesis until a pilot confirms it.</t>
  </si>
  <si>
    <t>Security and SaaS</t>
  </si>
  <si>
    <t>Dimension</t>
  </si>
  <si>
    <t>Claimed mechanism</t>
  </si>
  <si>
    <t>Objective</t>
  </si>
  <si>
    <t>Commercial claim</t>
  </si>
  <si>
    <t>Claimed verification</t>
  </si>
  <si>
    <t>Multi-tenant isolation</t>
  </si>
  <si>
    <t>PostgreSQL row-level security with the app.company_id setting.</t>
  </si>
  <si>
    <t>No cross-tenant reads.</t>
  </si>
  <si>
    <t>Shared-database scale.</t>
  </si>
  <si>
    <t>A cross-tenant SQL injection suite in CI.</t>
  </si>
  <si>
    <t>Confirmed in part. RLS policies and the app.company_id setting exist. This review did not confirm a SQL injection suite.</t>
  </si>
  <si>
    <t>Least privilege</t>
  </si>
  <si>
    <t>Role permissions and field-level cost masking.</t>
  </si>
  <si>
    <t>Clerks cannot see margin.</t>
  </si>
  <si>
    <t>Safe rollout to field staff.</t>
  </si>
  <si>
    <t>Permission tests.</t>
  </si>
  <si>
    <t>Role permissions exist. Field-level cost masking was not re-tested.</t>
  </si>
  <si>
    <t>Export control</t>
  </si>
  <si>
    <t>An export permission and IP allow list.</t>
  </si>
  <si>
    <t>A departing employee cannot export the customer list.</t>
  </si>
  <si>
    <t>Trade secrets stay in the tenant.</t>
  </si>
  <si>
    <t>An audit row for every export.</t>
  </si>
  <si>
    <t>Audit immutability</t>
  </si>
  <si>
    <t>Append-only ledgers and a SHA-256 hash chain.</t>
  </si>
  <si>
    <t>Records stand up under MCA Rule 11(g) and Section 65B.</t>
  </si>
  <si>
    <t>A defensible file.</t>
  </si>
  <si>
    <t>A checksum job with no gaps.</t>
  </si>
  <si>
    <t>Partial. SHA-256 is used elsewhere. No hash chain and no django-simple-history were found. Do not cite Section 65B from this note alone.</t>
  </si>
  <si>
    <t>Session and sign-in</t>
  </si>
  <si>
    <t>TOTP, Redis JWT revocation, and idle timeout.</t>
  </si>
  <si>
    <t>Stolen passwords and unattended counters.</t>
  </si>
  <si>
    <t>A control a bank integration can rely on.</t>
  </si>
  <si>
    <t>An OWASP scan in GitHub Actions.</t>
  </si>
  <si>
    <t>TOTP was not found. The OWASP scan claim was not re-verified.</t>
  </si>
  <si>
    <t>Subscriptions</t>
  </si>
  <si>
    <t>Razorpay subscriptions, GST invoices, and dunning.</t>
  </si>
  <si>
    <t>Fees collect themselves.</t>
  </si>
  <si>
    <t>No manual billing.</t>
  </si>
  <si>
    <t>Webhook tests for success, failure, and upgrade.</t>
  </si>
  <si>
    <t>Razorpay code exists. The full subscription, dunning, and GST-invoice loop was not confirmed.</t>
  </si>
  <si>
    <t>Plan quotas</t>
  </si>
  <si>
    <t>A validator on invoices, SKUs, and seats that raises PlanQuotaExceeded.</t>
  </si>
  <si>
    <t>Free, Pro, and Enterprise stay distinct.</t>
  </si>
  <si>
    <t>Upsell as usage grows.</t>
  </si>
  <si>
    <t>A pre-save validator.</t>
  </si>
  <si>
    <t>Partial. plan_quota_exceeded exists as a help code. There is no PlanQuotaExceeded exception.</t>
  </si>
  <si>
    <t>Tenant export</t>
  </si>
  <si>
    <t>One click exports the tenant to a ZIP.</t>
  </si>
  <si>
    <t>No lock-in.</t>
  </si>
  <si>
    <t>Easier purchase decision.</t>
  </si>
  <si>
    <t>An automated export test.</t>
  </si>
  <si>
    <t>Backup</t>
  </si>
  <si>
    <t>WAL archiving and a daily encrypted pg_dump to S3.</t>
  </si>
  <si>
    <t>Point-in-time recovery.</t>
  </si>
  <si>
    <t>A 99.9 percent uptime SLA.</t>
  </si>
  <si>
    <t>A daily restore test.</t>
  </si>
  <si>
    <t>The 99.9 percent SLA is an operating target, not a control found in the product. A shipped PITR job was not confirmed.</t>
  </si>
  <si>
    <t>Priority decisions in this review</t>
  </si>
  <si>
    <t>60 tasks changed from the previous workbook. 22 tasks stay at a priority that differs from the authored value because the task action names a statutory control or a polish item.</t>
  </si>
  <si>
    <t>Task</t>
  </si>
  <si>
    <t>Priority now</t>
  </si>
  <si>
    <t>Previous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</si>
</sst>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Calibri"/>
    </font>
    <font>
      <sz val="10"/>
      <name val="Calibri"/>
    </font>
    <font>
      <b/>
      <sz val="10"/>
      <name val="Calibri"/>
    </font>
    <font>
      <b/>
      <sz val="10"/>
      <color rgb="FF9B1C1C"/>
      <name val="Calibri"/>
    </font>
    <font>
      <b/>
      <sz val="10"/>
      <color rgb="FF8A5A00"/>
      <name val="Calibri"/>
    </font>
    <font>
      <b/>
      <sz val="10"/>
      <color rgb="FF0D47A1"/>
      <name val="Calibri"/>
    </font>
    <font>
      <b/>
      <sz val="10"/>
      <color rgb="FF1B5E20"/>
      <name val="Calibri"/>
    </font>
    <font>
      <b/>
      <sz val="10"/>
      <color rgb="FFE65100"/>
      <name val="Calibri"/>
    </font>
    <font>
      <b/>
      <sz val="10"/>
      <color rgb="FF4A148C"/>
      <name val="Calibri"/>
    </font>
    <font>
      <b/>
      <sz val="16"/>
      <color rgb="FF1F497D"/>
      <name val="Calibri"/>
    </font>
    <font>
      <i/>
      <sz val="10"/>
      <color rgb="FF546E7A"/>
      <name val="Calibri"/>
    </font>
  </fonts>
  <fills count="10">
    <fill>
      <patternFill patternType="none"/>
    </fill>
    <fill>
      <patternFill patternType="gray125"/>
    </fill>
    <fill>
      <patternFill patternType="solid">
        <fgColor rgb="FF1F497D"/>
        <bgColor rgb="FF1F497D"/>
      </patternFill>
    </fill>
    <fill>
      <patternFill patternType="solid">
        <fgColor rgb="FFFDECEA"/>
        <bgColor rgb="FFFDECEA"/>
      </patternFill>
    </fill>
    <fill>
      <patternFill patternType="solid">
        <fgColor rgb="FFFFF6E0"/>
        <bgColor rgb="FFFFF6E0"/>
      </patternFill>
    </fill>
    <fill>
      <patternFill patternType="solid">
        <fgColor rgb="FFE3F2FD"/>
        <bgColor rgb="FFE3F2FD"/>
      </patternFill>
    </fill>
    <fill>
      <patternFill patternType="solid">
        <fgColor rgb="FFE7F6EE"/>
        <bgColor rgb="FFE7F6EE"/>
      </patternFill>
    </fill>
    <fill>
      <patternFill patternType="solid">
        <fgColor rgb="FFFFE8CC"/>
        <bgColor rgb="FFFFE8CC"/>
      </patternFill>
    </fill>
    <fill>
      <patternFill patternType="solid">
        <fgColor rgb="FFF3E8FF"/>
        <bgColor rgb="FFF3E8FF"/>
      </patternFill>
    </fill>
    <fill>
      <patternFill patternType="solid">
        <fgColor rgb="FF37474F"/>
        <bgColor rgb="FF37474F"/>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33">
    <xf numFmtId="0" fontId="0" fillId="0" borderId="0" xfId="0"/>
    <xf numFmtId="0" fontId="10" fillId="0" borderId="0" xfId="0" applyFont="1"/>
    <xf numFmtId="0" fontId="11" fillId="0" borderId="0" xfId="0" applyFont="1" applyAlignment="1">
      <alignment vertical="center" wrapText="1"/>
    </xf>
    <xf numFmtId="0" fontId="1" fillId="2" borderId="0" xfId="0" applyFont="1" applyFill="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0" xfId="0" applyFont="1"/>
    <xf numFmtId="0" fontId="3" fillId="0" borderId="1" xfId="0" applyFont="1" applyBorder="1"/>
    <xf numFmtId="0" fontId="2" fillId="0" borderId="1" xfId="0" applyFont="1" applyBorder="1"/>
    <xf numFmtId="0" fontId="11" fillId="0" borderId="0" xfId="0" applyFont="1"/>
    <xf numFmtId="0" fontId="1" fillId="2" borderId="0" xfId="0" applyFont="1" applyFill="1"/>
    <xf numFmtId="0" fontId="1" fillId="9" borderId="1" xfId="0" applyFont="1" applyFill="1" applyBorder="1" applyAlignment="1">
      <alignment vertical="center" wrapText="1"/>
    </xf>
    <xf numFmtId="0" fontId="3"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9" borderId="0" xfId="0" applyFont="1" applyFill="1"/>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 fillId="2" borderId="0" xfId="0" applyFont="1" applyFill="1" applyAlignment="1">
      <alignment vertical="center" wrapText="1"/>
    </xf>
    <xf numFmtId="0" fontId="2" fillId="0" borderId="1" xfId="0" applyFont="1" applyBorder="1" applyAlignment="1">
      <alignment vertical="top" wrapText="1"/>
    </xf>
    <xf numFmtId="0" fontId="2" fillId="0" borderId="1" xfId="0" applyFont="1" applyBorder="1" applyAlignment="1">
      <alignment vertical="center" wrapText="1"/>
    </xf>
    <xf numFmtId="0" fontId="0" fillId="0" borderId="2" xfId="0" applyBorder="1"/>
    <xf numFmtId="0" fontId="2" fillId="0" borderId="0" xfId="0" applyFont="1" applyAlignment="1">
      <alignment vertical="center" wrapText="1"/>
    </xf>
    <xf numFmtId="0" fontId="0" fillId="0" borderId="0" xfId="0"/>
    <xf numFmtId="0" fontId="11" fillId="0" borderId="0" xfId="0" applyFont="1" applyAlignment="1">
      <alignment vertical="center" wrapText="1"/>
    </xf>
    <xf numFmtId="0" fontId="2" fillId="0" borderId="0" xfId="0" applyFont="1" applyAlignment="1">
      <alignment vertical="top" wrapText="1"/>
    </xf>
    <xf numFmtId="0" fontId="1" fillId="2" borderId="0" xfId="0" applyFont="1" applyFill="1"/>
    <xf numFmtId="0" fontId="11" fillId="0" borderId="0" xfId="0" applyFont="1"/>
    <xf numFmtId="0" fontId="3" fillId="0" borderId="0" xfId="0" applyFont="1" applyAlignment="1">
      <alignment vertical="center" wrapText="1"/>
    </xf>
  </cellXfs>
  <cellStyles count="1">
    <cellStyle name="Normal" xfId="0" builtinId="0"/>
  </cellStyles>
  <dxfs count="2">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penGapDecisions" displayName="OpenGapDecisions" ref="A3:K23">
  <autoFilter ref="A3:K23" xr:uid="{00000000-0009-0000-0100-000001000000}"/>
  <tableColumns count="11">
    <tableColumn id="1" xr3:uid="{00000000-0010-0000-0000-000001000000}" name="Task ID"/>
    <tableColumn id="2" xr3:uid="{00000000-0010-0000-0000-000002000000}" name="Claim"/>
    <tableColumn id="3" xr3:uid="{00000000-0010-0000-0000-000003000000}" name="Priority"/>
    <tableColumn id="4" xr3:uid="{00000000-0010-0000-0000-000004000000}" name="Status now"/>
    <tableColumn id="5" xr3:uid="{00000000-0010-0000-0000-000005000000}" name="Evidence checked"/>
    <tableColumn id="6" xr3:uid="{00000000-0010-0000-0000-000006000000}" name="Recommended decision"/>
    <tableColumn id="7" xr3:uid="{00000000-0010-0000-0000-000007000000}" name="Needs freeze exception"/>
    <tableColumn id="8" xr3:uid="{00000000-0010-0000-0000-000008000000}" name="Target release"/>
    <tableColumn id="9" xr3:uid="{00000000-0010-0000-0000-000009000000}" name="Decision"/>
    <tableColumn id="10" xr3:uid="{00000000-0010-0000-0000-00000A000000}" name="Decision owner"/>
    <tableColumn id="11" xr3:uid="{00000000-0010-0000-0000-00000B000000}" name="Decision date"/>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lySnapshot" displayName="WeeklySnapshot" ref="A3:K4">
  <autoFilter ref="A3:K4" xr:uid="{00000000-0009-0000-0100-000002000000}"/>
  <tableColumns count="11">
    <tableColumn id="1" xr3:uid="{00000000-0010-0000-0100-000001000000}" name="Week"/>
    <tableColumn id="2" xr3:uid="{00000000-0010-0000-0100-000002000000}" name="Tasks"/>
    <tableColumn id="3" xr3:uid="{00000000-0010-0000-0100-000003000000}" name="MVP"/>
    <tableColumn id="4" xr3:uid="{00000000-0010-0000-0100-000004000000}" name="Pilot"/>
    <tableColumn id="5" xr3:uid="{00000000-0010-0000-0100-000005000000}" name="Later"/>
    <tableColumn id="6" xr3:uid="{00000000-0010-0000-0100-000006000000}" name="Open gaps"/>
    <tableColumn id="7" xr3:uid="{00000000-0010-0000-0100-000007000000}" name="Partial"/>
    <tableColumn id="8" xr3:uid="{00000000-0010-0000-0100-000008000000}" name="MVP tests passing"/>
    <tableColumn id="9" xr3:uid="{00000000-0010-0000-0100-000009000000}" name="No owner"/>
    <tableColumn id="10" xr3:uid="{00000000-0010-0000-0100-00000A000000}" name="No test id"/>
    <tableColumn id="11" xr3:uid="{00000000-0010-0000-0100-00000B000000}" name="OS ready"/>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viewDisposition" displayName="ReviewDisposition" ref="A3:C25">
  <autoFilter ref="A3:C25" xr:uid="{00000000-0009-0000-0100-000003000000}"/>
  <tableColumns count="3">
    <tableColumn id="1" xr3:uid="{00000000-0010-0000-0200-000001000000}" name="Comment"/>
    <tableColumn id="2" xr3:uid="{00000000-0010-0000-0200-000002000000}" name="Decision"/>
    <tableColumn id="3" xr3:uid="{00000000-0010-0000-0200-000003000000}" name="Why"/>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usinessEvents" displayName="BusinessEvents" ref="A3:G25">
  <autoFilter ref="A3:G25" xr:uid="{00000000-0009-0000-0100-000004000000}"/>
  <tableColumns count="7">
    <tableColumn id="1" xr3:uid="{00000000-0010-0000-0300-000001000000}" name="Event"/>
    <tableColumn id="2" xr3:uid="{00000000-0010-0000-0300-000002000000}" name="State change in code"/>
    <tableColumn id="3" xr3:uid="{00000000-0010-0000-0300-000003000000}" name="Downstream effects expected"/>
    <tableColumn id="4" xr3:uid="{00000000-0010-0000-0300-000004000000}" name="Reversal in code"/>
    <tableColumn id="5" xr3:uid="{00000000-0010-0000-0300-000005000000}" name="Audit"/>
    <tableColumn id="6" xr3:uid="{00000000-0010-0000-0300-000006000000}" name="Proven"/>
    <tableColumn id="7" xr3:uid="{00000000-0010-0000-0300-000007000000}" name="Test reference"/>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tateMachines" displayName="StateMachines" ref="A3:G30">
  <autoFilter ref="A3:G30" xr:uid="{00000000-0009-0000-0100-000005000000}"/>
  <tableColumns count="7">
    <tableColumn id="1" xr3:uid="{00000000-0010-0000-0400-000001000000}" name="Entity"/>
    <tableColumn id="2" xr3:uid="{00000000-0010-0000-0400-000002000000}" name="Statuses in code"/>
    <tableColumn id="3" xr3:uid="{00000000-0010-0000-0400-000003000000}" name="Actor"/>
    <tableColumn id="4" xr3:uid="{00000000-0010-0000-0400-000004000000}" name="Transition tests"/>
    <tableColumn id="5" xr3:uid="{00000000-0010-0000-0400-000005000000}" name="Rollback"/>
    <tableColumn id="6" xr3:uid="{00000000-0010-0000-0400-000006000000}" name="Proven"/>
    <tableColumn id="7" xr3:uid="{00000000-0010-0000-0400-000007000000}" name="Test reference"/>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BusinessIntegrity" displayName="BusinessIntegrity" ref="A3:F19">
  <autoFilter ref="A3:F19" xr:uid="{00000000-0009-0000-0100-000006000000}"/>
  <tableColumns count="6">
    <tableColumn id="1" xr3:uid="{00000000-0010-0000-0500-000001000000}" name="Domain"/>
    <tableColumn id="2" xr3:uid="{00000000-0010-0000-0500-000002000000}" name="Invariant"/>
    <tableColumn id="3" xr3:uid="{00000000-0010-0000-0500-000003000000}" name="Known handle in code"/>
    <tableColumn id="4" xr3:uid="{00000000-0010-0000-0500-000004000000}" name="Gate on every transaction"/>
    <tableColumn id="5" xr3:uid="{00000000-0010-0000-0500-000005000000}" name="Proven"/>
    <tableColumn id="6" xr3:uid="{00000000-0010-0000-0500-000006000000}" name="Test reference"/>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ailureRecovery" displayName="FailureRecovery" ref="A3:E11">
  <autoFilter ref="A3:E11" xr:uid="{00000000-0009-0000-0100-000007000000}"/>
  <tableColumns count="5">
    <tableColumn id="1" xr3:uid="{00000000-0010-0000-0600-000001000000}" name="Case"/>
    <tableColumn id="2" xr3:uid="{00000000-0010-0000-0600-000002000000}" name="What must remain true"/>
    <tableColumn id="3" xr3:uid="{00000000-0010-0000-0600-000003000000}" name="Evidence"/>
    <tableColumn id="4" xr3:uid="{00000000-0010-0000-0600-000004000000}" name="Proven"/>
    <tableColumn id="5" xr3:uid="{00000000-0010-0000-0600-000005000000}" name="Test reference"/>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ncurrencyMatrix" displayName="ConcurrencyMatrix" ref="A3:H13">
  <autoFilter ref="A3:H13" xr:uid="{00000000-0009-0000-0100-000008000000}"/>
  <tableColumns count="8">
    <tableColumn id="1" xr3:uid="{00000000-0010-0000-0700-000001000000}" name="Race"/>
    <tableColumn id="2" xr3:uid="{00000000-0010-0000-0700-000002000000}" name="Harm if lost"/>
    <tableColumn id="3" xr3:uid="{00000000-0010-0000-0700-000003000000}" name="Evidence"/>
    <tableColumn id="4" xr3:uid="{00000000-0010-0000-0700-000004000000}" name="Proven"/>
    <tableColumn id="5" xr3:uid="{00000000-0010-0000-0700-000005000000}" name="Specific harm if lost"/>
    <tableColumn id="6" xr3:uid="{00000000-0010-0000-0700-000006000000}" name="Expected outcome"/>
    <tableColumn id="7" xr3:uid="{00000000-0010-0000-0700-000007000000}" name="Test reference"/>
    <tableColumn id="8" xr3:uid="{00000000-0010-0000-0700-000008000000}" name="Runs i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ecurityAssurance" displayName="SecurityAssurance" ref="A3:D14">
  <autoFilter ref="A3:D14" xr:uid="{00000000-0009-0000-0100-000009000000}"/>
  <tableColumns count="4">
    <tableColumn id="1" xr3:uid="{00000000-0010-0000-0800-000001000000}" name="Control"/>
    <tableColumn id="2" xr3:uid="{00000000-0010-0000-0800-000002000000}" name="What was found"/>
    <tableColumn id="3" xr3:uid="{00000000-0010-0000-0800-000003000000}" name="Evidence"/>
    <tableColumn id="4" xr3:uid="{00000000-0010-0000-0800-000004000000}" name="Assured"/>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IntegrationReliability" displayName="IntegrationReliability" ref="A3:H13">
  <autoFilter ref="A3:H13" xr:uid="{00000000-0009-0000-0100-00000A000000}"/>
  <tableColumns count="8">
    <tableColumn id="1" xr3:uid="{00000000-0010-0000-0900-000001000000}" name="Integration"/>
    <tableColumn id="2" xr3:uid="{00000000-0010-0000-0900-000002000000}" name="Idempotent"/>
    <tableColumn id="3" xr3:uid="{00000000-0010-0000-0900-000003000000}" name="Observable"/>
    <tableColumn id="4" xr3:uid="{00000000-0010-0000-0900-000004000000}" name="Recoverable"/>
    <tableColumn id="5" xr3:uid="{00000000-0010-0000-0900-000005000000}" name="Proven"/>
    <tableColumn id="6" xr3:uid="{00000000-0010-0000-0900-000006000000}" name="Key failure case to prove"/>
    <tableColumn id="7" xr3:uid="{00000000-0010-0000-0900-000007000000}" name="Test reference"/>
    <tableColumn id="8" xr3:uid="{00000000-0010-0000-0900-000008000000}" name="Owner"/>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PerformanceSla" displayName="PerformanceSla" ref="A3:J16">
  <autoFilter ref="A3:J16" xr:uid="{00000000-0009-0000-0100-00000B000000}"/>
  <tableColumns count="10">
    <tableColumn id="1" xr3:uid="{00000000-0010-0000-0A00-000001000000}" name="Scenario"/>
    <tableColumn id="2" xr3:uid="{00000000-0010-0000-0A00-000002000000}" name="Dataset size"/>
    <tableColumn id="3" xr3:uid="{00000000-0010-0000-0A00-000003000000}" name="Concurrent users"/>
    <tableColumn id="4" xr3:uid="{00000000-0010-0000-0A00-000004000000}" name="Target"/>
    <tableColumn id="5" xr3:uid="{00000000-0010-0000-0A00-000005000000}" name="Actual"/>
    <tableColumn id="6" xr3:uid="{00000000-0010-0000-0A00-000006000000}" name="P95"/>
    <tableColumn id="7" xr3:uid="{00000000-0010-0000-0A00-000007000000}" name="P99"/>
    <tableColumn id="8" xr3:uid="{00000000-0010-0000-0A00-000008000000}" name="Pass or fail"/>
    <tableColumn id="9" xr3:uid="{00000000-0010-0000-0A00-000009000000}" name="Proposed target (not validated)"/>
    <tableColumn id="10" xr3:uid="{00000000-0010-0000-0A00-00000A000000}" name="How to measure"/>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CustomerEvidence" displayName="CustomerEvidence" ref="A3:H13">
  <autoFilter ref="A3:H13" xr:uid="{00000000-0009-0000-0100-00000C000000}"/>
  <tableColumns count="8">
    <tableColumn id="1" xr3:uid="{00000000-0010-0000-0B00-000001000000}" name="Hypothesis"/>
    <tableColumn id="2" xr3:uid="{00000000-0010-0000-0B00-000002000000}" name="Baseline"/>
    <tableColumn id="3" xr3:uid="{00000000-0010-0000-0B00-000003000000}" name="Experiment"/>
    <tableColumn id="4" xr3:uid="{00000000-0010-0000-0B00-000004000000}" name="Measurement"/>
    <tableColumn id="5" xr3:uid="{00000000-0010-0000-0B00-000005000000}" name="Result"/>
    <tableColumn id="6" xr3:uid="{00000000-0010-0000-0B00-000006000000}" name="Evidence"/>
    <tableColumn id="7" xr3:uid="{00000000-0010-0000-0B00-000007000000}" name="Data source"/>
    <tableColumn id="8" xr3:uid="{00000000-0010-0000-0B00-000008000000}" name="Pilot owner"/>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CapabilityEvidence" displayName="CapabilityEvidence" ref="A3:E20">
  <autoFilter ref="A3:E20" xr:uid="{00000000-0009-0000-0100-00000D000000}"/>
  <tableColumns count="5">
    <tableColumn id="1" xr3:uid="{00000000-0010-0000-0C00-000001000000}" name="Task ID"/>
    <tableColumn id="2" xr3:uid="{00000000-0010-0000-0C00-000002000000}" name="Claim"/>
    <tableColumn id="3" xr3:uid="{00000000-0010-0000-0C00-000003000000}" name="Validation status"/>
    <tableColumn id="4" xr3:uid="{00000000-0010-0000-0C00-000004000000}" name="Code evidence"/>
    <tableColumn id="5" xr3:uid="{00000000-0010-0000-0C00-000005000000}" name="Action"/>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skRegister" displayName="TaskRegister" ref="A1:BD771">
  <autoFilter ref="A1:BD771" xr:uid="{00000000-0009-0000-0100-00000E000000}"/>
  <tableColumns count="56">
    <tableColumn id="1" xr3:uid="{00000000-0010-0000-0D00-000001000000}" name="Task ID"/>
    <tableColumn id="2" xr3:uid="{00000000-0010-0000-0D00-000002000000}" name="Task Type"/>
    <tableColumn id="3" xr3:uid="{00000000-0010-0000-0D00-000003000000}" name="Persona / Scope"/>
    <tableColumn id="4" xr3:uid="{00000000-0010-0000-0D00-000004000000}" name="Category"/>
    <tableColumn id="5" xr3:uid="{00000000-0010-0000-0D00-000005000000}" name="Task / Business Action"/>
    <tableColumn id="6" xr3:uid="{00000000-0010-0000-0D00-000006000000}" name="Primary Actor"/>
    <tableColumn id="7" xr3:uid="{00000000-0010-0000-0D00-000007000000}" name="Supporting Persona(s)"/>
    <tableColumn id="8" xr3:uid="{00000000-0010-0000-0D00-000008000000}" name="Business Outcome"/>
    <tableColumn id="9" xr3:uid="{00000000-0010-0000-0D00-000009000000}" name="Downstream Impact"/>
    <tableColumn id="10" xr3:uid="{00000000-0010-0000-0D00-00000A000000}" name="Priority"/>
    <tableColumn id="11" xr3:uid="{00000000-0010-0000-0D00-00000B000000}" name="Validation Status"/>
    <tableColumn id="12" xr3:uid="{00000000-0010-0000-0D00-00000C000000}" name="Notes"/>
    <tableColumn id="13" xr3:uid="{00000000-0010-0000-0D00-00000D000000}" name="Register slice"/>
    <tableColumn id="14" xr3:uid="{00000000-0010-0000-0D00-00000E000000}" name="Scope class"/>
    <tableColumn id="15" xr3:uid="{00000000-0010-0000-0D00-00000F000000}" name="Authored priority"/>
    <tableColumn id="16" xr3:uid="{00000000-0010-0000-0D00-000010000000}" name="Priority decision"/>
    <tableColumn id="17" xr3:uid="{00000000-0010-0000-0D00-000011000000}" name="Review outcome"/>
    <tableColumn id="18" xr3:uid="{00000000-0010-0000-0D00-000012000000}" name="Audit note"/>
    <tableColumn id="19" xr3:uid="{00000000-0010-0000-0D00-000013000000}" name="Flow ID"/>
    <tableColumn id="20" xr3:uid="{00000000-0010-0000-0D00-000014000000}" name="Flow name"/>
    <tableColumn id="21" xr3:uid="{00000000-0010-0000-0D00-000015000000}" name="Flow step"/>
    <tableColumn id="22" xr3:uid="{00000000-0010-0000-0D00-000016000000}" name="Module"/>
    <tableColumn id="23" xr3:uid="{00000000-0010-0000-0D00-000017000000}" name="OS layer"/>
    <tableColumn id="24" xr3:uid="{00000000-0010-0000-0D00-000018000000}" name="Capability class"/>
    <tableColumn id="25" xr3:uid="{00000000-0010-0000-0D00-000019000000}" name="Canonical role"/>
    <tableColumn id="26" xr3:uid="{00000000-0010-0000-0D00-00001A000000}" name="Business criticality"/>
    <tableColumn id="27" xr3:uid="{00000000-0010-0000-0D00-00001B000000}" name="Failure impact"/>
    <tableColumn id="28" xr3:uid="{00000000-0010-0000-0D00-00001C000000}" name="Compliance impact"/>
    <tableColumn id="29" xr3:uid="{00000000-0010-0000-0D00-00001D000000}" name="Release gate"/>
    <tableColumn id="30" xr3:uid="{00000000-0010-0000-0D00-00001E000000}" name="Code evidence"/>
    <tableColumn id="31" xr3:uid="{00000000-0010-0000-0D00-00001F000000}" name="Integrity evidence"/>
    <tableColumn id="32" xr3:uid="{00000000-0010-0000-0D00-000020000000}" name="Recovery evidence"/>
    <tableColumn id="33" xr3:uid="{00000000-0010-0000-0D00-000021000000}" name="Security evidence"/>
    <tableColumn id="34" xr3:uid="{00000000-0010-0000-0D00-000022000000}" name="Concurrency evidence"/>
    <tableColumn id="35" xr3:uid="{00000000-0010-0000-0D00-000023000000}" name="OS ready"/>
    <tableColumn id="36" xr3:uid="{00000000-0010-0000-0D00-000024000000}" name="Work status"/>
    <tableColumn id="37" xr3:uid="{00000000-0010-0000-0D00-000025000000}" name="Proposed priority"/>
    <tableColumn id="38" xr3:uid="{00000000-0010-0000-0D00-000026000000}" name="Risk score"/>
    <tableColumn id="39" xr3:uid="{00000000-0010-0000-0D00-000027000000}" name="Owner"/>
    <tableColumn id="40" xr3:uid="{00000000-0010-0000-0D00-000028000000}" name="Target date"/>
    <tableColumn id="41" xr3:uid="{00000000-0010-0000-0D00-000029000000}" name="Estimate days"/>
    <tableColumn id="42" xr3:uid="{00000000-0010-0000-0D00-00002A000000}" name="Depends on"/>
    <tableColumn id="43" xr3:uid="{00000000-0010-0000-0D00-00002B000000}" name="Blocked by"/>
    <tableColumn id="44" xr3:uid="{00000000-0010-0000-0D00-00002C000000}" name="Test case ID"/>
    <tableColumn id="45" xr3:uid="{00000000-0010-0000-0D00-00002D000000}" name="Last verified"/>
    <tableColumn id="46" xr3:uid="{00000000-0010-0000-0D00-00002E000000}" name="Verified by"/>
    <tableColumn id="47" xr3:uid="{00000000-0010-0000-0D00-00002F000000}" name="Verification result"/>
    <tableColumn id="48" xr3:uid="{00000000-0010-0000-0D00-000030000000}" name="Persona canonical"/>
    <tableColumn id="49" xr3:uid="{00000000-0010-0000-0D00-000031000000}" name="Primary actor canonical"/>
    <tableColumn id="50" xr3:uid="{00000000-0010-0000-0D00-000032000000}" name="Priority decision code"/>
    <tableColumn id="51" xr3:uid="{00000000-0010-0000-0D00-000033000000}" name="Module basis"/>
    <tableColumn id="52" xr3:uid="{00000000-0010-0000-0D00-000034000000}" name="Duplicate or related"/>
    <tableColumn id="53" xr3:uid="{00000000-0010-0000-0D00-000035000000}" name="Code pointer"/>
    <tableColumn id="54" xr3:uid="{00000000-0010-0000-0D00-000036000000}" name="Test reference"/>
    <tableColumn id="55" xr3:uid="{00000000-0010-0000-0D00-000037000000}" name="G4 user validated"/>
    <tableColumn id="56" xr3:uid="{00000000-0010-0000-0D00-000038000000}" name="G5 outcome measured"/>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65911"/>
    <pageSetUpPr fitToPage="1"/>
  </sheetPr>
  <dimension ref="A1:G27"/>
  <sheetViews>
    <sheetView showGridLines="0" tabSelected="1" workbookViewId="0"/>
  </sheetViews>
  <sheetFormatPr defaultRowHeight="14.5" x14ac:dyDescent="0.35"/>
  <cols>
    <col min="1" max="1" width="36" customWidth="1"/>
    <col min="2" max="2" width="28" customWidth="1"/>
    <col min="3" max="3" width="78" customWidth="1"/>
  </cols>
  <sheetData>
    <row r="1" spans="1:7" ht="28" customHeight="1" x14ac:dyDescent="0.5">
      <c r="A1" s="1" t="s">
        <v>0</v>
      </c>
    </row>
    <row r="2" spans="1:7" ht="32" customHeight="1" x14ac:dyDescent="0.35">
      <c r="A2" s="28" t="s">
        <v>1</v>
      </c>
      <c r="B2" s="27"/>
      <c r="C2" s="27"/>
      <c r="D2" s="27"/>
      <c r="E2" s="27"/>
      <c r="F2" s="27"/>
      <c r="G2" s="27"/>
    </row>
    <row r="3" spans="1:7" x14ac:dyDescent="0.35">
      <c r="A3" s="3" t="s">
        <v>2</v>
      </c>
      <c r="B3" s="3" t="s">
        <v>3</v>
      </c>
      <c r="C3" s="3" t="s">
        <v>4</v>
      </c>
    </row>
    <row r="4" spans="1:7" ht="32" customHeight="1" x14ac:dyDescent="0.35">
      <c r="A4" s="4" t="s">
        <v>5</v>
      </c>
      <c r="B4" s="4">
        <f>COUNTA(TaskRegister[Task ID])</f>
        <v>770</v>
      </c>
      <c r="C4" s="5" t="s">
        <v>6</v>
      </c>
    </row>
    <row r="5" spans="1:7" ht="32" customHeight="1" x14ac:dyDescent="0.35">
      <c r="A5" s="4" t="s">
        <v>7</v>
      </c>
      <c r="B5" s="4">
        <f>COUNTIF(TaskRegister[Release gate],"MVP")</f>
        <v>116</v>
      </c>
      <c r="C5" s="5" t="s">
        <v>8</v>
      </c>
    </row>
    <row r="6" spans="1:7" ht="32" customHeight="1" x14ac:dyDescent="0.35">
      <c r="A6" s="4" t="s">
        <v>9</v>
      </c>
      <c r="B6" s="4">
        <f>COUNTIF(TaskRegister[Release gate],"Pilot")</f>
        <v>437</v>
      </c>
      <c r="C6" s="5" t="s">
        <v>10</v>
      </c>
    </row>
    <row r="7" spans="1:7" ht="32" customHeight="1" x14ac:dyDescent="0.35">
      <c r="A7" s="4" t="s">
        <v>11</v>
      </c>
      <c r="B7" s="4">
        <f>COUNTIF(TaskRegister[Release gate],"Later")</f>
        <v>217</v>
      </c>
      <c r="C7" s="5" t="s">
        <v>12</v>
      </c>
    </row>
    <row r="8" spans="1:7" ht="32" customHeight="1" x14ac:dyDescent="0.35">
      <c r="A8" s="4" t="s">
        <v>13</v>
      </c>
      <c r="B8" s="4">
        <f>COUNTIFS(TaskRegister[Release gate],"MVP",TaskRegister[Verification result],"Pass")</f>
        <v>1</v>
      </c>
      <c r="C8" s="5" t="s">
        <v>14</v>
      </c>
    </row>
    <row r="9" spans="1:7" ht="32" customHeight="1" x14ac:dyDescent="0.35">
      <c r="A9" s="4" t="s">
        <v>15</v>
      </c>
      <c r="B9" s="4">
        <f>COUNTIFS(TaskRegister[Release gate],"MVP",TaskRegister[Test case ID],"&lt;&gt;")</f>
        <v>3</v>
      </c>
      <c r="C9" s="5" t="s">
        <v>16</v>
      </c>
    </row>
    <row r="10" spans="1:7" ht="32" customHeight="1" x14ac:dyDescent="0.35">
      <c r="A10" s="4" t="s">
        <v>17</v>
      </c>
      <c r="B10" s="4">
        <f>COUNTIF(TaskRegister[Work status],"Gap")</f>
        <v>7</v>
      </c>
      <c r="C10" s="5" t="s">
        <v>18</v>
      </c>
    </row>
    <row r="11" spans="1:7" ht="32" customHeight="1" x14ac:dyDescent="0.35">
      <c r="A11" s="4" t="s">
        <v>19</v>
      </c>
      <c r="B11" s="4">
        <f>COUNTIF(TaskRegister[Work status],"Built - partial")</f>
        <v>9</v>
      </c>
      <c r="C11" s="5" t="s">
        <v>20</v>
      </c>
    </row>
    <row r="12" spans="1:7" ht="32" customHeight="1" x14ac:dyDescent="0.35">
      <c r="A12" s="4" t="s">
        <v>21</v>
      </c>
      <c r="B12" s="4">
        <f>COUNTBLANK(TaskRegister[Owner])</f>
        <v>770</v>
      </c>
      <c r="C12" s="5" t="s">
        <v>22</v>
      </c>
    </row>
    <row r="13" spans="1:7" ht="32" customHeight="1" x14ac:dyDescent="0.35">
      <c r="A13" s="4" t="s">
        <v>23</v>
      </c>
      <c r="B13" s="4">
        <f>COUNTBLANK(TaskRegister[Test case ID])</f>
        <v>767</v>
      </c>
      <c r="C13" s="5" t="s">
        <v>24</v>
      </c>
    </row>
    <row r="14" spans="1:7" ht="32" customHeight="1" x14ac:dyDescent="0.35">
      <c r="A14" s="4" t="s">
        <v>25</v>
      </c>
      <c r="B14" s="4">
        <f>COUNTIF(TaskRegister[OS ready],"Yes")</f>
        <v>0</v>
      </c>
      <c r="C14" s="5" t="s">
        <v>26</v>
      </c>
    </row>
    <row r="16" spans="1:7" ht="21" x14ac:dyDescent="0.5">
      <c r="A16" s="1" t="s">
        <v>27</v>
      </c>
    </row>
    <row r="17" spans="1:3" ht="32" customHeight="1" x14ac:dyDescent="0.35">
      <c r="A17" s="26" t="s">
        <v>28</v>
      </c>
      <c r="B17" s="27"/>
      <c r="C17" s="27"/>
    </row>
    <row r="18" spans="1:3" ht="32" customHeight="1" x14ac:dyDescent="0.35">
      <c r="A18" s="26" t="s">
        <v>29</v>
      </c>
      <c r="B18" s="27"/>
      <c r="C18" s="27"/>
    </row>
    <row r="19" spans="1:3" ht="32" customHeight="1" x14ac:dyDescent="0.35">
      <c r="A19" s="26" t="s">
        <v>30</v>
      </c>
      <c r="B19" s="27"/>
      <c r="C19" s="27"/>
    </row>
    <row r="20" spans="1:3" ht="32" customHeight="1" x14ac:dyDescent="0.35">
      <c r="A20" s="26" t="s">
        <v>31</v>
      </c>
      <c r="B20" s="27"/>
      <c r="C20" s="27"/>
    </row>
    <row r="22" spans="1:3" ht="21" x14ac:dyDescent="0.5">
      <c r="A22" s="1" t="s">
        <v>32</v>
      </c>
    </row>
    <row r="23" spans="1:3" ht="28" customHeight="1" x14ac:dyDescent="0.35">
      <c r="A23" s="4" t="s">
        <v>33</v>
      </c>
      <c r="B23" s="24" t="s">
        <v>34</v>
      </c>
      <c r="C23" s="25"/>
    </row>
    <row r="24" spans="1:3" ht="28" customHeight="1" x14ac:dyDescent="0.35">
      <c r="A24" s="4" t="s">
        <v>35</v>
      </c>
      <c r="B24" s="24" t="s">
        <v>36</v>
      </c>
      <c r="C24" s="25"/>
    </row>
    <row r="25" spans="1:3" ht="28" customHeight="1" x14ac:dyDescent="0.35">
      <c r="A25" s="4" t="s">
        <v>37</v>
      </c>
      <c r="B25" s="24" t="s">
        <v>38</v>
      </c>
      <c r="C25" s="25"/>
    </row>
    <row r="26" spans="1:3" ht="28" customHeight="1" x14ac:dyDescent="0.35">
      <c r="A26" s="4" t="s">
        <v>39</v>
      </c>
      <c r="B26" s="24" t="s">
        <v>40</v>
      </c>
      <c r="C26" s="25"/>
    </row>
    <row r="27" spans="1:3" ht="28" customHeight="1" x14ac:dyDescent="0.35">
      <c r="A27" s="4" t="s">
        <v>41</v>
      </c>
      <c r="B27" s="24" t="s">
        <v>42</v>
      </c>
      <c r="C27" s="25"/>
    </row>
  </sheetData>
  <mergeCells count="10">
    <mergeCell ref="A2:G2"/>
    <mergeCell ref="B26:C26"/>
    <mergeCell ref="B27:C27"/>
    <mergeCell ref="A20:C20"/>
    <mergeCell ref="B24:C24"/>
    <mergeCell ref="A19:C19"/>
    <mergeCell ref="B25:C25"/>
    <mergeCell ref="A17:C17"/>
    <mergeCell ref="A18:C18"/>
    <mergeCell ref="B23:C23"/>
  </mergeCells>
  <pageMargins left="0.75" right="0.75" top="1" bottom="1" header="0.5" footer="0.5"/>
  <pageSetup paperSize="9" orientation="landscape"/>
  <headerFooter>
    <oddHeader>&amp;LBizBoard founder view</oddHeader>
    <oddFooter>&amp;RPage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
  <sheetViews>
    <sheetView showGridLines="0" workbookViewId="0"/>
  </sheetViews>
  <sheetFormatPr defaultRowHeight="14.5" x14ac:dyDescent="0.35"/>
  <cols>
    <col min="1" max="1" width="26" customWidth="1"/>
    <col min="2" max="2" width="10" customWidth="1"/>
    <col min="3" max="3" width="12" customWidth="1"/>
    <col min="4" max="5" width="14" customWidth="1"/>
    <col min="6" max="6" width="24" customWidth="1"/>
    <col min="7" max="7" width="16" customWidth="1"/>
    <col min="8" max="8" width="12" customWidth="1"/>
    <col min="9" max="9" width="22" customWidth="1"/>
  </cols>
  <sheetData>
    <row r="1" spans="1:9" ht="28" customHeight="1" x14ac:dyDescent="0.5">
      <c r="A1" s="1" t="s">
        <v>43</v>
      </c>
    </row>
    <row r="2" spans="1:9" ht="32" customHeight="1" x14ac:dyDescent="0.35">
      <c r="A2" s="28" t="s">
        <v>44</v>
      </c>
      <c r="B2" s="27"/>
      <c r="C2" s="27"/>
      <c r="D2" s="27"/>
      <c r="E2" s="27"/>
      <c r="F2" s="27"/>
      <c r="G2" s="27"/>
    </row>
    <row r="3" spans="1:9" x14ac:dyDescent="0.35">
      <c r="A3" s="3" t="s">
        <v>45</v>
      </c>
      <c r="B3" s="3" t="s">
        <v>5</v>
      </c>
      <c r="C3" s="3" t="s">
        <v>46</v>
      </c>
      <c r="D3" s="3" t="s">
        <v>47</v>
      </c>
      <c r="E3" s="3" t="s">
        <v>48</v>
      </c>
      <c r="F3" s="3" t="s">
        <v>49</v>
      </c>
      <c r="G3" s="3" t="s">
        <v>50</v>
      </c>
      <c r="H3" s="3" t="s">
        <v>51</v>
      </c>
      <c r="I3" s="3" t="s">
        <v>52</v>
      </c>
    </row>
    <row r="4" spans="1:9" ht="22" customHeight="1" x14ac:dyDescent="0.35">
      <c r="A4" s="23" t="s">
        <v>53</v>
      </c>
      <c r="B4" s="23">
        <f>COUNTIF(TaskRegister[Persona canonical],A4)</f>
        <v>39</v>
      </c>
      <c r="C4" s="23">
        <f>COUNTIFS(TaskRegister[Persona canonical],$A4,TaskRegister[Release gate],"MVP")</f>
        <v>6</v>
      </c>
      <c r="D4" s="23">
        <f>COUNTIFS(TaskRegister[Persona canonical],$A4,TaskRegister[Release gate],"MVP",TaskRegister[Verification result],"Pass")</f>
        <v>0</v>
      </c>
      <c r="E4" s="23">
        <f>COUNTIFS(TaskRegister[Persona canonical],$A4,TaskRegister[Release gate],"MVP",TaskRegister[Integrity evidence],"&lt;&gt;Not verified")</f>
        <v>0</v>
      </c>
      <c r="F4" s="23">
        <f>COUNTIFS(TaskRegister[Persona canonical],$A4,TaskRegister[Release gate],"MVP",TaskRegister[Recovery evidence],"&lt;&gt;Not verified",TaskRegister[Security evidence],"&lt;&gt;Not verified",TaskRegister[Concurrency evidence],"&lt;&gt;Not verified")</f>
        <v>0</v>
      </c>
      <c r="G4" s="23">
        <f>COUNTIFS(TaskRegister[Persona canonical],$A4,TaskRegister[Release gate],"MVP",TaskRegister[G4 user validated],"Yes")</f>
        <v>0</v>
      </c>
      <c r="H4" s="23">
        <f>COUNTIFS(TaskRegister[Persona canonical],$A4,TaskRegister[Release gate],"MVP",TaskRegister[G5 outcome measured],"Yes")</f>
        <v>0</v>
      </c>
      <c r="I4" s="23">
        <f>COUNTIFS(TaskRegister[Persona canonical],$A4,TaskRegister[Release gate],"MVP",TaskRegister[OS ready],"Yes")</f>
        <v>0</v>
      </c>
    </row>
    <row r="5" spans="1:9" ht="22" customHeight="1" x14ac:dyDescent="0.35">
      <c r="A5" s="23" t="s">
        <v>54</v>
      </c>
      <c r="B5" s="23">
        <f>COUNTIF(TaskRegister[Persona canonical],A5)</f>
        <v>37</v>
      </c>
      <c r="C5" s="23">
        <f>COUNTIFS(TaskRegister[Persona canonical],$A5,TaskRegister[Release gate],"MVP")</f>
        <v>5</v>
      </c>
      <c r="D5" s="23">
        <f>COUNTIFS(TaskRegister[Persona canonical],$A5,TaskRegister[Release gate],"MVP",TaskRegister[Verification result],"Pass")</f>
        <v>0</v>
      </c>
      <c r="E5" s="23">
        <f>COUNTIFS(TaskRegister[Persona canonical],$A5,TaskRegister[Release gate],"MVP",TaskRegister[Integrity evidence],"&lt;&gt;Not verified")</f>
        <v>0</v>
      </c>
      <c r="F5" s="23">
        <f>COUNTIFS(TaskRegister[Persona canonical],$A5,TaskRegister[Release gate],"MVP",TaskRegister[Recovery evidence],"&lt;&gt;Not verified",TaskRegister[Security evidence],"&lt;&gt;Not verified",TaskRegister[Concurrency evidence],"&lt;&gt;Not verified")</f>
        <v>0</v>
      </c>
      <c r="G5" s="23">
        <f>COUNTIFS(TaskRegister[Persona canonical],$A5,TaskRegister[Release gate],"MVP",TaskRegister[G4 user validated],"Yes")</f>
        <v>0</v>
      </c>
      <c r="H5" s="23">
        <f>COUNTIFS(TaskRegister[Persona canonical],$A5,TaskRegister[Release gate],"MVP",TaskRegister[G5 outcome measured],"Yes")</f>
        <v>0</v>
      </c>
      <c r="I5" s="23">
        <f>COUNTIFS(TaskRegister[Persona canonical],$A5,TaskRegister[Release gate],"MVP",TaskRegister[OS ready],"Yes")</f>
        <v>0</v>
      </c>
    </row>
    <row r="6" spans="1:9" ht="22" customHeight="1" x14ac:dyDescent="0.35">
      <c r="A6" s="23" t="s">
        <v>55</v>
      </c>
      <c r="B6" s="23">
        <f>COUNTIF(TaskRegister[Persona canonical],A6)</f>
        <v>146</v>
      </c>
      <c r="C6" s="23">
        <f>COUNTIFS(TaskRegister[Persona canonical],$A6,TaskRegister[Release gate],"MVP")</f>
        <v>17</v>
      </c>
      <c r="D6" s="23">
        <f>COUNTIFS(TaskRegister[Persona canonical],$A6,TaskRegister[Release gate],"MVP",TaskRegister[Verification result],"Pass")</f>
        <v>0</v>
      </c>
      <c r="E6" s="23">
        <f>COUNTIFS(TaskRegister[Persona canonical],$A6,TaskRegister[Release gate],"MVP",TaskRegister[Integrity evidence],"&lt;&gt;Not verified")</f>
        <v>0</v>
      </c>
      <c r="F6" s="23">
        <f>COUNTIFS(TaskRegister[Persona canonical],$A6,TaskRegister[Release gate],"MVP",TaskRegister[Recovery evidence],"&lt;&gt;Not verified",TaskRegister[Security evidence],"&lt;&gt;Not verified",TaskRegister[Concurrency evidence],"&lt;&gt;Not verified")</f>
        <v>0</v>
      </c>
      <c r="G6" s="23">
        <f>COUNTIFS(TaskRegister[Persona canonical],$A6,TaskRegister[Release gate],"MVP",TaskRegister[G4 user validated],"Yes")</f>
        <v>0</v>
      </c>
      <c r="H6" s="23">
        <f>COUNTIFS(TaskRegister[Persona canonical],$A6,TaskRegister[Release gate],"MVP",TaskRegister[G5 outcome measured],"Yes")</f>
        <v>0</v>
      </c>
      <c r="I6" s="23">
        <f>COUNTIFS(TaskRegister[Persona canonical],$A6,TaskRegister[Release gate],"MVP",TaskRegister[OS ready],"Yes")</f>
        <v>0</v>
      </c>
    </row>
    <row r="8" spans="1:9" ht="32" customHeight="1" x14ac:dyDescent="0.35">
      <c r="A8" s="7" t="s">
        <v>56</v>
      </c>
      <c r="B8" s="26" t="s">
        <v>57</v>
      </c>
      <c r="C8" s="27"/>
      <c r="D8" s="27"/>
      <c r="E8" s="27"/>
      <c r="F8" s="27"/>
    </row>
  </sheetData>
  <mergeCells count="2">
    <mergeCell ref="A2:G2"/>
    <mergeCell ref="B8:F8"/>
  </mergeCell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
  <sheetViews>
    <sheetView workbookViewId="0">
      <pane ySplit="3" topLeftCell="A4" activePane="bottomLeft" state="frozen"/>
      <selection pane="bottomLeft"/>
    </sheetView>
  </sheetViews>
  <sheetFormatPr defaultRowHeight="14.5" x14ac:dyDescent="0.35"/>
  <cols>
    <col min="1" max="1" width="11" customWidth="1"/>
    <col min="2" max="2" width="38" customWidth="1"/>
    <col min="3" max="3" width="9" customWidth="1"/>
    <col min="4" max="4" width="22" customWidth="1"/>
    <col min="5" max="5" width="48" customWidth="1"/>
    <col min="6" max="6" width="52" customWidth="1"/>
    <col min="7" max="7" width="20" customWidth="1"/>
    <col min="8" max="8" width="12" customWidth="1"/>
    <col min="9" max="9" width="18" customWidth="1"/>
    <col min="10" max="10" width="16" customWidth="1"/>
    <col min="11" max="11" width="14" customWidth="1"/>
  </cols>
  <sheetData>
    <row r="1" spans="1:11" ht="21" x14ac:dyDescent="0.5">
      <c r="A1" s="1" t="s">
        <v>58</v>
      </c>
    </row>
    <row r="2" spans="1:11" ht="208" x14ac:dyDescent="0.35">
      <c r="A2" s="2" t="s">
        <v>59</v>
      </c>
    </row>
    <row r="3" spans="1:11" ht="29" x14ac:dyDescent="0.35">
      <c r="A3" s="3" t="s">
        <v>60</v>
      </c>
      <c r="B3" s="3" t="s">
        <v>61</v>
      </c>
      <c r="C3" s="3" t="s">
        <v>62</v>
      </c>
      <c r="D3" s="3" t="s">
        <v>63</v>
      </c>
      <c r="E3" s="3" t="s">
        <v>64</v>
      </c>
      <c r="F3" s="3" t="s">
        <v>65</v>
      </c>
      <c r="G3" s="3" t="s">
        <v>66</v>
      </c>
      <c r="H3" s="3" t="s">
        <v>67</v>
      </c>
      <c r="I3" s="3" t="s">
        <v>68</v>
      </c>
      <c r="J3" s="3" t="s">
        <v>69</v>
      </c>
      <c r="K3" s="3" t="s">
        <v>70</v>
      </c>
    </row>
    <row r="4" spans="1:11" ht="26" x14ac:dyDescent="0.35">
      <c r="A4" s="23" t="s">
        <v>71</v>
      </c>
      <c r="B4" s="23" t="s">
        <v>72</v>
      </c>
      <c r="C4" s="23" t="s">
        <v>73</v>
      </c>
      <c r="D4" s="23" t="s">
        <v>74</v>
      </c>
      <c r="E4" s="23" t="s">
        <v>75</v>
      </c>
      <c r="F4" s="23" t="s">
        <v>76</v>
      </c>
      <c r="G4" s="23" t="s">
        <v>77</v>
      </c>
      <c r="H4" s="23" t="s">
        <v>78</v>
      </c>
      <c r="I4" s="23"/>
      <c r="J4" s="23"/>
      <c r="K4" s="23"/>
    </row>
    <row r="5" spans="1:11" x14ac:dyDescent="0.35">
      <c r="A5" s="23" t="s">
        <v>79</v>
      </c>
      <c r="B5" s="23" t="s">
        <v>80</v>
      </c>
      <c r="C5" s="23" t="s">
        <v>73</v>
      </c>
      <c r="D5" s="23" t="s">
        <v>74</v>
      </c>
      <c r="E5" s="23" t="s">
        <v>81</v>
      </c>
      <c r="F5" s="23" t="s">
        <v>82</v>
      </c>
      <c r="G5" s="23" t="s">
        <v>77</v>
      </c>
      <c r="H5" s="23" t="s">
        <v>78</v>
      </c>
      <c r="I5" s="23"/>
      <c r="J5" s="23"/>
      <c r="K5" s="23"/>
    </row>
    <row r="6" spans="1:11" ht="26" x14ac:dyDescent="0.35">
      <c r="A6" s="23" t="s">
        <v>83</v>
      </c>
      <c r="B6" s="23" t="s">
        <v>84</v>
      </c>
      <c r="C6" s="23" t="s">
        <v>73</v>
      </c>
      <c r="D6" s="23" t="s">
        <v>74</v>
      </c>
      <c r="E6" s="23" t="s">
        <v>85</v>
      </c>
      <c r="F6" s="23" t="s">
        <v>86</v>
      </c>
      <c r="G6" s="23" t="s">
        <v>77</v>
      </c>
      <c r="H6" s="23" t="s">
        <v>78</v>
      </c>
      <c r="I6" s="23"/>
      <c r="J6" s="23"/>
      <c r="K6" s="23"/>
    </row>
    <row r="7" spans="1:11" ht="26" x14ac:dyDescent="0.35">
      <c r="A7" s="23" t="s">
        <v>87</v>
      </c>
      <c r="B7" s="23" t="s">
        <v>88</v>
      </c>
      <c r="C7" s="23" t="s">
        <v>73</v>
      </c>
      <c r="D7" s="23" t="s">
        <v>74</v>
      </c>
      <c r="E7" s="23" t="s">
        <v>89</v>
      </c>
      <c r="F7" s="23" t="s">
        <v>90</v>
      </c>
      <c r="G7" s="23" t="s">
        <v>91</v>
      </c>
      <c r="H7" s="23" t="s">
        <v>78</v>
      </c>
      <c r="I7" s="23"/>
      <c r="J7" s="23"/>
      <c r="K7" s="23"/>
    </row>
    <row r="8" spans="1:11" ht="26" x14ac:dyDescent="0.35">
      <c r="A8" s="23" t="s">
        <v>92</v>
      </c>
      <c r="B8" s="23" t="s">
        <v>93</v>
      </c>
      <c r="C8" s="23" t="s">
        <v>73</v>
      </c>
      <c r="D8" s="23" t="s">
        <v>94</v>
      </c>
      <c r="E8" s="23" t="s">
        <v>95</v>
      </c>
      <c r="F8" s="23" t="s">
        <v>96</v>
      </c>
      <c r="G8" s="23" t="s">
        <v>97</v>
      </c>
      <c r="H8" s="23" t="s">
        <v>78</v>
      </c>
      <c r="I8" s="23"/>
      <c r="J8" s="23"/>
      <c r="K8" s="23"/>
    </row>
    <row r="9" spans="1:11" ht="26" x14ac:dyDescent="0.35">
      <c r="A9" s="23" t="s">
        <v>98</v>
      </c>
      <c r="B9" s="23" t="s">
        <v>99</v>
      </c>
      <c r="C9" s="23" t="s">
        <v>73</v>
      </c>
      <c r="D9" s="23" t="s">
        <v>74</v>
      </c>
      <c r="E9" s="23" t="s">
        <v>100</v>
      </c>
      <c r="F9" s="23" t="s">
        <v>101</v>
      </c>
      <c r="G9" s="23" t="s">
        <v>102</v>
      </c>
      <c r="H9" s="23" t="s">
        <v>103</v>
      </c>
      <c r="I9" s="23"/>
      <c r="J9" s="23"/>
      <c r="K9" s="23"/>
    </row>
    <row r="10" spans="1:11" ht="26" x14ac:dyDescent="0.35">
      <c r="A10" s="23" t="s">
        <v>104</v>
      </c>
      <c r="B10" s="23" t="s">
        <v>105</v>
      </c>
      <c r="C10" s="23" t="s">
        <v>73</v>
      </c>
      <c r="D10" s="23" t="s">
        <v>74</v>
      </c>
      <c r="E10" s="23" t="s">
        <v>106</v>
      </c>
      <c r="F10" s="23" t="s">
        <v>107</v>
      </c>
      <c r="G10" s="23" t="s">
        <v>108</v>
      </c>
      <c r="H10" s="23" t="s">
        <v>78</v>
      </c>
      <c r="I10" s="23"/>
      <c r="J10" s="23"/>
      <c r="K10" s="23"/>
    </row>
    <row r="11" spans="1:11" x14ac:dyDescent="0.35">
      <c r="A11" s="23" t="s">
        <v>109</v>
      </c>
      <c r="B11" s="23" t="s">
        <v>110</v>
      </c>
      <c r="C11" s="23" t="s">
        <v>73</v>
      </c>
      <c r="D11" s="23" t="s">
        <v>94</v>
      </c>
      <c r="E11" s="23" t="s">
        <v>111</v>
      </c>
      <c r="F11" s="23" t="s">
        <v>112</v>
      </c>
      <c r="G11" s="23" t="s">
        <v>97</v>
      </c>
      <c r="H11" s="23" t="s">
        <v>103</v>
      </c>
      <c r="I11" s="23"/>
      <c r="J11" s="23"/>
      <c r="K11" s="23"/>
    </row>
    <row r="12" spans="1:11" ht="26" x14ac:dyDescent="0.35">
      <c r="A12" s="23" t="s">
        <v>113</v>
      </c>
      <c r="B12" s="23" t="s">
        <v>114</v>
      </c>
      <c r="C12" s="23" t="s">
        <v>73</v>
      </c>
      <c r="D12" s="23" t="s">
        <v>94</v>
      </c>
      <c r="E12" s="23" t="s">
        <v>111</v>
      </c>
      <c r="F12" s="23" t="s">
        <v>115</v>
      </c>
      <c r="G12" s="23" t="s">
        <v>97</v>
      </c>
      <c r="H12" s="23" t="s">
        <v>103</v>
      </c>
      <c r="I12" s="23"/>
      <c r="J12" s="23"/>
      <c r="K12" s="23"/>
    </row>
    <row r="13" spans="1:11" x14ac:dyDescent="0.35">
      <c r="A13" s="23" t="s">
        <v>116</v>
      </c>
      <c r="B13" s="23" t="s">
        <v>117</v>
      </c>
      <c r="C13" s="23" t="s">
        <v>73</v>
      </c>
      <c r="D13" s="23" t="s">
        <v>94</v>
      </c>
      <c r="E13" s="23" t="s">
        <v>111</v>
      </c>
      <c r="F13" s="23" t="s">
        <v>118</v>
      </c>
      <c r="G13" s="23" t="s">
        <v>97</v>
      </c>
      <c r="H13" s="23" t="s">
        <v>103</v>
      </c>
      <c r="I13" s="23"/>
      <c r="J13" s="23"/>
      <c r="K13" s="23"/>
    </row>
    <row r="14" spans="1:11" x14ac:dyDescent="0.35">
      <c r="A14" s="23" t="s">
        <v>119</v>
      </c>
      <c r="B14" s="23" t="s">
        <v>120</v>
      </c>
      <c r="C14" s="23" t="s">
        <v>121</v>
      </c>
      <c r="D14" s="23" t="s">
        <v>122</v>
      </c>
      <c r="E14" s="23" t="s">
        <v>123</v>
      </c>
      <c r="F14" s="23" t="s">
        <v>124</v>
      </c>
      <c r="G14" s="23" t="s">
        <v>97</v>
      </c>
      <c r="H14" s="23" t="s">
        <v>125</v>
      </c>
      <c r="I14" s="23"/>
      <c r="J14" s="23"/>
      <c r="K14" s="23"/>
    </row>
    <row r="15" spans="1:11" x14ac:dyDescent="0.35">
      <c r="A15" s="23" t="s">
        <v>126</v>
      </c>
      <c r="B15" s="23" t="s">
        <v>127</v>
      </c>
      <c r="C15" s="23" t="s">
        <v>121</v>
      </c>
      <c r="D15" s="23" t="s">
        <v>122</v>
      </c>
      <c r="E15" s="23" t="s">
        <v>128</v>
      </c>
      <c r="F15" s="23" t="s">
        <v>129</v>
      </c>
      <c r="G15" s="23" t="s">
        <v>97</v>
      </c>
      <c r="H15" s="23" t="s">
        <v>125</v>
      </c>
      <c r="I15" s="23"/>
      <c r="J15" s="23"/>
      <c r="K15" s="23"/>
    </row>
    <row r="16" spans="1:11" ht="26" x14ac:dyDescent="0.35">
      <c r="A16" s="23" t="s">
        <v>130</v>
      </c>
      <c r="B16" s="23" t="s">
        <v>131</v>
      </c>
      <c r="C16" s="23" t="s">
        <v>121</v>
      </c>
      <c r="D16" s="23" t="s">
        <v>122</v>
      </c>
      <c r="E16" s="23" t="s">
        <v>123</v>
      </c>
      <c r="F16" s="23" t="s">
        <v>132</v>
      </c>
      <c r="G16" s="23" t="s">
        <v>97</v>
      </c>
      <c r="H16" s="23" t="s">
        <v>133</v>
      </c>
      <c r="I16" s="23"/>
      <c r="J16" s="23"/>
      <c r="K16" s="23"/>
    </row>
    <row r="17" spans="1:11" ht="26" x14ac:dyDescent="0.35">
      <c r="A17" s="23" t="s">
        <v>134</v>
      </c>
      <c r="B17" s="23" t="s">
        <v>135</v>
      </c>
      <c r="C17" s="23" t="s">
        <v>121</v>
      </c>
      <c r="D17" s="23" t="s">
        <v>74</v>
      </c>
      <c r="E17" s="23" t="s">
        <v>136</v>
      </c>
      <c r="F17" s="23" t="s">
        <v>137</v>
      </c>
      <c r="G17" s="23" t="s">
        <v>97</v>
      </c>
      <c r="H17" s="23" t="s">
        <v>125</v>
      </c>
      <c r="I17" s="23"/>
      <c r="J17" s="23"/>
      <c r="K17" s="23"/>
    </row>
    <row r="18" spans="1:11" x14ac:dyDescent="0.35">
      <c r="A18" s="23" t="s">
        <v>138</v>
      </c>
      <c r="B18" s="23" t="s">
        <v>139</v>
      </c>
      <c r="C18" s="23" t="s">
        <v>121</v>
      </c>
      <c r="D18" s="23" t="s">
        <v>74</v>
      </c>
      <c r="E18" s="23" t="s">
        <v>140</v>
      </c>
      <c r="F18" s="23" t="s">
        <v>141</v>
      </c>
      <c r="G18" s="23" t="s">
        <v>97</v>
      </c>
      <c r="H18" s="23" t="s">
        <v>103</v>
      </c>
      <c r="I18" s="23"/>
      <c r="J18" s="23"/>
      <c r="K18" s="23"/>
    </row>
    <row r="19" spans="1:11" x14ac:dyDescent="0.35">
      <c r="A19" s="23" t="s">
        <v>142</v>
      </c>
      <c r="B19" s="23" t="s">
        <v>143</v>
      </c>
      <c r="C19" s="23" t="s">
        <v>121</v>
      </c>
      <c r="D19" s="23" t="s">
        <v>74</v>
      </c>
      <c r="E19" s="23" t="s">
        <v>144</v>
      </c>
      <c r="F19" s="23" t="s">
        <v>141</v>
      </c>
      <c r="G19" s="23" t="s">
        <v>97</v>
      </c>
      <c r="H19" s="23" t="s">
        <v>103</v>
      </c>
      <c r="I19" s="23"/>
      <c r="J19" s="23"/>
      <c r="K19" s="23"/>
    </row>
    <row r="20" spans="1:11" x14ac:dyDescent="0.35">
      <c r="A20" s="23" t="s">
        <v>145</v>
      </c>
      <c r="B20" s="23" t="s">
        <v>146</v>
      </c>
      <c r="C20" s="23" t="s">
        <v>121</v>
      </c>
      <c r="D20" s="23" t="s">
        <v>122</v>
      </c>
      <c r="E20" s="23" t="s">
        <v>147</v>
      </c>
      <c r="F20" s="23" t="s">
        <v>148</v>
      </c>
      <c r="G20" s="23" t="s">
        <v>97</v>
      </c>
      <c r="H20" s="23" t="s">
        <v>125</v>
      </c>
      <c r="I20" s="23"/>
      <c r="J20" s="23"/>
      <c r="K20" s="23"/>
    </row>
    <row r="21" spans="1:11" x14ac:dyDescent="0.35">
      <c r="A21" s="23" t="s">
        <v>149</v>
      </c>
      <c r="B21" s="23" t="s">
        <v>150</v>
      </c>
      <c r="C21" s="23" t="s">
        <v>151</v>
      </c>
      <c r="D21" s="23" t="s">
        <v>122</v>
      </c>
      <c r="E21" s="23" t="s">
        <v>152</v>
      </c>
      <c r="F21" s="23" t="s">
        <v>153</v>
      </c>
      <c r="G21" s="23" t="s">
        <v>97</v>
      </c>
      <c r="H21" s="23" t="s">
        <v>125</v>
      </c>
      <c r="I21" s="23"/>
      <c r="J21" s="23"/>
      <c r="K21" s="23"/>
    </row>
    <row r="22" spans="1:11" x14ac:dyDescent="0.35">
      <c r="A22" s="23" t="s">
        <v>154</v>
      </c>
      <c r="B22" s="23" t="s">
        <v>155</v>
      </c>
      <c r="C22" s="23" t="s">
        <v>121</v>
      </c>
      <c r="D22" s="23" t="s">
        <v>122</v>
      </c>
      <c r="E22" s="23" t="s">
        <v>152</v>
      </c>
      <c r="F22" s="23" t="s">
        <v>148</v>
      </c>
      <c r="G22" s="23" t="s">
        <v>97</v>
      </c>
      <c r="H22" s="23" t="s">
        <v>125</v>
      </c>
      <c r="I22" s="23"/>
      <c r="J22" s="23"/>
      <c r="K22" s="23"/>
    </row>
    <row r="23" spans="1:11" x14ac:dyDescent="0.35">
      <c r="A23" s="23" t="s">
        <v>156</v>
      </c>
      <c r="B23" s="23" t="s">
        <v>157</v>
      </c>
      <c r="C23" s="23" t="s">
        <v>158</v>
      </c>
      <c r="D23" s="23" t="s">
        <v>122</v>
      </c>
      <c r="E23" s="23" t="s">
        <v>152</v>
      </c>
      <c r="F23" s="23" t="s">
        <v>148</v>
      </c>
      <c r="G23" s="23" t="s">
        <v>97</v>
      </c>
      <c r="H23" s="23" t="s">
        <v>125</v>
      </c>
      <c r="I23" s="23"/>
      <c r="J23" s="23"/>
      <c r="K23" s="23"/>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5"/>
  <sheetViews>
    <sheetView showGridLines="0" workbookViewId="0">
      <pane ySplit="3" topLeftCell="A4" activePane="bottomLeft" state="frozen"/>
      <selection pane="bottomLeft"/>
    </sheetView>
  </sheetViews>
  <sheetFormatPr defaultRowHeight="14.5" x14ac:dyDescent="0.35"/>
  <cols>
    <col min="1" max="1" width="16" customWidth="1"/>
    <col min="2" max="5" width="12" customWidth="1"/>
    <col min="6" max="6" width="14" customWidth="1"/>
    <col min="7" max="7" width="12" customWidth="1"/>
    <col min="8" max="8" width="20" customWidth="1"/>
    <col min="9" max="10" width="14" customWidth="1"/>
    <col min="11" max="11" width="12" customWidth="1"/>
  </cols>
  <sheetData>
    <row r="1" spans="1:11" ht="28" customHeight="1" x14ac:dyDescent="0.5">
      <c r="A1" s="1" t="s">
        <v>159</v>
      </c>
    </row>
    <row r="2" spans="1:11" ht="32" customHeight="1" x14ac:dyDescent="0.35">
      <c r="A2" s="28" t="s">
        <v>160</v>
      </c>
      <c r="B2" s="27"/>
      <c r="C2" s="27"/>
      <c r="D2" s="27"/>
      <c r="E2" s="27"/>
      <c r="F2" s="27"/>
      <c r="G2" s="27"/>
    </row>
    <row r="3" spans="1:11" x14ac:dyDescent="0.35">
      <c r="A3" s="3" t="s">
        <v>161</v>
      </c>
      <c r="B3" s="3" t="s">
        <v>5</v>
      </c>
      <c r="C3" s="3" t="s">
        <v>78</v>
      </c>
      <c r="D3" s="3" t="s">
        <v>103</v>
      </c>
      <c r="E3" s="3" t="s">
        <v>11</v>
      </c>
      <c r="F3" s="3" t="s">
        <v>17</v>
      </c>
      <c r="G3" s="3" t="s">
        <v>74</v>
      </c>
      <c r="H3" s="3" t="s">
        <v>162</v>
      </c>
      <c r="I3" s="3" t="s">
        <v>163</v>
      </c>
      <c r="J3" s="3" t="s">
        <v>164</v>
      </c>
      <c r="K3" s="3" t="s">
        <v>165</v>
      </c>
    </row>
    <row r="4" spans="1:11" ht="36" customHeight="1" x14ac:dyDescent="0.35">
      <c r="A4" s="5" t="s">
        <v>166</v>
      </c>
      <c r="B4" s="5">
        <v>770</v>
      </c>
      <c r="C4" s="5">
        <v>116</v>
      </c>
      <c r="D4" s="5">
        <v>437</v>
      </c>
      <c r="E4" s="5">
        <v>217</v>
      </c>
      <c r="F4" s="5">
        <v>7</v>
      </c>
      <c r="G4" s="5">
        <v>9</v>
      </c>
      <c r="H4" s="5">
        <v>1</v>
      </c>
      <c r="I4" s="5">
        <v>770</v>
      </c>
      <c r="J4" s="5">
        <v>767</v>
      </c>
      <c r="K4" s="5">
        <v>0</v>
      </c>
    </row>
    <row r="5" spans="1:11" ht="22" customHeight="1" x14ac:dyDescent="0.35">
      <c r="A5" s="8" t="s">
        <v>167</v>
      </c>
      <c r="B5" s="9">
        <f>COUNTA(TaskRegister[Task ID])</f>
        <v>770</v>
      </c>
      <c r="C5" s="9">
        <f>COUNTIF(TaskRegister[Release gate],"MVP")</f>
        <v>116</v>
      </c>
      <c r="D5" s="9">
        <f>COUNTIF(TaskRegister[Release gate],"Pilot")</f>
        <v>437</v>
      </c>
      <c r="E5" s="9">
        <f>COUNTIF(TaskRegister[Release gate],"Later")</f>
        <v>217</v>
      </c>
      <c r="F5" s="9">
        <f>COUNTIF(TaskRegister[Work status],"Gap")</f>
        <v>7</v>
      </c>
      <c r="G5" s="9">
        <f>COUNTIF(TaskRegister[Work status],"Built - partial")</f>
        <v>9</v>
      </c>
      <c r="H5" s="9">
        <f>COUNTIFS(TaskRegister[Release gate],"MVP",TaskRegister[Verification result],"Pass")</f>
        <v>1</v>
      </c>
      <c r="I5" s="9">
        <f>COUNTBLANK(TaskRegister[Owner])</f>
        <v>770</v>
      </c>
      <c r="J5" s="9">
        <f>COUNTBLANK(TaskRegister[Test case ID])</f>
        <v>767</v>
      </c>
      <c r="K5" s="9">
        <f>COUNTIF(TaskRegister[OS ready],"Yes")</f>
        <v>0</v>
      </c>
    </row>
  </sheetData>
  <mergeCells count="1">
    <mergeCell ref="A2:G2"/>
  </mergeCells>
  <pageMargins left="0.75" right="0.75" top="1" bottom="1" header="0.5" footer="0.5"/>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54"/>
  <sheetViews>
    <sheetView showGridLines="0" workbookViewId="0"/>
  </sheetViews>
  <sheetFormatPr defaultRowHeight="14.5" x14ac:dyDescent="0.35"/>
  <cols>
    <col min="1" max="1" width="36" customWidth="1"/>
    <col min="2" max="2" width="28" customWidth="1"/>
    <col min="3" max="3" width="88" customWidth="1"/>
  </cols>
  <sheetData>
    <row r="1" spans="1:3" ht="28" customHeight="1" x14ac:dyDescent="0.5">
      <c r="A1" s="1" t="s">
        <v>168</v>
      </c>
    </row>
    <row r="2" spans="1:3" x14ac:dyDescent="0.35">
      <c r="A2" s="31" t="s">
        <v>169</v>
      </c>
      <c r="B2" s="27"/>
      <c r="C2" s="27"/>
    </row>
    <row r="4" spans="1:3" ht="20" customHeight="1" x14ac:dyDescent="0.35">
      <c r="A4" s="32" t="s">
        <v>170</v>
      </c>
      <c r="B4" s="27"/>
      <c r="C4" s="27"/>
    </row>
    <row r="5" spans="1:3" ht="36" customHeight="1" x14ac:dyDescent="0.35">
      <c r="A5" s="26" t="s">
        <v>171</v>
      </c>
      <c r="B5" s="27"/>
      <c r="C5" s="27"/>
    </row>
    <row r="6" spans="1:3" ht="36" customHeight="1" x14ac:dyDescent="0.35">
      <c r="A6" s="26" t="s">
        <v>172</v>
      </c>
      <c r="B6" s="27"/>
      <c r="C6" s="27"/>
    </row>
    <row r="7" spans="1:3" ht="36" customHeight="1" x14ac:dyDescent="0.35">
      <c r="A7" s="26" t="s">
        <v>173</v>
      </c>
      <c r="B7" s="27"/>
      <c r="C7" s="27"/>
    </row>
    <row r="8" spans="1:3" ht="36" customHeight="1" x14ac:dyDescent="0.35">
      <c r="A8" s="26" t="s">
        <v>174</v>
      </c>
      <c r="B8" s="27"/>
      <c r="C8" s="27"/>
    </row>
    <row r="9" spans="1:3" ht="36" customHeight="1" x14ac:dyDescent="0.35">
      <c r="A9" s="26" t="s">
        <v>175</v>
      </c>
      <c r="B9" s="27"/>
      <c r="C9" s="27"/>
    </row>
    <row r="10" spans="1:3" ht="36" customHeight="1" x14ac:dyDescent="0.35">
      <c r="A10" s="26" t="s">
        <v>176</v>
      </c>
      <c r="B10" s="27"/>
      <c r="C10" s="27"/>
    </row>
    <row r="12" spans="1:3" x14ac:dyDescent="0.35">
      <c r="A12" s="30" t="s">
        <v>177</v>
      </c>
      <c r="B12" s="27"/>
      <c r="C12" s="27"/>
    </row>
    <row r="13" spans="1:3" x14ac:dyDescent="0.35">
      <c r="A13" s="12" t="s">
        <v>178</v>
      </c>
      <c r="B13" s="12" t="s">
        <v>179</v>
      </c>
      <c r="C13" s="12" t="s">
        <v>180</v>
      </c>
    </row>
    <row r="14" spans="1:3" ht="28" customHeight="1" x14ac:dyDescent="0.35">
      <c r="A14" s="5" t="s">
        <v>181</v>
      </c>
      <c r="B14" s="5" t="s">
        <v>182</v>
      </c>
      <c r="C14" s="5" t="s">
        <v>183</v>
      </c>
    </row>
    <row r="15" spans="1:3" ht="28" customHeight="1" x14ac:dyDescent="0.35">
      <c r="A15" s="5" t="s">
        <v>94</v>
      </c>
      <c r="B15" s="5" t="s">
        <v>184</v>
      </c>
      <c r="C15" s="5" t="s">
        <v>185</v>
      </c>
    </row>
    <row r="16" spans="1:3" ht="28" customHeight="1" x14ac:dyDescent="0.35">
      <c r="A16" s="5" t="s">
        <v>186</v>
      </c>
      <c r="B16" s="5" t="s">
        <v>187</v>
      </c>
      <c r="C16" s="5" t="s">
        <v>188</v>
      </c>
    </row>
    <row r="17" spans="1:3" ht="28" customHeight="1" x14ac:dyDescent="0.35">
      <c r="A17" s="5" t="s">
        <v>74</v>
      </c>
      <c r="B17" s="5" t="s">
        <v>189</v>
      </c>
      <c r="C17" s="5" t="s">
        <v>190</v>
      </c>
    </row>
    <row r="18" spans="1:3" ht="28" customHeight="1" x14ac:dyDescent="0.35">
      <c r="A18" s="5" t="s">
        <v>122</v>
      </c>
      <c r="B18" s="5" t="s">
        <v>189</v>
      </c>
      <c r="C18" s="5" t="s">
        <v>191</v>
      </c>
    </row>
    <row r="19" spans="1:3" ht="28" customHeight="1" x14ac:dyDescent="0.35">
      <c r="A19" s="5" t="s">
        <v>182</v>
      </c>
      <c r="B19" s="5" t="s">
        <v>187</v>
      </c>
      <c r="C19" s="5" t="s">
        <v>192</v>
      </c>
    </row>
    <row r="20" spans="1:3" ht="28" customHeight="1" x14ac:dyDescent="0.35">
      <c r="A20" s="5" t="s">
        <v>193</v>
      </c>
      <c r="B20" s="5" t="s">
        <v>194</v>
      </c>
      <c r="C20" s="5" t="s">
        <v>195</v>
      </c>
    </row>
    <row r="22" spans="1:3" x14ac:dyDescent="0.35">
      <c r="A22" s="30" t="s">
        <v>196</v>
      </c>
      <c r="B22" s="27"/>
    </row>
    <row r="23" spans="1:3" x14ac:dyDescent="0.35">
      <c r="A23" s="5" t="s">
        <v>5</v>
      </c>
      <c r="B23" s="13">
        <v>770</v>
      </c>
    </row>
    <row r="24" spans="1:3" x14ac:dyDescent="0.35">
      <c r="A24" s="5" t="s">
        <v>197</v>
      </c>
      <c r="B24" s="13">
        <v>560</v>
      </c>
    </row>
    <row r="25" spans="1:3" x14ac:dyDescent="0.35">
      <c r="A25" s="5" t="s">
        <v>198</v>
      </c>
      <c r="B25" s="13">
        <v>155</v>
      </c>
    </row>
    <row r="26" spans="1:3" x14ac:dyDescent="0.35">
      <c r="A26" s="5" t="s">
        <v>199</v>
      </c>
      <c r="B26" s="13">
        <v>25</v>
      </c>
    </row>
    <row r="27" spans="1:3" x14ac:dyDescent="0.35">
      <c r="A27" s="5" t="s">
        <v>200</v>
      </c>
      <c r="B27" s="13">
        <v>30</v>
      </c>
    </row>
    <row r="28" spans="1:3" x14ac:dyDescent="0.35">
      <c r="A28" s="5" t="s">
        <v>181</v>
      </c>
      <c r="B28" s="13" t="s">
        <v>201</v>
      </c>
    </row>
    <row r="29" spans="1:3" x14ac:dyDescent="0.35">
      <c r="A29" s="5" t="s">
        <v>193</v>
      </c>
      <c r="B29" s="13" t="s">
        <v>202</v>
      </c>
    </row>
    <row r="30" spans="1:3" x14ac:dyDescent="0.35">
      <c r="A30" s="5" t="s">
        <v>94</v>
      </c>
      <c r="B30" s="13" t="s">
        <v>203</v>
      </c>
    </row>
    <row r="31" spans="1:3" x14ac:dyDescent="0.35">
      <c r="A31" s="5" t="s">
        <v>122</v>
      </c>
      <c r="B31" s="13" t="s">
        <v>204</v>
      </c>
    </row>
    <row r="32" spans="1:3" x14ac:dyDescent="0.35">
      <c r="A32" s="5" t="s">
        <v>74</v>
      </c>
      <c r="B32" s="13" t="s">
        <v>205</v>
      </c>
    </row>
    <row r="33" spans="1:3" x14ac:dyDescent="0.35">
      <c r="A33" s="5" t="s">
        <v>73</v>
      </c>
      <c r="B33" s="13">
        <v>116</v>
      </c>
    </row>
    <row r="34" spans="1:3" x14ac:dyDescent="0.35">
      <c r="A34" s="5" t="s">
        <v>121</v>
      </c>
      <c r="B34" s="13">
        <v>588</v>
      </c>
    </row>
    <row r="35" spans="1:3" x14ac:dyDescent="0.35">
      <c r="A35" s="5" t="s">
        <v>151</v>
      </c>
      <c r="B35" s="13">
        <v>48</v>
      </c>
    </row>
    <row r="36" spans="1:3" x14ac:dyDescent="0.35">
      <c r="A36" s="5" t="s">
        <v>158</v>
      </c>
      <c r="B36" s="13">
        <v>18</v>
      </c>
    </row>
    <row r="37" spans="1:3" x14ac:dyDescent="0.35">
      <c r="A37" s="5" t="s">
        <v>206</v>
      </c>
      <c r="B37" s="13">
        <v>369</v>
      </c>
    </row>
    <row r="38" spans="1:3" x14ac:dyDescent="0.35">
      <c r="A38" s="5" t="s">
        <v>207</v>
      </c>
      <c r="B38" s="13">
        <v>231</v>
      </c>
    </row>
    <row r="39" spans="1:3" x14ac:dyDescent="0.35">
      <c r="A39" s="5" t="s">
        <v>208</v>
      </c>
      <c r="B39" s="13">
        <v>108</v>
      </c>
    </row>
    <row r="40" spans="1:3" x14ac:dyDescent="0.35">
      <c r="A40" s="5" t="s">
        <v>209</v>
      </c>
      <c r="B40" s="13">
        <v>25</v>
      </c>
    </row>
    <row r="41" spans="1:3" x14ac:dyDescent="0.35">
      <c r="A41" s="5" t="s">
        <v>210</v>
      </c>
      <c r="B41" s="13">
        <v>20</v>
      </c>
    </row>
    <row r="42" spans="1:3" x14ac:dyDescent="0.35">
      <c r="A42" s="5" t="s">
        <v>211</v>
      </c>
      <c r="B42" s="13">
        <v>17</v>
      </c>
    </row>
    <row r="43" spans="1:3" x14ac:dyDescent="0.35">
      <c r="A43" s="5" t="s">
        <v>212</v>
      </c>
      <c r="B43" s="13">
        <v>82</v>
      </c>
    </row>
    <row r="45" spans="1:3" x14ac:dyDescent="0.35">
      <c r="A45" s="32" t="s">
        <v>213</v>
      </c>
      <c r="B45" s="27"/>
      <c r="C45" s="27"/>
    </row>
    <row r="46" spans="1:3" ht="30" customHeight="1" x14ac:dyDescent="0.35">
      <c r="A46" s="29" t="s">
        <v>214</v>
      </c>
      <c r="B46" s="27"/>
      <c r="C46" s="27"/>
    </row>
    <row r="47" spans="1:3" ht="60" customHeight="1" x14ac:dyDescent="0.35">
      <c r="A47" s="29" t="s">
        <v>215</v>
      </c>
      <c r="B47" s="27"/>
      <c r="C47" s="27"/>
    </row>
    <row r="48" spans="1:3" ht="15" customHeight="1" x14ac:dyDescent="0.35">
      <c r="A48" s="29" t="s">
        <v>216</v>
      </c>
      <c r="B48" s="27"/>
      <c r="C48" s="27"/>
    </row>
    <row r="49" spans="1:3" ht="30" customHeight="1" x14ac:dyDescent="0.35">
      <c r="A49" s="29" t="s">
        <v>217</v>
      </c>
      <c r="B49" s="27"/>
      <c r="C49" s="27"/>
    </row>
    <row r="50" spans="1:3" ht="45" customHeight="1" x14ac:dyDescent="0.35">
      <c r="A50" s="29" t="s">
        <v>218</v>
      </c>
      <c r="B50" s="27"/>
      <c r="C50" s="27"/>
    </row>
    <row r="51" spans="1:3" ht="15" customHeight="1" x14ac:dyDescent="0.35">
      <c r="A51" s="29" t="s">
        <v>219</v>
      </c>
      <c r="B51" s="27"/>
      <c r="C51" s="27"/>
    </row>
    <row r="52" spans="1:3" ht="30" customHeight="1" x14ac:dyDescent="0.35">
      <c r="A52" s="29" t="s">
        <v>220</v>
      </c>
      <c r="B52" s="27"/>
      <c r="C52" s="27"/>
    </row>
    <row r="53" spans="1:3" ht="15" customHeight="1" x14ac:dyDescent="0.35">
      <c r="A53" s="29" t="s">
        <v>221</v>
      </c>
      <c r="B53" s="27"/>
      <c r="C53" s="27"/>
    </row>
    <row r="54" spans="1:3" ht="30" customHeight="1" x14ac:dyDescent="0.35">
      <c r="A54" s="29" t="s">
        <v>222</v>
      </c>
      <c r="B54" s="27"/>
      <c r="C54" s="27"/>
    </row>
  </sheetData>
  <mergeCells count="20">
    <mergeCell ref="A54:C54"/>
    <mergeCell ref="A53:C53"/>
    <mergeCell ref="A4:C4"/>
    <mergeCell ref="A52:C52"/>
    <mergeCell ref="A10:C10"/>
    <mergeCell ref="A9:C9"/>
    <mergeCell ref="A48:C48"/>
    <mergeCell ref="A22:B22"/>
    <mergeCell ref="A51:C51"/>
    <mergeCell ref="A49:C49"/>
    <mergeCell ref="A45:C45"/>
    <mergeCell ref="A6:C6"/>
    <mergeCell ref="A7:C7"/>
    <mergeCell ref="A46:C46"/>
    <mergeCell ref="A50:C50"/>
    <mergeCell ref="A12:C12"/>
    <mergeCell ref="A2:C2"/>
    <mergeCell ref="A47:C47"/>
    <mergeCell ref="A5:C5"/>
    <mergeCell ref="A8:C8"/>
  </mergeCells>
  <pageMargins left="0.75" right="0.75" top="1" bottom="1" header="0.5" footer="0.5"/>
  <pageSetup orientation="landscape"/>
  <headerFooter>
    <oddFooter>&amp;RPage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17"/>
  <sheetViews>
    <sheetView showGridLines="0" workbookViewId="0">
      <pane ySplit="3" topLeftCell="A4" activePane="bottomLeft" state="frozen"/>
      <selection pane="bottomLeft"/>
    </sheetView>
  </sheetViews>
  <sheetFormatPr defaultRowHeight="14.5" x14ac:dyDescent="0.35"/>
  <cols>
    <col min="1" max="1" width="6" customWidth="1"/>
    <col min="2" max="2" width="28" customWidth="1"/>
    <col min="3" max="4" width="62" customWidth="1"/>
  </cols>
  <sheetData>
    <row r="1" spans="1:4" ht="28" customHeight="1" x14ac:dyDescent="0.5">
      <c r="A1" s="1" t="s">
        <v>223</v>
      </c>
    </row>
    <row r="3" spans="1:4" ht="22" customHeight="1" x14ac:dyDescent="0.35">
      <c r="A3" s="14" t="s">
        <v>224</v>
      </c>
      <c r="B3" s="14" t="s">
        <v>225</v>
      </c>
      <c r="C3" s="14" t="s">
        <v>226</v>
      </c>
      <c r="D3" s="14" t="s">
        <v>227</v>
      </c>
    </row>
    <row r="4" spans="1:4" ht="48" customHeight="1" x14ac:dyDescent="0.35">
      <c r="A4" s="5" t="s">
        <v>228</v>
      </c>
      <c r="B4" s="5" t="s">
        <v>229</v>
      </c>
      <c r="C4" s="5" t="s">
        <v>230</v>
      </c>
      <c r="D4" s="5" t="s">
        <v>231</v>
      </c>
    </row>
    <row r="5" spans="1:4" ht="48" customHeight="1" x14ac:dyDescent="0.35">
      <c r="A5" s="5" t="s">
        <v>232</v>
      </c>
      <c r="B5" s="5" t="s">
        <v>233</v>
      </c>
      <c r="C5" s="5" t="s">
        <v>234</v>
      </c>
      <c r="D5" s="5" t="s">
        <v>235</v>
      </c>
    </row>
    <row r="6" spans="1:4" ht="48" customHeight="1" x14ac:dyDescent="0.35">
      <c r="A6" s="5" t="s">
        <v>236</v>
      </c>
      <c r="B6" s="5" t="s">
        <v>237</v>
      </c>
      <c r="C6" s="5" t="s">
        <v>238</v>
      </c>
      <c r="D6" s="5" t="s">
        <v>239</v>
      </c>
    </row>
    <row r="7" spans="1:4" ht="48" customHeight="1" x14ac:dyDescent="0.35">
      <c r="A7" s="5" t="s">
        <v>240</v>
      </c>
      <c r="B7" s="5" t="s">
        <v>241</v>
      </c>
      <c r="C7" s="5" t="s">
        <v>242</v>
      </c>
      <c r="D7" s="5" t="s">
        <v>243</v>
      </c>
    </row>
    <row r="8" spans="1:4" ht="48" customHeight="1" x14ac:dyDescent="0.35">
      <c r="A8" s="5" t="s">
        <v>244</v>
      </c>
      <c r="B8" s="5" t="s">
        <v>245</v>
      </c>
      <c r="C8" s="5" t="s">
        <v>246</v>
      </c>
      <c r="D8" s="5" t="s">
        <v>247</v>
      </c>
    </row>
    <row r="9" spans="1:4" ht="48" customHeight="1" x14ac:dyDescent="0.35">
      <c r="A9" s="5" t="s">
        <v>248</v>
      </c>
      <c r="B9" s="5" t="s">
        <v>249</v>
      </c>
      <c r="C9" s="5" t="s">
        <v>250</v>
      </c>
      <c r="D9" s="5" t="s">
        <v>251</v>
      </c>
    </row>
    <row r="10" spans="1:4" ht="26" x14ac:dyDescent="0.35">
      <c r="A10" s="5">
        <v>7</v>
      </c>
      <c r="B10" s="5" t="s">
        <v>252</v>
      </c>
      <c r="C10" s="5" t="s">
        <v>253</v>
      </c>
      <c r="D10" s="5" t="s">
        <v>254</v>
      </c>
    </row>
    <row r="11" spans="1:4" ht="26" x14ac:dyDescent="0.35">
      <c r="A11" s="5">
        <v>8</v>
      </c>
      <c r="B11" s="5" t="s">
        <v>255</v>
      </c>
      <c r="C11" s="5" t="s">
        <v>256</v>
      </c>
      <c r="D11" s="5" t="s">
        <v>257</v>
      </c>
    </row>
    <row r="12" spans="1:4" ht="78" x14ac:dyDescent="0.35">
      <c r="A12" s="5">
        <v>9</v>
      </c>
      <c r="B12" s="5" t="s">
        <v>258</v>
      </c>
      <c r="C12" s="5" t="s">
        <v>259</v>
      </c>
      <c r="D12" s="5" t="s">
        <v>260</v>
      </c>
    </row>
    <row r="13" spans="1:4" ht="26" x14ac:dyDescent="0.35">
      <c r="A13" s="5">
        <v>10</v>
      </c>
      <c r="B13" s="5" t="s">
        <v>261</v>
      </c>
      <c r="C13" s="5" t="s">
        <v>262</v>
      </c>
      <c r="D13" s="5" t="s">
        <v>263</v>
      </c>
    </row>
    <row r="14" spans="1:4" ht="26" x14ac:dyDescent="0.35">
      <c r="A14" s="5">
        <v>11</v>
      </c>
      <c r="B14" s="5" t="s">
        <v>264</v>
      </c>
      <c r="C14" s="5" t="s">
        <v>265</v>
      </c>
      <c r="D14" s="5" t="s">
        <v>266</v>
      </c>
    </row>
    <row r="15" spans="1:4" ht="26" x14ac:dyDescent="0.35">
      <c r="A15" s="5">
        <v>12</v>
      </c>
      <c r="B15" s="5" t="s">
        <v>267</v>
      </c>
      <c r="C15" s="5" t="s">
        <v>268</v>
      </c>
      <c r="D15" s="5" t="s">
        <v>269</v>
      </c>
    </row>
    <row r="16" spans="1:4" ht="26" x14ac:dyDescent="0.35">
      <c r="A16" s="5">
        <v>13</v>
      </c>
      <c r="B16" s="5" t="s">
        <v>270</v>
      </c>
      <c r="C16" s="5" t="s">
        <v>271</v>
      </c>
      <c r="D16" s="5" t="s">
        <v>272</v>
      </c>
    </row>
    <row r="17" spans="1:4" ht="26" x14ac:dyDescent="0.35">
      <c r="A17" s="5">
        <v>14</v>
      </c>
      <c r="B17" s="5" t="s">
        <v>273</v>
      </c>
      <c r="C17" s="5" t="s">
        <v>274</v>
      </c>
      <c r="D17" s="5" t="s">
        <v>275</v>
      </c>
    </row>
  </sheetData>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25"/>
  <sheetViews>
    <sheetView showGridLines="0" workbookViewId="0">
      <pane ySplit="3" topLeftCell="A4" activePane="bottomLeft" state="frozen"/>
      <selection pane="bottomLeft"/>
    </sheetView>
  </sheetViews>
  <sheetFormatPr defaultRowHeight="14.5" x14ac:dyDescent="0.35"/>
  <cols>
    <col min="1" max="1" width="42" customWidth="1"/>
    <col min="2" max="2" width="16" customWidth="1"/>
    <col min="3" max="3" width="78" customWidth="1"/>
  </cols>
  <sheetData>
    <row r="1" spans="1:7" ht="28" customHeight="1" x14ac:dyDescent="0.5">
      <c r="A1" s="1" t="s">
        <v>276</v>
      </c>
    </row>
    <row r="2" spans="1:7" ht="32" customHeight="1" x14ac:dyDescent="0.35">
      <c r="A2" s="28" t="s">
        <v>277</v>
      </c>
      <c r="B2" s="27"/>
      <c r="C2" s="27"/>
      <c r="D2" s="27"/>
      <c r="E2" s="27"/>
      <c r="F2" s="27"/>
      <c r="G2" s="27"/>
    </row>
    <row r="3" spans="1:7" x14ac:dyDescent="0.35">
      <c r="A3" s="3" t="s">
        <v>278</v>
      </c>
      <c r="B3" s="3" t="s">
        <v>68</v>
      </c>
      <c r="C3" s="3" t="s">
        <v>279</v>
      </c>
    </row>
    <row r="4" spans="1:7" ht="36" customHeight="1" x14ac:dyDescent="0.35">
      <c r="A4" s="5" t="s">
        <v>280</v>
      </c>
      <c r="B4" s="5" t="s">
        <v>281</v>
      </c>
      <c r="C4" s="5" t="s">
        <v>282</v>
      </c>
    </row>
    <row r="5" spans="1:7" ht="36" customHeight="1" x14ac:dyDescent="0.35">
      <c r="A5" s="5" t="s">
        <v>283</v>
      </c>
      <c r="B5" s="5" t="s">
        <v>281</v>
      </c>
      <c r="C5" s="5" t="s">
        <v>284</v>
      </c>
    </row>
    <row r="6" spans="1:7" ht="36" customHeight="1" x14ac:dyDescent="0.35">
      <c r="A6" s="5" t="s">
        <v>285</v>
      </c>
      <c r="B6" s="5" t="s">
        <v>281</v>
      </c>
      <c r="C6" s="5" t="s">
        <v>286</v>
      </c>
    </row>
    <row r="7" spans="1:7" ht="36" customHeight="1" x14ac:dyDescent="0.35">
      <c r="A7" s="5" t="s">
        <v>287</v>
      </c>
      <c r="B7" s="5" t="s">
        <v>281</v>
      </c>
      <c r="C7" s="5" t="s">
        <v>288</v>
      </c>
    </row>
    <row r="8" spans="1:7" ht="36" customHeight="1" x14ac:dyDescent="0.35">
      <c r="A8" s="5" t="s">
        <v>289</v>
      </c>
      <c r="B8" s="5" t="s">
        <v>281</v>
      </c>
      <c r="C8" s="5" t="s">
        <v>290</v>
      </c>
    </row>
    <row r="9" spans="1:7" ht="36" customHeight="1" x14ac:dyDescent="0.35">
      <c r="A9" s="5" t="s">
        <v>291</v>
      </c>
      <c r="B9" s="5" t="s">
        <v>281</v>
      </c>
      <c r="C9" s="5" t="s">
        <v>292</v>
      </c>
    </row>
    <row r="10" spans="1:7" ht="36" customHeight="1" x14ac:dyDescent="0.35">
      <c r="A10" s="5" t="s">
        <v>293</v>
      </c>
      <c r="B10" s="5" t="s">
        <v>281</v>
      </c>
      <c r="C10" s="5" t="s">
        <v>294</v>
      </c>
    </row>
    <row r="11" spans="1:7" ht="36" customHeight="1" x14ac:dyDescent="0.35">
      <c r="A11" s="5" t="s">
        <v>295</v>
      </c>
      <c r="B11" s="5" t="s">
        <v>281</v>
      </c>
      <c r="C11" s="5" t="s">
        <v>296</v>
      </c>
    </row>
    <row r="12" spans="1:7" ht="36" customHeight="1" x14ac:dyDescent="0.35">
      <c r="A12" s="5" t="s">
        <v>297</v>
      </c>
      <c r="B12" s="5" t="s">
        <v>298</v>
      </c>
      <c r="C12" s="5" t="s">
        <v>299</v>
      </c>
    </row>
    <row r="13" spans="1:7" ht="36" customHeight="1" x14ac:dyDescent="0.35">
      <c r="A13" s="5" t="s">
        <v>300</v>
      </c>
      <c r="B13" s="5" t="s">
        <v>298</v>
      </c>
      <c r="C13" s="5" t="s">
        <v>301</v>
      </c>
    </row>
    <row r="14" spans="1:7" ht="36" customHeight="1" x14ac:dyDescent="0.35">
      <c r="A14" s="5" t="s">
        <v>302</v>
      </c>
      <c r="B14" s="5" t="s">
        <v>303</v>
      </c>
      <c r="C14" s="5" t="s">
        <v>304</v>
      </c>
    </row>
    <row r="15" spans="1:7" ht="36" customHeight="1" x14ac:dyDescent="0.35">
      <c r="A15" s="5" t="s">
        <v>305</v>
      </c>
      <c r="B15" s="5" t="s">
        <v>298</v>
      </c>
      <c r="C15" s="5" t="s">
        <v>306</v>
      </c>
    </row>
    <row r="16" spans="1:7" ht="36" customHeight="1" x14ac:dyDescent="0.35">
      <c r="A16" s="5" t="s">
        <v>307</v>
      </c>
      <c r="B16" s="5" t="s">
        <v>298</v>
      </c>
      <c r="C16" s="5" t="s">
        <v>308</v>
      </c>
    </row>
    <row r="17" spans="1:3" ht="36" customHeight="1" x14ac:dyDescent="0.35">
      <c r="A17" s="5" t="s">
        <v>309</v>
      </c>
      <c r="B17" s="5" t="s">
        <v>298</v>
      </c>
      <c r="C17" s="5" t="s">
        <v>310</v>
      </c>
    </row>
    <row r="18" spans="1:3" ht="36" customHeight="1" x14ac:dyDescent="0.35">
      <c r="A18" s="5" t="s">
        <v>311</v>
      </c>
      <c r="B18" s="5" t="s">
        <v>298</v>
      </c>
      <c r="C18" s="5" t="s">
        <v>312</v>
      </c>
    </row>
    <row r="19" spans="1:3" ht="36" customHeight="1" x14ac:dyDescent="0.35">
      <c r="A19" s="5" t="s">
        <v>313</v>
      </c>
      <c r="B19" s="5" t="s">
        <v>298</v>
      </c>
      <c r="C19" s="5" t="s">
        <v>314</v>
      </c>
    </row>
    <row r="20" spans="1:3" ht="36" customHeight="1" x14ac:dyDescent="0.35">
      <c r="A20" s="5" t="s">
        <v>315</v>
      </c>
      <c r="B20" s="5" t="s">
        <v>298</v>
      </c>
      <c r="C20" s="5" t="s">
        <v>316</v>
      </c>
    </row>
    <row r="21" spans="1:3" x14ac:dyDescent="0.35">
      <c r="A21" s="5" t="s">
        <v>317</v>
      </c>
      <c r="B21" s="5" t="s">
        <v>298</v>
      </c>
      <c r="C21" s="5" t="s">
        <v>318</v>
      </c>
    </row>
    <row r="22" spans="1:3" ht="26" x14ac:dyDescent="0.35">
      <c r="A22" s="5" t="s">
        <v>319</v>
      </c>
      <c r="B22" s="5" t="s">
        <v>298</v>
      </c>
      <c r="C22" s="5" t="s">
        <v>320</v>
      </c>
    </row>
    <row r="23" spans="1:3" x14ac:dyDescent="0.35">
      <c r="A23" s="5" t="s">
        <v>321</v>
      </c>
      <c r="B23" s="5" t="s">
        <v>298</v>
      </c>
      <c r="C23" s="5" t="s">
        <v>322</v>
      </c>
    </row>
    <row r="24" spans="1:3" x14ac:dyDescent="0.35">
      <c r="A24" s="5" t="s">
        <v>323</v>
      </c>
      <c r="B24" s="5" t="s">
        <v>298</v>
      </c>
      <c r="C24" s="5" t="s">
        <v>324</v>
      </c>
    </row>
    <row r="25" spans="1:3" ht="26" x14ac:dyDescent="0.35">
      <c r="A25" s="5" t="s">
        <v>325</v>
      </c>
      <c r="B25" s="5" t="s">
        <v>298</v>
      </c>
      <c r="C25" s="5" t="s">
        <v>326</v>
      </c>
    </row>
  </sheetData>
  <mergeCells count="1">
    <mergeCell ref="A2:G2"/>
  </mergeCells>
  <pageMargins left="0.75" right="0.75" top="1" bottom="1" header="0.5" footer="0.5"/>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0"/>
  <sheetViews>
    <sheetView showGridLines="0" workbookViewId="0">
      <pane ySplit="3" topLeftCell="A4" activePane="bottomLeft" state="frozen"/>
      <selection pane="bottomLeft"/>
    </sheetView>
  </sheetViews>
  <sheetFormatPr defaultRowHeight="14.5" x14ac:dyDescent="0.35"/>
  <cols>
    <col min="1" max="1" width="28" customWidth="1"/>
    <col min="2" max="2" width="88" customWidth="1"/>
    <col min="3" max="3" width="14" customWidth="1"/>
  </cols>
  <sheetData>
    <row r="1" spans="1:7" ht="28" customHeight="1" x14ac:dyDescent="0.5">
      <c r="A1" s="1" t="s">
        <v>327</v>
      </c>
    </row>
    <row r="2" spans="1:7" ht="32" customHeight="1" x14ac:dyDescent="0.35">
      <c r="A2" s="28" t="s">
        <v>328</v>
      </c>
      <c r="B2" s="27"/>
      <c r="C2" s="27"/>
      <c r="D2" s="27"/>
      <c r="E2" s="27"/>
      <c r="F2" s="27"/>
      <c r="G2" s="27"/>
    </row>
    <row r="3" spans="1:7" x14ac:dyDescent="0.35">
      <c r="A3" s="3" t="s">
        <v>329</v>
      </c>
      <c r="B3" s="3" t="s">
        <v>330</v>
      </c>
      <c r="C3" s="3" t="s">
        <v>5</v>
      </c>
    </row>
    <row r="4" spans="1:7" ht="32" customHeight="1" x14ac:dyDescent="0.35">
      <c r="A4" s="4" t="s">
        <v>331</v>
      </c>
      <c r="B4" s="5" t="s">
        <v>332</v>
      </c>
      <c r="C4" s="4">
        <f>COUNTIF(TaskRegister[OS layer],A4)</f>
        <v>307</v>
      </c>
    </row>
    <row r="5" spans="1:7" ht="32" customHeight="1" x14ac:dyDescent="0.35">
      <c r="A5" s="4" t="s">
        <v>333</v>
      </c>
      <c r="B5" s="5" t="s">
        <v>334</v>
      </c>
      <c r="C5" s="4">
        <f>COUNTIF(TaskRegister[OS layer],A5)</f>
        <v>346</v>
      </c>
    </row>
    <row r="6" spans="1:7" ht="32" customHeight="1" x14ac:dyDescent="0.35">
      <c r="A6" s="4" t="s">
        <v>335</v>
      </c>
      <c r="B6" s="5" t="s">
        <v>336</v>
      </c>
      <c r="C6" s="4">
        <f>COUNTIF(TaskRegister[OS layer],A6)</f>
        <v>57</v>
      </c>
    </row>
    <row r="7" spans="1:7" ht="32" customHeight="1" x14ac:dyDescent="0.35">
      <c r="A7" s="4" t="s">
        <v>337</v>
      </c>
      <c r="B7" s="5" t="s">
        <v>338</v>
      </c>
      <c r="C7" s="4">
        <f>COUNTIF(TaskRegister[OS layer],A7)</f>
        <v>60</v>
      </c>
    </row>
    <row r="9" spans="1:7" x14ac:dyDescent="0.35">
      <c r="A9" s="7" t="s">
        <v>339</v>
      </c>
    </row>
    <row r="10" spans="1:7" ht="36" customHeight="1" x14ac:dyDescent="0.35">
      <c r="A10" s="26" t="s">
        <v>340</v>
      </c>
      <c r="B10" s="27"/>
      <c r="C10" s="27"/>
    </row>
  </sheetData>
  <mergeCells count="2">
    <mergeCell ref="A10:C10"/>
    <mergeCell ref="A2:G2"/>
  </mergeCell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25"/>
  <sheetViews>
    <sheetView showGridLines="0" workbookViewId="0">
      <pane ySplit="3" topLeftCell="A4" activePane="bottomLeft" state="frozen"/>
      <selection pane="bottomLeft"/>
    </sheetView>
  </sheetViews>
  <sheetFormatPr defaultRowHeight="14.5" x14ac:dyDescent="0.35"/>
  <cols>
    <col min="1" max="1" width="28" customWidth="1"/>
    <col min="2" max="2" width="55" customWidth="1"/>
    <col min="3" max="3" width="42" customWidth="1"/>
    <col min="4" max="4" width="36" customWidth="1"/>
    <col min="5" max="5" width="18" customWidth="1"/>
    <col min="6" max="6" width="12" customWidth="1"/>
    <col min="7" max="7" width="60" customWidth="1"/>
  </cols>
  <sheetData>
    <row r="1" spans="1:7" ht="28" customHeight="1" x14ac:dyDescent="0.5">
      <c r="A1" s="1" t="s">
        <v>341</v>
      </c>
    </row>
    <row r="2" spans="1:7" ht="32" customHeight="1" x14ac:dyDescent="0.35">
      <c r="A2" s="28" t="s">
        <v>342</v>
      </c>
      <c r="B2" s="27"/>
      <c r="C2" s="27"/>
      <c r="D2" s="27"/>
      <c r="E2" s="27"/>
      <c r="F2" s="27"/>
      <c r="G2" s="27"/>
    </row>
    <row r="3" spans="1:7" x14ac:dyDescent="0.35">
      <c r="A3" s="3" t="s">
        <v>343</v>
      </c>
      <c r="B3" s="3" t="s">
        <v>344</v>
      </c>
      <c r="C3" s="3" t="s">
        <v>345</v>
      </c>
      <c r="D3" s="3" t="s">
        <v>346</v>
      </c>
      <c r="E3" s="3" t="s">
        <v>347</v>
      </c>
      <c r="F3" s="3" t="s">
        <v>348</v>
      </c>
      <c r="G3" s="3" t="s">
        <v>349</v>
      </c>
    </row>
    <row r="4" spans="1:7" ht="36" customHeight="1" x14ac:dyDescent="0.35">
      <c r="A4" s="5" t="s">
        <v>350</v>
      </c>
      <c r="B4" s="5" t="s">
        <v>351</v>
      </c>
      <c r="C4" s="5" t="s">
        <v>352</v>
      </c>
      <c r="D4" s="5" t="s">
        <v>353</v>
      </c>
      <c r="E4" s="5" t="s">
        <v>354</v>
      </c>
      <c r="F4" s="5" t="s">
        <v>355</v>
      </c>
      <c r="G4" s="5" t="s">
        <v>356</v>
      </c>
    </row>
    <row r="5" spans="1:7" ht="36" customHeight="1" x14ac:dyDescent="0.35">
      <c r="A5" s="5" t="s">
        <v>357</v>
      </c>
      <c r="B5" s="5" t="s">
        <v>358</v>
      </c>
      <c r="C5" s="5" t="s">
        <v>359</v>
      </c>
      <c r="D5" s="5" t="s">
        <v>353</v>
      </c>
      <c r="E5" s="5" t="s">
        <v>354</v>
      </c>
      <c r="F5" s="5" t="s">
        <v>355</v>
      </c>
      <c r="G5" s="5" t="s">
        <v>360</v>
      </c>
    </row>
    <row r="6" spans="1:7" ht="36" customHeight="1" x14ac:dyDescent="0.35">
      <c r="A6" s="5" t="s">
        <v>361</v>
      </c>
      <c r="B6" s="5" t="s">
        <v>362</v>
      </c>
      <c r="C6" s="5" t="s">
        <v>363</v>
      </c>
      <c r="D6" s="5" t="s">
        <v>353</v>
      </c>
      <c r="E6" s="5" t="s">
        <v>354</v>
      </c>
      <c r="F6" s="5" t="s">
        <v>97</v>
      </c>
      <c r="G6" s="5" t="s">
        <v>364</v>
      </c>
    </row>
    <row r="7" spans="1:7" ht="36" customHeight="1" x14ac:dyDescent="0.35">
      <c r="A7" s="5" t="s">
        <v>365</v>
      </c>
      <c r="B7" s="5" t="s">
        <v>366</v>
      </c>
      <c r="C7" s="5" t="s">
        <v>367</v>
      </c>
      <c r="D7" s="5" t="s">
        <v>353</v>
      </c>
      <c r="E7" s="5" t="s">
        <v>354</v>
      </c>
      <c r="F7" s="5" t="s">
        <v>97</v>
      </c>
      <c r="G7" s="5" t="s">
        <v>364</v>
      </c>
    </row>
    <row r="8" spans="1:7" ht="36" customHeight="1" x14ac:dyDescent="0.35">
      <c r="A8" s="5" t="s">
        <v>368</v>
      </c>
      <c r="B8" s="5" t="s">
        <v>369</v>
      </c>
      <c r="C8" s="5" t="s">
        <v>370</v>
      </c>
      <c r="D8" s="5" t="s">
        <v>353</v>
      </c>
      <c r="E8" s="5" t="s">
        <v>354</v>
      </c>
      <c r="F8" s="5" t="s">
        <v>97</v>
      </c>
      <c r="G8" s="5" t="s">
        <v>364</v>
      </c>
    </row>
    <row r="9" spans="1:7" ht="36" customHeight="1" x14ac:dyDescent="0.35">
      <c r="A9" s="5" t="s">
        <v>371</v>
      </c>
      <c r="B9" s="5" t="s">
        <v>372</v>
      </c>
      <c r="C9" s="5" t="s">
        <v>373</v>
      </c>
      <c r="D9" s="5" t="s">
        <v>374</v>
      </c>
      <c r="E9" s="5" t="s">
        <v>354</v>
      </c>
      <c r="F9" s="5" t="s">
        <v>355</v>
      </c>
      <c r="G9" s="5" t="s">
        <v>375</v>
      </c>
    </row>
    <row r="10" spans="1:7" ht="36" customHeight="1" x14ac:dyDescent="0.35">
      <c r="A10" s="5" t="s">
        <v>376</v>
      </c>
      <c r="B10" s="5" t="s">
        <v>377</v>
      </c>
      <c r="C10" s="5" t="s">
        <v>378</v>
      </c>
      <c r="D10" s="5" t="s">
        <v>379</v>
      </c>
      <c r="E10" s="5" t="s">
        <v>354</v>
      </c>
      <c r="F10" s="5" t="s">
        <v>355</v>
      </c>
      <c r="G10" s="5" t="s">
        <v>380</v>
      </c>
    </row>
    <row r="11" spans="1:7" ht="36" customHeight="1" x14ac:dyDescent="0.35">
      <c r="A11" s="5" t="s">
        <v>381</v>
      </c>
      <c r="B11" s="5" t="s">
        <v>382</v>
      </c>
      <c r="C11" s="5" t="s">
        <v>383</v>
      </c>
      <c r="D11" s="5" t="s">
        <v>353</v>
      </c>
      <c r="E11" s="5" t="s">
        <v>354</v>
      </c>
      <c r="F11" s="5" t="s">
        <v>355</v>
      </c>
      <c r="G11" s="5" t="s">
        <v>384</v>
      </c>
    </row>
    <row r="12" spans="1:7" ht="36" customHeight="1" x14ac:dyDescent="0.35">
      <c r="A12" s="5" t="s">
        <v>385</v>
      </c>
      <c r="B12" s="5" t="s">
        <v>386</v>
      </c>
      <c r="C12" s="5" t="s">
        <v>387</v>
      </c>
      <c r="D12" s="5" t="s">
        <v>353</v>
      </c>
      <c r="E12" s="5" t="s">
        <v>354</v>
      </c>
      <c r="F12" s="5" t="s">
        <v>355</v>
      </c>
      <c r="G12" s="5" t="s">
        <v>384</v>
      </c>
    </row>
    <row r="13" spans="1:7" ht="36" customHeight="1" x14ac:dyDescent="0.35">
      <c r="A13" s="5" t="s">
        <v>388</v>
      </c>
      <c r="B13" s="5" t="s">
        <v>389</v>
      </c>
      <c r="C13" s="5" t="s">
        <v>390</v>
      </c>
      <c r="D13" s="5" t="s">
        <v>353</v>
      </c>
      <c r="E13" s="5" t="s">
        <v>354</v>
      </c>
      <c r="F13" s="5" t="s">
        <v>97</v>
      </c>
      <c r="G13" s="5" t="s">
        <v>364</v>
      </c>
    </row>
    <row r="14" spans="1:7" ht="36" customHeight="1" x14ac:dyDescent="0.35">
      <c r="A14" s="5" t="s">
        <v>391</v>
      </c>
      <c r="B14" s="5" t="s">
        <v>392</v>
      </c>
      <c r="C14" s="5" t="s">
        <v>393</v>
      </c>
      <c r="D14" s="5" t="s">
        <v>353</v>
      </c>
      <c r="E14" s="5" t="s">
        <v>354</v>
      </c>
      <c r="F14" s="5" t="s">
        <v>97</v>
      </c>
      <c r="G14" s="5" t="s">
        <v>364</v>
      </c>
    </row>
    <row r="15" spans="1:7" ht="36" customHeight="1" x14ac:dyDescent="0.35">
      <c r="A15" s="5" t="s">
        <v>394</v>
      </c>
      <c r="B15" s="5" t="s">
        <v>395</v>
      </c>
      <c r="C15" s="5" t="s">
        <v>396</v>
      </c>
      <c r="D15" s="5" t="s">
        <v>353</v>
      </c>
      <c r="E15" s="5" t="s">
        <v>354</v>
      </c>
      <c r="F15" s="5" t="s">
        <v>97</v>
      </c>
      <c r="G15" s="5" t="s">
        <v>364</v>
      </c>
    </row>
    <row r="16" spans="1:7" ht="36" customHeight="1" x14ac:dyDescent="0.35">
      <c r="A16" s="5" t="s">
        <v>397</v>
      </c>
      <c r="B16" s="5" t="s">
        <v>398</v>
      </c>
      <c r="C16" s="5" t="s">
        <v>399</v>
      </c>
      <c r="D16" s="5" t="s">
        <v>400</v>
      </c>
      <c r="E16" s="5" t="s">
        <v>354</v>
      </c>
      <c r="F16" s="5" t="s">
        <v>355</v>
      </c>
      <c r="G16" s="5" t="s">
        <v>401</v>
      </c>
    </row>
    <row r="17" spans="1:7" ht="36" customHeight="1" x14ac:dyDescent="0.35">
      <c r="A17" s="5" t="s">
        <v>402</v>
      </c>
      <c r="B17" s="5" t="s">
        <v>403</v>
      </c>
      <c r="C17" s="5" t="s">
        <v>404</v>
      </c>
      <c r="D17" s="5" t="s">
        <v>405</v>
      </c>
      <c r="E17" s="5" t="s">
        <v>354</v>
      </c>
      <c r="F17" s="5" t="s">
        <v>97</v>
      </c>
      <c r="G17" s="5" t="s">
        <v>364</v>
      </c>
    </row>
    <row r="18" spans="1:7" ht="36" customHeight="1" x14ac:dyDescent="0.35">
      <c r="A18" s="5" t="s">
        <v>406</v>
      </c>
      <c r="B18" s="5" t="s">
        <v>407</v>
      </c>
      <c r="C18" s="5" t="s">
        <v>408</v>
      </c>
      <c r="D18" s="5" t="s">
        <v>409</v>
      </c>
      <c r="E18" s="5" t="s">
        <v>354</v>
      </c>
      <c r="F18" s="5" t="s">
        <v>355</v>
      </c>
      <c r="G18" s="5" t="s">
        <v>410</v>
      </c>
    </row>
    <row r="19" spans="1:7" ht="36" customHeight="1" x14ac:dyDescent="0.35">
      <c r="A19" s="5" t="s">
        <v>411</v>
      </c>
      <c r="B19" s="5" t="s">
        <v>412</v>
      </c>
      <c r="C19" s="5" t="s">
        <v>413</v>
      </c>
      <c r="D19" s="5" t="s">
        <v>414</v>
      </c>
      <c r="E19" s="5" t="s">
        <v>354</v>
      </c>
      <c r="F19" s="5" t="s">
        <v>97</v>
      </c>
      <c r="G19" s="5" t="s">
        <v>364</v>
      </c>
    </row>
    <row r="20" spans="1:7" ht="26" x14ac:dyDescent="0.35">
      <c r="A20" s="5" t="s">
        <v>415</v>
      </c>
      <c r="B20" s="5" t="s">
        <v>416</v>
      </c>
      <c r="C20" s="5" t="s">
        <v>417</v>
      </c>
      <c r="D20" s="5" t="s">
        <v>353</v>
      </c>
      <c r="E20" s="5" t="s">
        <v>354</v>
      </c>
      <c r="F20" s="5" t="s">
        <v>97</v>
      </c>
      <c r="G20" s="5" t="s">
        <v>418</v>
      </c>
    </row>
    <row r="21" spans="1:7" ht="26" x14ac:dyDescent="0.35">
      <c r="A21" s="5" t="s">
        <v>419</v>
      </c>
      <c r="B21" s="5" t="s">
        <v>420</v>
      </c>
      <c r="C21" s="5" t="s">
        <v>421</v>
      </c>
      <c r="D21" s="5" t="s">
        <v>353</v>
      </c>
      <c r="E21" s="5" t="s">
        <v>354</v>
      </c>
      <c r="F21" s="5" t="s">
        <v>97</v>
      </c>
      <c r="G21" s="5" t="s">
        <v>418</v>
      </c>
    </row>
    <row r="22" spans="1:7" ht="26" x14ac:dyDescent="0.35">
      <c r="A22" s="5" t="s">
        <v>422</v>
      </c>
      <c r="B22" s="5" t="s">
        <v>423</v>
      </c>
      <c r="C22" s="5" t="s">
        <v>424</v>
      </c>
      <c r="D22" s="5" t="s">
        <v>425</v>
      </c>
      <c r="E22" s="5" t="s">
        <v>354</v>
      </c>
      <c r="F22" s="5" t="s">
        <v>97</v>
      </c>
      <c r="G22" s="5" t="s">
        <v>426</v>
      </c>
    </row>
    <row r="23" spans="1:7" ht="26" x14ac:dyDescent="0.35">
      <c r="A23" s="5" t="s">
        <v>427</v>
      </c>
      <c r="B23" s="5" t="s">
        <v>428</v>
      </c>
      <c r="C23" s="5" t="s">
        <v>429</v>
      </c>
      <c r="D23" s="5" t="s">
        <v>430</v>
      </c>
      <c r="E23" s="5" t="s">
        <v>354</v>
      </c>
      <c r="F23" s="5" t="s">
        <v>97</v>
      </c>
      <c r="G23" s="5" t="s">
        <v>426</v>
      </c>
    </row>
    <row r="24" spans="1:7" ht="26" x14ac:dyDescent="0.35">
      <c r="A24" s="5" t="s">
        <v>431</v>
      </c>
      <c r="B24" s="5" t="s">
        <v>432</v>
      </c>
      <c r="C24" s="5" t="s">
        <v>433</v>
      </c>
      <c r="D24" s="5" t="s">
        <v>434</v>
      </c>
      <c r="E24" s="5" t="s">
        <v>354</v>
      </c>
      <c r="F24" s="5" t="s">
        <v>97</v>
      </c>
      <c r="G24" s="5" t="s">
        <v>435</v>
      </c>
    </row>
    <row r="25" spans="1:7" x14ac:dyDescent="0.35">
      <c r="A25" s="5" t="s">
        <v>436</v>
      </c>
      <c r="B25" s="5" t="s">
        <v>437</v>
      </c>
      <c r="C25" s="5" t="s">
        <v>438</v>
      </c>
      <c r="D25" s="5" t="s">
        <v>439</v>
      </c>
      <c r="E25" s="5" t="s">
        <v>354</v>
      </c>
      <c r="F25" s="5" t="s">
        <v>97</v>
      </c>
      <c r="G25" s="5" t="s">
        <v>364</v>
      </c>
    </row>
  </sheetData>
  <mergeCells count="1">
    <mergeCell ref="A2:G2"/>
  </mergeCells>
  <pageMargins left="0.75" right="0.75" top="1" bottom="1" header="0.5" footer="0.5"/>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30"/>
  <sheetViews>
    <sheetView showGridLines="0" workbookViewId="0">
      <pane ySplit="3" topLeftCell="A4" activePane="bottomLeft" state="frozen"/>
      <selection pane="bottomLeft"/>
    </sheetView>
  </sheetViews>
  <sheetFormatPr defaultRowHeight="14.5" x14ac:dyDescent="0.35"/>
  <cols>
    <col min="1" max="1" width="32" customWidth="1"/>
    <col min="2" max="2" width="62" customWidth="1"/>
    <col min="3" max="3" width="24" customWidth="1"/>
    <col min="4" max="4" width="20" customWidth="1"/>
    <col min="5" max="5" width="18" customWidth="1"/>
    <col min="6" max="6" width="12" customWidth="1"/>
    <col min="7" max="7" width="48" customWidth="1"/>
  </cols>
  <sheetData>
    <row r="1" spans="1:7" ht="28" customHeight="1" x14ac:dyDescent="0.5">
      <c r="A1" s="1" t="s">
        <v>440</v>
      </c>
    </row>
    <row r="2" spans="1:7" ht="32" customHeight="1" x14ac:dyDescent="0.35">
      <c r="A2" s="28" t="s">
        <v>441</v>
      </c>
      <c r="B2" s="27"/>
      <c r="C2" s="27"/>
      <c r="D2" s="27"/>
      <c r="E2" s="27"/>
      <c r="F2" s="27"/>
      <c r="G2" s="27"/>
    </row>
    <row r="3" spans="1:7" x14ac:dyDescent="0.35">
      <c r="A3" s="3" t="s">
        <v>442</v>
      </c>
      <c r="B3" s="3" t="s">
        <v>443</v>
      </c>
      <c r="C3" s="3" t="s">
        <v>444</v>
      </c>
      <c r="D3" s="3" t="s">
        <v>445</v>
      </c>
      <c r="E3" s="3" t="s">
        <v>446</v>
      </c>
      <c r="F3" s="3" t="s">
        <v>348</v>
      </c>
      <c r="G3" s="3" t="s">
        <v>349</v>
      </c>
    </row>
    <row r="4" spans="1:7" ht="36" customHeight="1" x14ac:dyDescent="0.35">
      <c r="A4" s="5" t="s">
        <v>447</v>
      </c>
      <c r="B4" s="5" t="s">
        <v>448</v>
      </c>
      <c r="C4" s="5" t="s">
        <v>449</v>
      </c>
      <c r="D4" s="5" t="s">
        <v>354</v>
      </c>
      <c r="E4" s="5" t="s">
        <v>354</v>
      </c>
      <c r="F4" s="5" t="s">
        <v>97</v>
      </c>
      <c r="G4" s="5" t="s">
        <v>364</v>
      </c>
    </row>
    <row r="5" spans="1:7" ht="36" customHeight="1" x14ac:dyDescent="0.35">
      <c r="A5" s="5" t="s">
        <v>365</v>
      </c>
      <c r="B5" s="5" t="s">
        <v>450</v>
      </c>
      <c r="C5" s="5" t="s">
        <v>451</v>
      </c>
      <c r="D5" s="5" t="s">
        <v>354</v>
      </c>
      <c r="E5" s="5" t="s">
        <v>354</v>
      </c>
      <c r="F5" s="5" t="s">
        <v>97</v>
      </c>
      <c r="G5" s="5" t="s">
        <v>364</v>
      </c>
    </row>
    <row r="6" spans="1:7" ht="36" customHeight="1" x14ac:dyDescent="0.35">
      <c r="A6" s="5" t="s">
        <v>452</v>
      </c>
      <c r="B6" s="5" t="s">
        <v>453</v>
      </c>
      <c r="C6" s="5" t="s">
        <v>451</v>
      </c>
      <c r="D6" s="5" t="s">
        <v>354</v>
      </c>
      <c r="E6" s="5" t="s">
        <v>354</v>
      </c>
      <c r="F6" s="5" t="s">
        <v>97</v>
      </c>
      <c r="G6" s="5" t="s">
        <v>364</v>
      </c>
    </row>
    <row r="7" spans="1:7" ht="36" customHeight="1" x14ac:dyDescent="0.35">
      <c r="A7" s="5" t="s">
        <v>368</v>
      </c>
      <c r="B7" s="5" t="s">
        <v>453</v>
      </c>
      <c r="C7" s="5" t="s">
        <v>454</v>
      </c>
      <c r="D7" s="5" t="s">
        <v>354</v>
      </c>
      <c r="E7" s="5" t="s">
        <v>354</v>
      </c>
      <c r="F7" s="5" t="s">
        <v>97</v>
      </c>
      <c r="G7" s="5" t="s">
        <v>364</v>
      </c>
    </row>
    <row r="8" spans="1:7" ht="36" customHeight="1" x14ac:dyDescent="0.35">
      <c r="A8" s="5" t="s">
        <v>357</v>
      </c>
      <c r="B8" s="5" t="s">
        <v>448</v>
      </c>
      <c r="C8" s="5" t="s">
        <v>454</v>
      </c>
      <c r="D8" s="5" t="s">
        <v>354</v>
      </c>
      <c r="E8" s="5" t="s">
        <v>354</v>
      </c>
      <c r="F8" s="5" t="s">
        <v>97</v>
      </c>
      <c r="G8" s="5" t="s">
        <v>364</v>
      </c>
    </row>
    <row r="9" spans="1:7" ht="36" customHeight="1" x14ac:dyDescent="0.35">
      <c r="A9" s="5" t="s">
        <v>361</v>
      </c>
      <c r="B9" s="5" t="s">
        <v>448</v>
      </c>
      <c r="C9" s="5" t="s">
        <v>455</v>
      </c>
      <c r="D9" s="5" t="s">
        <v>354</v>
      </c>
      <c r="E9" s="5" t="s">
        <v>354</v>
      </c>
      <c r="F9" s="5" t="s">
        <v>97</v>
      </c>
      <c r="G9" s="5" t="s">
        <v>364</v>
      </c>
    </row>
    <row r="10" spans="1:7" ht="36" customHeight="1" x14ac:dyDescent="0.35">
      <c r="A10" s="5" t="s">
        <v>371</v>
      </c>
      <c r="B10" s="5" t="s">
        <v>456</v>
      </c>
      <c r="C10" s="5" t="s">
        <v>457</v>
      </c>
      <c r="D10" s="5" t="s">
        <v>354</v>
      </c>
      <c r="E10" s="5" t="s">
        <v>354</v>
      </c>
      <c r="F10" s="5" t="s">
        <v>97</v>
      </c>
      <c r="G10" s="5" t="s">
        <v>364</v>
      </c>
    </row>
    <row r="11" spans="1:7" ht="36" customHeight="1" x14ac:dyDescent="0.35">
      <c r="A11" s="5" t="s">
        <v>376</v>
      </c>
      <c r="B11" s="5" t="s">
        <v>458</v>
      </c>
      <c r="C11" s="5" t="s">
        <v>459</v>
      </c>
      <c r="D11" s="5" t="s">
        <v>354</v>
      </c>
      <c r="E11" s="5" t="s">
        <v>354</v>
      </c>
      <c r="F11" s="5" t="s">
        <v>97</v>
      </c>
      <c r="G11" s="5" t="s">
        <v>364</v>
      </c>
    </row>
    <row r="12" spans="1:7" ht="36" customHeight="1" x14ac:dyDescent="0.35">
      <c r="A12" s="5" t="s">
        <v>381</v>
      </c>
      <c r="B12" s="5" t="s">
        <v>448</v>
      </c>
      <c r="C12" s="5" t="s">
        <v>449</v>
      </c>
      <c r="D12" s="5" t="s">
        <v>354</v>
      </c>
      <c r="E12" s="5" t="s">
        <v>354</v>
      </c>
      <c r="F12" s="5" t="s">
        <v>97</v>
      </c>
      <c r="G12" s="5" t="s">
        <v>364</v>
      </c>
    </row>
    <row r="13" spans="1:7" ht="36" customHeight="1" x14ac:dyDescent="0.35">
      <c r="A13" s="5" t="s">
        <v>385</v>
      </c>
      <c r="B13" s="5" t="s">
        <v>448</v>
      </c>
      <c r="C13" s="5" t="s">
        <v>454</v>
      </c>
      <c r="D13" s="5" t="s">
        <v>354</v>
      </c>
      <c r="E13" s="5" t="s">
        <v>354</v>
      </c>
      <c r="F13" s="5" t="s">
        <v>97</v>
      </c>
      <c r="G13" s="5" t="s">
        <v>364</v>
      </c>
    </row>
    <row r="14" spans="1:7" ht="36" customHeight="1" x14ac:dyDescent="0.35">
      <c r="A14" s="5" t="s">
        <v>460</v>
      </c>
      <c r="B14" s="5" t="s">
        <v>461</v>
      </c>
      <c r="C14" s="5" t="s">
        <v>459</v>
      </c>
      <c r="D14" s="5" t="s">
        <v>354</v>
      </c>
      <c r="E14" s="5" t="s">
        <v>354</v>
      </c>
      <c r="F14" s="5" t="s">
        <v>97</v>
      </c>
      <c r="G14" s="5" t="s">
        <v>364</v>
      </c>
    </row>
    <row r="15" spans="1:7" ht="36" customHeight="1" x14ac:dyDescent="0.35">
      <c r="A15" s="5" t="s">
        <v>462</v>
      </c>
      <c r="B15" s="5" t="s">
        <v>448</v>
      </c>
      <c r="C15" s="5" t="s">
        <v>463</v>
      </c>
      <c r="D15" s="5" t="s">
        <v>354</v>
      </c>
      <c r="E15" s="5" t="s">
        <v>354</v>
      </c>
      <c r="F15" s="5" t="s">
        <v>97</v>
      </c>
      <c r="G15" s="5" t="s">
        <v>364</v>
      </c>
    </row>
    <row r="16" spans="1:7" ht="36" customHeight="1" x14ac:dyDescent="0.35">
      <c r="A16" s="5" t="s">
        <v>464</v>
      </c>
      <c r="B16" s="5" t="s">
        <v>465</v>
      </c>
      <c r="C16" s="5" t="s">
        <v>466</v>
      </c>
      <c r="D16" s="5" t="s">
        <v>354</v>
      </c>
      <c r="E16" s="5" t="s">
        <v>354</v>
      </c>
      <c r="F16" s="5" t="s">
        <v>97</v>
      </c>
      <c r="G16" s="5" t="s">
        <v>364</v>
      </c>
    </row>
    <row r="17" spans="1:7" ht="36" customHeight="1" x14ac:dyDescent="0.35">
      <c r="A17" s="5" t="s">
        <v>467</v>
      </c>
      <c r="B17" s="5" t="s">
        <v>468</v>
      </c>
      <c r="C17" s="5" t="s">
        <v>469</v>
      </c>
      <c r="D17" s="5" t="s">
        <v>354</v>
      </c>
      <c r="E17" s="5" t="s">
        <v>354</v>
      </c>
      <c r="F17" s="5" t="s">
        <v>97</v>
      </c>
      <c r="G17" s="5" t="s">
        <v>364</v>
      </c>
    </row>
    <row r="18" spans="1:7" ht="36" customHeight="1" x14ac:dyDescent="0.35">
      <c r="A18" s="5" t="s">
        <v>436</v>
      </c>
      <c r="B18" s="5" t="s">
        <v>470</v>
      </c>
      <c r="C18" s="5" t="s">
        <v>471</v>
      </c>
      <c r="D18" s="5" t="s">
        <v>354</v>
      </c>
      <c r="E18" s="5" t="s">
        <v>354</v>
      </c>
      <c r="F18" s="5" t="s">
        <v>97</v>
      </c>
      <c r="G18" s="5" t="s">
        <v>364</v>
      </c>
    </row>
    <row r="19" spans="1:7" ht="36" customHeight="1" x14ac:dyDescent="0.35">
      <c r="A19" s="5" t="s">
        <v>472</v>
      </c>
      <c r="B19" s="5" t="s">
        <v>473</v>
      </c>
      <c r="C19" s="5" t="s">
        <v>455</v>
      </c>
      <c r="D19" s="5" t="s">
        <v>354</v>
      </c>
      <c r="E19" s="5" t="s">
        <v>354</v>
      </c>
      <c r="F19" s="5" t="s">
        <v>97</v>
      </c>
      <c r="G19" s="5" t="s">
        <v>364</v>
      </c>
    </row>
    <row r="20" spans="1:7" ht="36" customHeight="1" x14ac:dyDescent="0.35">
      <c r="A20" s="5" t="s">
        <v>474</v>
      </c>
      <c r="B20" s="5" t="s">
        <v>475</v>
      </c>
      <c r="C20" s="5" t="s">
        <v>459</v>
      </c>
      <c r="D20" s="5" t="s">
        <v>476</v>
      </c>
      <c r="E20" s="5" t="s">
        <v>476</v>
      </c>
      <c r="F20" s="5" t="s">
        <v>97</v>
      </c>
      <c r="G20" s="5" t="s">
        <v>364</v>
      </c>
    </row>
    <row r="21" spans="1:7" ht="36" customHeight="1" x14ac:dyDescent="0.35">
      <c r="A21" s="5" t="s">
        <v>477</v>
      </c>
      <c r="B21" s="5" t="s">
        <v>478</v>
      </c>
      <c r="C21" s="5" t="s">
        <v>459</v>
      </c>
      <c r="D21" s="5" t="s">
        <v>354</v>
      </c>
      <c r="E21" s="5" t="s">
        <v>354</v>
      </c>
      <c r="F21" s="5" t="s">
        <v>97</v>
      </c>
      <c r="G21" s="5" t="s">
        <v>364</v>
      </c>
    </row>
    <row r="22" spans="1:7" ht="52" x14ac:dyDescent="0.35">
      <c r="A22" s="5" t="s">
        <v>479</v>
      </c>
      <c r="B22" s="5" t="s">
        <v>480</v>
      </c>
      <c r="C22" s="5" t="s">
        <v>459</v>
      </c>
      <c r="D22" s="5" t="s">
        <v>354</v>
      </c>
      <c r="E22" s="5" t="s">
        <v>354</v>
      </c>
      <c r="F22" s="5" t="s">
        <v>97</v>
      </c>
      <c r="G22" s="5" t="s">
        <v>481</v>
      </c>
    </row>
    <row r="23" spans="1:7" ht="26" x14ac:dyDescent="0.35">
      <c r="A23" s="5" t="s">
        <v>482</v>
      </c>
      <c r="B23" s="5" t="s">
        <v>483</v>
      </c>
      <c r="C23" s="5" t="s">
        <v>463</v>
      </c>
      <c r="D23" s="5" t="s">
        <v>354</v>
      </c>
      <c r="E23" s="5" t="s">
        <v>354</v>
      </c>
      <c r="F23" s="5" t="s">
        <v>97</v>
      </c>
      <c r="G23" s="5" t="s">
        <v>418</v>
      </c>
    </row>
    <row r="24" spans="1:7" ht="26" x14ac:dyDescent="0.35">
      <c r="A24" s="5" t="s">
        <v>422</v>
      </c>
      <c r="B24" s="5" t="s">
        <v>484</v>
      </c>
      <c r="C24" s="5" t="s">
        <v>485</v>
      </c>
      <c r="D24" s="5" t="s">
        <v>354</v>
      </c>
      <c r="E24" s="5" t="s">
        <v>354</v>
      </c>
      <c r="F24" s="5" t="s">
        <v>97</v>
      </c>
      <c r="G24" s="5" t="s">
        <v>426</v>
      </c>
    </row>
    <row r="25" spans="1:7" ht="26" x14ac:dyDescent="0.35">
      <c r="A25" s="5" t="s">
        <v>486</v>
      </c>
      <c r="B25" s="5" t="s">
        <v>487</v>
      </c>
      <c r="C25" s="5" t="s">
        <v>485</v>
      </c>
      <c r="D25" s="5" t="s">
        <v>354</v>
      </c>
      <c r="E25" s="5" t="s">
        <v>354</v>
      </c>
      <c r="F25" s="5" t="s">
        <v>97</v>
      </c>
      <c r="G25" s="5" t="s">
        <v>426</v>
      </c>
    </row>
    <row r="26" spans="1:7" ht="26" x14ac:dyDescent="0.35">
      <c r="A26" s="5" t="s">
        <v>488</v>
      </c>
      <c r="B26" s="5" t="s">
        <v>489</v>
      </c>
      <c r="C26" s="5" t="s">
        <v>490</v>
      </c>
      <c r="D26" s="5" t="s">
        <v>354</v>
      </c>
      <c r="E26" s="5" t="s">
        <v>354</v>
      </c>
      <c r="F26" s="5" t="s">
        <v>97</v>
      </c>
      <c r="G26" s="5" t="s">
        <v>491</v>
      </c>
    </row>
    <row r="27" spans="1:7" ht="26" x14ac:dyDescent="0.35">
      <c r="A27" s="5" t="s">
        <v>492</v>
      </c>
      <c r="B27" s="5" t="s">
        <v>493</v>
      </c>
      <c r="C27" s="5" t="s">
        <v>485</v>
      </c>
      <c r="D27" s="5" t="s">
        <v>354</v>
      </c>
      <c r="E27" s="5" t="s">
        <v>354</v>
      </c>
      <c r="F27" s="5" t="s">
        <v>97</v>
      </c>
      <c r="G27" s="5" t="s">
        <v>494</v>
      </c>
    </row>
    <row r="28" spans="1:7" x14ac:dyDescent="0.35">
      <c r="A28" s="5" t="s">
        <v>495</v>
      </c>
      <c r="B28" s="5" t="s">
        <v>496</v>
      </c>
      <c r="C28" s="5" t="s">
        <v>459</v>
      </c>
      <c r="D28" s="5" t="s">
        <v>354</v>
      </c>
      <c r="E28" s="5" t="s">
        <v>354</v>
      </c>
      <c r="F28" s="5" t="s">
        <v>97</v>
      </c>
      <c r="G28" s="5" t="s">
        <v>364</v>
      </c>
    </row>
    <row r="29" spans="1:7" x14ac:dyDescent="0.35">
      <c r="A29" s="5" t="s">
        <v>497</v>
      </c>
      <c r="B29" s="5" t="s">
        <v>498</v>
      </c>
      <c r="C29" s="5" t="s">
        <v>471</v>
      </c>
      <c r="D29" s="5" t="s">
        <v>354</v>
      </c>
      <c r="E29" s="5" t="s">
        <v>476</v>
      </c>
      <c r="F29" s="5" t="s">
        <v>97</v>
      </c>
      <c r="G29" s="5" t="s">
        <v>364</v>
      </c>
    </row>
    <row r="30" spans="1:7" x14ac:dyDescent="0.35">
      <c r="A30" s="5" t="s">
        <v>499</v>
      </c>
      <c r="B30" s="5" t="s">
        <v>500</v>
      </c>
      <c r="C30" s="5" t="s">
        <v>457</v>
      </c>
      <c r="D30" s="5" t="s">
        <v>354</v>
      </c>
      <c r="E30" s="5" t="s">
        <v>354</v>
      </c>
      <c r="F30" s="5" t="s">
        <v>97</v>
      </c>
      <c r="G30" s="5" t="s">
        <v>364</v>
      </c>
    </row>
  </sheetData>
  <mergeCells count="1">
    <mergeCell ref="A2:G2"/>
  </mergeCells>
  <pageMargins left="0.75" right="0.75" top="1" bottom="1" header="0.5" footer="0.5"/>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19"/>
  <sheetViews>
    <sheetView showGridLines="0" workbookViewId="0">
      <pane ySplit="3" topLeftCell="A4" activePane="bottomLeft" state="frozen"/>
      <selection pane="bottomLeft"/>
    </sheetView>
  </sheetViews>
  <sheetFormatPr defaultRowHeight="14.5" x14ac:dyDescent="0.35"/>
  <cols>
    <col min="1" max="1" width="16" customWidth="1"/>
    <col min="2" max="2" width="62" customWidth="1"/>
    <col min="3" max="3" width="55" customWidth="1"/>
    <col min="4" max="4" width="28" customWidth="1"/>
    <col min="5" max="5" width="12" customWidth="1"/>
    <col min="6" max="6" width="48" customWidth="1"/>
  </cols>
  <sheetData>
    <row r="1" spans="1:7" ht="28" customHeight="1" x14ac:dyDescent="0.5">
      <c r="A1" s="1" t="s">
        <v>501</v>
      </c>
    </row>
    <row r="2" spans="1:7" ht="32" customHeight="1" x14ac:dyDescent="0.35">
      <c r="A2" s="28" t="s">
        <v>502</v>
      </c>
      <c r="B2" s="27"/>
      <c r="C2" s="27"/>
      <c r="D2" s="27"/>
      <c r="E2" s="27"/>
      <c r="F2" s="27"/>
      <c r="G2" s="27"/>
    </row>
    <row r="3" spans="1:7" x14ac:dyDescent="0.35">
      <c r="A3" s="3" t="s">
        <v>503</v>
      </c>
      <c r="B3" s="3" t="s">
        <v>504</v>
      </c>
      <c r="C3" s="3" t="s">
        <v>505</v>
      </c>
      <c r="D3" s="3" t="s">
        <v>506</v>
      </c>
      <c r="E3" s="3" t="s">
        <v>348</v>
      </c>
      <c r="F3" s="3" t="s">
        <v>349</v>
      </c>
    </row>
    <row r="4" spans="1:7" ht="36" customHeight="1" x14ac:dyDescent="0.35">
      <c r="A4" s="5" t="s">
        <v>507</v>
      </c>
      <c r="B4" s="5" t="s">
        <v>508</v>
      </c>
      <c r="C4" s="5" t="s">
        <v>509</v>
      </c>
      <c r="D4" s="5" t="s">
        <v>97</v>
      </c>
      <c r="E4" s="5" t="s">
        <v>97</v>
      </c>
      <c r="F4" s="5" t="s">
        <v>510</v>
      </c>
    </row>
    <row r="5" spans="1:7" ht="36" customHeight="1" x14ac:dyDescent="0.35">
      <c r="A5" s="5" t="s">
        <v>507</v>
      </c>
      <c r="B5" s="5" t="s">
        <v>511</v>
      </c>
      <c r="C5" s="5" t="s">
        <v>512</v>
      </c>
      <c r="D5" s="5" t="s">
        <v>97</v>
      </c>
      <c r="E5" s="5" t="s">
        <v>97</v>
      </c>
      <c r="F5" s="5" t="s">
        <v>364</v>
      </c>
    </row>
    <row r="6" spans="1:7" ht="36" customHeight="1" x14ac:dyDescent="0.35">
      <c r="A6" s="5" t="s">
        <v>507</v>
      </c>
      <c r="B6" s="5" t="s">
        <v>513</v>
      </c>
      <c r="C6" s="5" t="s">
        <v>514</v>
      </c>
      <c r="D6" s="5" t="s">
        <v>97</v>
      </c>
      <c r="E6" s="5" t="s">
        <v>97</v>
      </c>
      <c r="F6" s="5" t="s">
        <v>364</v>
      </c>
    </row>
    <row r="7" spans="1:7" ht="36" customHeight="1" x14ac:dyDescent="0.35">
      <c r="A7" s="5" t="s">
        <v>507</v>
      </c>
      <c r="B7" s="5" t="s">
        <v>515</v>
      </c>
      <c r="C7" s="5" t="s">
        <v>516</v>
      </c>
      <c r="D7" s="5" t="s">
        <v>97</v>
      </c>
      <c r="E7" s="5" t="s">
        <v>97</v>
      </c>
      <c r="F7" s="5" t="s">
        <v>364</v>
      </c>
    </row>
    <row r="8" spans="1:7" ht="36" customHeight="1" x14ac:dyDescent="0.35">
      <c r="A8" s="5" t="s">
        <v>507</v>
      </c>
      <c r="B8" s="5" t="s">
        <v>517</v>
      </c>
      <c r="C8" s="5" t="s">
        <v>516</v>
      </c>
      <c r="D8" s="5" t="s">
        <v>97</v>
      </c>
      <c r="E8" s="5" t="s">
        <v>97</v>
      </c>
      <c r="F8" s="5" t="s">
        <v>364</v>
      </c>
    </row>
    <row r="9" spans="1:7" ht="36" customHeight="1" x14ac:dyDescent="0.35">
      <c r="A9" s="5" t="s">
        <v>518</v>
      </c>
      <c r="B9" s="5" t="s">
        <v>519</v>
      </c>
      <c r="C9" s="5" t="s">
        <v>520</v>
      </c>
      <c r="D9" s="5" t="s">
        <v>97</v>
      </c>
      <c r="E9" s="5" t="s">
        <v>97</v>
      </c>
      <c r="F9" s="5" t="s">
        <v>364</v>
      </c>
    </row>
    <row r="10" spans="1:7" ht="36" customHeight="1" x14ac:dyDescent="0.35">
      <c r="A10" s="5" t="s">
        <v>518</v>
      </c>
      <c r="B10" s="5" t="s">
        <v>521</v>
      </c>
      <c r="C10" s="5" t="s">
        <v>522</v>
      </c>
      <c r="D10" s="5" t="s">
        <v>97</v>
      </c>
      <c r="E10" s="5" t="s">
        <v>97</v>
      </c>
      <c r="F10" s="5" t="s">
        <v>364</v>
      </c>
    </row>
    <row r="11" spans="1:7" ht="36" customHeight="1" x14ac:dyDescent="0.35">
      <c r="A11" s="5" t="s">
        <v>518</v>
      </c>
      <c r="B11" s="5" t="s">
        <v>523</v>
      </c>
      <c r="C11" s="5" t="s">
        <v>524</v>
      </c>
      <c r="D11" s="5" t="s">
        <v>97</v>
      </c>
      <c r="E11" s="5" t="s">
        <v>97</v>
      </c>
      <c r="F11" s="5" t="s">
        <v>364</v>
      </c>
    </row>
    <row r="12" spans="1:7" ht="36" customHeight="1" x14ac:dyDescent="0.35">
      <c r="A12" s="5" t="s">
        <v>518</v>
      </c>
      <c r="B12" s="5" t="s">
        <v>525</v>
      </c>
      <c r="C12" s="5" t="s">
        <v>526</v>
      </c>
      <c r="D12" s="5" t="s">
        <v>97</v>
      </c>
      <c r="E12" s="5" t="s">
        <v>97</v>
      </c>
      <c r="F12" s="5" t="s">
        <v>364</v>
      </c>
    </row>
    <row r="13" spans="1:7" ht="36" customHeight="1" x14ac:dyDescent="0.35">
      <c r="A13" s="5" t="s">
        <v>518</v>
      </c>
      <c r="B13" s="5" t="s">
        <v>527</v>
      </c>
      <c r="C13" s="5" t="s">
        <v>516</v>
      </c>
      <c r="D13" s="5" t="s">
        <v>97</v>
      </c>
      <c r="E13" s="5" t="s">
        <v>97</v>
      </c>
      <c r="F13" s="5" t="s">
        <v>364</v>
      </c>
    </row>
    <row r="14" spans="1:7" x14ac:dyDescent="0.35">
      <c r="A14" s="5" t="s">
        <v>528</v>
      </c>
      <c r="B14" s="5" t="s">
        <v>529</v>
      </c>
      <c r="C14" s="5" t="s">
        <v>530</v>
      </c>
      <c r="D14" s="5" t="s">
        <v>97</v>
      </c>
      <c r="E14" s="5" t="s">
        <v>97</v>
      </c>
      <c r="F14" s="5" t="s">
        <v>364</v>
      </c>
    </row>
    <row r="15" spans="1:7" x14ac:dyDescent="0.35">
      <c r="A15" s="5" t="s">
        <v>528</v>
      </c>
      <c r="B15" s="5" t="s">
        <v>531</v>
      </c>
      <c r="C15" s="5" t="s">
        <v>532</v>
      </c>
      <c r="D15" s="5" t="s">
        <v>97</v>
      </c>
      <c r="E15" s="5" t="s">
        <v>97</v>
      </c>
      <c r="F15" s="5" t="s">
        <v>364</v>
      </c>
    </row>
    <row r="16" spans="1:7" ht="26" x14ac:dyDescent="0.35">
      <c r="A16" s="5" t="s">
        <v>528</v>
      </c>
      <c r="B16" s="5" t="s">
        <v>533</v>
      </c>
      <c r="C16" s="5" t="s">
        <v>516</v>
      </c>
      <c r="D16" s="5" t="s">
        <v>97</v>
      </c>
      <c r="E16" s="5" t="s">
        <v>97</v>
      </c>
      <c r="F16" s="5" t="s">
        <v>364</v>
      </c>
    </row>
    <row r="17" spans="1:6" ht="26" x14ac:dyDescent="0.35">
      <c r="A17" s="5" t="s">
        <v>534</v>
      </c>
      <c r="B17" s="5" t="s">
        <v>535</v>
      </c>
      <c r="C17" s="5" t="s">
        <v>536</v>
      </c>
      <c r="D17" s="5" t="s">
        <v>97</v>
      </c>
      <c r="E17" s="5" t="s">
        <v>97</v>
      </c>
      <c r="F17" s="5" t="s">
        <v>364</v>
      </c>
    </row>
    <row r="18" spans="1:6" x14ac:dyDescent="0.35">
      <c r="A18" s="5" t="s">
        <v>537</v>
      </c>
      <c r="B18" s="5" t="s">
        <v>538</v>
      </c>
      <c r="C18" s="5" t="s">
        <v>539</v>
      </c>
      <c r="D18" s="5" t="s">
        <v>97</v>
      </c>
      <c r="E18" s="5" t="s">
        <v>97</v>
      </c>
      <c r="F18" s="5" t="s">
        <v>364</v>
      </c>
    </row>
    <row r="19" spans="1:6" ht="39" x14ac:dyDescent="0.35">
      <c r="A19" s="5" t="s">
        <v>540</v>
      </c>
      <c r="B19" s="5" t="s">
        <v>541</v>
      </c>
      <c r="C19" s="5" t="s">
        <v>542</v>
      </c>
      <c r="D19" s="5" t="s">
        <v>97</v>
      </c>
      <c r="E19" s="5" t="s">
        <v>355</v>
      </c>
      <c r="F19" s="5" t="s">
        <v>543</v>
      </c>
    </row>
  </sheetData>
  <mergeCells count="1">
    <mergeCell ref="A2:G2"/>
  </mergeCells>
  <pageMargins left="0.75" right="0.75" top="1" bottom="1" header="0.5" footer="0.5"/>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11"/>
  <sheetViews>
    <sheetView showGridLines="0" workbookViewId="0">
      <pane ySplit="3" topLeftCell="A4" activePane="bottomLeft" state="frozen"/>
      <selection pane="bottomLeft"/>
    </sheetView>
  </sheetViews>
  <sheetFormatPr defaultRowHeight="14.5" x14ac:dyDescent="0.35"/>
  <cols>
    <col min="1" max="2" width="55" customWidth="1"/>
    <col min="3" max="3" width="62" customWidth="1"/>
    <col min="4" max="4" width="12" customWidth="1"/>
    <col min="5" max="5" width="60" customWidth="1"/>
  </cols>
  <sheetData>
    <row r="1" spans="1:7" ht="28" customHeight="1" x14ac:dyDescent="0.5">
      <c r="A1" s="1" t="s">
        <v>544</v>
      </c>
    </row>
    <row r="2" spans="1:7" ht="32" customHeight="1" x14ac:dyDescent="0.35">
      <c r="A2" s="28" t="s">
        <v>545</v>
      </c>
      <c r="B2" s="27"/>
      <c r="C2" s="27"/>
      <c r="D2" s="27"/>
      <c r="E2" s="27"/>
      <c r="F2" s="27"/>
      <c r="G2" s="27"/>
    </row>
    <row r="3" spans="1:7" x14ac:dyDescent="0.35">
      <c r="A3" s="3" t="s">
        <v>546</v>
      </c>
      <c r="B3" s="3" t="s">
        <v>547</v>
      </c>
      <c r="C3" s="3" t="s">
        <v>548</v>
      </c>
      <c r="D3" s="3" t="s">
        <v>348</v>
      </c>
      <c r="E3" s="3" t="s">
        <v>349</v>
      </c>
    </row>
    <row r="4" spans="1:7" ht="36" customHeight="1" x14ac:dyDescent="0.35">
      <c r="A4" s="5" t="s">
        <v>549</v>
      </c>
      <c r="B4" s="5" t="s">
        <v>550</v>
      </c>
      <c r="C4" s="5" t="s">
        <v>354</v>
      </c>
      <c r="D4" s="5" t="s">
        <v>97</v>
      </c>
      <c r="E4" s="5" t="s">
        <v>364</v>
      </c>
    </row>
    <row r="5" spans="1:7" ht="36" customHeight="1" x14ac:dyDescent="0.35">
      <c r="A5" s="5" t="s">
        <v>551</v>
      </c>
      <c r="B5" s="5" t="s">
        <v>552</v>
      </c>
      <c r="C5" s="5" t="s">
        <v>553</v>
      </c>
      <c r="D5" s="5" t="s">
        <v>355</v>
      </c>
      <c r="E5" s="5" t="s">
        <v>554</v>
      </c>
    </row>
    <row r="6" spans="1:7" ht="36" customHeight="1" x14ac:dyDescent="0.35">
      <c r="A6" s="5" t="s">
        <v>555</v>
      </c>
      <c r="B6" s="5" t="s">
        <v>556</v>
      </c>
      <c r="C6" s="5" t="s">
        <v>354</v>
      </c>
      <c r="D6" s="5" t="s">
        <v>355</v>
      </c>
      <c r="E6" s="5" t="s">
        <v>557</v>
      </c>
    </row>
    <row r="7" spans="1:7" ht="36" customHeight="1" x14ac:dyDescent="0.35">
      <c r="A7" s="5" t="s">
        <v>558</v>
      </c>
      <c r="B7" s="5" t="s">
        <v>559</v>
      </c>
      <c r="C7" s="5" t="s">
        <v>354</v>
      </c>
      <c r="D7" s="5" t="s">
        <v>97</v>
      </c>
      <c r="E7" s="5" t="s">
        <v>560</v>
      </c>
    </row>
    <row r="8" spans="1:7" ht="36" customHeight="1" x14ac:dyDescent="0.35">
      <c r="A8" s="5" t="s">
        <v>561</v>
      </c>
      <c r="B8" s="5" t="s">
        <v>562</v>
      </c>
      <c r="C8" s="5" t="s">
        <v>354</v>
      </c>
      <c r="D8" s="5" t="s">
        <v>355</v>
      </c>
      <c r="E8" s="5" t="s">
        <v>563</v>
      </c>
    </row>
    <row r="9" spans="1:7" ht="36" customHeight="1" x14ac:dyDescent="0.35">
      <c r="A9" s="5" t="s">
        <v>564</v>
      </c>
      <c r="B9" s="5" t="s">
        <v>565</v>
      </c>
      <c r="C9" s="5" t="s">
        <v>354</v>
      </c>
      <c r="D9" s="5" t="s">
        <v>355</v>
      </c>
      <c r="E9" s="5" t="s">
        <v>566</v>
      </c>
    </row>
    <row r="10" spans="1:7" ht="36" customHeight="1" x14ac:dyDescent="0.35">
      <c r="A10" s="5" t="s">
        <v>567</v>
      </c>
      <c r="B10" s="5" t="s">
        <v>568</v>
      </c>
      <c r="C10" s="5" t="s">
        <v>569</v>
      </c>
      <c r="D10" s="5" t="s">
        <v>97</v>
      </c>
      <c r="E10" s="5" t="s">
        <v>570</v>
      </c>
    </row>
    <row r="11" spans="1:7" ht="36" customHeight="1" x14ac:dyDescent="0.35">
      <c r="A11" s="5" t="s">
        <v>571</v>
      </c>
      <c r="B11" s="5" t="s">
        <v>572</v>
      </c>
      <c r="C11" s="5" t="s">
        <v>354</v>
      </c>
      <c r="D11" s="5" t="s">
        <v>355</v>
      </c>
      <c r="E11" s="5" t="s">
        <v>573</v>
      </c>
    </row>
  </sheetData>
  <mergeCells count="1">
    <mergeCell ref="A2:G2"/>
  </mergeCells>
  <pageMargins left="0.75" right="0.75" top="1" bottom="1" header="0.5" footer="0.5"/>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13"/>
  <sheetViews>
    <sheetView showGridLines="0" workbookViewId="0">
      <pane ySplit="3" topLeftCell="A4" activePane="bottomLeft" state="frozen"/>
      <selection pane="bottomLeft"/>
    </sheetView>
  </sheetViews>
  <sheetFormatPr defaultRowHeight="14.5" x14ac:dyDescent="0.35"/>
  <cols>
    <col min="1" max="1" width="48" customWidth="1"/>
    <col min="2" max="2" width="55" customWidth="1"/>
    <col min="3" max="3" width="22" customWidth="1"/>
    <col min="4" max="4" width="12" customWidth="1"/>
    <col min="5" max="6" width="44" customWidth="1"/>
    <col min="7" max="7" width="60" customWidth="1"/>
    <col min="8" max="8" width="30" customWidth="1"/>
  </cols>
  <sheetData>
    <row r="1" spans="1:8" ht="28" customHeight="1" x14ac:dyDescent="0.5">
      <c r="A1" s="1" t="s">
        <v>574</v>
      </c>
    </row>
    <row r="2" spans="1:8" ht="32" customHeight="1" x14ac:dyDescent="0.35">
      <c r="A2" s="28" t="s">
        <v>575</v>
      </c>
      <c r="B2" s="27"/>
      <c r="C2" s="27"/>
      <c r="D2" s="27"/>
      <c r="E2" s="27"/>
      <c r="F2" s="27"/>
      <c r="G2" s="27"/>
    </row>
    <row r="3" spans="1:8" x14ac:dyDescent="0.35">
      <c r="A3" s="3" t="s">
        <v>576</v>
      </c>
      <c r="B3" s="3" t="s">
        <v>577</v>
      </c>
      <c r="C3" s="3" t="s">
        <v>548</v>
      </c>
      <c r="D3" s="3" t="s">
        <v>348</v>
      </c>
      <c r="E3" s="3" t="s">
        <v>578</v>
      </c>
      <c r="F3" s="3" t="s">
        <v>579</v>
      </c>
      <c r="G3" s="3" t="s">
        <v>349</v>
      </c>
      <c r="H3" s="3" t="s">
        <v>580</v>
      </c>
    </row>
    <row r="4" spans="1:8" ht="36" customHeight="1" x14ac:dyDescent="0.35">
      <c r="A4" s="5" t="s">
        <v>581</v>
      </c>
      <c r="B4" s="5" t="s">
        <v>582</v>
      </c>
      <c r="C4" s="5" t="s">
        <v>583</v>
      </c>
      <c r="D4" s="5" t="s">
        <v>355</v>
      </c>
      <c r="E4" s="5" t="s">
        <v>584</v>
      </c>
      <c r="F4" s="5" t="s">
        <v>585</v>
      </c>
      <c r="G4" s="5" t="s">
        <v>583</v>
      </c>
      <c r="H4" s="5" t="s">
        <v>586</v>
      </c>
    </row>
    <row r="5" spans="1:8" ht="36" customHeight="1" x14ac:dyDescent="0.35">
      <c r="A5" s="5" t="s">
        <v>587</v>
      </c>
      <c r="B5" s="5" t="s">
        <v>582</v>
      </c>
      <c r="C5" s="5" t="s">
        <v>588</v>
      </c>
      <c r="D5" s="5" t="s">
        <v>355</v>
      </c>
      <c r="E5" s="5" t="s">
        <v>589</v>
      </c>
      <c r="F5" s="5" t="s">
        <v>590</v>
      </c>
      <c r="G5" s="5" t="s">
        <v>588</v>
      </c>
      <c r="H5" s="5" t="s">
        <v>586</v>
      </c>
    </row>
    <row r="6" spans="1:8" ht="36" customHeight="1" x14ac:dyDescent="0.35">
      <c r="A6" s="5" t="s">
        <v>591</v>
      </c>
      <c r="B6" s="5" t="s">
        <v>582</v>
      </c>
      <c r="C6" s="5" t="s">
        <v>592</v>
      </c>
      <c r="D6" s="5" t="s">
        <v>355</v>
      </c>
      <c r="E6" s="5" t="s">
        <v>593</v>
      </c>
      <c r="F6" s="5" t="s">
        <v>594</v>
      </c>
      <c r="G6" s="5" t="s">
        <v>592</v>
      </c>
      <c r="H6" s="5" t="s">
        <v>586</v>
      </c>
    </row>
    <row r="7" spans="1:8" ht="36" customHeight="1" x14ac:dyDescent="0.35">
      <c r="A7" s="5" t="s">
        <v>595</v>
      </c>
      <c r="B7" s="5" t="s">
        <v>582</v>
      </c>
      <c r="C7" s="5" t="s">
        <v>354</v>
      </c>
      <c r="D7" s="5" t="s">
        <v>97</v>
      </c>
      <c r="E7" s="5" t="s">
        <v>596</v>
      </c>
      <c r="F7" s="5" t="s">
        <v>597</v>
      </c>
      <c r="G7" s="5" t="s">
        <v>364</v>
      </c>
      <c r="H7" s="5" t="s">
        <v>598</v>
      </c>
    </row>
    <row r="8" spans="1:8" ht="36" customHeight="1" x14ac:dyDescent="0.35">
      <c r="A8" s="5" t="s">
        <v>599</v>
      </c>
      <c r="B8" s="5" t="s">
        <v>582</v>
      </c>
      <c r="C8" s="5" t="s">
        <v>600</v>
      </c>
      <c r="D8" s="5" t="s">
        <v>355</v>
      </c>
      <c r="E8" s="5" t="s">
        <v>601</v>
      </c>
      <c r="F8" s="5" t="s">
        <v>602</v>
      </c>
      <c r="G8" s="5" t="s">
        <v>600</v>
      </c>
      <c r="H8" s="5" t="s">
        <v>586</v>
      </c>
    </row>
    <row r="9" spans="1:8" ht="36" customHeight="1" x14ac:dyDescent="0.35">
      <c r="A9" s="5" t="s">
        <v>603</v>
      </c>
      <c r="B9" s="5" t="s">
        <v>582</v>
      </c>
      <c r="C9" s="5" t="s">
        <v>604</v>
      </c>
      <c r="D9" s="5" t="s">
        <v>355</v>
      </c>
      <c r="E9" s="5" t="s">
        <v>605</v>
      </c>
      <c r="F9" s="5" t="s">
        <v>606</v>
      </c>
      <c r="G9" s="5" t="s">
        <v>604</v>
      </c>
      <c r="H9" s="5" t="s">
        <v>586</v>
      </c>
    </row>
    <row r="10" spans="1:8" ht="36" customHeight="1" x14ac:dyDescent="0.35">
      <c r="A10" s="5" t="s">
        <v>607</v>
      </c>
      <c r="B10" s="5" t="s">
        <v>582</v>
      </c>
      <c r="C10" s="5" t="s">
        <v>354</v>
      </c>
      <c r="D10" s="5" t="s">
        <v>97</v>
      </c>
      <c r="E10" s="5" t="s">
        <v>608</v>
      </c>
      <c r="F10" s="5" t="s">
        <v>609</v>
      </c>
      <c r="G10" s="5" t="s">
        <v>364</v>
      </c>
      <c r="H10" s="5" t="s">
        <v>598</v>
      </c>
    </row>
    <row r="11" spans="1:8" ht="36" customHeight="1" x14ac:dyDescent="0.35">
      <c r="A11" s="5" t="s">
        <v>610</v>
      </c>
      <c r="B11" s="5" t="s">
        <v>582</v>
      </c>
      <c r="C11" s="5" t="s">
        <v>354</v>
      </c>
      <c r="D11" s="5" t="s">
        <v>97</v>
      </c>
      <c r="E11" s="5" t="s">
        <v>611</v>
      </c>
      <c r="F11" s="5" t="s">
        <v>612</v>
      </c>
      <c r="G11" s="5" t="s">
        <v>364</v>
      </c>
      <c r="H11" s="5" t="s">
        <v>598</v>
      </c>
    </row>
    <row r="12" spans="1:8" ht="36" customHeight="1" x14ac:dyDescent="0.35">
      <c r="A12" s="5" t="s">
        <v>613</v>
      </c>
      <c r="B12" s="5" t="s">
        <v>582</v>
      </c>
      <c r="C12" s="5" t="s">
        <v>354</v>
      </c>
      <c r="D12" s="5" t="s">
        <v>97</v>
      </c>
      <c r="E12" s="5" t="s">
        <v>614</v>
      </c>
      <c r="F12" s="5" t="s">
        <v>615</v>
      </c>
      <c r="G12" s="5" t="s">
        <v>364</v>
      </c>
      <c r="H12" s="5" t="s">
        <v>598</v>
      </c>
    </row>
    <row r="13" spans="1:8" ht="36" customHeight="1" x14ac:dyDescent="0.35">
      <c r="A13" s="5" t="s">
        <v>616</v>
      </c>
      <c r="B13" s="5" t="s">
        <v>582</v>
      </c>
      <c r="C13" s="5" t="s">
        <v>354</v>
      </c>
      <c r="D13" s="5" t="s">
        <v>97</v>
      </c>
      <c r="E13" s="5" t="s">
        <v>617</v>
      </c>
      <c r="F13" s="5" t="s">
        <v>618</v>
      </c>
      <c r="G13" s="5" t="s">
        <v>619</v>
      </c>
      <c r="H13" s="5" t="s">
        <v>598</v>
      </c>
    </row>
  </sheetData>
  <mergeCells count="1">
    <mergeCell ref="A2:G2"/>
  </mergeCells>
  <pageMargins left="0.75" right="0.75" top="1" bottom="1" header="0.5" footer="0.5"/>
  <pageSetup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G14"/>
  <sheetViews>
    <sheetView showGridLines="0" workbookViewId="0">
      <pane ySplit="3" topLeftCell="A4" activePane="bottomLeft" state="frozen"/>
      <selection pane="bottomLeft"/>
    </sheetView>
  </sheetViews>
  <sheetFormatPr defaultRowHeight="14.5" x14ac:dyDescent="0.35"/>
  <cols>
    <col min="1" max="1" width="32" customWidth="1"/>
    <col min="2" max="2" width="48" customWidth="1"/>
    <col min="3" max="3" width="62" customWidth="1"/>
    <col min="4" max="4" width="12" customWidth="1"/>
  </cols>
  <sheetData>
    <row r="1" spans="1:7" ht="28" customHeight="1" x14ac:dyDescent="0.5">
      <c r="A1" s="1" t="s">
        <v>620</v>
      </c>
    </row>
    <row r="2" spans="1:7" ht="32" customHeight="1" x14ac:dyDescent="0.35">
      <c r="A2" s="28" t="s">
        <v>621</v>
      </c>
      <c r="B2" s="27"/>
      <c r="C2" s="27"/>
      <c r="D2" s="27"/>
      <c r="E2" s="27"/>
      <c r="F2" s="27"/>
      <c r="G2" s="27"/>
    </row>
    <row r="3" spans="1:7" x14ac:dyDescent="0.35">
      <c r="A3" s="3" t="s">
        <v>622</v>
      </c>
      <c r="B3" s="3" t="s">
        <v>623</v>
      </c>
      <c r="C3" s="3" t="s">
        <v>548</v>
      </c>
      <c r="D3" s="3" t="s">
        <v>624</v>
      </c>
    </row>
    <row r="4" spans="1:7" ht="36" customHeight="1" x14ac:dyDescent="0.35">
      <c r="A4" s="5" t="s">
        <v>625</v>
      </c>
      <c r="B4" s="5" t="s">
        <v>626</v>
      </c>
      <c r="C4" s="5" t="s">
        <v>627</v>
      </c>
      <c r="D4" s="5" t="s">
        <v>97</v>
      </c>
    </row>
    <row r="5" spans="1:7" ht="36" customHeight="1" x14ac:dyDescent="0.35">
      <c r="A5" s="5" t="s">
        <v>628</v>
      </c>
      <c r="B5" s="5" t="s">
        <v>629</v>
      </c>
      <c r="C5" s="5" t="s">
        <v>354</v>
      </c>
      <c r="D5" s="5" t="s">
        <v>97</v>
      </c>
    </row>
    <row r="6" spans="1:7" ht="36" customHeight="1" x14ac:dyDescent="0.35">
      <c r="A6" s="5" t="s">
        <v>630</v>
      </c>
      <c r="B6" s="5" t="s">
        <v>631</v>
      </c>
      <c r="C6" s="5" t="s">
        <v>354</v>
      </c>
      <c r="D6" s="5" t="s">
        <v>97</v>
      </c>
    </row>
    <row r="7" spans="1:7" ht="36" customHeight="1" x14ac:dyDescent="0.35">
      <c r="A7" s="5" t="s">
        <v>632</v>
      </c>
      <c r="B7" s="5" t="s">
        <v>633</v>
      </c>
      <c r="C7" s="5" t="s">
        <v>634</v>
      </c>
      <c r="D7" s="5" t="s">
        <v>355</v>
      </c>
    </row>
    <row r="8" spans="1:7" ht="36" customHeight="1" x14ac:dyDescent="0.35">
      <c r="A8" s="5" t="s">
        <v>635</v>
      </c>
      <c r="B8" s="5" t="s">
        <v>636</v>
      </c>
      <c r="C8" s="5" t="s">
        <v>637</v>
      </c>
      <c r="D8" s="5" t="s">
        <v>355</v>
      </c>
    </row>
    <row r="9" spans="1:7" ht="36" customHeight="1" x14ac:dyDescent="0.35">
      <c r="A9" s="5" t="s">
        <v>638</v>
      </c>
      <c r="B9" s="5" t="s">
        <v>639</v>
      </c>
      <c r="C9" s="5" t="s">
        <v>640</v>
      </c>
      <c r="D9" s="5" t="s">
        <v>355</v>
      </c>
    </row>
    <row r="10" spans="1:7" ht="36" customHeight="1" x14ac:dyDescent="0.35">
      <c r="A10" s="5" t="s">
        <v>641</v>
      </c>
      <c r="B10" s="5" t="s">
        <v>631</v>
      </c>
      <c r="C10" s="5" t="s">
        <v>354</v>
      </c>
      <c r="D10" s="5" t="s">
        <v>97</v>
      </c>
    </row>
    <row r="11" spans="1:7" ht="36" customHeight="1" x14ac:dyDescent="0.35">
      <c r="A11" s="5" t="s">
        <v>642</v>
      </c>
      <c r="B11" s="5" t="s">
        <v>643</v>
      </c>
      <c r="C11" s="5" t="s">
        <v>354</v>
      </c>
      <c r="D11" s="5" t="s">
        <v>97</v>
      </c>
    </row>
    <row r="12" spans="1:7" ht="36" customHeight="1" x14ac:dyDescent="0.35">
      <c r="A12" s="5" t="s">
        <v>644</v>
      </c>
      <c r="B12" s="5" t="s">
        <v>631</v>
      </c>
      <c r="C12" s="5" t="s">
        <v>354</v>
      </c>
      <c r="D12" s="5" t="s">
        <v>97</v>
      </c>
    </row>
    <row r="13" spans="1:7" ht="36" customHeight="1" x14ac:dyDescent="0.35">
      <c r="A13" s="5" t="s">
        <v>645</v>
      </c>
      <c r="B13" s="5" t="s">
        <v>646</v>
      </c>
      <c r="C13" s="5" t="s">
        <v>647</v>
      </c>
      <c r="D13" s="5" t="s">
        <v>97</v>
      </c>
    </row>
    <row r="14" spans="1:7" ht="36" customHeight="1" x14ac:dyDescent="0.35">
      <c r="A14" s="5" t="s">
        <v>648</v>
      </c>
      <c r="B14" s="5" t="s">
        <v>649</v>
      </c>
      <c r="C14" s="5" t="s">
        <v>650</v>
      </c>
      <c r="D14" s="5" t="s">
        <v>97</v>
      </c>
    </row>
  </sheetData>
  <mergeCells count="1">
    <mergeCell ref="A2:G2"/>
  </mergeCells>
  <pageMargins left="0.75" right="0.75" top="1" bottom="1" header="0.5" footer="0.5"/>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H13"/>
  <sheetViews>
    <sheetView showGridLines="0" workbookViewId="0">
      <pane ySplit="3" topLeftCell="A4" activePane="bottomLeft" state="frozen"/>
      <selection pane="bottomLeft"/>
    </sheetView>
  </sheetViews>
  <sheetFormatPr defaultRowHeight="14.5" x14ac:dyDescent="0.35"/>
  <cols>
    <col min="1" max="1" width="36" customWidth="1"/>
    <col min="2" max="4" width="18" customWidth="1"/>
    <col min="5" max="5" width="12" customWidth="1"/>
    <col min="6" max="6" width="38" customWidth="1"/>
    <col min="7" max="7" width="56" customWidth="1"/>
    <col min="8" max="8" width="14" customWidth="1"/>
  </cols>
  <sheetData>
    <row r="1" spans="1:8" ht="28" customHeight="1" x14ac:dyDescent="0.5">
      <c r="A1" s="1" t="s">
        <v>651</v>
      </c>
    </row>
    <row r="2" spans="1:8" ht="32" customHeight="1" x14ac:dyDescent="0.35">
      <c r="A2" s="28" t="s">
        <v>652</v>
      </c>
      <c r="B2" s="27"/>
      <c r="C2" s="27"/>
      <c r="D2" s="27"/>
      <c r="E2" s="27"/>
      <c r="F2" s="27"/>
      <c r="G2" s="27"/>
    </row>
    <row r="3" spans="1:8" x14ac:dyDescent="0.35">
      <c r="A3" s="3" t="s">
        <v>653</v>
      </c>
      <c r="B3" s="3" t="s">
        <v>654</v>
      </c>
      <c r="C3" s="3" t="s">
        <v>655</v>
      </c>
      <c r="D3" s="3" t="s">
        <v>656</v>
      </c>
      <c r="E3" s="3" t="s">
        <v>348</v>
      </c>
      <c r="F3" s="3" t="s">
        <v>657</v>
      </c>
      <c r="G3" s="3" t="s">
        <v>349</v>
      </c>
      <c r="H3" s="3" t="s">
        <v>658</v>
      </c>
    </row>
    <row r="4" spans="1:8" ht="36" customHeight="1" x14ac:dyDescent="0.35">
      <c r="A4" s="5" t="s">
        <v>659</v>
      </c>
      <c r="B4" s="5" t="s">
        <v>354</v>
      </c>
      <c r="C4" s="5" t="s">
        <v>354</v>
      </c>
      <c r="D4" s="5" t="s">
        <v>354</v>
      </c>
      <c r="E4" s="5" t="s">
        <v>97</v>
      </c>
      <c r="F4" s="5" t="s">
        <v>660</v>
      </c>
      <c r="G4" s="5" t="s">
        <v>418</v>
      </c>
      <c r="H4" s="5" t="s">
        <v>661</v>
      </c>
    </row>
    <row r="5" spans="1:8" ht="36" customHeight="1" x14ac:dyDescent="0.35">
      <c r="A5" s="5" t="s">
        <v>662</v>
      </c>
      <c r="B5" s="5" t="s">
        <v>354</v>
      </c>
      <c r="C5" s="5" t="s">
        <v>354</v>
      </c>
      <c r="D5" s="5" t="s">
        <v>354</v>
      </c>
      <c r="E5" s="5" t="s">
        <v>97</v>
      </c>
      <c r="F5" s="5" t="s">
        <v>663</v>
      </c>
      <c r="G5" s="5" t="s">
        <v>664</v>
      </c>
      <c r="H5" s="5" t="s">
        <v>661</v>
      </c>
    </row>
    <row r="6" spans="1:8" ht="36" customHeight="1" x14ac:dyDescent="0.35">
      <c r="A6" s="5" t="s">
        <v>665</v>
      </c>
      <c r="B6" s="5" t="s">
        <v>354</v>
      </c>
      <c r="C6" s="5" t="s">
        <v>354</v>
      </c>
      <c r="D6" s="5" t="s">
        <v>354</v>
      </c>
      <c r="E6" s="5" t="s">
        <v>97</v>
      </c>
      <c r="F6" s="5" t="s">
        <v>666</v>
      </c>
      <c r="G6" s="5" t="s">
        <v>667</v>
      </c>
      <c r="H6" s="5" t="s">
        <v>661</v>
      </c>
    </row>
    <row r="7" spans="1:8" ht="36" customHeight="1" x14ac:dyDescent="0.35">
      <c r="A7" s="5" t="s">
        <v>668</v>
      </c>
      <c r="B7" s="5" t="s">
        <v>354</v>
      </c>
      <c r="C7" s="5" t="s">
        <v>354</v>
      </c>
      <c r="D7" s="5" t="s">
        <v>354</v>
      </c>
      <c r="E7" s="5" t="s">
        <v>97</v>
      </c>
      <c r="F7" s="5" t="s">
        <v>669</v>
      </c>
      <c r="G7" s="5" t="s">
        <v>364</v>
      </c>
      <c r="H7" s="5" t="s">
        <v>661</v>
      </c>
    </row>
    <row r="8" spans="1:8" ht="36" customHeight="1" x14ac:dyDescent="0.35">
      <c r="A8" s="5" t="s">
        <v>670</v>
      </c>
      <c r="B8" s="5" t="s">
        <v>354</v>
      </c>
      <c r="C8" s="5" t="s">
        <v>354</v>
      </c>
      <c r="D8" s="5" t="s">
        <v>354</v>
      </c>
      <c r="E8" s="5" t="s">
        <v>97</v>
      </c>
      <c r="F8" s="5" t="s">
        <v>671</v>
      </c>
      <c r="G8" s="5" t="s">
        <v>364</v>
      </c>
      <c r="H8" s="5" t="s">
        <v>661</v>
      </c>
    </row>
    <row r="9" spans="1:8" ht="36" customHeight="1" x14ac:dyDescent="0.35">
      <c r="A9" s="5" t="s">
        <v>672</v>
      </c>
      <c r="B9" s="5" t="s">
        <v>354</v>
      </c>
      <c r="C9" s="5" t="s">
        <v>354</v>
      </c>
      <c r="D9" s="5" t="s">
        <v>354</v>
      </c>
      <c r="E9" s="5" t="s">
        <v>97</v>
      </c>
      <c r="F9" s="5" t="s">
        <v>673</v>
      </c>
      <c r="G9" s="5" t="s">
        <v>674</v>
      </c>
      <c r="H9" s="5" t="s">
        <v>661</v>
      </c>
    </row>
    <row r="10" spans="1:8" ht="36" customHeight="1" x14ac:dyDescent="0.35">
      <c r="A10" s="5" t="s">
        <v>675</v>
      </c>
      <c r="B10" s="5" t="s">
        <v>354</v>
      </c>
      <c r="C10" s="5" t="s">
        <v>354</v>
      </c>
      <c r="D10" s="5" t="s">
        <v>354</v>
      </c>
      <c r="E10" s="5" t="s">
        <v>97</v>
      </c>
      <c r="F10" s="5" t="s">
        <v>676</v>
      </c>
      <c r="G10" s="5" t="s">
        <v>364</v>
      </c>
      <c r="H10" s="5" t="s">
        <v>661</v>
      </c>
    </row>
    <row r="11" spans="1:8" ht="36" customHeight="1" x14ac:dyDescent="0.35">
      <c r="A11" s="5" t="s">
        <v>677</v>
      </c>
      <c r="B11" s="5" t="s">
        <v>354</v>
      </c>
      <c r="C11" s="5" t="s">
        <v>354</v>
      </c>
      <c r="D11" s="5" t="s">
        <v>354</v>
      </c>
      <c r="E11" s="5" t="s">
        <v>97</v>
      </c>
      <c r="F11" s="5" t="s">
        <v>678</v>
      </c>
      <c r="G11" s="5" t="s">
        <v>418</v>
      </c>
      <c r="H11" s="5" t="s">
        <v>661</v>
      </c>
    </row>
    <row r="12" spans="1:8" ht="36" customHeight="1" x14ac:dyDescent="0.35">
      <c r="A12" s="5" t="s">
        <v>679</v>
      </c>
      <c r="B12" s="5" t="s">
        <v>354</v>
      </c>
      <c r="C12" s="5" t="s">
        <v>354</v>
      </c>
      <c r="D12" s="5" t="s">
        <v>354</v>
      </c>
      <c r="E12" s="5" t="s">
        <v>97</v>
      </c>
      <c r="F12" s="5" t="s">
        <v>680</v>
      </c>
      <c r="G12" s="5" t="s">
        <v>418</v>
      </c>
      <c r="H12" s="5" t="s">
        <v>661</v>
      </c>
    </row>
    <row r="13" spans="1:8" ht="36" customHeight="1" x14ac:dyDescent="0.35">
      <c r="A13" s="5" t="s">
        <v>681</v>
      </c>
      <c r="B13" s="5" t="s">
        <v>354</v>
      </c>
      <c r="C13" s="5" t="s">
        <v>354</v>
      </c>
      <c r="D13" s="5" t="s">
        <v>354</v>
      </c>
      <c r="E13" s="5" t="s">
        <v>97</v>
      </c>
      <c r="F13" s="5" t="s">
        <v>682</v>
      </c>
      <c r="G13" s="5" t="s">
        <v>683</v>
      </c>
      <c r="H13" s="5" t="s">
        <v>661</v>
      </c>
    </row>
  </sheetData>
  <mergeCells count="1">
    <mergeCell ref="A2:G2"/>
  </mergeCells>
  <pageMargins left="0.75" right="0.75" top="1" bottom="1" header="0.5" footer="0.5"/>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J16"/>
  <sheetViews>
    <sheetView showGridLines="0" workbookViewId="0">
      <pane ySplit="3" topLeftCell="A4" activePane="bottomLeft" state="frozen"/>
      <selection pane="bottomLeft"/>
    </sheetView>
  </sheetViews>
  <sheetFormatPr defaultRowHeight="14.5" x14ac:dyDescent="0.35"/>
  <cols>
    <col min="1" max="1" width="28" customWidth="1"/>
    <col min="2" max="2" width="16" customWidth="1"/>
    <col min="3" max="3" width="20" customWidth="1"/>
    <col min="4" max="5" width="14" customWidth="1"/>
    <col min="6" max="7" width="12" customWidth="1"/>
    <col min="8" max="8" width="16" customWidth="1"/>
    <col min="9" max="9" width="32" customWidth="1"/>
    <col min="10" max="10" width="56" customWidth="1"/>
  </cols>
  <sheetData>
    <row r="1" spans="1:10" ht="28" customHeight="1" x14ac:dyDescent="0.5">
      <c r="A1" s="1" t="s">
        <v>684</v>
      </c>
    </row>
    <row r="2" spans="1:10" ht="32" customHeight="1" x14ac:dyDescent="0.35">
      <c r="A2" s="28" t="s">
        <v>685</v>
      </c>
      <c r="B2" s="27"/>
      <c r="C2" s="27"/>
      <c r="D2" s="27"/>
      <c r="E2" s="27"/>
      <c r="F2" s="27"/>
      <c r="G2" s="27"/>
    </row>
    <row r="3" spans="1:10" x14ac:dyDescent="0.35">
      <c r="A3" s="3" t="s">
        <v>686</v>
      </c>
      <c r="B3" s="3" t="s">
        <v>687</v>
      </c>
      <c r="C3" s="3" t="s">
        <v>688</v>
      </c>
      <c r="D3" s="3" t="s">
        <v>689</v>
      </c>
      <c r="E3" s="3" t="s">
        <v>690</v>
      </c>
      <c r="F3" s="3" t="s">
        <v>691</v>
      </c>
      <c r="G3" s="3" t="s">
        <v>692</v>
      </c>
      <c r="H3" s="3" t="s">
        <v>693</v>
      </c>
      <c r="I3" s="3" t="s">
        <v>694</v>
      </c>
      <c r="J3" s="3" t="s">
        <v>695</v>
      </c>
    </row>
    <row r="4" spans="1:10" ht="36" customHeight="1" x14ac:dyDescent="0.35">
      <c r="A4" s="5" t="s">
        <v>696</v>
      </c>
      <c r="B4" s="5"/>
      <c r="C4" s="5"/>
      <c r="D4" s="5"/>
      <c r="E4" s="5"/>
      <c r="F4" s="5"/>
      <c r="G4" s="5"/>
      <c r="H4" s="5" t="s">
        <v>697</v>
      </c>
      <c r="I4" s="5" t="s">
        <v>698</v>
      </c>
      <c r="J4" s="5" t="s">
        <v>699</v>
      </c>
    </row>
    <row r="5" spans="1:10" ht="36" customHeight="1" x14ac:dyDescent="0.35">
      <c r="A5" s="5" t="s">
        <v>700</v>
      </c>
      <c r="B5" s="5"/>
      <c r="C5" s="5"/>
      <c r="D5" s="5"/>
      <c r="E5" s="5"/>
      <c r="F5" s="5"/>
      <c r="G5" s="5"/>
      <c r="H5" s="5" t="s">
        <v>697</v>
      </c>
      <c r="I5" s="5" t="s">
        <v>701</v>
      </c>
      <c r="J5" s="5" t="s">
        <v>702</v>
      </c>
    </row>
    <row r="6" spans="1:10" ht="36" customHeight="1" x14ac:dyDescent="0.35">
      <c r="A6" s="5" t="s">
        <v>703</v>
      </c>
      <c r="B6" s="5"/>
      <c r="C6" s="5"/>
      <c r="D6" s="5"/>
      <c r="E6" s="5"/>
      <c r="F6" s="5"/>
      <c r="G6" s="5"/>
      <c r="H6" s="5" t="s">
        <v>697</v>
      </c>
      <c r="I6" s="5" t="s">
        <v>704</v>
      </c>
      <c r="J6" s="5" t="s">
        <v>705</v>
      </c>
    </row>
    <row r="7" spans="1:10" ht="36" customHeight="1" x14ac:dyDescent="0.35">
      <c r="A7" s="5" t="s">
        <v>706</v>
      </c>
      <c r="B7" s="5"/>
      <c r="C7" s="5"/>
      <c r="D7" s="5"/>
      <c r="E7" s="5"/>
      <c r="F7" s="5"/>
      <c r="G7" s="5"/>
      <c r="H7" s="5" t="s">
        <v>697</v>
      </c>
      <c r="I7" s="5" t="s">
        <v>698</v>
      </c>
      <c r="J7" s="5" t="s">
        <v>707</v>
      </c>
    </row>
    <row r="8" spans="1:10" ht="36" customHeight="1" x14ac:dyDescent="0.35">
      <c r="A8" s="5" t="s">
        <v>708</v>
      </c>
      <c r="B8" s="5"/>
      <c r="C8" s="5"/>
      <c r="D8" s="5"/>
      <c r="E8" s="5"/>
      <c r="F8" s="5"/>
      <c r="G8" s="5"/>
      <c r="H8" s="5" t="s">
        <v>697</v>
      </c>
      <c r="I8" s="5" t="s">
        <v>709</v>
      </c>
      <c r="J8" s="5" t="s">
        <v>710</v>
      </c>
    </row>
    <row r="9" spans="1:10" ht="36" customHeight="1" x14ac:dyDescent="0.35">
      <c r="A9" s="5" t="s">
        <v>711</v>
      </c>
      <c r="B9" s="5"/>
      <c r="C9" s="5"/>
      <c r="D9" s="5"/>
      <c r="E9" s="5"/>
      <c r="F9" s="5"/>
      <c r="G9" s="5"/>
      <c r="H9" s="5" t="s">
        <v>697</v>
      </c>
      <c r="I9" s="5" t="s">
        <v>704</v>
      </c>
      <c r="J9" s="5" t="s">
        <v>712</v>
      </c>
    </row>
    <row r="10" spans="1:10" ht="36" customHeight="1" x14ac:dyDescent="0.35">
      <c r="A10" s="5" t="s">
        <v>713</v>
      </c>
      <c r="B10" s="5"/>
      <c r="C10" s="5"/>
      <c r="D10" s="5"/>
      <c r="E10" s="5"/>
      <c r="F10" s="5"/>
      <c r="G10" s="5"/>
      <c r="H10" s="5" t="s">
        <v>697</v>
      </c>
      <c r="I10" s="5" t="s">
        <v>701</v>
      </c>
      <c r="J10" s="5" t="s">
        <v>714</v>
      </c>
    </row>
    <row r="11" spans="1:10" ht="36" customHeight="1" x14ac:dyDescent="0.35">
      <c r="A11" s="5" t="s">
        <v>715</v>
      </c>
      <c r="B11" s="5"/>
      <c r="C11" s="5"/>
      <c r="D11" s="5"/>
      <c r="E11" s="5"/>
      <c r="F11" s="5"/>
      <c r="G11" s="5"/>
      <c r="H11" s="5" t="s">
        <v>697</v>
      </c>
      <c r="I11" s="5" t="s">
        <v>698</v>
      </c>
      <c r="J11" s="5" t="s">
        <v>716</v>
      </c>
    </row>
    <row r="12" spans="1:10" ht="36" customHeight="1" x14ac:dyDescent="0.35">
      <c r="A12" s="5" t="s">
        <v>717</v>
      </c>
      <c r="B12" s="5"/>
      <c r="C12" s="5"/>
      <c r="D12" s="5"/>
      <c r="E12" s="5"/>
      <c r="F12" s="5"/>
      <c r="G12" s="5"/>
      <c r="H12" s="5" t="s">
        <v>697</v>
      </c>
      <c r="I12" s="5" t="s">
        <v>718</v>
      </c>
      <c r="J12" s="5" t="s">
        <v>719</v>
      </c>
    </row>
    <row r="13" spans="1:10" ht="36" customHeight="1" x14ac:dyDescent="0.35">
      <c r="A13" s="5" t="s">
        <v>720</v>
      </c>
      <c r="B13" s="5"/>
      <c r="C13" s="5"/>
      <c r="D13" s="5"/>
      <c r="E13" s="5"/>
      <c r="F13" s="5"/>
      <c r="G13" s="5"/>
      <c r="H13" s="5" t="s">
        <v>697</v>
      </c>
      <c r="I13" s="5" t="s">
        <v>721</v>
      </c>
      <c r="J13" s="5" t="s">
        <v>722</v>
      </c>
    </row>
    <row r="14" spans="1:10" ht="36" customHeight="1" x14ac:dyDescent="0.35">
      <c r="A14" s="5" t="s">
        <v>723</v>
      </c>
      <c r="B14" s="5"/>
      <c r="C14" s="5"/>
      <c r="D14" s="5"/>
      <c r="E14" s="5"/>
      <c r="F14" s="5"/>
      <c r="G14" s="5"/>
      <c r="H14" s="5" t="s">
        <v>697</v>
      </c>
      <c r="I14" s="5" t="s">
        <v>724</v>
      </c>
      <c r="J14" s="5" t="s">
        <v>725</v>
      </c>
    </row>
    <row r="15" spans="1:10" ht="36" customHeight="1" x14ac:dyDescent="0.35">
      <c r="A15" s="5" t="s">
        <v>726</v>
      </c>
      <c r="B15" s="5"/>
      <c r="C15" s="5"/>
      <c r="D15" s="5"/>
      <c r="E15" s="5"/>
      <c r="F15" s="5"/>
      <c r="G15" s="5"/>
      <c r="H15" s="5" t="s">
        <v>697</v>
      </c>
      <c r="I15" s="5" t="s">
        <v>727</v>
      </c>
      <c r="J15" s="5" t="s">
        <v>728</v>
      </c>
    </row>
    <row r="16" spans="1:10" ht="36" customHeight="1" x14ac:dyDescent="0.35">
      <c r="A16" s="5" t="s">
        <v>729</v>
      </c>
      <c r="B16" s="5"/>
      <c r="C16" s="5"/>
      <c r="D16" s="5"/>
      <c r="E16" s="5"/>
      <c r="F16" s="5"/>
      <c r="G16" s="5"/>
      <c r="H16" s="5" t="s">
        <v>697</v>
      </c>
      <c r="I16" s="5" t="s">
        <v>730</v>
      </c>
      <c r="J16" s="5" t="s">
        <v>731</v>
      </c>
    </row>
  </sheetData>
  <mergeCells count="1">
    <mergeCell ref="A2:G2"/>
  </mergeCells>
  <pageMargins left="0.75" right="0.75" top="1" bottom="1" header="0.5" footer="0.5"/>
  <pageSetup orientation="landscape"/>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13"/>
  <sheetViews>
    <sheetView showGridLines="0" workbookViewId="0">
      <pane ySplit="3" topLeftCell="A4" activePane="bottomLeft" state="frozen"/>
      <selection pane="bottomLeft"/>
    </sheetView>
  </sheetViews>
  <sheetFormatPr defaultRowHeight="14.5" x14ac:dyDescent="0.35"/>
  <cols>
    <col min="1" max="1" width="40" customWidth="1"/>
    <col min="2" max="2" width="16" customWidth="1"/>
    <col min="3" max="6" width="18" customWidth="1"/>
    <col min="7" max="7" width="48" customWidth="1"/>
    <col min="8" max="8" width="16" customWidth="1"/>
  </cols>
  <sheetData>
    <row r="1" spans="1:8" ht="28" customHeight="1" x14ac:dyDescent="0.5">
      <c r="A1" s="1" t="s">
        <v>732</v>
      </c>
    </row>
    <row r="2" spans="1:8" ht="32" customHeight="1" x14ac:dyDescent="0.35">
      <c r="A2" s="28" t="s">
        <v>733</v>
      </c>
      <c r="B2" s="27"/>
      <c r="C2" s="27"/>
      <c r="D2" s="27"/>
      <c r="E2" s="27"/>
      <c r="F2" s="27"/>
      <c r="G2" s="27"/>
    </row>
    <row r="3" spans="1:8" x14ac:dyDescent="0.35">
      <c r="A3" s="3" t="s">
        <v>734</v>
      </c>
      <c r="B3" s="3" t="s">
        <v>197</v>
      </c>
      <c r="C3" s="3" t="s">
        <v>735</v>
      </c>
      <c r="D3" s="3" t="s">
        <v>736</v>
      </c>
      <c r="E3" s="3" t="s">
        <v>737</v>
      </c>
      <c r="F3" s="3" t="s">
        <v>548</v>
      </c>
      <c r="G3" s="3" t="s">
        <v>738</v>
      </c>
      <c r="H3" s="3" t="s">
        <v>739</v>
      </c>
    </row>
    <row r="4" spans="1:8" ht="36" customHeight="1" x14ac:dyDescent="0.35">
      <c r="A4" s="5" t="s">
        <v>740</v>
      </c>
      <c r="B4" s="5"/>
      <c r="C4" s="5"/>
      <c r="D4" s="5"/>
      <c r="E4" s="5" t="s">
        <v>697</v>
      </c>
      <c r="F4" s="5"/>
      <c r="G4" s="5" t="s">
        <v>741</v>
      </c>
      <c r="H4" s="5" t="s">
        <v>661</v>
      </c>
    </row>
    <row r="5" spans="1:8" ht="36" customHeight="1" x14ac:dyDescent="0.35">
      <c r="A5" s="5" t="s">
        <v>742</v>
      </c>
      <c r="B5" s="5"/>
      <c r="C5" s="5"/>
      <c r="D5" s="5"/>
      <c r="E5" s="5" t="s">
        <v>697</v>
      </c>
      <c r="F5" s="5"/>
      <c r="G5" s="5" t="s">
        <v>743</v>
      </c>
      <c r="H5" s="5" t="s">
        <v>661</v>
      </c>
    </row>
    <row r="6" spans="1:8" ht="36" customHeight="1" x14ac:dyDescent="0.35">
      <c r="A6" s="5" t="s">
        <v>744</v>
      </c>
      <c r="B6" s="5"/>
      <c r="C6" s="5"/>
      <c r="D6" s="5"/>
      <c r="E6" s="5" t="s">
        <v>697</v>
      </c>
      <c r="F6" s="5"/>
      <c r="G6" s="5" t="s">
        <v>745</v>
      </c>
      <c r="H6" s="5" t="s">
        <v>661</v>
      </c>
    </row>
    <row r="7" spans="1:8" ht="36" customHeight="1" x14ac:dyDescent="0.35">
      <c r="A7" s="5" t="s">
        <v>746</v>
      </c>
      <c r="B7" s="5"/>
      <c r="C7" s="5"/>
      <c r="D7" s="5"/>
      <c r="E7" s="5" t="s">
        <v>697</v>
      </c>
      <c r="F7" s="5"/>
      <c r="G7" s="5" t="s">
        <v>747</v>
      </c>
      <c r="H7" s="5" t="s">
        <v>661</v>
      </c>
    </row>
    <row r="8" spans="1:8" ht="36" customHeight="1" x14ac:dyDescent="0.35">
      <c r="A8" s="5" t="s">
        <v>748</v>
      </c>
      <c r="B8" s="5"/>
      <c r="C8" s="5"/>
      <c r="D8" s="5"/>
      <c r="E8" s="5" t="s">
        <v>697</v>
      </c>
      <c r="F8" s="5"/>
      <c r="G8" s="5" t="s">
        <v>749</v>
      </c>
      <c r="H8" s="5" t="s">
        <v>661</v>
      </c>
    </row>
    <row r="9" spans="1:8" ht="36" customHeight="1" x14ac:dyDescent="0.35">
      <c r="A9" s="5" t="s">
        <v>750</v>
      </c>
      <c r="B9" s="5"/>
      <c r="C9" s="5"/>
      <c r="D9" s="5"/>
      <c r="E9" s="5" t="s">
        <v>697</v>
      </c>
      <c r="F9" s="5"/>
      <c r="G9" s="5" t="s">
        <v>751</v>
      </c>
      <c r="H9" s="5" t="s">
        <v>661</v>
      </c>
    </row>
    <row r="10" spans="1:8" ht="36" customHeight="1" x14ac:dyDescent="0.35">
      <c r="A10" s="5" t="s">
        <v>752</v>
      </c>
      <c r="B10" s="5"/>
      <c r="C10" s="5"/>
      <c r="D10" s="5"/>
      <c r="E10" s="5" t="s">
        <v>697</v>
      </c>
      <c r="F10" s="5"/>
      <c r="G10" s="5" t="s">
        <v>753</v>
      </c>
      <c r="H10" s="5" t="s">
        <v>661</v>
      </c>
    </row>
    <row r="11" spans="1:8" ht="36" customHeight="1" x14ac:dyDescent="0.35">
      <c r="A11" s="5" t="s">
        <v>754</v>
      </c>
      <c r="B11" s="5"/>
      <c r="C11" s="5"/>
      <c r="D11" s="5"/>
      <c r="E11" s="5" t="s">
        <v>697</v>
      </c>
      <c r="F11" s="5"/>
      <c r="G11" s="5" t="s">
        <v>755</v>
      </c>
      <c r="H11" s="5" t="s">
        <v>661</v>
      </c>
    </row>
    <row r="12" spans="1:8" ht="36" customHeight="1" x14ac:dyDescent="0.35">
      <c r="A12" s="5" t="s">
        <v>756</v>
      </c>
      <c r="B12" s="5"/>
      <c r="C12" s="5"/>
      <c r="D12" s="5"/>
      <c r="E12" s="5" t="s">
        <v>697</v>
      </c>
      <c r="F12" s="5"/>
      <c r="G12" s="5" t="s">
        <v>757</v>
      </c>
      <c r="H12" s="5" t="s">
        <v>661</v>
      </c>
    </row>
    <row r="13" spans="1:8" ht="36" customHeight="1" x14ac:dyDescent="0.35">
      <c r="A13" s="5" t="s">
        <v>758</v>
      </c>
      <c r="B13" s="5"/>
      <c r="C13" s="5"/>
      <c r="D13" s="5"/>
      <c r="E13" s="5" t="s">
        <v>697</v>
      </c>
      <c r="F13" s="5"/>
      <c r="G13" s="5" t="s">
        <v>759</v>
      </c>
      <c r="H13" s="5" t="s">
        <v>661</v>
      </c>
    </row>
  </sheetData>
  <mergeCells count="1">
    <mergeCell ref="A2:G2"/>
  </mergeCells>
  <pageMargins left="0.75" right="0.75" top="1" bottom="1" header="0.5" footer="0.5"/>
  <pageSetup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G20"/>
  <sheetViews>
    <sheetView showGridLines="0" workbookViewId="0">
      <pane ySplit="3" topLeftCell="A4" activePane="bottomLeft" state="frozen"/>
      <selection pane="bottomLeft"/>
    </sheetView>
  </sheetViews>
  <sheetFormatPr defaultRowHeight="14.5" x14ac:dyDescent="0.35"/>
  <cols>
    <col min="1" max="1" width="14" customWidth="1"/>
    <col min="2" max="2" width="55" customWidth="1"/>
    <col min="3" max="3" width="24" customWidth="1"/>
    <col min="4" max="4" width="22" customWidth="1"/>
    <col min="5" max="5" width="55" customWidth="1"/>
  </cols>
  <sheetData>
    <row r="1" spans="1:7" ht="28" customHeight="1" x14ac:dyDescent="0.5">
      <c r="A1" s="1" t="s">
        <v>760</v>
      </c>
    </row>
    <row r="2" spans="1:7" ht="32" customHeight="1" x14ac:dyDescent="0.35">
      <c r="A2" s="28" t="s">
        <v>761</v>
      </c>
      <c r="B2" s="27"/>
      <c r="C2" s="27"/>
      <c r="D2" s="27"/>
      <c r="E2" s="27"/>
      <c r="F2" s="27"/>
      <c r="G2" s="27"/>
    </row>
    <row r="3" spans="1:7" x14ac:dyDescent="0.35">
      <c r="A3" s="3" t="s">
        <v>60</v>
      </c>
      <c r="B3" s="3" t="s">
        <v>61</v>
      </c>
      <c r="C3" s="3" t="s">
        <v>762</v>
      </c>
      <c r="D3" s="3" t="s">
        <v>763</v>
      </c>
      <c r="E3" s="3" t="s">
        <v>764</v>
      </c>
    </row>
    <row r="4" spans="1:7" ht="36" customHeight="1" x14ac:dyDescent="0.35">
      <c r="A4" s="5" t="s">
        <v>98</v>
      </c>
      <c r="B4" s="5" t="s">
        <v>765</v>
      </c>
      <c r="C4" s="5" t="s">
        <v>74</v>
      </c>
      <c r="D4" s="5" t="s">
        <v>766</v>
      </c>
      <c r="E4" s="5" t="s">
        <v>767</v>
      </c>
    </row>
    <row r="5" spans="1:7" ht="36" customHeight="1" x14ac:dyDescent="0.35">
      <c r="A5" s="5" t="s">
        <v>119</v>
      </c>
      <c r="B5" s="5" t="s">
        <v>768</v>
      </c>
      <c r="C5" s="5" t="s">
        <v>122</v>
      </c>
      <c r="D5" s="5" t="s">
        <v>439</v>
      </c>
      <c r="E5" s="5" t="s">
        <v>769</v>
      </c>
    </row>
    <row r="6" spans="1:7" ht="36" customHeight="1" x14ac:dyDescent="0.35">
      <c r="A6" s="5" t="s">
        <v>71</v>
      </c>
      <c r="B6" s="5" t="s">
        <v>72</v>
      </c>
      <c r="C6" s="5" t="s">
        <v>74</v>
      </c>
      <c r="D6" s="5" t="s">
        <v>74</v>
      </c>
      <c r="E6" s="5" t="s">
        <v>770</v>
      </c>
    </row>
    <row r="7" spans="1:7" ht="36" customHeight="1" x14ac:dyDescent="0.35">
      <c r="A7" s="5" t="s">
        <v>83</v>
      </c>
      <c r="B7" s="5" t="s">
        <v>771</v>
      </c>
      <c r="C7" s="5" t="s">
        <v>74</v>
      </c>
      <c r="D7" s="5" t="s">
        <v>74</v>
      </c>
      <c r="E7" s="5" t="s">
        <v>770</v>
      </c>
    </row>
    <row r="8" spans="1:7" ht="36" customHeight="1" x14ac:dyDescent="0.35">
      <c r="A8" s="5" t="s">
        <v>87</v>
      </c>
      <c r="B8" s="5" t="s">
        <v>772</v>
      </c>
      <c r="C8" s="5" t="s">
        <v>74</v>
      </c>
      <c r="D8" s="5" t="s">
        <v>74</v>
      </c>
      <c r="E8" s="5" t="s">
        <v>770</v>
      </c>
    </row>
    <row r="9" spans="1:7" ht="36" customHeight="1" x14ac:dyDescent="0.35">
      <c r="A9" s="5" t="s">
        <v>134</v>
      </c>
      <c r="B9" s="5" t="s">
        <v>773</v>
      </c>
      <c r="C9" s="5" t="s">
        <v>74</v>
      </c>
      <c r="D9" s="5" t="s">
        <v>74</v>
      </c>
      <c r="E9" s="5" t="s">
        <v>770</v>
      </c>
    </row>
    <row r="10" spans="1:7" ht="36" customHeight="1" x14ac:dyDescent="0.35">
      <c r="A10" s="5" t="s">
        <v>130</v>
      </c>
      <c r="B10" s="5" t="s">
        <v>774</v>
      </c>
      <c r="C10" s="5" t="s">
        <v>122</v>
      </c>
      <c r="D10" s="5" t="s">
        <v>439</v>
      </c>
      <c r="E10" s="5" t="s">
        <v>769</v>
      </c>
    </row>
    <row r="11" spans="1:7" ht="36" customHeight="1" x14ac:dyDescent="0.35">
      <c r="A11" s="5" t="s">
        <v>92</v>
      </c>
      <c r="B11" s="5" t="s">
        <v>775</v>
      </c>
      <c r="C11" s="5" t="s">
        <v>94</v>
      </c>
      <c r="D11" s="5" t="s">
        <v>776</v>
      </c>
      <c r="E11" s="5" t="s">
        <v>777</v>
      </c>
    </row>
    <row r="12" spans="1:7" ht="36" customHeight="1" x14ac:dyDescent="0.35">
      <c r="A12" s="5" t="s">
        <v>104</v>
      </c>
      <c r="B12" s="5" t="s">
        <v>778</v>
      </c>
      <c r="C12" s="5" t="s">
        <v>74</v>
      </c>
      <c r="D12" s="5" t="s">
        <v>779</v>
      </c>
      <c r="E12" s="5" t="s">
        <v>780</v>
      </c>
    </row>
    <row r="13" spans="1:7" ht="36" customHeight="1" x14ac:dyDescent="0.35">
      <c r="A13" s="5" t="s">
        <v>138</v>
      </c>
      <c r="B13" s="5" t="s">
        <v>781</v>
      </c>
      <c r="C13" s="5" t="s">
        <v>74</v>
      </c>
      <c r="D13" s="5" t="s">
        <v>74</v>
      </c>
      <c r="E13" s="5" t="s">
        <v>770</v>
      </c>
    </row>
    <row r="14" spans="1:7" ht="36" customHeight="1" x14ac:dyDescent="0.35">
      <c r="A14" s="5" t="s">
        <v>142</v>
      </c>
      <c r="B14" s="5" t="s">
        <v>782</v>
      </c>
      <c r="C14" s="5" t="s">
        <v>74</v>
      </c>
      <c r="D14" s="5" t="s">
        <v>74</v>
      </c>
      <c r="E14" s="5" t="s">
        <v>770</v>
      </c>
    </row>
    <row r="15" spans="1:7" ht="36" customHeight="1" x14ac:dyDescent="0.35">
      <c r="A15" s="5" t="s">
        <v>145</v>
      </c>
      <c r="B15" s="5" t="s">
        <v>783</v>
      </c>
      <c r="C15" s="5" t="s">
        <v>122</v>
      </c>
      <c r="D15" s="5" t="s">
        <v>439</v>
      </c>
      <c r="E15" s="5" t="s">
        <v>769</v>
      </c>
    </row>
    <row r="16" spans="1:7" ht="36" customHeight="1" x14ac:dyDescent="0.35">
      <c r="A16" s="5" t="s">
        <v>149</v>
      </c>
      <c r="B16" s="5" t="s">
        <v>784</v>
      </c>
      <c r="C16" s="5" t="s">
        <v>122</v>
      </c>
      <c r="D16" s="5" t="s">
        <v>439</v>
      </c>
      <c r="E16" s="5" t="s">
        <v>769</v>
      </c>
    </row>
    <row r="17" spans="1:5" ht="36" customHeight="1" x14ac:dyDescent="0.35">
      <c r="A17" s="5" t="s">
        <v>154</v>
      </c>
      <c r="B17" s="5" t="s">
        <v>785</v>
      </c>
      <c r="C17" s="5" t="s">
        <v>122</v>
      </c>
      <c r="D17" s="5" t="s">
        <v>439</v>
      </c>
      <c r="E17" s="5" t="s">
        <v>769</v>
      </c>
    </row>
    <row r="18" spans="1:5" ht="36" customHeight="1" x14ac:dyDescent="0.35">
      <c r="A18" s="5" t="s">
        <v>156</v>
      </c>
      <c r="B18" s="5" t="s">
        <v>786</v>
      </c>
      <c r="C18" s="5" t="s">
        <v>122</v>
      </c>
      <c r="D18" s="5" t="s">
        <v>439</v>
      </c>
      <c r="E18" s="5" t="s">
        <v>769</v>
      </c>
    </row>
    <row r="19" spans="1:5" ht="36" customHeight="1" x14ac:dyDescent="0.35">
      <c r="A19" s="5" t="s">
        <v>79</v>
      </c>
      <c r="B19" s="5" t="s">
        <v>787</v>
      </c>
      <c r="C19" s="5" t="s">
        <v>74</v>
      </c>
      <c r="D19" s="5" t="s">
        <v>74</v>
      </c>
      <c r="E19" s="5" t="s">
        <v>770</v>
      </c>
    </row>
    <row r="20" spans="1:5" ht="36" customHeight="1" x14ac:dyDescent="0.35">
      <c r="A20" s="5" t="s">
        <v>126</v>
      </c>
      <c r="B20" s="5" t="s">
        <v>788</v>
      </c>
      <c r="C20" s="5" t="s">
        <v>122</v>
      </c>
      <c r="D20" s="5" t="s">
        <v>439</v>
      </c>
      <c r="E20" s="5" t="s">
        <v>769</v>
      </c>
    </row>
  </sheetData>
  <mergeCells count="1">
    <mergeCell ref="A2:G2"/>
  </mergeCells>
  <pageMargins left="0.75" right="0.75" top="1" bottom="1" header="0.5" footer="0.5"/>
  <pageSetup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11"/>
  <sheetViews>
    <sheetView showGridLines="0" workbookViewId="0"/>
  </sheetViews>
  <sheetFormatPr defaultRowHeight="14.5" x14ac:dyDescent="0.35"/>
  <cols>
    <col min="1" max="1" width="36" customWidth="1"/>
    <col min="2" max="2" width="78" customWidth="1"/>
    <col min="3" max="3" width="18" customWidth="1"/>
  </cols>
  <sheetData>
    <row r="1" spans="1:7" ht="28" customHeight="1" x14ac:dyDescent="0.5">
      <c r="A1" s="1" t="s">
        <v>789</v>
      </c>
    </row>
    <row r="2" spans="1:7" ht="32" customHeight="1" x14ac:dyDescent="0.35">
      <c r="A2" s="28" t="s">
        <v>790</v>
      </c>
      <c r="B2" s="27"/>
      <c r="C2" s="27"/>
      <c r="D2" s="27"/>
      <c r="E2" s="27"/>
      <c r="F2" s="27"/>
      <c r="G2" s="27"/>
    </row>
    <row r="3" spans="1:7" x14ac:dyDescent="0.35">
      <c r="A3" s="3" t="s">
        <v>791</v>
      </c>
      <c r="B3" s="3" t="s">
        <v>2</v>
      </c>
      <c r="C3" s="3" t="s">
        <v>792</v>
      </c>
    </row>
    <row r="4" spans="1:7" ht="28" customHeight="1" x14ac:dyDescent="0.35">
      <c r="A4" s="4" t="s">
        <v>793</v>
      </c>
      <c r="B4" s="5" t="s">
        <v>794</v>
      </c>
      <c r="C4" s="5" t="s">
        <v>795</v>
      </c>
    </row>
    <row r="5" spans="1:7" ht="28" customHeight="1" x14ac:dyDescent="0.35">
      <c r="A5" s="4" t="s">
        <v>796</v>
      </c>
      <c r="B5" s="5" t="s">
        <v>797</v>
      </c>
      <c r="C5" s="5" t="s">
        <v>795</v>
      </c>
    </row>
    <row r="6" spans="1:7" ht="28" customHeight="1" x14ac:dyDescent="0.35">
      <c r="A6" s="4" t="s">
        <v>798</v>
      </c>
      <c r="B6" s="5" t="s">
        <v>799</v>
      </c>
      <c r="C6" s="5" t="s">
        <v>795</v>
      </c>
    </row>
    <row r="7" spans="1:7" ht="28" customHeight="1" x14ac:dyDescent="0.35">
      <c r="A7" s="4" t="s">
        <v>800</v>
      </c>
      <c r="B7" s="5" t="s">
        <v>801</v>
      </c>
      <c r="C7" s="5" t="s">
        <v>795</v>
      </c>
    </row>
    <row r="8" spans="1:7" ht="28" customHeight="1" x14ac:dyDescent="0.35">
      <c r="A8" s="4" t="s">
        <v>802</v>
      </c>
      <c r="B8" s="5" t="s">
        <v>803</v>
      </c>
      <c r="C8" s="5" t="s">
        <v>795</v>
      </c>
    </row>
    <row r="10" spans="1:7" x14ac:dyDescent="0.35">
      <c r="A10" s="4" t="s">
        <v>25</v>
      </c>
      <c r="B10" s="4">
        <f>COUNTIF(TaskRegister[OS ready],"Yes")</f>
        <v>0</v>
      </c>
    </row>
    <row r="11" spans="1:7" x14ac:dyDescent="0.35">
      <c r="A11" s="5" t="s">
        <v>804</v>
      </c>
      <c r="B11" s="4">
        <f>COUNTIF(TaskRegister[OS ready],"No")</f>
        <v>770</v>
      </c>
    </row>
  </sheetData>
  <mergeCells count="1">
    <mergeCell ref="A2:G2"/>
  </mergeCell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E52"/>
  <sheetViews>
    <sheetView showGridLines="0" workbookViewId="0">
      <pane ySplit="3" topLeftCell="A4" activePane="bottomLeft" state="frozen"/>
      <selection pane="bottomLeft"/>
    </sheetView>
  </sheetViews>
  <sheetFormatPr defaultRowHeight="14.5" x14ac:dyDescent="0.35"/>
  <cols>
    <col min="1" max="1" width="42" customWidth="1"/>
    <col min="2" max="2" width="16" customWidth="1"/>
    <col min="3" max="3" width="4" customWidth="1"/>
    <col min="4" max="4" width="42" customWidth="1"/>
    <col min="5" max="5" width="14" customWidth="1"/>
  </cols>
  <sheetData>
    <row r="1" spans="1:5" ht="28" customHeight="1" x14ac:dyDescent="0.5">
      <c r="A1" s="1" t="s">
        <v>805</v>
      </c>
    </row>
    <row r="2" spans="1:5" x14ac:dyDescent="0.35">
      <c r="A2" s="31" t="s">
        <v>806</v>
      </c>
      <c r="B2" s="27"/>
      <c r="C2" s="27"/>
      <c r="D2" s="27"/>
      <c r="E2" s="27"/>
    </row>
    <row r="4" spans="1:5" x14ac:dyDescent="0.35">
      <c r="A4" s="11" t="s">
        <v>807</v>
      </c>
      <c r="B4" s="11" t="s">
        <v>3</v>
      </c>
      <c r="D4" s="15" t="s">
        <v>808</v>
      </c>
      <c r="E4" s="15" t="s">
        <v>5</v>
      </c>
    </row>
    <row r="5" spans="1:5" x14ac:dyDescent="0.35">
      <c r="A5" s="5" t="s">
        <v>5</v>
      </c>
      <c r="B5" s="13">
        <f>COUNTA(TaskRegister[Task ID])</f>
        <v>770</v>
      </c>
      <c r="D5" s="5" t="s">
        <v>809</v>
      </c>
      <c r="E5" s="13">
        <f>COUNTIF(TaskRegister[Scope class],"Operational role")</f>
        <v>231</v>
      </c>
    </row>
    <row r="6" spans="1:5" x14ac:dyDescent="0.35">
      <c r="A6" s="5" t="s">
        <v>197</v>
      </c>
      <c r="B6" s="13">
        <f>COUNTIF(TaskRegister[Register slice],"Baseline")</f>
        <v>560</v>
      </c>
      <c r="D6" s="5" t="s">
        <v>810</v>
      </c>
      <c r="E6" s="13">
        <f>COUNTIF(TaskRegister[Scope class],"Named role")</f>
        <v>17</v>
      </c>
    </row>
    <row r="7" spans="1:5" x14ac:dyDescent="0.35">
      <c r="A7" s="5" t="s">
        <v>198</v>
      </c>
      <c r="B7" s="13">
        <f>COUNTIF(TaskRegister[Register slice],"Strategic expansion")</f>
        <v>155</v>
      </c>
      <c r="D7" s="5" t="s">
        <v>811</v>
      </c>
      <c r="E7" s="13">
        <f>COUNTIF(TaskRegister[Scope class],"Growth role")</f>
        <v>25</v>
      </c>
    </row>
    <row r="8" spans="1:5" x14ac:dyDescent="0.35">
      <c r="A8" s="5" t="s">
        <v>199</v>
      </c>
      <c r="B8" s="13">
        <f>COUNTIF(TaskRegister[Register slice],"Growth OS")</f>
        <v>25</v>
      </c>
      <c r="D8" s="5" t="s">
        <v>812</v>
      </c>
      <c r="E8" s="13">
        <f>COUNTIF(TaskRegister[Scope class],"Cross-persona")</f>
        <v>369</v>
      </c>
    </row>
    <row r="9" spans="1:5" x14ac:dyDescent="0.35">
      <c r="A9" s="5" t="s">
        <v>200</v>
      </c>
      <c r="B9" s="13">
        <f>COUNTIF(TaskRegister[Register slice],"Added flows")</f>
        <v>30</v>
      </c>
      <c r="D9" s="5" t="s">
        <v>813</v>
      </c>
      <c r="E9" s="13">
        <f>COUNTIF(TaskRegister[Scope class],"Platform or theme scope")</f>
        <v>108</v>
      </c>
    </row>
    <row r="10" spans="1:5" x14ac:dyDescent="0.35">
      <c r="A10" s="11" t="s">
        <v>762</v>
      </c>
      <c r="B10" s="11" t="s">
        <v>3</v>
      </c>
      <c r="D10" s="5" t="s">
        <v>814</v>
      </c>
      <c r="E10" s="13">
        <f>COUNTIF(TaskRegister[Scope class],"System engine")</f>
        <v>20</v>
      </c>
    </row>
    <row r="11" spans="1:5" x14ac:dyDescent="0.35">
      <c r="A11" s="5" t="s">
        <v>181</v>
      </c>
      <c r="B11" s="13">
        <f>COUNTIF(TaskRegister[Validation Status],"Validated (Supported)")</f>
        <v>698</v>
      </c>
    </row>
    <row r="12" spans="1:5" x14ac:dyDescent="0.35">
      <c r="A12" s="5" t="s">
        <v>94</v>
      </c>
      <c r="B12" s="13">
        <f>COUNTIF(TaskRegister[Validation Status],"Code Complete &amp; Verified")</f>
        <v>26</v>
      </c>
    </row>
    <row r="13" spans="1:5" x14ac:dyDescent="0.35">
      <c r="A13" s="5" t="s">
        <v>74</v>
      </c>
      <c r="B13" s="13">
        <f>COUNTIF(TaskRegister[Validation Status],"Partial")</f>
        <v>9</v>
      </c>
    </row>
    <row r="14" spans="1:5" x14ac:dyDescent="0.35">
      <c r="A14" s="5" t="s">
        <v>122</v>
      </c>
      <c r="B14" s="13">
        <f>COUNTIF(TaskRegister[Validation Status],"Mechanism not found")</f>
        <v>7</v>
      </c>
    </row>
    <row r="15" spans="1:5" x14ac:dyDescent="0.35">
      <c r="A15" s="5" t="s">
        <v>193</v>
      </c>
      <c r="B15" s="13">
        <f>COUNTIF(TaskRegister[Validation Status],"In product")</f>
        <v>30</v>
      </c>
    </row>
    <row r="16" spans="1:5" ht="32" customHeight="1" x14ac:dyDescent="0.35">
      <c r="A16" s="31" t="s">
        <v>815</v>
      </c>
      <c r="B16" s="27"/>
      <c r="C16" s="27"/>
      <c r="D16" s="27"/>
      <c r="E16" s="27"/>
    </row>
    <row r="17" spans="1:5" x14ac:dyDescent="0.35">
      <c r="A17" s="15" t="s">
        <v>62</v>
      </c>
      <c r="B17" s="15" t="s">
        <v>3</v>
      </c>
      <c r="D17" s="11" t="s">
        <v>816</v>
      </c>
      <c r="E17" s="11" t="s">
        <v>5</v>
      </c>
    </row>
    <row r="18" spans="1:5" x14ac:dyDescent="0.35">
      <c r="A18" s="5" t="s">
        <v>73</v>
      </c>
      <c r="B18" s="13">
        <f>COUNTIF(TaskRegister[Priority],"P0")</f>
        <v>116</v>
      </c>
      <c r="D18" s="9" t="s">
        <v>817</v>
      </c>
      <c r="E18" s="13">
        <f>COUNTIF(TaskRegister[Task Type],"P")</f>
        <v>206</v>
      </c>
    </row>
    <row r="19" spans="1:5" x14ac:dyDescent="0.35">
      <c r="A19" s="5" t="s">
        <v>121</v>
      </c>
      <c r="B19" s="13">
        <f>COUNTIF(TaskRegister[Priority],"P1")</f>
        <v>588</v>
      </c>
      <c r="D19" s="9" t="s">
        <v>818</v>
      </c>
      <c r="E19" s="13">
        <f>COUNTIF(TaskRegister[Task Type],"X")</f>
        <v>369</v>
      </c>
    </row>
    <row r="20" spans="1:5" x14ac:dyDescent="0.35">
      <c r="A20" s="5" t="s">
        <v>151</v>
      </c>
      <c r="B20" s="13">
        <f>COUNTIF(TaskRegister[Priority],"P2")</f>
        <v>48</v>
      </c>
      <c r="D20" s="9" t="s">
        <v>819</v>
      </c>
      <c r="E20" s="13">
        <f>COUNTIF(TaskRegister[Task Type],"G-OS")</f>
        <v>25</v>
      </c>
    </row>
    <row r="21" spans="1:5" x14ac:dyDescent="0.35">
      <c r="A21" s="5" t="s">
        <v>158</v>
      </c>
      <c r="B21" s="13">
        <f>COUNTIF(TaskRegister[Priority],"P3")</f>
        <v>18</v>
      </c>
      <c r="D21" s="9" t="s">
        <v>820</v>
      </c>
      <c r="E21" s="13">
        <f>COUNTIF(TaskRegister[Task Type],"S")</f>
        <v>20</v>
      </c>
    </row>
    <row r="22" spans="1:5" x14ac:dyDescent="0.35">
      <c r="D22" s="9" t="s">
        <v>821</v>
      </c>
      <c r="E22" s="13">
        <f>COUNTIF(TaskRegister[Task Type],"UX")</f>
        <v>20</v>
      </c>
    </row>
    <row r="23" spans="1:5" x14ac:dyDescent="0.35">
      <c r="D23" s="9" t="s">
        <v>822</v>
      </c>
      <c r="E23" s="13">
        <f>COUNTIF(TaskRegister[Task Type],"C")</f>
        <v>20</v>
      </c>
    </row>
    <row r="24" spans="1:5" x14ac:dyDescent="0.35">
      <c r="A24" s="11" t="s">
        <v>823</v>
      </c>
      <c r="B24" s="11" t="s">
        <v>5</v>
      </c>
      <c r="D24" s="9" t="s">
        <v>824</v>
      </c>
      <c r="E24" s="13">
        <f>COUNTIF(TaskRegister[Task Type],"D")</f>
        <v>20</v>
      </c>
    </row>
    <row r="25" spans="1:5" x14ac:dyDescent="0.35">
      <c r="A25" s="5" t="s">
        <v>825</v>
      </c>
      <c r="B25" s="13">
        <f>COUNTIF(TaskRegister[Category],"GST / Tax / Compliance")</f>
        <v>92</v>
      </c>
      <c r="D25" s="9" t="s">
        <v>826</v>
      </c>
      <c r="E25" s="13">
        <f>COUNTIF(TaskRegister[Task Type],"SEC")</f>
        <v>15</v>
      </c>
    </row>
    <row r="26" spans="1:5" x14ac:dyDescent="0.35">
      <c r="A26" s="5" t="s">
        <v>827</v>
      </c>
      <c r="B26" s="13">
        <f>COUNTIF(TaskRegister[Category],"Security / Exception / Recovery")</f>
        <v>80</v>
      </c>
      <c r="D26" s="9" t="s">
        <v>828</v>
      </c>
      <c r="E26" s="13">
        <f>COUNTIF(TaskRegister[Task Type],"R")</f>
        <v>15</v>
      </c>
    </row>
    <row r="27" spans="1:5" x14ac:dyDescent="0.35">
      <c r="A27" s="5" t="s">
        <v>829</v>
      </c>
      <c r="B27" s="13">
        <f>COUNTIF(TaskRegister[Category],"Inventory Lifecycle")</f>
        <v>73</v>
      </c>
      <c r="D27" s="9" t="s">
        <v>830</v>
      </c>
      <c r="E27" s="13">
        <f>COUNTIF(TaskRegister[Task Type],"I")</f>
        <v>15</v>
      </c>
    </row>
    <row r="28" spans="1:5" x14ac:dyDescent="0.35">
      <c r="A28" s="5" t="s">
        <v>831</v>
      </c>
      <c r="B28" s="13">
        <f>COUNTIF(TaskRegister[Category],"Reporting &amp; Business Intelligence")</f>
        <v>61</v>
      </c>
      <c r="D28" s="9" t="s">
        <v>832</v>
      </c>
      <c r="E28" s="13">
        <f>COUNTIF(TaskRegister[Task Type],"SaaS")</f>
        <v>15</v>
      </c>
    </row>
    <row r="29" spans="1:5" x14ac:dyDescent="0.35">
      <c r="A29" s="5" t="s">
        <v>833</v>
      </c>
      <c r="B29" s="13">
        <f>COUNTIF(TaskRegister[Category],"Customer-to-Cash")</f>
        <v>60</v>
      </c>
    </row>
    <row r="30" spans="1:5" x14ac:dyDescent="0.35">
      <c r="A30" s="5" t="s">
        <v>834</v>
      </c>
      <c r="B30" s="13">
        <f>COUNTIF(TaskRegister[Category],"Receivables &amp; Payables")</f>
        <v>58</v>
      </c>
    </row>
    <row r="31" spans="1:5" x14ac:dyDescent="0.35">
      <c r="A31" s="5" t="s">
        <v>835</v>
      </c>
      <c r="B31" s="13">
        <f>COUNTIF(TaskRegister[Category],"Procure-to-Pay")</f>
        <v>46</v>
      </c>
    </row>
    <row r="32" spans="1:5" x14ac:dyDescent="0.35">
      <c r="A32" s="5" t="s">
        <v>836</v>
      </c>
      <c r="B32" s="13">
        <f>COUNTIF(TaskRegister[Category],"Import / Export / Period Close")</f>
        <v>43</v>
      </c>
    </row>
    <row r="33" spans="1:2" x14ac:dyDescent="0.35">
      <c r="A33" s="5" t="s">
        <v>837</v>
      </c>
      <c r="B33" s="13">
        <f>COUNTIF(TaskRegister[Category],"Payments &amp; Reconciliation")</f>
        <v>36</v>
      </c>
    </row>
    <row r="34" spans="1:2" x14ac:dyDescent="0.35">
      <c r="A34" s="5" t="s">
        <v>838</v>
      </c>
      <c r="B34" s="13">
        <f>COUNTIF(TaskRegister[Category],"Master Data &amp; Authorization")</f>
        <v>34</v>
      </c>
    </row>
    <row r="35" spans="1:2" x14ac:dyDescent="0.35">
      <c r="A35" s="5" t="s">
        <v>839</v>
      </c>
      <c r="B35" s="13">
        <f>COUNTIF(TaskRegister[Category],"Multi-Godown / Multi-Store")</f>
        <v>34</v>
      </c>
    </row>
    <row r="36" spans="1:2" x14ac:dyDescent="0.35">
      <c r="A36" s="5" t="s">
        <v>840</v>
      </c>
      <c r="B36" s="13">
        <f>COUNTIF(TaskRegister[Category],"Communication &amp; Integrations")</f>
        <v>26</v>
      </c>
    </row>
    <row r="37" spans="1:2" x14ac:dyDescent="0.35">
      <c r="A37" s="5" t="s">
        <v>841</v>
      </c>
      <c r="B37" s="13">
        <f>COUNTIF(TaskRegister[Category],"Returns / Complaints / After-Sales")</f>
        <v>26</v>
      </c>
    </row>
    <row r="38" spans="1:2" x14ac:dyDescent="0.35">
      <c r="A38" s="5" t="s">
        <v>842</v>
      </c>
      <c r="B38" s="13">
        <f>COUNTIF(TaskRegister[Category],"Sales / CRM / Customer Lifecycle")</f>
        <v>23</v>
      </c>
    </row>
    <row r="39" spans="1:2" x14ac:dyDescent="0.35">
      <c r="A39" s="5" t="s">
        <v>843</v>
      </c>
      <c r="B39" s="13">
        <f>COUNTIF(TaskRegister[Category],"Operations, Fleet &amp; Delivery")</f>
        <v>18</v>
      </c>
    </row>
    <row r="40" spans="1:2" x14ac:dyDescent="0.35">
      <c r="A40" s="5" t="s">
        <v>844</v>
      </c>
      <c r="B40" s="13">
        <f>COUNTIF(TaskRegister[Category],"Insurance Distribution")</f>
        <v>9</v>
      </c>
    </row>
    <row r="41" spans="1:2" x14ac:dyDescent="0.35">
      <c r="A41" s="5" t="s">
        <v>845</v>
      </c>
      <c r="B41" s="13">
        <f>COUNTIF(TaskRegister[Category],"Payroll &amp; Statutory Dues")</f>
        <v>7</v>
      </c>
    </row>
    <row r="42" spans="1:2" x14ac:dyDescent="0.35">
      <c r="A42" s="5" t="s">
        <v>846</v>
      </c>
      <c r="B42" s="13">
        <f>COUNTIF(TaskRegister[Category],"Finance &amp; Fixed Assets")</f>
        <v>5</v>
      </c>
    </row>
    <row r="43" spans="1:2" x14ac:dyDescent="0.35">
      <c r="A43" s="5" t="s">
        <v>847</v>
      </c>
      <c r="B43" s="13">
        <f>COUNTIF(TaskRegister[Category],"Workshop Job")</f>
        <v>5</v>
      </c>
    </row>
    <row r="44" spans="1:2" x14ac:dyDescent="0.35">
      <c r="A44" s="5" t="s">
        <v>848</v>
      </c>
      <c r="B44" s="13">
        <f>COUNTIF(TaskRegister[Category],"Project Billing")</f>
        <v>5</v>
      </c>
    </row>
    <row r="45" spans="1:2" x14ac:dyDescent="0.35">
      <c r="A45" s="5" t="s">
        <v>849</v>
      </c>
      <c r="B45" s="13">
        <f>COUNTIF(TaskRegister[Category],"Growth OS - Campaigns &amp; Marketing")</f>
        <v>4</v>
      </c>
    </row>
    <row r="46" spans="1:2" x14ac:dyDescent="0.35">
      <c r="A46" s="5" t="s">
        <v>850</v>
      </c>
      <c r="B46" s="13">
        <f>COUNTIF(TaskRegister[Category],"Growth OS - Lead Ingestion &amp; Pipeline")</f>
        <v>4</v>
      </c>
    </row>
    <row r="47" spans="1:2" x14ac:dyDescent="0.35">
      <c r="A47" s="5" t="s">
        <v>851</v>
      </c>
      <c r="B47" s="13">
        <f>COUNTIF(TaskRegister[Category],"Growth OS - Opportunity Management")</f>
        <v>4</v>
      </c>
    </row>
    <row r="48" spans="1:2" x14ac:dyDescent="0.35">
      <c r="A48" s="5" t="s">
        <v>852</v>
      </c>
      <c r="B48" s="13">
        <f>COUNTIF(TaskRegister[Category],"Growth OS - Referral &amp; Advocate Engine")</f>
        <v>4</v>
      </c>
    </row>
    <row r="49" spans="1:2" x14ac:dyDescent="0.35">
      <c r="A49" s="5" t="s">
        <v>853</v>
      </c>
      <c r="B49" s="13">
        <f>COUNTIF(TaskRegister[Category],"Growth OS - Service Contracts &amp; AMC")</f>
        <v>4</v>
      </c>
    </row>
    <row r="50" spans="1:2" x14ac:dyDescent="0.35">
      <c r="A50" s="5" t="s">
        <v>854</v>
      </c>
      <c r="B50" s="13">
        <f>COUNTIF(TaskRegister[Category],"Growth OS - Customer Care &amp; Dispute Loop")</f>
        <v>4</v>
      </c>
    </row>
    <row r="51" spans="1:2" x14ac:dyDescent="0.35">
      <c r="A51" s="5" t="s">
        <v>855</v>
      </c>
      <c r="B51" s="13">
        <f>COUNTIF(TaskRegister[Category],"Manufacturing")</f>
        <v>4</v>
      </c>
    </row>
    <row r="52" spans="1:2" x14ac:dyDescent="0.35">
      <c r="A52" s="5" t="s">
        <v>856</v>
      </c>
      <c r="B52" s="13">
        <f>COUNTIF(TaskRegister[Category],"Growth OS - Customer Intelligence")</f>
        <v>1</v>
      </c>
    </row>
  </sheetData>
  <mergeCells count="2">
    <mergeCell ref="A2:E2"/>
    <mergeCell ref="A16:E16"/>
  </mergeCells>
  <pageMargins left="0.75" right="0.75" top="1" bottom="1" header="0.5" footer="0.5"/>
  <pageSetup orientation="landscape"/>
  <headerFooter>
    <oddHeader>&amp;LCoverage dashboard</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3"/>
  <sheetViews>
    <sheetView workbookViewId="0">
      <pane ySplit="3" topLeftCell="A4" activePane="bottomLeft" state="frozen"/>
      <selection pane="bottomLeft"/>
    </sheetView>
  </sheetViews>
  <sheetFormatPr defaultRowHeight="14.5" x14ac:dyDescent="0.35"/>
  <cols>
    <col min="1" max="1" width="16" customWidth="1"/>
    <col min="2" max="2" width="12" customWidth="1"/>
    <col min="3" max="3" width="20" customWidth="1"/>
    <col min="4" max="4" width="10" customWidth="1"/>
  </cols>
  <sheetData>
    <row r="1" spans="1:4" ht="21" x14ac:dyDescent="0.5">
      <c r="A1" s="1" t="s">
        <v>857</v>
      </c>
    </row>
    <row r="2" spans="1:4" ht="208" x14ac:dyDescent="0.35">
      <c r="A2" s="2" t="s">
        <v>858</v>
      </c>
    </row>
    <row r="3" spans="1:4" x14ac:dyDescent="0.35">
      <c r="A3" s="3" t="s">
        <v>62</v>
      </c>
      <c r="B3" s="3" t="s">
        <v>859</v>
      </c>
      <c r="C3" s="3" t="s">
        <v>860</v>
      </c>
      <c r="D3" s="3" t="s">
        <v>861</v>
      </c>
    </row>
    <row r="4" spans="1:4" x14ac:dyDescent="0.35">
      <c r="A4" s="23" t="s">
        <v>73</v>
      </c>
      <c r="B4" s="23">
        <f>COUNTIF(TaskRegister[Priority],A4)</f>
        <v>116</v>
      </c>
      <c r="C4" s="23">
        <f>COUNTIF(TaskRegister[Proposed priority],A4)</f>
        <v>116</v>
      </c>
      <c r="D4" s="23">
        <f>C4-B4</f>
        <v>0</v>
      </c>
    </row>
    <row r="5" spans="1:4" x14ac:dyDescent="0.35">
      <c r="A5" s="23" t="s">
        <v>121</v>
      </c>
      <c r="B5" s="23">
        <f>COUNTIF(TaskRegister[Priority],A5)</f>
        <v>588</v>
      </c>
      <c r="C5" s="23">
        <f>COUNTIF(TaskRegister[Proposed priority],A5)</f>
        <v>437</v>
      </c>
      <c r="D5" s="23">
        <f>C5-B5</f>
        <v>-151</v>
      </c>
    </row>
    <row r="6" spans="1:4" x14ac:dyDescent="0.35">
      <c r="A6" s="23" t="s">
        <v>151</v>
      </c>
      <c r="B6" s="23">
        <f>COUNTIF(TaskRegister[Priority],A6)</f>
        <v>48</v>
      </c>
      <c r="C6" s="23">
        <f>COUNTIF(TaskRegister[Proposed priority],A6)</f>
        <v>199</v>
      </c>
      <c r="D6" s="23">
        <f>C6-B6</f>
        <v>151</v>
      </c>
    </row>
    <row r="7" spans="1:4" x14ac:dyDescent="0.35">
      <c r="A7" s="23" t="s">
        <v>158</v>
      </c>
      <c r="B7" s="23">
        <f>COUNTIF(TaskRegister[Priority],A7)</f>
        <v>18</v>
      </c>
      <c r="C7" s="23">
        <f>COUNTIF(TaskRegister[Proposed priority],A7)</f>
        <v>18</v>
      </c>
      <c r="D7" s="23">
        <f>C7-B7</f>
        <v>0</v>
      </c>
    </row>
    <row r="8" spans="1:4" x14ac:dyDescent="0.35">
      <c r="A8" s="23" t="s">
        <v>862</v>
      </c>
      <c r="B8" s="23">
        <f>SUM(B4:B7)</f>
        <v>770</v>
      </c>
      <c r="C8" s="23">
        <f>SUM(C4:C7)</f>
        <v>770</v>
      </c>
      <c r="D8" s="23">
        <f>SUM(D4:D7)</f>
        <v>0</v>
      </c>
    </row>
    <row r="9" spans="1:4" x14ac:dyDescent="0.35">
      <c r="A9" s="23"/>
      <c r="B9" s="23"/>
      <c r="C9" s="23"/>
      <c r="D9" s="23"/>
    </row>
    <row r="10" spans="1:4" x14ac:dyDescent="0.35">
      <c r="A10" s="23" t="s">
        <v>863</v>
      </c>
      <c r="B10" s="23" t="s">
        <v>5</v>
      </c>
      <c r="C10" s="23" t="s">
        <v>864</v>
      </c>
      <c r="D10" s="23"/>
    </row>
    <row r="11" spans="1:4" x14ac:dyDescent="0.35">
      <c r="A11" s="23" t="s">
        <v>78</v>
      </c>
      <c r="B11" s="23">
        <f>COUNTIF(TaskRegister[Release gate],A11)</f>
        <v>116</v>
      </c>
      <c r="C11" s="23">
        <f>COUNTIFS(TaskRegister[Release gate],A11,TaskRegister[Priority],"P1")</f>
        <v>0</v>
      </c>
      <c r="D11" s="23"/>
    </row>
    <row r="12" spans="1:4" x14ac:dyDescent="0.35">
      <c r="A12" s="23" t="s">
        <v>103</v>
      </c>
      <c r="B12" s="23">
        <f>COUNTIF(TaskRegister[Release gate],A12)</f>
        <v>437</v>
      </c>
      <c r="C12" s="23">
        <f>COUNTIFS(TaskRegister[Release gate],A12,TaskRegister[Priority],"P1")</f>
        <v>437</v>
      </c>
      <c r="D12" s="23"/>
    </row>
    <row r="13" spans="1:4" x14ac:dyDescent="0.35">
      <c r="A13" s="23" t="s">
        <v>11</v>
      </c>
      <c r="B13" s="23">
        <f>COUNTIF(TaskRegister[Release gate],A13)</f>
        <v>217</v>
      </c>
      <c r="C13" s="23">
        <f>COUNTIFS(TaskRegister[Release gate],A13,TaskRegister[Priority],"P1")</f>
        <v>151</v>
      </c>
      <c r="D13" s="23"/>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497D"/>
    <pageSetUpPr fitToPage="1"/>
  </sheetPr>
  <dimension ref="A1:BD771"/>
  <sheetViews>
    <sheetView showGridLines="0" workbookViewId="0">
      <pane ySplit="1" topLeftCell="A2" activePane="bottomLeft" state="frozen"/>
      <selection pane="bottomLeft"/>
    </sheetView>
  </sheetViews>
  <sheetFormatPr defaultRowHeight="14.5" x14ac:dyDescent="0.35"/>
  <cols>
    <col min="1" max="1" width="14" customWidth="1"/>
    <col min="2" max="2" width="12" customWidth="1"/>
    <col min="3" max="4" width="32" customWidth="1"/>
    <col min="5" max="5" width="46" customWidth="1"/>
    <col min="6" max="7" width="28" customWidth="1"/>
    <col min="8" max="8" width="40" customWidth="1"/>
    <col min="9" max="9" width="42" customWidth="1"/>
    <col min="10" max="10" width="12" customWidth="1"/>
    <col min="11" max="11" width="26" customWidth="1"/>
    <col min="12" max="12" width="55" customWidth="1"/>
    <col min="13" max="13" width="22" customWidth="1"/>
    <col min="14" max="14" width="26" customWidth="1"/>
    <col min="15" max="15" width="18" customWidth="1"/>
    <col min="16" max="16" width="42" customWidth="1"/>
    <col min="17" max="17" width="24" customWidth="1"/>
    <col min="18" max="18" width="55" customWidth="1"/>
    <col min="19" max="19" width="14" customWidth="1"/>
    <col min="20" max="20" width="36" customWidth="1"/>
    <col min="21" max="21" width="12" customWidth="1"/>
    <col min="22" max="22" width="16" customWidth="1"/>
    <col min="23" max="23" width="14" customWidth="1"/>
    <col min="24" max="24" width="22" customWidth="1"/>
    <col min="25" max="26" width="18" customWidth="1"/>
    <col min="27" max="29" width="16" customWidth="1"/>
    <col min="30" max="30" width="26" customWidth="1"/>
    <col min="31" max="32" width="20" customWidth="1"/>
    <col min="33" max="33" width="18" customWidth="1"/>
    <col min="34" max="34" width="20" customWidth="1"/>
    <col min="35" max="35" width="12" customWidth="1"/>
    <col min="36" max="36" width="22" customWidth="1"/>
    <col min="37" max="37" width="16" customWidth="1"/>
    <col min="38" max="38" width="12" customWidth="1"/>
    <col min="39" max="39" width="18" customWidth="1"/>
    <col min="40" max="40" width="16" customWidth="1"/>
    <col min="41" max="41" width="14" customWidth="1"/>
    <col min="42" max="42" width="16" customWidth="1"/>
    <col min="43" max="44" width="18" customWidth="1"/>
    <col min="45" max="46" width="16" customWidth="1"/>
    <col min="47" max="47" width="18" customWidth="1"/>
    <col min="48" max="49" width="26" customWidth="1"/>
    <col min="50" max="50" width="22" customWidth="1"/>
    <col min="51" max="51" width="12" customWidth="1"/>
    <col min="52" max="52" width="24" customWidth="1"/>
    <col min="53" max="54" width="52" customWidth="1"/>
    <col min="55" max="56" width="14" customWidth="1"/>
  </cols>
  <sheetData>
    <row r="1" spans="1:56" ht="30" customHeight="1" x14ac:dyDescent="0.35">
      <c r="A1" s="3" t="s">
        <v>60</v>
      </c>
      <c r="B1" s="3" t="s">
        <v>865</v>
      </c>
      <c r="C1" s="3" t="s">
        <v>866</v>
      </c>
      <c r="D1" s="3" t="s">
        <v>823</v>
      </c>
      <c r="E1" s="3" t="s">
        <v>867</v>
      </c>
      <c r="F1" s="3" t="s">
        <v>868</v>
      </c>
      <c r="G1" s="3" t="s">
        <v>869</v>
      </c>
      <c r="H1" s="3" t="s">
        <v>870</v>
      </c>
      <c r="I1" s="3" t="s">
        <v>871</v>
      </c>
      <c r="J1" s="3" t="s">
        <v>62</v>
      </c>
      <c r="K1" s="3" t="s">
        <v>872</v>
      </c>
      <c r="L1" s="3" t="s">
        <v>873</v>
      </c>
      <c r="M1" s="3" t="s">
        <v>874</v>
      </c>
      <c r="N1" s="3" t="s">
        <v>808</v>
      </c>
      <c r="O1" s="3" t="s">
        <v>875</v>
      </c>
      <c r="P1" s="3" t="s">
        <v>876</v>
      </c>
      <c r="Q1" s="3" t="s">
        <v>187</v>
      </c>
      <c r="R1" s="3" t="s">
        <v>877</v>
      </c>
      <c r="S1" s="3" t="s">
        <v>878</v>
      </c>
      <c r="T1" s="3" t="s">
        <v>879</v>
      </c>
      <c r="U1" s="3" t="s">
        <v>880</v>
      </c>
      <c r="V1" s="3" t="s">
        <v>881</v>
      </c>
      <c r="W1" s="3" t="s">
        <v>882</v>
      </c>
      <c r="X1" s="3" t="s">
        <v>883</v>
      </c>
      <c r="Y1" s="3" t="s">
        <v>293</v>
      </c>
      <c r="Z1" s="3" t="s">
        <v>884</v>
      </c>
      <c r="AA1" s="3" t="s">
        <v>885</v>
      </c>
      <c r="AB1" s="3" t="s">
        <v>886</v>
      </c>
      <c r="AC1" s="3" t="s">
        <v>863</v>
      </c>
      <c r="AD1" s="3" t="s">
        <v>763</v>
      </c>
      <c r="AE1" s="3" t="s">
        <v>887</v>
      </c>
      <c r="AF1" s="3" t="s">
        <v>888</v>
      </c>
      <c r="AG1" s="3" t="s">
        <v>889</v>
      </c>
      <c r="AH1" s="3" t="s">
        <v>890</v>
      </c>
      <c r="AI1" s="3" t="s">
        <v>165</v>
      </c>
      <c r="AJ1" s="3" t="s">
        <v>891</v>
      </c>
      <c r="AK1" s="3" t="s">
        <v>892</v>
      </c>
      <c r="AL1" s="3" t="s">
        <v>893</v>
      </c>
      <c r="AM1" s="3" t="s">
        <v>658</v>
      </c>
      <c r="AN1" s="3" t="s">
        <v>894</v>
      </c>
      <c r="AO1" s="3" t="s">
        <v>895</v>
      </c>
      <c r="AP1" s="3" t="s">
        <v>896</v>
      </c>
      <c r="AQ1" s="3" t="s">
        <v>897</v>
      </c>
      <c r="AR1" s="3" t="s">
        <v>898</v>
      </c>
      <c r="AS1" s="3" t="s">
        <v>899</v>
      </c>
      <c r="AT1" s="3" t="s">
        <v>900</v>
      </c>
      <c r="AU1" s="3" t="s">
        <v>901</v>
      </c>
      <c r="AV1" s="3" t="s">
        <v>902</v>
      </c>
      <c r="AW1" s="3" t="s">
        <v>903</v>
      </c>
      <c r="AX1" s="3" t="s">
        <v>904</v>
      </c>
      <c r="AY1" s="3" t="s">
        <v>905</v>
      </c>
      <c r="AZ1" s="3" t="s">
        <v>906</v>
      </c>
      <c r="BA1" s="3" t="s">
        <v>907</v>
      </c>
      <c r="BB1" s="3" t="s">
        <v>349</v>
      </c>
      <c r="BC1" s="3" t="s">
        <v>50</v>
      </c>
      <c r="BD1" s="3" t="s">
        <v>908</v>
      </c>
    </row>
    <row r="2" spans="1:56" ht="32" customHeight="1" x14ac:dyDescent="0.35">
      <c r="A2" s="13" t="s">
        <v>909</v>
      </c>
      <c r="B2" s="6" t="s">
        <v>910</v>
      </c>
      <c r="C2" s="5" t="s">
        <v>911</v>
      </c>
      <c r="D2" s="5" t="s">
        <v>833</v>
      </c>
      <c r="E2" s="5" t="s">
        <v>912</v>
      </c>
      <c r="F2" s="5" t="s">
        <v>913</v>
      </c>
      <c r="G2" s="5" t="s">
        <v>914</v>
      </c>
      <c r="H2" s="5" t="s">
        <v>915</v>
      </c>
      <c r="I2" s="5" t="s">
        <v>916</v>
      </c>
      <c r="J2" s="16" t="s">
        <v>73</v>
      </c>
      <c r="K2" s="17" t="s">
        <v>181</v>
      </c>
      <c r="L2" s="5" t="s">
        <v>917</v>
      </c>
      <c r="M2" s="6" t="s">
        <v>197</v>
      </c>
      <c r="N2" s="6" t="s">
        <v>809</v>
      </c>
      <c r="O2" s="6" t="s">
        <v>73</v>
      </c>
      <c r="P2" s="5" t="s">
        <v>918</v>
      </c>
      <c r="Q2" s="17" t="s">
        <v>182</v>
      </c>
      <c r="R2" s="5"/>
      <c r="S2" s="6" t="s">
        <v>919</v>
      </c>
      <c r="T2" s="5" t="s">
        <v>920</v>
      </c>
      <c r="U2" s="6"/>
      <c r="V2" s="6" t="s">
        <v>921</v>
      </c>
      <c r="W2" s="6" t="s">
        <v>331</v>
      </c>
      <c r="X2" s="5" t="s">
        <v>922</v>
      </c>
      <c r="Y2" s="5" t="s">
        <v>658</v>
      </c>
      <c r="Z2" s="5" t="str">
        <f t="shared" ref="Z2:Z65" si="0">IF(AL2&gt;=18,"Critical",IF(AL2&gt;=9,"High",IF(AL2&gt;=4,"Medium","Low")))</f>
        <v>High</v>
      </c>
      <c r="AA2" s="5" t="s">
        <v>923</v>
      </c>
      <c r="AB2" s="6" t="s">
        <v>924</v>
      </c>
      <c r="AC2" s="6" t="s">
        <v>78</v>
      </c>
      <c r="AD2" s="5" t="s">
        <v>925</v>
      </c>
      <c r="AE2" s="5" t="s">
        <v>354</v>
      </c>
      <c r="AF2" s="5" t="s">
        <v>354</v>
      </c>
      <c r="AG2" s="5" t="s">
        <v>354</v>
      </c>
      <c r="AH2" s="5" t="s">
        <v>354</v>
      </c>
      <c r="AI2" s="6" t="str">
        <f t="shared" ref="AI2:AI65" si="1">IF(AND(AU2="Pass",AE2&lt;&gt;"Not verified",AF2&lt;&gt;"Not verified",AG2&lt;&gt;"Not verified",AH2&lt;&gt;"Not verified",BC2="Yes",BD2="Yes"),"Yes","No")</f>
        <v>No</v>
      </c>
      <c r="AJ2" s="6" t="s">
        <v>926</v>
      </c>
      <c r="AK2" s="6" t="s">
        <v>73</v>
      </c>
      <c r="AL2" s="6">
        <f>MATCH(AA2,{"Low","Medium","High"},0)*MATCH(AB2,{"Low","Medium","High"},0)*INDEX({3,2,2,1,1},MATCH(X2,{"Core","Vertical extension","Differentiator","Future","Adjacent"},0))</f>
        <v>9</v>
      </c>
      <c r="AM2" s="5"/>
      <c r="AN2" s="5"/>
      <c r="AO2" s="5"/>
      <c r="AP2" s="5"/>
      <c r="AQ2" s="5"/>
      <c r="AR2" s="5"/>
      <c r="AS2" s="5"/>
      <c r="AT2" s="5"/>
      <c r="AU2" s="6" t="s">
        <v>927</v>
      </c>
      <c r="AV2" s="6" t="s">
        <v>53</v>
      </c>
      <c r="AW2" s="6" t="s">
        <v>928</v>
      </c>
      <c r="AX2" s="6" t="s">
        <v>929</v>
      </c>
      <c r="AY2" s="6" t="s">
        <v>930</v>
      </c>
      <c r="AZ2" s="6"/>
      <c r="BA2" s="6"/>
      <c r="BB2" s="6"/>
      <c r="BC2" s="6" t="s">
        <v>97</v>
      </c>
      <c r="BD2" s="6" t="s">
        <v>97</v>
      </c>
    </row>
    <row r="3" spans="1:56" ht="32" customHeight="1" x14ac:dyDescent="0.35">
      <c r="A3" s="13" t="s">
        <v>931</v>
      </c>
      <c r="B3" s="6" t="s">
        <v>910</v>
      </c>
      <c r="C3" s="5" t="s">
        <v>911</v>
      </c>
      <c r="D3" s="5" t="s">
        <v>837</v>
      </c>
      <c r="E3" s="5" t="s">
        <v>932</v>
      </c>
      <c r="F3" s="5" t="s">
        <v>913</v>
      </c>
      <c r="G3" s="5" t="s">
        <v>914</v>
      </c>
      <c r="H3" s="5" t="s">
        <v>933</v>
      </c>
      <c r="I3" s="5" t="s">
        <v>934</v>
      </c>
      <c r="J3" s="16" t="s">
        <v>73</v>
      </c>
      <c r="K3" s="17" t="s">
        <v>181</v>
      </c>
      <c r="L3" s="5" t="s">
        <v>935</v>
      </c>
      <c r="M3" s="6" t="s">
        <v>197</v>
      </c>
      <c r="N3" s="6" t="s">
        <v>809</v>
      </c>
      <c r="O3" s="6" t="s">
        <v>73</v>
      </c>
      <c r="P3" s="5" t="s">
        <v>918</v>
      </c>
      <c r="Q3" s="18" t="s">
        <v>186</v>
      </c>
      <c r="R3" s="5" t="s">
        <v>936</v>
      </c>
      <c r="S3" s="6" t="s">
        <v>937</v>
      </c>
      <c r="T3" s="5" t="s">
        <v>938</v>
      </c>
      <c r="U3" s="6"/>
      <c r="V3" s="6" t="s">
        <v>939</v>
      </c>
      <c r="W3" s="6" t="s">
        <v>331</v>
      </c>
      <c r="X3" s="5" t="s">
        <v>922</v>
      </c>
      <c r="Y3" s="5" t="s">
        <v>658</v>
      </c>
      <c r="Z3" s="5" t="str">
        <f t="shared" si="0"/>
        <v>High</v>
      </c>
      <c r="AA3" s="5" t="s">
        <v>923</v>
      </c>
      <c r="AB3" s="6" t="s">
        <v>924</v>
      </c>
      <c r="AC3" s="6" t="s">
        <v>78</v>
      </c>
      <c r="AD3" s="5" t="s">
        <v>940</v>
      </c>
      <c r="AE3" s="5" t="s">
        <v>354</v>
      </c>
      <c r="AF3" s="5" t="s">
        <v>354</v>
      </c>
      <c r="AG3" s="5" t="s">
        <v>354</v>
      </c>
      <c r="AH3" s="5" t="s">
        <v>354</v>
      </c>
      <c r="AI3" s="6" t="str">
        <f t="shared" si="1"/>
        <v>No</v>
      </c>
      <c r="AJ3" s="6" t="s">
        <v>941</v>
      </c>
      <c r="AK3" s="6" t="s">
        <v>73</v>
      </c>
      <c r="AL3" s="6">
        <f>MATCH(AA3,{"Low","Medium","High"},0)*MATCH(AB3,{"Low","Medium","High"},0)*INDEX({3,2,2,1,1},MATCH(X3,{"Core","Vertical extension","Differentiator","Future","Adjacent"},0))</f>
        <v>9</v>
      </c>
      <c r="AM3" s="5"/>
      <c r="AN3" s="5"/>
      <c r="AO3" s="5"/>
      <c r="AP3" s="5"/>
      <c r="AQ3" s="5"/>
      <c r="AR3" s="5"/>
      <c r="AS3" s="5"/>
      <c r="AT3" s="5"/>
      <c r="AU3" s="6" t="s">
        <v>927</v>
      </c>
      <c r="AV3" s="6" t="s">
        <v>53</v>
      </c>
      <c r="AW3" s="6" t="s">
        <v>928</v>
      </c>
      <c r="AX3" s="6" t="s">
        <v>929</v>
      </c>
      <c r="AY3" s="6" t="s">
        <v>930</v>
      </c>
      <c r="AZ3" s="6"/>
      <c r="BA3" s="6" t="s">
        <v>942</v>
      </c>
      <c r="BB3" s="6" t="s">
        <v>943</v>
      </c>
      <c r="BC3" s="6" t="s">
        <v>97</v>
      </c>
      <c r="BD3" s="6" t="s">
        <v>97</v>
      </c>
    </row>
    <row r="4" spans="1:56" ht="32" customHeight="1" x14ac:dyDescent="0.35">
      <c r="A4" s="13" t="s">
        <v>944</v>
      </c>
      <c r="B4" s="6" t="s">
        <v>910</v>
      </c>
      <c r="C4" s="5" t="s">
        <v>911</v>
      </c>
      <c r="D4" s="5" t="s">
        <v>837</v>
      </c>
      <c r="E4" s="5" t="s">
        <v>945</v>
      </c>
      <c r="F4" s="5" t="s">
        <v>913</v>
      </c>
      <c r="G4" s="5" t="s">
        <v>914</v>
      </c>
      <c r="H4" s="5" t="s">
        <v>946</v>
      </c>
      <c r="I4" s="5" t="s">
        <v>947</v>
      </c>
      <c r="J4" s="16" t="s">
        <v>73</v>
      </c>
      <c r="K4" s="17" t="s">
        <v>181</v>
      </c>
      <c r="L4" s="5" t="s">
        <v>948</v>
      </c>
      <c r="M4" s="6" t="s">
        <v>197</v>
      </c>
      <c r="N4" s="6" t="s">
        <v>809</v>
      </c>
      <c r="O4" s="6" t="s">
        <v>73</v>
      </c>
      <c r="P4" s="5" t="s">
        <v>918</v>
      </c>
      <c r="Q4" s="17" t="s">
        <v>182</v>
      </c>
      <c r="R4" s="5"/>
      <c r="S4" s="6" t="s">
        <v>937</v>
      </c>
      <c r="T4" s="5" t="s">
        <v>938</v>
      </c>
      <c r="U4" s="6"/>
      <c r="V4" s="6" t="s">
        <v>939</v>
      </c>
      <c r="W4" s="6" t="s">
        <v>331</v>
      </c>
      <c r="X4" s="5" t="s">
        <v>922</v>
      </c>
      <c r="Y4" s="5" t="s">
        <v>658</v>
      </c>
      <c r="Z4" s="5" t="str">
        <f t="shared" si="0"/>
        <v>High</v>
      </c>
      <c r="AA4" s="5" t="s">
        <v>923</v>
      </c>
      <c r="AB4" s="6" t="s">
        <v>924</v>
      </c>
      <c r="AC4" s="6" t="s">
        <v>78</v>
      </c>
      <c r="AD4" s="5" t="s">
        <v>925</v>
      </c>
      <c r="AE4" s="5" t="s">
        <v>354</v>
      </c>
      <c r="AF4" s="5" t="s">
        <v>354</v>
      </c>
      <c r="AG4" s="5" t="s">
        <v>354</v>
      </c>
      <c r="AH4" s="5" t="s">
        <v>354</v>
      </c>
      <c r="AI4" s="6" t="str">
        <f t="shared" si="1"/>
        <v>No</v>
      </c>
      <c r="AJ4" s="6" t="s">
        <v>926</v>
      </c>
      <c r="AK4" s="6" t="s">
        <v>73</v>
      </c>
      <c r="AL4" s="6">
        <f>MATCH(AA4,{"Low","Medium","High"},0)*MATCH(AB4,{"Low","Medium","High"},0)*INDEX({3,2,2,1,1},MATCH(X4,{"Core","Vertical extension","Differentiator","Future","Adjacent"},0))</f>
        <v>9</v>
      </c>
      <c r="AM4" s="5"/>
      <c r="AN4" s="5"/>
      <c r="AO4" s="5"/>
      <c r="AP4" s="5"/>
      <c r="AQ4" s="5"/>
      <c r="AR4" s="5"/>
      <c r="AS4" s="5"/>
      <c r="AT4" s="5"/>
      <c r="AU4" s="6" t="s">
        <v>927</v>
      </c>
      <c r="AV4" s="6" t="s">
        <v>53</v>
      </c>
      <c r="AW4" s="6" t="s">
        <v>928</v>
      </c>
      <c r="AX4" s="6" t="s">
        <v>929</v>
      </c>
      <c r="AY4" s="6" t="s">
        <v>930</v>
      </c>
      <c r="AZ4" s="6"/>
      <c r="BA4" s="6"/>
      <c r="BB4" s="6"/>
      <c r="BC4" s="6" t="s">
        <v>97</v>
      </c>
      <c r="BD4" s="6" t="s">
        <v>97</v>
      </c>
    </row>
    <row r="5" spans="1:56" ht="32" customHeight="1" x14ac:dyDescent="0.35">
      <c r="A5" s="13" t="s">
        <v>949</v>
      </c>
      <c r="B5" s="6" t="s">
        <v>910</v>
      </c>
      <c r="C5" s="5" t="s">
        <v>911</v>
      </c>
      <c r="D5" s="5" t="s">
        <v>833</v>
      </c>
      <c r="E5" s="5" t="s">
        <v>950</v>
      </c>
      <c r="F5" s="5" t="s">
        <v>913</v>
      </c>
      <c r="G5" s="5" t="s">
        <v>951</v>
      </c>
      <c r="H5" s="5" t="s">
        <v>952</v>
      </c>
      <c r="I5" s="5" t="s">
        <v>953</v>
      </c>
      <c r="J5" s="17" t="s">
        <v>121</v>
      </c>
      <c r="K5" s="17" t="s">
        <v>181</v>
      </c>
      <c r="L5" s="5" t="s">
        <v>954</v>
      </c>
      <c r="M5" s="6" t="s">
        <v>197</v>
      </c>
      <c r="N5" s="6" t="s">
        <v>809</v>
      </c>
      <c r="O5" s="6" t="s">
        <v>121</v>
      </c>
      <c r="P5" s="5" t="s">
        <v>918</v>
      </c>
      <c r="Q5" s="18" t="s">
        <v>186</v>
      </c>
      <c r="R5" s="5" t="s">
        <v>955</v>
      </c>
      <c r="S5" s="6" t="s">
        <v>919</v>
      </c>
      <c r="T5" s="5" t="s">
        <v>920</v>
      </c>
      <c r="U5" s="6"/>
      <c r="V5" s="6" t="s">
        <v>921</v>
      </c>
      <c r="W5" s="6" t="s">
        <v>331</v>
      </c>
      <c r="X5" s="5" t="s">
        <v>922</v>
      </c>
      <c r="Y5" s="5" t="s">
        <v>658</v>
      </c>
      <c r="Z5" s="5" t="str">
        <f t="shared" si="0"/>
        <v>Medium</v>
      </c>
      <c r="AA5" s="5" t="s">
        <v>956</v>
      </c>
      <c r="AB5" s="6" t="s">
        <v>924</v>
      </c>
      <c r="AC5" s="6" t="s">
        <v>103</v>
      </c>
      <c r="AD5" s="5" t="s">
        <v>940</v>
      </c>
      <c r="AE5" s="5" t="s">
        <v>354</v>
      </c>
      <c r="AF5" s="5" t="s">
        <v>354</v>
      </c>
      <c r="AG5" s="5" t="s">
        <v>354</v>
      </c>
      <c r="AH5" s="5" t="s">
        <v>354</v>
      </c>
      <c r="AI5" s="6" t="str">
        <f t="shared" si="1"/>
        <v>No</v>
      </c>
      <c r="AJ5" s="6" t="s">
        <v>941</v>
      </c>
      <c r="AK5" s="6" t="s">
        <v>121</v>
      </c>
      <c r="AL5" s="6">
        <f>MATCH(AA5,{"Low","Medium","High"},0)*MATCH(AB5,{"Low","Medium","High"},0)*INDEX({3,2,2,1,1},MATCH(X5,{"Core","Vertical extension","Differentiator","Future","Adjacent"},0))</f>
        <v>6</v>
      </c>
      <c r="AM5" s="5"/>
      <c r="AN5" s="5"/>
      <c r="AO5" s="5"/>
      <c r="AP5" s="5"/>
      <c r="AQ5" s="5"/>
      <c r="AR5" s="5"/>
      <c r="AS5" s="5"/>
      <c r="AT5" s="5"/>
      <c r="AU5" s="6" t="s">
        <v>927</v>
      </c>
      <c r="AV5" s="6" t="s">
        <v>53</v>
      </c>
      <c r="AW5" s="6" t="s">
        <v>928</v>
      </c>
      <c r="AX5" s="6" t="s">
        <v>929</v>
      </c>
      <c r="AY5" s="6" t="s">
        <v>930</v>
      </c>
      <c r="AZ5" s="6"/>
      <c r="BA5" s="6"/>
      <c r="BB5" s="6"/>
      <c r="BC5" s="6" t="s">
        <v>97</v>
      </c>
      <c r="BD5" s="6" t="s">
        <v>97</v>
      </c>
    </row>
    <row r="6" spans="1:56" ht="32" customHeight="1" x14ac:dyDescent="0.35">
      <c r="A6" s="13" t="s">
        <v>957</v>
      </c>
      <c r="B6" s="6" t="s">
        <v>910</v>
      </c>
      <c r="C6" s="5" t="s">
        <v>911</v>
      </c>
      <c r="D6" s="5" t="s">
        <v>831</v>
      </c>
      <c r="E6" s="5" t="s">
        <v>958</v>
      </c>
      <c r="F6" s="5" t="s">
        <v>959</v>
      </c>
      <c r="G6" s="5" t="s">
        <v>913</v>
      </c>
      <c r="H6" s="5" t="s">
        <v>960</v>
      </c>
      <c r="I6" s="5" t="s">
        <v>961</v>
      </c>
      <c r="J6" s="17" t="s">
        <v>121</v>
      </c>
      <c r="K6" s="17" t="s">
        <v>181</v>
      </c>
      <c r="L6" s="5" t="s">
        <v>962</v>
      </c>
      <c r="M6" s="6" t="s">
        <v>197</v>
      </c>
      <c r="N6" s="6" t="s">
        <v>809</v>
      </c>
      <c r="O6" s="6" t="s">
        <v>121</v>
      </c>
      <c r="P6" s="5" t="s">
        <v>918</v>
      </c>
      <c r="Q6" s="18" t="s">
        <v>186</v>
      </c>
      <c r="R6" s="5" t="s">
        <v>963</v>
      </c>
      <c r="S6" s="6" t="s">
        <v>964</v>
      </c>
      <c r="T6" s="5" t="s">
        <v>965</v>
      </c>
      <c r="U6" s="6"/>
      <c r="V6" s="6" t="s">
        <v>966</v>
      </c>
      <c r="W6" s="6" t="s">
        <v>333</v>
      </c>
      <c r="X6" s="5" t="s">
        <v>922</v>
      </c>
      <c r="Y6" s="5" t="s">
        <v>658</v>
      </c>
      <c r="Z6" s="5" t="str">
        <f t="shared" si="0"/>
        <v>Medium</v>
      </c>
      <c r="AA6" s="5" t="s">
        <v>956</v>
      </c>
      <c r="AB6" s="6" t="s">
        <v>924</v>
      </c>
      <c r="AC6" s="6" t="s">
        <v>103</v>
      </c>
      <c r="AD6" s="5" t="s">
        <v>940</v>
      </c>
      <c r="AE6" s="5" t="s">
        <v>354</v>
      </c>
      <c r="AF6" s="5" t="s">
        <v>354</v>
      </c>
      <c r="AG6" s="5" t="s">
        <v>354</v>
      </c>
      <c r="AH6" s="5" t="s">
        <v>354</v>
      </c>
      <c r="AI6" s="6" t="str">
        <f t="shared" si="1"/>
        <v>No</v>
      </c>
      <c r="AJ6" s="6" t="s">
        <v>941</v>
      </c>
      <c r="AK6" s="6" t="s">
        <v>121</v>
      </c>
      <c r="AL6" s="6">
        <f>MATCH(AA6,{"Low","Medium","High"},0)*MATCH(AB6,{"Low","Medium","High"},0)*INDEX({3,2,2,1,1},MATCH(X6,{"Core","Vertical extension","Differentiator","Future","Adjacent"},0))</f>
        <v>6</v>
      </c>
      <c r="AM6" s="5"/>
      <c r="AN6" s="5"/>
      <c r="AO6" s="5"/>
      <c r="AP6" s="5"/>
      <c r="AQ6" s="5"/>
      <c r="AR6" s="5"/>
      <c r="AS6" s="5"/>
      <c r="AT6" s="5"/>
      <c r="AU6" s="6" t="s">
        <v>927</v>
      </c>
      <c r="AV6" s="6" t="s">
        <v>53</v>
      </c>
      <c r="AW6" s="6" t="s">
        <v>53</v>
      </c>
      <c r="AX6" s="6" t="s">
        <v>929</v>
      </c>
      <c r="AY6" s="6" t="s">
        <v>930</v>
      </c>
      <c r="AZ6" s="6"/>
      <c r="BA6" s="6" t="s">
        <v>967</v>
      </c>
      <c r="BB6" s="6" t="s">
        <v>968</v>
      </c>
      <c r="BC6" s="6" t="s">
        <v>97</v>
      </c>
      <c r="BD6" s="6" t="s">
        <v>97</v>
      </c>
    </row>
    <row r="7" spans="1:56" ht="32" customHeight="1" x14ac:dyDescent="0.35">
      <c r="A7" s="13" t="s">
        <v>969</v>
      </c>
      <c r="B7" s="6" t="s">
        <v>910</v>
      </c>
      <c r="C7" s="5" t="s">
        <v>911</v>
      </c>
      <c r="D7" s="5" t="s">
        <v>837</v>
      </c>
      <c r="E7" s="5" t="s">
        <v>970</v>
      </c>
      <c r="F7" s="5" t="s">
        <v>959</v>
      </c>
      <c r="G7" s="5" t="s">
        <v>913</v>
      </c>
      <c r="H7" s="5" t="s">
        <v>971</v>
      </c>
      <c r="I7" s="5" t="s">
        <v>972</v>
      </c>
      <c r="J7" s="17" t="s">
        <v>121</v>
      </c>
      <c r="K7" s="17" t="s">
        <v>181</v>
      </c>
      <c r="L7" s="5" t="s">
        <v>973</v>
      </c>
      <c r="M7" s="6" t="s">
        <v>197</v>
      </c>
      <c r="N7" s="6" t="s">
        <v>809</v>
      </c>
      <c r="O7" s="6" t="s">
        <v>121</v>
      </c>
      <c r="P7" s="5" t="s">
        <v>918</v>
      </c>
      <c r="Q7" s="17" t="s">
        <v>182</v>
      </c>
      <c r="R7" s="5"/>
      <c r="S7" s="6" t="s">
        <v>937</v>
      </c>
      <c r="T7" s="5" t="s">
        <v>938</v>
      </c>
      <c r="U7" s="6"/>
      <c r="V7" s="6" t="s">
        <v>939</v>
      </c>
      <c r="W7" s="6" t="s">
        <v>331</v>
      </c>
      <c r="X7" s="5" t="s">
        <v>922</v>
      </c>
      <c r="Y7" s="5" t="s">
        <v>658</v>
      </c>
      <c r="Z7" s="5" t="str">
        <f t="shared" si="0"/>
        <v>High</v>
      </c>
      <c r="AA7" s="5" t="s">
        <v>923</v>
      </c>
      <c r="AB7" s="6" t="s">
        <v>924</v>
      </c>
      <c r="AC7" s="6" t="s">
        <v>103</v>
      </c>
      <c r="AD7" s="5" t="s">
        <v>925</v>
      </c>
      <c r="AE7" s="5" t="s">
        <v>354</v>
      </c>
      <c r="AF7" s="5" t="s">
        <v>354</v>
      </c>
      <c r="AG7" s="5" t="s">
        <v>354</v>
      </c>
      <c r="AH7" s="5" t="s">
        <v>354</v>
      </c>
      <c r="AI7" s="6" t="str">
        <f t="shared" si="1"/>
        <v>No</v>
      </c>
      <c r="AJ7" s="6" t="s">
        <v>926</v>
      </c>
      <c r="AK7" s="6" t="s">
        <v>121</v>
      </c>
      <c r="AL7" s="6">
        <f>MATCH(AA7,{"Low","Medium","High"},0)*MATCH(AB7,{"Low","Medium","High"},0)*INDEX({3,2,2,1,1},MATCH(X7,{"Core","Vertical extension","Differentiator","Future","Adjacent"},0))</f>
        <v>9</v>
      </c>
      <c r="AM7" s="5"/>
      <c r="AN7" s="5"/>
      <c r="AO7" s="5"/>
      <c r="AP7" s="5"/>
      <c r="AQ7" s="5"/>
      <c r="AR7" s="5"/>
      <c r="AS7" s="5"/>
      <c r="AT7" s="5"/>
      <c r="AU7" s="6" t="s">
        <v>927</v>
      </c>
      <c r="AV7" s="6" t="s">
        <v>53</v>
      </c>
      <c r="AW7" s="6" t="s">
        <v>53</v>
      </c>
      <c r="AX7" s="6" t="s">
        <v>929</v>
      </c>
      <c r="AY7" s="6" t="s">
        <v>930</v>
      </c>
      <c r="AZ7" s="6"/>
      <c r="BA7" s="6"/>
      <c r="BB7" s="6"/>
      <c r="BC7" s="6" t="s">
        <v>97</v>
      </c>
      <c r="BD7" s="6" t="s">
        <v>97</v>
      </c>
    </row>
    <row r="8" spans="1:56" ht="32" customHeight="1" x14ac:dyDescent="0.35">
      <c r="A8" s="13" t="s">
        <v>974</v>
      </c>
      <c r="B8" s="6" t="s">
        <v>910</v>
      </c>
      <c r="C8" s="5" t="s">
        <v>911</v>
      </c>
      <c r="D8" s="5" t="s">
        <v>829</v>
      </c>
      <c r="E8" s="5" t="s">
        <v>975</v>
      </c>
      <c r="F8" s="5" t="s">
        <v>959</v>
      </c>
      <c r="G8" s="5" t="s">
        <v>976</v>
      </c>
      <c r="H8" s="5" t="s">
        <v>977</v>
      </c>
      <c r="I8" s="5" t="s">
        <v>978</v>
      </c>
      <c r="J8" s="17" t="s">
        <v>121</v>
      </c>
      <c r="K8" s="17" t="s">
        <v>181</v>
      </c>
      <c r="L8" s="5" t="s">
        <v>979</v>
      </c>
      <c r="M8" s="6" t="s">
        <v>197</v>
      </c>
      <c r="N8" s="6" t="s">
        <v>809</v>
      </c>
      <c r="O8" s="6" t="s">
        <v>121</v>
      </c>
      <c r="P8" s="5" t="s">
        <v>918</v>
      </c>
      <c r="Q8" s="17" t="s">
        <v>182</v>
      </c>
      <c r="R8" s="5"/>
      <c r="S8" s="6" t="s">
        <v>980</v>
      </c>
      <c r="T8" s="5" t="s">
        <v>981</v>
      </c>
      <c r="U8" s="6"/>
      <c r="V8" s="6" t="s">
        <v>982</v>
      </c>
      <c r="W8" s="6" t="s">
        <v>331</v>
      </c>
      <c r="X8" s="5" t="s">
        <v>922</v>
      </c>
      <c r="Y8" s="5" t="s">
        <v>658</v>
      </c>
      <c r="Z8" s="5" t="str">
        <f t="shared" si="0"/>
        <v>High</v>
      </c>
      <c r="AA8" s="5" t="s">
        <v>923</v>
      </c>
      <c r="AB8" s="6" t="s">
        <v>924</v>
      </c>
      <c r="AC8" s="6" t="s">
        <v>103</v>
      </c>
      <c r="AD8" s="5" t="s">
        <v>925</v>
      </c>
      <c r="AE8" s="5" t="s">
        <v>354</v>
      </c>
      <c r="AF8" s="5" t="s">
        <v>354</v>
      </c>
      <c r="AG8" s="5" t="s">
        <v>354</v>
      </c>
      <c r="AH8" s="5" t="s">
        <v>354</v>
      </c>
      <c r="AI8" s="6" t="str">
        <f t="shared" si="1"/>
        <v>No</v>
      </c>
      <c r="AJ8" s="6" t="s">
        <v>926</v>
      </c>
      <c r="AK8" s="6" t="s">
        <v>121</v>
      </c>
      <c r="AL8" s="6">
        <f>MATCH(AA8,{"Low","Medium","High"},0)*MATCH(AB8,{"Low","Medium","High"},0)*INDEX({3,2,2,1,1},MATCH(X8,{"Core","Vertical extension","Differentiator","Future","Adjacent"},0))</f>
        <v>9</v>
      </c>
      <c r="AM8" s="5"/>
      <c r="AN8" s="5"/>
      <c r="AO8" s="5"/>
      <c r="AP8" s="5"/>
      <c r="AQ8" s="5"/>
      <c r="AR8" s="5"/>
      <c r="AS8" s="5"/>
      <c r="AT8" s="5"/>
      <c r="AU8" s="6" t="s">
        <v>927</v>
      </c>
      <c r="AV8" s="6" t="s">
        <v>53</v>
      </c>
      <c r="AW8" s="6" t="s">
        <v>53</v>
      </c>
      <c r="AX8" s="6" t="s">
        <v>929</v>
      </c>
      <c r="AY8" s="6" t="s">
        <v>930</v>
      </c>
      <c r="AZ8" s="6"/>
      <c r="BA8" s="6" t="s">
        <v>983</v>
      </c>
      <c r="BB8" s="6" t="s">
        <v>984</v>
      </c>
      <c r="BC8" s="6" t="s">
        <v>97</v>
      </c>
      <c r="BD8" s="6" t="s">
        <v>97</v>
      </c>
    </row>
    <row r="9" spans="1:56" ht="32" customHeight="1" x14ac:dyDescent="0.35">
      <c r="A9" s="13" t="s">
        <v>985</v>
      </c>
      <c r="B9" s="6" t="s">
        <v>910</v>
      </c>
      <c r="C9" s="5" t="s">
        <v>911</v>
      </c>
      <c r="D9" s="5" t="s">
        <v>838</v>
      </c>
      <c r="E9" s="5" t="s">
        <v>986</v>
      </c>
      <c r="F9" s="5" t="s">
        <v>913</v>
      </c>
      <c r="G9" s="5" t="s">
        <v>959</v>
      </c>
      <c r="H9" s="5" t="s">
        <v>987</v>
      </c>
      <c r="I9" s="5" t="s">
        <v>988</v>
      </c>
      <c r="J9" s="19" t="s">
        <v>151</v>
      </c>
      <c r="K9" s="17" t="s">
        <v>181</v>
      </c>
      <c r="L9" s="5" t="s">
        <v>989</v>
      </c>
      <c r="M9" s="6" t="s">
        <v>197</v>
      </c>
      <c r="N9" s="6" t="s">
        <v>809</v>
      </c>
      <c r="O9" s="6" t="s">
        <v>151</v>
      </c>
      <c r="P9" s="5" t="s">
        <v>918</v>
      </c>
      <c r="Q9" s="17" t="s">
        <v>182</v>
      </c>
      <c r="R9" s="5"/>
      <c r="S9" s="6" t="s">
        <v>990</v>
      </c>
      <c r="T9" s="5" t="s">
        <v>991</v>
      </c>
      <c r="U9" s="6"/>
      <c r="V9" s="6" t="s">
        <v>992</v>
      </c>
      <c r="W9" s="6" t="s">
        <v>337</v>
      </c>
      <c r="X9" s="5" t="s">
        <v>922</v>
      </c>
      <c r="Y9" s="5" t="s">
        <v>658</v>
      </c>
      <c r="Z9" s="5" t="str">
        <f t="shared" si="0"/>
        <v>Medium</v>
      </c>
      <c r="AA9" s="5" t="s">
        <v>956</v>
      </c>
      <c r="AB9" s="6" t="s">
        <v>924</v>
      </c>
      <c r="AC9" s="6" t="s">
        <v>11</v>
      </c>
      <c r="AD9" s="5" t="s">
        <v>925</v>
      </c>
      <c r="AE9" s="5" t="s">
        <v>354</v>
      </c>
      <c r="AF9" s="5" t="s">
        <v>354</v>
      </c>
      <c r="AG9" s="5" t="s">
        <v>354</v>
      </c>
      <c r="AH9" s="5" t="s">
        <v>354</v>
      </c>
      <c r="AI9" s="6" t="str">
        <f t="shared" si="1"/>
        <v>No</v>
      </c>
      <c r="AJ9" s="6" t="s">
        <v>926</v>
      </c>
      <c r="AK9" s="6" t="s">
        <v>151</v>
      </c>
      <c r="AL9" s="6">
        <f>MATCH(AA9,{"Low","Medium","High"},0)*MATCH(AB9,{"Low","Medium","High"},0)*INDEX({3,2,2,1,1},MATCH(X9,{"Core","Vertical extension","Differentiator","Future","Adjacent"},0))</f>
        <v>6</v>
      </c>
      <c r="AM9" s="5"/>
      <c r="AN9" s="5"/>
      <c r="AO9" s="5"/>
      <c r="AP9" s="5"/>
      <c r="AQ9" s="5"/>
      <c r="AR9" s="5"/>
      <c r="AS9" s="5"/>
      <c r="AT9" s="5"/>
      <c r="AU9" s="6" t="s">
        <v>927</v>
      </c>
      <c r="AV9" s="6" t="s">
        <v>53</v>
      </c>
      <c r="AW9" s="6" t="s">
        <v>928</v>
      </c>
      <c r="AX9" s="6" t="s">
        <v>929</v>
      </c>
      <c r="AY9" s="6" t="s">
        <v>930</v>
      </c>
      <c r="AZ9" s="6"/>
      <c r="BA9" s="6"/>
      <c r="BB9" s="6"/>
      <c r="BC9" s="6" t="s">
        <v>97</v>
      </c>
      <c r="BD9" s="6" t="s">
        <v>97</v>
      </c>
    </row>
    <row r="10" spans="1:56" ht="32" customHeight="1" x14ac:dyDescent="0.35">
      <c r="A10" s="13" t="s">
        <v>993</v>
      </c>
      <c r="B10" s="6" t="s">
        <v>910</v>
      </c>
      <c r="C10" s="5" t="s">
        <v>911</v>
      </c>
      <c r="D10" s="5" t="s">
        <v>834</v>
      </c>
      <c r="E10" s="5" t="s">
        <v>994</v>
      </c>
      <c r="F10" s="5" t="s">
        <v>913</v>
      </c>
      <c r="G10" s="5" t="s">
        <v>995</v>
      </c>
      <c r="H10" s="5" t="s">
        <v>996</v>
      </c>
      <c r="I10" s="5" t="s">
        <v>997</v>
      </c>
      <c r="J10" s="17" t="s">
        <v>121</v>
      </c>
      <c r="K10" s="17" t="s">
        <v>181</v>
      </c>
      <c r="L10" s="5" t="s">
        <v>998</v>
      </c>
      <c r="M10" s="6" t="s">
        <v>197</v>
      </c>
      <c r="N10" s="6" t="s">
        <v>809</v>
      </c>
      <c r="O10" s="6" t="s">
        <v>121</v>
      </c>
      <c r="P10" s="5" t="s">
        <v>999</v>
      </c>
      <c r="Q10" s="17" t="s">
        <v>182</v>
      </c>
      <c r="R10" s="5" t="s">
        <v>999</v>
      </c>
      <c r="S10" s="6" t="s">
        <v>1000</v>
      </c>
      <c r="T10" s="5" t="s">
        <v>1001</v>
      </c>
      <c r="U10" s="6"/>
      <c r="V10" s="6" t="s">
        <v>1002</v>
      </c>
      <c r="W10" s="6" t="s">
        <v>333</v>
      </c>
      <c r="X10" s="5" t="s">
        <v>922</v>
      </c>
      <c r="Y10" s="5" t="s">
        <v>658</v>
      </c>
      <c r="Z10" s="5" t="str">
        <f t="shared" si="0"/>
        <v>Critical</v>
      </c>
      <c r="AA10" s="5" t="s">
        <v>923</v>
      </c>
      <c r="AB10" s="6" t="s">
        <v>956</v>
      </c>
      <c r="AC10" s="6" t="s">
        <v>103</v>
      </c>
      <c r="AD10" s="5" t="s">
        <v>925</v>
      </c>
      <c r="AE10" s="5" t="s">
        <v>354</v>
      </c>
      <c r="AF10" s="5" t="s">
        <v>354</v>
      </c>
      <c r="AG10" s="5" t="s">
        <v>354</v>
      </c>
      <c r="AH10" s="5" t="s">
        <v>354</v>
      </c>
      <c r="AI10" s="6" t="str">
        <f t="shared" si="1"/>
        <v>No</v>
      </c>
      <c r="AJ10" s="6" t="s">
        <v>926</v>
      </c>
      <c r="AK10" s="6" t="s">
        <v>121</v>
      </c>
      <c r="AL10" s="6">
        <f>MATCH(AA10,{"Low","Medium","High"},0)*MATCH(AB10,{"Low","Medium","High"},0)*INDEX({3,2,2,1,1},MATCH(X10,{"Core","Vertical extension","Differentiator","Future","Adjacent"},0))</f>
        <v>18</v>
      </c>
      <c r="AM10" s="5"/>
      <c r="AN10" s="5"/>
      <c r="AO10" s="5"/>
      <c r="AP10" s="5"/>
      <c r="AQ10" s="5"/>
      <c r="AR10" s="5"/>
      <c r="AS10" s="5"/>
      <c r="AT10" s="5"/>
      <c r="AU10" s="6" t="s">
        <v>927</v>
      </c>
      <c r="AV10" s="6" t="s">
        <v>53</v>
      </c>
      <c r="AW10" s="6" t="s">
        <v>928</v>
      </c>
      <c r="AX10" s="6" t="s">
        <v>1003</v>
      </c>
      <c r="AY10" s="6" t="s">
        <v>930</v>
      </c>
      <c r="AZ10" s="6"/>
      <c r="BA10" s="6"/>
      <c r="BB10" s="6"/>
      <c r="BC10" s="6" t="s">
        <v>97</v>
      </c>
      <c r="BD10" s="6" t="s">
        <v>97</v>
      </c>
    </row>
    <row r="11" spans="1:56" ht="32" customHeight="1" x14ac:dyDescent="0.35">
      <c r="A11" s="13" t="s">
        <v>1004</v>
      </c>
      <c r="B11" s="6" t="s">
        <v>910</v>
      </c>
      <c r="C11" s="5" t="s">
        <v>911</v>
      </c>
      <c r="D11" s="5" t="s">
        <v>834</v>
      </c>
      <c r="E11" s="5" t="s">
        <v>1005</v>
      </c>
      <c r="F11" s="5" t="s">
        <v>959</v>
      </c>
      <c r="G11" s="5" t="s">
        <v>1006</v>
      </c>
      <c r="H11" s="5" t="s">
        <v>1007</v>
      </c>
      <c r="I11" s="5" t="s">
        <v>1008</v>
      </c>
      <c r="J11" s="17" t="s">
        <v>121</v>
      </c>
      <c r="K11" s="17" t="s">
        <v>181</v>
      </c>
      <c r="L11" s="5" t="s">
        <v>1009</v>
      </c>
      <c r="M11" s="6" t="s">
        <v>197</v>
      </c>
      <c r="N11" s="6" t="s">
        <v>809</v>
      </c>
      <c r="O11" s="6" t="s">
        <v>121</v>
      </c>
      <c r="P11" s="5" t="s">
        <v>918</v>
      </c>
      <c r="Q11" s="17" t="s">
        <v>182</v>
      </c>
      <c r="R11" s="5"/>
      <c r="S11" s="6" t="s">
        <v>1000</v>
      </c>
      <c r="T11" s="5" t="s">
        <v>1001</v>
      </c>
      <c r="U11" s="6"/>
      <c r="V11" s="6" t="s">
        <v>1002</v>
      </c>
      <c r="W11" s="6" t="s">
        <v>333</v>
      </c>
      <c r="X11" s="5" t="s">
        <v>922</v>
      </c>
      <c r="Y11" s="5" t="s">
        <v>658</v>
      </c>
      <c r="Z11" s="5" t="str">
        <f t="shared" si="0"/>
        <v>Critical</v>
      </c>
      <c r="AA11" s="5" t="s">
        <v>923</v>
      </c>
      <c r="AB11" s="6" t="s">
        <v>956</v>
      </c>
      <c r="AC11" s="6" t="s">
        <v>103</v>
      </c>
      <c r="AD11" s="5" t="s">
        <v>925</v>
      </c>
      <c r="AE11" s="5" t="s">
        <v>354</v>
      </c>
      <c r="AF11" s="5" t="s">
        <v>354</v>
      </c>
      <c r="AG11" s="5" t="s">
        <v>354</v>
      </c>
      <c r="AH11" s="5" t="s">
        <v>354</v>
      </c>
      <c r="AI11" s="6" t="str">
        <f t="shared" si="1"/>
        <v>No</v>
      </c>
      <c r="AJ11" s="6" t="s">
        <v>926</v>
      </c>
      <c r="AK11" s="6" t="s">
        <v>121</v>
      </c>
      <c r="AL11" s="6">
        <f>MATCH(AA11,{"Low","Medium","High"},0)*MATCH(AB11,{"Low","Medium","High"},0)*INDEX({3,2,2,1,1},MATCH(X11,{"Core","Vertical extension","Differentiator","Future","Adjacent"},0))</f>
        <v>18</v>
      </c>
      <c r="AM11" s="5"/>
      <c r="AN11" s="5"/>
      <c r="AO11" s="5"/>
      <c r="AP11" s="5"/>
      <c r="AQ11" s="5"/>
      <c r="AR11" s="5"/>
      <c r="AS11" s="5"/>
      <c r="AT11" s="5"/>
      <c r="AU11" s="6" t="s">
        <v>927</v>
      </c>
      <c r="AV11" s="6" t="s">
        <v>53</v>
      </c>
      <c r="AW11" s="6" t="s">
        <v>53</v>
      </c>
      <c r="AX11" s="6" t="s">
        <v>929</v>
      </c>
      <c r="AY11" s="6" t="s">
        <v>930</v>
      </c>
      <c r="AZ11" s="6"/>
      <c r="BA11" s="6"/>
      <c r="BB11" s="6"/>
      <c r="BC11" s="6" t="s">
        <v>97</v>
      </c>
      <c r="BD11" s="6" t="s">
        <v>97</v>
      </c>
    </row>
    <row r="12" spans="1:56" ht="32" customHeight="1" x14ac:dyDescent="0.35">
      <c r="A12" s="13" t="s">
        <v>1010</v>
      </c>
      <c r="B12" s="6" t="s">
        <v>910</v>
      </c>
      <c r="C12" s="5" t="s">
        <v>911</v>
      </c>
      <c r="D12" s="5" t="s">
        <v>834</v>
      </c>
      <c r="E12" s="5" t="s">
        <v>1011</v>
      </c>
      <c r="F12" s="5" t="s">
        <v>959</v>
      </c>
      <c r="G12" s="5" t="s">
        <v>1006</v>
      </c>
      <c r="H12" s="5" t="s">
        <v>1012</v>
      </c>
      <c r="I12" s="5" t="s">
        <v>1013</v>
      </c>
      <c r="J12" s="17" t="s">
        <v>121</v>
      </c>
      <c r="K12" s="17" t="s">
        <v>181</v>
      </c>
      <c r="L12" s="5" t="s">
        <v>1014</v>
      </c>
      <c r="M12" s="6" t="s">
        <v>197</v>
      </c>
      <c r="N12" s="6" t="s">
        <v>809</v>
      </c>
      <c r="O12" s="6" t="s">
        <v>121</v>
      </c>
      <c r="P12" s="5" t="s">
        <v>918</v>
      </c>
      <c r="Q12" s="17" t="s">
        <v>182</v>
      </c>
      <c r="R12" s="5"/>
      <c r="S12" s="6" t="s">
        <v>1000</v>
      </c>
      <c r="T12" s="5" t="s">
        <v>1001</v>
      </c>
      <c r="U12" s="6"/>
      <c r="V12" s="6" t="s">
        <v>1002</v>
      </c>
      <c r="W12" s="6" t="s">
        <v>333</v>
      </c>
      <c r="X12" s="5" t="s">
        <v>922</v>
      </c>
      <c r="Y12" s="5" t="s">
        <v>658</v>
      </c>
      <c r="Z12" s="5" t="str">
        <f t="shared" si="0"/>
        <v>Critical</v>
      </c>
      <c r="AA12" s="5" t="s">
        <v>923</v>
      </c>
      <c r="AB12" s="6" t="s">
        <v>956</v>
      </c>
      <c r="AC12" s="6" t="s">
        <v>103</v>
      </c>
      <c r="AD12" s="5" t="s">
        <v>925</v>
      </c>
      <c r="AE12" s="5" t="s">
        <v>354</v>
      </c>
      <c r="AF12" s="5" t="s">
        <v>354</v>
      </c>
      <c r="AG12" s="5" t="s">
        <v>354</v>
      </c>
      <c r="AH12" s="5" t="s">
        <v>354</v>
      </c>
      <c r="AI12" s="6" t="str">
        <f t="shared" si="1"/>
        <v>No</v>
      </c>
      <c r="AJ12" s="6" t="s">
        <v>926</v>
      </c>
      <c r="AK12" s="6" t="s">
        <v>121</v>
      </c>
      <c r="AL12" s="6">
        <f>MATCH(AA12,{"Low","Medium","High"},0)*MATCH(AB12,{"Low","Medium","High"},0)*INDEX({3,2,2,1,1},MATCH(X12,{"Core","Vertical extension","Differentiator","Future","Adjacent"},0))</f>
        <v>18</v>
      </c>
      <c r="AM12" s="5"/>
      <c r="AN12" s="5"/>
      <c r="AO12" s="5"/>
      <c r="AP12" s="5"/>
      <c r="AQ12" s="5"/>
      <c r="AR12" s="5"/>
      <c r="AS12" s="5"/>
      <c r="AT12" s="5"/>
      <c r="AU12" s="6" t="s">
        <v>927</v>
      </c>
      <c r="AV12" s="6" t="s">
        <v>53</v>
      </c>
      <c r="AW12" s="6" t="s">
        <v>53</v>
      </c>
      <c r="AX12" s="6" t="s">
        <v>929</v>
      </c>
      <c r="AY12" s="6" t="s">
        <v>930</v>
      </c>
      <c r="AZ12" s="6"/>
      <c r="BA12" s="6"/>
      <c r="BB12" s="6"/>
      <c r="BC12" s="6" t="s">
        <v>97</v>
      </c>
      <c r="BD12" s="6" t="s">
        <v>97</v>
      </c>
    </row>
    <row r="13" spans="1:56" ht="32" customHeight="1" x14ac:dyDescent="0.35">
      <c r="A13" s="13" t="s">
        <v>1015</v>
      </c>
      <c r="B13" s="6" t="s">
        <v>910</v>
      </c>
      <c r="C13" s="5" t="s">
        <v>911</v>
      </c>
      <c r="D13" s="5" t="s">
        <v>840</v>
      </c>
      <c r="E13" s="5" t="s">
        <v>1016</v>
      </c>
      <c r="F13" s="5" t="s">
        <v>913</v>
      </c>
      <c r="G13" s="5" t="s">
        <v>1017</v>
      </c>
      <c r="H13" s="5" t="s">
        <v>1018</v>
      </c>
      <c r="I13" s="5" t="s">
        <v>1019</v>
      </c>
      <c r="J13" s="17" t="s">
        <v>121</v>
      </c>
      <c r="K13" s="17" t="s">
        <v>181</v>
      </c>
      <c r="L13" s="5" t="s">
        <v>1020</v>
      </c>
      <c r="M13" s="6" t="s">
        <v>197</v>
      </c>
      <c r="N13" s="6" t="s">
        <v>809</v>
      </c>
      <c r="O13" s="6" t="s">
        <v>121</v>
      </c>
      <c r="P13" s="5" t="s">
        <v>918</v>
      </c>
      <c r="Q13" s="18" t="s">
        <v>186</v>
      </c>
      <c r="R13" s="5" t="s">
        <v>1021</v>
      </c>
      <c r="S13" s="6" t="s">
        <v>1022</v>
      </c>
      <c r="T13" s="5" t="s">
        <v>1023</v>
      </c>
      <c r="U13" s="6"/>
      <c r="V13" s="6" t="s">
        <v>1024</v>
      </c>
      <c r="W13" s="6" t="s">
        <v>337</v>
      </c>
      <c r="X13" s="5" t="s">
        <v>922</v>
      </c>
      <c r="Y13" s="5" t="s">
        <v>658</v>
      </c>
      <c r="Z13" s="5" t="str">
        <f t="shared" si="0"/>
        <v>Medium</v>
      </c>
      <c r="AA13" s="5" t="s">
        <v>956</v>
      </c>
      <c r="AB13" s="6" t="s">
        <v>924</v>
      </c>
      <c r="AC13" s="6" t="s">
        <v>11</v>
      </c>
      <c r="AD13" s="5" t="s">
        <v>940</v>
      </c>
      <c r="AE13" s="5" t="s">
        <v>354</v>
      </c>
      <c r="AF13" s="5" t="s">
        <v>354</v>
      </c>
      <c r="AG13" s="5" t="s">
        <v>354</v>
      </c>
      <c r="AH13" s="5" t="s">
        <v>354</v>
      </c>
      <c r="AI13" s="6" t="str">
        <f t="shared" si="1"/>
        <v>No</v>
      </c>
      <c r="AJ13" s="6" t="s">
        <v>941</v>
      </c>
      <c r="AK13" s="6" t="s">
        <v>151</v>
      </c>
      <c r="AL13" s="6">
        <f>MATCH(AA13,{"Low","Medium","High"},0)*MATCH(AB13,{"Low","Medium","High"},0)*INDEX({3,2,2,1,1},MATCH(X13,{"Core","Vertical extension","Differentiator","Future","Adjacent"},0))</f>
        <v>6</v>
      </c>
      <c r="AM13" s="5"/>
      <c r="AN13" s="5"/>
      <c r="AO13" s="5"/>
      <c r="AP13" s="5"/>
      <c r="AQ13" s="5"/>
      <c r="AR13" s="5"/>
      <c r="AS13" s="5"/>
      <c r="AT13" s="5"/>
      <c r="AU13" s="6" t="s">
        <v>927</v>
      </c>
      <c r="AV13" s="6" t="s">
        <v>53</v>
      </c>
      <c r="AW13" s="6" t="s">
        <v>928</v>
      </c>
      <c r="AX13" s="6" t="s">
        <v>929</v>
      </c>
      <c r="AY13" s="6" t="s">
        <v>930</v>
      </c>
      <c r="AZ13" s="6"/>
      <c r="BA13" s="6"/>
      <c r="BB13" s="6"/>
      <c r="BC13" s="6" t="s">
        <v>97</v>
      </c>
      <c r="BD13" s="6" t="s">
        <v>97</v>
      </c>
    </row>
    <row r="14" spans="1:56" ht="32" customHeight="1" x14ac:dyDescent="0.35">
      <c r="A14" s="13" t="s">
        <v>1025</v>
      </c>
      <c r="B14" s="6" t="s">
        <v>910</v>
      </c>
      <c r="C14" s="5" t="s">
        <v>911</v>
      </c>
      <c r="D14" s="5" t="s">
        <v>827</v>
      </c>
      <c r="E14" s="5" t="s">
        <v>1026</v>
      </c>
      <c r="F14" s="5" t="s">
        <v>959</v>
      </c>
      <c r="G14" s="5" t="s">
        <v>913</v>
      </c>
      <c r="H14" s="5" t="s">
        <v>1027</v>
      </c>
      <c r="I14" s="5" t="s">
        <v>1028</v>
      </c>
      <c r="J14" s="17" t="s">
        <v>121</v>
      </c>
      <c r="K14" s="17" t="s">
        <v>181</v>
      </c>
      <c r="L14" s="5" t="s">
        <v>1029</v>
      </c>
      <c r="M14" s="6" t="s">
        <v>197</v>
      </c>
      <c r="N14" s="6" t="s">
        <v>809</v>
      </c>
      <c r="O14" s="6" t="s">
        <v>121</v>
      </c>
      <c r="P14" s="5" t="s">
        <v>918</v>
      </c>
      <c r="Q14" s="18" t="s">
        <v>186</v>
      </c>
      <c r="R14" s="5" t="s">
        <v>936</v>
      </c>
      <c r="S14" s="6" t="s">
        <v>1030</v>
      </c>
      <c r="T14" s="5" t="s">
        <v>827</v>
      </c>
      <c r="U14" s="6"/>
      <c r="V14" s="6" t="s">
        <v>1031</v>
      </c>
      <c r="W14" s="6" t="s">
        <v>333</v>
      </c>
      <c r="X14" s="5" t="s">
        <v>922</v>
      </c>
      <c r="Y14" s="5" t="s">
        <v>658</v>
      </c>
      <c r="Z14" s="5" t="str">
        <f t="shared" si="0"/>
        <v>High</v>
      </c>
      <c r="AA14" s="5" t="s">
        <v>956</v>
      </c>
      <c r="AB14" s="6" t="s">
        <v>956</v>
      </c>
      <c r="AC14" s="6" t="s">
        <v>103</v>
      </c>
      <c r="AD14" s="5" t="s">
        <v>940</v>
      </c>
      <c r="AE14" s="5" t="s">
        <v>354</v>
      </c>
      <c r="AF14" s="5" t="s">
        <v>354</v>
      </c>
      <c r="AG14" s="5" t="s">
        <v>354</v>
      </c>
      <c r="AH14" s="5" t="s">
        <v>354</v>
      </c>
      <c r="AI14" s="6" t="str">
        <f t="shared" si="1"/>
        <v>No</v>
      </c>
      <c r="AJ14" s="6" t="s">
        <v>941</v>
      </c>
      <c r="AK14" s="6" t="s">
        <v>121</v>
      </c>
      <c r="AL14" s="6">
        <f>MATCH(AA14,{"Low","Medium","High"},0)*MATCH(AB14,{"Low","Medium","High"},0)*INDEX({3,2,2,1,1},MATCH(X14,{"Core","Vertical extension","Differentiator","Future","Adjacent"},0))</f>
        <v>12</v>
      </c>
      <c r="AM14" s="5"/>
      <c r="AN14" s="5"/>
      <c r="AO14" s="5"/>
      <c r="AP14" s="5"/>
      <c r="AQ14" s="5"/>
      <c r="AR14" s="5"/>
      <c r="AS14" s="5"/>
      <c r="AT14" s="5"/>
      <c r="AU14" s="6" t="s">
        <v>927</v>
      </c>
      <c r="AV14" s="6" t="s">
        <v>53</v>
      </c>
      <c r="AW14" s="6" t="s">
        <v>53</v>
      </c>
      <c r="AX14" s="6" t="s">
        <v>929</v>
      </c>
      <c r="AY14" s="6" t="s">
        <v>1032</v>
      </c>
      <c r="AZ14" s="6"/>
      <c r="BA14" s="6" t="s">
        <v>942</v>
      </c>
      <c r="BB14" s="6" t="s">
        <v>943</v>
      </c>
      <c r="BC14" s="6" t="s">
        <v>97</v>
      </c>
      <c r="BD14" s="6" t="s">
        <v>97</v>
      </c>
    </row>
    <row r="15" spans="1:56" ht="32" customHeight="1" x14ac:dyDescent="0.35">
      <c r="A15" s="13" t="s">
        <v>1033</v>
      </c>
      <c r="B15" s="6" t="s">
        <v>910</v>
      </c>
      <c r="C15" s="5" t="s">
        <v>911</v>
      </c>
      <c r="D15" s="5" t="s">
        <v>841</v>
      </c>
      <c r="E15" s="5" t="s">
        <v>1034</v>
      </c>
      <c r="F15" s="5" t="s">
        <v>913</v>
      </c>
      <c r="G15" s="5" t="s">
        <v>914</v>
      </c>
      <c r="H15" s="5" t="s">
        <v>1035</v>
      </c>
      <c r="I15" s="5" t="s">
        <v>1036</v>
      </c>
      <c r="J15" s="17" t="s">
        <v>121</v>
      </c>
      <c r="K15" s="17" t="s">
        <v>181</v>
      </c>
      <c r="L15" s="5" t="s">
        <v>1037</v>
      </c>
      <c r="M15" s="6" t="s">
        <v>197</v>
      </c>
      <c r="N15" s="6" t="s">
        <v>809</v>
      </c>
      <c r="O15" s="6" t="s">
        <v>121</v>
      </c>
      <c r="P15" s="5" t="s">
        <v>918</v>
      </c>
      <c r="Q15" s="17" t="s">
        <v>182</v>
      </c>
      <c r="R15" s="5"/>
      <c r="S15" s="6" t="s">
        <v>1038</v>
      </c>
      <c r="T15" s="5" t="s">
        <v>1039</v>
      </c>
      <c r="U15" s="6"/>
      <c r="V15" s="6" t="s">
        <v>921</v>
      </c>
      <c r="W15" s="6" t="s">
        <v>331</v>
      </c>
      <c r="X15" s="5" t="s">
        <v>922</v>
      </c>
      <c r="Y15" s="5" t="s">
        <v>658</v>
      </c>
      <c r="Z15" s="5" t="str">
        <f t="shared" si="0"/>
        <v>Medium</v>
      </c>
      <c r="AA15" s="5" t="s">
        <v>956</v>
      </c>
      <c r="AB15" s="6" t="s">
        <v>924</v>
      </c>
      <c r="AC15" s="6" t="s">
        <v>103</v>
      </c>
      <c r="AD15" s="5" t="s">
        <v>925</v>
      </c>
      <c r="AE15" s="5" t="s">
        <v>354</v>
      </c>
      <c r="AF15" s="5" t="s">
        <v>354</v>
      </c>
      <c r="AG15" s="5" t="s">
        <v>354</v>
      </c>
      <c r="AH15" s="5" t="s">
        <v>354</v>
      </c>
      <c r="AI15" s="6" t="str">
        <f t="shared" si="1"/>
        <v>No</v>
      </c>
      <c r="AJ15" s="6" t="s">
        <v>926</v>
      </c>
      <c r="AK15" s="6" t="s">
        <v>121</v>
      </c>
      <c r="AL15" s="6">
        <f>MATCH(AA15,{"Low","Medium","High"},0)*MATCH(AB15,{"Low","Medium","High"},0)*INDEX({3,2,2,1,1},MATCH(X15,{"Core","Vertical extension","Differentiator","Future","Adjacent"},0))</f>
        <v>6</v>
      </c>
      <c r="AM15" s="5"/>
      <c r="AN15" s="5"/>
      <c r="AO15" s="5"/>
      <c r="AP15" s="5"/>
      <c r="AQ15" s="5"/>
      <c r="AR15" s="5"/>
      <c r="AS15" s="5"/>
      <c r="AT15" s="5"/>
      <c r="AU15" s="6" t="s">
        <v>927</v>
      </c>
      <c r="AV15" s="6" t="s">
        <v>53</v>
      </c>
      <c r="AW15" s="6" t="s">
        <v>928</v>
      </c>
      <c r="AX15" s="6" t="s">
        <v>929</v>
      </c>
      <c r="AY15" s="6" t="s">
        <v>930</v>
      </c>
      <c r="AZ15" s="6"/>
      <c r="BA15" s="6" t="s">
        <v>1040</v>
      </c>
      <c r="BB15" s="6" t="s">
        <v>1041</v>
      </c>
      <c r="BC15" s="6" t="s">
        <v>97</v>
      </c>
      <c r="BD15" s="6" t="s">
        <v>97</v>
      </c>
    </row>
    <row r="16" spans="1:56" ht="32" customHeight="1" x14ac:dyDescent="0.35">
      <c r="A16" s="13" t="s">
        <v>1042</v>
      </c>
      <c r="B16" s="6" t="s">
        <v>910</v>
      </c>
      <c r="C16" s="5" t="s">
        <v>911</v>
      </c>
      <c r="D16" s="5" t="s">
        <v>831</v>
      </c>
      <c r="E16" s="5" t="s">
        <v>1043</v>
      </c>
      <c r="F16" s="5" t="s">
        <v>959</v>
      </c>
      <c r="G16" s="5" t="s">
        <v>951</v>
      </c>
      <c r="H16" s="5" t="s">
        <v>1044</v>
      </c>
      <c r="I16" s="5" t="s">
        <v>1045</v>
      </c>
      <c r="J16" s="19" t="s">
        <v>151</v>
      </c>
      <c r="K16" s="17" t="s">
        <v>181</v>
      </c>
      <c r="L16" s="5" t="s">
        <v>1046</v>
      </c>
      <c r="M16" s="6" t="s">
        <v>197</v>
      </c>
      <c r="N16" s="6" t="s">
        <v>809</v>
      </c>
      <c r="O16" s="6" t="s">
        <v>151</v>
      </c>
      <c r="P16" s="5" t="s">
        <v>918</v>
      </c>
      <c r="Q16" s="17" t="s">
        <v>182</v>
      </c>
      <c r="R16" s="5"/>
      <c r="S16" s="6" t="s">
        <v>964</v>
      </c>
      <c r="T16" s="5" t="s">
        <v>965</v>
      </c>
      <c r="U16" s="6"/>
      <c r="V16" s="6" t="s">
        <v>966</v>
      </c>
      <c r="W16" s="6" t="s">
        <v>333</v>
      </c>
      <c r="X16" s="5" t="s">
        <v>922</v>
      </c>
      <c r="Y16" s="5" t="s">
        <v>658</v>
      </c>
      <c r="Z16" s="5" t="str">
        <f t="shared" si="0"/>
        <v>Medium</v>
      </c>
      <c r="AA16" s="5" t="s">
        <v>956</v>
      </c>
      <c r="AB16" s="6" t="s">
        <v>924</v>
      </c>
      <c r="AC16" s="6" t="s">
        <v>11</v>
      </c>
      <c r="AD16" s="5" t="s">
        <v>925</v>
      </c>
      <c r="AE16" s="5" t="s">
        <v>354</v>
      </c>
      <c r="AF16" s="5" t="s">
        <v>354</v>
      </c>
      <c r="AG16" s="5" t="s">
        <v>354</v>
      </c>
      <c r="AH16" s="5" t="s">
        <v>354</v>
      </c>
      <c r="AI16" s="6" t="str">
        <f t="shared" si="1"/>
        <v>No</v>
      </c>
      <c r="AJ16" s="6" t="s">
        <v>926</v>
      </c>
      <c r="AK16" s="6" t="s">
        <v>151</v>
      </c>
      <c r="AL16" s="6">
        <f>MATCH(AA16,{"Low","Medium","High"},0)*MATCH(AB16,{"Low","Medium","High"},0)*INDEX({3,2,2,1,1},MATCH(X16,{"Core","Vertical extension","Differentiator","Future","Adjacent"},0))</f>
        <v>6</v>
      </c>
      <c r="AM16" s="5"/>
      <c r="AN16" s="5"/>
      <c r="AO16" s="5"/>
      <c r="AP16" s="5"/>
      <c r="AQ16" s="5"/>
      <c r="AR16" s="5"/>
      <c r="AS16" s="5"/>
      <c r="AT16" s="5"/>
      <c r="AU16" s="6" t="s">
        <v>927</v>
      </c>
      <c r="AV16" s="6" t="s">
        <v>53</v>
      </c>
      <c r="AW16" s="6" t="s">
        <v>53</v>
      </c>
      <c r="AX16" s="6" t="s">
        <v>929</v>
      </c>
      <c r="AY16" s="6" t="s">
        <v>930</v>
      </c>
      <c r="AZ16" s="6"/>
      <c r="BA16" s="6"/>
      <c r="BB16" s="6"/>
      <c r="BC16" s="6" t="s">
        <v>97</v>
      </c>
      <c r="BD16" s="6" t="s">
        <v>97</v>
      </c>
    </row>
    <row r="17" spans="1:56" ht="32" customHeight="1" x14ac:dyDescent="0.35">
      <c r="A17" s="13" t="s">
        <v>1047</v>
      </c>
      <c r="B17" s="6" t="s">
        <v>910</v>
      </c>
      <c r="C17" s="5" t="s">
        <v>911</v>
      </c>
      <c r="D17" s="5" t="s">
        <v>825</v>
      </c>
      <c r="E17" s="5" t="s">
        <v>1048</v>
      </c>
      <c r="F17" s="5" t="s">
        <v>959</v>
      </c>
      <c r="G17" s="5" t="s">
        <v>1049</v>
      </c>
      <c r="H17" s="5" t="s">
        <v>1050</v>
      </c>
      <c r="I17" s="5" t="s">
        <v>1051</v>
      </c>
      <c r="J17" s="19" t="s">
        <v>151</v>
      </c>
      <c r="K17" s="17" t="s">
        <v>181</v>
      </c>
      <c r="L17" s="5" t="s">
        <v>1052</v>
      </c>
      <c r="M17" s="6" t="s">
        <v>197</v>
      </c>
      <c r="N17" s="6" t="s">
        <v>809</v>
      </c>
      <c r="O17" s="6" t="s">
        <v>151</v>
      </c>
      <c r="P17" s="5" t="s">
        <v>918</v>
      </c>
      <c r="Q17" s="17" t="s">
        <v>182</v>
      </c>
      <c r="R17" s="5"/>
      <c r="S17" s="6" t="s">
        <v>1053</v>
      </c>
      <c r="T17" s="5" t="s">
        <v>1054</v>
      </c>
      <c r="U17" s="6"/>
      <c r="V17" s="6" t="s">
        <v>1055</v>
      </c>
      <c r="W17" s="6" t="s">
        <v>333</v>
      </c>
      <c r="X17" s="5" t="s">
        <v>922</v>
      </c>
      <c r="Y17" s="5" t="s">
        <v>658</v>
      </c>
      <c r="Z17" s="5" t="str">
        <f t="shared" si="0"/>
        <v>Critical</v>
      </c>
      <c r="AA17" s="5" t="s">
        <v>923</v>
      </c>
      <c r="AB17" s="6" t="s">
        <v>923</v>
      </c>
      <c r="AC17" s="6" t="s">
        <v>11</v>
      </c>
      <c r="AD17" s="5" t="s">
        <v>925</v>
      </c>
      <c r="AE17" s="5" t="s">
        <v>354</v>
      </c>
      <c r="AF17" s="5" t="s">
        <v>354</v>
      </c>
      <c r="AG17" s="5" t="s">
        <v>354</v>
      </c>
      <c r="AH17" s="5" t="s">
        <v>354</v>
      </c>
      <c r="AI17" s="6" t="str">
        <f t="shared" si="1"/>
        <v>No</v>
      </c>
      <c r="AJ17" s="6" t="s">
        <v>926</v>
      </c>
      <c r="AK17" s="6" t="s">
        <v>151</v>
      </c>
      <c r="AL17" s="6">
        <f>MATCH(AA17,{"Low","Medium","High"},0)*MATCH(AB17,{"Low","Medium","High"},0)*INDEX({3,2,2,1,1},MATCH(X17,{"Core","Vertical extension","Differentiator","Future","Adjacent"},0))</f>
        <v>27</v>
      </c>
      <c r="AM17" s="5"/>
      <c r="AN17" s="5"/>
      <c r="AO17" s="5"/>
      <c r="AP17" s="5"/>
      <c r="AQ17" s="5"/>
      <c r="AR17" s="5"/>
      <c r="AS17" s="5"/>
      <c r="AT17" s="5"/>
      <c r="AU17" s="6" t="s">
        <v>927</v>
      </c>
      <c r="AV17" s="6" t="s">
        <v>53</v>
      </c>
      <c r="AW17" s="6" t="s">
        <v>53</v>
      </c>
      <c r="AX17" s="6" t="s">
        <v>929</v>
      </c>
      <c r="AY17" s="6" t="s">
        <v>930</v>
      </c>
      <c r="AZ17" s="6"/>
      <c r="BA17" s="6"/>
      <c r="BB17" s="6"/>
      <c r="BC17" s="6" t="s">
        <v>97</v>
      </c>
      <c r="BD17" s="6" t="s">
        <v>97</v>
      </c>
    </row>
    <row r="18" spans="1:56" ht="32" customHeight="1" x14ac:dyDescent="0.35">
      <c r="A18" s="13" t="s">
        <v>1056</v>
      </c>
      <c r="B18" s="6" t="s">
        <v>910</v>
      </c>
      <c r="C18" s="5" t="s">
        <v>911</v>
      </c>
      <c r="D18" s="5" t="s">
        <v>836</v>
      </c>
      <c r="E18" s="5" t="s">
        <v>1057</v>
      </c>
      <c r="F18" s="5" t="s">
        <v>959</v>
      </c>
      <c r="G18" s="5" t="s">
        <v>913</v>
      </c>
      <c r="H18" s="5" t="s">
        <v>1058</v>
      </c>
      <c r="I18" s="5" t="s">
        <v>1059</v>
      </c>
      <c r="J18" s="17" t="s">
        <v>121</v>
      </c>
      <c r="K18" s="17" t="s">
        <v>181</v>
      </c>
      <c r="L18" s="5" t="s">
        <v>1060</v>
      </c>
      <c r="M18" s="6" t="s">
        <v>197</v>
      </c>
      <c r="N18" s="6" t="s">
        <v>809</v>
      </c>
      <c r="O18" s="6" t="s">
        <v>121</v>
      </c>
      <c r="P18" s="5" t="s">
        <v>918</v>
      </c>
      <c r="Q18" s="17" t="s">
        <v>182</v>
      </c>
      <c r="R18" s="5"/>
      <c r="S18" s="6" t="s">
        <v>1061</v>
      </c>
      <c r="T18" s="5" t="s">
        <v>1062</v>
      </c>
      <c r="U18" s="6"/>
      <c r="V18" s="6" t="s">
        <v>1055</v>
      </c>
      <c r="W18" s="6" t="s">
        <v>333</v>
      </c>
      <c r="X18" s="5" t="s">
        <v>922</v>
      </c>
      <c r="Y18" s="5" t="s">
        <v>658</v>
      </c>
      <c r="Z18" s="5" t="str">
        <f t="shared" si="0"/>
        <v>Medium</v>
      </c>
      <c r="AA18" s="5" t="s">
        <v>956</v>
      </c>
      <c r="AB18" s="6" t="s">
        <v>924</v>
      </c>
      <c r="AC18" s="6" t="s">
        <v>103</v>
      </c>
      <c r="AD18" s="5" t="s">
        <v>925</v>
      </c>
      <c r="AE18" s="5" t="s">
        <v>354</v>
      </c>
      <c r="AF18" s="5" t="s">
        <v>354</v>
      </c>
      <c r="AG18" s="5" t="s">
        <v>354</v>
      </c>
      <c r="AH18" s="5" t="s">
        <v>354</v>
      </c>
      <c r="AI18" s="6" t="str">
        <f t="shared" si="1"/>
        <v>No</v>
      </c>
      <c r="AJ18" s="6" t="s">
        <v>926</v>
      </c>
      <c r="AK18" s="6" t="s">
        <v>121</v>
      </c>
      <c r="AL18" s="6">
        <f>MATCH(AA18,{"Low","Medium","High"},0)*MATCH(AB18,{"Low","Medium","High"},0)*INDEX({3,2,2,1,1},MATCH(X18,{"Core","Vertical extension","Differentiator","Future","Adjacent"},0))</f>
        <v>6</v>
      </c>
      <c r="AM18" s="5"/>
      <c r="AN18" s="5"/>
      <c r="AO18" s="5"/>
      <c r="AP18" s="5"/>
      <c r="AQ18" s="5"/>
      <c r="AR18" s="5"/>
      <c r="AS18" s="5"/>
      <c r="AT18" s="5"/>
      <c r="AU18" s="6" t="s">
        <v>927</v>
      </c>
      <c r="AV18" s="6" t="s">
        <v>53</v>
      </c>
      <c r="AW18" s="6" t="s">
        <v>53</v>
      </c>
      <c r="AX18" s="6" t="s">
        <v>929</v>
      </c>
      <c r="AY18" s="6" t="s">
        <v>930</v>
      </c>
      <c r="AZ18" s="6"/>
      <c r="BA18" s="6"/>
      <c r="BB18" s="6"/>
      <c r="BC18" s="6" t="s">
        <v>97</v>
      </c>
      <c r="BD18" s="6" t="s">
        <v>97</v>
      </c>
    </row>
    <row r="19" spans="1:56" ht="32" customHeight="1" x14ac:dyDescent="0.35">
      <c r="A19" s="13" t="s">
        <v>1063</v>
      </c>
      <c r="B19" s="6" t="s">
        <v>910</v>
      </c>
      <c r="C19" s="5" t="s">
        <v>1064</v>
      </c>
      <c r="D19" s="5" t="s">
        <v>833</v>
      </c>
      <c r="E19" s="5" t="s">
        <v>1065</v>
      </c>
      <c r="F19" s="5" t="s">
        <v>1064</v>
      </c>
      <c r="G19" s="5" t="s">
        <v>1066</v>
      </c>
      <c r="H19" s="5" t="s">
        <v>1067</v>
      </c>
      <c r="I19" s="5" t="s">
        <v>1068</v>
      </c>
      <c r="J19" s="16" t="s">
        <v>73</v>
      </c>
      <c r="K19" s="17" t="s">
        <v>181</v>
      </c>
      <c r="L19" s="5" t="s">
        <v>1069</v>
      </c>
      <c r="M19" s="6" t="s">
        <v>197</v>
      </c>
      <c r="N19" s="6" t="s">
        <v>809</v>
      </c>
      <c r="O19" s="6" t="s">
        <v>73</v>
      </c>
      <c r="P19" s="5" t="s">
        <v>918</v>
      </c>
      <c r="Q19" s="17" t="s">
        <v>182</v>
      </c>
      <c r="R19" s="5"/>
      <c r="S19" s="6" t="s">
        <v>919</v>
      </c>
      <c r="T19" s="5" t="s">
        <v>920</v>
      </c>
      <c r="U19" s="6"/>
      <c r="V19" s="6" t="s">
        <v>921</v>
      </c>
      <c r="W19" s="6" t="s">
        <v>331</v>
      </c>
      <c r="X19" s="5" t="s">
        <v>922</v>
      </c>
      <c r="Y19" s="5" t="s">
        <v>658</v>
      </c>
      <c r="Z19" s="5" t="str">
        <f t="shared" si="0"/>
        <v>High</v>
      </c>
      <c r="AA19" s="5" t="s">
        <v>923</v>
      </c>
      <c r="AB19" s="6" t="s">
        <v>924</v>
      </c>
      <c r="AC19" s="6" t="s">
        <v>78</v>
      </c>
      <c r="AD19" s="5" t="s">
        <v>925</v>
      </c>
      <c r="AE19" s="5" t="s">
        <v>354</v>
      </c>
      <c r="AF19" s="5" t="s">
        <v>354</v>
      </c>
      <c r="AG19" s="5" t="s">
        <v>354</v>
      </c>
      <c r="AH19" s="5" t="s">
        <v>354</v>
      </c>
      <c r="AI19" s="6" t="str">
        <f t="shared" si="1"/>
        <v>No</v>
      </c>
      <c r="AJ19" s="6" t="s">
        <v>926</v>
      </c>
      <c r="AK19" s="6" t="s">
        <v>73</v>
      </c>
      <c r="AL19" s="6">
        <f>MATCH(AA19,{"Low","Medium","High"},0)*MATCH(AB19,{"Low","Medium","High"},0)*INDEX({3,2,2,1,1},MATCH(X19,{"Core","Vertical extension","Differentiator","Future","Adjacent"},0))</f>
        <v>9</v>
      </c>
      <c r="AM19" s="5"/>
      <c r="AN19" s="5"/>
      <c r="AO19" s="5"/>
      <c r="AP19" s="5"/>
      <c r="AQ19" s="5"/>
      <c r="AR19" s="5"/>
      <c r="AS19" s="5"/>
      <c r="AT19" s="5"/>
      <c r="AU19" s="6" t="s">
        <v>927</v>
      </c>
      <c r="AV19" s="6" t="s">
        <v>53</v>
      </c>
      <c r="AW19" s="6" t="s">
        <v>53</v>
      </c>
      <c r="AX19" s="6" t="s">
        <v>929</v>
      </c>
      <c r="AY19" s="6" t="s">
        <v>930</v>
      </c>
      <c r="AZ19" s="6"/>
      <c r="BA19" s="6"/>
      <c r="BB19" s="6"/>
      <c r="BC19" s="6" t="s">
        <v>97</v>
      </c>
      <c r="BD19" s="6" t="s">
        <v>97</v>
      </c>
    </row>
    <row r="20" spans="1:56" ht="32" customHeight="1" x14ac:dyDescent="0.35">
      <c r="A20" s="13" t="s">
        <v>1070</v>
      </c>
      <c r="B20" s="6" t="s">
        <v>910</v>
      </c>
      <c r="C20" s="5" t="s">
        <v>1064</v>
      </c>
      <c r="D20" s="5" t="s">
        <v>835</v>
      </c>
      <c r="E20" s="5" t="s">
        <v>1071</v>
      </c>
      <c r="F20" s="5" t="s">
        <v>1064</v>
      </c>
      <c r="G20" s="5" t="s">
        <v>1072</v>
      </c>
      <c r="H20" s="5" t="s">
        <v>1073</v>
      </c>
      <c r="I20" s="5" t="s">
        <v>1074</v>
      </c>
      <c r="J20" s="17" t="s">
        <v>121</v>
      </c>
      <c r="K20" s="17" t="s">
        <v>181</v>
      </c>
      <c r="L20" s="5" t="s">
        <v>1075</v>
      </c>
      <c r="M20" s="6" t="s">
        <v>197</v>
      </c>
      <c r="N20" s="6" t="s">
        <v>809</v>
      </c>
      <c r="O20" s="6" t="s">
        <v>121</v>
      </c>
      <c r="P20" s="5" t="s">
        <v>999</v>
      </c>
      <c r="Q20" s="17" t="s">
        <v>182</v>
      </c>
      <c r="R20" s="5" t="s">
        <v>999</v>
      </c>
      <c r="S20" s="6" t="s">
        <v>1076</v>
      </c>
      <c r="T20" s="5" t="s">
        <v>1077</v>
      </c>
      <c r="U20" s="6"/>
      <c r="V20" s="6" t="s">
        <v>1078</v>
      </c>
      <c r="W20" s="6" t="s">
        <v>331</v>
      </c>
      <c r="X20" s="5" t="s">
        <v>922</v>
      </c>
      <c r="Y20" s="5" t="s">
        <v>658</v>
      </c>
      <c r="Z20" s="5" t="str">
        <f t="shared" si="0"/>
        <v>Medium</v>
      </c>
      <c r="AA20" s="5" t="s">
        <v>956</v>
      </c>
      <c r="AB20" s="6" t="s">
        <v>924</v>
      </c>
      <c r="AC20" s="6" t="s">
        <v>103</v>
      </c>
      <c r="AD20" s="5" t="s">
        <v>925</v>
      </c>
      <c r="AE20" s="5" t="s">
        <v>354</v>
      </c>
      <c r="AF20" s="5" t="s">
        <v>354</v>
      </c>
      <c r="AG20" s="5" t="s">
        <v>354</v>
      </c>
      <c r="AH20" s="5" t="s">
        <v>354</v>
      </c>
      <c r="AI20" s="6" t="str">
        <f t="shared" si="1"/>
        <v>No</v>
      </c>
      <c r="AJ20" s="6" t="s">
        <v>926</v>
      </c>
      <c r="AK20" s="6" t="s">
        <v>121</v>
      </c>
      <c r="AL20" s="6">
        <f>MATCH(AA20,{"Low","Medium","High"},0)*MATCH(AB20,{"Low","Medium","High"},0)*INDEX({3,2,2,1,1},MATCH(X20,{"Core","Vertical extension","Differentiator","Future","Adjacent"},0))</f>
        <v>6</v>
      </c>
      <c r="AM20" s="5"/>
      <c r="AN20" s="5"/>
      <c r="AO20" s="5"/>
      <c r="AP20" s="5"/>
      <c r="AQ20" s="5"/>
      <c r="AR20" s="5"/>
      <c r="AS20" s="5"/>
      <c r="AT20" s="5"/>
      <c r="AU20" s="6" t="s">
        <v>927</v>
      </c>
      <c r="AV20" s="6" t="s">
        <v>53</v>
      </c>
      <c r="AW20" s="6" t="s">
        <v>53</v>
      </c>
      <c r="AX20" s="6" t="s">
        <v>1003</v>
      </c>
      <c r="AY20" s="6" t="s">
        <v>930</v>
      </c>
      <c r="AZ20" s="6"/>
      <c r="BA20" s="6" t="s">
        <v>1079</v>
      </c>
      <c r="BB20" s="6" t="s">
        <v>1080</v>
      </c>
      <c r="BC20" s="6" t="s">
        <v>97</v>
      </c>
      <c r="BD20" s="6" t="s">
        <v>97</v>
      </c>
    </row>
    <row r="21" spans="1:56" ht="32" customHeight="1" x14ac:dyDescent="0.35">
      <c r="A21" s="13" t="s">
        <v>1081</v>
      </c>
      <c r="B21" s="6" t="s">
        <v>910</v>
      </c>
      <c r="C21" s="5" t="s">
        <v>1064</v>
      </c>
      <c r="D21" s="5" t="s">
        <v>835</v>
      </c>
      <c r="E21" s="5" t="s">
        <v>1082</v>
      </c>
      <c r="F21" s="5" t="s">
        <v>1064</v>
      </c>
      <c r="G21" s="5" t="s">
        <v>1083</v>
      </c>
      <c r="H21" s="5" t="s">
        <v>1084</v>
      </c>
      <c r="I21" s="5" t="s">
        <v>1085</v>
      </c>
      <c r="J21" s="17" t="s">
        <v>121</v>
      </c>
      <c r="K21" s="17" t="s">
        <v>181</v>
      </c>
      <c r="L21" s="5" t="s">
        <v>1086</v>
      </c>
      <c r="M21" s="6" t="s">
        <v>197</v>
      </c>
      <c r="N21" s="6" t="s">
        <v>809</v>
      </c>
      <c r="O21" s="6" t="s">
        <v>121</v>
      </c>
      <c r="P21" s="5" t="s">
        <v>918</v>
      </c>
      <c r="Q21" s="17" t="s">
        <v>182</v>
      </c>
      <c r="R21" s="5"/>
      <c r="S21" s="6" t="s">
        <v>1076</v>
      </c>
      <c r="T21" s="5" t="s">
        <v>1077</v>
      </c>
      <c r="U21" s="6"/>
      <c r="V21" s="6" t="s">
        <v>1078</v>
      </c>
      <c r="W21" s="6" t="s">
        <v>331</v>
      </c>
      <c r="X21" s="5" t="s">
        <v>922</v>
      </c>
      <c r="Y21" s="5" t="s">
        <v>658</v>
      </c>
      <c r="Z21" s="5" t="str">
        <f t="shared" si="0"/>
        <v>Medium</v>
      </c>
      <c r="AA21" s="5" t="s">
        <v>956</v>
      </c>
      <c r="AB21" s="6" t="s">
        <v>924</v>
      </c>
      <c r="AC21" s="6" t="s">
        <v>103</v>
      </c>
      <c r="AD21" s="5" t="s">
        <v>925</v>
      </c>
      <c r="AE21" s="5" t="s">
        <v>354</v>
      </c>
      <c r="AF21" s="5" t="s">
        <v>354</v>
      </c>
      <c r="AG21" s="5" t="s">
        <v>354</v>
      </c>
      <c r="AH21" s="5" t="s">
        <v>354</v>
      </c>
      <c r="AI21" s="6" t="str">
        <f t="shared" si="1"/>
        <v>No</v>
      </c>
      <c r="AJ21" s="6" t="s">
        <v>926</v>
      </c>
      <c r="AK21" s="6" t="s">
        <v>121</v>
      </c>
      <c r="AL21" s="6">
        <f>MATCH(AA21,{"Low","Medium","High"},0)*MATCH(AB21,{"Low","Medium","High"},0)*INDEX({3,2,2,1,1},MATCH(X21,{"Core","Vertical extension","Differentiator","Future","Adjacent"},0))</f>
        <v>6</v>
      </c>
      <c r="AM21" s="5"/>
      <c r="AN21" s="5"/>
      <c r="AO21" s="5"/>
      <c r="AP21" s="5"/>
      <c r="AQ21" s="5"/>
      <c r="AR21" s="5"/>
      <c r="AS21" s="5"/>
      <c r="AT21" s="5"/>
      <c r="AU21" s="6" t="s">
        <v>927</v>
      </c>
      <c r="AV21" s="6" t="s">
        <v>53</v>
      </c>
      <c r="AW21" s="6" t="s">
        <v>53</v>
      </c>
      <c r="AX21" s="6" t="s">
        <v>929</v>
      </c>
      <c r="AY21" s="6" t="s">
        <v>930</v>
      </c>
      <c r="AZ21" s="6"/>
      <c r="BA21" s="6"/>
      <c r="BB21" s="6"/>
      <c r="BC21" s="6" t="s">
        <v>97</v>
      </c>
      <c r="BD21" s="6" t="s">
        <v>97</v>
      </c>
    </row>
    <row r="22" spans="1:56" ht="32" customHeight="1" x14ac:dyDescent="0.35">
      <c r="A22" s="13" t="s">
        <v>1087</v>
      </c>
      <c r="B22" s="6" t="s">
        <v>910</v>
      </c>
      <c r="C22" s="5" t="s">
        <v>1064</v>
      </c>
      <c r="D22" s="5" t="s">
        <v>838</v>
      </c>
      <c r="E22" s="5" t="s">
        <v>1088</v>
      </c>
      <c r="F22" s="5" t="s">
        <v>1064</v>
      </c>
      <c r="G22" s="5" t="s">
        <v>951</v>
      </c>
      <c r="H22" s="5" t="s">
        <v>1089</v>
      </c>
      <c r="I22" s="5" t="s">
        <v>1090</v>
      </c>
      <c r="J22" s="17" t="s">
        <v>121</v>
      </c>
      <c r="K22" s="17" t="s">
        <v>181</v>
      </c>
      <c r="L22" s="5" t="s">
        <v>1091</v>
      </c>
      <c r="M22" s="6" t="s">
        <v>197</v>
      </c>
      <c r="N22" s="6" t="s">
        <v>809</v>
      </c>
      <c r="O22" s="6" t="s">
        <v>121</v>
      </c>
      <c r="P22" s="5" t="s">
        <v>918</v>
      </c>
      <c r="Q22" s="17" t="s">
        <v>182</v>
      </c>
      <c r="R22" s="5"/>
      <c r="S22" s="6" t="s">
        <v>990</v>
      </c>
      <c r="T22" s="5" t="s">
        <v>991</v>
      </c>
      <c r="U22" s="6"/>
      <c r="V22" s="6" t="s">
        <v>992</v>
      </c>
      <c r="W22" s="6" t="s">
        <v>337</v>
      </c>
      <c r="X22" s="5" t="s">
        <v>922</v>
      </c>
      <c r="Y22" s="5" t="s">
        <v>658</v>
      </c>
      <c r="Z22" s="5" t="str">
        <f t="shared" si="0"/>
        <v>Medium</v>
      </c>
      <c r="AA22" s="5" t="s">
        <v>956</v>
      </c>
      <c r="AB22" s="6" t="s">
        <v>924</v>
      </c>
      <c r="AC22" s="6" t="s">
        <v>11</v>
      </c>
      <c r="AD22" s="5" t="s">
        <v>925</v>
      </c>
      <c r="AE22" s="5" t="s">
        <v>354</v>
      </c>
      <c r="AF22" s="5" t="s">
        <v>354</v>
      </c>
      <c r="AG22" s="5" t="s">
        <v>354</v>
      </c>
      <c r="AH22" s="5" t="s">
        <v>354</v>
      </c>
      <c r="AI22" s="6" t="str">
        <f t="shared" si="1"/>
        <v>No</v>
      </c>
      <c r="AJ22" s="6" t="s">
        <v>926</v>
      </c>
      <c r="AK22" s="6" t="s">
        <v>151</v>
      </c>
      <c r="AL22" s="6">
        <f>MATCH(AA22,{"Low","Medium","High"},0)*MATCH(AB22,{"Low","Medium","High"},0)*INDEX({3,2,2,1,1},MATCH(X22,{"Core","Vertical extension","Differentiator","Future","Adjacent"},0))</f>
        <v>6</v>
      </c>
      <c r="AM22" s="5"/>
      <c r="AN22" s="5"/>
      <c r="AO22" s="5"/>
      <c r="AP22" s="5"/>
      <c r="AQ22" s="5"/>
      <c r="AR22" s="5"/>
      <c r="AS22" s="5"/>
      <c r="AT22" s="5"/>
      <c r="AU22" s="6" t="s">
        <v>927</v>
      </c>
      <c r="AV22" s="6" t="s">
        <v>53</v>
      </c>
      <c r="AW22" s="6" t="s">
        <v>53</v>
      </c>
      <c r="AX22" s="6" t="s">
        <v>929</v>
      </c>
      <c r="AY22" s="6" t="s">
        <v>930</v>
      </c>
      <c r="AZ22" s="6"/>
      <c r="BA22" s="6"/>
      <c r="BB22" s="6"/>
      <c r="BC22" s="6" t="s">
        <v>97</v>
      </c>
      <c r="BD22" s="6" t="s">
        <v>97</v>
      </c>
    </row>
    <row r="23" spans="1:56" ht="32" customHeight="1" x14ac:dyDescent="0.35">
      <c r="A23" s="13" t="s">
        <v>1092</v>
      </c>
      <c r="B23" s="6" t="s">
        <v>910</v>
      </c>
      <c r="C23" s="5" t="s">
        <v>1064</v>
      </c>
      <c r="D23" s="5" t="s">
        <v>829</v>
      </c>
      <c r="E23" s="5" t="s">
        <v>1093</v>
      </c>
      <c r="F23" s="5" t="s">
        <v>1064</v>
      </c>
      <c r="G23" s="5" t="s">
        <v>1094</v>
      </c>
      <c r="H23" s="5" t="s">
        <v>1095</v>
      </c>
      <c r="I23" s="5" t="s">
        <v>1096</v>
      </c>
      <c r="J23" s="16" t="s">
        <v>73</v>
      </c>
      <c r="K23" s="17" t="s">
        <v>181</v>
      </c>
      <c r="L23" s="5" t="s">
        <v>1097</v>
      </c>
      <c r="M23" s="6" t="s">
        <v>197</v>
      </c>
      <c r="N23" s="6" t="s">
        <v>809</v>
      </c>
      <c r="O23" s="6" t="s">
        <v>73</v>
      </c>
      <c r="P23" s="5" t="s">
        <v>918</v>
      </c>
      <c r="Q23" s="17" t="s">
        <v>182</v>
      </c>
      <c r="R23" s="5"/>
      <c r="S23" s="6" t="s">
        <v>980</v>
      </c>
      <c r="T23" s="5" t="s">
        <v>981</v>
      </c>
      <c r="U23" s="6"/>
      <c r="V23" s="6" t="s">
        <v>982</v>
      </c>
      <c r="W23" s="6" t="s">
        <v>331</v>
      </c>
      <c r="X23" s="5" t="s">
        <v>922</v>
      </c>
      <c r="Y23" s="5" t="s">
        <v>658</v>
      </c>
      <c r="Z23" s="5" t="str">
        <f t="shared" si="0"/>
        <v>High</v>
      </c>
      <c r="AA23" s="5" t="s">
        <v>923</v>
      </c>
      <c r="AB23" s="6" t="s">
        <v>924</v>
      </c>
      <c r="AC23" s="6" t="s">
        <v>78</v>
      </c>
      <c r="AD23" s="5" t="s">
        <v>925</v>
      </c>
      <c r="AE23" s="5" t="s">
        <v>354</v>
      </c>
      <c r="AF23" s="5" t="s">
        <v>354</v>
      </c>
      <c r="AG23" s="5" t="s">
        <v>354</v>
      </c>
      <c r="AH23" s="5" t="s">
        <v>354</v>
      </c>
      <c r="AI23" s="6" t="str">
        <f t="shared" si="1"/>
        <v>No</v>
      </c>
      <c r="AJ23" s="6" t="s">
        <v>926</v>
      </c>
      <c r="AK23" s="6" t="s">
        <v>73</v>
      </c>
      <c r="AL23" s="6">
        <f>MATCH(AA23,{"Low","Medium","High"},0)*MATCH(AB23,{"Low","Medium","High"},0)*INDEX({3,2,2,1,1},MATCH(X23,{"Core","Vertical extension","Differentiator","Future","Adjacent"},0))</f>
        <v>9</v>
      </c>
      <c r="AM23" s="5"/>
      <c r="AN23" s="5"/>
      <c r="AO23" s="5"/>
      <c r="AP23" s="5"/>
      <c r="AQ23" s="5"/>
      <c r="AR23" s="5"/>
      <c r="AS23" s="5"/>
      <c r="AT23" s="5"/>
      <c r="AU23" s="6" t="s">
        <v>927</v>
      </c>
      <c r="AV23" s="6" t="s">
        <v>53</v>
      </c>
      <c r="AW23" s="6" t="s">
        <v>53</v>
      </c>
      <c r="AX23" s="6" t="s">
        <v>929</v>
      </c>
      <c r="AY23" s="6" t="s">
        <v>930</v>
      </c>
      <c r="AZ23" s="6"/>
      <c r="BA23" s="6" t="s">
        <v>1098</v>
      </c>
      <c r="BB23" s="6" t="s">
        <v>1080</v>
      </c>
      <c r="BC23" s="6" t="s">
        <v>97</v>
      </c>
      <c r="BD23" s="6" t="s">
        <v>97</v>
      </c>
    </row>
    <row r="24" spans="1:56" ht="32" customHeight="1" x14ac:dyDescent="0.35">
      <c r="A24" s="13" t="s">
        <v>1099</v>
      </c>
      <c r="B24" s="6" t="s">
        <v>910</v>
      </c>
      <c r="C24" s="5" t="s">
        <v>1064</v>
      </c>
      <c r="D24" s="5" t="s">
        <v>829</v>
      </c>
      <c r="E24" s="5" t="s">
        <v>1100</v>
      </c>
      <c r="F24" s="5" t="s">
        <v>1064</v>
      </c>
      <c r="G24" s="5" t="s">
        <v>1101</v>
      </c>
      <c r="H24" s="5" t="s">
        <v>1102</v>
      </c>
      <c r="I24" s="5" t="s">
        <v>1103</v>
      </c>
      <c r="J24" s="17" t="s">
        <v>121</v>
      </c>
      <c r="K24" s="17" t="s">
        <v>181</v>
      </c>
      <c r="L24" s="5" t="s">
        <v>1104</v>
      </c>
      <c r="M24" s="6" t="s">
        <v>197</v>
      </c>
      <c r="N24" s="6" t="s">
        <v>809</v>
      </c>
      <c r="O24" s="6" t="s">
        <v>121</v>
      </c>
      <c r="P24" s="5" t="s">
        <v>918</v>
      </c>
      <c r="Q24" s="18" t="s">
        <v>186</v>
      </c>
      <c r="R24" s="5" t="s">
        <v>1021</v>
      </c>
      <c r="S24" s="6" t="s">
        <v>980</v>
      </c>
      <c r="T24" s="5" t="s">
        <v>981</v>
      </c>
      <c r="U24" s="6"/>
      <c r="V24" s="6" t="s">
        <v>982</v>
      </c>
      <c r="W24" s="6" t="s">
        <v>331</v>
      </c>
      <c r="X24" s="5" t="s">
        <v>922</v>
      </c>
      <c r="Y24" s="5" t="s">
        <v>658</v>
      </c>
      <c r="Z24" s="5" t="str">
        <f t="shared" si="0"/>
        <v>High</v>
      </c>
      <c r="AA24" s="5" t="s">
        <v>923</v>
      </c>
      <c r="AB24" s="6" t="s">
        <v>924</v>
      </c>
      <c r="AC24" s="6" t="s">
        <v>103</v>
      </c>
      <c r="AD24" s="5" t="s">
        <v>940</v>
      </c>
      <c r="AE24" s="5" t="s">
        <v>354</v>
      </c>
      <c r="AF24" s="5" t="s">
        <v>354</v>
      </c>
      <c r="AG24" s="5" t="s">
        <v>354</v>
      </c>
      <c r="AH24" s="5" t="s">
        <v>354</v>
      </c>
      <c r="AI24" s="6" t="str">
        <f t="shared" si="1"/>
        <v>No</v>
      </c>
      <c r="AJ24" s="6" t="s">
        <v>941</v>
      </c>
      <c r="AK24" s="6" t="s">
        <v>121</v>
      </c>
      <c r="AL24" s="6">
        <f>MATCH(AA24,{"Low","Medium","High"},0)*MATCH(AB24,{"Low","Medium","High"},0)*INDEX({3,2,2,1,1},MATCH(X24,{"Core","Vertical extension","Differentiator","Future","Adjacent"},0))</f>
        <v>9</v>
      </c>
      <c r="AM24" s="5"/>
      <c r="AN24" s="5"/>
      <c r="AO24" s="5"/>
      <c r="AP24" s="5"/>
      <c r="AQ24" s="5"/>
      <c r="AR24" s="5"/>
      <c r="AS24" s="5"/>
      <c r="AT24" s="5"/>
      <c r="AU24" s="6" t="s">
        <v>927</v>
      </c>
      <c r="AV24" s="6" t="s">
        <v>53</v>
      </c>
      <c r="AW24" s="6" t="s">
        <v>53</v>
      </c>
      <c r="AX24" s="6" t="s">
        <v>929</v>
      </c>
      <c r="AY24" s="6" t="s">
        <v>930</v>
      </c>
      <c r="AZ24" s="6"/>
      <c r="BA24" s="6" t="s">
        <v>983</v>
      </c>
      <c r="BB24" s="6" t="s">
        <v>984</v>
      </c>
      <c r="BC24" s="6" t="s">
        <v>97</v>
      </c>
      <c r="BD24" s="6" t="s">
        <v>97</v>
      </c>
    </row>
    <row r="25" spans="1:56" ht="32" customHeight="1" x14ac:dyDescent="0.35">
      <c r="A25" s="13" t="s">
        <v>1105</v>
      </c>
      <c r="B25" s="6" t="s">
        <v>910</v>
      </c>
      <c r="C25" s="5" t="s">
        <v>1064</v>
      </c>
      <c r="D25" s="5" t="s">
        <v>831</v>
      </c>
      <c r="E25" s="5" t="s">
        <v>1106</v>
      </c>
      <c r="F25" s="5" t="s">
        <v>1064</v>
      </c>
      <c r="G25" s="5" t="s">
        <v>951</v>
      </c>
      <c r="H25" s="5" t="s">
        <v>1107</v>
      </c>
      <c r="I25" s="5" t="s">
        <v>1108</v>
      </c>
      <c r="J25" s="19" t="s">
        <v>151</v>
      </c>
      <c r="K25" s="17" t="s">
        <v>181</v>
      </c>
      <c r="L25" s="5" t="s">
        <v>1109</v>
      </c>
      <c r="M25" s="6" t="s">
        <v>197</v>
      </c>
      <c r="N25" s="6" t="s">
        <v>809</v>
      </c>
      <c r="O25" s="6" t="s">
        <v>151</v>
      </c>
      <c r="P25" s="5" t="s">
        <v>918</v>
      </c>
      <c r="Q25" s="17" t="s">
        <v>182</v>
      </c>
      <c r="R25" s="5"/>
      <c r="S25" s="6" t="s">
        <v>964</v>
      </c>
      <c r="T25" s="5" t="s">
        <v>965</v>
      </c>
      <c r="U25" s="6"/>
      <c r="V25" s="6" t="s">
        <v>966</v>
      </c>
      <c r="W25" s="6" t="s">
        <v>333</v>
      </c>
      <c r="X25" s="5" t="s">
        <v>922</v>
      </c>
      <c r="Y25" s="5" t="s">
        <v>658</v>
      </c>
      <c r="Z25" s="5" t="str">
        <f t="shared" si="0"/>
        <v>Medium</v>
      </c>
      <c r="AA25" s="5" t="s">
        <v>956</v>
      </c>
      <c r="AB25" s="6" t="s">
        <v>924</v>
      </c>
      <c r="AC25" s="6" t="s">
        <v>11</v>
      </c>
      <c r="AD25" s="5" t="s">
        <v>925</v>
      </c>
      <c r="AE25" s="5" t="s">
        <v>354</v>
      </c>
      <c r="AF25" s="5" t="s">
        <v>354</v>
      </c>
      <c r="AG25" s="5" t="s">
        <v>354</v>
      </c>
      <c r="AH25" s="5" t="s">
        <v>354</v>
      </c>
      <c r="AI25" s="6" t="str">
        <f t="shared" si="1"/>
        <v>No</v>
      </c>
      <c r="AJ25" s="6" t="s">
        <v>926</v>
      </c>
      <c r="AK25" s="6" t="s">
        <v>151</v>
      </c>
      <c r="AL25" s="6">
        <f>MATCH(AA25,{"Low","Medium","High"},0)*MATCH(AB25,{"Low","Medium","High"},0)*INDEX({3,2,2,1,1},MATCH(X25,{"Core","Vertical extension","Differentiator","Future","Adjacent"},0))</f>
        <v>6</v>
      </c>
      <c r="AM25" s="5"/>
      <c r="AN25" s="5"/>
      <c r="AO25" s="5"/>
      <c r="AP25" s="5"/>
      <c r="AQ25" s="5"/>
      <c r="AR25" s="5"/>
      <c r="AS25" s="5"/>
      <c r="AT25" s="5"/>
      <c r="AU25" s="6" t="s">
        <v>927</v>
      </c>
      <c r="AV25" s="6" t="s">
        <v>53</v>
      </c>
      <c r="AW25" s="6" t="s">
        <v>53</v>
      </c>
      <c r="AX25" s="6" t="s">
        <v>929</v>
      </c>
      <c r="AY25" s="6" t="s">
        <v>930</v>
      </c>
      <c r="AZ25" s="6"/>
      <c r="BA25" s="6"/>
      <c r="BB25" s="6"/>
      <c r="BC25" s="6" t="s">
        <v>97</v>
      </c>
      <c r="BD25" s="6" t="s">
        <v>97</v>
      </c>
    </row>
    <row r="26" spans="1:56" ht="32" customHeight="1" x14ac:dyDescent="0.35">
      <c r="A26" s="13" t="s">
        <v>1110</v>
      </c>
      <c r="B26" s="6" t="s">
        <v>910</v>
      </c>
      <c r="C26" s="5" t="s">
        <v>1064</v>
      </c>
      <c r="D26" s="5" t="s">
        <v>831</v>
      </c>
      <c r="E26" s="5" t="s">
        <v>1111</v>
      </c>
      <c r="F26" s="5" t="s">
        <v>1064</v>
      </c>
      <c r="G26" s="5" t="s">
        <v>951</v>
      </c>
      <c r="H26" s="5" t="s">
        <v>1112</v>
      </c>
      <c r="I26" s="5" t="s">
        <v>1113</v>
      </c>
      <c r="J26" s="19" t="s">
        <v>151</v>
      </c>
      <c r="K26" s="17" t="s">
        <v>181</v>
      </c>
      <c r="L26" s="5" t="s">
        <v>1114</v>
      </c>
      <c r="M26" s="6" t="s">
        <v>197</v>
      </c>
      <c r="N26" s="6" t="s">
        <v>809</v>
      </c>
      <c r="O26" s="6" t="s">
        <v>151</v>
      </c>
      <c r="P26" s="5" t="s">
        <v>1115</v>
      </c>
      <c r="Q26" s="17" t="s">
        <v>182</v>
      </c>
      <c r="R26" s="5" t="s">
        <v>1115</v>
      </c>
      <c r="S26" s="6" t="s">
        <v>964</v>
      </c>
      <c r="T26" s="5" t="s">
        <v>965</v>
      </c>
      <c r="U26" s="6"/>
      <c r="V26" s="6" t="s">
        <v>966</v>
      </c>
      <c r="W26" s="6" t="s">
        <v>333</v>
      </c>
      <c r="X26" s="5" t="s">
        <v>922</v>
      </c>
      <c r="Y26" s="5" t="s">
        <v>658</v>
      </c>
      <c r="Z26" s="5" t="str">
        <f t="shared" si="0"/>
        <v>Medium</v>
      </c>
      <c r="AA26" s="5" t="s">
        <v>956</v>
      </c>
      <c r="AB26" s="6" t="s">
        <v>924</v>
      </c>
      <c r="AC26" s="6" t="s">
        <v>11</v>
      </c>
      <c r="AD26" s="5" t="s">
        <v>925</v>
      </c>
      <c r="AE26" s="5" t="s">
        <v>354</v>
      </c>
      <c r="AF26" s="5" t="s">
        <v>354</v>
      </c>
      <c r="AG26" s="5" t="s">
        <v>354</v>
      </c>
      <c r="AH26" s="5" t="s">
        <v>354</v>
      </c>
      <c r="AI26" s="6" t="str">
        <f t="shared" si="1"/>
        <v>No</v>
      </c>
      <c r="AJ26" s="6" t="s">
        <v>926</v>
      </c>
      <c r="AK26" s="6" t="s">
        <v>151</v>
      </c>
      <c r="AL26" s="6">
        <f>MATCH(AA26,{"Low","Medium","High"},0)*MATCH(AB26,{"Low","Medium","High"},0)*INDEX({3,2,2,1,1},MATCH(X26,{"Core","Vertical extension","Differentiator","Future","Adjacent"},0))</f>
        <v>6</v>
      </c>
      <c r="AM26" s="5"/>
      <c r="AN26" s="5"/>
      <c r="AO26" s="5"/>
      <c r="AP26" s="5"/>
      <c r="AQ26" s="5"/>
      <c r="AR26" s="5"/>
      <c r="AS26" s="5"/>
      <c r="AT26" s="5"/>
      <c r="AU26" s="6" t="s">
        <v>927</v>
      </c>
      <c r="AV26" s="6" t="s">
        <v>53</v>
      </c>
      <c r="AW26" s="6" t="s">
        <v>53</v>
      </c>
      <c r="AX26" s="6" t="s">
        <v>1003</v>
      </c>
      <c r="AY26" s="6" t="s">
        <v>930</v>
      </c>
      <c r="AZ26" s="6"/>
      <c r="BA26" s="6"/>
      <c r="BB26" s="6"/>
      <c r="BC26" s="6" t="s">
        <v>97</v>
      </c>
      <c r="BD26" s="6" t="s">
        <v>97</v>
      </c>
    </row>
    <row r="27" spans="1:56" ht="32" customHeight="1" x14ac:dyDescent="0.35">
      <c r="A27" s="13" t="s">
        <v>1116</v>
      </c>
      <c r="B27" s="6" t="s">
        <v>910</v>
      </c>
      <c r="C27" s="5" t="s">
        <v>1064</v>
      </c>
      <c r="D27" s="5" t="s">
        <v>834</v>
      </c>
      <c r="E27" s="5" t="s">
        <v>1117</v>
      </c>
      <c r="F27" s="5" t="s">
        <v>1064</v>
      </c>
      <c r="G27" s="5" t="s">
        <v>1118</v>
      </c>
      <c r="H27" s="5" t="s">
        <v>1119</v>
      </c>
      <c r="I27" s="5" t="s">
        <v>1120</v>
      </c>
      <c r="J27" s="17" t="s">
        <v>121</v>
      </c>
      <c r="K27" s="17" t="s">
        <v>181</v>
      </c>
      <c r="L27" s="5" t="s">
        <v>1121</v>
      </c>
      <c r="M27" s="6" t="s">
        <v>197</v>
      </c>
      <c r="N27" s="6" t="s">
        <v>809</v>
      </c>
      <c r="O27" s="6" t="s">
        <v>121</v>
      </c>
      <c r="P27" s="5" t="s">
        <v>918</v>
      </c>
      <c r="Q27" s="17" t="s">
        <v>182</v>
      </c>
      <c r="R27" s="5"/>
      <c r="S27" s="6" t="s">
        <v>1000</v>
      </c>
      <c r="T27" s="5" t="s">
        <v>1001</v>
      </c>
      <c r="U27" s="6"/>
      <c r="V27" s="6" t="s">
        <v>1002</v>
      </c>
      <c r="W27" s="6" t="s">
        <v>333</v>
      </c>
      <c r="X27" s="5" t="s">
        <v>922</v>
      </c>
      <c r="Y27" s="5" t="s">
        <v>658</v>
      </c>
      <c r="Z27" s="5" t="str">
        <f t="shared" si="0"/>
        <v>Critical</v>
      </c>
      <c r="AA27" s="5" t="s">
        <v>923</v>
      </c>
      <c r="AB27" s="6" t="s">
        <v>956</v>
      </c>
      <c r="AC27" s="6" t="s">
        <v>103</v>
      </c>
      <c r="AD27" s="5" t="s">
        <v>925</v>
      </c>
      <c r="AE27" s="5" t="s">
        <v>354</v>
      </c>
      <c r="AF27" s="5" t="s">
        <v>354</v>
      </c>
      <c r="AG27" s="5" t="s">
        <v>354</v>
      </c>
      <c r="AH27" s="5" t="s">
        <v>354</v>
      </c>
      <c r="AI27" s="6" t="str">
        <f t="shared" si="1"/>
        <v>No</v>
      </c>
      <c r="AJ27" s="6" t="s">
        <v>926</v>
      </c>
      <c r="AK27" s="6" t="s">
        <v>121</v>
      </c>
      <c r="AL27" s="6">
        <f>MATCH(AA27,{"Low","Medium","High"},0)*MATCH(AB27,{"Low","Medium","High"},0)*INDEX({3,2,2,1,1},MATCH(X27,{"Core","Vertical extension","Differentiator","Future","Adjacent"},0))</f>
        <v>18</v>
      </c>
      <c r="AM27" s="5"/>
      <c r="AN27" s="5"/>
      <c r="AO27" s="5"/>
      <c r="AP27" s="5"/>
      <c r="AQ27" s="5"/>
      <c r="AR27" s="5"/>
      <c r="AS27" s="5"/>
      <c r="AT27" s="5"/>
      <c r="AU27" s="6" t="s">
        <v>927</v>
      </c>
      <c r="AV27" s="6" t="s">
        <v>53</v>
      </c>
      <c r="AW27" s="6" t="s">
        <v>53</v>
      </c>
      <c r="AX27" s="6" t="s">
        <v>929</v>
      </c>
      <c r="AY27" s="6" t="s">
        <v>930</v>
      </c>
      <c r="AZ27" s="6"/>
      <c r="BA27" s="6"/>
      <c r="BB27" s="6"/>
      <c r="BC27" s="6" t="s">
        <v>97</v>
      </c>
      <c r="BD27" s="6" t="s">
        <v>97</v>
      </c>
    </row>
    <row r="28" spans="1:56" ht="32" customHeight="1" x14ac:dyDescent="0.35">
      <c r="A28" s="13" t="s">
        <v>1122</v>
      </c>
      <c r="B28" s="6" t="s">
        <v>910</v>
      </c>
      <c r="C28" s="5" t="s">
        <v>1064</v>
      </c>
      <c r="D28" s="5" t="s">
        <v>834</v>
      </c>
      <c r="E28" s="5" t="s">
        <v>1123</v>
      </c>
      <c r="F28" s="5" t="s">
        <v>1064</v>
      </c>
      <c r="G28" s="5" t="s">
        <v>1017</v>
      </c>
      <c r="H28" s="5" t="s">
        <v>1124</v>
      </c>
      <c r="I28" s="5" t="s">
        <v>1125</v>
      </c>
      <c r="J28" s="17" t="s">
        <v>121</v>
      </c>
      <c r="K28" s="17" t="s">
        <v>181</v>
      </c>
      <c r="L28" s="5" t="s">
        <v>1126</v>
      </c>
      <c r="M28" s="6" t="s">
        <v>197</v>
      </c>
      <c r="N28" s="6" t="s">
        <v>809</v>
      </c>
      <c r="O28" s="6" t="s">
        <v>121</v>
      </c>
      <c r="P28" s="5" t="s">
        <v>918</v>
      </c>
      <c r="Q28" s="17" t="s">
        <v>182</v>
      </c>
      <c r="R28" s="5"/>
      <c r="S28" s="6" t="s">
        <v>1000</v>
      </c>
      <c r="T28" s="5" t="s">
        <v>1001</v>
      </c>
      <c r="U28" s="6"/>
      <c r="V28" s="6" t="s">
        <v>1002</v>
      </c>
      <c r="W28" s="6" t="s">
        <v>333</v>
      </c>
      <c r="X28" s="5" t="s">
        <v>922</v>
      </c>
      <c r="Y28" s="5" t="s">
        <v>658</v>
      </c>
      <c r="Z28" s="5" t="str">
        <f t="shared" si="0"/>
        <v>Critical</v>
      </c>
      <c r="AA28" s="5" t="s">
        <v>923</v>
      </c>
      <c r="AB28" s="6" t="s">
        <v>956</v>
      </c>
      <c r="AC28" s="6" t="s">
        <v>103</v>
      </c>
      <c r="AD28" s="5" t="s">
        <v>925</v>
      </c>
      <c r="AE28" s="5" t="s">
        <v>354</v>
      </c>
      <c r="AF28" s="5" t="s">
        <v>354</v>
      </c>
      <c r="AG28" s="5" t="s">
        <v>354</v>
      </c>
      <c r="AH28" s="5" t="s">
        <v>354</v>
      </c>
      <c r="AI28" s="6" t="str">
        <f t="shared" si="1"/>
        <v>No</v>
      </c>
      <c r="AJ28" s="6" t="s">
        <v>926</v>
      </c>
      <c r="AK28" s="6" t="s">
        <v>121</v>
      </c>
      <c r="AL28" s="6">
        <f>MATCH(AA28,{"Low","Medium","High"},0)*MATCH(AB28,{"Low","Medium","High"},0)*INDEX({3,2,2,1,1},MATCH(X28,{"Core","Vertical extension","Differentiator","Future","Adjacent"},0))</f>
        <v>18</v>
      </c>
      <c r="AM28" s="5"/>
      <c r="AN28" s="5"/>
      <c r="AO28" s="5"/>
      <c r="AP28" s="5"/>
      <c r="AQ28" s="5"/>
      <c r="AR28" s="5"/>
      <c r="AS28" s="5"/>
      <c r="AT28" s="5"/>
      <c r="AU28" s="6" t="s">
        <v>927</v>
      </c>
      <c r="AV28" s="6" t="s">
        <v>53</v>
      </c>
      <c r="AW28" s="6" t="s">
        <v>53</v>
      </c>
      <c r="AX28" s="6" t="s">
        <v>929</v>
      </c>
      <c r="AY28" s="6" t="s">
        <v>930</v>
      </c>
      <c r="AZ28" s="6"/>
      <c r="BA28" s="6"/>
      <c r="BB28" s="6"/>
      <c r="BC28" s="6" t="s">
        <v>97</v>
      </c>
      <c r="BD28" s="6" t="s">
        <v>97</v>
      </c>
    </row>
    <row r="29" spans="1:56" ht="32" customHeight="1" x14ac:dyDescent="0.35">
      <c r="A29" s="13" t="s">
        <v>1127</v>
      </c>
      <c r="B29" s="6" t="s">
        <v>910</v>
      </c>
      <c r="C29" s="5" t="s">
        <v>1064</v>
      </c>
      <c r="D29" s="5" t="s">
        <v>834</v>
      </c>
      <c r="E29" s="5" t="s">
        <v>1128</v>
      </c>
      <c r="F29" s="5" t="s">
        <v>1064</v>
      </c>
      <c r="G29" s="5" t="s">
        <v>976</v>
      </c>
      <c r="H29" s="5" t="s">
        <v>1129</v>
      </c>
      <c r="I29" s="5" t="s">
        <v>1130</v>
      </c>
      <c r="J29" s="17" t="s">
        <v>121</v>
      </c>
      <c r="K29" s="17" t="s">
        <v>181</v>
      </c>
      <c r="L29" s="5" t="s">
        <v>1131</v>
      </c>
      <c r="M29" s="6" t="s">
        <v>197</v>
      </c>
      <c r="N29" s="6" t="s">
        <v>809</v>
      </c>
      <c r="O29" s="6" t="s">
        <v>121</v>
      </c>
      <c r="P29" s="5" t="s">
        <v>918</v>
      </c>
      <c r="Q29" s="17" t="s">
        <v>182</v>
      </c>
      <c r="R29" s="5"/>
      <c r="S29" s="6" t="s">
        <v>1000</v>
      </c>
      <c r="T29" s="5" t="s">
        <v>1001</v>
      </c>
      <c r="U29" s="6"/>
      <c r="V29" s="6" t="s">
        <v>1002</v>
      </c>
      <c r="W29" s="6" t="s">
        <v>333</v>
      </c>
      <c r="X29" s="5" t="s">
        <v>922</v>
      </c>
      <c r="Y29" s="5" t="s">
        <v>658</v>
      </c>
      <c r="Z29" s="5" t="str">
        <f t="shared" si="0"/>
        <v>Critical</v>
      </c>
      <c r="AA29" s="5" t="s">
        <v>923</v>
      </c>
      <c r="AB29" s="6" t="s">
        <v>956</v>
      </c>
      <c r="AC29" s="6" t="s">
        <v>103</v>
      </c>
      <c r="AD29" s="5" t="s">
        <v>925</v>
      </c>
      <c r="AE29" s="5" t="s">
        <v>354</v>
      </c>
      <c r="AF29" s="5" t="s">
        <v>354</v>
      </c>
      <c r="AG29" s="5" t="s">
        <v>354</v>
      </c>
      <c r="AH29" s="5" t="s">
        <v>354</v>
      </c>
      <c r="AI29" s="6" t="str">
        <f t="shared" si="1"/>
        <v>No</v>
      </c>
      <c r="AJ29" s="6" t="s">
        <v>926</v>
      </c>
      <c r="AK29" s="6" t="s">
        <v>121</v>
      </c>
      <c r="AL29" s="6">
        <f>MATCH(AA29,{"Low","Medium","High"},0)*MATCH(AB29,{"Low","Medium","High"},0)*INDEX({3,2,2,1,1},MATCH(X29,{"Core","Vertical extension","Differentiator","Future","Adjacent"},0))</f>
        <v>18</v>
      </c>
      <c r="AM29" s="5"/>
      <c r="AN29" s="5"/>
      <c r="AO29" s="5"/>
      <c r="AP29" s="5"/>
      <c r="AQ29" s="5"/>
      <c r="AR29" s="5"/>
      <c r="AS29" s="5"/>
      <c r="AT29" s="5"/>
      <c r="AU29" s="6" t="s">
        <v>927</v>
      </c>
      <c r="AV29" s="6" t="s">
        <v>53</v>
      </c>
      <c r="AW29" s="6" t="s">
        <v>53</v>
      </c>
      <c r="AX29" s="6" t="s">
        <v>929</v>
      </c>
      <c r="AY29" s="6" t="s">
        <v>930</v>
      </c>
      <c r="AZ29" s="6"/>
      <c r="BA29" s="6"/>
      <c r="BB29" s="6"/>
      <c r="BC29" s="6" t="s">
        <v>97</v>
      </c>
      <c r="BD29" s="6" t="s">
        <v>97</v>
      </c>
    </row>
    <row r="30" spans="1:56" ht="32" customHeight="1" x14ac:dyDescent="0.35">
      <c r="A30" s="13" t="s">
        <v>1132</v>
      </c>
      <c r="B30" s="6" t="s">
        <v>910</v>
      </c>
      <c r="C30" s="5" t="s">
        <v>1064</v>
      </c>
      <c r="D30" s="5" t="s">
        <v>834</v>
      </c>
      <c r="E30" s="5" t="s">
        <v>1133</v>
      </c>
      <c r="F30" s="5" t="s">
        <v>1064</v>
      </c>
      <c r="G30" s="5" t="s">
        <v>1101</v>
      </c>
      <c r="H30" s="5" t="s">
        <v>1134</v>
      </c>
      <c r="I30" s="5" t="s">
        <v>1135</v>
      </c>
      <c r="J30" s="17" t="s">
        <v>121</v>
      </c>
      <c r="K30" s="17" t="s">
        <v>181</v>
      </c>
      <c r="L30" s="5" t="s">
        <v>1136</v>
      </c>
      <c r="M30" s="6" t="s">
        <v>197</v>
      </c>
      <c r="N30" s="6" t="s">
        <v>809</v>
      </c>
      <c r="O30" s="6" t="s">
        <v>121</v>
      </c>
      <c r="P30" s="5" t="s">
        <v>918</v>
      </c>
      <c r="Q30" s="17" t="s">
        <v>182</v>
      </c>
      <c r="R30" s="5"/>
      <c r="S30" s="6" t="s">
        <v>1000</v>
      </c>
      <c r="T30" s="5" t="s">
        <v>1001</v>
      </c>
      <c r="U30" s="6"/>
      <c r="V30" s="6" t="s">
        <v>1002</v>
      </c>
      <c r="W30" s="6" t="s">
        <v>333</v>
      </c>
      <c r="X30" s="5" t="s">
        <v>922</v>
      </c>
      <c r="Y30" s="5" t="s">
        <v>658</v>
      </c>
      <c r="Z30" s="5" t="str">
        <f t="shared" si="0"/>
        <v>Critical</v>
      </c>
      <c r="AA30" s="5" t="s">
        <v>923</v>
      </c>
      <c r="AB30" s="6" t="s">
        <v>956</v>
      </c>
      <c r="AC30" s="6" t="s">
        <v>103</v>
      </c>
      <c r="AD30" s="5" t="s">
        <v>925</v>
      </c>
      <c r="AE30" s="5" t="s">
        <v>354</v>
      </c>
      <c r="AF30" s="5" t="s">
        <v>354</v>
      </c>
      <c r="AG30" s="5" t="s">
        <v>354</v>
      </c>
      <c r="AH30" s="5" t="s">
        <v>354</v>
      </c>
      <c r="AI30" s="6" t="str">
        <f t="shared" si="1"/>
        <v>No</v>
      </c>
      <c r="AJ30" s="6" t="s">
        <v>926</v>
      </c>
      <c r="AK30" s="6" t="s">
        <v>121</v>
      </c>
      <c r="AL30" s="6">
        <f>MATCH(AA30,{"Low","Medium","High"},0)*MATCH(AB30,{"Low","Medium","High"},0)*INDEX({3,2,2,1,1},MATCH(X30,{"Core","Vertical extension","Differentiator","Future","Adjacent"},0))</f>
        <v>18</v>
      </c>
      <c r="AM30" s="5"/>
      <c r="AN30" s="5"/>
      <c r="AO30" s="5"/>
      <c r="AP30" s="5"/>
      <c r="AQ30" s="5"/>
      <c r="AR30" s="5"/>
      <c r="AS30" s="5"/>
      <c r="AT30" s="5"/>
      <c r="AU30" s="6" t="s">
        <v>927</v>
      </c>
      <c r="AV30" s="6" t="s">
        <v>53</v>
      </c>
      <c r="AW30" s="6" t="s">
        <v>53</v>
      </c>
      <c r="AX30" s="6" t="s">
        <v>929</v>
      </c>
      <c r="AY30" s="6" t="s">
        <v>930</v>
      </c>
      <c r="AZ30" s="6"/>
      <c r="BA30" s="6"/>
      <c r="BB30" s="6"/>
      <c r="BC30" s="6" t="s">
        <v>97</v>
      </c>
      <c r="BD30" s="6" t="s">
        <v>97</v>
      </c>
    </row>
    <row r="31" spans="1:56" ht="32" customHeight="1" x14ac:dyDescent="0.35">
      <c r="A31" s="13" t="s">
        <v>1137</v>
      </c>
      <c r="B31" s="6" t="s">
        <v>910</v>
      </c>
      <c r="C31" s="5" t="s">
        <v>1064</v>
      </c>
      <c r="D31" s="5" t="s">
        <v>841</v>
      </c>
      <c r="E31" s="5" t="s">
        <v>1138</v>
      </c>
      <c r="F31" s="5" t="s">
        <v>1064</v>
      </c>
      <c r="G31" s="5" t="s">
        <v>1017</v>
      </c>
      <c r="H31" s="5" t="s">
        <v>1139</v>
      </c>
      <c r="I31" s="5" t="s">
        <v>1140</v>
      </c>
      <c r="J31" s="17" t="s">
        <v>121</v>
      </c>
      <c r="K31" s="17" t="s">
        <v>181</v>
      </c>
      <c r="L31" s="5" t="s">
        <v>1141</v>
      </c>
      <c r="M31" s="6" t="s">
        <v>197</v>
      </c>
      <c r="N31" s="6" t="s">
        <v>809</v>
      </c>
      <c r="O31" s="6" t="s">
        <v>121</v>
      </c>
      <c r="P31" s="5" t="s">
        <v>918</v>
      </c>
      <c r="Q31" s="17" t="s">
        <v>182</v>
      </c>
      <c r="R31" s="5"/>
      <c r="S31" s="6" t="s">
        <v>1038</v>
      </c>
      <c r="T31" s="5" t="s">
        <v>1039</v>
      </c>
      <c r="U31" s="6"/>
      <c r="V31" s="6" t="s">
        <v>921</v>
      </c>
      <c r="W31" s="6" t="s">
        <v>331</v>
      </c>
      <c r="X31" s="5" t="s">
        <v>922</v>
      </c>
      <c r="Y31" s="5" t="s">
        <v>658</v>
      </c>
      <c r="Z31" s="5" t="str">
        <f t="shared" si="0"/>
        <v>Medium</v>
      </c>
      <c r="AA31" s="5" t="s">
        <v>956</v>
      </c>
      <c r="AB31" s="6" t="s">
        <v>924</v>
      </c>
      <c r="AC31" s="6" t="s">
        <v>103</v>
      </c>
      <c r="AD31" s="5" t="s">
        <v>925</v>
      </c>
      <c r="AE31" s="5" t="s">
        <v>354</v>
      </c>
      <c r="AF31" s="5" t="s">
        <v>354</v>
      </c>
      <c r="AG31" s="5" t="s">
        <v>354</v>
      </c>
      <c r="AH31" s="5" t="s">
        <v>354</v>
      </c>
      <c r="AI31" s="6" t="str">
        <f t="shared" si="1"/>
        <v>No</v>
      </c>
      <c r="AJ31" s="6" t="s">
        <v>926</v>
      </c>
      <c r="AK31" s="6" t="s">
        <v>121</v>
      </c>
      <c r="AL31" s="6">
        <f>MATCH(AA31,{"Low","Medium","High"},0)*MATCH(AB31,{"Low","Medium","High"},0)*INDEX({3,2,2,1,1},MATCH(X31,{"Core","Vertical extension","Differentiator","Future","Adjacent"},0))</f>
        <v>6</v>
      </c>
      <c r="AM31" s="5"/>
      <c r="AN31" s="5"/>
      <c r="AO31" s="5"/>
      <c r="AP31" s="5"/>
      <c r="AQ31" s="5"/>
      <c r="AR31" s="5"/>
      <c r="AS31" s="5"/>
      <c r="AT31" s="5"/>
      <c r="AU31" s="6" t="s">
        <v>927</v>
      </c>
      <c r="AV31" s="6" t="s">
        <v>53</v>
      </c>
      <c r="AW31" s="6" t="s">
        <v>53</v>
      </c>
      <c r="AX31" s="6" t="s">
        <v>929</v>
      </c>
      <c r="AY31" s="6" t="s">
        <v>930</v>
      </c>
      <c r="AZ31" s="6"/>
      <c r="BA31" s="6"/>
      <c r="BB31" s="6"/>
      <c r="BC31" s="6" t="s">
        <v>97</v>
      </c>
      <c r="BD31" s="6" t="s">
        <v>97</v>
      </c>
    </row>
    <row r="32" spans="1:56" ht="32" customHeight="1" x14ac:dyDescent="0.35">
      <c r="A32" s="13" t="s">
        <v>1142</v>
      </c>
      <c r="B32" s="6" t="s">
        <v>910</v>
      </c>
      <c r="C32" s="5" t="s">
        <v>1064</v>
      </c>
      <c r="D32" s="5" t="s">
        <v>841</v>
      </c>
      <c r="E32" s="5" t="s">
        <v>1143</v>
      </c>
      <c r="F32" s="5" t="s">
        <v>1064</v>
      </c>
      <c r="G32" s="5" t="s">
        <v>54</v>
      </c>
      <c r="H32" s="5" t="s">
        <v>1144</v>
      </c>
      <c r="I32" s="5" t="s">
        <v>1145</v>
      </c>
      <c r="J32" s="17" t="s">
        <v>121</v>
      </c>
      <c r="K32" s="17" t="s">
        <v>181</v>
      </c>
      <c r="L32" s="5" t="s">
        <v>1146</v>
      </c>
      <c r="M32" s="6" t="s">
        <v>197</v>
      </c>
      <c r="N32" s="6" t="s">
        <v>809</v>
      </c>
      <c r="O32" s="6" t="s">
        <v>121</v>
      </c>
      <c r="P32" s="5" t="s">
        <v>918</v>
      </c>
      <c r="Q32" s="17" t="s">
        <v>182</v>
      </c>
      <c r="R32" s="5"/>
      <c r="S32" s="6" t="s">
        <v>1038</v>
      </c>
      <c r="T32" s="5" t="s">
        <v>1039</v>
      </c>
      <c r="U32" s="6"/>
      <c r="V32" s="6" t="s">
        <v>921</v>
      </c>
      <c r="W32" s="6" t="s">
        <v>331</v>
      </c>
      <c r="X32" s="5" t="s">
        <v>922</v>
      </c>
      <c r="Y32" s="5" t="s">
        <v>658</v>
      </c>
      <c r="Z32" s="5" t="str">
        <f t="shared" si="0"/>
        <v>Medium</v>
      </c>
      <c r="AA32" s="5" t="s">
        <v>956</v>
      </c>
      <c r="AB32" s="6" t="s">
        <v>924</v>
      </c>
      <c r="AC32" s="6" t="s">
        <v>103</v>
      </c>
      <c r="AD32" s="5" t="s">
        <v>925</v>
      </c>
      <c r="AE32" s="5" t="s">
        <v>354</v>
      </c>
      <c r="AF32" s="5" t="s">
        <v>354</v>
      </c>
      <c r="AG32" s="5" t="s">
        <v>354</v>
      </c>
      <c r="AH32" s="5" t="s">
        <v>354</v>
      </c>
      <c r="AI32" s="6" t="str">
        <f t="shared" si="1"/>
        <v>No</v>
      </c>
      <c r="AJ32" s="6" t="s">
        <v>926</v>
      </c>
      <c r="AK32" s="6" t="s">
        <v>121</v>
      </c>
      <c r="AL32" s="6">
        <f>MATCH(AA32,{"Low","Medium","High"},0)*MATCH(AB32,{"Low","Medium","High"},0)*INDEX({3,2,2,1,1},MATCH(X32,{"Core","Vertical extension","Differentiator","Future","Adjacent"},0))</f>
        <v>6</v>
      </c>
      <c r="AM32" s="5"/>
      <c r="AN32" s="5"/>
      <c r="AO32" s="5"/>
      <c r="AP32" s="5"/>
      <c r="AQ32" s="5"/>
      <c r="AR32" s="5"/>
      <c r="AS32" s="5"/>
      <c r="AT32" s="5"/>
      <c r="AU32" s="6" t="s">
        <v>927</v>
      </c>
      <c r="AV32" s="6" t="s">
        <v>53</v>
      </c>
      <c r="AW32" s="6" t="s">
        <v>53</v>
      </c>
      <c r="AX32" s="6" t="s">
        <v>929</v>
      </c>
      <c r="AY32" s="6" t="s">
        <v>930</v>
      </c>
      <c r="AZ32" s="6"/>
      <c r="BA32" s="6" t="s">
        <v>1147</v>
      </c>
      <c r="BB32" s="6" t="s">
        <v>1148</v>
      </c>
      <c r="BC32" s="6" t="s">
        <v>97</v>
      </c>
      <c r="BD32" s="6" t="s">
        <v>97</v>
      </c>
    </row>
    <row r="33" spans="1:56" ht="32" customHeight="1" x14ac:dyDescent="0.35">
      <c r="A33" s="13" t="s">
        <v>1149</v>
      </c>
      <c r="B33" s="6" t="s">
        <v>910</v>
      </c>
      <c r="C33" s="5" t="s">
        <v>1064</v>
      </c>
      <c r="D33" s="5" t="s">
        <v>833</v>
      </c>
      <c r="E33" s="5" t="s">
        <v>1150</v>
      </c>
      <c r="F33" s="5" t="s">
        <v>1064</v>
      </c>
      <c r="G33" s="5" t="s">
        <v>1094</v>
      </c>
      <c r="H33" s="5" t="s">
        <v>1151</v>
      </c>
      <c r="I33" s="5" t="s">
        <v>1152</v>
      </c>
      <c r="J33" s="19" t="s">
        <v>151</v>
      </c>
      <c r="K33" s="17" t="s">
        <v>181</v>
      </c>
      <c r="L33" s="5" t="s">
        <v>1153</v>
      </c>
      <c r="M33" s="6" t="s">
        <v>197</v>
      </c>
      <c r="N33" s="6" t="s">
        <v>809</v>
      </c>
      <c r="O33" s="6" t="s">
        <v>151</v>
      </c>
      <c r="P33" s="5" t="s">
        <v>918</v>
      </c>
      <c r="Q33" s="17" t="s">
        <v>182</v>
      </c>
      <c r="R33" s="5"/>
      <c r="S33" s="6" t="s">
        <v>919</v>
      </c>
      <c r="T33" s="5" t="s">
        <v>920</v>
      </c>
      <c r="U33" s="6"/>
      <c r="V33" s="6" t="s">
        <v>921</v>
      </c>
      <c r="W33" s="6" t="s">
        <v>331</v>
      </c>
      <c r="X33" s="5" t="s">
        <v>922</v>
      </c>
      <c r="Y33" s="5" t="s">
        <v>658</v>
      </c>
      <c r="Z33" s="5" t="str">
        <f t="shared" si="0"/>
        <v>Medium</v>
      </c>
      <c r="AA33" s="5" t="s">
        <v>956</v>
      </c>
      <c r="AB33" s="6" t="s">
        <v>924</v>
      </c>
      <c r="AC33" s="6" t="s">
        <v>11</v>
      </c>
      <c r="AD33" s="5" t="s">
        <v>925</v>
      </c>
      <c r="AE33" s="5" t="s">
        <v>354</v>
      </c>
      <c r="AF33" s="5" t="s">
        <v>354</v>
      </c>
      <c r="AG33" s="5" t="s">
        <v>354</v>
      </c>
      <c r="AH33" s="5" t="s">
        <v>354</v>
      </c>
      <c r="AI33" s="6" t="str">
        <f t="shared" si="1"/>
        <v>No</v>
      </c>
      <c r="AJ33" s="6" t="s">
        <v>926</v>
      </c>
      <c r="AK33" s="6" t="s">
        <v>151</v>
      </c>
      <c r="AL33" s="6">
        <f>MATCH(AA33,{"Low","Medium","High"},0)*MATCH(AB33,{"Low","Medium","High"},0)*INDEX({3,2,2,1,1},MATCH(X33,{"Core","Vertical extension","Differentiator","Future","Adjacent"},0))</f>
        <v>6</v>
      </c>
      <c r="AM33" s="5"/>
      <c r="AN33" s="5"/>
      <c r="AO33" s="5"/>
      <c r="AP33" s="5"/>
      <c r="AQ33" s="5"/>
      <c r="AR33" s="5"/>
      <c r="AS33" s="5"/>
      <c r="AT33" s="5"/>
      <c r="AU33" s="6" t="s">
        <v>927</v>
      </c>
      <c r="AV33" s="6" t="s">
        <v>53</v>
      </c>
      <c r="AW33" s="6" t="s">
        <v>53</v>
      </c>
      <c r="AX33" s="6" t="s">
        <v>929</v>
      </c>
      <c r="AY33" s="6" t="s">
        <v>930</v>
      </c>
      <c r="AZ33" s="6"/>
      <c r="BA33" s="6"/>
      <c r="BB33" s="6"/>
      <c r="BC33" s="6" t="s">
        <v>97</v>
      </c>
      <c r="BD33" s="6" t="s">
        <v>97</v>
      </c>
    </row>
    <row r="34" spans="1:56" ht="32" customHeight="1" x14ac:dyDescent="0.35">
      <c r="A34" s="13" t="s">
        <v>1154</v>
      </c>
      <c r="B34" s="6" t="s">
        <v>910</v>
      </c>
      <c r="C34" s="5" t="s">
        <v>1064</v>
      </c>
      <c r="D34" s="5" t="s">
        <v>825</v>
      </c>
      <c r="E34" s="5" t="s">
        <v>1155</v>
      </c>
      <c r="F34" s="5" t="s">
        <v>1064</v>
      </c>
      <c r="G34" s="5" t="s">
        <v>459</v>
      </c>
      <c r="H34" s="5" t="s">
        <v>1156</v>
      </c>
      <c r="I34" s="5" t="s">
        <v>1157</v>
      </c>
      <c r="J34" s="17" t="s">
        <v>121</v>
      </c>
      <c r="K34" s="17" t="s">
        <v>181</v>
      </c>
      <c r="L34" s="5" t="s">
        <v>1158</v>
      </c>
      <c r="M34" s="6" t="s">
        <v>197</v>
      </c>
      <c r="N34" s="6" t="s">
        <v>809</v>
      </c>
      <c r="O34" s="6" t="s">
        <v>121</v>
      </c>
      <c r="P34" s="5" t="s">
        <v>918</v>
      </c>
      <c r="Q34" s="17" t="s">
        <v>182</v>
      </c>
      <c r="R34" s="5"/>
      <c r="S34" s="6" t="s">
        <v>1053</v>
      </c>
      <c r="T34" s="5" t="s">
        <v>1054</v>
      </c>
      <c r="U34" s="6"/>
      <c r="V34" s="6" t="s">
        <v>1055</v>
      </c>
      <c r="W34" s="6" t="s">
        <v>333</v>
      </c>
      <c r="X34" s="5" t="s">
        <v>922</v>
      </c>
      <c r="Y34" s="5" t="s">
        <v>658</v>
      </c>
      <c r="Z34" s="5" t="str">
        <f t="shared" si="0"/>
        <v>Critical</v>
      </c>
      <c r="AA34" s="5" t="s">
        <v>923</v>
      </c>
      <c r="AB34" s="6" t="s">
        <v>923</v>
      </c>
      <c r="AC34" s="6" t="s">
        <v>103</v>
      </c>
      <c r="AD34" s="5" t="s">
        <v>925</v>
      </c>
      <c r="AE34" s="5" t="s">
        <v>354</v>
      </c>
      <c r="AF34" s="5" t="s">
        <v>354</v>
      </c>
      <c r="AG34" s="5" t="s">
        <v>354</v>
      </c>
      <c r="AH34" s="5" t="s">
        <v>354</v>
      </c>
      <c r="AI34" s="6" t="str">
        <f t="shared" si="1"/>
        <v>No</v>
      </c>
      <c r="AJ34" s="6" t="s">
        <v>926</v>
      </c>
      <c r="AK34" s="6" t="s">
        <v>121</v>
      </c>
      <c r="AL34" s="6">
        <f>MATCH(AA34,{"Low","Medium","High"},0)*MATCH(AB34,{"Low","Medium","High"},0)*INDEX({3,2,2,1,1},MATCH(X34,{"Core","Vertical extension","Differentiator","Future","Adjacent"},0))</f>
        <v>27</v>
      </c>
      <c r="AM34" s="5"/>
      <c r="AN34" s="5"/>
      <c r="AO34" s="5"/>
      <c r="AP34" s="5"/>
      <c r="AQ34" s="5"/>
      <c r="AR34" s="5"/>
      <c r="AS34" s="5"/>
      <c r="AT34" s="5"/>
      <c r="AU34" s="6" t="s">
        <v>927</v>
      </c>
      <c r="AV34" s="6" t="s">
        <v>53</v>
      </c>
      <c r="AW34" s="6" t="s">
        <v>53</v>
      </c>
      <c r="AX34" s="6" t="s">
        <v>929</v>
      </c>
      <c r="AY34" s="6" t="s">
        <v>930</v>
      </c>
      <c r="AZ34" s="6"/>
      <c r="BA34" s="6"/>
      <c r="BB34" s="6"/>
      <c r="BC34" s="6" t="s">
        <v>97</v>
      </c>
      <c r="BD34" s="6" t="s">
        <v>97</v>
      </c>
    </row>
    <row r="35" spans="1:56" ht="32" customHeight="1" x14ac:dyDescent="0.35">
      <c r="A35" s="13" t="s">
        <v>1159</v>
      </c>
      <c r="B35" s="6" t="s">
        <v>910</v>
      </c>
      <c r="C35" s="5" t="s">
        <v>1064</v>
      </c>
      <c r="D35" s="5" t="s">
        <v>825</v>
      </c>
      <c r="E35" s="5" t="s">
        <v>1160</v>
      </c>
      <c r="F35" s="5" t="s">
        <v>1064</v>
      </c>
      <c r="G35" s="5" t="s">
        <v>1161</v>
      </c>
      <c r="H35" s="5" t="s">
        <v>1162</v>
      </c>
      <c r="I35" s="5" t="s">
        <v>1163</v>
      </c>
      <c r="J35" s="16" t="s">
        <v>73</v>
      </c>
      <c r="K35" s="17" t="s">
        <v>181</v>
      </c>
      <c r="L35" s="5" t="s">
        <v>1164</v>
      </c>
      <c r="M35" s="6" t="s">
        <v>197</v>
      </c>
      <c r="N35" s="6" t="s">
        <v>809</v>
      </c>
      <c r="O35" s="6" t="s">
        <v>73</v>
      </c>
      <c r="P35" s="5" t="s">
        <v>918</v>
      </c>
      <c r="Q35" s="17" t="s">
        <v>182</v>
      </c>
      <c r="R35" s="5"/>
      <c r="S35" s="6" t="s">
        <v>1053</v>
      </c>
      <c r="T35" s="5" t="s">
        <v>1054</v>
      </c>
      <c r="U35" s="6"/>
      <c r="V35" s="6" t="s">
        <v>1055</v>
      </c>
      <c r="W35" s="6" t="s">
        <v>333</v>
      </c>
      <c r="X35" s="5" t="s">
        <v>922</v>
      </c>
      <c r="Y35" s="5" t="s">
        <v>658</v>
      </c>
      <c r="Z35" s="5" t="str">
        <f t="shared" si="0"/>
        <v>Critical</v>
      </c>
      <c r="AA35" s="5" t="s">
        <v>923</v>
      </c>
      <c r="AB35" s="6" t="s">
        <v>923</v>
      </c>
      <c r="AC35" s="6" t="s">
        <v>78</v>
      </c>
      <c r="AD35" s="5" t="s">
        <v>925</v>
      </c>
      <c r="AE35" s="5" t="s">
        <v>354</v>
      </c>
      <c r="AF35" s="5" t="s">
        <v>354</v>
      </c>
      <c r="AG35" s="5" t="s">
        <v>354</v>
      </c>
      <c r="AH35" s="5" t="s">
        <v>354</v>
      </c>
      <c r="AI35" s="6" t="str">
        <f t="shared" si="1"/>
        <v>No</v>
      </c>
      <c r="AJ35" s="6" t="s">
        <v>926</v>
      </c>
      <c r="AK35" s="6" t="s">
        <v>73</v>
      </c>
      <c r="AL35" s="6">
        <f>MATCH(AA35,{"Low","Medium","High"},0)*MATCH(AB35,{"Low","Medium","High"},0)*INDEX({3,2,2,1,1},MATCH(X35,{"Core","Vertical extension","Differentiator","Future","Adjacent"},0))</f>
        <v>27</v>
      </c>
      <c r="AM35" s="5"/>
      <c r="AN35" s="5"/>
      <c r="AO35" s="5"/>
      <c r="AP35" s="5"/>
      <c r="AQ35" s="5"/>
      <c r="AR35" s="5"/>
      <c r="AS35" s="5"/>
      <c r="AT35" s="5"/>
      <c r="AU35" s="6" t="s">
        <v>927</v>
      </c>
      <c r="AV35" s="6" t="s">
        <v>53</v>
      </c>
      <c r="AW35" s="6" t="s">
        <v>53</v>
      </c>
      <c r="AX35" s="6" t="s">
        <v>929</v>
      </c>
      <c r="AY35" s="6" t="s">
        <v>930</v>
      </c>
      <c r="AZ35" s="6"/>
      <c r="BA35" s="6"/>
      <c r="BB35" s="6"/>
      <c r="BC35" s="6" t="s">
        <v>97</v>
      </c>
      <c r="BD35" s="6" t="s">
        <v>97</v>
      </c>
    </row>
    <row r="36" spans="1:56" ht="32" customHeight="1" x14ac:dyDescent="0.35">
      <c r="A36" s="13" t="s">
        <v>1165</v>
      </c>
      <c r="B36" s="6" t="s">
        <v>910</v>
      </c>
      <c r="C36" s="5" t="s">
        <v>1064</v>
      </c>
      <c r="D36" s="5" t="s">
        <v>831</v>
      </c>
      <c r="E36" s="5" t="s">
        <v>1166</v>
      </c>
      <c r="F36" s="5" t="s">
        <v>1064</v>
      </c>
      <c r="G36" s="5" t="s">
        <v>951</v>
      </c>
      <c r="H36" s="5" t="s">
        <v>1167</v>
      </c>
      <c r="I36" s="5" t="s">
        <v>1168</v>
      </c>
      <c r="J36" s="17" t="s">
        <v>121</v>
      </c>
      <c r="K36" s="17" t="s">
        <v>181</v>
      </c>
      <c r="L36" s="5" t="s">
        <v>1169</v>
      </c>
      <c r="M36" s="6" t="s">
        <v>197</v>
      </c>
      <c r="N36" s="6" t="s">
        <v>809</v>
      </c>
      <c r="O36" s="6" t="s">
        <v>121</v>
      </c>
      <c r="P36" s="5" t="s">
        <v>918</v>
      </c>
      <c r="Q36" s="17" t="s">
        <v>182</v>
      </c>
      <c r="R36" s="5"/>
      <c r="S36" s="6" t="s">
        <v>964</v>
      </c>
      <c r="T36" s="5" t="s">
        <v>965</v>
      </c>
      <c r="U36" s="6"/>
      <c r="V36" s="6" t="s">
        <v>966</v>
      </c>
      <c r="W36" s="6" t="s">
        <v>333</v>
      </c>
      <c r="X36" s="5" t="s">
        <v>922</v>
      </c>
      <c r="Y36" s="5" t="s">
        <v>658</v>
      </c>
      <c r="Z36" s="5" t="str">
        <f t="shared" si="0"/>
        <v>Medium</v>
      </c>
      <c r="AA36" s="5" t="s">
        <v>956</v>
      </c>
      <c r="AB36" s="6" t="s">
        <v>924</v>
      </c>
      <c r="AC36" s="6" t="s">
        <v>103</v>
      </c>
      <c r="AD36" s="5" t="s">
        <v>925</v>
      </c>
      <c r="AE36" s="5" t="s">
        <v>354</v>
      </c>
      <c r="AF36" s="5" t="s">
        <v>354</v>
      </c>
      <c r="AG36" s="5" t="s">
        <v>354</v>
      </c>
      <c r="AH36" s="5" t="s">
        <v>354</v>
      </c>
      <c r="AI36" s="6" t="str">
        <f t="shared" si="1"/>
        <v>No</v>
      </c>
      <c r="AJ36" s="6" t="s">
        <v>926</v>
      </c>
      <c r="AK36" s="6" t="s">
        <v>121</v>
      </c>
      <c r="AL36" s="6">
        <f>MATCH(AA36,{"Low","Medium","High"},0)*MATCH(AB36,{"Low","Medium","High"},0)*INDEX({3,2,2,1,1},MATCH(X36,{"Core","Vertical extension","Differentiator","Future","Adjacent"},0))</f>
        <v>6</v>
      </c>
      <c r="AM36" s="5"/>
      <c r="AN36" s="5"/>
      <c r="AO36" s="5"/>
      <c r="AP36" s="5"/>
      <c r="AQ36" s="5"/>
      <c r="AR36" s="5"/>
      <c r="AS36" s="5"/>
      <c r="AT36" s="5"/>
      <c r="AU36" s="6" t="s">
        <v>927</v>
      </c>
      <c r="AV36" s="6" t="s">
        <v>53</v>
      </c>
      <c r="AW36" s="6" t="s">
        <v>53</v>
      </c>
      <c r="AX36" s="6" t="s">
        <v>929</v>
      </c>
      <c r="AY36" s="6" t="s">
        <v>930</v>
      </c>
      <c r="AZ36" s="6"/>
      <c r="BA36" s="6"/>
      <c r="BB36" s="6"/>
      <c r="BC36" s="6" t="s">
        <v>97</v>
      </c>
      <c r="BD36" s="6" t="s">
        <v>97</v>
      </c>
    </row>
    <row r="37" spans="1:56" ht="32" customHeight="1" x14ac:dyDescent="0.35">
      <c r="A37" s="13" t="s">
        <v>1170</v>
      </c>
      <c r="B37" s="6" t="s">
        <v>910</v>
      </c>
      <c r="C37" s="5" t="s">
        <v>1064</v>
      </c>
      <c r="D37" s="5" t="s">
        <v>831</v>
      </c>
      <c r="E37" s="5" t="s">
        <v>1171</v>
      </c>
      <c r="F37" s="5" t="s">
        <v>1064</v>
      </c>
      <c r="G37" s="5" t="s">
        <v>951</v>
      </c>
      <c r="H37" s="5" t="s">
        <v>1172</v>
      </c>
      <c r="I37" s="5" t="s">
        <v>1173</v>
      </c>
      <c r="J37" s="19" t="s">
        <v>151</v>
      </c>
      <c r="K37" s="17" t="s">
        <v>181</v>
      </c>
      <c r="L37" s="5" t="s">
        <v>1174</v>
      </c>
      <c r="M37" s="6" t="s">
        <v>197</v>
      </c>
      <c r="N37" s="6" t="s">
        <v>809</v>
      </c>
      <c r="O37" s="6" t="s">
        <v>151</v>
      </c>
      <c r="P37" s="5" t="s">
        <v>1115</v>
      </c>
      <c r="Q37" s="17" t="s">
        <v>182</v>
      </c>
      <c r="R37" s="5" t="s">
        <v>1115</v>
      </c>
      <c r="S37" s="6" t="s">
        <v>964</v>
      </c>
      <c r="T37" s="5" t="s">
        <v>965</v>
      </c>
      <c r="U37" s="6"/>
      <c r="V37" s="6" t="s">
        <v>966</v>
      </c>
      <c r="W37" s="6" t="s">
        <v>333</v>
      </c>
      <c r="X37" s="5" t="s">
        <v>922</v>
      </c>
      <c r="Y37" s="5" t="s">
        <v>658</v>
      </c>
      <c r="Z37" s="5" t="str">
        <f t="shared" si="0"/>
        <v>Medium</v>
      </c>
      <c r="AA37" s="5" t="s">
        <v>956</v>
      </c>
      <c r="AB37" s="6" t="s">
        <v>924</v>
      </c>
      <c r="AC37" s="6" t="s">
        <v>11</v>
      </c>
      <c r="AD37" s="5" t="s">
        <v>925</v>
      </c>
      <c r="AE37" s="5" t="s">
        <v>354</v>
      </c>
      <c r="AF37" s="5" t="s">
        <v>354</v>
      </c>
      <c r="AG37" s="5" t="s">
        <v>354</v>
      </c>
      <c r="AH37" s="5" t="s">
        <v>354</v>
      </c>
      <c r="AI37" s="6" t="str">
        <f t="shared" si="1"/>
        <v>No</v>
      </c>
      <c r="AJ37" s="6" t="s">
        <v>926</v>
      </c>
      <c r="AK37" s="6" t="s">
        <v>151</v>
      </c>
      <c r="AL37" s="6">
        <f>MATCH(AA37,{"Low","Medium","High"},0)*MATCH(AB37,{"Low","Medium","High"},0)*INDEX({3,2,2,1,1},MATCH(X37,{"Core","Vertical extension","Differentiator","Future","Adjacent"},0))</f>
        <v>6</v>
      </c>
      <c r="AM37" s="5"/>
      <c r="AN37" s="5"/>
      <c r="AO37" s="5"/>
      <c r="AP37" s="5"/>
      <c r="AQ37" s="5"/>
      <c r="AR37" s="5"/>
      <c r="AS37" s="5"/>
      <c r="AT37" s="5"/>
      <c r="AU37" s="6" t="s">
        <v>927</v>
      </c>
      <c r="AV37" s="6" t="s">
        <v>53</v>
      </c>
      <c r="AW37" s="6" t="s">
        <v>53</v>
      </c>
      <c r="AX37" s="6" t="s">
        <v>1003</v>
      </c>
      <c r="AY37" s="6" t="s">
        <v>930</v>
      </c>
      <c r="AZ37" s="6"/>
      <c r="BA37" s="6"/>
      <c r="BB37" s="6"/>
      <c r="BC37" s="6" t="s">
        <v>97</v>
      </c>
      <c r="BD37" s="6" t="s">
        <v>97</v>
      </c>
    </row>
    <row r="38" spans="1:56" ht="32" customHeight="1" x14ac:dyDescent="0.35">
      <c r="A38" s="13" t="s">
        <v>1175</v>
      </c>
      <c r="B38" s="6" t="s">
        <v>910</v>
      </c>
      <c r="C38" s="5" t="s">
        <v>1064</v>
      </c>
      <c r="D38" s="5" t="s">
        <v>837</v>
      </c>
      <c r="E38" s="5" t="s">
        <v>1176</v>
      </c>
      <c r="F38" s="5" t="s">
        <v>1064</v>
      </c>
      <c r="G38" s="5" t="s">
        <v>459</v>
      </c>
      <c r="H38" s="5" t="s">
        <v>1177</v>
      </c>
      <c r="I38" s="5" t="s">
        <v>1178</v>
      </c>
      <c r="J38" s="17" t="s">
        <v>121</v>
      </c>
      <c r="K38" s="17" t="s">
        <v>181</v>
      </c>
      <c r="L38" s="5" t="s">
        <v>1179</v>
      </c>
      <c r="M38" s="6" t="s">
        <v>197</v>
      </c>
      <c r="N38" s="6" t="s">
        <v>809</v>
      </c>
      <c r="O38" s="6" t="s">
        <v>121</v>
      </c>
      <c r="P38" s="5" t="s">
        <v>918</v>
      </c>
      <c r="Q38" s="17" t="s">
        <v>182</v>
      </c>
      <c r="R38" s="5"/>
      <c r="S38" s="6" t="s">
        <v>937</v>
      </c>
      <c r="T38" s="5" t="s">
        <v>938</v>
      </c>
      <c r="U38" s="6"/>
      <c r="V38" s="6" t="s">
        <v>939</v>
      </c>
      <c r="W38" s="6" t="s">
        <v>331</v>
      </c>
      <c r="X38" s="5" t="s">
        <v>922</v>
      </c>
      <c r="Y38" s="5" t="s">
        <v>658</v>
      </c>
      <c r="Z38" s="5" t="str">
        <f t="shared" si="0"/>
        <v>High</v>
      </c>
      <c r="AA38" s="5" t="s">
        <v>923</v>
      </c>
      <c r="AB38" s="6" t="s">
        <v>924</v>
      </c>
      <c r="AC38" s="6" t="s">
        <v>103</v>
      </c>
      <c r="AD38" s="5" t="s">
        <v>925</v>
      </c>
      <c r="AE38" s="5" t="s">
        <v>354</v>
      </c>
      <c r="AF38" s="5" t="s">
        <v>354</v>
      </c>
      <c r="AG38" s="5" t="s">
        <v>354</v>
      </c>
      <c r="AH38" s="5" t="s">
        <v>354</v>
      </c>
      <c r="AI38" s="6" t="str">
        <f t="shared" si="1"/>
        <v>No</v>
      </c>
      <c r="AJ38" s="6" t="s">
        <v>926</v>
      </c>
      <c r="AK38" s="6" t="s">
        <v>121</v>
      </c>
      <c r="AL38" s="6">
        <f>MATCH(AA38,{"Low","Medium","High"},0)*MATCH(AB38,{"Low","Medium","High"},0)*INDEX({3,2,2,1,1},MATCH(X38,{"Core","Vertical extension","Differentiator","Future","Adjacent"},0))</f>
        <v>9</v>
      </c>
      <c r="AM38" s="5"/>
      <c r="AN38" s="5"/>
      <c r="AO38" s="5"/>
      <c r="AP38" s="5"/>
      <c r="AQ38" s="5"/>
      <c r="AR38" s="5"/>
      <c r="AS38" s="5"/>
      <c r="AT38" s="5"/>
      <c r="AU38" s="6" t="s">
        <v>927</v>
      </c>
      <c r="AV38" s="6" t="s">
        <v>53</v>
      </c>
      <c r="AW38" s="6" t="s">
        <v>53</v>
      </c>
      <c r="AX38" s="6" t="s">
        <v>929</v>
      </c>
      <c r="AY38" s="6" t="s">
        <v>930</v>
      </c>
      <c r="AZ38" s="6"/>
      <c r="BA38" s="6"/>
      <c r="BB38" s="6"/>
      <c r="BC38" s="6" t="s">
        <v>97</v>
      </c>
      <c r="BD38" s="6" t="s">
        <v>97</v>
      </c>
    </row>
    <row r="39" spans="1:56" ht="32" customHeight="1" x14ac:dyDescent="0.35">
      <c r="A39" s="13" t="s">
        <v>1180</v>
      </c>
      <c r="B39" s="6" t="s">
        <v>910</v>
      </c>
      <c r="C39" s="5" t="s">
        <v>1181</v>
      </c>
      <c r="D39" s="5" t="s">
        <v>833</v>
      </c>
      <c r="E39" s="5" t="s">
        <v>1182</v>
      </c>
      <c r="F39" s="5" t="s">
        <v>1183</v>
      </c>
      <c r="G39" s="5" t="s">
        <v>1184</v>
      </c>
      <c r="H39" s="5" t="s">
        <v>1185</v>
      </c>
      <c r="I39" s="5" t="s">
        <v>1186</v>
      </c>
      <c r="J39" s="16" t="s">
        <v>73</v>
      </c>
      <c r="K39" s="17" t="s">
        <v>181</v>
      </c>
      <c r="L39" s="5" t="s">
        <v>1187</v>
      </c>
      <c r="M39" s="6" t="s">
        <v>197</v>
      </c>
      <c r="N39" s="6" t="s">
        <v>809</v>
      </c>
      <c r="O39" s="6" t="s">
        <v>73</v>
      </c>
      <c r="P39" s="5" t="s">
        <v>918</v>
      </c>
      <c r="Q39" s="17" t="s">
        <v>182</v>
      </c>
      <c r="R39" s="5"/>
      <c r="S39" s="6" t="s">
        <v>919</v>
      </c>
      <c r="T39" s="5" t="s">
        <v>920</v>
      </c>
      <c r="U39" s="6"/>
      <c r="V39" s="6" t="s">
        <v>921</v>
      </c>
      <c r="W39" s="6" t="s">
        <v>331</v>
      </c>
      <c r="X39" s="5" t="s">
        <v>922</v>
      </c>
      <c r="Y39" s="5" t="s">
        <v>658</v>
      </c>
      <c r="Z39" s="5" t="str">
        <f t="shared" si="0"/>
        <v>High</v>
      </c>
      <c r="AA39" s="5" t="s">
        <v>923</v>
      </c>
      <c r="AB39" s="6" t="s">
        <v>924</v>
      </c>
      <c r="AC39" s="6" t="s">
        <v>78</v>
      </c>
      <c r="AD39" s="5" t="s">
        <v>925</v>
      </c>
      <c r="AE39" s="5" t="s">
        <v>354</v>
      </c>
      <c r="AF39" s="5" t="s">
        <v>354</v>
      </c>
      <c r="AG39" s="5" t="s">
        <v>354</v>
      </c>
      <c r="AH39" s="5" t="s">
        <v>354</v>
      </c>
      <c r="AI39" s="6" t="str">
        <f t="shared" si="1"/>
        <v>No</v>
      </c>
      <c r="AJ39" s="6" t="s">
        <v>926</v>
      </c>
      <c r="AK39" s="6" t="s">
        <v>73</v>
      </c>
      <c r="AL39" s="6">
        <f>MATCH(AA39,{"Low","Medium","High"},0)*MATCH(AB39,{"Low","Medium","High"},0)*INDEX({3,2,2,1,1},MATCH(X39,{"Core","Vertical extension","Differentiator","Future","Adjacent"},0))</f>
        <v>9</v>
      </c>
      <c r="AM39" s="5"/>
      <c r="AN39" s="5"/>
      <c r="AO39" s="5"/>
      <c r="AP39" s="5"/>
      <c r="AQ39" s="5"/>
      <c r="AR39" s="5"/>
      <c r="AS39" s="5"/>
      <c r="AT39" s="5"/>
      <c r="AU39" s="6" t="s">
        <v>927</v>
      </c>
      <c r="AV39" s="6" t="s">
        <v>1188</v>
      </c>
      <c r="AW39" s="6" t="s">
        <v>1188</v>
      </c>
      <c r="AX39" s="6" t="s">
        <v>929</v>
      </c>
      <c r="AY39" s="6" t="s">
        <v>930</v>
      </c>
      <c r="AZ39" s="6"/>
      <c r="BA39" s="6" t="s">
        <v>1189</v>
      </c>
      <c r="BB39" s="6" t="s">
        <v>1190</v>
      </c>
      <c r="BC39" s="6" t="s">
        <v>97</v>
      </c>
      <c r="BD39" s="6" t="s">
        <v>97</v>
      </c>
    </row>
    <row r="40" spans="1:56" ht="32" customHeight="1" x14ac:dyDescent="0.35">
      <c r="A40" s="13" t="s">
        <v>1191</v>
      </c>
      <c r="B40" s="6" t="s">
        <v>910</v>
      </c>
      <c r="C40" s="5" t="s">
        <v>1181</v>
      </c>
      <c r="D40" s="5" t="s">
        <v>829</v>
      </c>
      <c r="E40" s="5" t="s">
        <v>1192</v>
      </c>
      <c r="F40" s="5" t="s">
        <v>1193</v>
      </c>
      <c r="G40" s="5" t="s">
        <v>1194</v>
      </c>
      <c r="H40" s="5" t="s">
        <v>1195</v>
      </c>
      <c r="I40" s="5" t="s">
        <v>1196</v>
      </c>
      <c r="J40" s="16" t="s">
        <v>73</v>
      </c>
      <c r="K40" s="17" t="s">
        <v>181</v>
      </c>
      <c r="L40" s="5" t="s">
        <v>1197</v>
      </c>
      <c r="M40" s="6" t="s">
        <v>197</v>
      </c>
      <c r="N40" s="6" t="s">
        <v>809</v>
      </c>
      <c r="O40" s="6" t="s">
        <v>73</v>
      </c>
      <c r="P40" s="5" t="s">
        <v>918</v>
      </c>
      <c r="Q40" s="18" t="s">
        <v>186</v>
      </c>
      <c r="R40" s="5" t="s">
        <v>1198</v>
      </c>
      <c r="S40" s="6" t="s">
        <v>980</v>
      </c>
      <c r="T40" s="5" t="s">
        <v>981</v>
      </c>
      <c r="U40" s="6"/>
      <c r="V40" s="6" t="s">
        <v>982</v>
      </c>
      <c r="W40" s="6" t="s">
        <v>331</v>
      </c>
      <c r="X40" s="5" t="s">
        <v>922</v>
      </c>
      <c r="Y40" s="5" t="s">
        <v>658</v>
      </c>
      <c r="Z40" s="5" t="str">
        <f t="shared" si="0"/>
        <v>High</v>
      </c>
      <c r="AA40" s="5" t="s">
        <v>923</v>
      </c>
      <c r="AB40" s="6" t="s">
        <v>924</v>
      </c>
      <c r="AC40" s="6" t="s">
        <v>78</v>
      </c>
      <c r="AD40" s="5" t="s">
        <v>940</v>
      </c>
      <c r="AE40" s="5" t="s">
        <v>354</v>
      </c>
      <c r="AF40" s="5" t="s">
        <v>354</v>
      </c>
      <c r="AG40" s="5" t="s">
        <v>354</v>
      </c>
      <c r="AH40" s="5" t="s">
        <v>354</v>
      </c>
      <c r="AI40" s="6" t="str">
        <f t="shared" si="1"/>
        <v>No</v>
      </c>
      <c r="AJ40" s="6" t="s">
        <v>941</v>
      </c>
      <c r="AK40" s="6" t="s">
        <v>73</v>
      </c>
      <c r="AL40" s="6">
        <f>MATCH(AA40,{"Low","Medium","High"},0)*MATCH(AB40,{"Low","Medium","High"},0)*INDEX({3,2,2,1,1},MATCH(X40,{"Core","Vertical extension","Differentiator","Future","Adjacent"},0))</f>
        <v>9</v>
      </c>
      <c r="AM40" s="5"/>
      <c r="AN40" s="5"/>
      <c r="AO40" s="5"/>
      <c r="AP40" s="5"/>
      <c r="AQ40" s="5"/>
      <c r="AR40" s="5"/>
      <c r="AS40" s="5"/>
      <c r="AT40" s="5"/>
      <c r="AU40" s="6" t="s">
        <v>927</v>
      </c>
      <c r="AV40" s="6" t="s">
        <v>1188</v>
      </c>
      <c r="AW40" s="6" t="s">
        <v>1188</v>
      </c>
      <c r="AX40" s="6" t="s">
        <v>929</v>
      </c>
      <c r="AY40" s="6" t="s">
        <v>930</v>
      </c>
      <c r="AZ40" s="6"/>
      <c r="BA40" s="6" t="s">
        <v>1199</v>
      </c>
      <c r="BB40" s="6" t="s">
        <v>1190</v>
      </c>
      <c r="BC40" s="6" t="s">
        <v>97</v>
      </c>
      <c r="BD40" s="6" t="s">
        <v>97</v>
      </c>
    </row>
    <row r="41" spans="1:56" ht="32" customHeight="1" x14ac:dyDescent="0.35">
      <c r="A41" s="13" t="s">
        <v>1200</v>
      </c>
      <c r="B41" s="6" t="s">
        <v>910</v>
      </c>
      <c r="C41" s="5" t="s">
        <v>1181</v>
      </c>
      <c r="D41" s="5" t="s">
        <v>829</v>
      </c>
      <c r="E41" s="5" t="s">
        <v>1201</v>
      </c>
      <c r="F41" s="5" t="s">
        <v>1183</v>
      </c>
      <c r="G41" s="5" t="s">
        <v>1101</v>
      </c>
      <c r="H41" s="5" t="s">
        <v>1202</v>
      </c>
      <c r="I41" s="5" t="s">
        <v>1203</v>
      </c>
      <c r="J41" s="16" t="s">
        <v>73</v>
      </c>
      <c r="K41" s="17" t="s">
        <v>181</v>
      </c>
      <c r="L41" s="5" t="s">
        <v>1204</v>
      </c>
      <c r="M41" s="6" t="s">
        <v>197</v>
      </c>
      <c r="N41" s="6" t="s">
        <v>809</v>
      </c>
      <c r="O41" s="6" t="s">
        <v>73</v>
      </c>
      <c r="P41" s="5" t="s">
        <v>918</v>
      </c>
      <c r="Q41" s="17" t="s">
        <v>182</v>
      </c>
      <c r="R41" s="5"/>
      <c r="S41" s="6" t="s">
        <v>980</v>
      </c>
      <c r="T41" s="5" t="s">
        <v>981</v>
      </c>
      <c r="U41" s="6"/>
      <c r="V41" s="6" t="s">
        <v>982</v>
      </c>
      <c r="W41" s="6" t="s">
        <v>331</v>
      </c>
      <c r="X41" s="5" t="s">
        <v>922</v>
      </c>
      <c r="Y41" s="5" t="s">
        <v>658</v>
      </c>
      <c r="Z41" s="5" t="str">
        <f t="shared" si="0"/>
        <v>High</v>
      </c>
      <c r="AA41" s="5" t="s">
        <v>923</v>
      </c>
      <c r="AB41" s="6" t="s">
        <v>924</v>
      </c>
      <c r="AC41" s="6" t="s">
        <v>78</v>
      </c>
      <c r="AD41" s="5" t="s">
        <v>925</v>
      </c>
      <c r="AE41" s="5" t="s">
        <v>354</v>
      </c>
      <c r="AF41" s="5" t="s">
        <v>354</v>
      </c>
      <c r="AG41" s="5" t="s">
        <v>354</v>
      </c>
      <c r="AH41" s="5" t="s">
        <v>354</v>
      </c>
      <c r="AI41" s="6" t="str">
        <f t="shared" si="1"/>
        <v>No</v>
      </c>
      <c r="AJ41" s="6" t="s">
        <v>926</v>
      </c>
      <c r="AK41" s="6" t="s">
        <v>73</v>
      </c>
      <c r="AL41" s="6">
        <f>MATCH(AA41,{"Low","Medium","High"},0)*MATCH(AB41,{"Low","Medium","High"},0)*INDEX({3,2,2,1,1},MATCH(X41,{"Core","Vertical extension","Differentiator","Future","Adjacent"},0))</f>
        <v>9</v>
      </c>
      <c r="AM41" s="5"/>
      <c r="AN41" s="5"/>
      <c r="AO41" s="5"/>
      <c r="AP41" s="5"/>
      <c r="AQ41" s="5"/>
      <c r="AR41" s="5"/>
      <c r="AS41" s="5"/>
      <c r="AT41" s="5"/>
      <c r="AU41" s="6" t="s">
        <v>927</v>
      </c>
      <c r="AV41" s="6" t="s">
        <v>1188</v>
      </c>
      <c r="AW41" s="6" t="s">
        <v>1188</v>
      </c>
      <c r="AX41" s="6" t="s">
        <v>929</v>
      </c>
      <c r="AY41" s="6" t="s">
        <v>930</v>
      </c>
      <c r="AZ41" s="6"/>
      <c r="BA41" s="6"/>
      <c r="BB41" s="6"/>
      <c r="BC41" s="6" t="s">
        <v>97</v>
      </c>
      <c r="BD41" s="6" t="s">
        <v>97</v>
      </c>
    </row>
    <row r="42" spans="1:56" ht="32" customHeight="1" x14ac:dyDescent="0.35">
      <c r="A42" s="13" t="s">
        <v>1205</v>
      </c>
      <c r="B42" s="6" t="s">
        <v>910</v>
      </c>
      <c r="C42" s="5" t="s">
        <v>1181</v>
      </c>
      <c r="D42" s="5" t="s">
        <v>829</v>
      </c>
      <c r="E42" s="5" t="s">
        <v>1206</v>
      </c>
      <c r="F42" s="5" t="s">
        <v>1183</v>
      </c>
      <c r="G42" s="5" t="s">
        <v>1207</v>
      </c>
      <c r="H42" s="5" t="s">
        <v>1208</v>
      </c>
      <c r="I42" s="5" t="s">
        <v>1209</v>
      </c>
      <c r="J42" s="16" t="s">
        <v>73</v>
      </c>
      <c r="K42" s="17" t="s">
        <v>181</v>
      </c>
      <c r="L42" s="5" t="s">
        <v>1210</v>
      </c>
      <c r="M42" s="6" t="s">
        <v>197</v>
      </c>
      <c r="N42" s="6" t="s">
        <v>809</v>
      </c>
      <c r="O42" s="6" t="s">
        <v>73</v>
      </c>
      <c r="P42" s="5" t="s">
        <v>918</v>
      </c>
      <c r="Q42" s="18" t="s">
        <v>186</v>
      </c>
      <c r="R42" s="5" t="s">
        <v>1211</v>
      </c>
      <c r="S42" s="6" t="s">
        <v>980</v>
      </c>
      <c r="T42" s="5" t="s">
        <v>981</v>
      </c>
      <c r="U42" s="6"/>
      <c r="V42" s="6" t="s">
        <v>982</v>
      </c>
      <c r="W42" s="6" t="s">
        <v>331</v>
      </c>
      <c r="X42" s="5" t="s">
        <v>922</v>
      </c>
      <c r="Y42" s="5" t="s">
        <v>658</v>
      </c>
      <c r="Z42" s="5" t="str">
        <f t="shared" si="0"/>
        <v>High</v>
      </c>
      <c r="AA42" s="5" t="s">
        <v>923</v>
      </c>
      <c r="AB42" s="6" t="s">
        <v>924</v>
      </c>
      <c r="AC42" s="6" t="s">
        <v>78</v>
      </c>
      <c r="AD42" s="5" t="s">
        <v>940</v>
      </c>
      <c r="AE42" s="5" t="s">
        <v>354</v>
      </c>
      <c r="AF42" s="5" t="s">
        <v>354</v>
      </c>
      <c r="AG42" s="5" t="s">
        <v>354</v>
      </c>
      <c r="AH42" s="5" t="s">
        <v>354</v>
      </c>
      <c r="AI42" s="6" t="str">
        <f t="shared" si="1"/>
        <v>No</v>
      </c>
      <c r="AJ42" s="6" t="s">
        <v>941</v>
      </c>
      <c r="AK42" s="6" t="s">
        <v>73</v>
      </c>
      <c r="AL42" s="6">
        <f>MATCH(AA42,{"Low","Medium","High"},0)*MATCH(AB42,{"Low","Medium","High"},0)*INDEX({3,2,2,1,1},MATCH(X42,{"Core","Vertical extension","Differentiator","Future","Adjacent"},0))</f>
        <v>9</v>
      </c>
      <c r="AM42" s="5"/>
      <c r="AN42" s="5"/>
      <c r="AO42" s="5"/>
      <c r="AP42" s="5"/>
      <c r="AQ42" s="5"/>
      <c r="AR42" s="5"/>
      <c r="AS42" s="5"/>
      <c r="AT42" s="5"/>
      <c r="AU42" s="6" t="s">
        <v>927</v>
      </c>
      <c r="AV42" s="6" t="s">
        <v>1188</v>
      </c>
      <c r="AW42" s="6" t="s">
        <v>1188</v>
      </c>
      <c r="AX42" s="6" t="s">
        <v>929</v>
      </c>
      <c r="AY42" s="6" t="s">
        <v>930</v>
      </c>
      <c r="AZ42" s="6"/>
      <c r="BA42" s="6" t="s">
        <v>1212</v>
      </c>
      <c r="BB42" s="6" t="s">
        <v>1190</v>
      </c>
      <c r="BC42" s="6" t="s">
        <v>97</v>
      </c>
      <c r="BD42" s="6" t="s">
        <v>97</v>
      </c>
    </row>
    <row r="43" spans="1:56" ht="32" customHeight="1" x14ac:dyDescent="0.35">
      <c r="A43" s="13" t="s">
        <v>1213</v>
      </c>
      <c r="B43" s="6" t="s">
        <v>910</v>
      </c>
      <c r="C43" s="5" t="s">
        <v>1181</v>
      </c>
      <c r="D43" s="5" t="s">
        <v>829</v>
      </c>
      <c r="E43" s="5" t="s">
        <v>1214</v>
      </c>
      <c r="F43" s="5" t="s">
        <v>1183</v>
      </c>
      <c r="G43" s="5" t="s">
        <v>1215</v>
      </c>
      <c r="H43" s="5" t="s">
        <v>1216</v>
      </c>
      <c r="I43" s="5" t="s">
        <v>1217</v>
      </c>
      <c r="J43" s="17" t="s">
        <v>121</v>
      </c>
      <c r="K43" s="17" t="s">
        <v>181</v>
      </c>
      <c r="L43" s="5" t="s">
        <v>1218</v>
      </c>
      <c r="M43" s="6" t="s">
        <v>197</v>
      </c>
      <c r="N43" s="6" t="s">
        <v>809</v>
      </c>
      <c r="O43" s="6" t="s">
        <v>121</v>
      </c>
      <c r="P43" s="5" t="s">
        <v>918</v>
      </c>
      <c r="Q43" s="17" t="s">
        <v>182</v>
      </c>
      <c r="R43" s="5"/>
      <c r="S43" s="6" t="s">
        <v>980</v>
      </c>
      <c r="T43" s="5" t="s">
        <v>981</v>
      </c>
      <c r="U43" s="6"/>
      <c r="V43" s="6" t="s">
        <v>982</v>
      </c>
      <c r="W43" s="6" t="s">
        <v>331</v>
      </c>
      <c r="X43" s="5" t="s">
        <v>922</v>
      </c>
      <c r="Y43" s="5" t="s">
        <v>658</v>
      </c>
      <c r="Z43" s="5" t="str">
        <f t="shared" si="0"/>
        <v>High</v>
      </c>
      <c r="AA43" s="5" t="s">
        <v>923</v>
      </c>
      <c r="AB43" s="6" t="s">
        <v>924</v>
      </c>
      <c r="AC43" s="6" t="s">
        <v>103</v>
      </c>
      <c r="AD43" s="5" t="s">
        <v>925</v>
      </c>
      <c r="AE43" s="5" t="s">
        <v>354</v>
      </c>
      <c r="AF43" s="5" t="s">
        <v>354</v>
      </c>
      <c r="AG43" s="5" t="s">
        <v>354</v>
      </c>
      <c r="AH43" s="5" t="s">
        <v>354</v>
      </c>
      <c r="AI43" s="6" t="str">
        <f t="shared" si="1"/>
        <v>No</v>
      </c>
      <c r="AJ43" s="6" t="s">
        <v>926</v>
      </c>
      <c r="AK43" s="6" t="s">
        <v>121</v>
      </c>
      <c r="AL43" s="6">
        <f>MATCH(AA43,{"Low","Medium","High"},0)*MATCH(AB43,{"Low","Medium","High"},0)*INDEX({3,2,2,1,1},MATCH(X43,{"Core","Vertical extension","Differentiator","Future","Adjacent"},0))</f>
        <v>9</v>
      </c>
      <c r="AM43" s="5"/>
      <c r="AN43" s="5"/>
      <c r="AO43" s="5"/>
      <c r="AP43" s="5"/>
      <c r="AQ43" s="5"/>
      <c r="AR43" s="5"/>
      <c r="AS43" s="5"/>
      <c r="AT43" s="5"/>
      <c r="AU43" s="6" t="s">
        <v>927</v>
      </c>
      <c r="AV43" s="6" t="s">
        <v>1188</v>
      </c>
      <c r="AW43" s="6" t="s">
        <v>1188</v>
      </c>
      <c r="AX43" s="6" t="s">
        <v>929</v>
      </c>
      <c r="AY43" s="6" t="s">
        <v>930</v>
      </c>
      <c r="AZ43" s="6"/>
      <c r="BA43" s="6"/>
      <c r="BB43" s="6"/>
      <c r="BC43" s="6" t="s">
        <v>97</v>
      </c>
      <c r="BD43" s="6" t="s">
        <v>97</v>
      </c>
    </row>
    <row r="44" spans="1:56" ht="32" customHeight="1" x14ac:dyDescent="0.35">
      <c r="A44" s="13" t="s">
        <v>1219</v>
      </c>
      <c r="B44" s="6" t="s">
        <v>910</v>
      </c>
      <c r="C44" s="5" t="s">
        <v>1181</v>
      </c>
      <c r="D44" s="5" t="s">
        <v>835</v>
      </c>
      <c r="E44" s="5" t="s">
        <v>1220</v>
      </c>
      <c r="F44" s="5" t="s">
        <v>1221</v>
      </c>
      <c r="G44" s="5" t="s">
        <v>1222</v>
      </c>
      <c r="H44" s="5" t="s">
        <v>1223</v>
      </c>
      <c r="I44" s="5" t="s">
        <v>1224</v>
      </c>
      <c r="J44" s="16" t="s">
        <v>73</v>
      </c>
      <c r="K44" s="17" t="s">
        <v>181</v>
      </c>
      <c r="L44" s="5" t="s">
        <v>1225</v>
      </c>
      <c r="M44" s="6" t="s">
        <v>197</v>
      </c>
      <c r="N44" s="6" t="s">
        <v>809</v>
      </c>
      <c r="O44" s="6" t="s">
        <v>73</v>
      </c>
      <c r="P44" s="5" t="s">
        <v>918</v>
      </c>
      <c r="Q44" s="17" t="s">
        <v>182</v>
      </c>
      <c r="R44" s="5"/>
      <c r="S44" s="6" t="s">
        <v>1076</v>
      </c>
      <c r="T44" s="5" t="s">
        <v>1077</v>
      </c>
      <c r="U44" s="6"/>
      <c r="V44" s="6" t="s">
        <v>1078</v>
      </c>
      <c r="W44" s="6" t="s">
        <v>331</v>
      </c>
      <c r="X44" s="5" t="s">
        <v>922</v>
      </c>
      <c r="Y44" s="5" t="s">
        <v>658</v>
      </c>
      <c r="Z44" s="5" t="str">
        <f t="shared" si="0"/>
        <v>High</v>
      </c>
      <c r="AA44" s="5" t="s">
        <v>923</v>
      </c>
      <c r="AB44" s="6" t="s">
        <v>924</v>
      </c>
      <c r="AC44" s="6" t="s">
        <v>78</v>
      </c>
      <c r="AD44" s="5" t="s">
        <v>925</v>
      </c>
      <c r="AE44" s="5" t="s">
        <v>354</v>
      </c>
      <c r="AF44" s="5" t="s">
        <v>354</v>
      </c>
      <c r="AG44" s="5" t="s">
        <v>354</v>
      </c>
      <c r="AH44" s="5" t="s">
        <v>354</v>
      </c>
      <c r="AI44" s="6" t="str">
        <f t="shared" si="1"/>
        <v>No</v>
      </c>
      <c r="AJ44" s="6" t="s">
        <v>926</v>
      </c>
      <c r="AK44" s="6" t="s">
        <v>73</v>
      </c>
      <c r="AL44" s="6">
        <f>MATCH(AA44,{"Low","Medium","High"},0)*MATCH(AB44,{"Low","Medium","High"},0)*INDEX({3,2,2,1,1},MATCH(X44,{"Core","Vertical extension","Differentiator","Future","Adjacent"},0))</f>
        <v>9</v>
      </c>
      <c r="AM44" s="5"/>
      <c r="AN44" s="5"/>
      <c r="AO44" s="5"/>
      <c r="AP44" s="5"/>
      <c r="AQ44" s="5"/>
      <c r="AR44" s="5"/>
      <c r="AS44" s="5"/>
      <c r="AT44" s="5"/>
      <c r="AU44" s="6" t="s">
        <v>927</v>
      </c>
      <c r="AV44" s="6" t="s">
        <v>1188</v>
      </c>
      <c r="AW44" s="6" t="s">
        <v>1188</v>
      </c>
      <c r="AX44" s="6" t="s">
        <v>929</v>
      </c>
      <c r="AY44" s="6" t="s">
        <v>930</v>
      </c>
      <c r="AZ44" s="6"/>
      <c r="BA44" s="6" t="s">
        <v>1212</v>
      </c>
      <c r="BB44" s="6" t="s">
        <v>1190</v>
      </c>
      <c r="BC44" s="6" t="s">
        <v>97</v>
      </c>
      <c r="BD44" s="6" t="s">
        <v>97</v>
      </c>
    </row>
    <row r="45" spans="1:56" ht="32" customHeight="1" x14ac:dyDescent="0.35">
      <c r="A45" s="13" t="s">
        <v>1226</v>
      </c>
      <c r="B45" s="6" t="s">
        <v>910</v>
      </c>
      <c r="C45" s="5" t="s">
        <v>1181</v>
      </c>
      <c r="D45" s="5" t="s">
        <v>829</v>
      </c>
      <c r="E45" s="5" t="s">
        <v>1227</v>
      </c>
      <c r="F45" s="5" t="s">
        <v>1183</v>
      </c>
      <c r="G45" s="5" t="s">
        <v>951</v>
      </c>
      <c r="H45" s="5" t="s">
        <v>1228</v>
      </c>
      <c r="I45" s="5" t="s">
        <v>1229</v>
      </c>
      <c r="J45" s="17" t="s">
        <v>121</v>
      </c>
      <c r="K45" s="17" t="s">
        <v>181</v>
      </c>
      <c r="L45" s="5" t="s">
        <v>1230</v>
      </c>
      <c r="M45" s="6" t="s">
        <v>197</v>
      </c>
      <c r="N45" s="6" t="s">
        <v>809</v>
      </c>
      <c r="O45" s="6" t="s">
        <v>121</v>
      </c>
      <c r="P45" s="5" t="s">
        <v>918</v>
      </c>
      <c r="Q45" s="17" t="s">
        <v>182</v>
      </c>
      <c r="R45" s="5"/>
      <c r="S45" s="6" t="s">
        <v>980</v>
      </c>
      <c r="T45" s="5" t="s">
        <v>981</v>
      </c>
      <c r="U45" s="6"/>
      <c r="V45" s="6" t="s">
        <v>982</v>
      </c>
      <c r="W45" s="6" t="s">
        <v>331</v>
      </c>
      <c r="X45" s="5" t="s">
        <v>922</v>
      </c>
      <c r="Y45" s="5" t="s">
        <v>658</v>
      </c>
      <c r="Z45" s="5" t="str">
        <f t="shared" si="0"/>
        <v>High</v>
      </c>
      <c r="AA45" s="5" t="s">
        <v>923</v>
      </c>
      <c r="AB45" s="6" t="s">
        <v>924</v>
      </c>
      <c r="AC45" s="6" t="s">
        <v>103</v>
      </c>
      <c r="AD45" s="5" t="s">
        <v>925</v>
      </c>
      <c r="AE45" s="5" t="s">
        <v>354</v>
      </c>
      <c r="AF45" s="5" t="s">
        <v>354</v>
      </c>
      <c r="AG45" s="5" t="s">
        <v>354</v>
      </c>
      <c r="AH45" s="5" t="s">
        <v>354</v>
      </c>
      <c r="AI45" s="6" t="str">
        <f t="shared" si="1"/>
        <v>No</v>
      </c>
      <c r="AJ45" s="6" t="s">
        <v>926</v>
      </c>
      <c r="AK45" s="6" t="s">
        <v>121</v>
      </c>
      <c r="AL45" s="6">
        <f>MATCH(AA45,{"Low","Medium","High"},0)*MATCH(AB45,{"Low","Medium","High"},0)*INDEX({3,2,2,1,1},MATCH(X45,{"Core","Vertical extension","Differentiator","Future","Adjacent"},0))</f>
        <v>9</v>
      </c>
      <c r="AM45" s="5"/>
      <c r="AN45" s="5"/>
      <c r="AO45" s="5"/>
      <c r="AP45" s="5"/>
      <c r="AQ45" s="5"/>
      <c r="AR45" s="5"/>
      <c r="AS45" s="5"/>
      <c r="AT45" s="5"/>
      <c r="AU45" s="6" t="s">
        <v>927</v>
      </c>
      <c r="AV45" s="6" t="s">
        <v>1188</v>
      </c>
      <c r="AW45" s="6" t="s">
        <v>1188</v>
      </c>
      <c r="AX45" s="6" t="s">
        <v>929</v>
      </c>
      <c r="AY45" s="6" t="s">
        <v>930</v>
      </c>
      <c r="AZ45" s="6"/>
      <c r="BA45" s="6"/>
      <c r="BB45" s="6"/>
      <c r="BC45" s="6" t="s">
        <v>97</v>
      </c>
      <c r="BD45" s="6" t="s">
        <v>97</v>
      </c>
    </row>
    <row r="46" spans="1:56" ht="32" customHeight="1" x14ac:dyDescent="0.35">
      <c r="A46" s="13" t="s">
        <v>1231</v>
      </c>
      <c r="B46" s="6" t="s">
        <v>910</v>
      </c>
      <c r="C46" s="5" t="s">
        <v>1181</v>
      </c>
      <c r="D46" s="5" t="s">
        <v>841</v>
      </c>
      <c r="E46" s="5" t="s">
        <v>1232</v>
      </c>
      <c r="F46" s="5" t="s">
        <v>1183</v>
      </c>
      <c r="G46" s="5" t="s">
        <v>1184</v>
      </c>
      <c r="H46" s="5" t="s">
        <v>1233</v>
      </c>
      <c r="I46" s="5" t="s">
        <v>1234</v>
      </c>
      <c r="J46" s="17" t="s">
        <v>121</v>
      </c>
      <c r="K46" s="17" t="s">
        <v>181</v>
      </c>
      <c r="L46" s="5" t="s">
        <v>1235</v>
      </c>
      <c r="M46" s="6" t="s">
        <v>197</v>
      </c>
      <c r="N46" s="6" t="s">
        <v>809</v>
      </c>
      <c r="O46" s="6" t="s">
        <v>121</v>
      </c>
      <c r="P46" s="5" t="s">
        <v>918</v>
      </c>
      <c r="Q46" s="18" t="s">
        <v>186</v>
      </c>
      <c r="R46" s="5" t="s">
        <v>1236</v>
      </c>
      <c r="S46" s="6" t="s">
        <v>1038</v>
      </c>
      <c r="T46" s="5" t="s">
        <v>1039</v>
      </c>
      <c r="U46" s="6"/>
      <c r="V46" s="6" t="s">
        <v>921</v>
      </c>
      <c r="W46" s="6" t="s">
        <v>331</v>
      </c>
      <c r="X46" s="5" t="s">
        <v>922</v>
      </c>
      <c r="Y46" s="5" t="s">
        <v>658</v>
      </c>
      <c r="Z46" s="5" t="str">
        <f t="shared" si="0"/>
        <v>Medium</v>
      </c>
      <c r="AA46" s="5" t="s">
        <v>956</v>
      </c>
      <c r="AB46" s="6" t="s">
        <v>924</v>
      </c>
      <c r="AC46" s="6" t="s">
        <v>103</v>
      </c>
      <c r="AD46" s="5" t="s">
        <v>940</v>
      </c>
      <c r="AE46" s="5" t="s">
        <v>354</v>
      </c>
      <c r="AF46" s="5" t="s">
        <v>354</v>
      </c>
      <c r="AG46" s="5" t="s">
        <v>354</v>
      </c>
      <c r="AH46" s="5" t="s">
        <v>354</v>
      </c>
      <c r="AI46" s="6" t="str">
        <f t="shared" si="1"/>
        <v>No</v>
      </c>
      <c r="AJ46" s="6" t="s">
        <v>941</v>
      </c>
      <c r="AK46" s="6" t="s">
        <v>121</v>
      </c>
      <c r="AL46" s="6">
        <f>MATCH(AA46,{"Low","Medium","High"},0)*MATCH(AB46,{"Low","Medium","High"},0)*INDEX({3,2,2,1,1},MATCH(X46,{"Core","Vertical extension","Differentiator","Future","Adjacent"},0))</f>
        <v>6</v>
      </c>
      <c r="AM46" s="5"/>
      <c r="AN46" s="5"/>
      <c r="AO46" s="5"/>
      <c r="AP46" s="5"/>
      <c r="AQ46" s="5"/>
      <c r="AR46" s="5"/>
      <c r="AS46" s="5"/>
      <c r="AT46" s="5"/>
      <c r="AU46" s="6" t="s">
        <v>927</v>
      </c>
      <c r="AV46" s="6" t="s">
        <v>1188</v>
      </c>
      <c r="AW46" s="6" t="s">
        <v>1188</v>
      </c>
      <c r="AX46" s="6" t="s">
        <v>929</v>
      </c>
      <c r="AY46" s="6" t="s">
        <v>930</v>
      </c>
      <c r="AZ46" s="6"/>
      <c r="BA46" s="6" t="s">
        <v>1040</v>
      </c>
      <c r="BB46" s="6" t="s">
        <v>1041</v>
      </c>
      <c r="BC46" s="6" t="s">
        <v>97</v>
      </c>
      <c r="BD46" s="6" t="s">
        <v>97</v>
      </c>
    </row>
    <row r="47" spans="1:56" ht="32" customHeight="1" x14ac:dyDescent="0.35">
      <c r="A47" s="13" t="s">
        <v>1237</v>
      </c>
      <c r="B47" s="6" t="s">
        <v>910</v>
      </c>
      <c r="C47" s="5" t="s">
        <v>1181</v>
      </c>
      <c r="D47" s="5" t="s">
        <v>833</v>
      </c>
      <c r="E47" s="5" t="s">
        <v>1238</v>
      </c>
      <c r="F47" s="5" t="s">
        <v>1183</v>
      </c>
      <c r="G47" s="5" t="s">
        <v>1017</v>
      </c>
      <c r="H47" s="5" t="s">
        <v>1239</v>
      </c>
      <c r="I47" s="5" t="s">
        <v>1240</v>
      </c>
      <c r="J47" s="16" t="s">
        <v>73</v>
      </c>
      <c r="K47" s="17" t="s">
        <v>181</v>
      </c>
      <c r="L47" s="5" t="s">
        <v>1241</v>
      </c>
      <c r="M47" s="6" t="s">
        <v>197</v>
      </c>
      <c r="N47" s="6" t="s">
        <v>809</v>
      </c>
      <c r="O47" s="6" t="s">
        <v>73</v>
      </c>
      <c r="P47" s="5" t="s">
        <v>918</v>
      </c>
      <c r="Q47" s="17" t="s">
        <v>182</v>
      </c>
      <c r="R47" s="5"/>
      <c r="S47" s="6" t="s">
        <v>919</v>
      </c>
      <c r="T47" s="5" t="s">
        <v>920</v>
      </c>
      <c r="U47" s="6"/>
      <c r="V47" s="6" t="s">
        <v>921</v>
      </c>
      <c r="W47" s="6" t="s">
        <v>331</v>
      </c>
      <c r="X47" s="5" t="s">
        <v>922</v>
      </c>
      <c r="Y47" s="5" t="s">
        <v>658</v>
      </c>
      <c r="Z47" s="5" t="str">
        <f t="shared" si="0"/>
        <v>High</v>
      </c>
      <c r="AA47" s="5" t="s">
        <v>923</v>
      </c>
      <c r="AB47" s="6" t="s">
        <v>924</v>
      </c>
      <c r="AC47" s="6" t="s">
        <v>78</v>
      </c>
      <c r="AD47" s="5" t="s">
        <v>925</v>
      </c>
      <c r="AE47" s="5" t="s">
        <v>354</v>
      </c>
      <c r="AF47" s="5" t="s">
        <v>354</v>
      </c>
      <c r="AG47" s="5" t="s">
        <v>354</v>
      </c>
      <c r="AH47" s="5" t="s">
        <v>354</v>
      </c>
      <c r="AI47" s="6" t="str">
        <f t="shared" si="1"/>
        <v>No</v>
      </c>
      <c r="AJ47" s="6" t="s">
        <v>926</v>
      </c>
      <c r="AK47" s="6" t="s">
        <v>73</v>
      </c>
      <c r="AL47" s="6">
        <f>MATCH(AA47,{"Low","Medium","High"},0)*MATCH(AB47,{"Low","Medium","High"},0)*INDEX({3,2,2,1,1},MATCH(X47,{"Core","Vertical extension","Differentiator","Future","Adjacent"},0))</f>
        <v>9</v>
      </c>
      <c r="AM47" s="5"/>
      <c r="AN47" s="5"/>
      <c r="AO47" s="5"/>
      <c r="AP47" s="5"/>
      <c r="AQ47" s="5"/>
      <c r="AR47" s="5"/>
      <c r="AS47" s="5"/>
      <c r="AT47" s="5"/>
      <c r="AU47" s="6" t="s">
        <v>927</v>
      </c>
      <c r="AV47" s="6" t="s">
        <v>1188</v>
      </c>
      <c r="AW47" s="6" t="s">
        <v>1188</v>
      </c>
      <c r="AX47" s="6" t="s">
        <v>929</v>
      </c>
      <c r="AY47" s="6" t="s">
        <v>930</v>
      </c>
      <c r="AZ47" s="6"/>
      <c r="BA47" s="6"/>
      <c r="BB47" s="6"/>
      <c r="BC47" s="6" t="s">
        <v>97</v>
      </c>
      <c r="BD47" s="6" t="s">
        <v>97</v>
      </c>
    </row>
    <row r="48" spans="1:56" ht="32" customHeight="1" x14ac:dyDescent="0.35">
      <c r="A48" s="13" t="s">
        <v>1242</v>
      </c>
      <c r="B48" s="6" t="s">
        <v>910</v>
      </c>
      <c r="C48" s="5" t="s">
        <v>1181</v>
      </c>
      <c r="D48" s="5" t="s">
        <v>838</v>
      </c>
      <c r="E48" s="5" t="s">
        <v>1243</v>
      </c>
      <c r="F48" s="5" t="s">
        <v>1183</v>
      </c>
      <c r="G48" s="5" t="s">
        <v>1244</v>
      </c>
      <c r="H48" s="5" t="s">
        <v>1245</v>
      </c>
      <c r="I48" s="5" t="s">
        <v>1246</v>
      </c>
      <c r="J48" s="17" t="s">
        <v>121</v>
      </c>
      <c r="K48" s="17" t="s">
        <v>181</v>
      </c>
      <c r="L48" s="5" t="s">
        <v>1247</v>
      </c>
      <c r="M48" s="6" t="s">
        <v>197</v>
      </c>
      <c r="N48" s="6" t="s">
        <v>809</v>
      </c>
      <c r="O48" s="6" t="s">
        <v>121</v>
      </c>
      <c r="P48" s="5" t="s">
        <v>918</v>
      </c>
      <c r="Q48" s="17" t="s">
        <v>182</v>
      </c>
      <c r="R48" s="5"/>
      <c r="S48" s="6" t="s">
        <v>990</v>
      </c>
      <c r="T48" s="5" t="s">
        <v>991</v>
      </c>
      <c r="U48" s="6"/>
      <c r="V48" s="6" t="s">
        <v>992</v>
      </c>
      <c r="W48" s="6" t="s">
        <v>337</v>
      </c>
      <c r="X48" s="5" t="s">
        <v>922</v>
      </c>
      <c r="Y48" s="5" t="s">
        <v>658</v>
      </c>
      <c r="Z48" s="5" t="str">
        <f t="shared" si="0"/>
        <v>Medium</v>
      </c>
      <c r="AA48" s="5" t="s">
        <v>956</v>
      </c>
      <c r="AB48" s="6" t="s">
        <v>924</v>
      </c>
      <c r="AC48" s="6" t="s">
        <v>11</v>
      </c>
      <c r="AD48" s="5" t="s">
        <v>925</v>
      </c>
      <c r="AE48" s="5" t="s">
        <v>354</v>
      </c>
      <c r="AF48" s="5" t="s">
        <v>354</v>
      </c>
      <c r="AG48" s="5" t="s">
        <v>354</v>
      </c>
      <c r="AH48" s="5" t="s">
        <v>354</v>
      </c>
      <c r="AI48" s="6" t="str">
        <f t="shared" si="1"/>
        <v>No</v>
      </c>
      <c r="AJ48" s="6" t="s">
        <v>926</v>
      </c>
      <c r="AK48" s="6" t="s">
        <v>151</v>
      </c>
      <c r="AL48" s="6">
        <f>MATCH(AA48,{"Low","Medium","High"},0)*MATCH(AB48,{"Low","Medium","High"},0)*INDEX({3,2,2,1,1},MATCH(X48,{"Core","Vertical extension","Differentiator","Future","Adjacent"},0))</f>
        <v>6</v>
      </c>
      <c r="AM48" s="5"/>
      <c r="AN48" s="5"/>
      <c r="AO48" s="5"/>
      <c r="AP48" s="5"/>
      <c r="AQ48" s="5"/>
      <c r="AR48" s="5"/>
      <c r="AS48" s="5"/>
      <c r="AT48" s="5"/>
      <c r="AU48" s="6" t="s">
        <v>927</v>
      </c>
      <c r="AV48" s="6" t="s">
        <v>1188</v>
      </c>
      <c r="AW48" s="6" t="s">
        <v>1188</v>
      </c>
      <c r="AX48" s="6" t="s">
        <v>929</v>
      </c>
      <c r="AY48" s="6" t="s">
        <v>930</v>
      </c>
      <c r="AZ48" s="6"/>
      <c r="BA48" s="6"/>
      <c r="BB48" s="6"/>
      <c r="BC48" s="6" t="s">
        <v>97</v>
      </c>
      <c r="BD48" s="6" t="s">
        <v>97</v>
      </c>
    </row>
    <row r="49" spans="1:56" ht="32" customHeight="1" x14ac:dyDescent="0.35">
      <c r="A49" s="13" t="s">
        <v>1248</v>
      </c>
      <c r="B49" s="6" t="s">
        <v>910</v>
      </c>
      <c r="C49" s="5" t="s">
        <v>1181</v>
      </c>
      <c r="D49" s="5" t="s">
        <v>835</v>
      </c>
      <c r="E49" s="5" t="s">
        <v>1249</v>
      </c>
      <c r="F49" s="5" t="s">
        <v>1250</v>
      </c>
      <c r="G49" s="5" t="s">
        <v>1215</v>
      </c>
      <c r="H49" s="5" t="s">
        <v>1251</v>
      </c>
      <c r="I49" s="5" t="s">
        <v>1252</v>
      </c>
      <c r="J49" s="17" t="s">
        <v>121</v>
      </c>
      <c r="K49" s="17" t="s">
        <v>181</v>
      </c>
      <c r="L49" s="5" t="s">
        <v>1253</v>
      </c>
      <c r="M49" s="6" t="s">
        <v>197</v>
      </c>
      <c r="N49" s="6" t="s">
        <v>809</v>
      </c>
      <c r="O49" s="6" t="s">
        <v>121</v>
      </c>
      <c r="P49" s="5" t="s">
        <v>918</v>
      </c>
      <c r="Q49" s="17" t="s">
        <v>182</v>
      </c>
      <c r="R49" s="5"/>
      <c r="S49" s="6" t="s">
        <v>1076</v>
      </c>
      <c r="T49" s="5" t="s">
        <v>1077</v>
      </c>
      <c r="U49" s="6"/>
      <c r="V49" s="6" t="s">
        <v>1078</v>
      </c>
      <c r="W49" s="6" t="s">
        <v>331</v>
      </c>
      <c r="X49" s="5" t="s">
        <v>922</v>
      </c>
      <c r="Y49" s="5" t="s">
        <v>658</v>
      </c>
      <c r="Z49" s="5" t="str">
        <f t="shared" si="0"/>
        <v>Medium</v>
      </c>
      <c r="AA49" s="5" t="s">
        <v>956</v>
      </c>
      <c r="AB49" s="6" t="s">
        <v>924</v>
      </c>
      <c r="AC49" s="6" t="s">
        <v>103</v>
      </c>
      <c r="AD49" s="5" t="s">
        <v>925</v>
      </c>
      <c r="AE49" s="5" t="s">
        <v>354</v>
      </c>
      <c r="AF49" s="5" t="s">
        <v>354</v>
      </c>
      <c r="AG49" s="5" t="s">
        <v>354</v>
      </c>
      <c r="AH49" s="5" t="s">
        <v>354</v>
      </c>
      <c r="AI49" s="6" t="str">
        <f t="shared" si="1"/>
        <v>No</v>
      </c>
      <c r="AJ49" s="6" t="s">
        <v>926</v>
      </c>
      <c r="AK49" s="6" t="s">
        <v>121</v>
      </c>
      <c r="AL49" s="6">
        <f>MATCH(AA49,{"Low","Medium","High"},0)*MATCH(AB49,{"Low","Medium","High"},0)*INDEX({3,2,2,1,1},MATCH(X49,{"Core","Vertical extension","Differentiator","Future","Adjacent"},0))</f>
        <v>6</v>
      </c>
      <c r="AM49" s="5"/>
      <c r="AN49" s="5"/>
      <c r="AO49" s="5"/>
      <c r="AP49" s="5"/>
      <c r="AQ49" s="5"/>
      <c r="AR49" s="5"/>
      <c r="AS49" s="5"/>
      <c r="AT49" s="5"/>
      <c r="AU49" s="6" t="s">
        <v>927</v>
      </c>
      <c r="AV49" s="6" t="s">
        <v>1188</v>
      </c>
      <c r="AW49" s="6" t="s">
        <v>1188</v>
      </c>
      <c r="AX49" s="6" t="s">
        <v>929</v>
      </c>
      <c r="AY49" s="6" t="s">
        <v>930</v>
      </c>
      <c r="AZ49" s="6"/>
      <c r="BA49" s="6"/>
      <c r="BB49" s="6"/>
      <c r="BC49" s="6" t="s">
        <v>97</v>
      </c>
      <c r="BD49" s="6" t="s">
        <v>97</v>
      </c>
    </row>
    <row r="50" spans="1:56" ht="32" customHeight="1" x14ac:dyDescent="0.35">
      <c r="A50" s="13" t="s">
        <v>1254</v>
      </c>
      <c r="B50" s="6" t="s">
        <v>910</v>
      </c>
      <c r="C50" s="5" t="s">
        <v>1181</v>
      </c>
      <c r="D50" s="5" t="s">
        <v>825</v>
      </c>
      <c r="E50" s="5" t="s">
        <v>1255</v>
      </c>
      <c r="F50" s="5" t="s">
        <v>1183</v>
      </c>
      <c r="G50" s="5" t="s">
        <v>1256</v>
      </c>
      <c r="H50" s="5" t="s">
        <v>1257</v>
      </c>
      <c r="I50" s="5" t="s">
        <v>1258</v>
      </c>
      <c r="J50" s="16" t="s">
        <v>73</v>
      </c>
      <c r="K50" s="17" t="s">
        <v>181</v>
      </c>
      <c r="L50" s="5" t="s">
        <v>1259</v>
      </c>
      <c r="M50" s="6" t="s">
        <v>197</v>
      </c>
      <c r="N50" s="6" t="s">
        <v>809</v>
      </c>
      <c r="O50" s="6" t="s">
        <v>73</v>
      </c>
      <c r="P50" s="5" t="s">
        <v>918</v>
      </c>
      <c r="Q50" s="17" t="s">
        <v>182</v>
      </c>
      <c r="R50" s="5"/>
      <c r="S50" s="6" t="s">
        <v>1053</v>
      </c>
      <c r="T50" s="5" t="s">
        <v>1054</v>
      </c>
      <c r="U50" s="6"/>
      <c r="V50" s="6" t="s">
        <v>1055</v>
      </c>
      <c r="W50" s="6" t="s">
        <v>333</v>
      </c>
      <c r="X50" s="5" t="s">
        <v>922</v>
      </c>
      <c r="Y50" s="5" t="s">
        <v>658</v>
      </c>
      <c r="Z50" s="5" t="str">
        <f t="shared" si="0"/>
        <v>Critical</v>
      </c>
      <c r="AA50" s="5" t="s">
        <v>923</v>
      </c>
      <c r="AB50" s="6" t="s">
        <v>923</v>
      </c>
      <c r="AC50" s="6" t="s">
        <v>78</v>
      </c>
      <c r="AD50" s="5" t="s">
        <v>925</v>
      </c>
      <c r="AE50" s="5" t="s">
        <v>354</v>
      </c>
      <c r="AF50" s="5" t="s">
        <v>354</v>
      </c>
      <c r="AG50" s="5" t="s">
        <v>354</v>
      </c>
      <c r="AH50" s="5" t="s">
        <v>354</v>
      </c>
      <c r="AI50" s="6" t="str">
        <f t="shared" si="1"/>
        <v>No</v>
      </c>
      <c r="AJ50" s="6" t="s">
        <v>926</v>
      </c>
      <c r="AK50" s="6" t="s">
        <v>73</v>
      </c>
      <c r="AL50" s="6">
        <f>MATCH(AA50,{"Low","Medium","High"},0)*MATCH(AB50,{"Low","Medium","High"},0)*INDEX({3,2,2,1,1},MATCH(X50,{"Core","Vertical extension","Differentiator","Future","Adjacent"},0))</f>
        <v>27</v>
      </c>
      <c r="AM50" s="5"/>
      <c r="AN50" s="5"/>
      <c r="AO50" s="5"/>
      <c r="AP50" s="5"/>
      <c r="AQ50" s="5"/>
      <c r="AR50" s="5"/>
      <c r="AS50" s="5"/>
      <c r="AT50" s="5"/>
      <c r="AU50" s="6" t="s">
        <v>927</v>
      </c>
      <c r="AV50" s="6" t="s">
        <v>1188</v>
      </c>
      <c r="AW50" s="6" t="s">
        <v>1188</v>
      </c>
      <c r="AX50" s="6" t="s">
        <v>929</v>
      </c>
      <c r="AY50" s="6" t="s">
        <v>930</v>
      </c>
      <c r="AZ50" s="6"/>
      <c r="BA50" s="6"/>
      <c r="BB50" s="6"/>
      <c r="BC50" s="6" t="s">
        <v>97</v>
      </c>
      <c r="BD50" s="6" t="s">
        <v>97</v>
      </c>
    </row>
    <row r="51" spans="1:56" ht="32" customHeight="1" x14ac:dyDescent="0.35">
      <c r="A51" s="13" t="s">
        <v>1260</v>
      </c>
      <c r="B51" s="6" t="s">
        <v>910</v>
      </c>
      <c r="C51" s="5" t="s">
        <v>1181</v>
      </c>
      <c r="D51" s="5" t="s">
        <v>829</v>
      </c>
      <c r="E51" s="5" t="s">
        <v>1261</v>
      </c>
      <c r="F51" s="5" t="s">
        <v>1250</v>
      </c>
      <c r="G51" s="5" t="s">
        <v>54</v>
      </c>
      <c r="H51" s="5" t="s">
        <v>1262</v>
      </c>
      <c r="I51" s="5" t="s">
        <v>1263</v>
      </c>
      <c r="J51" s="17" t="s">
        <v>121</v>
      </c>
      <c r="K51" s="17" t="s">
        <v>181</v>
      </c>
      <c r="L51" s="5" t="s">
        <v>1264</v>
      </c>
      <c r="M51" s="6" t="s">
        <v>197</v>
      </c>
      <c r="N51" s="6" t="s">
        <v>809</v>
      </c>
      <c r="O51" s="6" t="s">
        <v>121</v>
      </c>
      <c r="P51" s="5" t="s">
        <v>918</v>
      </c>
      <c r="Q51" s="17" t="s">
        <v>182</v>
      </c>
      <c r="R51" s="5"/>
      <c r="S51" s="6" t="s">
        <v>980</v>
      </c>
      <c r="T51" s="5" t="s">
        <v>981</v>
      </c>
      <c r="U51" s="6"/>
      <c r="V51" s="6" t="s">
        <v>982</v>
      </c>
      <c r="W51" s="6" t="s">
        <v>331</v>
      </c>
      <c r="X51" s="5" t="s">
        <v>922</v>
      </c>
      <c r="Y51" s="5" t="s">
        <v>658</v>
      </c>
      <c r="Z51" s="5" t="str">
        <f t="shared" si="0"/>
        <v>High</v>
      </c>
      <c r="AA51" s="5" t="s">
        <v>923</v>
      </c>
      <c r="AB51" s="6" t="s">
        <v>924</v>
      </c>
      <c r="AC51" s="6" t="s">
        <v>103</v>
      </c>
      <c r="AD51" s="5" t="s">
        <v>925</v>
      </c>
      <c r="AE51" s="5" t="s">
        <v>354</v>
      </c>
      <c r="AF51" s="5" t="s">
        <v>354</v>
      </c>
      <c r="AG51" s="5" t="s">
        <v>354</v>
      </c>
      <c r="AH51" s="5" t="s">
        <v>354</v>
      </c>
      <c r="AI51" s="6" t="str">
        <f t="shared" si="1"/>
        <v>No</v>
      </c>
      <c r="AJ51" s="6" t="s">
        <v>926</v>
      </c>
      <c r="AK51" s="6" t="s">
        <v>121</v>
      </c>
      <c r="AL51" s="6">
        <f>MATCH(AA51,{"Low","Medium","High"},0)*MATCH(AB51,{"Low","Medium","High"},0)*INDEX({3,2,2,1,1},MATCH(X51,{"Core","Vertical extension","Differentiator","Future","Adjacent"},0))</f>
        <v>9</v>
      </c>
      <c r="AM51" s="5"/>
      <c r="AN51" s="5"/>
      <c r="AO51" s="5"/>
      <c r="AP51" s="5"/>
      <c r="AQ51" s="5"/>
      <c r="AR51" s="5"/>
      <c r="AS51" s="5"/>
      <c r="AT51" s="5"/>
      <c r="AU51" s="6" t="s">
        <v>927</v>
      </c>
      <c r="AV51" s="6" t="s">
        <v>1188</v>
      </c>
      <c r="AW51" s="6" t="s">
        <v>1188</v>
      </c>
      <c r="AX51" s="6" t="s">
        <v>929</v>
      </c>
      <c r="AY51" s="6" t="s">
        <v>930</v>
      </c>
      <c r="AZ51" s="6"/>
      <c r="BA51" s="6"/>
      <c r="BB51" s="6"/>
      <c r="BC51" s="6" t="s">
        <v>97</v>
      </c>
      <c r="BD51" s="6" t="s">
        <v>97</v>
      </c>
    </row>
    <row r="52" spans="1:56" ht="32" customHeight="1" x14ac:dyDescent="0.35">
      <c r="A52" s="13" t="s">
        <v>1265</v>
      </c>
      <c r="B52" s="6" t="s">
        <v>910</v>
      </c>
      <c r="C52" s="5" t="s">
        <v>1181</v>
      </c>
      <c r="D52" s="5" t="s">
        <v>831</v>
      </c>
      <c r="E52" s="5" t="s">
        <v>1266</v>
      </c>
      <c r="F52" s="5" t="s">
        <v>1267</v>
      </c>
      <c r="G52" s="5" t="s">
        <v>951</v>
      </c>
      <c r="H52" s="5" t="s">
        <v>1268</v>
      </c>
      <c r="I52" s="5" t="s">
        <v>1269</v>
      </c>
      <c r="J52" s="19" t="s">
        <v>151</v>
      </c>
      <c r="K52" s="17" t="s">
        <v>181</v>
      </c>
      <c r="L52" s="5" t="s">
        <v>1270</v>
      </c>
      <c r="M52" s="6" t="s">
        <v>197</v>
      </c>
      <c r="N52" s="6" t="s">
        <v>809</v>
      </c>
      <c r="O52" s="6" t="s">
        <v>151</v>
      </c>
      <c r="P52" s="5" t="s">
        <v>918</v>
      </c>
      <c r="Q52" s="17" t="s">
        <v>182</v>
      </c>
      <c r="R52" s="5"/>
      <c r="S52" s="6" t="s">
        <v>964</v>
      </c>
      <c r="T52" s="5" t="s">
        <v>965</v>
      </c>
      <c r="U52" s="6"/>
      <c r="V52" s="6" t="s">
        <v>966</v>
      </c>
      <c r="W52" s="6" t="s">
        <v>333</v>
      </c>
      <c r="X52" s="5" t="s">
        <v>922</v>
      </c>
      <c r="Y52" s="5" t="s">
        <v>658</v>
      </c>
      <c r="Z52" s="5" t="str">
        <f t="shared" si="0"/>
        <v>Medium</v>
      </c>
      <c r="AA52" s="5" t="s">
        <v>956</v>
      </c>
      <c r="AB52" s="6" t="s">
        <v>924</v>
      </c>
      <c r="AC52" s="6" t="s">
        <v>11</v>
      </c>
      <c r="AD52" s="5" t="s">
        <v>925</v>
      </c>
      <c r="AE52" s="5" t="s">
        <v>354</v>
      </c>
      <c r="AF52" s="5" t="s">
        <v>354</v>
      </c>
      <c r="AG52" s="5" t="s">
        <v>354</v>
      </c>
      <c r="AH52" s="5" t="s">
        <v>354</v>
      </c>
      <c r="AI52" s="6" t="str">
        <f t="shared" si="1"/>
        <v>No</v>
      </c>
      <c r="AJ52" s="6" t="s">
        <v>926</v>
      </c>
      <c r="AK52" s="6" t="s">
        <v>151</v>
      </c>
      <c r="AL52" s="6">
        <f>MATCH(AA52,{"Low","Medium","High"},0)*MATCH(AB52,{"Low","Medium","High"},0)*INDEX({3,2,2,1,1},MATCH(X52,{"Core","Vertical extension","Differentiator","Future","Adjacent"},0))</f>
        <v>6</v>
      </c>
      <c r="AM52" s="5"/>
      <c r="AN52" s="5"/>
      <c r="AO52" s="5"/>
      <c r="AP52" s="5"/>
      <c r="AQ52" s="5"/>
      <c r="AR52" s="5"/>
      <c r="AS52" s="5"/>
      <c r="AT52" s="5"/>
      <c r="AU52" s="6" t="s">
        <v>927</v>
      </c>
      <c r="AV52" s="6" t="s">
        <v>1188</v>
      </c>
      <c r="AW52" s="6" t="s">
        <v>1188</v>
      </c>
      <c r="AX52" s="6" t="s">
        <v>929</v>
      </c>
      <c r="AY52" s="6" t="s">
        <v>930</v>
      </c>
      <c r="AZ52" s="6"/>
      <c r="BA52" s="6"/>
      <c r="BB52" s="6"/>
      <c r="BC52" s="6" t="s">
        <v>97</v>
      </c>
      <c r="BD52" s="6" t="s">
        <v>97</v>
      </c>
    </row>
    <row r="53" spans="1:56" ht="32" customHeight="1" x14ac:dyDescent="0.35">
      <c r="A53" s="13" t="s">
        <v>1271</v>
      </c>
      <c r="B53" s="6" t="s">
        <v>910</v>
      </c>
      <c r="C53" s="5" t="s">
        <v>54</v>
      </c>
      <c r="D53" s="5" t="s">
        <v>833</v>
      </c>
      <c r="E53" s="5" t="s">
        <v>1272</v>
      </c>
      <c r="F53" s="5" t="s">
        <v>1273</v>
      </c>
      <c r="G53" s="5" t="s">
        <v>1274</v>
      </c>
      <c r="H53" s="5" t="s">
        <v>1275</v>
      </c>
      <c r="I53" s="5" t="s">
        <v>1276</v>
      </c>
      <c r="J53" s="16" t="s">
        <v>73</v>
      </c>
      <c r="K53" s="17" t="s">
        <v>181</v>
      </c>
      <c r="L53" s="5" t="s">
        <v>1277</v>
      </c>
      <c r="M53" s="6" t="s">
        <v>197</v>
      </c>
      <c r="N53" s="6" t="s">
        <v>809</v>
      </c>
      <c r="O53" s="6" t="s">
        <v>73</v>
      </c>
      <c r="P53" s="5" t="s">
        <v>918</v>
      </c>
      <c r="Q53" s="17" t="s">
        <v>182</v>
      </c>
      <c r="R53" s="5"/>
      <c r="S53" s="6" t="s">
        <v>919</v>
      </c>
      <c r="T53" s="5" t="s">
        <v>920</v>
      </c>
      <c r="U53" s="6"/>
      <c r="V53" s="6" t="s">
        <v>921</v>
      </c>
      <c r="W53" s="6" t="s">
        <v>331</v>
      </c>
      <c r="X53" s="5" t="s">
        <v>922</v>
      </c>
      <c r="Y53" s="5" t="s">
        <v>658</v>
      </c>
      <c r="Z53" s="5" t="str">
        <f t="shared" si="0"/>
        <v>High</v>
      </c>
      <c r="AA53" s="5" t="s">
        <v>923</v>
      </c>
      <c r="AB53" s="6" t="s">
        <v>924</v>
      </c>
      <c r="AC53" s="6" t="s">
        <v>78</v>
      </c>
      <c r="AD53" s="5" t="s">
        <v>925</v>
      </c>
      <c r="AE53" s="5" t="s">
        <v>354</v>
      </c>
      <c r="AF53" s="5" t="s">
        <v>354</v>
      </c>
      <c r="AG53" s="5" t="s">
        <v>354</v>
      </c>
      <c r="AH53" s="5" t="s">
        <v>354</v>
      </c>
      <c r="AI53" s="6" t="str">
        <f t="shared" si="1"/>
        <v>No</v>
      </c>
      <c r="AJ53" s="6" t="s">
        <v>926</v>
      </c>
      <c r="AK53" s="6" t="s">
        <v>73</v>
      </c>
      <c r="AL53" s="6">
        <f>MATCH(AA53,{"Low","Medium","High"},0)*MATCH(AB53,{"Low","Medium","High"},0)*INDEX({3,2,2,1,1},MATCH(X53,{"Core","Vertical extension","Differentiator","Future","Adjacent"},0))</f>
        <v>9</v>
      </c>
      <c r="AM53" s="5"/>
      <c r="AN53" s="5"/>
      <c r="AO53" s="5"/>
      <c r="AP53" s="5"/>
      <c r="AQ53" s="5"/>
      <c r="AR53" s="5"/>
      <c r="AS53" s="5"/>
      <c r="AT53" s="5"/>
      <c r="AU53" s="6" t="s">
        <v>927</v>
      </c>
      <c r="AV53" s="6" t="s">
        <v>54</v>
      </c>
      <c r="AW53" s="6" t="s">
        <v>54</v>
      </c>
      <c r="AX53" s="6" t="s">
        <v>929</v>
      </c>
      <c r="AY53" s="6" t="s">
        <v>930</v>
      </c>
      <c r="AZ53" s="6"/>
      <c r="BA53" s="6"/>
      <c r="BB53" s="6"/>
      <c r="BC53" s="6" t="s">
        <v>97</v>
      </c>
      <c r="BD53" s="6" t="s">
        <v>97</v>
      </c>
    </row>
    <row r="54" spans="1:56" ht="32" customHeight="1" x14ac:dyDescent="0.35">
      <c r="A54" s="13" t="s">
        <v>1278</v>
      </c>
      <c r="B54" s="6" t="s">
        <v>910</v>
      </c>
      <c r="C54" s="5" t="s">
        <v>54</v>
      </c>
      <c r="D54" s="5" t="s">
        <v>833</v>
      </c>
      <c r="E54" s="5" t="s">
        <v>1279</v>
      </c>
      <c r="F54" s="5" t="s">
        <v>1280</v>
      </c>
      <c r="G54" s="5" t="s">
        <v>1281</v>
      </c>
      <c r="H54" s="5" t="s">
        <v>1282</v>
      </c>
      <c r="I54" s="5" t="s">
        <v>1283</v>
      </c>
      <c r="J54" s="17" t="s">
        <v>121</v>
      </c>
      <c r="K54" s="17" t="s">
        <v>181</v>
      </c>
      <c r="L54" s="5" t="s">
        <v>1284</v>
      </c>
      <c r="M54" s="6" t="s">
        <v>197</v>
      </c>
      <c r="N54" s="6" t="s">
        <v>809</v>
      </c>
      <c r="O54" s="6" t="s">
        <v>121</v>
      </c>
      <c r="P54" s="5" t="s">
        <v>918</v>
      </c>
      <c r="Q54" s="17" t="s">
        <v>182</v>
      </c>
      <c r="R54" s="5"/>
      <c r="S54" s="6" t="s">
        <v>919</v>
      </c>
      <c r="T54" s="5" t="s">
        <v>920</v>
      </c>
      <c r="U54" s="6"/>
      <c r="V54" s="6" t="s">
        <v>921</v>
      </c>
      <c r="W54" s="6" t="s">
        <v>331</v>
      </c>
      <c r="X54" s="5" t="s">
        <v>922</v>
      </c>
      <c r="Y54" s="5" t="s">
        <v>658</v>
      </c>
      <c r="Z54" s="5" t="str">
        <f t="shared" si="0"/>
        <v>Medium</v>
      </c>
      <c r="AA54" s="5" t="s">
        <v>956</v>
      </c>
      <c r="AB54" s="6" t="s">
        <v>924</v>
      </c>
      <c r="AC54" s="6" t="s">
        <v>103</v>
      </c>
      <c r="AD54" s="5" t="s">
        <v>925</v>
      </c>
      <c r="AE54" s="5" t="s">
        <v>354</v>
      </c>
      <c r="AF54" s="5" t="s">
        <v>354</v>
      </c>
      <c r="AG54" s="5" t="s">
        <v>354</v>
      </c>
      <c r="AH54" s="5" t="s">
        <v>354</v>
      </c>
      <c r="AI54" s="6" t="str">
        <f t="shared" si="1"/>
        <v>No</v>
      </c>
      <c r="AJ54" s="6" t="s">
        <v>926</v>
      </c>
      <c r="AK54" s="6" t="s">
        <v>121</v>
      </c>
      <c r="AL54" s="6">
        <f>MATCH(AA54,{"Low","Medium","High"},0)*MATCH(AB54,{"Low","Medium","High"},0)*INDEX({3,2,2,1,1},MATCH(X54,{"Core","Vertical extension","Differentiator","Future","Adjacent"},0))</f>
        <v>6</v>
      </c>
      <c r="AM54" s="5"/>
      <c r="AN54" s="5"/>
      <c r="AO54" s="5"/>
      <c r="AP54" s="5"/>
      <c r="AQ54" s="5"/>
      <c r="AR54" s="5"/>
      <c r="AS54" s="5"/>
      <c r="AT54" s="5"/>
      <c r="AU54" s="6" t="s">
        <v>927</v>
      </c>
      <c r="AV54" s="6" t="s">
        <v>54</v>
      </c>
      <c r="AW54" s="6" t="s">
        <v>1285</v>
      </c>
      <c r="AX54" s="6" t="s">
        <v>929</v>
      </c>
      <c r="AY54" s="6" t="s">
        <v>930</v>
      </c>
      <c r="AZ54" s="6"/>
      <c r="BA54" s="6" t="s">
        <v>1286</v>
      </c>
      <c r="BB54" s="6" t="s">
        <v>1287</v>
      </c>
      <c r="BC54" s="6" t="s">
        <v>97</v>
      </c>
      <c r="BD54" s="6" t="s">
        <v>97</v>
      </c>
    </row>
    <row r="55" spans="1:56" ht="32" customHeight="1" x14ac:dyDescent="0.35">
      <c r="A55" s="13" t="s">
        <v>1288</v>
      </c>
      <c r="B55" s="6" t="s">
        <v>910</v>
      </c>
      <c r="C55" s="5" t="s">
        <v>54</v>
      </c>
      <c r="D55" s="5" t="s">
        <v>829</v>
      </c>
      <c r="E55" s="5" t="s">
        <v>1289</v>
      </c>
      <c r="F55" s="5" t="s">
        <v>1290</v>
      </c>
      <c r="G55" s="5" t="s">
        <v>1291</v>
      </c>
      <c r="H55" s="5" t="s">
        <v>1292</v>
      </c>
      <c r="I55" s="5" t="s">
        <v>1293</v>
      </c>
      <c r="J55" s="17" t="s">
        <v>121</v>
      </c>
      <c r="K55" s="17" t="s">
        <v>181</v>
      </c>
      <c r="L55" s="5" t="s">
        <v>1294</v>
      </c>
      <c r="M55" s="6" t="s">
        <v>197</v>
      </c>
      <c r="N55" s="6" t="s">
        <v>809</v>
      </c>
      <c r="O55" s="6" t="s">
        <v>121</v>
      </c>
      <c r="P55" s="5" t="s">
        <v>918</v>
      </c>
      <c r="Q55" s="18" t="s">
        <v>186</v>
      </c>
      <c r="R55" s="5" t="s">
        <v>1295</v>
      </c>
      <c r="S55" s="6" t="s">
        <v>980</v>
      </c>
      <c r="T55" s="5" t="s">
        <v>981</v>
      </c>
      <c r="U55" s="6"/>
      <c r="V55" s="6" t="s">
        <v>982</v>
      </c>
      <c r="W55" s="6" t="s">
        <v>331</v>
      </c>
      <c r="X55" s="5" t="s">
        <v>922</v>
      </c>
      <c r="Y55" s="5" t="s">
        <v>658</v>
      </c>
      <c r="Z55" s="5" t="str">
        <f t="shared" si="0"/>
        <v>High</v>
      </c>
      <c r="AA55" s="5" t="s">
        <v>923</v>
      </c>
      <c r="AB55" s="6" t="s">
        <v>924</v>
      </c>
      <c r="AC55" s="6" t="s">
        <v>103</v>
      </c>
      <c r="AD55" s="5" t="s">
        <v>940</v>
      </c>
      <c r="AE55" s="5" t="s">
        <v>354</v>
      </c>
      <c r="AF55" s="5" t="s">
        <v>354</v>
      </c>
      <c r="AG55" s="5" t="s">
        <v>354</v>
      </c>
      <c r="AH55" s="5" t="s">
        <v>354</v>
      </c>
      <c r="AI55" s="6" t="str">
        <f t="shared" si="1"/>
        <v>No</v>
      </c>
      <c r="AJ55" s="6" t="s">
        <v>941</v>
      </c>
      <c r="AK55" s="6" t="s">
        <v>121</v>
      </c>
      <c r="AL55" s="6">
        <f>MATCH(AA55,{"Low","Medium","High"},0)*MATCH(AB55,{"Low","Medium","High"},0)*INDEX({3,2,2,1,1},MATCH(X55,{"Core","Vertical extension","Differentiator","Future","Adjacent"},0))</f>
        <v>9</v>
      </c>
      <c r="AM55" s="5"/>
      <c r="AN55" s="5"/>
      <c r="AO55" s="5"/>
      <c r="AP55" s="5"/>
      <c r="AQ55" s="5"/>
      <c r="AR55" s="5"/>
      <c r="AS55" s="5"/>
      <c r="AT55" s="5"/>
      <c r="AU55" s="6" t="s">
        <v>927</v>
      </c>
      <c r="AV55" s="6" t="s">
        <v>54</v>
      </c>
      <c r="AW55" s="6" t="s">
        <v>1296</v>
      </c>
      <c r="AX55" s="6" t="s">
        <v>929</v>
      </c>
      <c r="AY55" s="6" t="s">
        <v>930</v>
      </c>
      <c r="AZ55" s="6"/>
      <c r="BA55" s="6" t="s">
        <v>1297</v>
      </c>
      <c r="BB55" s="6" t="s">
        <v>984</v>
      </c>
      <c r="BC55" s="6" t="s">
        <v>97</v>
      </c>
      <c r="BD55" s="6" t="s">
        <v>97</v>
      </c>
    </row>
    <row r="56" spans="1:56" ht="32" customHeight="1" x14ac:dyDescent="0.35">
      <c r="A56" s="13" t="s">
        <v>1298</v>
      </c>
      <c r="B56" s="6" t="s">
        <v>910</v>
      </c>
      <c r="C56" s="5" t="s">
        <v>54</v>
      </c>
      <c r="D56" s="5" t="s">
        <v>833</v>
      </c>
      <c r="E56" s="5" t="s">
        <v>1299</v>
      </c>
      <c r="F56" s="5" t="s">
        <v>1300</v>
      </c>
      <c r="G56" s="5" t="s">
        <v>1301</v>
      </c>
      <c r="H56" s="5" t="s">
        <v>1302</v>
      </c>
      <c r="I56" s="5" t="s">
        <v>1303</v>
      </c>
      <c r="J56" s="17" t="s">
        <v>121</v>
      </c>
      <c r="K56" s="17" t="s">
        <v>181</v>
      </c>
      <c r="L56" s="5" t="s">
        <v>1304</v>
      </c>
      <c r="M56" s="6" t="s">
        <v>197</v>
      </c>
      <c r="N56" s="6" t="s">
        <v>809</v>
      </c>
      <c r="O56" s="6" t="s">
        <v>121</v>
      </c>
      <c r="P56" s="5" t="s">
        <v>918</v>
      </c>
      <c r="Q56" s="18" t="s">
        <v>186</v>
      </c>
      <c r="R56" s="5" t="s">
        <v>1305</v>
      </c>
      <c r="S56" s="6" t="s">
        <v>919</v>
      </c>
      <c r="T56" s="5" t="s">
        <v>920</v>
      </c>
      <c r="U56" s="6"/>
      <c r="V56" s="6" t="s">
        <v>921</v>
      </c>
      <c r="W56" s="6" t="s">
        <v>331</v>
      </c>
      <c r="X56" s="5" t="s">
        <v>922</v>
      </c>
      <c r="Y56" s="5" t="s">
        <v>658</v>
      </c>
      <c r="Z56" s="5" t="str">
        <f t="shared" si="0"/>
        <v>Medium</v>
      </c>
      <c r="AA56" s="5" t="s">
        <v>956</v>
      </c>
      <c r="AB56" s="6" t="s">
        <v>924</v>
      </c>
      <c r="AC56" s="6" t="s">
        <v>103</v>
      </c>
      <c r="AD56" s="5" t="s">
        <v>940</v>
      </c>
      <c r="AE56" s="5" t="s">
        <v>354</v>
      </c>
      <c r="AF56" s="5" t="s">
        <v>354</v>
      </c>
      <c r="AG56" s="5" t="s">
        <v>354</v>
      </c>
      <c r="AH56" s="5" t="s">
        <v>354</v>
      </c>
      <c r="AI56" s="6" t="str">
        <f t="shared" si="1"/>
        <v>No</v>
      </c>
      <c r="AJ56" s="6" t="s">
        <v>941</v>
      </c>
      <c r="AK56" s="6" t="s">
        <v>121</v>
      </c>
      <c r="AL56" s="6">
        <f>MATCH(AA56,{"Low","Medium","High"},0)*MATCH(AB56,{"Low","Medium","High"},0)*INDEX({3,2,2,1,1},MATCH(X56,{"Core","Vertical extension","Differentiator","Future","Adjacent"},0))</f>
        <v>6</v>
      </c>
      <c r="AM56" s="5"/>
      <c r="AN56" s="5"/>
      <c r="AO56" s="5"/>
      <c r="AP56" s="5"/>
      <c r="AQ56" s="5"/>
      <c r="AR56" s="5"/>
      <c r="AS56" s="5"/>
      <c r="AT56" s="5"/>
      <c r="AU56" s="6" t="s">
        <v>927</v>
      </c>
      <c r="AV56" s="6" t="s">
        <v>54</v>
      </c>
      <c r="AW56" s="6" t="s">
        <v>1306</v>
      </c>
      <c r="AX56" s="6" t="s">
        <v>929</v>
      </c>
      <c r="AY56" s="6" t="s">
        <v>930</v>
      </c>
      <c r="AZ56" s="6"/>
      <c r="BA56" s="6" t="s">
        <v>1307</v>
      </c>
      <c r="BB56" s="6" t="s">
        <v>1287</v>
      </c>
      <c r="BC56" s="6" t="s">
        <v>97</v>
      </c>
      <c r="BD56" s="6" t="s">
        <v>97</v>
      </c>
    </row>
    <row r="57" spans="1:56" ht="32" customHeight="1" x14ac:dyDescent="0.35">
      <c r="A57" s="13" t="s">
        <v>1308</v>
      </c>
      <c r="B57" s="6" t="s">
        <v>910</v>
      </c>
      <c r="C57" s="5" t="s">
        <v>54</v>
      </c>
      <c r="D57" s="5" t="s">
        <v>833</v>
      </c>
      <c r="E57" s="5" t="s">
        <v>1309</v>
      </c>
      <c r="F57" s="5" t="s">
        <v>1310</v>
      </c>
      <c r="G57" s="5" t="s">
        <v>1311</v>
      </c>
      <c r="H57" s="5" t="s">
        <v>1312</v>
      </c>
      <c r="I57" s="5" t="s">
        <v>1313</v>
      </c>
      <c r="J57" s="17" t="s">
        <v>121</v>
      </c>
      <c r="K57" s="17" t="s">
        <v>181</v>
      </c>
      <c r="L57" s="5" t="s">
        <v>1314</v>
      </c>
      <c r="M57" s="6" t="s">
        <v>197</v>
      </c>
      <c r="N57" s="6" t="s">
        <v>809</v>
      </c>
      <c r="O57" s="6" t="s">
        <v>121</v>
      </c>
      <c r="P57" s="5" t="s">
        <v>918</v>
      </c>
      <c r="Q57" s="17" t="s">
        <v>182</v>
      </c>
      <c r="R57" s="5"/>
      <c r="S57" s="6" t="s">
        <v>919</v>
      </c>
      <c r="T57" s="5" t="s">
        <v>920</v>
      </c>
      <c r="U57" s="6"/>
      <c r="V57" s="6" t="s">
        <v>921</v>
      </c>
      <c r="W57" s="6" t="s">
        <v>331</v>
      </c>
      <c r="X57" s="5" t="s">
        <v>922</v>
      </c>
      <c r="Y57" s="5" t="s">
        <v>658</v>
      </c>
      <c r="Z57" s="5" t="str">
        <f t="shared" si="0"/>
        <v>Medium</v>
      </c>
      <c r="AA57" s="5" t="s">
        <v>956</v>
      </c>
      <c r="AB57" s="6" t="s">
        <v>924</v>
      </c>
      <c r="AC57" s="6" t="s">
        <v>103</v>
      </c>
      <c r="AD57" s="5" t="s">
        <v>925</v>
      </c>
      <c r="AE57" s="5" t="s">
        <v>354</v>
      </c>
      <c r="AF57" s="5" t="s">
        <v>354</v>
      </c>
      <c r="AG57" s="5" t="s">
        <v>354</v>
      </c>
      <c r="AH57" s="5" t="s">
        <v>354</v>
      </c>
      <c r="AI57" s="6" t="str">
        <f t="shared" si="1"/>
        <v>No</v>
      </c>
      <c r="AJ57" s="6" t="s">
        <v>926</v>
      </c>
      <c r="AK57" s="6" t="s">
        <v>121</v>
      </c>
      <c r="AL57" s="6">
        <f>MATCH(AA57,{"Low","Medium","High"},0)*MATCH(AB57,{"Low","Medium","High"},0)*INDEX({3,2,2,1,1},MATCH(X57,{"Core","Vertical extension","Differentiator","Future","Adjacent"},0))</f>
        <v>6</v>
      </c>
      <c r="AM57" s="5"/>
      <c r="AN57" s="5"/>
      <c r="AO57" s="5"/>
      <c r="AP57" s="5"/>
      <c r="AQ57" s="5"/>
      <c r="AR57" s="5"/>
      <c r="AS57" s="5"/>
      <c r="AT57" s="5"/>
      <c r="AU57" s="6" t="s">
        <v>927</v>
      </c>
      <c r="AV57" s="6" t="s">
        <v>54</v>
      </c>
      <c r="AW57" s="6" t="s">
        <v>1315</v>
      </c>
      <c r="AX57" s="6" t="s">
        <v>929</v>
      </c>
      <c r="AY57" s="6" t="s">
        <v>930</v>
      </c>
      <c r="AZ57" s="6"/>
      <c r="BA57" s="6"/>
      <c r="BB57" s="6"/>
      <c r="BC57" s="6" t="s">
        <v>97</v>
      </c>
      <c r="BD57" s="6" t="s">
        <v>97</v>
      </c>
    </row>
    <row r="58" spans="1:56" ht="32" customHeight="1" x14ac:dyDescent="0.35">
      <c r="A58" s="13" t="s">
        <v>1316</v>
      </c>
      <c r="B58" s="6" t="s">
        <v>910</v>
      </c>
      <c r="C58" s="5" t="s">
        <v>54</v>
      </c>
      <c r="D58" s="5" t="s">
        <v>834</v>
      </c>
      <c r="E58" s="5" t="s">
        <v>1317</v>
      </c>
      <c r="F58" s="5" t="s">
        <v>1318</v>
      </c>
      <c r="G58" s="5" t="s">
        <v>1311</v>
      </c>
      <c r="H58" s="5" t="s">
        <v>1319</v>
      </c>
      <c r="I58" s="5" t="s">
        <v>1320</v>
      </c>
      <c r="J58" s="16" t="s">
        <v>73</v>
      </c>
      <c r="K58" s="17" t="s">
        <v>181</v>
      </c>
      <c r="L58" s="5" t="s">
        <v>1321</v>
      </c>
      <c r="M58" s="6" t="s">
        <v>197</v>
      </c>
      <c r="N58" s="6" t="s">
        <v>809</v>
      </c>
      <c r="O58" s="6" t="s">
        <v>73</v>
      </c>
      <c r="P58" s="5" t="s">
        <v>918</v>
      </c>
      <c r="Q58" s="17" t="s">
        <v>182</v>
      </c>
      <c r="R58" s="5"/>
      <c r="S58" s="6" t="s">
        <v>1000</v>
      </c>
      <c r="T58" s="5" t="s">
        <v>1001</v>
      </c>
      <c r="U58" s="6"/>
      <c r="V58" s="6" t="s">
        <v>1002</v>
      </c>
      <c r="W58" s="6" t="s">
        <v>333</v>
      </c>
      <c r="X58" s="5" t="s">
        <v>922</v>
      </c>
      <c r="Y58" s="5" t="s">
        <v>658</v>
      </c>
      <c r="Z58" s="5" t="str">
        <f t="shared" si="0"/>
        <v>Critical</v>
      </c>
      <c r="AA58" s="5" t="s">
        <v>923</v>
      </c>
      <c r="AB58" s="6" t="s">
        <v>956</v>
      </c>
      <c r="AC58" s="6" t="s">
        <v>78</v>
      </c>
      <c r="AD58" s="5" t="s">
        <v>925</v>
      </c>
      <c r="AE58" s="5" t="s">
        <v>354</v>
      </c>
      <c r="AF58" s="5" t="s">
        <v>354</v>
      </c>
      <c r="AG58" s="5" t="s">
        <v>354</v>
      </c>
      <c r="AH58" s="5" t="s">
        <v>354</v>
      </c>
      <c r="AI58" s="6" t="str">
        <f t="shared" si="1"/>
        <v>No</v>
      </c>
      <c r="AJ58" s="6" t="s">
        <v>926</v>
      </c>
      <c r="AK58" s="6" t="s">
        <v>73</v>
      </c>
      <c r="AL58" s="6">
        <f>MATCH(AA58,{"Low","Medium","High"},0)*MATCH(AB58,{"Low","Medium","High"},0)*INDEX({3,2,2,1,1},MATCH(X58,{"Core","Vertical extension","Differentiator","Future","Adjacent"},0))</f>
        <v>18</v>
      </c>
      <c r="AM58" s="5"/>
      <c r="AN58" s="5"/>
      <c r="AO58" s="5"/>
      <c r="AP58" s="5"/>
      <c r="AQ58" s="5"/>
      <c r="AR58" s="5"/>
      <c r="AS58" s="5"/>
      <c r="AT58" s="5"/>
      <c r="AU58" s="6" t="s">
        <v>927</v>
      </c>
      <c r="AV58" s="6" t="s">
        <v>54</v>
      </c>
      <c r="AW58" s="6" t="s">
        <v>1322</v>
      </c>
      <c r="AX58" s="6" t="s">
        <v>929</v>
      </c>
      <c r="AY58" s="6" t="s">
        <v>930</v>
      </c>
      <c r="AZ58" s="6"/>
      <c r="BA58" s="6"/>
      <c r="BB58" s="6"/>
      <c r="BC58" s="6" t="s">
        <v>97</v>
      </c>
      <c r="BD58" s="6" t="s">
        <v>97</v>
      </c>
    </row>
    <row r="59" spans="1:56" ht="32" customHeight="1" x14ac:dyDescent="0.35">
      <c r="A59" s="13" t="s">
        <v>1323</v>
      </c>
      <c r="B59" s="6" t="s">
        <v>910</v>
      </c>
      <c r="C59" s="5" t="s">
        <v>54</v>
      </c>
      <c r="D59" s="5" t="s">
        <v>834</v>
      </c>
      <c r="E59" s="5" t="s">
        <v>1324</v>
      </c>
      <c r="F59" s="5" t="s">
        <v>1318</v>
      </c>
      <c r="G59" s="5" t="s">
        <v>1311</v>
      </c>
      <c r="H59" s="5" t="s">
        <v>1325</v>
      </c>
      <c r="I59" s="5" t="s">
        <v>1326</v>
      </c>
      <c r="J59" s="16" t="s">
        <v>73</v>
      </c>
      <c r="K59" s="17" t="s">
        <v>181</v>
      </c>
      <c r="L59" s="5" t="s">
        <v>1327</v>
      </c>
      <c r="M59" s="6" t="s">
        <v>197</v>
      </c>
      <c r="N59" s="6" t="s">
        <v>809</v>
      </c>
      <c r="O59" s="6" t="s">
        <v>73</v>
      </c>
      <c r="P59" s="5" t="s">
        <v>918</v>
      </c>
      <c r="Q59" s="18" t="s">
        <v>186</v>
      </c>
      <c r="R59" s="5" t="s">
        <v>1328</v>
      </c>
      <c r="S59" s="6" t="s">
        <v>1000</v>
      </c>
      <c r="T59" s="5" t="s">
        <v>1001</v>
      </c>
      <c r="U59" s="6"/>
      <c r="V59" s="6" t="s">
        <v>1002</v>
      </c>
      <c r="W59" s="6" t="s">
        <v>333</v>
      </c>
      <c r="X59" s="5" t="s">
        <v>922</v>
      </c>
      <c r="Y59" s="5" t="s">
        <v>658</v>
      </c>
      <c r="Z59" s="5" t="str">
        <f t="shared" si="0"/>
        <v>Critical</v>
      </c>
      <c r="AA59" s="5" t="s">
        <v>923</v>
      </c>
      <c r="AB59" s="6" t="s">
        <v>956</v>
      </c>
      <c r="AC59" s="6" t="s">
        <v>78</v>
      </c>
      <c r="AD59" s="5" t="s">
        <v>940</v>
      </c>
      <c r="AE59" s="5" t="s">
        <v>354</v>
      </c>
      <c r="AF59" s="5" t="s">
        <v>354</v>
      </c>
      <c r="AG59" s="5" t="s">
        <v>354</v>
      </c>
      <c r="AH59" s="5" t="s">
        <v>354</v>
      </c>
      <c r="AI59" s="6" t="str">
        <f t="shared" si="1"/>
        <v>No</v>
      </c>
      <c r="AJ59" s="6" t="s">
        <v>941</v>
      </c>
      <c r="AK59" s="6" t="s">
        <v>73</v>
      </c>
      <c r="AL59" s="6">
        <f>MATCH(AA59,{"Low","Medium","High"},0)*MATCH(AB59,{"Low","Medium","High"},0)*INDEX({3,2,2,1,1},MATCH(X59,{"Core","Vertical extension","Differentiator","Future","Adjacent"},0))</f>
        <v>18</v>
      </c>
      <c r="AM59" s="5"/>
      <c r="AN59" s="5"/>
      <c r="AO59" s="5"/>
      <c r="AP59" s="5"/>
      <c r="AQ59" s="5"/>
      <c r="AR59" s="5"/>
      <c r="AS59" s="5"/>
      <c r="AT59" s="5"/>
      <c r="AU59" s="6" t="s">
        <v>927</v>
      </c>
      <c r="AV59" s="6" t="s">
        <v>54</v>
      </c>
      <c r="AW59" s="6" t="s">
        <v>1322</v>
      </c>
      <c r="AX59" s="6" t="s">
        <v>929</v>
      </c>
      <c r="AY59" s="6" t="s">
        <v>930</v>
      </c>
      <c r="AZ59" s="6"/>
      <c r="BA59" s="6" t="s">
        <v>1329</v>
      </c>
      <c r="BB59" s="6" t="s">
        <v>1330</v>
      </c>
      <c r="BC59" s="6" t="s">
        <v>97</v>
      </c>
      <c r="BD59" s="6" t="s">
        <v>97</v>
      </c>
    </row>
    <row r="60" spans="1:56" ht="32" customHeight="1" x14ac:dyDescent="0.35">
      <c r="A60" s="13" t="s">
        <v>1331</v>
      </c>
      <c r="B60" s="6" t="s">
        <v>910</v>
      </c>
      <c r="C60" s="5" t="s">
        <v>54</v>
      </c>
      <c r="D60" s="5" t="s">
        <v>834</v>
      </c>
      <c r="E60" s="5" t="s">
        <v>1332</v>
      </c>
      <c r="F60" s="5" t="s">
        <v>1333</v>
      </c>
      <c r="G60" s="5" t="s">
        <v>1311</v>
      </c>
      <c r="H60" s="5" t="s">
        <v>1334</v>
      </c>
      <c r="I60" s="5" t="s">
        <v>1335</v>
      </c>
      <c r="J60" s="17" t="s">
        <v>121</v>
      </c>
      <c r="K60" s="17" t="s">
        <v>181</v>
      </c>
      <c r="L60" s="5" t="s">
        <v>1336</v>
      </c>
      <c r="M60" s="6" t="s">
        <v>197</v>
      </c>
      <c r="N60" s="6" t="s">
        <v>809</v>
      </c>
      <c r="O60" s="6" t="s">
        <v>121</v>
      </c>
      <c r="P60" s="5" t="s">
        <v>918</v>
      </c>
      <c r="Q60" s="17" t="s">
        <v>182</v>
      </c>
      <c r="R60" s="5"/>
      <c r="S60" s="6" t="s">
        <v>1000</v>
      </c>
      <c r="T60" s="5" t="s">
        <v>1001</v>
      </c>
      <c r="U60" s="6"/>
      <c r="V60" s="6" t="s">
        <v>1002</v>
      </c>
      <c r="W60" s="6" t="s">
        <v>333</v>
      </c>
      <c r="X60" s="5" t="s">
        <v>922</v>
      </c>
      <c r="Y60" s="5" t="s">
        <v>658</v>
      </c>
      <c r="Z60" s="5" t="str">
        <f t="shared" si="0"/>
        <v>Critical</v>
      </c>
      <c r="AA60" s="5" t="s">
        <v>923</v>
      </c>
      <c r="AB60" s="6" t="s">
        <v>956</v>
      </c>
      <c r="AC60" s="6" t="s">
        <v>103</v>
      </c>
      <c r="AD60" s="5" t="s">
        <v>925</v>
      </c>
      <c r="AE60" s="5" t="s">
        <v>354</v>
      </c>
      <c r="AF60" s="5" t="s">
        <v>354</v>
      </c>
      <c r="AG60" s="5" t="s">
        <v>354</v>
      </c>
      <c r="AH60" s="5" t="s">
        <v>354</v>
      </c>
      <c r="AI60" s="6" t="str">
        <f t="shared" si="1"/>
        <v>No</v>
      </c>
      <c r="AJ60" s="6" t="s">
        <v>926</v>
      </c>
      <c r="AK60" s="6" t="s">
        <v>121</v>
      </c>
      <c r="AL60" s="6">
        <f>MATCH(AA60,{"Low","Medium","High"},0)*MATCH(AB60,{"Low","Medium","High"},0)*INDEX({3,2,2,1,1},MATCH(X60,{"Core","Vertical extension","Differentiator","Future","Adjacent"},0))</f>
        <v>18</v>
      </c>
      <c r="AM60" s="5"/>
      <c r="AN60" s="5"/>
      <c r="AO60" s="5"/>
      <c r="AP60" s="5"/>
      <c r="AQ60" s="5"/>
      <c r="AR60" s="5"/>
      <c r="AS60" s="5"/>
      <c r="AT60" s="5"/>
      <c r="AU60" s="6" t="s">
        <v>927</v>
      </c>
      <c r="AV60" s="6" t="s">
        <v>54</v>
      </c>
      <c r="AW60" s="6" t="s">
        <v>55</v>
      </c>
      <c r="AX60" s="6" t="s">
        <v>929</v>
      </c>
      <c r="AY60" s="6" t="s">
        <v>930</v>
      </c>
      <c r="AZ60" s="6"/>
      <c r="BA60" s="6"/>
      <c r="BB60" s="6"/>
      <c r="BC60" s="6" t="s">
        <v>97</v>
      </c>
      <c r="BD60" s="6" t="s">
        <v>97</v>
      </c>
    </row>
    <row r="61" spans="1:56" ht="32" customHeight="1" x14ac:dyDescent="0.35">
      <c r="A61" s="13" t="s">
        <v>1337</v>
      </c>
      <c r="B61" s="6" t="s">
        <v>910</v>
      </c>
      <c r="C61" s="5" t="s">
        <v>54</v>
      </c>
      <c r="D61" s="5" t="s">
        <v>835</v>
      </c>
      <c r="E61" s="5" t="s">
        <v>1338</v>
      </c>
      <c r="F61" s="5" t="s">
        <v>1339</v>
      </c>
      <c r="G61" s="5" t="s">
        <v>1340</v>
      </c>
      <c r="H61" s="5" t="s">
        <v>1341</v>
      </c>
      <c r="I61" s="5" t="s">
        <v>1342</v>
      </c>
      <c r="J61" s="17" t="s">
        <v>121</v>
      </c>
      <c r="K61" s="17" t="s">
        <v>181</v>
      </c>
      <c r="L61" s="5" t="s">
        <v>1343</v>
      </c>
      <c r="M61" s="6" t="s">
        <v>197</v>
      </c>
      <c r="N61" s="6" t="s">
        <v>809</v>
      </c>
      <c r="O61" s="6" t="s">
        <v>121</v>
      </c>
      <c r="P61" s="5" t="s">
        <v>918</v>
      </c>
      <c r="Q61" s="17" t="s">
        <v>182</v>
      </c>
      <c r="R61" s="5"/>
      <c r="S61" s="6" t="s">
        <v>1076</v>
      </c>
      <c r="T61" s="5" t="s">
        <v>1077</v>
      </c>
      <c r="U61" s="6"/>
      <c r="V61" s="6" t="s">
        <v>1078</v>
      </c>
      <c r="W61" s="6" t="s">
        <v>331</v>
      </c>
      <c r="X61" s="5" t="s">
        <v>922</v>
      </c>
      <c r="Y61" s="5" t="s">
        <v>658</v>
      </c>
      <c r="Z61" s="5" t="str">
        <f t="shared" si="0"/>
        <v>Medium</v>
      </c>
      <c r="AA61" s="5" t="s">
        <v>956</v>
      </c>
      <c r="AB61" s="6" t="s">
        <v>924</v>
      </c>
      <c r="AC61" s="6" t="s">
        <v>103</v>
      </c>
      <c r="AD61" s="5" t="s">
        <v>925</v>
      </c>
      <c r="AE61" s="5" t="s">
        <v>354</v>
      </c>
      <c r="AF61" s="5" t="s">
        <v>354</v>
      </c>
      <c r="AG61" s="5" t="s">
        <v>354</v>
      </c>
      <c r="AH61" s="5" t="s">
        <v>354</v>
      </c>
      <c r="AI61" s="6" t="str">
        <f t="shared" si="1"/>
        <v>No</v>
      </c>
      <c r="AJ61" s="6" t="s">
        <v>926</v>
      </c>
      <c r="AK61" s="6" t="s">
        <v>121</v>
      </c>
      <c r="AL61" s="6">
        <f>MATCH(AA61,{"Low","Medium","High"},0)*MATCH(AB61,{"Low","Medium","High"},0)*INDEX({3,2,2,1,1},MATCH(X61,{"Core","Vertical extension","Differentiator","Future","Adjacent"},0))</f>
        <v>6</v>
      </c>
      <c r="AM61" s="5"/>
      <c r="AN61" s="5"/>
      <c r="AO61" s="5"/>
      <c r="AP61" s="5"/>
      <c r="AQ61" s="5"/>
      <c r="AR61" s="5"/>
      <c r="AS61" s="5"/>
      <c r="AT61" s="5"/>
      <c r="AU61" s="6" t="s">
        <v>927</v>
      </c>
      <c r="AV61" s="6" t="s">
        <v>54</v>
      </c>
      <c r="AW61" s="6" t="s">
        <v>1344</v>
      </c>
      <c r="AX61" s="6" t="s">
        <v>929</v>
      </c>
      <c r="AY61" s="6" t="s">
        <v>930</v>
      </c>
      <c r="AZ61" s="6"/>
      <c r="BA61" s="6"/>
      <c r="BB61" s="6"/>
      <c r="BC61" s="6" t="s">
        <v>97</v>
      </c>
      <c r="BD61" s="6" t="s">
        <v>97</v>
      </c>
    </row>
    <row r="62" spans="1:56" ht="32" customHeight="1" x14ac:dyDescent="0.35">
      <c r="A62" s="13" t="s">
        <v>1345</v>
      </c>
      <c r="B62" s="6" t="s">
        <v>910</v>
      </c>
      <c r="C62" s="5" t="s">
        <v>54</v>
      </c>
      <c r="D62" s="5" t="s">
        <v>829</v>
      </c>
      <c r="E62" s="5" t="s">
        <v>1346</v>
      </c>
      <c r="F62" s="5" t="s">
        <v>1347</v>
      </c>
      <c r="G62" s="5" t="s">
        <v>951</v>
      </c>
      <c r="H62" s="5" t="s">
        <v>1348</v>
      </c>
      <c r="I62" s="5" t="s">
        <v>1349</v>
      </c>
      <c r="J62" s="17" t="s">
        <v>121</v>
      </c>
      <c r="K62" s="17" t="s">
        <v>181</v>
      </c>
      <c r="L62" s="5" t="s">
        <v>1350</v>
      </c>
      <c r="M62" s="6" t="s">
        <v>197</v>
      </c>
      <c r="N62" s="6" t="s">
        <v>809</v>
      </c>
      <c r="O62" s="6" t="s">
        <v>121</v>
      </c>
      <c r="P62" s="5" t="s">
        <v>918</v>
      </c>
      <c r="Q62" s="17" t="s">
        <v>182</v>
      </c>
      <c r="R62" s="5"/>
      <c r="S62" s="6" t="s">
        <v>980</v>
      </c>
      <c r="T62" s="5" t="s">
        <v>981</v>
      </c>
      <c r="U62" s="6"/>
      <c r="V62" s="6" t="s">
        <v>982</v>
      </c>
      <c r="W62" s="6" t="s">
        <v>331</v>
      </c>
      <c r="X62" s="5" t="s">
        <v>922</v>
      </c>
      <c r="Y62" s="5" t="s">
        <v>658</v>
      </c>
      <c r="Z62" s="5" t="str">
        <f t="shared" si="0"/>
        <v>High</v>
      </c>
      <c r="AA62" s="5" t="s">
        <v>923</v>
      </c>
      <c r="AB62" s="6" t="s">
        <v>924</v>
      </c>
      <c r="AC62" s="6" t="s">
        <v>103</v>
      </c>
      <c r="AD62" s="5" t="s">
        <v>925</v>
      </c>
      <c r="AE62" s="5" t="s">
        <v>354</v>
      </c>
      <c r="AF62" s="5" t="s">
        <v>354</v>
      </c>
      <c r="AG62" s="5" t="s">
        <v>354</v>
      </c>
      <c r="AH62" s="5" t="s">
        <v>354</v>
      </c>
      <c r="AI62" s="6" t="str">
        <f t="shared" si="1"/>
        <v>No</v>
      </c>
      <c r="AJ62" s="6" t="s">
        <v>926</v>
      </c>
      <c r="AK62" s="6" t="s">
        <v>121</v>
      </c>
      <c r="AL62" s="6">
        <f>MATCH(AA62,{"Low","Medium","High"},0)*MATCH(AB62,{"Low","Medium","High"},0)*INDEX({3,2,2,1,1},MATCH(X62,{"Core","Vertical extension","Differentiator","Future","Adjacent"},0))</f>
        <v>9</v>
      </c>
      <c r="AM62" s="5"/>
      <c r="AN62" s="5"/>
      <c r="AO62" s="5"/>
      <c r="AP62" s="5"/>
      <c r="AQ62" s="5"/>
      <c r="AR62" s="5"/>
      <c r="AS62" s="5"/>
      <c r="AT62" s="5"/>
      <c r="AU62" s="6" t="s">
        <v>927</v>
      </c>
      <c r="AV62" s="6" t="s">
        <v>54</v>
      </c>
      <c r="AW62" s="6" t="s">
        <v>1296</v>
      </c>
      <c r="AX62" s="6" t="s">
        <v>929</v>
      </c>
      <c r="AY62" s="6" t="s">
        <v>930</v>
      </c>
      <c r="AZ62" s="6"/>
      <c r="BA62" s="6"/>
      <c r="BB62" s="6"/>
      <c r="BC62" s="6" t="s">
        <v>97</v>
      </c>
      <c r="BD62" s="6" t="s">
        <v>97</v>
      </c>
    </row>
    <row r="63" spans="1:56" ht="32" customHeight="1" x14ac:dyDescent="0.35">
      <c r="A63" s="13" t="s">
        <v>1351</v>
      </c>
      <c r="B63" s="6" t="s">
        <v>910</v>
      </c>
      <c r="C63" s="5" t="s">
        <v>54</v>
      </c>
      <c r="D63" s="5" t="s">
        <v>839</v>
      </c>
      <c r="E63" s="5" t="s">
        <v>1352</v>
      </c>
      <c r="F63" s="5" t="s">
        <v>1353</v>
      </c>
      <c r="G63" s="5" t="s">
        <v>1354</v>
      </c>
      <c r="H63" s="5" t="s">
        <v>1355</v>
      </c>
      <c r="I63" s="5" t="s">
        <v>1356</v>
      </c>
      <c r="J63" s="17" t="s">
        <v>121</v>
      </c>
      <c r="K63" s="17" t="s">
        <v>181</v>
      </c>
      <c r="L63" s="5" t="s">
        <v>1357</v>
      </c>
      <c r="M63" s="6" t="s">
        <v>197</v>
      </c>
      <c r="N63" s="6" t="s">
        <v>809</v>
      </c>
      <c r="O63" s="6" t="s">
        <v>121</v>
      </c>
      <c r="P63" s="5" t="s">
        <v>918</v>
      </c>
      <c r="Q63" s="18" t="s">
        <v>186</v>
      </c>
      <c r="R63" s="5" t="s">
        <v>1358</v>
      </c>
      <c r="S63" s="6" t="s">
        <v>1359</v>
      </c>
      <c r="T63" s="5" t="s">
        <v>1360</v>
      </c>
      <c r="U63" s="6"/>
      <c r="V63" s="6" t="s">
        <v>982</v>
      </c>
      <c r="W63" s="6" t="s">
        <v>331</v>
      </c>
      <c r="X63" s="5" t="s">
        <v>922</v>
      </c>
      <c r="Y63" s="5" t="s">
        <v>658</v>
      </c>
      <c r="Z63" s="5" t="str">
        <f t="shared" si="0"/>
        <v>Medium</v>
      </c>
      <c r="AA63" s="5" t="s">
        <v>956</v>
      </c>
      <c r="AB63" s="6" t="s">
        <v>924</v>
      </c>
      <c r="AC63" s="6" t="s">
        <v>103</v>
      </c>
      <c r="AD63" s="5" t="s">
        <v>940</v>
      </c>
      <c r="AE63" s="5" t="s">
        <v>354</v>
      </c>
      <c r="AF63" s="5" t="s">
        <v>354</v>
      </c>
      <c r="AG63" s="5" t="s">
        <v>354</v>
      </c>
      <c r="AH63" s="5" t="s">
        <v>354</v>
      </c>
      <c r="AI63" s="6" t="str">
        <f t="shared" si="1"/>
        <v>No</v>
      </c>
      <c r="AJ63" s="6" t="s">
        <v>941</v>
      </c>
      <c r="AK63" s="6" t="s">
        <v>121</v>
      </c>
      <c r="AL63" s="6">
        <f>MATCH(AA63,{"Low","Medium","High"},0)*MATCH(AB63,{"Low","Medium","High"},0)*INDEX({3,2,2,1,1},MATCH(X63,{"Core","Vertical extension","Differentiator","Future","Adjacent"},0))</f>
        <v>6</v>
      </c>
      <c r="AM63" s="5"/>
      <c r="AN63" s="5"/>
      <c r="AO63" s="5"/>
      <c r="AP63" s="5"/>
      <c r="AQ63" s="5"/>
      <c r="AR63" s="5"/>
      <c r="AS63" s="5"/>
      <c r="AT63" s="5"/>
      <c r="AU63" s="6" t="s">
        <v>927</v>
      </c>
      <c r="AV63" s="6" t="s">
        <v>54</v>
      </c>
      <c r="AW63" s="6" t="s">
        <v>1306</v>
      </c>
      <c r="AX63" s="6" t="s">
        <v>929</v>
      </c>
      <c r="AY63" s="6" t="s">
        <v>930</v>
      </c>
      <c r="AZ63" s="6"/>
      <c r="BA63" s="6" t="s">
        <v>1361</v>
      </c>
      <c r="BB63" s="6" t="s">
        <v>1362</v>
      </c>
      <c r="BC63" s="6" t="s">
        <v>97</v>
      </c>
      <c r="BD63" s="6" t="s">
        <v>97</v>
      </c>
    </row>
    <row r="64" spans="1:56" ht="32" customHeight="1" x14ac:dyDescent="0.35">
      <c r="A64" s="13" t="s">
        <v>1363</v>
      </c>
      <c r="B64" s="6" t="s">
        <v>910</v>
      </c>
      <c r="C64" s="5" t="s">
        <v>54</v>
      </c>
      <c r="D64" s="5" t="s">
        <v>829</v>
      </c>
      <c r="E64" s="5" t="s">
        <v>1364</v>
      </c>
      <c r="F64" s="5" t="s">
        <v>1347</v>
      </c>
      <c r="G64" s="5" t="s">
        <v>1017</v>
      </c>
      <c r="H64" s="5" t="s">
        <v>1365</v>
      </c>
      <c r="I64" s="5" t="s">
        <v>1366</v>
      </c>
      <c r="J64" s="17" t="s">
        <v>121</v>
      </c>
      <c r="K64" s="17" t="s">
        <v>181</v>
      </c>
      <c r="L64" s="5" t="s">
        <v>1367</v>
      </c>
      <c r="M64" s="6" t="s">
        <v>197</v>
      </c>
      <c r="N64" s="6" t="s">
        <v>809</v>
      </c>
      <c r="O64" s="6" t="s">
        <v>121</v>
      </c>
      <c r="P64" s="5" t="s">
        <v>918</v>
      </c>
      <c r="Q64" s="18" t="s">
        <v>186</v>
      </c>
      <c r="R64" s="5" t="s">
        <v>1368</v>
      </c>
      <c r="S64" s="6" t="s">
        <v>980</v>
      </c>
      <c r="T64" s="5" t="s">
        <v>981</v>
      </c>
      <c r="U64" s="6"/>
      <c r="V64" s="6" t="s">
        <v>982</v>
      </c>
      <c r="W64" s="6" t="s">
        <v>331</v>
      </c>
      <c r="X64" s="5" t="s">
        <v>922</v>
      </c>
      <c r="Y64" s="5" t="s">
        <v>658</v>
      </c>
      <c r="Z64" s="5" t="str">
        <f t="shared" si="0"/>
        <v>High</v>
      </c>
      <c r="AA64" s="5" t="s">
        <v>923</v>
      </c>
      <c r="AB64" s="6" t="s">
        <v>924</v>
      </c>
      <c r="AC64" s="6" t="s">
        <v>103</v>
      </c>
      <c r="AD64" s="5" t="s">
        <v>940</v>
      </c>
      <c r="AE64" s="5" t="s">
        <v>354</v>
      </c>
      <c r="AF64" s="5" t="s">
        <v>354</v>
      </c>
      <c r="AG64" s="5" t="s">
        <v>354</v>
      </c>
      <c r="AH64" s="5" t="s">
        <v>354</v>
      </c>
      <c r="AI64" s="6" t="str">
        <f t="shared" si="1"/>
        <v>No</v>
      </c>
      <c r="AJ64" s="6" t="s">
        <v>941</v>
      </c>
      <c r="AK64" s="6" t="s">
        <v>121</v>
      </c>
      <c r="AL64" s="6">
        <f>MATCH(AA64,{"Low","Medium","High"},0)*MATCH(AB64,{"Low","Medium","High"},0)*INDEX({3,2,2,1,1},MATCH(X64,{"Core","Vertical extension","Differentiator","Future","Adjacent"},0))</f>
        <v>9</v>
      </c>
      <c r="AM64" s="5"/>
      <c r="AN64" s="5"/>
      <c r="AO64" s="5"/>
      <c r="AP64" s="5"/>
      <c r="AQ64" s="5"/>
      <c r="AR64" s="5"/>
      <c r="AS64" s="5"/>
      <c r="AT64" s="5"/>
      <c r="AU64" s="6" t="s">
        <v>927</v>
      </c>
      <c r="AV64" s="6" t="s">
        <v>54</v>
      </c>
      <c r="AW64" s="6" t="s">
        <v>1296</v>
      </c>
      <c r="AX64" s="6" t="s">
        <v>929</v>
      </c>
      <c r="AY64" s="6" t="s">
        <v>930</v>
      </c>
      <c r="AZ64" s="6"/>
      <c r="BA64" s="6" t="s">
        <v>1369</v>
      </c>
      <c r="BB64" s="6" t="s">
        <v>1370</v>
      </c>
      <c r="BC64" s="6" t="s">
        <v>97</v>
      </c>
      <c r="BD64" s="6" t="s">
        <v>97</v>
      </c>
    </row>
    <row r="65" spans="1:56" ht="32" customHeight="1" x14ac:dyDescent="0.35">
      <c r="A65" s="13" t="s">
        <v>1371</v>
      </c>
      <c r="B65" s="6" t="s">
        <v>910</v>
      </c>
      <c r="C65" s="5" t="s">
        <v>54</v>
      </c>
      <c r="D65" s="5" t="s">
        <v>829</v>
      </c>
      <c r="E65" s="5" t="s">
        <v>1372</v>
      </c>
      <c r="F65" s="5" t="s">
        <v>1373</v>
      </c>
      <c r="G65" s="5" t="s">
        <v>1374</v>
      </c>
      <c r="H65" s="5" t="s">
        <v>1375</v>
      </c>
      <c r="I65" s="5" t="s">
        <v>1376</v>
      </c>
      <c r="J65" s="17" t="s">
        <v>121</v>
      </c>
      <c r="K65" s="17" t="s">
        <v>181</v>
      </c>
      <c r="L65" s="5" t="s">
        <v>1377</v>
      </c>
      <c r="M65" s="6" t="s">
        <v>197</v>
      </c>
      <c r="N65" s="6" t="s">
        <v>809</v>
      </c>
      <c r="O65" s="6" t="s">
        <v>121</v>
      </c>
      <c r="P65" s="5" t="s">
        <v>918</v>
      </c>
      <c r="Q65" s="17" t="s">
        <v>182</v>
      </c>
      <c r="R65" s="5"/>
      <c r="S65" s="6" t="s">
        <v>980</v>
      </c>
      <c r="T65" s="5" t="s">
        <v>981</v>
      </c>
      <c r="U65" s="6"/>
      <c r="V65" s="6" t="s">
        <v>982</v>
      </c>
      <c r="W65" s="6" t="s">
        <v>331</v>
      </c>
      <c r="X65" s="5" t="s">
        <v>922</v>
      </c>
      <c r="Y65" s="5" t="s">
        <v>658</v>
      </c>
      <c r="Z65" s="5" t="str">
        <f t="shared" si="0"/>
        <v>High</v>
      </c>
      <c r="AA65" s="5" t="s">
        <v>923</v>
      </c>
      <c r="AB65" s="6" t="s">
        <v>924</v>
      </c>
      <c r="AC65" s="6" t="s">
        <v>103</v>
      </c>
      <c r="AD65" s="5" t="s">
        <v>925</v>
      </c>
      <c r="AE65" s="5" t="s">
        <v>354</v>
      </c>
      <c r="AF65" s="5" t="s">
        <v>354</v>
      </c>
      <c r="AG65" s="5" t="s">
        <v>354</v>
      </c>
      <c r="AH65" s="5" t="s">
        <v>354</v>
      </c>
      <c r="AI65" s="6" t="str">
        <f t="shared" si="1"/>
        <v>No</v>
      </c>
      <c r="AJ65" s="6" t="s">
        <v>926</v>
      </c>
      <c r="AK65" s="6" t="s">
        <v>121</v>
      </c>
      <c r="AL65" s="6">
        <f>MATCH(AA65,{"Low","Medium","High"},0)*MATCH(AB65,{"Low","Medium","High"},0)*INDEX({3,2,2,1,1},MATCH(X65,{"Core","Vertical extension","Differentiator","Future","Adjacent"},0))</f>
        <v>9</v>
      </c>
      <c r="AM65" s="5"/>
      <c r="AN65" s="5"/>
      <c r="AO65" s="5"/>
      <c r="AP65" s="5"/>
      <c r="AQ65" s="5"/>
      <c r="AR65" s="5"/>
      <c r="AS65" s="5"/>
      <c r="AT65" s="5"/>
      <c r="AU65" s="6" t="s">
        <v>927</v>
      </c>
      <c r="AV65" s="6" t="s">
        <v>54</v>
      </c>
      <c r="AW65" s="6" t="s">
        <v>1296</v>
      </c>
      <c r="AX65" s="6" t="s">
        <v>929</v>
      </c>
      <c r="AY65" s="6" t="s">
        <v>930</v>
      </c>
      <c r="AZ65" s="6"/>
      <c r="BA65" s="6"/>
      <c r="BB65" s="6"/>
      <c r="BC65" s="6" t="s">
        <v>97</v>
      </c>
      <c r="BD65" s="6" t="s">
        <v>97</v>
      </c>
    </row>
    <row r="66" spans="1:56" ht="32" customHeight="1" x14ac:dyDescent="0.35">
      <c r="A66" s="13" t="s">
        <v>1378</v>
      </c>
      <c r="B66" s="6" t="s">
        <v>910</v>
      </c>
      <c r="C66" s="5" t="s">
        <v>54</v>
      </c>
      <c r="D66" s="5" t="s">
        <v>831</v>
      </c>
      <c r="E66" s="5" t="s">
        <v>1379</v>
      </c>
      <c r="F66" s="5" t="s">
        <v>1380</v>
      </c>
      <c r="G66" s="5" t="s">
        <v>1311</v>
      </c>
      <c r="H66" s="5" t="s">
        <v>1381</v>
      </c>
      <c r="I66" s="5" t="s">
        <v>1382</v>
      </c>
      <c r="J66" s="19" t="s">
        <v>151</v>
      </c>
      <c r="K66" s="17" t="s">
        <v>181</v>
      </c>
      <c r="L66" s="5" t="s">
        <v>1383</v>
      </c>
      <c r="M66" s="6" t="s">
        <v>197</v>
      </c>
      <c r="N66" s="6" t="s">
        <v>809</v>
      </c>
      <c r="O66" s="6" t="s">
        <v>151</v>
      </c>
      <c r="P66" s="5" t="s">
        <v>918</v>
      </c>
      <c r="Q66" s="17" t="s">
        <v>182</v>
      </c>
      <c r="R66" s="5"/>
      <c r="S66" s="6" t="s">
        <v>964</v>
      </c>
      <c r="T66" s="5" t="s">
        <v>965</v>
      </c>
      <c r="U66" s="6"/>
      <c r="V66" s="6" t="s">
        <v>966</v>
      </c>
      <c r="W66" s="6" t="s">
        <v>333</v>
      </c>
      <c r="X66" s="5" t="s">
        <v>922</v>
      </c>
      <c r="Y66" s="5" t="s">
        <v>658</v>
      </c>
      <c r="Z66" s="5" t="str">
        <f t="shared" ref="Z66:Z129" si="2">IF(AL66&gt;=18,"Critical",IF(AL66&gt;=9,"High",IF(AL66&gt;=4,"Medium","Low")))</f>
        <v>Medium</v>
      </c>
      <c r="AA66" s="5" t="s">
        <v>956</v>
      </c>
      <c r="AB66" s="6" t="s">
        <v>924</v>
      </c>
      <c r="AC66" s="6" t="s">
        <v>11</v>
      </c>
      <c r="AD66" s="5" t="s">
        <v>925</v>
      </c>
      <c r="AE66" s="5" t="s">
        <v>354</v>
      </c>
      <c r="AF66" s="5" t="s">
        <v>354</v>
      </c>
      <c r="AG66" s="5" t="s">
        <v>354</v>
      </c>
      <c r="AH66" s="5" t="s">
        <v>354</v>
      </c>
      <c r="AI66" s="6" t="str">
        <f t="shared" ref="AI66:AI129" si="3">IF(AND(AU66="Pass",AE66&lt;&gt;"Not verified",AF66&lt;&gt;"Not verified",AG66&lt;&gt;"Not verified",AH66&lt;&gt;"Not verified",BC66="Yes",BD66="Yes"),"Yes","No")</f>
        <v>No</v>
      </c>
      <c r="AJ66" s="6" t="s">
        <v>926</v>
      </c>
      <c r="AK66" s="6" t="s">
        <v>151</v>
      </c>
      <c r="AL66" s="6">
        <f>MATCH(AA66,{"Low","Medium","High"},0)*MATCH(AB66,{"Low","Medium","High"},0)*INDEX({3,2,2,1,1},MATCH(X66,{"Core","Vertical extension","Differentiator","Future","Adjacent"},0))</f>
        <v>6</v>
      </c>
      <c r="AM66" s="5"/>
      <c r="AN66" s="5"/>
      <c r="AO66" s="5"/>
      <c r="AP66" s="5"/>
      <c r="AQ66" s="5"/>
      <c r="AR66" s="5"/>
      <c r="AS66" s="5"/>
      <c r="AT66" s="5"/>
      <c r="AU66" s="6" t="s">
        <v>927</v>
      </c>
      <c r="AV66" s="6" t="s">
        <v>54</v>
      </c>
      <c r="AW66" s="6" t="s">
        <v>1322</v>
      </c>
      <c r="AX66" s="6" t="s">
        <v>929</v>
      </c>
      <c r="AY66" s="6" t="s">
        <v>930</v>
      </c>
      <c r="AZ66" s="6"/>
      <c r="BA66" s="6"/>
      <c r="BB66" s="6"/>
      <c r="BC66" s="6" t="s">
        <v>97</v>
      </c>
      <c r="BD66" s="6" t="s">
        <v>97</v>
      </c>
    </row>
    <row r="67" spans="1:56" ht="32" customHeight="1" x14ac:dyDescent="0.35">
      <c r="A67" s="13" t="s">
        <v>1384</v>
      </c>
      <c r="B67" s="6" t="s">
        <v>910</v>
      </c>
      <c r="C67" s="5" t="s">
        <v>54</v>
      </c>
      <c r="D67" s="5" t="s">
        <v>831</v>
      </c>
      <c r="E67" s="5" t="s">
        <v>1385</v>
      </c>
      <c r="F67" s="5" t="s">
        <v>1386</v>
      </c>
      <c r="G67" s="5" t="s">
        <v>951</v>
      </c>
      <c r="H67" s="5" t="s">
        <v>1387</v>
      </c>
      <c r="I67" s="5" t="s">
        <v>1388</v>
      </c>
      <c r="J67" s="19" t="s">
        <v>151</v>
      </c>
      <c r="K67" s="17" t="s">
        <v>181</v>
      </c>
      <c r="L67" s="5" t="s">
        <v>1389</v>
      </c>
      <c r="M67" s="6" t="s">
        <v>197</v>
      </c>
      <c r="N67" s="6" t="s">
        <v>809</v>
      </c>
      <c r="O67" s="6" t="s">
        <v>151</v>
      </c>
      <c r="P67" s="5" t="s">
        <v>918</v>
      </c>
      <c r="Q67" s="17" t="s">
        <v>182</v>
      </c>
      <c r="R67" s="5"/>
      <c r="S67" s="6" t="s">
        <v>964</v>
      </c>
      <c r="T67" s="5" t="s">
        <v>965</v>
      </c>
      <c r="U67" s="6"/>
      <c r="V67" s="6" t="s">
        <v>966</v>
      </c>
      <c r="W67" s="6" t="s">
        <v>333</v>
      </c>
      <c r="X67" s="5" t="s">
        <v>922</v>
      </c>
      <c r="Y67" s="5" t="s">
        <v>658</v>
      </c>
      <c r="Z67" s="5" t="str">
        <f t="shared" si="2"/>
        <v>Medium</v>
      </c>
      <c r="AA67" s="5" t="s">
        <v>956</v>
      </c>
      <c r="AB67" s="6" t="s">
        <v>924</v>
      </c>
      <c r="AC67" s="6" t="s">
        <v>11</v>
      </c>
      <c r="AD67" s="5" t="s">
        <v>925</v>
      </c>
      <c r="AE67" s="5" t="s">
        <v>354</v>
      </c>
      <c r="AF67" s="5" t="s">
        <v>354</v>
      </c>
      <c r="AG67" s="5" t="s">
        <v>354</v>
      </c>
      <c r="AH67" s="5" t="s">
        <v>354</v>
      </c>
      <c r="AI67" s="6" t="str">
        <f t="shared" si="3"/>
        <v>No</v>
      </c>
      <c r="AJ67" s="6" t="s">
        <v>926</v>
      </c>
      <c r="AK67" s="6" t="s">
        <v>151</v>
      </c>
      <c r="AL67" s="6">
        <f>MATCH(AA67,{"Low","Medium","High"},0)*MATCH(AB67,{"Low","Medium","High"},0)*INDEX({3,2,2,1,1},MATCH(X67,{"Core","Vertical extension","Differentiator","Future","Adjacent"},0))</f>
        <v>6</v>
      </c>
      <c r="AM67" s="5"/>
      <c r="AN67" s="5"/>
      <c r="AO67" s="5"/>
      <c r="AP67" s="5"/>
      <c r="AQ67" s="5"/>
      <c r="AR67" s="5"/>
      <c r="AS67" s="5"/>
      <c r="AT67" s="5"/>
      <c r="AU67" s="6" t="s">
        <v>927</v>
      </c>
      <c r="AV67" s="6" t="s">
        <v>54</v>
      </c>
      <c r="AW67" s="6" t="s">
        <v>1390</v>
      </c>
      <c r="AX67" s="6" t="s">
        <v>929</v>
      </c>
      <c r="AY67" s="6" t="s">
        <v>930</v>
      </c>
      <c r="AZ67" s="6"/>
      <c r="BA67" s="6"/>
      <c r="BB67" s="6"/>
      <c r="BC67" s="6" t="s">
        <v>97</v>
      </c>
      <c r="BD67" s="6" t="s">
        <v>97</v>
      </c>
    </row>
    <row r="68" spans="1:56" ht="32" customHeight="1" x14ac:dyDescent="0.35">
      <c r="A68" s="13" t="s">
        <v>1391</v>
      </c>
      <c r="B68" s="6" t="s">
        <v>910</v>
      </c>
      <c r="C68" s="5" t="s">
        <v>54</v>
      </c>
      <c r="D68" s="5" t="s">
        <v>837</v>
      </c>
      <c r="E68" s="5" t="s">
        <v>1392</v>
      </c>
      <c r="F68" s="5" t="s">
        <v>1393</v>
      </c>
      <c r="G68" s="5" t="s">
        <v>1311</v>
      </c>
      <c r="H68" s="5" t="s">
        <v>1394</v>
      </c>
      <c r="I68" s="5" t="s">
        <v>1395</v>
      </c>
      <c r="J68" s="17" t="s">
        <v>121</v>
      </c>
      <c r="K68" s="17" t="s">
        <v>181</v>
      </c>
      <c r="L68" s="5" t="s">
        <v>1396</v>
      </c>
      <c r="M68" s="6" t="s">
        <v>197</v>
      </c>
      <c r="N68" s="6" t="s">
        <v>809</v>
      </c>
      <c r="O68" s="6" t="s">
        <v>121</v>
      </c>
      <c r="P68" s="5" t="s">
        <v>918</v>
      </c>
      <c r="Q68" s="17" t="s">
        <v>182</v>
      </c>
      <c r="R68" s="5"/>
      <c r="S68" s="6" t="s">
        <v>937</v>
      </c>
      <c r="T68" s="5" t="s">
        <v>938</v>
      </c>
      <c r="U68" s="6"/>
      <c r="V68" s="6" t="s">
        <v>939</v>
      </c>
      <c r="W68" s="6" t="s">
        <v>331</v>
      </c>
      <c r="X68" s="5" t="s">
        <v>922</v>
      </c>
      <c r="Y68" s="5" t="s">
        <v>658</v>
      </c>
      <c r="Z68" s="5" t="str">
        <f t="shared" si="2"/>
        <v>High</v>
      </c>
      <c r="AA68" s="5" t="s">
        <v>923</v>
      </c>
      <c r="AB68" s="6" t="s">
        <v>924</v>
      </c>
      <c r="AC68" s="6" t="s">
        <v>103</v>
      </c>
      <c r="AD68" s="5" t="s">
        <v>925</v>
      </c>
      <c r="AE68" s="5" t="s">
        <v>354</v>
      </c>
      <c r="AF68" s="5" t="s">
        <v>354</v>
      </c>
      <c r="AG68" s="5" t="s">
        <v>354</v>
      </c>
      <c r="AH68" s="5" t="s">
        <v>354</v>
      </c>
      <c r="AI68" s="6" t="str">
        <f t="shared" si="3"/>
        <v>No</v>
      </c>
      <c r="AJ68" s="6" t="s">
        <v>926</v>
      </c>
      <c r="AK68" s="6" t="s">
        <v>121</v>
      </c>
      <c r="AL68" s="6">
        <f>MATCH(AA68,{"Low","Medium","High"},0)*MATCH(AB68,{"Low","Medium","High"},0)*INDEX({3,2,2,1,1},MATCH(X68,{"Core","Vertical extension","Differentiator","Future","Adjacent"},0))</f>
        <v>9</v>
      </c>
      <c r="AM68" s="5"/>
      <c r="AN68" s="5"/>
      <c r="AO68" s="5"/>
      <c r="AP68" s="5"/>
      <c r="AQ68" s="5"/>
      <c r="AR68" s="5"/>
      <c r="AS68" s="5"/>
      <c r="AT68" s="5"/>
      <c r="AU68" s="6" t="s">
        <v>927</v>
      </c>
      <c r="AV68" s="6" t="s">
        <v>54</v>
      </c>
      <c r="AW68" s="6" t="s">
        <v>55</v>
      </c>
      <c r="AX68" s="6" t="s">
        <v>929</v>
      </c>
      <c r="AY68" s="6" t="s">
        <v>930</v>
      </c>
      <c r="AZ68" s="6"/>
      <c r="BA68" s="6"/>
      <c r="BB68" s="6"/>
      <c r="BC68" s="6" t="s">
        <v>97</v>
      </c>
      <c r="BD68" s="6" t="s">
        <v>97</v>
      </c>
    </row>
    <row r="69" spans="1:56" ht="32" customHeight="1" x14ac:dyDescent="0.35">
      <c r="A69" s="13" t="s">
        <v>1397</v>
      </c>
      <c r="B69" s="6" t="s">
        <v>910</v>
      </c>
      <c r="C69" s="5" t="s">
        <v>1398</v>
      </c>
      <c r="D69" s="5" t="s">
        <v>835</v>
      </c>
      <c r="E69" s="5" t="s">
        <v>1399</v>
      </c>
      <c r="F69" s="5" t="s">
        <v>1400</v>
      </c>
      <c r="G69" s="5" t="s">
        <v>1401</v>
      </c>
      <c r="H69" s="5" t="s">
        <v>1402</v>
      </c>
      <c r="I69" s="5" t="s">
        <v>1403</v>
      </c>
      <c r="J69" s="17" t="s">
        <v>121</v>
      </c>
      <c r="K69" s="17" t="s">
        <v>181</v>
      </c>
      <c r="L69" s="5" t="s">
        <v>1404</v>
      </c>
      <c r="M69" s="6" t="s">
        <v>197</v>
      </c>
      <c r="N69" s="6" t="s">
        <v>809</v>
      </c>
      <c r="O69" s="6" t="s">
        <v>121</v>
      </c>
      <c r="P69" s="5" t="s">
        <v>918</v>
      </c>
      <c r="Q69" s="17" t="s">
        <v>182</v>
      </c>
      <c r="R69" s="5"/>
      <c r="S69" s="6" t="s">
        <v>1076</v>
      </c>
      <c r="T69" s="5" t="s">
        <v>1077</v>
      </c>
      <c r="U69" s="6"/>
      <c r="V69" s="6" t="s">
        <v>1078</v>
      </c>
      <c r="W69" s="6" t="s">
        <v>331</v>
      </c>
      <c r="X69" s="5" t="s">
        <v>922</v>
      </c>
      <c r="Y69" s="5" t="s">
        <v>1405</v>
      </c>
      <c r="Z69" s="5" t="str">
        <f t="shared" si="2"/>
        <v>Medium</v>
      </c>
      <c r="AA69" s="5" t="s">
        <v>956</v>
      </c>
      <c r="AB69" s="6" t="s">
        <v>924</v>
      </c>
      <c r="AC69" s="6" t="s">
        <v>103</v>
      </c>
      <c r="AD69" s="5" t="s">
        <v>925</v>
      </c>
      <c r="AE69" s="5" t="s">
        <v>354</v>
      </c>
      <c r="AF69" s="5" t="s">
        <v>354</v>
      </c>
      <c r="AG69" s="5" t="s">
        <v>354</v>
      </c>
      <c r="AH69" s="5" t="s">
        <v>354</v>
      </c>
      <c r="AI69" s="6" t="str">
        <f t="shared" si="3"/>
        <v>No</v>
      </c>
      <c r="AJ69" s="6" t="s">
        <v>926</v>
      </c>
      <c r="AK69" s="6" t="s">
        <v>121</v>
      </c>
      <c r="AL69" s="6">
        <f>MATCH(AA69,{"Low","Medium","High"},0)*MATCH(AB69,{"Low","Medium","High"},0)*INDEX({3,2,2,1,1},MATCH(X69,{"Core","Vertical extension","Differentiator","Future","Adjacent"},0))</f>
        <v>6</v>
      </c>
      <c r="AM69" s="5"/>
      <c r="AN69" s="5"/>
      <c r="AO69" s="5"/>
      <c r="AP69" s="5"/>
      <c r="AQ69" s="5"/>
      <c r="AR69" s="5"/>
      <c r="AS69" s="5"/>
      <c r="AT69" s="5"/>
      <c r="AU69" s="6" t="s">
        <v>927</v>
      </c>
      <c r="AV69" s="6" t="s">
        <v>54</v>
      </c>
      <c r="AW69" s="6" t="s">
        <v>1296</v>
      </c>
      <c r="AX69" s="6" t="s">
        <v>929</v>
      </c>
      <c r="AY69" s="6" t="s">
        <v>930</v>
      </c>
      <c r="AZ69" s="6"/>
      <c r="BA69" s="6" t="s">
        <v>1079</v>
      </c>
      <c r="BB69" s="6" t="s">
        <v>1080</v>
      </c>
      <c r="BC69" s="6" t="s">
        <v>97</v>
      </c>
      <c r="BD69" s="6" t="s">
        <v>97</v>
      </c>
    </row>
    <row r="70" spans="1:56" ht="32" customHeight="1" x14ac:dyDescent="0.35">
      <c r="A70" s="13" t="s">
        <v>1406</v>
      </c>
      <c r="B70" s="6" t="s">
        <v>910</v>
      </c>
      <c r="C70" s="5" t="s">
        <v>1398</v>
      </c>
      <c r="D70" s="5" t="s">
        <v>829</v>
      </c>
      <c r="E70" s="5" t="s">
        <v>1407</v>
      </c>
      <c r="F70" s="5" t="s">
        <v>1400</v>
      </c>
      <c r="G70" s="5" t="s">
        <v>1291</v>
      </c>
      <c r="H70" s="5" t="s">
        <v>1408</v>
      </c>
      <c r="I70" s="5" t="s">
        <v>1409</v>
      </c>
      <c r="J70" s="17" t="s">
        <v>121</v>
      </c>
      <c r="K70" s="17" t="s">
        <v>181</v>
      </c>
      <c r="L70" s="5" t="s">
        <v>1410</v>
      </c>
      <c r="M70" s="6" t="s">
        <v>197</v>
      </c>
      <c r="N70" s="6" t="s">
        <v>809</v>
      </c>
      <c r="O70" s="6" t="s">
        <v>121</v>
      </c>
      <c r="P70" s="5" t="s">
        <v>918</v>
      </c>
      <c r="Q70" s="17" t="s">
        <v>182</v>
      </c>
      <c r="R70" s="5"/>
      <c r="S70" s="6" t="s">
        <v>980</v>
      </c>
      <c r="T70" s="5" t="s">
        <v>981</v>
      </c>
      <c r="U70" s="6"/>
      <c r="V70" s="6" t="s">
        <v>982</v>
      </c>
      <c r="W70" s="6" t="s">
        <v>331</v>
      </c>
      <c r="X70" s="5" t="s">
        <v>922</v>
      </c>
      <c r="Y70" s="5" t="s">
        <v>1405</v>
      </c>
      <c r="Z70" s="5" t="str">
        <f t="shared" si="2"/>
        <v>High</v>
      </c>
      <c r="AA70" s="5" t="s">
        <v>923</v>
      </c>
      <c r="AB70" s="6" t="s">
        <v>924</v>
      </c>
      <c r="AC70" s="6" t="s">
        <v>103</v>
      </c>
      <c r="AD70" s="5" t="s">
        <v>925</v>
      </c>
      <c r="AE70" s="5" t="s">
        <v>354</v>
      </c>
      <c r="AF70" s="5" t="s">
        <v>354</v>
      </c>
      <c r="AG70" s="5" t="s">
        <v>354</v>
      </c>
      <c r="AH70" s="5" t="s">
        <v>354</v>
      </c>
      <c r="AI70" s="6" t="str">
        <f t="shared" si="3"/>
        <v>No</v>
      </c>
      <c r="AJ70" s="6" t="s">
        <v>926</v>
      </c>
      <c r="AK70" s="6" t="s">
        <v>121</v>
      </c>
      <c r="AL70" s="6">
        <f>MATCH(AA70,{"Low","Medium","High"},0)*MATCH(AB70,{"Low","Medium","High"},0)*INDEX({3,2,2,1,1},MATCH(X70,{"Core","Vertical extension","Differentiator","Future","Adjacent"},0))</f>
        <v>9</v>
      </c>
      <c r="AM70" s="5"/>
      <c r="AN70" s="5"/>
      <c r="AO70" s="5"/>
      <c r="AP70" s="5"/>
      <c r="AQ70" s="5"/>
      <c r="AR70" s="5"/>
      <c r="AS70" s="5"/>
      <c r="AT70" s="5"/>
      <c r="AU70" s="6" t="s">
        <v>927</v>
      </c>
      <c r="AV70" s="6" t="s">
        <v>54</v>
      </c>
      <c r="AW70" s="6" t="s">
        <v>1296</v>
      </c>
      <c r="AX70" s="6" t="s">
        <v>929</v>
      </c>
      <c r="AY70" s="6" t="s">
        <v>930</v>
      </c>
      <c r="AZ70" s="6"/>
      <c r="BA70" s="6"/>
      <c r="BB70" s="6"/>
      <c r="BC70" s="6" t="s">
        <v>97</v>
      </c>
      <c r="BD70" s="6" t="s">
        <v>97</v>
      </c>
    </row>
    <row r="71" spans="1:56" ht="32" customHeight="1" x14ac:dyDescent="0.35">
      <c r="A71" s="13" t="s">
        <v>1411</v>
      </c>
      <c r="B71" s="6" t="s">
        <v>910</v>
      </c>
      <c r="C71" s="5" t="s">
        <v>1398</v>
      </c>
      <c r="D71" s="5" t="s">
        <v>833</v>
      </c>
      <c r="E71" s="5" t="s">
        <v>1412</v>
      </c>
      <c r="F71" s="5" t="s">
        <v>1400</v>
      </c>
      <c r="G71" s="5" t="s">
        <v>1413</v>
      </c>
      <c r="H71" s="5" t="s">
        <v>1414</v>
      </c>
      <c r="I71" s="5" t="s">
        <v>1415</v>
      </c>
      <c r="J71" s="17" t="s">
        <v>121</v>
      </c>
      <c r="K71" s="17" t="s">
        <v>181</v>
      </c>
      <c r="L71" s="5" t="s">
        <v>1416</v>
      </c>
      <c r="M71" s="6" t="s">
        <v>197</v>
      </c>
      <c r="N71" s="6" t="s">
        <v>809</v>
      </c>
      <c r="O71" s="6" t="s">
        <v>121</v>
      </c>
      <c r="P71" s="5" t="s">
        <v>918</v>
      </c>
      <c r="Q71" s="17" t="s">
        <v>182</v>
      </c>
      <c r="R71" s="5"/>
      <c r="S71" s="6" t="s">
        <v>919</v>
      </c>
      <c r="T71" s="5" t="s">
        <v>920</v>
      </c>
      <c r="U71" s="6"/>
      <c r="V71" s="6" t="s">
        <v>921</v>
      </c>
      <c r="W71" s="6" t="s">
        <v>331</v>
      </c>
      <c r="X71" s="5" t="s">
        <v>922</v>
      </c>
      <c r="Y71" s="5" t="s">
        <v>1405</v>
      </c>
      <c r="Z71" s="5" t="str">
        <f t="shared" si="2"/>
        <v>Medium</v>
      </c>
      <c r="AA71" s="5" t="s">
        <v>956</v>
      </c>
      <c r="AB71" s="6" t="s">
        <v>924</v>
      </c>
      <c r="AC71" s="6" t="s">
        <v>103</v>
      </c>
      <c r="AD71" s="5" t="s">
        <v>925</v>
      </c>
      <c r="AE71" s="5" t="s">
        <v>354</v>
      </c>
      <c r="AF71" s="5" t="s">
        <v>354</v>
      </c>
      <c r="AG71" s="5" t="s">
        <v>354</v>
      </c>
      <c r="AH71" s="5" t="s">
        <v>354</v>
      </c>
      <c r="AI71" s="6" t="str">
        <f t="shared" si="3"/>
        <v>No</v>
      </c>
      <c r="AJ71" s="6" t="s">
        <v>926</v>
      </c>
      <c r="AK71" s="6" t="s">
        <v>121</v>
      </c>
      <c r="AL71" s="6">
        <f>MATCH(AA71,{"Low","Medium","High"},0)*MATCH(AB71,{"Low","Medium","High"},0)*INDEX({3,2,2,1,1},MATCH(X71,{"Core","Vertical extension","Differentiator","Future","Adjacent"},0))</f>
        <v>6</v>
      </c>
      <c r="AM71" s="5"/>
      <c r="AN71" s="5"/>
      <c r="AO71" s="5"/>
      <c r="AP71" s="5"/>
      <c r="AQ71" s="5"/>
      <c r="AR71" s="5"/>
      <c r="AS71" s="5"/>
      <c r="AT71" s="5"/>
      <c r="AU71" s="6" t="s">
        <v>927</v>
      </c>
      <c r="AV71" s="6" t="s">
        <v>54</v>
      </c>
      <c r="AW71" s="6" t="s">
        <v>1296</v>
      </c>
      <c r="AX71" s="6" t="s">
        <v>929</v>
      </c>
      <c r="AY71" s="6" t="s">
        <v>930</v>
      </c>
      <c r="AZ71" s="6"/>
      <c r="BA71" s="6"/>
      <c r="BB71" s="6"/>
      <c r="BC71" s="6" t="s">
        <v>97</v>
      </c>
      <c r="BD71" s="6" t="s">
        <v>97</v>
      </c>
    </row>
    <row r="72" spans="1:56" ht="32" customHeight="1" x14ac:dyDescent="0.35">
      <c r="A72" s="13" t="s">
        <v>1417</v>
      </c>
      <c r="B72" s="6" t="s">
        <v>910</v>
      </c>
      <c r="C72" s="5" t="s">
        <v>1398</v>
      </c>
      <c r="D72" s="5" t="s">
        <v>829</v>
      </c>
      <c r="E72" s="5" t="s">
        <v>1418</v>
      </c>
      <c r="F72" s="5" t="s">
        <v>1400</v>
      </c>
      <c r="G72" s="5" t="s">
        <v>1419</v>
      </c>
      <c r="H72" s="5" t="s">
        <v>1420</v>
      </c>
      <c r="I72" s="5" t="s">
        <v>1421</v>
      </c>
      <c r="J72" s="17" t="s">
        <v>121</v>
      </c>
      <c r="K72" s="17" t="s">
        <v>181</v>
      </c>
      <c r="L72" s="5" t="s">
        <v>1422</v>
      </c>
      <c r="M72" s="6" t="s">
        <v>197</v>
      </c>
      <c r="N72" s="6" t="s">
        <v>809</v>
      </c>
      <c r="O72" s="6" t="s">
        <v>121</v>
      </c>
      <c r="P72" s="5" t="s">
        <v>918</v>
      </c>
      <c r="Q72" s="18" t="s">
        <v>186</v>
      </c>
      <c r="R72" s="5" t="s">
        <v>1198</v>
      </c>
      <c r="S72" s="6" t="s">
        <v>980</v>
      </c>
      <c r="T72" s="5" t="s">
        <v>981</v>
      </c>
      <c r="U72" s="6"/>
      <c r="V72" s="6" t="s">
        <v>982</v>
      </c>
      <c r="W72" s="6" t="s">
        <v>331</v>
      </c>
      <c r="X72" s="5" t="s">
        <v>922</v>
      </c>
      <c r="Y72" s="5" t="s">
        <v>1405</v>
      </c>
      <c r="Z72" s="5" t="str">
        <f t="shared" si="2"/>
        <v>High</v>
      </c>
      <c r="AA72" s="5" t="s">
        <v>923</v>
      </c>
      <c r="AB72" s="6" t="s">
        <v>924</v>
      </c>
      <c r="AC72" s="6" t="s">
        <v>103</v>
      </c>
      <c r="AD72" s="5" t="s">
        <v>940</v>
      </c>
      <c r="AE72" s="5" t="s">
        <v>354</v>
      </c>
      <c r="AF72" s="5" t="s">
        <v>354</v>
      </c>
      <c r="AG72" s="5" t="s">
        <v>354</v>
      </c>
      <c r="AH72" s="5" t="s">
        <v>354</v>
      </c>
      <c r="AI72" s="6" t="str">
        <f t="shared" si="3"/>
        <v>No</v>
      </c>
      <c r="AJ72" s="6" t="s">
        <v>941</v>
      </c>
      <c r="AK72" s="6" t="s">
        <v>121</v>
      </c>
      <c r="AL72" s="6">
        <f>MATCH(AA72,{"Low","Medium","High"},0)*MATCH(AB72,{"Low","Medium","High"},0)*INDEX({3,2,2,1,1},MATCH(X72,{"Core","Vertical extension","Differentiator","Future","Adjacent"},0))</f>
        <v>9</v>
      </c>
      <c r="AM72" s="5"/>
      <c r="AN72" s="5"/>
      <c r="AO72" s="5"/>
      <c r="AP72" s="5"/>
      <c r="AQ72" s="5"/>
      <c r="AR72" s="5"/>
      <c r="AS72" s="5"/>
      <c r="AT72" s="5"/>
      <c r="AU72" s="6" t="s">
        <v>927</v>
      </c>
      <c r="AV72" s="6" t="s">
        <v>54</v>
      </c>
      <c r="AW72" s="6" t="s">
        <v>1296</v>
      </c>
      <c r="AX72" s="6" t="s">
        <v>929</v>
      </c>
      <c r="AY72" s="6" t="s">
        <v>930</v>
      </c>
      <c r="AZ72" s="6"/>
      <c r="BA72" s="6" t="s">
        <v>983</v>
      </c>
      <c r="BB72" s="6" t="s">
        <v>984</v>
      </c>
      <c r="BC72" s="6" t="s">
        <v>97</v>
      </c>
      <c r="BD72" s="6" t="s">
        <v>97</v>
      </c>
    </row>
    <row r="73" spans="1:56" ht="32" customHeight="1" x14ac:dyDescent="0.35">
      <c r="A73" s="13" t="s">
        <v>1423</v>
      </c>
      <c r="B73" s="6" t="s">
        <v>910</v>
      </c>
      <c r="C73" s="5" t="s">
        <v>1398</v>
      </c>
      <c r="D73" s="5" t="s">
        <v>829</v>
      </c>
      <c r="E73" s="5" t="s">
        <v>1424</v>
      </c>
      <c r="F73" s="5" t="s">
        <v>1400</v>
      </c>
      <c r="G73" s="5" t="s">
        <v>1425</v>
      </c>
      <c r="H73" s="5" t="s">
        <v>1426</v>
      </c>
      <c r="I73" s="5" t="s">
        <v>1427</v>
      </c>
      <c r="J73" s="17" t="s">
        <v>121</v>
      </c>
      <c r="K73" s="17" t="s">
        <v>181</v>
      </c>
      <c r="L73" s="5" t="s">
        <v>1428</v>
      </c>
      <c r="M73" s="6" t="s">
        <v>197</v>
      </c>
      <c r="N73" s="6" t="s">
        <v>809</v>
      </c>
      <c r="O73" s="6" t="s">
        <v>121</v>
      </c>
      <c r="P73" s="5" t="s">
        <v>918</v>
      </c>
      <c r="Q73" s="18" t="s">
        <v>186</v>
      </c>
      <c r="R73" s="5" t="s">
        <v>1429</v>
      </c>
      <c r="S73" s="6" t="s">
        <v>980</v>
      </c>
      <c r="T73" s="5" t="s">
        <v>981</v>
      </c>
      <c r="U73" s="6"/>
      <c r="V73" s="6" t="s">
        <v>982</v>
      </c>
      <c r="W73" s="6" t="s">
        <v>331</v>
      </c>
      <c r="X73" s="5" t="s">
        <v>922</v>
      </c>
      <c r="Y73" s="5" t="s">
        <v>1405</v>
      </c>
      <c r="Z73" s="5" t="str">
        <f t="shared" si="2"/>
        <v>High</v>
      </c>
      <c r="AA73" s="5" t="s">
        <v>923</v>
      </c>
      <c r="AB73" s="6" t="s">
        <v>924</v>
      </c>
      <c r="AC73" s="6" t="s">
        <v>103</v>
      </c>
      <c r="AD73" s="5" t="s">
        <v>940</v>
      </c>
      <c r="AE73" s="5" t="s">
        <v>354</v>
      </c>
      <c r="AF73" s="5" t="s">
        <v>354</v>
      </c>
      <c r="AG73" s="5" t="s">
        <v>354</v>
      </c>
      <c r="AH73" s="5" t="s">
        <v>354</v>
      </c>
      <c r="AI73" s="6" t="str">
        <f t="shared" si="3"/>
        <v>No</v>
      </c>
      <c r="AJ73" s="6" t="s">
        <v>941</v>
      </c>
      <c r="AK73" s="6" t="s">
        <v>121</v>
      </c>
      <c r="AL73" s="6">
        <f>MATCH(AA73,{"Low","Medium","High"},0)*MATCH(AB73,{"Low","Medium","High"},0)*INDEX({3,2,2,1,1},MATCH(X73,{"Core","Vertical extension","Differentiator","Future","Adjacent"},0))</f>
        <v>9</v>
      </c>
      <c r="AM73" s="5"/>
      <c r="AN73" s="5"/>
      <c r="AO73" s="5"/>
      <c r="AP73" s="5"/>
      <c r="AQ73" s="5"/>
      <c r="AR73" s="5"/>
      <c r="AS73" s="5"/>
      <c r="AT73" s="5"/>
      <c r="AU73" s="6" t="s">
        <v>927</v>
      </c>
      <c r="AV73" s="6" t="s">
        <v>54</v>
      </c>
      <c r="AW73" s="6" t="s">
        <v>1296</v>
      </c>
      <c r="AX73" s="6" t="s">
        <v>929</v>
      </c>
      <c r="AY73" s="6" t="s">
        <v>930</v>
      </c>
      <c r="AZ73" s="6"/>
      <c r="BA73" s="6"/>
      <c r="BB73" s="6"/>
      <c r="BC73" s="6" t="s">
        <v>97</v>
      </c>
      <c r="BD73" s="6" t="s">
        <v>97</v>
      </c>
    </row>
    <row r="74" spans="1:56" ht="32" customHeight="1" x14ac:dyDescent="0.35">
      <c r="A74" s="13" t="s">
        <v>1430</v>
      </c>
      <c r="B74" s="6" t="s">
        <v>910</v>
      </c>
      <c r="C74" s="5" t="s">
        <v>1398</v>
      </c>
      <c r="D74" s="5" t="s">
        <v>841</v>
      </c>
      <c r="E74" s="5" t="s">
        <v>1431</v>
      </c>
      <c r="F74" s="5" t="s">
        <v>1400</v>
      </c>
      <c r="G74" s="5" t="s">
        <v>1432</v>
      </c>
      <c r="H74" s="5" t="s">
        <v>1433</v>
      </c>
      <c r="I74" s="5" t="s">
        <v>1434</v>
      </c>
      <c r="J74" s="17" t="s">
        <v>121</v>
      </c>
      <c r="K74" s="17" t="s">
        <v>181</v>
      </c>
      <c r="L74" s="5" t="s">
        <v>1435</v>
      </c>
      <c r="M74" s="6" t="s">
        <v>197</v>
      </c>
      <c r="N74" s="6" t="s">
        <v>809</v>
      </c>
      <c r="O74" s="6" t="s">
        <v>121</v>
      </c>
      <c r="P74" s="5" t="s">
        <v>918</v>
      </c>
      <c r="Q74" s="18" t="s">
        <v>186</v>
      </c>
      <c r="R74" s="5" t="s">
        <v>1236</v>
      </c>
      <c r="S74" s="6" t="s">
        <v>1038</v>
      </c>
      <c r="T74" s="5" t="s">
        <v>1039</v>
      </c>
      <c r="U74" s="6"/>
      <c r="V74" s="6" t="s">
        <v>921</v>
      </c>
      <c r="W74" s="6" t="s">
        <v>331</v>
      </c>
      <c r="X74" s="5" t="s">
        <v>922</v>
      </c>
      <c r="Y74" s="5" t="s">
        <v>1405</v>
      </c>
      <c r="Z74" s="5" t="str">
        <f t="shared" si="2"/>
        <v>Medium</v>
      </c>
      <c r="AA74" s="5" t="s">
        <v>956</v>
      </c>
      <c r="AB74" s="6" t="s">
        <v>924</v>
      </c>
      <c r="AC74" s="6" t="s">
        <v>103</v>
      </c>
      <c r="AD74" s="5" t="s">
        <v>940</v>
      </c>
      <c r="AE74" s="5" t="s">
        <v>354</v>
      </c>
      <c r="AF74" s="5" t="s">
        <v>354</v>
      </c>
      <c r="AG74" s="5" t="s">
        <v>354</v>
      </c>
      <c r="AH74" s="5" t="s">
        <v>354</v>
      </c>
      <c r="AI74" s="6" t="str">
        <f t="shared" si="3"/>
        <v>No</v>
      </c>
      <c r="AJ74" s="6" t="s">
        <v>941</v>
      </c>
      <c r="AK74" s="6" t="s">
        <v>121</v>
      </c>
      <c r="AL74" s="6">
        <f>MATCH(AA74,{"Low","Medium","High"},0)*MATCH(AB74,{"Low","Medium","High"},0)*INDEX({3,2,2,1,1},MATCH(X74,{"Core","Vertical extension","Differentiator","Future","Adjacent"},0))</f>
        <v>6</v>
      </c>
      <c r="AM74" s="5"/>
      <c r="AN74" s="5"/>
      <c r="AO74" s="5"/>
      <c r="AP74" s="5"/>
      <c r="AQ74" s="5"/>
      <c r="AR74" s="5"/>
      <c r="AS74" s="5"/>
      <c r="AT74" s="5"/>
      <c r="AU74" s="6" t="s">
        <v>927</v>
      </c>
      <c r="AV74" s="6" t="s">
        <v>54</v>
      </c>
      <c r="AW74" s="6" t="s">
        <v>1296</v>
      </c>
      <c r="AX74" s="6" t="s">
        <v>929</v>
      </c>
      <c r="AY74" s="6" t="s">
        <v>930</v>
      </c>
      <c r="AZ74" s="6"/>
      <c r="BA74" s="6" t="s">
        <v>1040</v>
      </c>
      <c r="BB74" s="6" t="s">
        <v>1041</v>
      </c>
      <c r="BC74" s="6" t="s">
        <v>97</v>
      </c>
      <c r="BD74" s="6" t="s">
        <v>97</v>
      </c>
    </row>
    <row r="75" spans="1:56" ht="32" customHeight="1" x14ac:dyDescent="0.35">
      <c r="A75" s="13" t="s">
        <v>1436</v>
      </c>
      <c r="B75" s="6" t="s">
        <v>910</v>
      </c>
      <c r="C75" s="5" t="s">
        <v>1398</v>
      </c>
      <c r="D75" s="5" t="s">
        <v>829</v>
      </c>
      <c r="E75" s="5" t="s">
        <v>1437</v>
      </c>
      <c r="F75" s="5" t="s">
        <v>1400</v>
      </c>
      <c r="G75" s="5" t="s">
        <v>1438</v>
      </c>
      <c r="H75" s="5" t="s">
        <v>1439</v>
      </c>
      <c r="I75" s="5" t="s">
        <v>1440</v>
      </c>
      <c r="J75" s="17" t="s">
        <v>121</v>
      </c>
      <c r="K75" s="17" t="s">
        <v>181</v>
      </c>
      <c r="L75" s="5" t="s">
        <v>1441</v>
      </c>
      <c r="M75" s="6" t="s">
        <v>197</v>
      </c>
      <c r="N75" s="6" t="s">
        <v>809</v>
      </c>
      <c r="O75" s="6" t="s">
        <v>121</v>
      </c>
      <c r="P75" s="5" t="s">
        <v>918</v>
      </c>
      <c r="Q75" s="17" t="s">
        <v>182</v>
      </c>
      <c r="R75" s="5"/>
      <c r="S75" s="6" t="s">
        <v>980</v>
      </c>
      <c r="T75" s="5" t="s">
        <v>981</v>
      </c>
      <c r="U75" s="6"/>
      <c r="V75" s="6" t="s">
        <v>982</v>
      </c>
      <c r="W75" s="6" t="s">
        <v>331</v>
      </c>
      <c r="X75" s="5" t="s">
        <v>922</v>
      </c>
      <c r="Y75" s="5" t="s">
        <v>1405</v>
      </c>
      <c r="Z75" s="5" t="str">
        <f t="shared" si="2"/>
        <v>High</v>
      </c>
      <c r="AA75" s="5" t="s">
        <v>923</v>
      </c>
      <c r="AB75" s="6" t="s">
        <v>924</v>
      </c>
      <c r="AC75" s="6" t="s">
        <v>103</v>
      </c>
      <c r="AD75" s="5" t="s">
        <v>925</v>
      </c>
      <c r="AE75" s="5" t="s">
        <v>354</v>
      </c>
      <c r="AF75" s="5" t="s">
        <v>354</v>
      </c>
      <c r="AG75" s="5" t="s">
        <v>354</v>
      </c>
      <c r="AH75" s="5" t="s">
        <v>354</v>
      </c>
      <c r="AI75" s="6" t="str">
        <f t="shared" si="3"/>
        <v>No</v>
      </c>
      <c r="AJ75" s="6" t="s">
        <v>926</v>
      </c>
      <c r="AK75" s="6" t="s">
        <v>121</v>
      </c>
      <c r="AL75" s="6">
        <f>MATCH(AA75,{"Low","Medium","High"},0)*MATCH(AB75,{"Low","Medium","High"},0)*INDEX({3,2,2,1,1},MATCH(X75,{"Core","Vertical extension","Differentiator","Future","Adjacent"},0))</f>
        <v>9</v>
      </c>
      <c r="AM75" s="5"/>
      <c r="AN75" s="5"/>
      <c r="AO75" s="5"/>
      <c r="AP75" s="5"/>
      <c r="AQ75" s="5"/>
      <c r="AR75" s="5"/>
      <c r="AS75" s="5"/>
      <c r="AT75" s="5"/>
      <c r="AU75" s="6" t="s">
        <v>927</v>
      </c>
      <c r="AV75" s="6" t="s">
        <v>54</v>
      </c>
      <c r="AW75" s="6" t="s">
        <v>1296</v>
      </c>
      <c r="AX75" s="6" t="s">
        <v>929</v>
      </c>
      <c r="AY75" s="6" t="s">
        <v>930</v>
      </c>
      <c r="AZ75" s="6"/>
      <c r="BA75" s="6" t="s">
        <v>1442</v>
      </c>
      <c r="BB75" s="6" t="s">
        <v>1443</v>
      </c>
      <c r="BC75" s="6" t="s">
        <v>97</v>
      </c>
      <c r="BD75" s="6" t="s">
        <v>97</v>
      </c>
    </row>
    <row r="76" spans="1:56" ht="32" customHeight="1" x14ac:dyDescent="0.35">
      <c r="A76" s="13" t="s">
        <v>1444</v>
      </c>
      <c r="B76" s="6" t="s">
        <v>910</v>
      </c>
      <c r="C76" s="5" t="s">
        <v>1398</v>
      </c>
      <c r="D76" s="5" t="s">
        <v>829</v>
      </c>
      <c r="E76" s="5" t="s">
        <v>1445</v>
      </c>
      <c r="F76" s="5" t="s">
        <v>1400</v>
      </c>
      <c r="G76" s="5" t="s">
        <v>1322</v>
      </c>
      <c r="H76" s="5" t="s">
        <v>1446</v>
      </c>
      <c r="I76" s="5" t="s">
        <v>1447</v>
      </c>
      <c r="J76" s="17" t="s">
        <v>121</v>
      </c>
      <c r="K76" s="17" t="s">
        <v>181</v>
      </c>
      <c r="L76" s="5" t="s">
        <v>1448</v>
      </c>
      <c r="M76" s="6" t="s">
        <v>197</v>
      </c>
      <c r="N76" s="6" t="s">
        <v>809</v>
      </c>
      <c r="O76" s="6" t="s">
        <v>121</v>
      </c>
      <c r="P76" s="5" t="s">
        <v>918</v>
      </c>
      <c r="Q76" s="18" t="s">
        <v>186</v>
      </c>
      <c r="R76" s="5" t="s">
        <v>1449</v>
      </c>
      <c r="S76" s="6" t="s">
        <v>980</v>
      </c>
      <c r="T76" s="5" t="s">
        <v>981</v>
      </c>
      <c r="U76" s="6"/>
      <c r="V76" s="6" t="s">
        <v>982</v>
      </c>
      <c r="W76" s="6" t="s">
        <v>331</v>
      </c>
      <c r="X76" s="5" t="s">
        <v>922</v>
      </c>
      <c r="Y76" s="5" t="s">
        <v>1405</v>
      </c>
      <c r="Z76" s="5" t="str">
        <f t="shared" si="2"/>
        <v>High</v>
      </c>
      <c r="AA76" s="5" t="s">
        <v>923</v>
      </c>
      <c r="AB76" s="6" t="s">
        <v>924</v>
      </c>
      <c r="AC76" s="6" t="s">
        <v>103</v>
      </c>
      <c r="AD76" s="5" t="s">
        <v>940</v>
      </c>
      <c r="AE76" s="5" t="s">
        <v>354</v>
      </c>
      <c r="AF76" s="5" t="s">
        <v>354</v>
      </c>
      <c r="AG76" s="5" t="s">
        <v>354</v>
      </c>
      <c r="AH76" s="5" t="s">
        <v>354</v>
      </c>
      <c r="AI76" s="6" t="str">
        <f t="shared" si="3"/>
        <v>No</v>
      </c>
      <c r="AJ76" s="6" t="s">
        <v>941</v>
      </c>
      <c r="AK76" s="6" t="s">
        <v>121</v>
      </c>
      <c r="AL76" s="6">
        <f>MATCH(AA76,{"Low","Medium","High"},0)*MATCH(AB76,{"Low","Medium","High"},0)*INDEX({3,2,2,1,1},MATCH(X76,{"Core","Vertical extension","Differentiator","Future","Adjacent"},0))</f>
        <v>9</v>
      </c>
      <c r="AM76" s="5"/>
      <c r="AN76" s="5"/>
      <c r="AO76" s="5"/>
      <c r="AP76" s="5"/>
      <c r="AQ76" s="5"/>
      <c r="AR76" s="5"/>
      <c r="AS76" s="5"/>
      <c r="AT76" s="5"/>
      <c r="AU76" s="6" t="s">
        <v>927</v>
      </c>
      <c r="AV76" s="6" t="s">
        <v>54</v>
      </c>
      <c r="AW76" s="6" t="s">
        <v>1296</v>
      </c>
      <c r="AX76" s="6" t="s">
        <v>929</v>
      </c>
      <c r="AY76" s="6" t="s">
        <v>930</v>
      </c>
      <c r="AZ76" s="6"/>
      <c r="BA76" s="6" t="s">
        <v>1442</v>
      </c>
      <c r="BB76" s="6" t="s">
        <v>1443</v>
      </c>
      <c r="BC76" s="6" t="s">
        <v>97</v>
      </c>
      <c r="BD76" s="6" t="s">
        <v>97</v>
      </c>
    </row>
    <row r="77" spans="1:56" ht="32" customHeight="1" x14ac:dyDescent="0.35">
      <c r="A77" s="13" t="s">
        <v>1450</v>
      </c>
      <c r="B77" s="6" t="s">
        <v>910</v>
      </c>
      <c r="C77" s="5" t="s">
        <v>1398</v>
      </c>
      <c r="D77" s="5" t="s">
        <v>829</v>
      </c>
      <c r="E77" s="5" t="s">
        <v>1451</v>
      </c>
      <c r="F77" s="5" t="s">
        <v>1452</v>
      </c>
      <c r="G77" s="5" t="s">
        <v>1453</v>
      </c>
      <c r="H77" s="5" t="s">
        <v>1454</v>
      </c>
      <c r="I77" s="5" t="s">
        <v>1455</v>
      </c>
      <c r="J77" s="19" t="s">
        <v>151</v>
      </c>
      <c r="K77" s="17" t="s">
        <v>181</v>
      </c>
      <c r="L77" s="5" t="s">
        <v>1456</v>
      </c>
      <c r="M77" s="6" t="s">
        <v>197</v>
      </c>
      <c r="N77" s="6" t="s">
        <v>809</v>
      </c>
      <c r="O77" s="6" t="s">
        <v>151</v>
      </c>
      <c r="P77" s="5" t="s">
        <v>918</v>
      </c>
      <c r="Q77" s="17" t="s">
        <v>182</v>
      </c>
      <c r="R77" s="5"/>
      <c r="S77" s="6" t="s">
        <v>980</v>
      </c>
      <c r="T77" s="5" t="s">
        <v>981</v>
      </c>
      <c r="U77" s="6"/>
      <c r="V77" s="6" t="s">
        <v>982</v>
      </c>
      <c r="W77" s="6" t="s">
        <v>331</v>
      </c>
      <c r="X77" s="5" t="s">
        <v>922</v>
      </c>
      <c r="Y77" s="5" t="s">
        <v>1405</v>
      </c>
      <c r="Z77" s="5" t="str">
        <f t="shared" si="2"/>
        <v>High</v>
      </c>
      <c r="AA77" s="5" t="s">
        <v>923</v>
      </c>
      <c r="AB77" s="6" t="s">
        <v>924</v>
      </c>
      <c r="AC77" s="6" t="s">
        <v>11</v>
      </c>
      <c r="AD77" s="5" t="s">
        <v>925</v>
      </c>
      <c r="AE77" s="5" t="s">
        <v>354</v>
      </c>
      <c r="AF77" s="5" t="s">
        <v>354</v>
      </c>
      <c r="AG77" s="5" t="s">
        <v>354</v>
      </c>
      <c r="AH77" s="5" t="s">
        <v>354</v>
      </c>
      <c r="AI77" s="6" t="str">
        <f t="shared" si="3"/>
        <v>No</v>
      </c>
      <c r="AJ77" s="6" t="s">
        <v>926</v>
      </c>
      <c r="AK77" s="6" t="s">
        <v>151</v>
      </c>
      <c r="AL77" s="6">
        <f>MATCH(AA77,{"Low","Medium","High"},0)*MATCH(AB77,{"Low","Medium","High"},0)*INDEX({3,2,2,1,1},MATCH(X77,{"Core","Vertical extension","Differentiator","Future","Adjacent"},0))</f>
        <v>9</v>
      </c>
      <c r="AM77" s="5"/>
      <c r="AN77" s="5"/>
      <c r="AO77" s="5"/>
      <c r="AP77" s="5"/>
      <c r="AQ77" s="5"/>
      <c r="AR77" s="5"/>
      <c r="AS77" s="5"/>
      <c r="AT77" s="5"/>
      <c r="AU77" s="6" t="s">
        <v>927</v>
      </c>
      <c r="AV77" s="6" t="s">
        <v>54</v>
      </c>
      <c r="AW77" s="6" t="s">
        <v>55</v>
      </c>
      <c r="AX77" s="6" t="s">
        <v>929</v>
      </c>
      <c r="AY77" s="6" t="s">
        <v>930</v>
      </c>
      <c r="AZ77" s="6"/>
      <c r="BA77" s="6"/>
      <c r="BB77" s="6"/>
      <c r="BC77" s="6" t="s">
        <v>97</v>
      </c>
      <c r="BD77" s="6" t="s">
        <v>97</v>
      </c>
    </row>
    <row r="78" spans="1:56" ht="32" customHeight="1" x14ac:dyDescent="0.35">
      <c r="A78" s="13" t="s">
        <v>1457</v>
      </c>
      <c r="B78" s="6" t="s">
        <v>910</v>
      </c>
      <c r="C78" s="5" t="s">
        <v>1398</v>
      </c>
      <c r="D78" s="5" t="s">
        <v>829</v>
      </c>
      <c r="E78" s="5" t="s">
        <v>1458</v>
      </c>
      <c r="F78" s="5" t="s">
        <v>1452</v>
      </c>
      <c r="G78" s="5" t="s">
        <v>1459</v>
      </c>
      <c r="H78" s="5" t="s">
        <v>1460</v>
      </c>
      <c r="I78" s="5" t="s">
        <v>1461</v>
      </c>
      <c r="J78" s="19" t="s">
        <v>151</v>
      </c>
      <c r="K78" s="17" t="s">
        <v>181</v>
      </c>
      <c r="L78" s="5" t="s">
        <v>1462</v>
      </c>
      <c r="M78" s="6" t="s">
        <v>197</v>
      </c>
      <c r="N78" s="6" t="s">
        <v>809</v>
      </c>
      <c r="O78" s="6" t="s">
        <v>151</v>
      </c>
      <c r="P78" s="5" t="s">
        <v>918</v>
      </c>
      <c r="Q78" s="17" t="s">
        <v>182</v>
      </c>
      <c r="R78" s="5"/>
      <c r="S78" s="6" t="s">
        <v>980</v>
      </c>
      <c r="T78" s="5" t="s">
        <v>981</v>
      </c>
      <c r="U78" s="6"/>
      <c r="V78" s="6" t="s">
        <v>982</v>
      </c>
      <c r="W78" s="6" t="s">
        <v>331</v>
      </c>
      <c r="X78" s="5" t="s">
        <v>922</v>
      </c>
      <c r="Y78" s="5" t="s">
        <v>1405</v>
      </c>
      <c r="Z78" s="5" t="str">
        <f t="shared" si="2"/>
        <v>High</v>
      </c>
      <c r="AA78" s="5" t="s">
        <v>923</v>
      </c>
      <c r="AB78" s="6" t="s">
        <v>924</v>
      </c>
      <c r="AC78" s="6" t="s">
        <v>11</v>
      </c>
      <c r="AD78" s="5" t="s">
        <v>925</v>
      </c>
      <c r="AE78" s="5" t="s">
        <v>354</v>
      </c>
      <c r="AF78" s="5" t="s">
        <v>354</v>
      </c>
      <c r="AG78" s="5" t="s">
        <v>354</v>
      </c>
      <c r="AH78" s="5" t="s">
        <v>354</v>
      </c>
      <c r="AI78" s="6" t="str">
        <f t="shared" si="3"/>
        <v>No</v>
      </c>
      <c r="AJ78" s="6" t="s">
        <v>926</v>
      </c>
      <c r="AK78" s="6" t="s">
        <v>151</v>
      </c>
      <c r="AL78" s="6">
        <f>MATCH(AA78,{"Low","Medium","High"},0)*MATCH(AB78,{"Low","Medium","High"},0)*INDEX({3,2,2,1,1},MATCH(X78,{"Core","Vertical extension","Differentiator","Future","Adjacent"},0))</f>
        <v>9</v>
      </c>
      <c r="AM78" s="5"/>
      <c r="AN78" s="5"/>
      <c r="AO78" s="5"/>
      <c r="AP78" s="5"/>
      <c r="AQ78" s="5"/>
      <c r="AR78" s="5"/>
      <c r="AS78" s="5"/>
      <c r="AT78" s="5"/>
      <c r="AU78" s="6" t="s">
        <v>927</v>
      </c>
      <c r="AV78" s="6" t="s">
        <v>54</v>
      </c>
      <c r="AW78" s="6" t="s">
        <v>55</v>
      </c>
      <c r="AX78" s="6" t="s">
        <v>929</v>
      </c>
      <c r="AY78" s="6" t="s">
        <v>930</v>
      </c>
      <c r="AZ78" s="6"/>
      <c r="BA78" s="6"/>
      <c r="BB78" s="6"/>
      <c r="BC78" s="6" t="s">
        <v>97</v>
      </c>
      <c r="BD78" s="6" t="s">
        <v>97</v>
      </c>
    </row>
    <row r="79" spans="1:56" ht="32" customHeight="1" x14ac:dyDescent="0.35">
      <c r="A79" s="13" t="s">
        <v>1463</v>
      </c>
      <c r="B79" s="6" t="s">
        <v>910</v>
      </c>
      <c r="C79" s="5" t="s">
        <v>1398</v>
      </c>
      <c r="D79" s="5" t="s">
        <v>829</v>
      </c>
      <c r="E79" s="5" t="s">
        <v>1464</v>
      </c>
      <c r="F79" s="5" t="s">
        <v>1400</v>
      </c>
      <c r="G79" s="5" t="s">
        <v>1339</v>
      </c>
      <c r="H79" s="5" t="s">
        <v>1465</v>
      </c>
      <c r="I79" s="5" t="s">
        <v>1466</v>
      </c>
      <c r="J79" s="17" t="s">
        <v>121</v>
      </c>
      <c r="K79" s="17" t="s">
        <v>181</v>
      </c>
      <c r="L79" s="5" t="s">
        <v>1467</v>
      </c>
      <c r="M79" s="6" t="s">
        <v>197</v>
      </c>
      <c r="N79" s="6" t="s">
        <v>809</v>
      </c>
      <c r="O79" s="6" t="s">
        <v>121</v>
      </c>
      <c r="P79" s="5" t="s">
        <v>918</v>
      </c>
      <c r="Q79" s="17" t="s">
        <v>182</v>
      </c>
      <c r="R79" s="5"/>
      <c r="S79" s="6" t="s">
        <v>980</v>
      </c>
      <c r="T79" s="5" t="s">
        <v>981</v>
      </c>
      <c r="U79" s="6"/>
      <c r="V79" s="6" t="s">
        <v>982</v>
      </c>
      <c r="W79" s="6" t="s">
        <v>331</v>
      </c>
      <c r="X79" s="5" t="s">
        <v>922</v>
      </c>
      <c r="Y79" s="5" t="s">
        <v>1405</v>
      </c>
      <c r="Z79" s="5" t="str">
        <f t="shared" si="2"/>
        <v>High</v>
      </c>
      <c r="AA79" s="5" t="s">
        <v>923</v>
      </c>
      <c r="AB79" s="6" t="s">
        <v>924</v>
      </c>
      <c r="AC79" s="6" t="s">
        <v>103</v>
      </c>
      <c r="AD79" s="5" t="s">
        <v>925</v>
      </c>
      <c r="AE79" s="5" t="s">
        <v>354</v>
      </c>
      <c r="AF79" s="5" t="s">
        <v>354</v>
      </c>
      <c r="AG79" s="5" t="s">
        <v>354</v>
      </c>
      <c r="AH79" s="5" t="s">
        <v>354</v>
      </c>
      <c r="AI79" s="6" t="str">
        <f t="shared" si="3"/>
        <v>No</v>
      </c>
      <c r="AJ79" s="6" t="s">
        <v>926</v>
      </c>
      <c r="AK79" s="6" t="s">
        <v>121</v>
      </c>
      <c r="AL79" s="6">
        <f>MATCH(AA79,{"Low","Medium","High"},0)*MATCH(AB79,{"Low","Medium","High"},0)*INDEX({3,2,2,1,1},MATCH(X79,{"Core","Vertical extension","Differentiator","Future","Adjacent"},0))</f>
        <v>9</v>
      </c>
      <c r="AM79" s="5"/>
      <c r="AN79" s="5"/>
      <c r="AO79" s="5"/>
      <c r="AP79" s="5"/>
      <c r="AQ79" s="5"/>
      <c r="AR79" s="5"/>
      <c r="AS79" s="5"/>
      <c r="AT79" s="5"/>
      <c r="AU79" s="6" t="s">
        <v>927</v>
      </c>
      <c r="AV79" s="6" t="s">
        <v>54</v>
      </c>
      <c r="AW79" s="6" t="s">
        <v>1296</v>
      </c>
      <c r="AX79" s="6" t="s">
        <v>929</v>
      </c>
      <c r="AY79" s="6" t="s">
        <v>930</v>
      </c>
      <c r="AZ79" s="6"/>
      <c r="BA79" s="6"/>
      <c r="BB79" s="6"/>
      <c r="BC79" s="6" t="s">
        <v>97</v>
      </c>
      <c r="BD79" s="6" t="s">
        <v>97</v>
      </c>
    </row>
    <row r="80" spans="1:56" ht="32" customHeight="1" x14ac:dyDescent="0.35">
      <c r="A80" s="13" t="s">
        <v>1468</v>
      </c>
      <c r="B80" s="6" t="s">
        <v>910</v>
      </c>
      <c r="C80" s="5" t="s">
        <v>1469</v>
      </c>
      <c r="D80" s="5" t="s">
        <v>839</v>
      </c>
      <c r="E80" s="5" t="s">
        <v>1470</v>
      </c>
      <c r="F80" s="5" t="s">
        <v>1471</v>
      </c>
      <c r="G80" s="5" t="s">
        <v>1472</v>
      </c>
      <c r="H80" s="5" t="s">
        <v>1473</v>
      </c>
      <c r="I80" s="5" t="s">
        <v>1474</v>
      </c>
      <c r="J80" s="16" t="s">
        <v>73</v>
      </c>
      <c r="K80" s="17" t="s">
        <v>181</v>
      </c>
      <c r="L80" s="5" t="s">
        <v>1475</v>
      </c>
      <c r="M80" s="6" t="s">
        <v>197</v>
      </c>
      <c r="N80" s="6" t="s">
        <v>809</v>
      </c>
      <c r="O80" s="6" t="s">
        <v>73</v>
      </c>
      <c r="P80" s="5" t="s">
        <v>918</v>
      </c>
      <c r="Q80" s="17" t="s">
        <v>182</v>
      </c>
      <c r="R80" s="5"/>
      <c r="S80" s="6" t="s">
        <v>1359</v>
      </c>
      <c r="T80" s="5" t="s">
        <v>1360</v>
      </c>
      <c r="U80" s="6"/>
      <c r="V80" s="6" t="s">
        <v>982</v>
      </c>
      <c r="W80" s="6" t="s">
        <v>331</v>
      </c>
      <c r="X80" s="5" t="s">
        <v>922</v>
      </c>
      <c r="Y80" s="5" t="s">
        <v>1405</v>
      </c>
      <c r="Z80" s="5" t="str">
        <f t="shared" si="2"/>
        <v>High</v>
      </c>
      <c r="AA80" s="5" t="s">
        <v>923</v>
      </c>
      <c r="AB80" s="6" t="s">
        <v>924</v>
      </c>
      <c r="AC80" s="6" t="s">
        <v>78</v>
      </c>
      <c r="AD80" s="5" t="s">
        <v>925</v>
      </c>
      <c r="AE80" s="5" t="s">
        <v>354</v>
      </c>
      <c r="AF80" s="5" t="s">
        <v>354</v>
      </c>
      <c r="AG80" s="5" t="s">
        <v>354</v>
      </c>
      <c r="AH80" s="5" t="s">
        <v>354</v>
      </c>
      <c r="AI80" s="6" t="str">
        <f t="shared" si="3"/>
        <v>No</v>
      </c>
      <c r="AJ80" s="6" t="s">
        <v>926</v>
      </c>
      <c r="AK80" s="6" t="s">
        <v>73</v>
      </c>
      <c r="AL80" s="6">
        <f>MATCH(AA80,{"Low","Medium","High"},0)*MATCH(AB80,{"Low","Medium","High"},0)*INDEX({3,2,2,1,1},MATCH(X80,{"Core","Vertical extension","Differentiator","Future","Adjacent"},0))</f>
        <v>9</v>
      </c>
      <c r="AM80" s="5"/>
      <c r="AN80" s="5"/>
      <c r="AO80" s="5"/>
      <c r="AP80" s="5"/>
      <c r="AQ80" s="5"/>
      <c r="AR80" s="5"/>
      <c r="AS80" s="5"/>
      <c r="AT80" s="5"/>
      <c r="AU80" s="6" t="s">
        <v>927</v>
      </c>
      <c r="AV80" s="6" t="s">
        <v>54</v>
      </c>
      <c r="AW80" s="6" t="s">
        <v>1322</v>
      </c>
      <c r="AX80" s="6" t="s">
        <v>929</v>
      </c>
      <c r="AY80" s="6" t="s">
        <v>930</v>
      </c>
      <c r="AZ80" s="6"/>
      <c r="BA80" s="6" t="s">
        <v>983</v>
      </c>
      <c r="BB80" s="6" t="s">
        <v>984</v>
      </c>
      <c r="BC80" s="6" t="s">
        <v>97</v>
      </c>
      <c r="BD80" s="6" t="s">
        <v>97</v>
      </c>
    </row>
    <row r="81" spans="1:56" ht="32" customHeight="1" x14ac:dyDescent="0.35">
      <c r="A81" s="13" t="s">
        <v>1476</v>
      </c>
      <c r="B81" s="6" t="s">
        <v>910</v>
      </c>
      <c r="C81" s="5" t="s">
        <v>1469</v>
      </c>
      <c r="D81" s="5" t="s">
        <v>839</v>
      </c>
      <c r="E81" s="5" t="s">
        <v>1477</v>
      </c>
      <c r="F81" s="5" t="s">
        <v>1478</v>
      </c>
      <c r="G81" s="5" t="s">
        <v>1479</v>
      </c>
      <c r="H81" s="5" t="s">
        <v>1480</v>
      </c>
      <c r="I81" s="5" t="s">
        <v>1481</v>
      </c>
      <c r="J81" s="17" t="s">
        <v>121</v>
      </c>
      <c r="K81" s="17" t="s">
        <v>181</v>
      </c>
      <c r="L81" s="5" t="s">
        <v>1482</v>
      </c>
      <c r="M81" s="6" t="s">
        <v>197</v>
      </c>
      <c r="N81" s="6" t="s">
        <v>809</v>
      </c>
      <c r="O81" s="6" t="s">
        <v>121</v>
      </c>
      <c r="P81" s="5" t="s">
        <v>918</v>
      </c>
      <c r="Q81" s="17" t="s">
        <v>182</v>
      </c>
      <c r="R81" s="5"/>
      <c r="S81" s="6" t="s">
        <v>1359</v>
      </c>
      <c r="T81" s="5" t="s">
        <v>1360</v>
      </c>
      <c r="U81" s="6"/>
      <c r="V81" s="6" t="s">
        <v>982</v>
      </c>
      <c r="W81" s="6" t="s">
        <v>331</v>
      </c>
      <c r="X81" s="5" t="s">
        <v>922</v>
      </c>
      <c r="Y81" s="5" t="s">
        <v>1405</v>
      </c>
      <c r="Z81" s="5" t="str">
        <f t="shared" si="2"/>
        <v>Medium</v>
      </c>
      <c r="AA81" s="5" t="s">
        <v>956</v>
      </c>
      <c r="AB81" s="6" t="s">
        <v>924</v>
      </c>
      <c r="AC81" s="6" t="s">
        <v>103</v>
      </c>
      <c r="AD81" s="5" t="s">
        <v>925</v>
      </c>
      <c r="AE81" s="5" t="s">
        <v>354</v>
      </c>
      <c r="AF81" s="5" t="s">
        <v>354</v>
      </c>
      <c r="AG81" s="5" t="s">
        <v>354</v>
      </c>
      <c r="AH81" s="5" t="s">
        <v>354</v>
      </c>
      <c r="AI81" s="6" t="str">
        <f t="shared" si="3"/>
        <v>No</v>
      </c>
      <c r="AJ81" s="6" t="s">
        <v>926</v>
      </c>
      <c r="AK81" s="6" t="s">
        <v>121</v>
      </c>
      <c r="AL81" s="6">
        <f>MATCH(AA81,{"Low","Medium","High"},0)*MATCH(AB81,{"Low","Medium","High"},0)*INDEX({3,2,2,1,1},MATCH(X81,{"Core","Vertical extension","Differentiator","Future","Adjacent"},0))</f>
        <v>6</v>
      </c>
      <c r="AM81" s="5"/>
      <c r="AN81" s="5"/>
      <c r="AO81" s="5"/>
      <c r="AP81" s="5"/>
      <c r="AQ81" s="5"/>
      <c r="AR81" s="5"/>
      <c r="AS81" s="5"/>
      <c r="AT81" s="5"/>
      <c r="AU81" s="6" t="s">
        <v>927</v>
      </c>
      <c r="AV81" s="6" t="s">
        <v>54</v>
      </c>
      <c r="AW81" s="6" t="s">
        <v>54</v>
      </c>
      <c r="AX81" s="6" t="s">
        <v>929</v>
      </c>
      <c r="AY81" s="6" t="s">
        <v>930</v>
      </c>
      <c r="AZ81" s="6"/>
      <c r="BA81" s="6" t="s">
        <v>983</v>
      </c>
      <c r="BB81" s="6" t="s">
        <v>984</v>
      </c>
      <c r="BC81" s="6" t="s">
        <v>97</v>
      </c>
      <c r="BD81" s="6" t="s">
        <v>97</v>
      </c>
    </row>
    <row r="82" spans="1:56" ht="32" customHeight="1" x14ac:dyDescent="0.35">
      <c r="A82" s="13" t="s">
        <v>1483</v>
      </c>
      <c r="B82" s="6" t="s">
        <v>910</v>
      </c>
      <c r="C82" s="5" t="s">
        <v>1469</v>
      </c>
      <c r="D82" s="5" t="s">
        <v>839</v>
      </c>
      <c r="E82" s="5" t="s">
        <v>1484</v>
      </c>
      <c r="F82" s="5" t="s">
        <v>1353</v>
      </c>
      <c r="G82" s="5" t="s">
        <v>1485</v>
      </c>
      <c r="H82" s="5" t="s">
        <v>1486</v>
      </c>
      <c r="I82" s="5" t="s">
        <v>1487</v>
      </c>
      <c r="J82" s="16" t="s">
        <v>73</v>
      </c>
      <c r="K82" s="17" t="s">
        <v>181</v>
      </c>
      <c r="L82" s="5" t="s">
        <v>1488</v>
      </c>
      <c r="M82" s="6" t="s">
        <v>197</v>
      </c>
      <c r="N82" s="6" t="s">
        <v>809</v>
      </c>
      <c r="O82" s="6" t="s">
        <v>73</v>
      </c>
      <c r="P82" s="5" t="s">
        <v>918</v>
      </c>
      <c r="Q82" s="17" t="s">
        <v>182</v>
      </c>
      <c r="R82" s="5"/>
      <c r="S82" s="6" t="s">
        <v>1359</v>
      </c>
      <c r="T82" s="5" t="s">
        <v>1360</v>
      </c>
      <c r="U82" s="6"/>
      <c r="V82" s="6" t="s">
        <v>982</v>
      </c>
      <c r="W82" s="6" t="s">
        <v>331</v>
      </c>
      <c r="X82" s="5" t="s">
        <v>922</v>
      </c>
      <c r="Y82" s="5" t="s">
        <v>1405</v>
      </c>
      <c r="Z82" s="5" t="str">
        <f t="shared" si="2"/>
        <v>High</v>
      </c>
      <c r="AA82" s="5" t="s">
        <v>923</v>
      </c>
      <c r="AB82" s="6" t="s">
        <v>924</v>
      </c>
      <c r="AC82" s="6" t="s">
        <v>78</v>
      </c>
      <c r="AD82" s="5" t="s">
        <v>925</v>
      </c>
      <c r="AE82" s="5" t="s">
        <v>354</v>
      </c>
      <c r="AF82" s="5" t="s">
        <v>354</v>
      </c>
      <c r="AG82" s="5" t="s">
        <v>354</v>
      </c>
      <c r="AH82" s="5" t="s">
        <v>354</v>
      </c>
      <c r="AI82" s="6" t="str">
        <f t="shared" si="3"/>
        <v>No</v>
      </c>
      <c r="AJ82" s="6" t="s">
        <v>926</v>
      </c>
      <c r="AK82" s="6" t="s">
        <v>73</v>
      </c>
      <c r="AL82" s="6">
        <f>MATCH(AA82,{"Low","Medium","High"},0)*MATCH(AB82,{"Low","Medium","High"},0)*INDEX({3,2,2,1,1},MATCH(X82,{"Core","Vertical extension","Differentiator","Future","Adjacent"},0))</f>
        <v>9</v>
      </c>
      <c r="AM82" s="5"/>
      <c r="AN82" s="5"/>
      <c r="AO82" s="5"/>
      <c r="AP82" s="5"/>
      <c r="AQ82" s="5"/>
      <c r="AR82" s="5"/>
      <c r="AS82" s="5"/>
      <c r="AT82" s="5"/>
      <c r="AU82" s="6" t="s">
        <v>927</v>
      </c>
      <c r="AV82" s="6" t="s">
        <v>54</v>
      </c>
      <c r="AW82" s="6" t="s">
        <v>1306</v>
      </c>
      <c r="AX82" s="6" t="s">
        <v>929</v>
      </c>
      <c r="AY82" s="6" t="s">
        <v>930</v>
      </c>
      <c r="AZ82" s="6"/>
      <c r="BA82" s="6" t="s">
        <v>1361</v>
      </c>
      <c r="BB82" s="6" t="s">
        <v>1362</v>
      </c>
      <c r="BC82" s="6" t="s">
        <v>97</v>
      </c>
      <c r="BD82" s="6" t="s">
        <v>97</v>
      </c>
    </row>
    <row r="83" spans="1:56" ht="32" customHeight="1" x14ac:dyDescent="0.35">
      <c r="A83" s="13" t="s">
        <v>1489</v>
      </c>
      <c r="B83" s="6" t="s">
        <v>910</v>
      </c>
      <c r="C83" s="5" t="s">
        <v>1469</v>
      </c>
      <c r="D83" s="5" t="s">
        <v>839</v>
      </c>
      <c r="E83" s="5" t="s">
        <v>1490</v>
      </c>
      <c r="F83" s="5" t="s">
        <v>1491</v>
      </c>
      <c r="G83" s="5" t="s">
        <v>1290</v>
      </c>
      <c r="H83" s="5" t="s">
        <v>1492</v>
      </c>
      <c r="I83" s="5" t="s">
        <v>1493</v>
      </c>
      <c r="J83" s="17" t="s">
        <v>121</v>
      </c>
      <c r="K83" s="17" t="s">
        <v>181</v>
      </c>
      <c r="L83" s="5" t="s">
        <v>1494</v>
      </c>
      <c r="M83" s="6" t="s">
        <v>197</v>
      </c>
      <c r="N83" s="6" t="s">
        <v>809</v>
      </c>
      <c r="O83" s="6" t="s">
        <v>121</v>
      </c>
      <c r="P83" s="5" t="s">
        <v>918</v>
      </c>
      <c r="Q83" s="18" t="s">
        <v>186</v>
      </c>
      <c r="R83" s="5" t="s">
        <v>1295</v>
      </c>
      <c r="S83" s="6" t="s">
        <v>1359</v>
      </c>
      <c r="T83" s="5" t="s">
        <v>1360</v>
      </c>
      <c r="U83" s="6"/>
      <c r="V83" s="6" t="s">
        <v>982</v>
      </c>
      <c r="W83" s="6" t="s">
        <v>331</v>
      </c>
      <c r="X83" s="5" t="s">
        <v>922</v>
      </c>
      <c r="Y83" s="5" t="s">
        <v>1405</v>
      </c>
      <c r="Z83" s="5" t="str">
        <f t="shared" si="2"/>
        <v>Medium</v>
      </c>
      <c r="AA83" s="5" t="s">
        <v>956</v>
      </c>
      <c r="AB83" s="6" t="s">
        <v>924</v>
      </c>
      <c r="AC83" s="6" t="s">
        <v>103</v>
      </c>
      <c r="AD83" s="5" t="s">
        <v>940</v>
      </c>
      <c r="AE83" s="5" t="s">
        <v>354</v>
      </c>
      <c r="AF83" s="5" t="s">
        <v>354</v>
      </c>
      <c r="AG83" s="5" t="s">
        <v>354</v>
      </c>
      <c r="AH83" s="5" t="s">
        <v>354</v>
      </c>
      <c r="AI83" s="6" t="str">
        <f t="shared" si="3"/>
        <v>No</v>
      </c>
      <c r="AJ83" s="6" t="s">
        <v>941</v>
      </c>
      <c r="AK83" s="6" t="s">
        <v>121</v>
      </c>
      <c r="AL83" s="6">
        <f>MATCH(AA83,{"Low","Medium","High"},0)*MATCH(AB83,{"Low","Medium","High"},0)*INDEX({3,2,2,1,1},MATCH(X83,{"Core","Vertical extension","Differentiator","Future","Adjacent"},0))</f>
        <v>6</v>
      </c>
      <c r="AM83" s="5"/>
      <c r="AN83" s="5"/>
      <c r="AO83" s="5"/>
      <c r="AP83" s="5"/>
      <c r="AQ83" s="5"/>
      <c r="AR83" s="5"/>
      <c r="AS83" s="5"/>
      <c r="AT83" s="5"/>
      <c r="AU83" s="6" t="s">
        <v>927</v>
      </c>
      <c r="AV83" s="6" t="s">
        <v>54</v>
      </c>
      <c r="AW83" s="6" t="s">
        <v>1315</v>
      </c>
      <c r="AX83" s="6" t="s">
        <v>929</v>
      </c>
      <c r="AY83" s="6" t="s">
        <v>930</v>
      </c>
      <c r="AZ83" s="6"/>
      <c r="BA83" s="6" t="s">
        <v>1286</v>
      </c>
      <c r="BB83" s="6" t="s">
        <v>1287</v>
      </c>
      <c r="BC83" s="6" t="s">
        <v>97</v>
      </c>
      <c r="BD83" s="6" t="s">
        <v>97</v>
      </c>
    </row>
    <row r="84" spans="1:56" ht="32" customHeight="1" x14ac:dyDescent="0.35">
      <c r="A84" s="13" t="s">
        <v>1495</v>
      </c>
      <c r="B84" s="6" t="s">
        <v>910</v>
      </c>
      <c r="C84" s="5" t="s">
        <v>1469</v>
      </c>
      <c r="D84" s="5" t="s">
        <v>839</v>
      </c>
      <c r="E84" s="5" t="s">
        <v>1496</v>
      </c>
      <c r="F84" s="5" t="s">
        <v>1497</v>
      </c>
      <c r="G84" s="5" t="s">
        <v>1498</v>
      </c>
      <c r="H84" s="5" t="s">
        <v>1499</v>
      </c>
      <c r="I84" s="5" t="s">
        <v>1500</v>
      </c>
      <c r="J84" s="17" t="s">
        <v>121</v>
      </c>
      <c r="K84" s="17" t="s">
        <v>181</v>
      </c>
      <c r="L84" s="5" t="s">
        <v>1501</v>
      </c>
      <c r="M84" s="6" t="s">
        <v>197</v>
      </c>
      <c r="N84" s="6" t="s">
        <v>809</v>
      </c>
      <c r="O84" s="6" t="s">
        <v>121</v>
      </c>
      <c r="P84" s="5" t="s">
        <v>918</v>
      </c>
      <c r="Q84" s="18" t="s">
        <v>186</v>
      </c>
      <c r="R84" s="5" t="s">
        <v>1358</v>
      </c>
      <c r="S84" s="6" t="s">
        <v>1359</v>
      </c>
      <c r="T84" s="5" t="s">
        <v>1360</v>
      </c>
      <c r="U84" s="6"/>
      <c r="V84" s="6" t="s">
        <v>982</v>
      </c>
      <c r="W84" s="6" t="s">
        <v>331</v>
      </c>
      <c r="X84" s="5" t="s">
        <v>922</v>
      </c>
      <c r="Y84" s="5" t="s">
        <v>1405</v>
      </c>
      <c r="Z84" s="5" t="str">
        <f t="shared" si="2"/>
        <v>Medium</v>
      </c>
      <c r="AA84" s="5" t="s">
        <v>956</v>
      </c>
      <c r="AB84" s="6" t="s">
        <v>924</v>
      </c>
      <c r="AC84" s="6" t="s">
        <v>103</v>
      </c>
      <c r="AD84" s="5" t="s">
        <v>940</v>
      </c>
      <c r="AE84" s="5" t="s">
        <v>354</v>
      </c>
      <c r="AF84" s="5" t="s">
        <v>354</v>
      </c>
      <c r="AG84" s="5" t="s">
        <v>354</v>
      </c>
      <c r="AH84" s="5" t="s">
        <v>354</v>
      </c>
      <c r="AI84" s="6" t="str">
        <f t="shared" si="3"/>
        <v>No</v>
      </c>
      <c r="AJ84" s="6" t="s">
        <v>941</v>
      </c>
      <c r="AK84" s="6" t="s">
        <v>121</v>
      </c>
      <c r="AL84" s="6">
        <f>MATCH(AA84,{"Low","Medium","High"},0)*MATCH(AB84,{"Low","Medium","High"},0)*INDEX({3,2,2,1,1},MATCH(X84,{"Core","Vertical extension","Differentiator","Future","Adjacent"},0))</f>
        <v>6</v>
      </c>
      <c r="AM84" s="5"/>
      <c r="AN84" s="5"/>
      <c r="AO84" s="5"/>
      <c r="AP84" s="5"/>
      <c r="AQ84" s="5"/>
      <c r="AR84" s="5"/>
      <c r="AS84" s="5"/>
      <c r="AT84" s="5"/>
      <c r="AU84" s="6" t="s">
        <v>927</v>
      </c>
      <c r="AV84" s="6" t="s">
        <v>54</v>
      </c>
      <c r="AW84" s="6" t="s">
        <v>1306</v>
      </c>
      <c r="AX84" s="6" t="s">
        <v>929</v>
      </c>
      <c r="AY84" s="6" t="s">
        <v>930</v>
      </c>
      <c r="AZ84" s="6"/>
      <c r="BA84" s="6" t="s">
        <v>1361</v>
      </c>
      <c r="BB84" s="6" t="s">
        <v>1362</v>
      </c>
      <c r="BC84" s="6" t="s">
        <v>97</v>
      </c>
      <c r="BD84" s="6" t="s">
        <v>97</v>
      </c>
    </row>
    <row r="85" spans="1:56" ht="32" customHeight="1" x14ac:dyDescent="0.35">
      <c r="A85" s="13" t="s">
        <v>1502</v>
      </c>
      <c r="B85" s="6" t="s">
        <v>910</v>
      </c>
      <c r="C85" s="5" t="s">
        <v>1469</v>
      </c>
      <c r="D85" s="5" t="s">
        <v>831</v>
      </c>
      <c r="E85" s="5" t="s">
        <v>1503</v>
      </c>
      <c r="F85" s="5" t="s">
        <v>1504</v>
      </c>
      <c r="G85" s="5" t="s">
        <v>1505</v>
      </c>
      <c r="H85" s="5" t="s">
        <v>1506</v>
      </c>
      <c r="I85" s="5" t="s">
        <v>1507</v>
      </c>
      <c r="J85" s="19" t="s">
        <v>151</v>
      </c>
      <c r="K85" s="17" t="s">
        <v>181</v>
      </c>
      <c r="L85" s="5" t="s">
        <v>1508</v>
      </c>
      <c r="M85" s="6" t="s">
        <v>197</v>
      </c>
      <c r="N85" s="6" t="s">
        <v>809</v>
      </c>
      <c r="O85" s="6" t="s">
        <v>151</v>
      </c>
      <c r="P85" s="5" t="s">
        <v>1115</v>
      </c>
      <c r="Q85" s="17" t="s">
        <v>182</v>
      </c>
      <c r="R85" s="5" t="s">
        <v>1115</v>
      </c>
      <c r="S85" s="6" t="s">
        <v>964</v>
      </c>
      <c r="T85" s="5" t="s">
        <v>965</v>
      </c>
      <c r="U85" s="6"/>
      <c r="V85" s="6" t="s">
        <v>966</v>
      </c>
      <c r="W85" s="6" t="s">
        <v>333</v>
      </c>
      <c r="X85" s="5" t="s">
        <v>922</v>
      </c>
      <c r="Y85" s="5" t="s">
        <v>1405</v>
      </c>
      <c r="Z85" s="5" t="str">
        <f t="shared" si="2"/>
        <v>Medium</v>
      </c>
      <c r="AA85" s="5" t="s">
        <v>956</v>
      </c>
      <c r="AB85" s="6" t="s">
        <v>924</v>
      </c>
      <c r="AC85" s="6" t="s">
        <v>11</v>
      </c>
      <c r="AD85" s="5" t="s">
        <v>925</v>
      </c>
      <c r="AE85" s="5" t="s">
        <v>354</v>
      </c>
      <c r="AF85" s="5" t="s">
        <v>354</v>
      </c>
      <c r="AG85" s="5" t="s">
        <v>354</v>
      </c>
      <c r="AH85" s="5" t="s">
        <v>354</v>
      </c>
      <c r="AI85" s="6" t="str">
        <f t="shared" si="3"/>
        <v>No</v>
      </c>
      <c r="AJ85" s="6" t="s">
        <v>926</v>
      </c>
      <c r="AK85" s="6" t="s">
        <v>151</v>
      </c>
      <c r="AL85" s="6">
        <f>MATCH(AA85,{"Low","Medium","High"},0)*MATCH(AB85,{"Low","Medium","High"},0)*INDEX({3,2,2,1,1},MATCH(X85,{"Core","Vertical extension","Differentiator","Future","Adjacent"},0))</f>
        <v>6</v>
      </c>
      <c r="AM85" s="5"/>
      <c r="AN85" s="5"/>
      <c r="AO85" s="5"/>
      <c r="AP85" s="5"/>
      <c r="AQ85" s="5"/>
      <c r="AR85" s="5"/>
      <c r="AS85" s="5"/>
      <c r="AT85" s="5"/>
      <c r="AU85" s="6" t="s">
        <v>927</v>
      </c>
      <c r="AV85" s="6" t="s">
        <v>54</v>
      </c>
      <c r="AW85" s="6" t="s">
        <v>1322</v>
      </c>
      <c r="AX85" s="6" t="s">
        <v>1003</v>
      </c>
      <c r="AY85" s="6" t="s">
        <v>930</v>
      </c>
      <c r="AZ85" s="6"/>
      <c r="BA85" s="6"/>
      <c r="BB85" s="6"/>
      <c r="BC85" s="6" t="s">
        <v>97</v>
      </c>
      <c r="BD85" s="6" t="s">
        <v>97</v>
      </c>
    </row>
    <row r="86" spans="1:56" ht="32" customHeight="1" x14ac:dyDescent="0.35">
      <c r="A86" s="13" t="s">
        <v>1509</v>
      </c>
      <c r="B86" s="6" t="s">
        <v>910</v>
      </c>
      <c r="C86" s="5" t="s">
        <v>1469</v>
      </c>
      <c r="D86" s="5" t="s">
        <v>831</v>
      </c>
      <c r="E86" s="5" t="s">
        <v>1510</v>
      </c>
      <c r="F86" s="5" t="s">
        <v>1504</v>
      </c>
      <c r="G86" s="5" t="s">
        <v>459</v>
      </c>
      <c r="H86" s="5" t="s">
        <v>1511</v>
      </c>
      <c r="I86" s="5" t="s">
        <v>1512</v>
      </c>
      <c r="J86" s="19" t="s">
        <v>151</v>
      </c>
      <c r="K86" s="17" t="s">
        <v>181</v>
      </c>
      <c r="L86" s="5" t="s">
        <v>1513</v>
      </c>
      <c r="M86" s="6" t="s">
        <v>197</v>
      </c>
      <c r="N86" s="6" t="s">
        <v>809</v>
      </c>
      <c r="O86" s="6" t="s">
        <v>151</v>
      </c>
      <c r="P86" s="5" t="s">
        <v>1115</v>
      </c>
      <c r="Q86" s="17" t="s">
        <v>182</v>
      </c>
      <c r="R86" s="5" t="s">
        <v>1115</v>
      </c>
      <c r="S86" s="6" t="s">
        <v>964</v>
      </c>
      <c r="T86" s="5" t="s">
        <v>965</v>
      </c>
      <c r="U86" s="6"/>
      <c r="V86" s="6" t="s">
        <v>966</v>
      </c>
      <c r="W86" s="6" t="s">
        <v>333</v>
      </c>
      <c r="X86" s="5" t="s">
        <v>922</v>
      </c>
      <c r="Y86" s="5" t="s">
        <v>1405</v>
      </c>
      <c r="Z86" s="5" t="str">
        <f t="shared" si="2"/>
        <v>Medium</v>
      </c>
      <c r="AA86" s="5" t="s">
        <v>956</v>
      </c>
      <c r="AB86" s="6" t="s">
        <v>924</v>
      </c>
      <c r="AC86" s="6" t="s">
        <v>11</v>
      </c>
      <c r="AD86" s="5" t="s">
        <v>925</v>
      </c>
      <c r="AE86" s="5" t="s">
        <v>354</v>
      </c>
      <c r="AF86" s="5" t="s">
        <v>354</v>
      </c>
      <c r="AG86" s="5" t="s">
        <v>354</v>
      </c>
      <c r="AH86" s="5" t="s">
        <v>354</v>
      </c>
      <c r="AI86" s="6" t="str">
        <f t="shared" si="3"/>
        <v>No</v>
      </c>
      <c r="AJ86" s="6" t="s">
        <v>926</v>
      </c>
      <c r="AK86" s="6" t="s">
        <v>151</v>
      </c>
      <c r="AL86" s="6">
        <f>MATCH(AA86,{"Low","Medium","High"},0)*MATCH(AB86,{"Low","Medium","High"},0)*INDEX({3,2,2,1,1},MATCH(X86,{"Core","Vertical extension","Differentiator","Future","Adjacent"},0))</f>
        <v>6</v>
      </c>
      <c r="AM86" s="5"/>
      <c r="AN86" s="5"/>
      <c r="AO86" s="5"/>
      <c r="AP86" s="5"/>
      <c r="AQ86" s="5"/>
      <c r="AR86" s="5"/>
      <c r="AS86" s="5"/>
      <c r="AT86" s="5"/>
      <c r="AU86" s="6" t="s">
        <v>927</v>
      </c>
      <c r="AV86" s="6" t="s">
        <v>54</v>
      </c>
      <c r="AW86" s="6" t="s">
        <v>1322</v>
      </c>
      <c r="AX86" s="6" t="s">
        <v>1003</v>
      </c>
      <c r="AY86" s="6" t="s">
        <v>930</v>
      </c>
      <c r="AZ86" s="6"/>
      <c r="BA86" s="6"/>
      <c r="BB86" s="6"/>
      <c r="BC86" s="6" t="s">
        <v>97</v>
      </c>
      <c r="BD86" s="6" t="s">
        <v>97</v>
      </c>
    </row>
    <row r="87" spans="1:56" ht="32" customHeight="1" x14ac:dyDescent="0.35">
      <c r="A87" s="13" t="s">
        <v>1514</v>
      </c>
      <c r="B87" s="6" t="s">
        <v>910</v>
      </c>
      <c r="C87" s="5" t="s">
        <v>1469</v>
      </c>
      <c r="D87" s="5" t="s">
        <v>839</v>
      </c>
      <c r="E87" s="5" t="s">
        <v>1515</v>
      </c>
      <c r="F87" s="5" t="s">
        <v>1353</v>
      </c>
      <c r="G87" s="5" t="s">
        <v>1472</v>
      </c>
      <c r="H87" s="5" t="s">
        <v>1516</v>
      </c>
      <c r="I87" s="5" t="s">
        <v>1517</v>
      </c>
      <c r="J87" s="19" t="s">
        <v>151</v>
      </c>
      <c r="K87" s="17" t="s">
        <v>181</v>
      </c>
      <c r="L87" s="5" t="s">
        <v>1518</v>
      </c>
      <c r="M87" s="6" t="s">
        <v>197</v>
      </c>
      <c r="N87" s="6" t="s">
        <v>809</v>
      </c>
      <c r="O87" s="6" t="s">
        <v>151</v>
      </c>
      <c r="P87" s="5" t="s">
        <v>1115</v>
      </c>
      <c r="Q87" s="18" t="s">
        <v>186</v>
      </c>
      <c r="R87" s="5" t="s">
        <v>1519</v>
      </c>
      <c r="S87" s="6" t="s">
        <v>1359</v>
      </c>
      <c r="T87" s="5" t="s">
        <v>1360</v>
      </c>
      <c r="U87" s="6"/>
      <c r="V87" s="6" t="s">
        <v>982</v>
      </c>
      <c r="W87" s="6" t="s">
        <v>331</v>
      </c>
      <c r="X87" s="5" t="s">
        <v>922</v>
      </c>
      <c r="Y87" s="5" t="s">
        <v>1405</v>
      </c>
      <c r="Z87" s="5" t="str">
        <f t="shared" si="2"/>
        <v>Medium</v>
      </c>
      <c r="AA87" s="5" t="s">
        <v>956</v>
      </c>
      <c r="AB87" s="6" t="s">
        <v>924</v>
      </c>
      <c r="AC87" s="6" t="s">
        <v>11</v>
      </c>
      <c r="AD87" s="5" t="s">
        <v>940</v>
      </c>
      <c r="AE87" s="5" t="s">
        <v>354</v>
      </c>
      <c r="AF87" s="5" t="s">
        <v>354</v>
      </c>
      <c r="AG87" s="5" t="s">
        <v>354</v>
      </c>
      <c r="AH87" s="5" t="s">
        <v>354</v>
      </c>
      <c r="AI87" s="6" t="str">
        <f t="shared" si="3"/>
        <v>No</v>
      </c>
      <c r="AJ87" s="6" t="s">
        <v>941</v>
      </c>
      <c r="AK87" s="6" t="s">
        <v>151</v>
      </c>
      <c r="AL87" s="6">
        <f>MATCH(AA87,{"Low","Medium","High"},0)*MATCH(AB87,{"Low","Medium","High"},0)*INDEX({3,2,2,1,1},MATCH(X87,{"Core","Vertical extension","Differentiator","Future","Adjacent"},0))</f>
        <v>6</v>
      </c>
      <c r="AM87" s="5"/>
      <c r="AN87" s="5"/>
      <c r="AO87" s="5"/>
      <c r="AP87" s="5"/>
      <c r="AQ87" s="5"/>
      <c r="AR87" s="5"/>
      <c r="AS87" s="5"/>
      <c r="AT87" s="5"/>
      <c r="AU87" s="6" t="s">
        <v>927</v>
      </c>
      <c r="AV87" s="6" t="s">
        <v>54</v>
      </c>
      <c r="AW87" s="6" t="s">
        <v>1306</v>
      </c>
      <c r="AX87" s="6" t="s">
        <v>1003</v>
      </c>
      <c r="AY87" s="6" t="s">
        <v>930</v>
      </c>
      <c r="AZ87" s="6"/>
      <c r="BA87" s="6" t="s">
        <v>1361</v>
      </c>
      <c r="BB87" s="6" t="s">
        <v>1362</v>
      </c>
      <c r="BC87" s="6" t="s">
        <v>97</v>
      </c>
      <c r="BD87" s="6" t="s">
        <v>97</v>
      </c>
    </row>
    <row r="88" spans="1:56" ht="32" customHeight="1" x14ac:dyDescent="0.35">
      <c r="A88" s="13" t="s">
        <v>1520</v>
      </c>
      <c r="B88" s="6" t="s">
        <v>910</v>
      </c>
      <c r="C88" s="5" t="s">
        <v>1469</v>
      </c>
      <c r="D88" s="5" t="s">
        <v>829</v>
      </c>
      <c r="E88" s="5" t="s">
        <v>1521</v>
      </c>
      <c r="F88" s="5" t="s">
        <v>1522</v>
      </c>
      <c r="G88" s="5" t="s">
        <v>1523</v>
      </c>
      <c r="H88" s="5" t="s">
        <v>1524</v>
      </c>
      <c r="I88" s="5" t="s">
        <v>1525</v>
      </c>
      <c r="J88" s="17" t="s">
        <v>121</v>
      </c>
      <c r="K88" s="17" t="s">
        <v>181</v>
      </c>
      <c r="L88" s="5" t="s">
        <v>1526</v>
      </c>
      <c r="M88" s="6" t="s">
        <v>197</v>
      </c>
      <c r="N88" s="6" t="s">
        <v>809</v>
      </c>
      <c r="O88" s="6" t="s">
        <v>121</v>
      </c>
      <c r="P88" s="5" t="s">
        <v>918</v>
      </c>
      <c r="Q88" s="17" t="s">
        <v>182</v>
      </c>
      <c r="R88" s="5"/>
      <c r="S88" s="6" t="s">
        <v>980</v>
      </c>
      <c r="T88" s="5" t="s">
        <v>981</v>
      </c>
      <c r="U88" s="6"/>
      <c r="V88" s="6" t="s">
        <v>982</v>
      </c>
      <c r="W88" s="6" t="s">
        <v>331</v>
      </c>
      <c r="X88" s="5" t="s">
        <v>922</v>
      </c>
      <c r="Y88" s="5" t="s">
        <v>1405</v>
      </c>
      <c r="Z88" s="5" t="str">
        <f t="shared" si="2"/>
        <v>High</v>
      </c>
      <c r="AA88" s="5" t="s">
        <v>923</v>
      </c>
      <c r="AB88" s="6" t="s">
        <v>924</v>
      </c>
      <c r="AC88" s="6" t="s">
        <v>103</v>
      </c>
      <c r="AD88" s="5" t="s">
        <v>925</v>
      </c>
      <c r="AE88" s="5" t="s">
        <v>354</v>
      </c>
      <c r="AF88" s="5" t="s">
        <v>354</v>
      </c>
      <c r="AG88" s="5" t="s">
        <v>354</v>
      </c>
      <c r="AH88" s="5" t="s">
        <v>354</v>
      </c>
      <c r="AI88" s="6" t="str">
        <f t="shared" si="3"/>
        <v>No</v>
      </c>
      <c r="AJ88" s="6" t="s">
        <v>926</v>
      </c>
      <c r="AK88" s="6" t="s">
        <v>121</v>
      </c>
      <c r="AL88" s="6">
        <f>MATCH(AA88,{"Low","Medium","High"},0)*MATCH(AB88,{"Low","Medium","High"},0)*INDEX({3,2,2,1,1},MATCH(X88,{"Core","Vertical extension","Differentiator","Future","Adjacent"},0))</f>
        <v>9</v>
      </c>
      <c r="AM88" s="5"/>
      <c r="AN88" s="5"/>
      <c r="AO88" s="5"/>
      <c r="AP88" s="5"/>
      <c r="AQ88" s="5"/>
      <c r="AR88" s="5"/>
      <c r="AS88" s="5"/>
      <c r="AT88" s="5"/>
      <c r="AU88" s="6" t="s">
        <v>927</v>
      </c>
      <c r="AV88" s="6" t="s">
        <v>54</v>
      </c>
      <c r="AW88" s="6" t="s">
        <v>1527</v>
      </c>
      <c r="AX88" s="6" t="s">
        <v>929</v>
      </c>
      <c r="AY88" s="6" t="s">
        <v>930</v>
      </c>
      <c r="AZ88" s="6"/>
      <c r="BA88" s="6" t="s">
        <v>1442</v>
      </c>
      <c r="BB88" s="6" t="s">
        <v>1443</v>
      </c>
      <c r="BC88" s="6" t="s">
        <v>97</v>
      </c>
      <c r="BD88" s="6" t="s">
        <v>97</v>
      </c>
    </row>
    <row r="89" spans="1:56" ht="32" customHeight="1" x14ac:dyDescent="0.35">
      <c r="A89" s="13" t="s">
        <v>1528</v>
      </c>
      <c r="B89" s="6" t="s">
        <v>910</v>
      </c>
      <c r="C89" s="5" t="s">
        <v>1469</v>
      </c>
      <c r="D89" s="5" t="s">
        <v>839</v>
      </c>
      <c r="E89" s="5" t="s">
        <v>1529</v>
      </c>
      <c r="F89" s="5" t="s">
        <v>1497</v>
      </c>
      <c r="G89" s="5" t="s">
        <v>1459</v>
      </c>
      <c r="H89" s="5" t="s">
        <v>1530</v>
      </c>
      <c r="I89" s="5" t="s">
        <v>1531</v>
      </c>
      <c r="J89" s="17" t="s">
        <v>121</v>
      </c>
      <c r="K89" s="17" t="s">
        <v>181</v>
      </c>
      <c r="L89" s="5" t="s">
        <v>1532</v>
      </c>
      <c r="M89" s="6" t="s">
        <v>197</v>
      </c>
      <c r="N89" s="6" t="s">
        <v>809</v>
      </c>
      <c r="O89" s="6" t="s">
        <v>121</v>
      </c>
      <c r="P89" s="5" t="s">
        <v>918</v>
      </c>
      <c r="Q89" s="17" t="s">
        <v>182</v>
      </c>
      <c r="R89" s="5"/>
      <c r="S89" s="6" t="s">
        <v>1359</v>
      </c>
      <c r="T89" s="5" t="s">
        <v>1360</v>
      </c>
      <c r="U89" s="6"/>
      <c r="V89" s="6" t="s">
        <v>982</v>
      </c>
      <c r="W89" s="6" t="s">
        <v>331</v>
      </c>
      <c r="X89" s="5" t="s">
        <v>922</v>
      </c>
      <c r="Y89" s="5" t="s">
        <v>1405</v>
      </c>
      <c r="Z89" s="5" t="str">
        <f t="shared" si="2"/>
        <v>Medium</v>
      </c>
      <c r="AA89" s="5" t="s">
        <v>956</v>
      </c>
      <c r="AB89" s="6" t="s">
        <v>924</v>
      </c>
      <c r="AC89" s="6" t="s">
        <v>103</v>
      </c>
      <c r="AD89" s="5" t="s">
        <v>925</v>
      </c>
      <c r="AE89" s="5" t="s">
        <v>354</v>
      </c>
      <c r="AF89" s="5" t="s">
        <v>354</v>
      </c>
      <c r="AG89" s="5" t="s">
        <v>354</v>
      </c>
      <c r="AH89" s="5" t="s">
        <v>354</v>
      </c>
      <c r="AI89" s="6" t="str">
        <f t="shared" si="3"/>
        <v>No</v>
      </c>
      <c r="AJ89" s="6" t="s">
        <v>926</v>
      </c>
      <c r="AK89" s="6" t="s">
        <v>121</v>
      </c>
      <c r="AL89" s="6">
        <f>MATCH(AA89,{"Low","Medium","High"},0)*MATCH(AB89,{"Low","Medium","High"},0)*INDEX({3,2,2,1,1},MATCH(X89,{"Core","Vertical extension","Differentiator","Future","Adjacent"},0))</f>
        <v>6</v>
      </c>
      <c r="AM89" s="5"/>
      <c r="AN89" s="5"/>
      <c r="AO89" s="5"/>
      <c r="AP89" s="5"/>
      <c r="AQ89" s="5"/>
      <c r="AR89" s="5"/>
      <c r="AS89" s="5"/>
      <c r="AT89" s="5"/>
      <c r="AU89" s="6" t="s">
        <v>927</v>
      </c>
      <c r="AV89" s="6" t="s">
        <v>54</v>
      </c>
      <c r="AW89" s="6" t="s">
        <v>1306</v>
      </c>
      <c r="AX89" s="6" t="s">
        <v>929</v>
      </c>
      <c r="AY89" s="6" t="s">
        <v>930</v>
      </c>
      <c r="AZ89" s="6"/>
      <c r="BA89" s="6" t="s">
        <v>1079</v>
      </c>
      <c r="BB89" s="6" t="s">
        <v>1080</v>
      </c>
      <c r="BC89" s="6" t="s">
        <v>97</v>
      </c>
      <c r="BD89" s="6" t="s">
        <v>97</v>
      </c>
    </row>
    <row r="90" spans="1:56" ht="32" customHeight="1" x14ac:dyDescent="0.35">
      <c r="A90" s="13" t="s">
        <v>1533</v>
      </c>
      <c r="B90" s="6" t="s">
        <v>910</v>
      </c>
      <c r="C90" s="5" t="s">
        <v>1534</v>
      </c>
      <c r="D90" s="5" t="s">
        <v>839</v>
      </c>
      <c r="E90" s="5" t="s">
        <v>1535</v>
      </c>
      <c r="F90" s="5" t="s">
        <v>1536</v>
      </c>
      <c r="G90" s="5" t="s">
        <v>1537</v>
      </c>
      <c r="H90" s="5" t="s">
        <v>1538</v>
      </c>
      <c r="I90" s="5" t="s">
        <v>1539</v>
      </c>
      <c r="J90" s="16" t="s">
        <v>73</v>
      </c>
      <c r="K90" s="17" t="s">
        <v>181</v>
      </c>
      <c r="L90" s="5" t="s">
        <v>1540</v>
      </c>
      <c r="M90" s="6" t="s">
        <v>197</v>
      </c>
      <c r="N90" s="6" t="s">
        <v>809</v>
      </c>
      <c r="O90" s="6" t="s">
        <v>73</v>
      </c>
      <c r="P90" s="5" t="s">
        <v>918</v>
      </c>
      <c r="Q90" s="17" t="s">
        <v>182</v>
      </c>
      <c r="R90" s="5"/>
      <c r="S90" s="6" t="s">
        <v>1359</v>
      </c>
      <c r="T90" s="5" t="s">
        <v>1360</v>
      </c>
      <c r="U90" s="6"/>
      <c r="V90" s="6" t="s">
        <v>982</v>
      </c>
      <c r="W90" s="6" t="s">
        <v>331</v>
      </c>
      <c r="X90" s="5" t="s">
        <v>922</v>
      </c>
      <c r="Y90" s="5" t="s">
        <v>658</v>
      </c>
      <c r="Z90" s="5" t="str">
        <f t="shared" si="2"/>
        <v>High</v>
      </c>
      <c r="AA90" s="5" t="s">
        <v>923</v>
      </c>
      <c r="AB90" s="6" t="s">
        <v>924</v>
      </c>
      <c r="AC90" s="6" t="s">
        <v>78</v>
      </c>
      <c r="AD90" s="5" t="s">
        <v>925</v>
      </c>
      <c r="AE90" s="5" t="s">
        <v>354</v>
      </c>
      <c r="AF90" s="5" t="s">
        <v>354</v>
      </c>
      <c r="AG90" s="5" t="s">
        <v>354</v>
      </c>
      <c r="AH90" s="5" t="s">
        <v>354</v>
      </c>
      <c r="AI90" s="6" t="str">
        <f t="shared" si="3"/>
        <v>No</v>
      </c>
      <c r="AJ90" s="6" t="s">
        <v>926</v>
      </c>
      <c r="AK90" s="6" t="s">
        <v>73</v>
      </c>
      <c r="AL90" s="6">
        <f>MATCH(AA90,{"Low","Medium","High"},0)*MATCH(AB90,{"Low","Medium","High"},0)*INDEX({3,2,2,1,1},MATCH(X90,{"Core","Vertical extension","Differentiator","Future","Adjacent"},0))</f>
        <v>9</v>
      </c>
      <c r="AM90" s="5"/>
      <c r="AN90" s="5"/>
      <c r="AO90" s="5"/>
      <c r="AP90" s="5"/>
      <c r="AQ90" s="5"/>
      <c r="AR90" s="5"/>
      <c r="AS90" s="5"/>
      <c r="AT90" s="5"/>
      <c r="AU90" s="6" t="s">
        <v>927</v>
      </c>
      <c r="AV90" s="6" t="s">
        <v>1534</v>
      </c>
      <c r="AW90" s="6" t="s">
        <v>1534</v>
      </c>
      <c r="AX90" s="6" t="s">
        <v>929</v>
      </c>
      <c r="AY90" s="6" t="s">
        <v>930</v>
      </c>
      <c r="AZ90" s="6"/>
      <c r="BA90" s="6"/>
      <c r="BB90" s="6"/>
      <c r="BC90" s="6" t="s">
        <v>97</v>
      </c>
      <c r="BD90" s="6" t="s">
        <v>97</v>
      </c>
    </row>
    <row r="91" spans="1:56" ht="32" customHeight="1" x14ac:dyDescent="0.35">
      <c r="A91" s="13" t="s">
        <v>1541</v>
      </c>
      <c r="B91" s="6" t="s">
        <v>910</v>
      </c>
      <c r="C91" s="5" t="s">
        <v>1534</v>
      </c>
      <c r="D91" s="5" t="s">
        <v>831</v>
      </c>
      <c r="E91" s="5" t="s">
        <v>1542</v>
      </c>
      <c r="F91" s="5" t="s">
        <v>1504</v>
      </c>
      <c r="G91" s="5" t="s">
        <v>1537</v>
      </c>
      <c r="H91" s="5" t="s">
        <v>1543</v>
      </c>
      <c r="I91" s="5" t="s">
        <v>1544</v>
      </c>
      <c r="J91" s="17" t="s">
        <v>121</v>
      </c>
      <c r="K91" s="17" t="s">
        <v>181</v>
      </c>
      <c r="L91" s="5" t="s">
        <v>1545</v>
      </c>
      <c r="M91" s="6" t="s">
        <v>197</v>
      </c>
      <c r="N91" s="6" t="s">
        <v>809</v>
      </c>
      <c r="O91" s="6" t="s">
        <v>121</v>
      </c>
      <c r="P91" s="5" t="s">
        <v>918</v>
      </c>
      <c r="Q91" s="17" t="s">
        <v>182</v>
      </c>
      <c r="R91" s="5"/>
      <c r="S91" s="6" t="s">
        <v>964</v>
      </c>
      <c r="T91" s="5" t="s">
        <v>965</v>
      </c>
      <c r="U91" s="6"/>
      <c r="V91" s="6" t="s">
        <v>966</v>
      </c>
      <c r="W91" s="6" t="s">
        <v>333</v>
      </c>
      <c r="X91" s="5" t="s">
        <v>922</v>
      </c>
      <c r="Y91" s="5" t="s">
        <v>658</v>
      </c>
      <c r="Z91" s="5" t="str">
        <f t="shared" si="2"/>
        <v>Medium</v>
      </c>
      <c r="AA91" s="5" t="s">
        <v>956</v>
      </c>
      <c r="AB91" s="6" t="s">
        <v>924</v>
      </c>
      <c r="AC91" s="6" t="s">
        <v>103</v>
      </c>
      <c r="AD91" s="5" t="s">
        <v>925</v>
      </c>
      <c r="AE91" s="5" t="s">
        <v>354</v>
      </c>
      <c r="AF91" s="5" t="s">
        <v>354</v>
      </c>
      <c r="AG91" s="5" t="s">
        <v>354</v>
      </c>
      <c r="AH91" s="5" t="s">
        <v>354</v>
      </c>
      <c r="AI91" s="6" t="str">
        <f t="shared" si="3"/>
        <v>No</v>
      </c>
      <c r="AJ91" s="6" t="s">
        <v>926</v>
      </c>
      <c r="AK91" s="6" t="s">
        <v>121</v>
      </c>
      <c r="AL91" s="6">
        <f>MATCH(AA91,{"Low","Medium","High"},0)*MATCH(AB91,{"Low","Medium","High"},0)*INDEX({3,2,2,1,1},MATCH(X91,{"Core","Vertical extension","Differentiator","Future","Adjacent"},0))</f>
        <v>6</v>
      </c>
      <c r="AM91" s="5"/>
      <c r="AN91" s="5"/>
      <c r="AO91" s="5"/>
      <c r="AP91" s="5"/>
      <c r="AQ91" s="5"/>
      <c r="AR91" s="5"/>
      <c r="AS91" s="5"/>
      <c r="AT91" s="5"/>
      <c r="AU91" s="6" t="s">
        <v>927</v>
      </c>
      <c r="AV91" s="6" t="s">
        <v>1534</v>
      </c>
      <c r="AW91" s="6" t="s">
        <v>1322</v>
      </c>
      <c r="AX91" s="6" t="s">
        <v>929</v>
      </c>
      <c r="AY91" s="6" t="s">
        <v>930</v>
      </c>
      <c r="AZ91" s="6"/>
      <c r="BA91" s="6"/>
      <c r="BB91" s="6"/>
      <c r="BC91" s="6" t="s">
        <v>97</v>
      </c>
      <c r="BD91" s="6" t="s">
        <v>97</v>
      </c>
    </row>
    <row r="92" spans="1:56" ht="32" customHeight="1" x14ac:dyDescent="0.35">
      <c r="A92" s="13" t="s">
        <v>1546</v>
      </c>
      <c r="B92" s="6" t="s">
        <v>910</v>
      </c>
      <c r="C92" s="5" t="s">
        <v>1534</v>
      </c>
      <c r="D92" s="5" t="s">
        <v>831</v>
      </c>
      <c r="E92" s="5" t="s">
        <v>1547</v>
      </c>
      <c r="F92" s="5" t="s">
        <v>1504</v>
      </c>
      <c r="G92" s="5" t="s">
        <v>459</v>
      </c>
      <c r="H92" s="5" t="s">
        <v>1548</v>
      </c>
      <c r="I92" s="5" t="s">
        <v>1549</v>
      </c>
      <c r="J92" s="19" t="s">
        <v>151</v>
      </c>
      <c r="K92" s="17" t="s">
        <v>181</v>
      </c>
      <c r="L92" s="5" t="s">
        <v>1550</v>
      </c>
      <c r="M92" s="6" t="s">
        <v>197</v>
      </c>
      <c r="N92" s="6" t="s">
        <v>809</v>
      </c>
      <c r="O92" s="6" t="s">
        <v>151</v>
      </c>
      <c r="P92" s="5" t="s">
        <v>1115</v>
      </c>
      <c r="Q92" s="17" t="s">
        <v>182</v>
      </c>
      <c r="R92" s="5" t="s">
        <v>1115</v>
      </c>
      <c r="S92" s="6" t="s">
        <v>964</v>
      </c>
      <c r="T92" s="5" t="s">
        <v>965</v>
      </c>
      <c r="U92" s="6"/>
      <c r="V92" s="6" t="s">
        <v>966</v>
      </c>
      <c r="W92" s="6" t="s">
        <v>333</v>
      </c>
      <c r="X92" s="5" t="s">
        <v>922</v>
      </c>
      <c r="Y92" s="5" t="s">
        <v>658</v>
      </c>
      <c r="Z92" s="5" t="str">
        <f t="shared" si="2"/>
        <v>Medium</v>
      </c>
      <c r="AA92" s="5" t="s">
        <v>956</v>
      </c>
      <c r="AB92" s="6" t="s">
        <v>924</v>
      </c>
      <c r="AC92" s="6" t="s">
        <v>11</v>
      </c>
      <c r="AD92" s="5" t="s">
        <v>925</v>
      </c>
      <c r="AE92" s="5" t="s">
        <v>354</v>
      </c>
      <c r="AF92" s="5" t="s">
        <v>354</v>
      </c>
      <c r="AG92" s="5" t="s">
        <v>354</v>
      </c>
      <c r="AH92" s="5" t="s">
        <v>354</v>
      </c>
      <c r="AI92" s="6" t="str">
        <f t="shared" si="3"/>
        <v>No</v>
      </c>
      <c r="AJ92" s="6" t="s">
        <v>926</v>
      </c>
      <c r="AK92" s="6" t="s">
        <v>151</v>
      </c>
      <c r="AL92" s="6">
        <f>MATCH(AA92,{"Low","Medium","High"},0)*MATCH(AB92,{"Low","Medium","High"},0)*INDEX({3,2,2,1,1},MATCH(X92,{"Core","Vertical extension","Differentiator","Future","Adjacent"},0))</f>
        <v>6</v>
      </c>
      <c r="AM92" s="5"/>
      <c r="AN92" s="5"/>
      <c r="AO92" s="5"/>
      <c r="AP92" s="5"/>
      <c r="AQ92" s="5"/>
      <c r="AR92" s="5"/>
      <c r="AS92" s="5"/>
      <c r="AT92" s="5"/>
      <c r="AU92" s="6" t="s">
        <v>927</v>
      </c>
      <c r="AV92" s="6" t="s">
        <v>1534</v>
      </c>
      <c r="AW92" s="6" t="s">
        <v>1322</v>
      </c>
      <c r="AX92" s="6" t="s">
        <v>1003</v>
      </c>
      <c r="AY92" s="6" t="s">
        <v>930</v>
      </c>
      <c r="AZ92" s="6"/>
      <c r="BA92" s="6"/>
      <c r="BB92" s="6"/>
      <c r="BC92" s="6" t="s">
        <v>97</v>
      </c>
      <c r="BD92" s="6" t="s">
        <v>97</v>
      </c>
    </row>
    <row r="93" spans="1:56" ht="32" customHeight="1" x14ac:dyDescent="0.35">
      <c r="A93" s="13" t="s">
        <v>1551</v>
      </c>
      <c r="B93" s="6" t="s">
        <v>910</v>
      </c>
      <c r="C93" s="5" t="s">
        <v>1534</v>
      </c>
      <c r="D93" s="5" t="s">
        <v>839</v>
      </c>
      <c r="E93" s="5" t="s">
        <v>1552</v>
      </c>
      <c r="F93" s="5" t="s">
        <v>1553</v>
      </c>
      <c r="G93" s="5" t="s">
        <v>1554</v>
      </c>
      <c r="H93" s="5" t="s">
        <v>1555</v>
      </c>
      <c r="I93" s="5" t="s">
        <v>1556</v>
      </c>
      <c r="J93" s="17" t="s">
        <v>121</v>
      </c>
      <c r="K93" s="17" t="s">
        <v>181</v>
      </c>
      <c r="L93" s="5" t="s">
        <v>1557</v>
      </c>
      <c r="M93" s="6" t="s">
        <v>197</v>
      </c>
      <c r="N93" s="6" t="s">
        <v>809</v>
      </c>
      <c r="O93" s="6" t="s">
        <v>121</v>
      </c>
      <c r="P93" s="5" t="s">
        <v>918</v>
      </c>
      <c r="Q93" s="18" t="s">
        <v>186</v>
      </c>
      <c r="R93" s="5" t="s">
        <v>1358</v>
      </c>
      <c r="S93" s="6" t="s">
        <v>1359</v>
      </c>
      <c r="T93" s="5" t="s">
        <v>1360</v>
      </c>
      <c r="U93" s="6"/>
      <c r="V93" s="6" t="s">
        <v>982</v>
      </c>
      <c r="W93" s="6" t="s">
        <v>331</v>
      </c>
      <c r="X93" s="5" t="s">
        <v>922</v>
      </c>
      <c r="Y93" s="5" t="s">
        <v>658</v>
      </c>
      <c r="Z93" s="5" t="str">
        <f t="shared" si="2"/>
        <v>Medium</v>
      </c>
      <c r="AA93" s="5" t="s">
        <v>956</v>
      </c>
      <c r="AB93" s="6" t="s">
        <v>924</v>
      </c>
      <c r="AC93" s="6" t="s">
        <v>103</v>
      </c>
      <c r="AD93" s="5" t="s">
        <v>940</v>
      </c>
      <c r="AE93" s="5" t="s">
        <v>354</v>
      </c>
      <c r="AF93" s="5" t="s">
        <v>354</v>
      </c>
      <c r="AG93" s="5" t="s">
        <v>354</v>
      </c>
      <c r="AH93" s="5" t="s">
        <v>354</v>
      </c>
      <c r="AI93" s="6" t="str">
        <f t="shared" si="3"/>
        <v>No</v>
      </c>
      <c r="AJ93" s="6" t="s">
        <v>941</v>
      </c>
      <c r="AK93" s="6" t="s">
        <v>121</v>
      </c>
      <c r="AL93" s="6">
        <f>MATCH(AA93,{"Low","Medium","High"},0)*MATCH(AB93,{"Low","Medium","High"},0)*INDEX({3,2,2,1,1},MATCH(X93,{"Core","Vertical extension","Differentiator","Future","Adjacent"},0))</f>
        <v>6</v>
      </c>
      <c r="AM93" s="5"/>
      <c r="AN93" s="5"/>
      <c r="AO93" s="5"/>
      <c r="AP93" s="5"/>
      <c r="AQ93" s="5"/>
      <c r="AR93" s="5"/>
      <c r="AS93" s="5"/>
      <c r="AT93" s="5"/>
      <c r="AU93" s="6" t="s">
        <v>927</v>
      </c>
      <c r="AV93" s="6" t="s">
        <v>1534</v>
      </c>
      <c r="AW93" s="6" t="s">
        <v>1296</v>
      </c>
      <c r="AX93" s="6" t="s">
        <v>929</v>
      </c>
      <c r="AY93" s="6" t="s">
        <v>930</v>
      </c>
      <c r="AZ93" s="6"/>
      <c r="BA93" s="6" t="s">
        <v>1361</v>
      </c>
      <c r="BB93" s="6" t="s">
        <v>1362</v>
      </c>
      <c r="BC93" s="6" t="s">
        <v>97</v>
      </c>
      <c r="BD93" s="6" t="s">
        <v>97</v>
      </c>
    </row>
    <row r="94" spans="1:56" ht="32" customHeight="1" x14ac:dyDescent="0.35">
      <c r="A94" s="13" t="s">
        <v>1558</v>
      </c>
      <c r="B94" s="6" t="s">
        <v>910</v>
      </c>
      <c r="C94" s="5" t="s">
        <v>1534</v>
      </c>
      <c r="D94" s="5" t="s">
        <v>839</v>
      </c>
      <c r="E94" s="5" t="s">
        <v>1559</v>
      </c>
      <c r="F94" s="5" t="s">
        <v>1560</v>
      </c>
      <c r="G94" s="5" t="s">
        <v>1561</v>
      </c>
      <c r="H94" s="5" t="s">
        <v>1562</v>
      </c>
      <c r="I94" s="5" t="s">
        <v>1563</v>
      </c>
      <c r="J94" s="17" t="s">
        <v>121</v>
      </c>
      <c r="K94" s="17" t="s">
        <v>181</v>
      </c>
      <c r="L94" s="5" t="s">
        <v>1564</v>
      </c>
      <c r="M94" s="6" t="s">
        <v>197</v>
      </c>
      <c r="N94" s="6" t="s">
        <v>809</v>
      </c>
      <c r="O94" s="6" t="s">
        <v>121</v>
      </c>
      <c r="P94" s="5" t="s">
        <v>918</v>
      </c>
      <c r="Q94" s="17" t="s">
        <v>182</v>
      </c>
      <c r="R94" s="5"/>
      <c r="S94" s="6" t="s">
        <v>1359</v>
      </c>
      <c r="T94" s="5" t="s">
        <v>1360</v>
      </c>
      <c r="U94" s="6"/>
      <c r="V94" s="6" t="s">
        <v>982</v>
      </c>
      <c r="W94" s="6" t="s">
        <v>331</v>
      </c>
      <c r="X94" s="5" t="s">
        <v>922</v>
      </c>
      <c r="Y94" s="5" t="s">
        <v>658</v>
      </c>
      <c r="Z94" s="5" t="str">
        <f t="shared" si="2"/>
        <v>Medium</v>
      </c>
      <c r="AA94" s="5" t="s">
        <v>956</v>
      </c>
      <c r="AB94" s="6" t="s">
        <v>924</v>
      </c>
      <c r="AC94" s="6" t="s">
        <v>103</v>
      </c>
      <c r="AD94" s="5" t="s">
        <v>925</v>
      </c>
      <c r="AE94" s="5" t="s">
        <v>354</v>
      </c>
      <c r="AF94" s="5" t="s">
        <v>354</v>
      </c>
      <c r="AG94" s="5" t="s">
        <v>354</v>
      </c>
      <c r="AH94" s="5" t="s">
        <v>354</v>
      </c>
      <c r="AI94" s="6" t="str">
        <f t="shared" si="3"/>
        <v>No</v>
      </c>
      <c r="AJ94" s="6" t="s">
        <v>926</v>
      </c>
      <c r="AK94" s="6" t="s">
        <v>121</v>
      </c>
      <c r="AL94" s="6">
        <f>MATCH(AA94,{"Low","Medium","High"},0)*MATCH(AB94,{"Low","Medium","High"},0)*INDEX({3,2,2,1,1},MATCH(X94,{"Core","Vertical extension","Differentiator","Future","Adjacent"},0))</f>
        <v>6</v>
      </c>
      <c r="AM94" s="5"/>
      <c r="AN94" s="5"/>
      <c r="AO94" s="5"/>
      <c r="AP94" s="5"/>
      <c r="AQ94" s="5"/>
      <c r="AR94" s="5"/>
      <c r="AS94" s="5"/>
      <c r="AT94" s="5"/>
      <c r="AU94" s="6" t="s">
        <v>927</v>
      </c>
      <c r="AV94" s="6" t="s">
        <v>1534</v>
      </c>
      <c r="AW94" s="6" t="s">
        <v>1296</v>
      </c>
      <c r="AX94" s="6" t="s">
        <v>929</v>
      </c>
      <c r="AY94" s="6" t="s">
        <v>930</v>
      </c>
      <c r="AZ94" s="6"/>
      <c r="BA94" s="6"/>
      <c r="BB94" s="6"/>
      <c r="BC94" s="6" t="s">
        <v>97</v>
      </c>
      <c r="BD94" s="6" t="s">
        <v>97</v>
      </c>
    </row>
    <row r="95" spans="1:56" ht="32" customHeight="1" x14ac:dyDescent="0.35">
      <c r="A95" s="13" t="s">
        <v>1565</v>
      </c>
      <c r="B95" s="6" t="s">
        <v>910</v>
      </c>
      <c r="C95" s="5" t="s">
        <v>1534</v>
      </c>
      <c r="D95" s="5" t="s">
        <v>837</v>
      </c>
      <c r="E95" s="5" t="s">
        <v>1566</v>
      </c>
      <c r="F95" s="5" t="s">
        <v>1567</v>
      </c>
      <c r="G95" s="5" t="s">
        <v>1554</v>
      </c>
      <c r="H95" s="5" t="s">
        <v>1568</v>
      </c>
      <c r="I95" s="5" t="s">
        <v>1569</v>
      </c>
      <c r="J95" s="17" t="s">
        <v>121</v>
      </c>
      <c r="K95" s="17" t="s">
        <v>181</v>
      </c>
      <c r="L95" s="5" t="s">
        <v>1570</v>
      </c>
      <c r="M95" s="6" t="s">
        <v>197</v>
      </c>
      <c r="N95" s="6" t="s">
        <v>809</v>
      </c>
      <c r="O95" s="6" t="s">
        <v>121</v>
      </c>
      <c r="P95" s="5" t="s">
        <v>918</v>
      </c>
      <c r="Q95" s="17" t="s">
        <v>182</v>
      </c>
      <c r="R95" s="5"/>
      <c r="S95" s="6" t="s">
        <v>937</v>
      </c>
      <c r="T95" s="5" t="s">
        <v>938</v>
      </c>
      <c r="U95" s="6"/>
      <c r="V95" s="6" t="s">
        <v>939</v>
      </c>
      <c r="W95" s="6" t="s">
        <v>331</v>
      </c>
      <c r="X95" s="5" t="s">
        <v>922</v>
      </c>
      <c r="Y95" s="5" t="s">
        <v>658</v>
      </c>
      <c r="Z95" s="5" t="str">
        <f t="shared" si="2"/>
        <v>High</v>
      </c>
      <c r="AA95" s="5" t="s">
        <v>923</v>
      </c>
      <c r="AB95" s="6" t="s">
        <v>924</v>
      </c>
      <c r="AC95" s="6" t="s">
        <v>103</v>
      </c>
      <c r="AD95" s="5" t="s">
        <v>925</v>
      </c>
      <c r="AE95" s="5" t="s">
        <v>354</v>
      </c>
      <c r="AF95" s="5" t="s">
        <v>354</v>
      </c>
      <c r="AG95" s="5" t="s">
        <v>354</v>
      </c>
      <c r="AH95" s="5" t="s">
        <v>354</v>
      </c>
      <c r="AI95" s="6" t="str">
        <f t="shared" si="3"/>
        <v>No</v>
      </c>
      <c r="AJ95" s="6" t="s">
        <v>926</v>
      </c>
      <c r="AK95" s="6" t="s">
        <v>121</v>
      </c>
      <c r="AL95" s="6">
        <f>MATCH(AA95,{"Low","Medium","High"},0)*MATCH(AB95,{"Low","Medium","High"},0)*INDEX({3,2,2,1,1},MATCH(X95,{"Core","Vertical extension","Differentiator","Future","Adjacent"},0))</f>
        <v>9</v>
      </c>
      <c r="AM95" s="5"/>
      <c r="AN95" s="5"/>
      <c r="AO95" s="5"/>
      <c r="AP95" s="5"/>
      <c r="AQ95" s="5"/>
      <c r="AR95" s="5"/>
      <c r="AS95" s="5"/>
      <c r="AT95" s="5"/>
      <c r="AU95" s="6" t="s">
        <v>927</v>
      </c>
      <c r="AV95" s="6" t="s">
        <v>1534</v>
      </c>
      <c r="AW95" s="6" t="s">
        <v>1527</v>
      </c>
      <c r="AX95" s="6" t="s">
        <v>929</v>
      </c>
      <c r="AY95" s="6" t="s">
        <v>930</v>
      </c>
      <c r="AZ95" s="6"/>
      <c r="BA95" s="6"/>
      <c r="BB95" s="6"/>
      <c r="BC95" s="6" t="s">
        <v>97</v>
      </c>
      <c r="BD95" s="6" t="s">
        <v>97</v>
      </c>
    </row>
    <row r="96" spans="1:56" ht="32" customHeight="1" x14ac:dyDescent="0.35">
      <c r="A96" s="13" t="s">
        <v>1571</v>
      </c>
      <c r="B96" s="6" t="s">
        <v>910</v>
      </c>
      <c r="C96" s="5" t="s">
        <v>1534</v>
      </c>
      <c r="D96" s="5" t="s">
        <v>834</v>
      </c>
      <c r="E96" s="5" t="s">
        <v>1572</v>
      </c>
      <c r="F96" s="5" t="s">
        <v>1504</v>
      </c>
      <c r="G96" s="5" t="s">
        <v>1573</v>
      </c>
      <c r="H96" s="5" t="s">
        <v>1574</v>
      </c>
      <c r="I96" s="5" t="s">
        <v>1575</v>
      </c>
      <c r="J96" s="17" t="s">
        <v>121</v>
      </c>
      <c r="K96" s="17" t="s">
        <v>181</v>
      </c>
      <c r="L96" s="5" t="s">
        <v>1576</v>
      </c>
      <c r="M96" s="6" t="s">
        <v>197</v>
      </c>
      <c r="N96" s="6" t="s">
        <v>809</v>
      </c>
      <c r="O96" s="6" t="s">
        <v>121</v>
      </c>
      <c r="P96" s="5" t="s">
        <v>918</v>
      </c>
      <c r="Q96" s="17" t="s">
        <v>182</v>
      </c>
      <c r="R96" s="5"/>
      <c r="S96" s="6" t="s">
        <v>1000</v>
      </c>
      <c r="T96" s="5" t="s">
        <v>1001</v>
      </c>
      <c r="U96" s="6"/>
      <c r="V96" s="6" t="s">
        <v>1002</v>
      </c>
      <c r="W96" s="6" t="s">
        <v>333</v>
      </c>
      <c r="X96" s="5" t="s">
        <v>922</v>
      </c>
      <c r="Y96" s="5" t="s">
        <v>658</v>
      </c>
      <c r="Z96" s="5" t="str">
        <f t="shared" si="2"/>
        <v>Critical</v>
      </c>
      <c r="AA96" s="5" t="s">
        <v>923</v>
      </c>
      <c r="AB96" s="6" t="s">
        <v>956</v>
      </c>
      <c r="AC96" s="6" t="s">
        <v>103</v>
      </c>
      <c r="AD96" s="5" t="s">
        <v>925</v>
      </c>
      <c r="AE96" s="5" t="s">
        <v>354</v>
      </c>
      <c r="AF96" s="5" t="s">
        <v>354</v>
      </c>
      <c r="AG96" s="5" t="s">
        <v>354</v>
      </c>
      <c r="AH96" s="5" t="s">
        <v>354</v>
      </c>
      <c r="AI96" s="6" t="str">
        <f t="shared" si="3"/>
        <v>No</v>
      </c>
      <c r="AJ96" s="6" t="s">
        <v>926</v>
      </c>
      <c r="AK96" s="6" t="s">
        <v>121</v>
      </c>
      <c r="AL96" s="6">
        <f>MATCH(AA96,{"Low","Medium","High"},0)*MATCH(AB96,{"Low","Medium","High"},0)*INDEX({3,2,2,1,1},MATCH(X96,{"Core","Vertical extension","Differentiator","Future","Adjacent"},0))</f>
        <v>18</v>
      </c>
      <c r="AM96" s="5"/>
      <c r="AN96" s="5"/>
      <c r="AO96" s="5"/>
      <c r="AP96" s="5"/>
      <c r="AQ96" s="5"/>
      <c r="AR96" s="5"/>
      <c r="AS96" s="5"/>
      <c r="AT96" s="5"/>
      <c r="AU96" s="6" t="s">
        <v>927</v>
      </c>
      <c r="AV96" s="6" t="s">
        <v>1534</v>
      </c>
      <c r="AW96" s="6" t="s">
        <v>1322</v>
      </c>
      <c r="AX96" s="6" t="s">
        <v>929</v>
      </c>
      <c r="AY96" s="6" t="s">
        <v>930</v>
      </c>
      <c r="AZ96" s="6"/>
      <c r="BA96" s="6"/>
      <c r="BB96" s="6"/>
      <c r="BC96" s="6" t="s">
        <v>97</v>
      </c>
      <c r="BD96" s="6" t="s">
        <v>97</v>
      </c>
    </row>
    <row r="97" spans="1:56" ht="32" customHeight="1" x14ac:dyDescent="0.35">
      <c r="A97" s="13" t="s">
        <v>1577</v>
      </c>
      <c r="B97" s="6" t="s">
        <v>910</v>
      </c>
      <c r="C97" s="5" t="s">
        <v>1534</v>
      </c>
      <c r="D97" s="5" t="s">
        <v>831</v>
      </c>
      <c r="E97" s="5" t="s">
        <v>1578</v>
      </c>
      <c r="F97" s="5" t="s">
        <v>1504</v>
      </c>
      <c r="G97" s="5" t="s">
        <v>1453</v>
      </c>
      <c r="H97" s="5" t="s">
        <v>1579</v>
      </c>
      <c r="I97" s="5" t="s">
        <v>1580</v>
      </c>
      <c r="J97" s="17" t="s">
        <v>121</v>
      </c>
      <c r="K97" s="17" t="s">
        <v>181</v>
      </c>
      <c r="L97" s="5" t="s">
        <v>1581</v>
      </c>
      <c r="M97" s="6" t="s">
        <v>197</v>
      </c>
      <c r="N97" s="6" t="s">
        <v>809</v>
      </c>
      <c r="O97" s="6" t="s">
        <v>121</v>
      </c>
      <c r="P97" s="5" t="s">
        <v>918</v>
      </c>
      <c r="Q97" s="17" t="s">
        <v>182</v>
      </c>
      <c r="R97" s="5"/>
      <c r="S97" s="6" t="s">
        <v>964</v>
      </c>
      <c r="T97" s="5" t="s">
        <v>965</v>
      </c>
      <c r="U97" s="6"/>
      <c r="V97" s="6" t="s">
        <v>966</v>
      </c>
      <c r="W97" s="6" t="s">
        <v>333</v>
      </c>
      <c r="X97" s="5" t="s">
        <v>922</v>
      </c>
      <c r="Y97" s="5" t="s">
        <v>658</v>
      </c>
      <c r="Z97" s="5" t="str">
        <f t="shared" si="2"/>
        <v>Medium</v>
      </c>
      <c r="AA97" s="5" t="s">
        <v>956</v>
      </c>
      <c r="AB97" s="6" t="s">
        <v>924</v>
      </c>
      <c r="AC97" s="6" t="s">
        <v>103</v>
      </c>
      <c r="AD97" s="5" t="s">
        <v>925</v>
      </c>
      <c r="AE97" s="5" t="s">
        <v>354</v>
      </c>
      <c r="AF97" s="5" t="s">
        <v>354</v>
      </c>
      <c r="AG97" s="5" t="s">
        <v>354</v>
      </c>
      <c r="AH97" s="5" t="s">
        <v>354</v>
      </c>
      <c r="AI97" s="6" t="str">
        <f t="shared" si="3"/>
        <v>No</v>
      </c>
      <c r="AJ97" s="6" t="s">
        <v>926</v>
      </c>
      <c r="AK97" s="6" t="s">
        <v>121</v>
      </c>
      <c r="AL97" s="6">
        <f>MATCH(AA97,{"Low","Medium","High"},0)*MATCH(AB97,{"Low","Medium","High"},0)*INDEX({3,2,2,1,1},MATCH(X97,{"Core","Vertical extension","Differentiator","Future","Adjacent"},0))</f>
        <v>6</v>
      </c>
      <c r="AM97" s="5"/>
      <c r="AN97" s="5"/>
      <c r="AO97" s="5"/>
      <c r="AP97" s="5"/>
      <c r="AQ97" s="5"/>
      <c r="AR97" s="5"/>
      <c r="AS97" s="5"/>
      <c r="AT97" s="5"/>
      <c r="AU97" s="6" t="s">
        <v>927</v>
      </c>
      <c r="AV97" s="6" t="s">
        <v>1534</v>
      </c>
      <c r="AW97" s="6" t="s">
        <v>1322</v>
      </c>
      <c r="AX97" s="6" t="s">
        <v>929</v>
      </c>
      <c r="AY97" s="6" t="s">
        <v>930</v>
      </c>
      <c r="AZ97" s="6"/>
      <c r="BA97" s="6"/>
      <c r="BB97" s="6"/>
      <c r="BC97" s="6" t="s">
        <v>97</v>
      </c>
      <c r="BD97" s="6" t="s">
        <v>97</v>
      </c>
    </row>
    <row r="98" spans="1:56" ht="32" customHeight="1" x14ac:dyDescent="0.35">
      <c r="A98" s="13" t="s">
        <v>1582</v>
      </c>
      <c r="B98" s="6" t="s">
        <v>910</v>
      </c>
      <c r="C98" s="5" t="s">
        <v>1534</v>
      </c>
      <c r="D98" s="5" t="s">
        <v>831</v>
      </c>
      <c r="E98" s="5" t="s">
        <v>1583</v>
      </c>
      <c r="F98" s="5" t="s">
        <v>1504</v>
      </c>
      <c r="G98" s="5" t="s">
        <v>1584</v>
      </c>
      <c r="H98" s="5" t="s">
        <v>1585</v>
      </c>
      <c r="I98" s="5" t="s">
        <v>1586</v>
      </c>
      <c r="J98" s="19" t="s">
        <v>151</v>
      </c>
      <c r="K98" s="17" t="s">
        <v>181</v>
      </c>
      <c r="L98" s="5" t="s">
        <v>1587</v>
      </c>
      <c r="M98" s="6" t="s">
        <v>197</v>
      </c>
      <c r="N98" s="6" t="s">
        <v>809</v>
      </c>
      <c r="O98" s="6" t="s">
        <v>151</v>
      </c>
      <c r="P98" s="5" t="s">
        <v>1115</v>
      </c>
      <c r="Q98" s="17" t="s">
        <v>182</v>
      </c>
      <c r="R98" s="5" t="s">
        <v>1115</v>
      </c>
      <c r="S98" s="6" t="s">
        <v>964</v>
      </c>
      <c r="T98" s="5" t="s">
        <v>965</v>
      </c>
      <c r="U98" s="6"/>
      <c r="V98" s="6" t="s">
        <v>966</v>
      </c>
      <c r="W98" s="6" t="s">
        <v>333</v>
      </c>
      <c r="X98" s="5" t="s">
        <v>922</v>
      </c>
      <c r="Y98" s="5" t="s">
        <v>658</v>
      </c>
      <c r="Z98" s="5" t="str">
        <f t="shared" si="2"/>
        <v>Medium</v>
      </c>
      <c r="AA98" s="5" t="s">
        <v>956</v>
      </c>
      <c r="AB98" s="6" t="s">
        <v>924</v>
      </c>
      <c r="AC98" s="6" t="s">
        <v>11</v>
      </c>
      <c r="AD98" s="5" t="s">
        <v>925</v>
      </c>
      <c r="AE98" s="5" t="s">
        <v>354</v>
      </c>
      <c r="AF98" s="5" t="s">
        <v>354</v>
      </c>
      <c r="AG98" s="5" t="s">
        <v>354</v>
      </c>
      <c r="AH98" s="5" t="s">
        <v>354</v>
      </c>
      <c r="AI98" s="6" t="str">
        <f t="shared" si="3"/>
        <v>No</v>
      </c>
      <c r="AJ98" s="6" t="s">
        <v>926</v>
      </c>
      <c r="AK98" s="6" t="s">
        <v>151</v>
      </c>
      <c r="AL98" s="6">
        <f>MATCH(AA98,{"Low","Medium","High"},0)*MATCH(AB98,{"Low","Medium","High"},0)*INDEX({3,2,2,1,1},MATCH(X98,{"Core","Vertical extension","Differentiator","Future","Adjacent"},0))</f>
        <v>6</v>
      </c>
      <c r="AM98" s="5"/>
      <c r="AN98" s="5"/>
      <c r="AO98" s="5"/>
      <c r="AP98" s="5"/>
      <c r="AQ98" s="5"/>
      <c r="AR98" s="5"/>
      <c r="AS98" s="5"/>
      <c r="AT98" s="5"/>
      <c r="AU98" s="6" t="s">
        <v>927</v>
      </c>
      <c r="AV98" s="6" t="s">
        <v>1534</v>
      </c>
      <c r="AW98" s="6" t="s">
        <v>1322</v>
      </c>
      <c r="AX98" s="6" t="s">
        <v>1003</v>
      </c>
      <c r="AY98" s="6" t="s">
        <v>930</v>
      </c>
      <c r="AZ98" s="6"/>
      <c r="BA98" s="6"/>
      <c r="BB98" s="6"/>
      <c r="BC98" s="6" t="s">
        <v>97</v>
      </c>
      <c r="BD98" s="6" t="s">
        <v>97</v>
      </c>
    </row>
    <row r="99" spans="1:56" ht="32" customHeight="1" x14ac:dyDescent="0.35">
      <c r="A99" s="13" t="s">
        <v>1588</v>
      </c>
      <c r="B99" s="6" t="s">
        <v>910</v>
      </c>
      <c r="C99" s="5" t="s">
        <v>1534</v>
      </c>
      <c r="D99" s="5" t="s">
        <v>838</v>
      </c>
      <c r="E99" s="5" t="s">
        <v>1589</v>
      </c>
      <c r="F99" s="5" t="s">
        <v>1590</v>
      </c>
      <c r="G99" s="5" t="s">
        <v>1554</v>
      </c>
      <c r="H99" s="5" t="s">
        <v>1591</v>
      </c>
      <c r="I99" s="5" t="s">
        <v>1592</v>
      </c>
      <c r="J99" s="17" t="s">
        <v>121</v>
      </c>
      <c r="K99" s="17" t="s">
        <v>181</v>
      </c>
      <c r="L99" s="5" t="s">
        <v>1593</v>
      </c>
      <c r="M99" s="6" t="s">
        <v>197</v>
      </c>
      <c r="N99" s="6" t="s">
        <v>809</v>
      </c>
      <c r="O99" s="6" t="s">
        <v>121</v>
      </c>
      <c r="P99" s="5" t="s">
        <v>918</v>
      </c>
      <c r="Q99" s="17" t="s">
        <v>182</v>
      </c>
      <c r="R99" s="5"/>
      <c r="S99" s="6" t="s">
        <v>990</v>
      </c>
      <c r="T99" s="5" t="s">
        <v>991</v>
      </c>
      <c r="U99" s="6"/>
      <c r="V99" s="6" t="s">
        <v>992</v>
      </c>
      <c r="W99" s="6" t="s">
        <v>337</v>
      </c>
      <c r="X99" s="5" t="s">
        <v>922</v>
      </c>
      <c r="Y99" s="5" t="s">
        <v>658</v>
      </c>
      <c r="Z99" s="5" t="str">
        <f t="shared" si="2"/>
        <v>Medium</v>
      </c>
      <c r="AA99" s="5" t="s">
        <v>956</v>
      </c>
      <c r="AB99" s="6" t="s">
        <v>924</v>
      </c>
      <c r="AC99" s="6" t="s">
        <v>11</v>
      </c>
      <c r="AD99" s="5" t="s">
        <v>925</v>
      </c>
      <c r="AE99" s="5" t="s">
        <v>354</v>
      </c>
      <c r="AF99" s="5" t="s">
        <v>354</v>
      </c>
      <c r="AG99" s="5" t="s">
        <v>354</v>
      </c>
      <c r="AH99" s="5" t="s">
        <v>354</v>
      </c>
      <c r="AI99" s="6" t="str">
        <f t="shared" si="3"/>
        <v>No</v>
      </c>
      <c r="AJ99" s="6" t="s">
        <v>926</v>
      </c>
      <c r="AK99" s="6" t="s">
        <v>151</v>
      </c>
      <c r="AL99" s="6">
        <f>MATCH(AA99,{"Low","Medium","High"},0)*MATCH(AB99,{"Low","Medium","High"},0)*INDEX({3,2,2,1,1},MATCH(X99,{"Core","Vertical extension","Differentiator","Future","Adjacent"},0))</f>
        <v>6</v>
      </c>
      <c r="AM99" s="5"/>
      <c r="AN99" s="5"/>
      <c r="AO99" s="5"/>
      <c r="AP99" s="5"/>
      <c r="AQ99" s="5"/>
      <c r="AR99" s="5"/>
      <c r="AS99" s="5"/>
      <c r="AT99" s="5"/>
      <c r="AU99" s="6" t="s">
        <v>927</v>
      </c>
      <c r="AV99" s="6" t="s">
        <v>1534</v>
      </c>
      <c r="AW99" s="6" t="s">
        <v>1390</v>
      </c>
      <c r="AX99" s="6" t="s">
        <v>929</v>
      </c>
      <c r="AY99" s="6" t="s">
        <v>930</v>
      </c>
      <c r="AZ99" s="6"/>
      <c r="BA99" s="6"/>
      <c r="BB99" s="6"/>
      <c r="BC99" s="6" t="s">
        <v>97</v>
      </c>
      <c r="BD99" s="6" t="s">
        <v>97</v>
      </c>
    </row>
    <row r="100" spans="1:56" ht="32" customHeight="1" x14ac:dyDescent="0.35">
      <c r="A100" s="13" t="s">
        <v>1594</v>
      </c>
      <c r="B100" s="6" t="s">
        <v>910</v>
      </c>
      <c r="C100" s="5" t="s">
        <v>1534</v>
      </c>
      <c r="D100" s="5" t="s">
        <v>827</v>
      </c>
      <c r="E100" s="5" t="s">
        <v>1595</v>
      </c>
      <c r="F100" s="5" t="s">
        <v>1596</v>
      </c>
      <c r="G100" s="5" t="s">
        <v>1597</v>
      </c>
      <c r="H100" s="5" t="s">
        <v>1598</v>
      </c>
      <c r="I100" s="5" t="s">
        <v>1599</v>
      </c>
      <c r="J100" s="16" t="s">
        <v>73</v>
      </c>
      <c r="K100" s="17" t="s">
        <v>181</v>
      </c>
      <c r="L100" s="5" t="s">
        <v>1600</v>
      </c>
      <c r="M100" s="6" t="s">
        <v>197</v>
      </c>
      <c r="N100" s="6" t="s">
        <v>809</v>
      </c>
      <c r="O100" s="6" t="s">
        <v>73</v>
      </c>
      <c r="P100" s="5" t="s">
        <v>918</v>
      </c>
      <c r="Q100" s="18" t="s">
        <v>186</v>
      </c>
      <c r="R100" s="5" t="s">
        <v>1601</v>
      </c>
      <c r="S100" s="6" t="s">
        <v>1030</v>
      </c>
      <c r="T100" s="5" t="s">
        <v>827</v>
      </c>
      <c r="U100" s="6"/>
      <c r="V100" s="6" t="s">
        <v>1031</v>
      </c>
      <c r="W100" s="6" t="s">
        <v>333</v>
      </c>
      <c r="X100" s="5" t="s">
        <v>922</v>
      </c>
      <c r="Y100" s="5" t="s">
        <v>658</v>
      </c>
      <c r="Z100" s="5" t="str">
        <f t="shared" si="2"/>
        <v>Critical</v>
      </c>
      <c r="AA100" s="5" t="s">
        <v>923</v>
      </c>
      <c r="AB100" s="6" t="s">
        <v>956</v>
      </c>
      <c r="AC100" s="6" t="s">
        <v>78</v>
      </c>
      <c r="AD100" s="5" t="s">
        <v>940</v>
      </c>
      <c r="AE100" s="5" t="s">
        <v>354</v>
      </c>
      <c r="AF100" s="5" t="s">
        <v>354</v>
      </c>
      <c r="AG100" s="5" t="s">
        <v>354</v>
      </c>
      <c r="AH100" s="5" t="s">
        <v>354</v>
      </c>
      <c r="AI100" s="6" t="str">
        <f t="shared" si="3"/>
        <v>No</v>
      </c>
      <c r="AJ100" s="6" t="s">
        <v>941</v>
      </c>
      <c r="AK100" s="6" t="s">
        <v>73</v>
      </c>
      <c r="AL100" s="6">
        <f>MATCH(AA100,{"Low","Medium","High"},0)*MATCH(AB100,{"Low","Medium","High"},0)*INDEX({3,2,2,1,1},MATCH(X100,{"Core","Vertical extension","Differentiator","Future","Adjacent"},0))</f>
        <v>18</v>
      </c>
      <c r="AM100" s="5"/>
      <c r="AN100" s="5"/>
      <c r="AO100" s="5"/>
      <c r="AP100" s="5"/>
      <c r="AQ100" s="5"/>
      <c r="AR100" s="5"/>
      <c r="AS100" s="5"/>
      <c r="AT100" s="5"/>
      <c r="AU100" s="6" t="s">
        <v>927</v>
      </c>
      <c r="AV100" s="6" t="s">
        <v>1534</v>
      </c>
      <c r="AW100" s="6" t="s">
        <v>1390</v>
      </c>
      <c r="AX100" s="6" t="s">
        <v>929</v>
      </c>
      <c r="AY100" s="6" t="s">
        <v>1032</v>
      </c>
      <c r="AZ100" s="6"/>
      <c r="BA100" s="6" t="s">
        <v>1602</v>
      </c>
      <c r="BB100" s="6" t="s">
        <v>1603</v>
      </c>
      <c r="BC100" s="6" t="s">
        <v>97</v>
      </c>
      <c r="BD100" s="6" t="s">
        <v>97</v>
      </c>
    </row>
    <row r="101" spans="1:56" ht="32" customHeight="1" x14ac:dyDescent="0.35">
      <c r="A101" s="13" t="s">
        <v>1604</v>
      </c>
      <c r="B101" s="6" t="s">
        <v>910</v>
      </c>
      <c r="C101" s="5" t="s">
        <v>1605</v>
      </c>
      <c r="D101" s="5" t="s">
        <v>825</v>
      </c>
      <c r="E101" s="5" t="s">
        <v>1606</v>
      </c>
      <c r="F101" s="5" t="s">
        <v>1452</v>
      </c>
      <c r="G101" s="5" t="s">
        <v>1607</v>
      </c>
      <c r="H101" s="5" t="s">
        <v>1608</v>
      </c>
      <c r="I101" s="5" t="s">
        <v>1609</v>
      </c>
      <c r="J101" s="17" t="s">
        <v>121</v>
      </c>
      <c r="K101" s="17" t="s">
        <v>181</v>
      </c>
      <c r="L101" s="5" t="s">
        <v>1610</v>
      </c>
      <c r="M101" s="6" t="s">
        <v>197</v>
      </c>
      <c r="N101" s="6" t="s">
        <v>809</v>
      </c>
      <c r="O101" s="6" t="s">
        <v>121</v>
      </c>
      <c r="P101" s="5" t="s">
        <v>918</v>
      </c>
      <c r="Q101" s="17" t="s">
        <v>182</v>
      </c>
      <c r="R101" s="5"/>
      <c r="S101" s="6" t="s">
        <v>1053</v>
      </c>
      <c r="T101" s="5" t="s">
        <v>1054</v>
      </c>
      <c r="U101" s="6"/>
      <c r="V101" s="6" t="s">
        <v>1055</v>
      </c>
      <c r="W101" s="6" t="s">
        <v>333</v>
      </c>
      <c r="X101" s="5" t="s">
        <v>922</v>
      </c>
      <c r="Y101" s="5" t="s">
        <v>459</v>
      </c>
      <c r="Z101" s="5" t="str">
        <f t="shared" si="2"/>
        <v>Critical</v>
      </c>
      <c r="AA101" s="5" t="s">
        <v>923</v>
      </c>
      <c r="AB101" s="6" t="s">
        <v>923</v>
      </c>
      <c r="AC101" s="6" t="s">
        <v>103</v>
      </c>
      <c r="AD101" s="5" t="s">
        <v>925</v>
      </c>
      <c r="AE101" s="5" t="s">
        <v>354</v>
      </c>
      <c r="AF101" s="5" t="s">
        <v>354</v>
      </c>
      <c r="AG101" s="5" t="s">
        <v>354</v>
      </c>
      <c r="AH101" s="5" t="s">
        <v>354</v>
      </c>
      <c r="AI101" s="6" t="str">
        <f t="shared" si="3"/>
        <v>No</v>
      </c>
      <c r="AJ101" s="6" t="s">
        <v>926</v>
      </c>
      <c r="AK101" s="6" t="s">
        <v>121</v>
      </c>
      <c r="AL101" s="6">
        <f>MATCH(AA101,{"Low","Medium","High"},0)*MATCH(AB101,{"Low","Medium","High"},0)*INDEX({3,2,2,1,1},MATCH(X101,{"Core","Vertical extension","Differentiator","Future","Adjacent"},0))</f>
        <v>27</v>
      </c>
      <c r="AM101" s="5"/>
      <c r="AN101" s="5"/>
      <c r="AO101" s="5"/>
      <c r="AP101" s="5"/>
      <c r="AQ101" s="5"/>
      <c r="AR101" s="5"/>
      <c r="AS101" s="5"/>
      <c r="AT101" s="5"/>
      <c r="AU101" s="6" t="s">
        <v>927</v>
      </c>
      <c r="AV101" s="6" t="s">
        <v>55</v>
      </c>
      <c r="AW101" s="6" t="s">
        <v>55</v>
      </c>
      <c r="AX101" s="6" t="s">
        <v>929</v>
      </c>
      <c r="AY101" s="6" t="s">
        <v>930</v>
      </c>
      <c r="AZ101" s="6"/>
      <c r="BA101" s="6"/>
      <c r="BB101" s="6"/>
      <c r="BC101" s="6" t="s">
        <v>97</v>
      </c>
      <c r="BD101" s="6" t="s">
        <v>97</v>
      </c>
    </row>
    <row r="102" spans="1:56" ht="32" customHeight="1" x14ac:dyDescent="0.35">
      <c r="A102" s="13" t="s">
        <v>1611</v>
      </c>
      <c r="B102" s="6" t="s">
        <v>910</v>
      </c>
      <c r="C102" s="5" t="s">
        <v>1605</v>
      </c>
      <c r="D102" s="5" t="s">
        <v>825</v>
      </c>
      <c r="E102" s="5" t="s">
        <v>1612</v>
      </c>
      <c r="F102" s="5" t="s">
        <v>1452</v>
      </c>
      <c r="G102" s="5" t="s">
        <v>1344</v>
      </c>
      <c r="H102" s="5" t="s">
        <v>1613</v>
      </c>
      <c r="I102" s="5" t="s">
        <v>1614</v>
      </c>
      <c r="J102" s="17" t="s">
        <v>121</v>
      </c>
      <c r="K102" s="17" t="s">
        <v>181</v>
      </c>
      <c r="L102" s="5" t="s">
        <v>1615</v>
      </c>
      <c r="M102" s="6" t="s">
        <v>197</v>
      </c>
      <c r="N102" s="6" t="s">
        <v>809</v>
      </c>
      <c r="O102" s="6" t="s">
        <v>121</v>
      </c>
      <c r="P102" s="5" t="s">
        <v>918</v>
      </c>
      <c r="Q102" s="17" t="s">
        <v>182</v>
      </c>
      <c r="R102" s="5"/>
      <c r="S102" s="6" t="s">
        <v>1053</v>
      </c>
      <c r="T102" s="5" t="s">
        <v>1054</v>
      </c>
      <c r="U102" s="6"/>
      <c r="V102" s="6" t="s">
        <v>1055</v>
      </c>
      <c r="W102" s="6" t="s">
        <v>333</v>
      </c>
      <c r="X102" s="5" t="s">
        <v>922</v>
      </c>
      <c r="Y102" s="5" t="s">
        <v>459</v>
      </c>
      <c r="Z102" s="5" t="str">
        <f t="shared" si="2"/>
        <v>Critical</v>
      </c>
      <c r="AA102" s="5" t="s">
        <v>923</v>
      </c>
      <c r="AB102" s="6" t="s">
        <v>923</v>
      </c>
      <c r="AC102" s="6" t="s">
        <v>103</v>
      </c>
      <c r="AD102" s="5" t="s">
        <v>925</v>
      </c>
      <c r="AE102" s="5" t="s">
        <v>354</v>
      </c>
      <c r="AF102" s="5" t="s">
        <v>354</v>
      </c>
      <c r="AG102" s="5" t="s">
        <v>354</v>
      </c>
      <c r="AH102" s="5" t="s">
        <v>354</v>
      </c>
      <c r="AI102" s="6" t="str">
        <f t="shared" si="3"/>
        <v>No</v>
      </c>
      <c r="AJ102" s="6" t="s">
        <v>926</v>
      </c>
      <c r="AK102" s="6" t="s">
        <v>121</v>
      </c>
      <c r="AL102" s="6">
        <f>MATCH(AA102,{"Low","Medium","High"},0)*MATCH(AB102,{"Low","Medium","High"},0)*INDEX({3,2,2,1,1},MATCH(X102,{"Core","Vertical extension","Differentiator","Future","Adjacent"},0))</f>
        <v>27</v>
      </c>
      <c r="AM102" s="5"/>
      <c r="AN102" s="5"/>
      <c r="AO102" s="5"/>
      <c r="AP102" s="5"/>
      <c r="AQ102" s="5"/>
      <c r="AR102" s="5"/>
      <c r="AS102" s="5"/>
      <c r="AT102" s="5"/>
      <c r="AU102" s="6" t="s">
        <v>927</v>
      </c>
      <c r="AV102" s="6" t="s">
        <v>55</v>
      </c>
      <c r="AW102" s="6" t="s">
        <v>55</v>
      </c>
      <c r="AX102" s="6" t="s">
        <v>929</v>
      </c>
      <c r="AY102" s="6" t="s">
        <v>930</v>
      </c>
      <c r="AZ102" s="6"/>
      <c r="BA102" s="6"/>
      <c r="BB102" s="6"/>
      <c r="BC102" s="6" t="s">
        <v>97</v>
      </c>
      <c r="BD102" s="6" t="s">
        <v>97</v>
      </c>
    </row>
    <row r="103" spans="1:56" ht="32" customHeight="1" x14ac:dyDescent="0.35">
      <c r="A103" s="13" t="s">
        <v>1616</v>
      </c>
      <c r="B103" s="6" t="s">
        <v>910</v>
      </c>
      <c r="C103" s="5" t="s">
        <v>1605</v>
      </c>
      <c r="D103" s="5" t="s">
        <v>825</v>
      </c>
      <c r="E103" s="5" t="s">
        <v>1617</v>
      </c>
      <c r="F103" s="5" t="s">
        <v>1452</v>
      </c>
      <c r="G103" s="5" t="s">
        <v>1453</v>
      </c>
      <c r="H103" s="5" t="s">
        <v>1618</v>
      </c>
      <c r="I103" s="5" t="s">
        <v>1619</v>
      </c>
      <c r="J103" s="16" t="s">
        <v>73</v>
      </c>
      <c r="K103" s="17" t="s">
        <v>181</v>
      </c>
      <c r="L103" s="5" t="s">
        <v>1620</v>
      </c>
      <c r="M103" s="6" t="s">
        <v>197</v>
      </c>
      <c r="N103" s="6" t="s">
        <v>809</v>
      </c>
      <c r="O103" s="6" t="s">
        <v>73</v>
      </c>
      <c r="P103" s="5" t="s">
        <v>918</v>
      </c>
      <c r="Q103" s="17" t="s">
        <v>182</v>
      </c>
      <c r="R103" s="5"/>
      <c r="S103" s="6" t="s">
        <v>1053</v>
      </c>
      <c r="T103" s="5" t="s">
        <v>1054</v>
      </c>
      <c r="U103" s="6"/>
      <c r="V103" s="6" t="s">
        <v>1055</v>
      </c>
      <c r="W103" s="6" t="s">
        <v>333</v>
      </c>
      <c r="X103" s="5" t="s">
        <v>922</v>
      </c>
      <c r="Y103" s="5" t="s">
        <v>459</v>
      </c>
      <c r="Z103" s="5" t="str">
        <f t="shared" si="2"/>
        <v>Critical</v>
      </c>
      <c r="AA103" s="5" t="s">
        <v>923</v>
      </c>
      <c r="AB103" s="6" t="s">
        <v>923</v>
      </c>
      <c r="AC103" s="6" t="s">
        <v>78</v>
      </c>
      <c r="AD103" s="5" t="s">
        <v>925</v>
      </c>
      <c r="AE103" s="5" t="s">
        <v>354</v>
      </c>
      <c r="AF103" s="5" t="s">
        <v>354</v>
      </c>
      <c r="AG103" s="5" t="s">
        <v>354</v>
      </c>
      <c r="AH103" s="5" t="s">
        <v>354</v>
      </c>
      <c r="AI103" s="6" t="str">
        <f t="shared" si="3"/>
        <v>No</v>
      </c>
      <c r="AJ103" s="6" t="s">
        <v>926</v>
      </c>
      <c r="AK103" s="6" t="s">
        <v>73</v>
      </c>
      <c r="AL103" s="6">
        <f>MATCH(AA103,{"Low","Medium","High"},0)*MATCH(AB103,{"Low","Medium","High"},0)*INDEX({3,2,2,1,1},MATCH(X103,{"Core","Vertical extension","Differentiator","Future","Adjacent"},0))</f>
        <v>27</v>
      </c>
      <c r="AM103" s="5"/>
      <c r="AN103" s="5"/>
      <c r="AO103" s="5"/>
      <c r="AP103" s="5"/>
      <c r="AQ103" s="5"/>
      <c r="AR103" s="5"/>
      <c r="AS103" s="5"/>
      <c r="AT103" s="5"/>
      <c r="AU103" s="6" t="s">
        <v>927</v>
      </c>
      <c r="AV103" s="6" t="s">
        <v>55</v>
      </c>
      <c r="AW103" s="6" t="s">
        <v>55</v>
      </c>
      <c r="AX103" s="6" t="s">
        <v>929</v>
      </c>
      <c r="AY103" s="6" t="s">
        <v>930</v>
      </c>
      <c r="AZ103" s="6"/>
      <c r="BA103" s="6"/>
      <c r="BB103" s="6"/>
      <c r="BC103" s="6" t="s">
        <v>97</v>
      </c>
      <c r="BD103" s="6" t="s">
        <v>97</v>
      </c>
    </row>
    <row r="104" spans="1:56" ht="32" customHeight="1" x14ac:dyDescent="0.35">
      <c r="A104" s="13" t="s">
        <v>1621</v>
      </c>
      <c r="B104" s="6" t="s">
        <v>910</v>
      </c>
      <c r="C104" s="5" t="s">
        <v>1605</v>
      </c>
      <c r="D104" s="5" t="s">
        <v>825</v>
      </c>
      <c r="E104" s="5" t="s">
        <v>1622</v>
      </c>
      <c r="F104" s="5" t="s">
        <v>1452</v>
      </c>
      <c r="G104" s="5" t="s">
        <v>1623</v>
      </c>
      <c r="H104" s="5" t="s">
        <v>1624</v>
      </c>
      <c r="I104" s="5" t="s">
        <v>1625</v>
      </c>
      <c r="J104" s="17" t="s">
        <v>121</v>
      </c>
      <c r="K104" s="17" t="s">
        <v>181</v>
      </c>
      <c r="L104" s="5" t="s">
        <v>1626</v>
      </c>
      <c r="M104" s="6" t="s">
        <v>197</v>
      </c>
      <c r="N104" s="6" t="s">
        <v>809</v>
      </c>
      <c r="O104" s="6" t="s">
        <v>121</v>
      </c>
      <c r="P104" s="5" t="s">
        <v>918</v>
      </c>
      <c r="Q104" s="17" t="s">
        <v>182</v>
      </c>
      <c r="R104" s="5"/>
      <c r="S104" s="6" t="s">
        <v>1053</v>
      </c>
      <c r="T104" s="5" t="s">
        <v>1054</v>
      </c>
      <c r="U104" s="6"/>
      <c r="V104" s="6" t="s">
        <v>1055</v>
      </c>
      <c r="W104" s="6" t="s">
        <v>333</v>
      </c>
      <c r="X104" s="5" t="s">
        <v>922</v>
      </c>
      <c r="Y104" s="5" t="s">
        <v>459</v>
      </c>
      <c r="Z104" s="5" t="str">
        <f t="shared" si="2"/>
        <v>Critical</v>
      </c>
      <c r="AA104" s="5" t="s">
        <v>923</v>
      </c>
      <c r="AB104" s="6" t="s">
        <v>923</v>
      </c>
      <c r="AC104" s="6" t="s">
        <v>103</v>
      </c>
      <c r="AD104" s="5" t="s">
        <v>925</v>
      </c>
      <c r="AE104" s="5" t="s">
        <v>354</v>
      </c>
      <c r="AF104" s="5" t="s">
        <v>354</v>
      </c>
      <c r="AG104" s="5" t="s">
        <v>354</v>
      </c>
      <c r="AH104" s="5" t="s">
        <v>354</v>
      </c>
      <c r="AI104" s="6" t="str">
        <f t="shared" si="3"/>
        <v>No</v>
      </c>
      <c r="AJ104" s="6" t="s">
        <v>926</v>
      </c>
      <c r="AK104" s="6" t="s">
        <v>121</v>
      </c>
      <c r="AL104" s="6">
        <f>MATCH(AA104,{"Low","Medium","High"},0)*MATCH(AB104,{"Low","Medium","High"},0)*INDEX({3,2,2,1,1},MATCH(X104,{"Core","Vertical extension","Differentiator","Future","Adjacent"},0))</f>
        <v>27</v>
      </c>
      <c r="AM104" s="5"/>
      <c r="AN104" s="5"/>
      <c r="AO104" s="5"/>
      <c r="AP104" s="5"/>
      <c r="AQ104" s="5"/>
      <c r="AR104" s="5"/>
      <c r="AS104" s="5"/>
      <c r="AT104" s="5"/>
      <c r="AU104" s="6" t="s">
        <v>927</v>
      </c>
      <c r="AV104" s="6" t="s">
        <v>55</v>
      </c>
      <c r="AW104" s="6" t="s">
        <v>55</v>
      </c>
      <c r="AX104" s="6" t="s">
        <v>929</v>
      </c>
      <c r="AY104" s="6" t="s">
        <v>930</v>
      </c>
      <c r="AZ104" s="6"/>
      <c r="BA104" s="6"/>
      <c r="BB104" s="6"/>
      <c r="BC104" s="6" t="s">
        <v>97</v>
      </c>
      <c r="BD104" s="6" t="s">
        <v>97</v>
      </c>
    </row>
    <row r="105" spans="1:56" ht="32" customHeight="1" x14ac:dyDescent="0.35">
      <c r="A105" s="13" t="s">
        <v>1627</v>
      </c>
      <c r="B105" s="6" t="s">
        <v>910</v>
      </c>
      <c r="C105" s="5" t="s">
        <v>1605</v>
      </c>
      <c r="D105" s="5" t="s">
        <v>825</v>
      </c>
      <c r="E105" s="5" t="s">
        <v>1628</v>
      </c>
      <c r="F105" s="5" t="s">
        <v>1452</v>
      </c>
      <c r="G105" s="5" t="s">
        <v>1629</v>
      </c>
      <c r="H105" s="5" t="s">
        <v>1630</v>
      </c>
      <c r="I105" s="5" t="s">
        <v>1631</v>
      </c>
      <c r="J105" s="16" t="s">
        <v>73</v>
      </c>
      <c r="K105" s="17" t="s">
        <v>181</v>
      </c>
      <c r="L105" s="5" t="s">
        <v>1632</v>
      </c>
      <c r="M105" s="6" t="s">
        <v>197</v>
      </c>
      <c r="N105" s="6" t="s">
        <v>809</v>
      </c>
      <c r="O105" s="6" t="s">
        <v>73</v>
      </c>
      <c r="P105" s="5" t="s">
        <v>918</v>
      </c>
      <c r="Q105" s="17" t="s">
        <v>182</v>
      </c>
      <c r="R105" s="5"/>
      <c r="S105" s="6" t="s">
        <v>1053</v>
      </c>
      <c r="T105" s="5" t="s">
        <v>1054</v>
      </c>
      <c r="U105" s="6"/>
      <c r="V105" s="6" t="s">
        <v>1055</v>
      </c>
      <c r="W105" s="6" t="s">
        <v>333</v>
      </c>
      <c r="X105" s="5" t="s">
        <v>922</v>
      </c>
      <c r="Y105" s="5" t="s">
        <v>459</v>
      </c>
      <c r="Z105" s="5" t="str">
        <f t="shared" si="2"/>
        <v>Critical</v>
      </c>
      <c r="AA105" s="5" t="s">
        <v>923</v>
      </c>
      <c r="AB105" s="6" t="s">
        <v>923</v>
      </c>
      <c r="AC105" s="6" t="s">
        <v>78</v>
      </c>
      <c r="AD105" s="5" t="s">
        <v>925</v>
      </c>
      <c r="AE105" s="5" t="s">
        <v>354</v>
      </c>
      <c r="AF105" s="5" t="s">
        <v>354</v>
      </c>
      <c r="AG105" s="5" t="s">
        <v>354</v>
      </c>
      <c r="AH105" s="5" t="s">
        <v>354</v>
      </c>
      <c r="AI105" s="6" t="str">
        <f t="shared" si="3"/>
        <v>No</v>
      </c>
      <c r="AJ105" s="6" t="s">
        <v>926</v>
      </c>
      <c r="AK105" s="6" t="s">
        <v>73</v>
      </c>
      <c r="AL105" s="6">
        <f>MATCH(AA105,{"Low","Medium","High"},0)*MATCH(AB105,{"Low","Medium","High"},0)*INDEX({3,2,2,1,1},MATCH(X105,{"Core","Vertical extension","Differentiator","Future","Adjacent"},0))</f>
        <v>27</v>
      </c>
      <c r="AM105" s="5"/>
      <c r="AN105" s="5"/>
      <c r="AO105" s="5"/>
      <c r="AP105" s="5"/>
      <c r="AQ105" s="5"/>
      <c r="AR105" s="5"/>
      <c r="AS105" s="5"/>
      <c r="AT105" s="5"/>
      <c r="AU105" s="6" t="s">
        <v>927</v>
      </c>
      <c r="AV105" s="6" t="s">
        <v>55</v>
      </c>
      <c r="AW105" s="6" t="s">
        <v>55</v>
      </c>
      <c r="AX105" s="6" t="s">
        <v>929</v>
      </c>
      <c r="AY105" s="6" t="s">
        <v>930</v>
      </c>
      <c r="AZ105" s="6"/>
      <c r="BA105" s="6"/>
      <c r="BB105" s="6"/>
      <c r="BC105" s="6" t="s">
        <v>97</v>
      </c>
      <c r="BD105" s="6" t="s">
        <v>97</v>
      </c>
    </row>
    <row r="106" spans="1:56" ht="32" customHeight="1" x14ac:dyDescent="0.35">
      <c r="A106" s="13" t="s">
        <v>1633</v>
      </c>
      <c r="B106" s="6" t="s">
        <v>910</v>
      </c>
      <c r="C106" s="5" t="s">
        <v>1605</v>
      </c>
      <c r="D106" s="5" t="s">
        <v>825</v>
      </c>
      <c r="E106" s="5" t="s">
        <v>1634</v>
      </c>
      <c r="F106" s="5" t="s">
        <v>1452</v>
      </c>
      <c r="G106" s="5" t="s">
        <v>1453</v>
      </c>
      <c r="H106" s="5" t="s">
        <v>1635</v>
      </c>
      <c r="I106" s="5" t="s">
        <v>1636</v>
      </c>
      <c r="J106" s="17" t="s">
        <v>121</v>
      </c>
      <c r="K106" s="17" t="s">
        <v>181</v>
      </c>
      <c r="L106" s="5" t="s">
        <v>1637</v>
      </c>
      <c r="M106" s="6" t="s">
        <v>197</v>
      </c>
      <c r="N106" s="6" t="s">
        <v>809</v>
      </c>
      <c r="O106" s="6" t="s">
        <v>121</v>
      </c>
      <c r="P106" s="5" t="s">
        <v>918</v>
      </c>
      <c r="Q106" s="17" t="s">
        <v>182</v>
      </c>
      <c r="R106" s="5"/>
      <c r="S106" s="6" t="s">
        <v>1053</v>
      </c>
      <c r="T106" s="5" t="s">
        <v>1054</v>
      </c>
      <c r="U106" s="6"/>
      <c r="V106" s="6" t="s">
        <v>1055</v>
      </c>
      <c r="W106" s="6" t="s">
        <v>333</v>
      </c>
      <c r="X106" s="5" t="s">
        <v>922</v>
      </c>
      <c r="Y106" s="5" t="s">
        <v>459</v>
      </c>
      <c r="Z106" s="5" t="str">
        <f t="shared" si="2"/>
        <v>Critical</v>
      </c>
      <c r="AA106" s="5" t="s">
        <v>923</v>
      </c>
      <c r="AB106" s="6" t="s">
        <v>923</v>
      </c>
      <c r="AC106" s="6" t="s">
        <v>103</v>
      </c>
      <c r="AD106" s="5" t="s">
        <v>925</v>
      </c>
      <c r="AE106" s="5" t="s">
        <v>354</v>
      </c>
      <c r="AF106" s="5" t="s">
        <v>354</v>
      </c>
      <c r="AG106" s="5" t="s">
        <v>354</v>
      </c>
      <c r="AH106" s="5" t="s">
        <v>354</v>
      </c>
      <c r="AI106" s="6" t="str">
        <f t="shared" si="3"/>
        <v>No</v>
      </c>
      <c r="AJ106" s="6" t="s">
        <v>926</v>
      </c>
      <c r="AK106" s="6" t="s">
        <v>121</v>
      </c>
      <c r="AL106" s="6">
        <f>MATCH(AA106,{"Low","Medium","High"},0)*MATCH(AB106,{"Low","Medium","High"},0)*INDEX({3,2,2,1,1},MATCH(X106,{"Core","Vertical extension","Differentiator","Future","Adjacent"},0))</f>
        <v>27</v>
      </c>
      <c r="AM106" s="5"/>
      <c r="AN106" s="5"/>
      <c r="AO106" s="5"/>
      <c r="AP106" s="5"/>
      <c r="AQ106" s="5"/>
      <c r="AR106" s="5"/>
      <c r="AS106" s="5"/>
      <c r="AT106" s="5"/>
      <c r="AU106" s="6" t="s">
        <v>927</v>
      </c>
      <c r="AV106" s="6" t="s">
        <v>55</v>
      </c>
      <c r="AW106" s="6" t="s">
        <v>55</v>
      </c>
      <c r="AX106" s="6" t="s">
        <v>929</v>
      </c>
      <c r="AY106" s="6" t="s">
        <v>930</v>
      </c>
      <c r="AZ106" s="6"/>
      <c r="BA106" s="6"/>
      <c r="BB106" s="6"/>
      <c r="BC106" s="6" t="s">
        <v>97</v>
      </c>
      <c r="BD106" s="6" t="s">
        <v>97</v>
      </c>
    </row>
    <row r="107" spans="1:56" ht="32" customHeight="1" x14ac:dyDescent="0.35">
      <c r="A107" s="13" t="s">
        <v>1638</v>
      </c>
      <c r="B107" s="6" t="s">
        <v>910</v>
      </c>
      <c r="C107" s="5" t="s">
        <v>1605</v>
      </c>
      <c r="D107" s="5" t="s">
        <v>825</v>
      </c>
      <c r="E107" s="5" t="s">
        <v>1639</v>
      </c>
      <c r="F107" s="5" t="s">
        <v>1452</v>
      </c>
      <c r="G107" s="5" t="s">
        <v>1101</v>
      </c>
      <c r="H107" s="5" t="s">
        <v>1640</v>
      </c>
      <c r="I107" s="5" t="s">
        <v>1641</v>
      </c>
      <c r="J107" s="17" t="s">
        <v>121</v>
      </c>
      <c r="K107" s="17" t="s">
        <v>181</v>
      </c>
      <c r="L107" s="5" t="s">
        <v>1642</v>
      </c>
      <c r="M107" s="6" t="s">
        <v>197</v>
      </c>
      <c r="N107" s="6" t="s">
        <v>809</v>
      </c>
      <c r="O107" s="6" t="s">
        <v>121</v>
      </c>
      <c r="P107" s="5" t="s">
        <v>918</v>
      </c>
      <c r="Q107" s="17" t="s">
        <v>182</v>
      </c>
      <c r="R107" s="5"/>
      <c r="S107" s="6" t="s">
        <v>1053</v>
      </c>
      <c r="T107" s="5" t="s">
        <v>1054</v>
      </c>
      <c r="U107" s="6"/>
      <c r="V107" s="6" t="s">
        <v>1055</v>
      </c>
      <c r="W107" s="6" t="s">
        <v>333</v>
      </c>
      <c r="X107" s="5" t="s">
        <v>922</v>
      </c>
      <c r="Y107" s="5" t="s">
        <v>459</v>
      </c>
      <c r="Z107" s="5" t="str">
        <f t="shared" si="2"/>
        <v>Critical</v>
      </c>
      <c r="AA107" s="5" t="s">
        <v>923</v>
      </c>
      <c r="AB107" s="6" t="s">
        <v>923</v>
      </c>
      <c r="AC107" s="6" t="s">
        <v>103</v>
      </c>
      <c r="AD107" s="5" t="s">
        <v>925</v>
      </c>
      <c r="AE107" s="5" t="s">
        <v>354</v>
      </c>
      <c r="AF107" s="5" t="s">
        <v>354</v>
      </c>
      <c r="AG107" s="5" t="s">
        <v>354</v>
      </c>
      <c r="AH107" s="5" t="s">
        <v>354</v>
      </c>
      <c r="AI107" s="6" t="str">
        <f t="shared" si="3"/>
        <v>No</v>
      </c>
      <c r="AJ107" s="6" t="s">
        <v>926</v>
      </c>
      <c r="AK107" s="6" t="s">
        <v>121</v>
      </c>
      <c r="AL107" s="6">
        <f>MATCH(AA107,{"Low","Medium","High"},0)*MATCH(AB107,{"Low","Medium","High"},0)*INDEX({3,2,2,1,1},MATCH(X107,{"Core","Vertical extension","Differentiator","Future","Adjacent"},0))</f>
        <v>27</v>
      </c>
      <c r="AM107" s="5"/>
      <c r="AN107" s="5"/>
      <c r="AO107" s="5"/>
      <c r="AP107" s="5"/>
      <c r="AQ107" s="5"/>
      <c r="AR107" s="5"/>
      <c r="AS107" s="5"/>
      <c r="AT107" s="5"/>
      <c r="AU107" s="6" t="s">
        <v>927</v>
      </c>
      <c r="AV107" s="6" t="s">
        <v>55</v>
      </c>
      <c r="AW107" s="6" t="s">
        <v>55</v>
      </c>
      <c r="AX107" s="6" t="s">
        <v>929</v>
      </c>
      <c r="AY107" s="6" t="s">
        <v>930</v>
      </c>
      <c r="AZ107" s="6"/>
      <c r="BA107" s="6"/>
      <c r="BB107" s="6"/>
      <c r="BC107" s="6" t="s">
        <v>97</v>
      </c>
      <c r="BD107" s="6" t="s">
        <v>97</v>
      </c>
    </row>
    <row r="108" spans="1:56" ht="32" customHeight="1" x14ac:dyDescent="0.35">
      <c r="A108" s="13" t="s">
        <v>1643</v>
      </c>
      <c r="B108" s="6" t="s">
        <v>910</v>
      </c>
      <c r="C108" s="5" t="s">
        <v>1605</v>
      </c>
      <c r="D108" s="5" t="s">
        <v>825</v>
      </c>
      <c r="E108" s="5" t="s">
        <v>1644</v>
      </c>
      <c r="F108" s="5" t="s">
        <v>1452</v>
      </c>
      <c r="G108" s="5" t="s">
        <v>1504</v>
      </c>
      <c r="H108" s="5" t="s">
        <v>1645</v>
      </c>
      <c r="I108" s="5" t="s">
        <v>1646</v>
      </c>
      <c r="J108" s="16" t="s">
        <v>73</v>
      </c>
      <c r="K108" s="17" t="s">
        <v>181</v>
      </c>
      <c r="L108" s="5" t="s">
        <v>1647</v>
      </c>
      <c r="M108" s="6" t="s">
        <v>197</v>
      </c>
      <c r="N108" s="6" t="s">
        <v>809</v>
      </c>
      <c r="O108" s="6" t="s">
        <v>73</v>
      </c>
      <c r="P108" s="5" t="s">
        <v>918</v>
      </c>
      <c r="Q108" s="17" t="s">
        <v>182</v>
      </c>
      <c r="R108" s="5"/>
      <c r="S108" s="6" t="s">
        <v>1053</v>
      </c>
      <c r="T108" s="5" t="s">
        <v>1054</v>
      </c>
      <c r="U108" s="6"/>
      <c r="V108" s="6" t="s">
        <v>1055</v>
      </c>
      <c r="W108" s="6" t="s">
        <v>333</v>
      </c>
      <c r="X108" s="5" t="s">
        <v>922</v>
      </c>
      <c r="Y108" s="5" t="s">
        <v>459</v>
      </c>
      <c r="Z108" s="5" t="str">
        <f t="shared" si="2"/>
        <v>Critical</v>
      </c>
      <c r="AA108" s="5" t="s">
        <v>923</v>
      </c>
      <c r="AB108" s="6" t="s">
        <v>923</v>
      </c>
      <c r="AC108" s="6" t="s">
        <v>78</v>
      </c>
      <c r="AD108" s="5" t="s">
        <v>925</v>
      </c>
      <c r="AE108" s="5" t="s">
        <v>354</v>
      </c>
      <c r="AF108" s="5" t="s">
        <v>354</v>
      </c>
      <c r="AG108" s="5" t="s">
        <v>354</v>
      </c>
      <c r="AH108" s="5" t="s">
        <v>354</v>
      </c>
      <c r="AI108" s="6" t="str">
        <f t="shared" si="3"/>
        <v>No</v>
      </c>
      <c r="AJ108" s="6" t="s">
        <v>926</v>
      </c>
      <c r="AK108" s="6" t="s">
        <v>73</v>
      </c>
      <c r="AL108" s="6">
        <f>MATCH(AA108,{"Low","Medium","High"},0)*MATCH(AB108,{"Low","Medium","High"},0)*INDEX({3,2,2,1,1},MATCH(X108,{"Core","Vertical extension","Differentiator","Future","Adjacent"},0))</f>
        <v>27</v>
      </c>
      <c r="AM108" s="5"/>
      <c r="AN108" s="5"/>
      <c r="AO108" s="5"/>
      <c r="AP108" s="5"/>
      <c r="AQ108" s="5"/>
      <c r="AR108" s="5"/>
      <c r="AS108" s="5"/>
      <c r="AT108" s="5"/>
      <c r="AU108" s="6" t="s">
        <v>927</v>
      </c>
      <c r="AV108" s="6" t="s">
        <v>55</v>
      </c>
      <c r="AW108" s="6" t="s">
        <v>55</v>
      </c>
      <c r="AX108" s="6" t="s">
        <v>929</v>
      </c>
      <c r="AY108" s="6" t="s">
        <v>930</v>
      </c>
      <c r="AZ108" s="6"/>
      <c r="BA108" s="6"/>
      <c r="BB108" s="6"/>
      <c r="BC108" s="6" t="s">
        <v>97</v>
      </c>
      <c r="BD108" s="6" t="s">
        <v>97</v>
      </c>
    </row>
    <row r="109" spans="1:56" ht="32" customHeight="1" x14ac:dyDescent="0.35">
      <c r="A109" s="13" t="s">
        <v>1648</v>
      </c>
      <c r="B109" s="6" t="s">
        <v>910</v>
      </c>
      <c r="C109" s="5" t="s">
        <v>1605</v>
      </c>
      <c r="D109" s="5" t="s">
        <v>825</v>
      </c>
      <c r="E109" s="5" t="s">
        <v>1649</v>
      </c>
      <c r="F109" s="5" t="s">
        <v>1452</v>
      </c>
      <c r="G109" s="5" t="s">
        <v>1453</v>
      </c>
      <c r="H109" s="5" t="s">
        <v>1650</v>
      </c>
      <c r="I109" s="5" t="s">
        <v>1651</v>
      </c>
      <c r="J109" s="16" t="s">
        <v>73</v>
      </c>
      <c r="K109" s="17" t="s">
        <v>181</v>
      </c>
      <c r="L109" s="5" t="s">
        <v>1652</v>
      </c>
      <c r="M109" s="6" t="s">
        <v>197</v>
      </c>
      <c r="N109" s="6" t="s">
        <v>809</v>
      </c>
      <c r="O109" s="6" t="s">
        <v>73</v>
      </c>
      <c r="P109" s="5" t="s">
        <v>918</v>
      </c>
      <c r="Q109" s="17" t="s">
        <v>182</v>
      </c>
      <c r="R109" s="5"/>
      <c r="S109" s="6" t="s">
        <v>1053</v>
      </c>
      <c r="T109" s="5" t="s">
        <v>1054</v>
      </c>
      <c r="U109" s="6"/>
      <c r="V109" s="6" t="s">
        <v>1055</v>
      </c>
      <c r="W109" s="6" t="s">
        <v>333</v>
      </c>
      <c r="X109" s="5" t="s">
        <v>922</v>
      </c>
      <c r="Y109" s="5" t="s">
        <v>459</v>
      </c>
      <c r="Z109" s="5" t="str">
        <f t="shared" si="2"/>
        <v>Critical</v>
      </c>
      <c r="AA109" s="5" t="s">
        <v>923</v>
      </c>
      <c r="AB109" s="6" t="s">
        <v>923</v>
      </c>
      <c r="AC109" s="6" t="s">
        <v>78</v>
      </c>
      <c r="AD109" s="5" t="s">
        <v>925</v>
      </c>
      <c r="AE109" s="5" t="s">
        <v>354</v>
      </c>
      <c r="AF109" s="5" t="s">
        <v>354</v>
      </c>
      <c r="AG109" s="5" t="s">
        <v>354</v>
      </c>
      <c r="AH109" s="5" t="s">
        <v>354</v>
      </c>
      <c r="AI109" s="6" t="str">
        <f t="shared" si="3"/>
        <v>No</v>
      </c>
      <c r="AJ109" s="6" t="s">
        <v>926</v>
      </c>
      <c r="AK109" s="6" t="s">
        <v>73</v>
      </c>
      <c r="AL109" s="6">
        <f>MATCH(AA109,{"Low","Medium","High"},0)*MATCH(AB109,{"Low","Medium","High"},0)*INDEX({3,2,2,1,1},MATCH(X109,{"Core","Vertical extension","Differentiator","Future","Adjacent"},0))</f>
        <v>27</v>
      </c>
      <c r="AM109" s="5"/>
      <c r="AN109" s="5"/>
      <c r="AO109" s="5"/>
      <c r="AP109" s="5"/>
      <c r="AQ109" s="5"/>
      <c r="AR109" s="5"/>
      <c r="AS109" s="5"/>
      <c r="AT109" s="5"/>
      <c r="AU109" s="6" t="s">
        <v>927</v>
      </c>
      <c r="AV109" s="6" t="s">
        <v>55</v>
      </c>
      <c r="AW109" s="6" t="s">
        <v>55</v>
      </c>
      <c r="AX109" s="6" t="s">
        <v>929</v>
      </c>
      <c r="AY109" s="6" t="s">
        <v>930</v>
      </c>
      <c r="AZ109" s="6"/>
      <c r="BA109" s="6"/>
      <c r="BB109" s="6"/>
      <c r="BC109" s="6" t="s">
        <v>97</v>
      </c>
      <c r="BD109" s="6" t="s">
        <v>97</v>
      </c>
    </row>
    <row r="110" spans="1:56" ht="32" customHeight="1" x14ac:dyDescent="0.35">
      <c r="A110" s="13" t="s">
        <v>1653</v>
      </c>
      <c r="B110" s="6" t="s">
        <v>910</v>
      </c>
      <c r="C110" s="5" t="s">
        <v>1605</v>
      </c>
      <c r="D110" s="5" t="s">
        <v>825</v>
      </c>
      <c r="E110" s="5" t="s">
        <v>1654</v>
      </c>
      <c r="F110" s="5" t="s">
        <v>1452</v>
      </c>
      <c r="G110" s="5" t="s">
        <v>1344</v>
      </c>
      <c r="H110" s="5" t="s">
        <v>1655</v>
      </c>
      <c r="I110" s="5" t="s">
        <v>1656</v>
      </c>
      <c r="J110" s="17" t="s">
        <v>121</v>
      </c>
      <c r="K110" s="17" t="s">
        <v>181</v>
      </c>
      <c r="L110" s="5" t="s">
        <v>1657</v>
      </c>
      <c r="M110" s="6" t="s">
        <v>197</v>
      </c>
      <c r="N110" s="6" t="s">
        <v>809</v>
      </c>
      <c r="O110" s="6" t="s">
        <v>121</v>
      </c>
      <c r="P110" s="5" t="s">
        <v>918</v>
      </c>
      <c r="Q110" s="17" t="s">
        <v>182</v>
      </c>
      <c r="R110" s="5"/>
      <c r="S110" s="6" t="s">
        <v>1053</v>
      </c>
      <c r="T110" s="5" t="s">
        <v>1054</v>
      </c>
      <c r="U110" s="6"/>
      <c r="V110" s="6" t="s">
        <v>1055</v>
      </c>
      <c r="W110" s="6" t="s">
        <v>333</v>
      </c>
      <c r="X110" s="5" t="s">
        <v>922</v>
      </c>
      <c r="Y110" s="5" t="s">
        <v>459</v>
      </c>
      <c r="Z110" s="5" t="str">
        <f t="shared" si="2"/>
        <v>Critical</v>
      </c>
      <c r="AA110" s="5" t="s">
        <v>923</v>
      </c>
      <c r="AB110" s="6" t="s">
        <v>923</v>
      </c>
      <c r="AC110" s="6" t="s">
        <v>103</v>
      </c>
      <c r="AD110" s="5" t="s">
        <v>925</v>
      </c>
      <c r="AE110" s="5" t="s">
        <v>354</v>
      </c>
      <c r="AF110" s="5" t="s">
        <v>354</v>
      </c>
      <c r="AG110" s="5" t="s">
        <v>354</v>
      </c>
      <c r="AH110" s="5" t="s">
        <v>354</v>
      </c>
      <c r="AI110" s="6" t="str">
        <f t="shared" si="3"/>
        <v>No</v>
      </c>
      <c r="AJ110" s="6" t="s">
        <v>926</v>
      </c>
      <c r="AK110" s="6" t="s">
        <v>121</v>
      </c>
      <c r="AL110" s="6">
        <f>MATCH(AA110,{"Low","Medium","High"},0)*MATCH(AB110,{"Low","Medium","High"},0)*INDEX({3,2,2,1,1},MATCH(X110,{"Core","Vertical extension","Differentiator","Future","Adjacent"},0))</f>
        <v>27</v>
      </c>
      <c r="AM110" s="5"/>
      <c r="AN110" s="5"/>
      <c r="AO110" s="5"/>
      <c r="AP110" s="5"/>
      <c r="AQ110" s="5"/>
      <c r="AR110" s="5"/>
      <c r="AS110" s="5"/>
      <c r="AT110" s="5"/>
      <c r="AU110" s="6" t="s">
        <v>927</v>
      </c>
      <c r="AV110" s="6" t="s">
        <v>55</v>
      </c>
      <c r="AW110" s="6" t="s">
        <v>55</v>
      </c>
      <c r="AX110" s="6" t="s">
        <v>929</v>
      </c>
      <c r="AY110" s="6" t="s">
        <v>930</v>
      </c>
      <c r="AZ110" s="6"/>
      <c r="BA110" s="6"/>
      <c r="BB110" s="6"/>
      <c r="BC110" s="6" t="s">
        <v>97</v>
      </c>
      <c r="BD110" s="6" t="s">
        <v>97</v>
      </c>
    </row>
    <row r="111" spans="1:56" ht="32" customHeight="1" x14ac:dyDescent="0.35">
      <c r="A111" s="13" t="s">
        <v>1658</v>
      </c>
      <c r="B111" s="6" t="s">
        <v>910</v>
      </c>
      <c r="C111" s="5" t="s">
        <v>1605</v>
      </c>
      <c r="D111" s="5" t="s">
        <v>825</v>
      </c>
      <c r="E111" s="5" t="s">
        <v>1659</v>
      </c>
      <c r="F111" s="5" t="s">
        <v>1452</v>
      </c>
      <c r="G111" s="5" t="s">
        <v>1453</v>
      </c>
      <c r="H111" s="5" t="s">
        <v>1660</v>
      </c>
      <c r="I111" s="5" t="s">
        <v>1661</v>
      </c>
      <c r="J111" s="16" t="s">
        <v>73</v>
      </c>
      <c r="K111" s="17" t="s">
        <v>181</v>
      </c>
      <c r="L111" s="5" t="s">
        <v>1662</v>
      </c>
      <c r="M111" s="6" t="s">
        <v>197</v>
      </c>
      <c r="N111" s="6" t="s">
        <v>809</v>
      </c>
      <c r="O111" s="6" t="s">
        <v>73</v>
      </c>
      <c r="P111" s="5" t="s">
        <v>918</v>
      </c>
      <c r="Q111" s="17" t="s">
        <v>182</v>
      </c>
      <c r="R111" s="5"/>
      <c r="S111" s="6" t="s">
        <v>1053</v>
      </c>
      <c r="T111" s="5" t="s">
        <v>1054</v>
      </c>
      <c r="U111" s="6"/>
      <c r="V111" s="6" t="s">
        <v>1055</v>
      </c>
      <c r="W111" s="6" t="s">
        <v>333</v>
      </c>
      <c r="X111" s="5" t="s">
        <v>922</v>
      </c>
      <c r="Y111" s="5" t="s">
        <v>459</v>
      </c>
      <c r="Z111" s="5" t="str">
        <f t="shared" si="2"/>
        <v>Critical</v>
      </c>
      <c r="AA111" s="5" t="s">
        <v>923</v>
      </c>
      <c r="AB111" s="6" t="s">
        <v>923</v>
      </c>
      <c r="AC111" s="6" t="s">
        <v>78</v>
      </c>
      <c r="AD111" s="5" t="s">
        <v>925</v>
      </c>
      <c r="AE111" s="5" t="s">
        <v>354</v>
      </c>
      <c r="AF111" s="5" t="s">
        <v>354</v>
      </c>
      <c r="AG111" s="5" t="s">
        <v>354</v>
      </c>
      <c r="AH111" s="5" t="s">
        <v>354</v>
      </c>
      <c r="AI111" s="6" t="str">
        <f t="shared" si="3"/>
        <v>No</v>
      </c>
      <c r="AJ111" s="6" t="s">
        <v>926</v>
      </c>
      <c r="AK111" s="6" t="s">
        <v>73</v>
      </c>
      <c r="AL111" s="6">
        <f>MATCH(AA111,{"Low","Medium","High"},0)*MATCH(AB111,{"Low","Medium","High"},0)*INDEX({3,2,2,1,1},MATCH(X111,{"Core","Vertical extension","Differentiator","Future","Adjacent"},0))</f>
        <v>27</v>
      </c>
      <c r="AM111" s="5"/>
      <c r="AN111" s="5"/>
      <c r="AO111" s="5"/>
      <c r="AP111" s="5"/>
      <c r="AQ111" s="5"/>
      <c r="AR111" s="5"/>
      <c r="AS111" s="5"/>
      <c r="AT111" s="5"/>
      <c r="AU111" s="6" t="s">
        <v>927</v>
      </c>
      <c r="AV111" s="6" t="s">
        <v>55</v>
      </c>
      <c r="AW111" s="6" t="s">
        <v>55</v>
      </c>
      <c r="AX111" s="6" t="s">
        <v>929</v>
      </c>
      <c r="AY111" s="6" t="s">
        <v>930</v>
      </c>
      <c r="AZ111" s="6"/>
      <c r="BA111" s="6"/>
      <c r="BB111" s="6"/>
      <c r="BC111" s="6" t="s">
        <v>97</v>
      </c>
      <c r="BD111" s="6" t="s">
        <v>97</v>
      </c>
    </row>
    <row r="112" spans="1:56" ht="32" customHeight="1" x14ac:dyDescent="0.35">
      <c r="A112" s="13" t="s">
        <v>1663</v>
      </c>
      <c r="B112" s="6" t="s">
        <v>910</v>
      </c>
      <c r="C112" s="5" t="s">
        <v>1605</v>
      </c>
      <c r="D112" s="5" t="s">
        <v>836</v>
      </c>
      <c r="E112" s="5" t="s">
        <v>1664</v>
      </c>
      <c r="F112" s="5" t="s">
        <v>1452</v>
      </c>
      <c r="G112" s="5" t="s">
        <v>1665</v>
      </c>
      <c r="H112" s="5" t="s">
        <v>1666</v>
      </c>
      <c r="I112" s="5" t="s">
        <v>1667</v>
      </c>
      <c r="J112" s="17" t="s">
        <v>121</v>
      </c>
      <c r="K112" s="17" t="s">
        <v>181</v>
      </c>
      <c r="L112" s="5" t="s">
        <v>1668</v>
      </c>
      <c r="M112" s="6" t="s">
        <v>197</v>
      </c>
      <c r="N112" s="6" t="s">
        <v>809</v>
      </c>
      <c r="O112" s="6" t="s">
        <v>121</v>
      </c>
      <c r="P112" s="5" t="s">
        <v>918</v>
      </c>
      <c r="Q112" s="17" t="s">
        <v>182</v>
      </c>
      <c r="R112" s="5"/>
      <c r="S112" s="6" t="s">
        <v>1061</v>
      </c>
      <c r="T112" s="5" t="s">
        <v>1062</v>
      </c>
      <c r="U112" s="6"/>
      <c r="V112" s="6" t="s">
        <v>1055</v>
      </c>
      <c r="W112" s="6" t="s">
        <v>333</v>
      </c>
      <c r="X112" s="5" t="s">
        <v>922</v>
      </c>
      <c r="Y112" s="5" t="s">
        <v>459</v>
      </c>
      <c r="Z112" s="5" t="str">
        <f t="shared" si="2"/>
        <v>Medium</v>
      </c>
      <c r="AA112" s="5" t="s">
        <v>956</v>
      </c>
      <c r="AB112" s="6" t="s">
        <v>924</v>
      </c>
      <c r="AC112" s="6" t="s">
        <v>103</v>
      </c>
      <c r="AD112" s="5" t="s">
        <v>925</v>
      </c>
      <c r="AE112" s="5" t="s">
        <v>354</v>
      </c>
      <c r="AF112" s="5" t="s">
        <v>354</v>
      </c>
      <c r="AG112" s="5" t="s">
        <v>354</v>
      </c>
      <c r="AH112" s="5" t="s">
        <v>354</v>
      </c>
      <c r="AI112" s="6" t="str">
        <f t="shared" si="3"/>
        <v>No</v>
      </c>
      <c r="AJ112" s="6" t="s">
        <v>926</v>
      </c>
      <c r="AK112" s="6" t="s">
        <v>121</v>
      </c>
      <c r="AL112" s="6">
        <f>MATCH(AA112,{"Low","Medium","High"},0)*MATCH(AB112,{"Low","Medium","High"},0)*INDEX({3,2,2,1,1},MATCH(X112,{"Core","Vertical extension","Differentiator","Future","Adjacent"},0))</f>
        <v>6</v>
      </c>
      <c r="AM112" s="5"/>
      <c r="AN112" s="5"/>
      <c r="AO112" s="5"/>
      <c r="AP112" s="5"/>
      <c r="AQ112" s="5"/>
      <c r="AR112" s="5"/>
      <c r="AS112" s="5"/>
      <c r="AT112" s="5"/>
      <c r="AU112" s="6" t="s">
        <v>927</v>
      </c>
      <c r="AV112" s="6" t="s">
        <v>55</v>
      </c>
      <c r="AW112" s="6" t="s">
        <v>55</v>
      </c>
      <c r="AX112" s="6" t="s">
        <v>929</v>
      </c>
      <c r="AY112" s="6" t="s">
        <v>930</v>
      </c>
      <c r="AZ112" s="6"/>
      <c r="BA112" s="6"/>
      <c r="BB112" s="6"/>
      <c r="BC112" s="6" t="s">
        <v>97</v>
      </c>
      <c r="BD112" s="6" t="s">
        <v>97</v>
      </c>
    </row>
    <row r="113" spans="1:56" ht="32" customHeight="1" x14ac:dyDescent="0.35">
      <c r="A113" s="13" t="s">
        <v>1669</v>
      </c>
      <c r="B113" s="6" t="s">
        <v>910</v>
      </c>
      <c r="C113" s="5" t="s">
        <v>1605</v>
      </c>
      <c r="D113" s="5" t="s">
        <v>825</v>
      </c>
      <c r="E113" s="5" t="s">
        <v>1670</v>
      </c>
      <c r="F113" s="5" t="s">
        <v>1452</v>
      </c>
      <c r="G113" s="5" t="s">
        <v>1453</v>
      </c>
      <c r="H113" s="5" t="s">
        <v>1671</v>
      </c>
      <c r="I113" s="5" t="s">
        <v>1672</v>
      </c>
      <c r="J113" s="17" t="s">
        <v>121</v>
      </c>
      <c r="K113" s="17" t="s">
        <v>181</v>
      </c>
      <c r="L113" s="5" t="s">
        <v>1673</v>
      </c>
      <c r="M113" s="6" t="s">
        <v>197</v>
      </c>
      <c r="N113" s="6" t="s">
        <v>809</v>
      </c>
      <c r="O113" s="6" t="s">
        <v>121</v>
      </c>
      <c r="P113" s="5" t="s">
        <v>918</v>
      </c>
      <c r="Q113" s="17" t="s">
        <v>182</v>
      </c>
      <c r="R113" s="5"/>
      <c r="S113" s="6" t="s">
        <v>1053</v>
      </c>
      <c r="T113" s="5" t="s">
        <v>1054</v>
      </c>
      <c r="U113" s="6"/>
      <c r="V113" s="6" t="s">
        <v>1055</v>
      </c>
      <c r="W113" s="6" t="s">
        <v>333</v>
      </c>
      <c r="X113" s="5" t="s">
        <v>922</v>
      </c>
      <c r="Y113" s="5" t="s">
        <v>459</v>
      </c>
      <c r="Z113" s="5" t="str">
        <f t="shared" si="2"/>
        <v>Critical</v>
      </c>
      <c r="AA113" s="5" t="s">
        <v>923</v>
      </c>
      <c r="AB113" s="6" t="s">
        <v>923</v>
      </c>
      <c r="AC113" s="6" t="s">
        <v>103</v>
      </c>
      <c r="AD113" s="5" t="s">
        <v>925</v>
      </c>
      <c r="AE113" s="5" t="s">
        <v>354</v>
      </c>
      <c r="AF113" s="5" t="s">
        <v>354</v>
      </c>
      <c r="AG113" s="5" t="s">
        <v>354</v>
      </c>
      <c r="AH113" s="5" t="s">
        <v>354</v>
      </c>
      <c r="AI113" s="6" t="str">
        <f t="shared" si="3"/>
        <v>No</v>
      </c>
      <c r="AJ113" s="6" t="s">
        <v>926</v>
      </c>
      <c r="AK113" s="6" t="s">
        <v>121</v>
      </c>
      <c r="AL113" s="6">
        <f>MATCH(AA113,{"Low","Medium","High"},0)*MATCH(AB113,{"Low","Medium","High"},0)*INDEX({3,2,2,1,1},MATCH(X113,{"Core","Vertical extension","Differentiator","Future","Adjacent"},0))</f>
        <v>27</v>
      </c>
      <c r="AM113" s="5"/>
      <c r="AN113" s="5"/>
      <c r="AO113" s="5"/>
      <c r="AP113" s="5"/>
      <c r="AQ113" s="5"/>
      <c r="AR113" s="5"/>
      <c r="AS113" s="5"/>
      <c r="AT113" s="5"/>
      <c r="AU113" s="6" t="s">
        <v>927</v>
      </c>
      <c r="AV113" s="6" t="s">
        <v>55</v>
      </c>
      <c r="AW113" s="6" t="s">
        <v>55</v>
      </c>
      <c r="AX113" s="6" t="s">
        <v>929</v>
      </c>
      <c r="AY113" s="6" t="s">
        <v>930</v>
      </c>
      <c r="AZ113" s="6"/>
      <c r="BA113" s="6"/>
      <c r="BB113" s="6"/>
      <c r="BC113" s="6" t="s">
        <v>97</v>
      </c>
      <c r="BD113" s="6" t="s">
        <v>97</v>
      </c>
    </row>
    <row r="114" spans="1:56" ht="32" customHeight="1" x14ac:dyDescent="0.35">
      <c r="A114" s="13" t="s">
        <v>1674</v>
      </c>
      <c r="B114" s="6" t="s">
        <v>910</v>
      </c>
      <c r="C114" s="5" t="s">
        <v>1605</v>
      </c>
      <c r="D114" s="5" t="s">
        <v>827</v>
      </c>
      <c r="E114" s="5" t="s">
        <v>1675</v>
      </c>
      <c r="F114" s="5" t="s">
        <v>1452</v>
      </c>
      <c r="G114" s="5" t="s">
        <v>1623</v>
      </c>
      <c r="H114" s="5" t="s">
        <v>1676</v>
      </c>
      <c r="I114" s="5" t="s">
        <v>1677</v>
      </c>
      <c r="J114" s="17" t="s">
        <v>121</v>
      </c>
      <c r="K114" s="17" t="s">
        <v>181</v>
      </c>
      <c r="L114" s="5" t="s">
        <v>1678</v>
      </c>
      <c r="M114" s="6" t="s">
        <v>197</v>
      </c>
      <c r="N114" s="6" t="s">
        <v>809</v>
      </c>
      <c r="O114" s="6" t="s">
        <v>121</v>
      </c>
      <c r="P114" s="5" t="s">
        <v>918</v>
      </c>
      <c r="Q114" s="18" t="s">
        <v>186</v>
      </c>
      <c r="R114" s="5" t="s">
        <v>1679</v>
      </c>
      <c r="S114" s="6" t="s">
        <v>1030</v>
      </c>
      <c r="T114" s="5" t="s">
        <v>827</v>
      </c>
      <c r="U114" s="6"/>
      <c r="V114" s="6" t="s">
        <v>921</v>
      </c>
      <c r="W114" s="6" t="s">
        <v>333</v>
      </c>
      <c r="X114" s="5" t="s">
        <v>922</v>
      </c>
      <c r="Y114" s="5" t="s">
        <v>459</v>
      </c>
      <c r="Z114" s="5" t="str">
        <f t="shared" si="2"/>
        <v>High</v>
      </c>
      <c r="AA114" s="5" t="s">
        <v>956</v>
      </c>
      <c r="AB114" s="6" t="s">
        <v>956</v>
      </c>
      <c r="AC114" s="6" t="s">
        <v>103</v>
      </c>
      <c r="AD114" s="5" t="s">
        <v>940</v>
      </c>
      <c r="AE114" s="5" t="s">
        <v>354</v>
      </c>
      <c r="AF114" s="5" t="s">
        <v>354</v>
      </c>
      <c r="AG114" s="5" t="s">
        <v>354</v>
      </c>
      <c r="AH114" s="5" t="s">
        <v>354</v>
      </c>
      <c r="AI114" s="6" t="str">
        <f t="shared" si="3"/>
        <v>No</v>
      </c>
      <c r="AJ114" s="6" t="s">
        <v>941</v>
      </c>
      <c r="AK114" s="6" t="s">
        <v>121</v>
      </c>
      <c r="AL114" s="6">
        <f>MATCH(AA114,{"Low","Medium","High"},0)*MATCH(AB114,{"Low","Medium","High"},0)*INDEX({3,2,2,1,1},MATCH(X114,{"Core","Vertical extension","Differentiator","Future","Adjacent"},0))</f>
        <v>12</v>
      </c>
      <c r="AM114" s="5"/>
      <c r="AN114" s="5"/>
      <c r="AO114" s="5"/>
      <c r="AP114" s="5"/>
      <c r="AQ114" s="5"/>
      <c r="AR114" s="5"/>
      <c r="AS114" s="5"/>
      <c r="AT114" s="5"/>
      <c r="AU114" s="6" t="s">
        <v>927</v>
      </c>
      <c r="AV114" s="6" t="s">
        <v>55</v>
      </c>
      <c r="AW114" s="6" t="s">
        <v>55</v>
      </c>
      <c r="AX114" s="6" t="s">
        <v>929</v>
      </c>
      <c r="AY114" s="6" t="s">
        <v>1032</v>
      </c>
      <c r="AZ114" s="6"/>
      <c r="BA114" s="6"/>
      <c r="BB114" s="6"/>
      <c r="BC114" s="6" t="s">
        <v>97</v>
      </c>
      <c r="BD114" s="6" t="s">
        <v>97</v>
      </c>
    </row>
    <row r="115" spans="1:56" ht="32" customHeight="1" x14ac:dyDescent="0.35">
      <c r="A115" s="13" t="s">
        <v>1680</v>
      </c>
      <c r="B115" s="6" t="s">
        <v>910</v>
      </c>
      <c r="C115" s="5" t="s">
        <v>1605</v>
      </c>
      <c r="D115" s="5" t="s">
        <v>825</v>
      </c>
      <c r="E115" s="5" t="s">
        <v>1681</v>
      </c>
      <c r="F115" s="5" t="s">
        <v>1452</v>
      </c>
      <c r="G115" s="5" t="s">
        <v>1682</v>
      </c>
      <c r="H115" s="5" t="s">
        <v>1683</v>
      </c>
      <c r="I115" s="5" t="s">
        <v>1684</v>
      </c>
      <c r="J115" s="16" t="s">
        <v>73</v>
      </c>
      <c r="K115" s="17" t="s">
        <v>181</v>
      </c>
      <c r="L115" s="5" t="s">
        <v>1685</v>
      </c>
      <c r="M115" s="6" t="s">
        <v>197</v>
      </c>
      <c r="N115" s="6" t="s">
        <v>809</v>
      </c>
      <c r="O115" s="6" t="s">
        <v>73</v>
      </c>
      <c r="P115" s="5" t="s">
        <v>918</v>
      </c>
      <c r="Q115" s="17" t="s">
        <v>182</v>
      </c>
      <c r="R115" s="5"/>
      <c r="S115" s="6" t="s">
        <v>1053</v>
      </c>
      <c r="T115" s="5" t="s">
        <v>1054</v>
      </c>
      <c r="U115" s="6"/>
      <c r="V115" s="6" t="s">
        <v>1055</v>
      </c>
      <c r="W115" s="6" t="s">
        <v>333</v>
      </c>
      <c r="X115" s="5" t="s">
        <v>922</v>
      </c>
      <c r="Y115" s="5" t="s">
        <v>459</v>
      </c>
      <c r="Z115" s="5" t="str">
        <f t="shared" si="2"/>
        <v>Critical</v>
      </c>
      <c r="AA115" s="5" t="s">
        <v>923</v>
      </c>
      <c r="AB115" s="6" t="s">
        <v>923</v>
      </c>
      <c r="AC115" s="6" t="s">
        <v>78</v>
      </c>
      <c r="AD115" s="5" t="s">
        <v>925</v>
      </c>
      <c r="AE115" s="5" t="s">
        <v>354</v>
      </c>
      <c r="AF115" s="5" t="s">
        <v>354</v>
      </c>
      <c r="AG115" s="5" t="s">
        <v>354</v>
      </c>
      <c r="AH115" s="5" t="s">
        <v>354</v>
      </c>
      <c r="AI115" s="6" t="str">
        <f t="shared" si="3"/>
        <v>No</v>
      </c>
      <c r="AJ115" s="6" t="s">
        <v>926</v>
      </c>
      <c r="AK115" s="6" t="s">
        <v>73</v>
      </c>
      <c r="AL115" s="6">
        <f>MATCH(AA115,{"Low","Medium","High"},0)*MATCH(AB115,{"Low","Medium","High"},0)*INDEX({3,2,2,1,1},MATCH(X115,{"Core","Vertical extension","Differentiator","Future","Adjacent"},0))</f>
        <v>27</v>
      </c>
      <c r="AM115" s="5"/>
      <c r="AN115" s="5"/>
      <c r="AO115" s="5"/>
      <c r="AP115" s="5"/>
      <c r="AQ115" s="5"/>
      <c r="AR115" s="5"/>
      <c r="AS115" s="5"/>
      <c r="AT115" s="5"/>
      <c r="AU115" s="6" t="s">
        <v>927</v>
      </c>
      <c r="AV115" s="6" t="s">
        <v>55</v>
      </c>
      <c r="AW115" s="6" t="s">
        <v>55</v>
      </c>
      <c r="AX115" s="6" t="s">
        <v>929</v>
      </c>
      <c r="AY115" s="6" t="s">
        <v>930</v>
      </c>
      <c r="AZ115" s="6"/>
      <c r="BA115" s="6"/>
      <c r="BB115" s="6"/>
      <c r="BC115" s="6" t="s">
        <v>97</v>
      </c>
      <c r="BD115" s="6" t="s">
        <v>97</v>
      </c>
    </row>
    <row r="116" spans="1:56" ht="32" customHeight="1" x14ac:dyDescent="0.35">
      <c r="A116" s="13" t="s">
        <v>71</v>
      </c>
      <c r="B116" s="6" t="s">
        <v>910</v>
      </c>
      <c r="C116" s="5" t="s">
        <v>1605</v>
      </c>
      <c r="D116" s="5" t="s">
        <v>827</v>
      </c>
      <c r="E116" s="5" t="s">
        <v>72</v>
      </c>
      <c r="F116" s="5" t="s">
        <v>1452</v>
      </c>
      <c r="G116" s="5" t="s">
        <v>1686</v>
      </c>
      <c r="H116" s="5" t="s">
        <v>1687</v>
      </c>
      <c r="I116" s="5" t="s">
        <v>1688</v>
      </c>
      <c r="J116" s="16" t="s">
        <v>73</v>
      </c>
      <c r="K116" s="20" t="s">
        <v>74</v>
      </c>
      <c r="L116" s="5" t="s">
        <v>1689</v>
      </c>
      <c r="M116" s="6" t="s">
        <v>197</v>
      </c>
      <c r="N116" s="6" t="s">
        <v>809</v>
      </c>
      <c r="O116" s="6" t="s">
        <v>73</v>
      </c>
      <c r="P116" s="5" t="s">
        <v>918</v>
      </c>
      <c r="Q116" s="20" t="s">
        <v>74</v>
      </c>
      <c r="R116" s="5" t="s">
        <v>1690</v>
      </c>
      <c r="S116" s="6" t="s">
        <v>1030</v>
      </c>
      <c r="T116" s="5" t="s">
        <v>827</v>
      </c>
      <c r="U116" s="6"/>
      <c r="V116" s="6" t="s">
        <v>1031</v>
      </c>
      <c r="W116" s="6" t="s">
        <v>333</v>
      </c>
      <c r="X116" s="5" t="s">
        <v>922</v>
      </c>
      <c r="Y116" s="5" t="s">
        <v>459</v>
      </c>
      <c r="Z116" s="5" t="str">
        <f t="shared" si="2"/>
        <v>Critical</v>
      </c>
      <c r="AA116" s="5" t="s">
        <v>923</v>
      </c>
      <c r="AB116" s="6" t="s">
        <v>956</v>
      </c>
      <c r="AC116" s="6" t="s">
        <v>78</v>
      </c>
      <c r="AD116" s="5" t="s">
        <v>74</v>
      </c>
      <c r="AE116" s="5" t="s">
        <v>354</v>
      </c>
      <c r="AF116" s="5" t="s">
        <v>354</v>
      </c>
      <c r="AG116" s="5" t="s">
        <v>354</v>
      </c>
      <c r="AH116" s="5" t="s">
        <v>354</v>
      </c>
      <c r="AI116" s="6" t="str">
        <f t="shared" si="3"/>
        <v>No</v>
      </c>
      <c r="AJ116" s="6" t="s">
        <v>1691</v>
      </c>
      <c r="AK116" s="6" t="s">
        <v>73</v>
      </c>
      <c r="AL116" s="6">
        <f>MATCH(AA116,{"Low","Medium","High"},0)*MATCH(AB116,{"Low","Medium","High"},0)*INDEX({3,2,2,1,1},MATCH(X116,{"Core","Vertical extension","Differentiator","Future","Adjacent"},0))</f>
        <v>18</v>
      </c>
      <c r="AM116" s="5"/>
      <c r="AN116" s="5"/>
      <c r="AO116" s="5"/>
      <c r="AP116" s="5"/>
      <c r="AQ116" s="5"/>
      <c r="AR116" s="5"/>
      <c r="AS116" s="5"/>
      <c r="AT116" s="5"/>
      <c r="AU116" s="6" t="s">
        <v>927</v>
      </c>
      <c r="AV116" s="6" t="s">
        <v>55</v>
      </c>
      <c r="AW116" s="6" t="s">
        <v>55</v>
      </c>
      <c r="AX116" s="6" t="s">
        <v>929</v>
      </c>
      <c r="AY116" s="6" t="s">
        <v>1032</v>
      </c>
      <c r="AZ116" s="6"/>
      <c r="BA116" s="6"/>
      <c r="BB116" s="6"/>
      <c r="BC116" s="6" t="s">
        <v>97</v>
      </c>
      <c r="BD116" s="6" t="s">
        <v>97</v>
      </c>
    </row>
    <row r="117" spans="1:56" ht="32" customHeight="1" x14ac:dyDescent="0.35">
      <c r="A117" s="13" t="s">
        <v>1692</v>
      </c>
      <c r="B117" s="6" t="s">
        <v>910</v>
      </c>
      <c r="C117" s="5" t="s">
        <v>1322</v>
      </c>
      <c r="D117" s="5" t="s">
        <v>831</v>
      </c>
      <c r="E117" s="5" t="s">
        <v>1693</v>
      </c>
      <c r="F117" s="5" t="s">
        <v>1694</v>
      </c>
      <c r="G117" s="5" t="s">
        <v>1537</v>
      </c>
      <c r="H117" s="5" t="s">
        <v>1695</v>
      </c>
      <c r="I117" s="5" t="s">
        <v>1696</v>
      </c>
      <c r="J117" s="16" t="s">
        <v>73</v>
      </c>
      <c r="K117" s="17" t="s">
        <v>181</v>
      </c>
      <c r="L117" s="5" t="s">
        <v>1697</v>
      </c>
      <c r="M117" s="6" t="s">
        <v>197</v>
      </c>
      <c r="N117" s="6" t="s">
        <v>809</v>
      </c>
      <c r="O117" s="6" t="s">
        <v>73</v>
      </c>
      <c r="P117" s="5" t="s">
        <v>918</v>
      </c>
      <c r="Q117" s="18" t="s">
        <v>186</v>
      </c>
      <c r="R117" s="5" t="s">
        <v>1021</v>
      </c>
      <c r="S117" s="6" t="s">
        <v>964</v>
      </c>
      <c r="T117" s="5" t="s">
        <v>965</v>
      </c>
      <c r="U117" s="6"/>
      <c r="V117" s="6" t="s">
        <v>966</v>
      </c>
      <c r="W117" s="6" t="s">
        <v>333</v>
      </c>
      <c r="X117" s="5" t="s">
        <v>922</v>
      </c>
      <c r="Y117" s="5" t="s">
        <v>658</v>
      </c>
      <c r="Z117" s="5" t="str">
        <f t="shared" si="2"/>
        <v>High</v>
      </c>
      <c r="AA117" s="5" t="s">
        <v>923</v>
      </c>
      <c r="AB117" s="6" t="s">
        <v>924</v>
      </c>
      <c r="AC117" s="6" t="s">
        <v>78</v>
      </c>
      <c r="AD117" s="5" t="s">
        <v>940</v>
      </c>
      <c r="AE117" s="5" t="s">
        <v>354</v>
      </c>
      <c r="AF117" s="5" t="s">
        <v>354</v>
      </c>
      <c r="AG117" s="5" t="s">
        <v>354</v>
      </c>
      <c r="AH117" s="5" t="s">
        <v>354</v>
      </c>
      <c r="AI117" s="6" t="str">
        <f t="shared" si="3"/>
        <v>No</v>
      </c>
      <c r="AJ117" s="6" t="s">
        <v>941</v>
      </c>
      <c r="AK117" s="6" t="s">
        <v>73</v>
      </c>
      <c r="AL117" s="6">
        <f>MATCH(AA117,{"Low","Medium","High"},0)*MATCH(AB117,{"Low","Medium","High"},0)*INDEX({3,2,2,1,1},MATCH(X117,{"Core","Vertical extension","Differentiator","Future","Adjacent"},0))</f>
        <v>9</v>
      </c>
      <c r="AM117" s="5"/>
      <c r="AN117" s="5"/>
      <c r="AO117" s="5"/>
      <c r="AP117" s="5"/>
      <c r="AQ117" s="5"/>
      <c r="AR117" s="5"/>
      <c r="AS117" s="5"/>
      <c r="AT117" s="5"/>
      <c r="AU117" s="6" t="s">
        <v>927</v>
      </c>
      <c r="AV117" s="6" t="s">
        <v>1322</v>
      </c>
      <c r="AW117" s="6" t="s">
        <v>1322</v>
      </c>
      <c r="AX117" s="6" t="s">
        <v>929</v>
      </c>
      <c r="AY117" s="6" t="s">
        <v>930</v>
      </c>
      <c r="AZ117" s="6"/>
      <c r="BA117" s="6"/>
      <c r="BB117" s="6"/>
      <c r="BC117" s="6" t="s">
        <v>97</v>
      </c>
      <c r="BD117" s="6" t="s">
        <v>97</v>
      </c>
    </row>
    <row r="118" spans="1:56" ht="32" customHeight="1" x14ac:dyDescent="0.35">
      <c r="A118" s="13" t="s">
        <v>1698</v>
      </c>
      <c r="B118" s="6" t="s">
        <v>910</v>
      </c>
      <c r="C118" s="5" t="s">
        <v>1322</v>
      </c>
      <c r="D118" s="5" t="s">
        <v>831</v>
      </c>
      <c r="E118" s="5" t="s">
        <v>1699</v>
      </c>
      <c r="F118" s="5" t="s">
        <v>1322</v>
      </c>
      <c r="G118" s="5" t="s">
        <v>459</v>
      </c>
      <c r="H118" s="5" t="s">
        <v>1700</v>
      </c>
      <c r="I118" s="5" t="s">
        <v>1701</v>
      </c>
      <c r="J118" s="17" t="s">
        <v>121</v>
      </c>
      <c r="K118" s="17" t="s">
        <v>181</v>
      </c>
      <c r="L118" s="5" t="s">
        <v>1702</v>
      </c>
      <c r="M118" s="6" t="s">
        <v>197</v>
      </c>
      <c r="N118" s="6" t="s">
        <v>809</v>
      </c>
      <c r="O118" s="6" t="s">
        <v>121</v>
      </c>
      <c r="P118" s="5" t="s">
        <v>918</v>
      </c>
      <c r="Q118" s="17" t="s">
        <v>182</v>
      </c>
      <c r="R118" s="5"/>
      <c r="S118" s="6" t="s">
        <v>964</v>
      </c>
      <c r="T118" s="5" t="s">
        <v>965</v>
      </c>
      <c r="U118" s="6"/>
      <c r="V118" s="6" t="s">
        <v>966</v>
      </c>
      <c r="W118" s="6" t="s">
        <v>333</v>
      </c>
      <c r="X118" s="5" t="s">
        <v>922</v>
      </c>
      <c r="Y118" s="5" t="s">
        <v>658</v>
      </c>
      <c r="Z118" s="5" t="str">
        <f t="shared" si="2"/>
        <v>Medium</v>
      </c>
      <c r="AA118" s="5" t="s">
        <v>956</v>
      </c>
      <c r="AB118" s="6" t="s">
        <v>924</v>
      </c>
      <c r="AC118" s="6" t="s">
        <v>103</v>
      </c>
      <c r="AD118" s="5" t="s">
        <v>925</v>
      </c>
      <c r="AE118" s="5" t="s">
        <v>354</v>
      </c>
      <c r="AF118" s="5" t="s">
        <v>354</v>
      </c>
      <c r="AG118" s="5" t="s">
        <v>354</v>
      </c>
      <c r="AH118" s="5" t="s">
        <v>354</v>
      </c>
      <c r="AI118" s="6" t="str">
        <f t="shared" si="3"/>
        <v>No</v>
      </c>
      <c r="AJ118" s="6" t="s">
        <v>926</v>
      </c>
      <c r="AK118" s="6" t="s">
        <v>121</v>
      </c>
      <c r="AL118" s="6">
        <f>MATCH(AA118,{"Low","Medium","High"},0)*MATCH(AB118,{"Low","Medium","High"},0)*INDEX({3,2,2,1,1},MATCH(X118,{"Core","Vertical extension","Differentiator","Future","Adjacent"},0))</f>
        <v>6</v>
      </c>
      <c r="AM118" s="5"/>
      <c r="AN118" s="5"/>
      <c r="AO118" s="5"/>
      <c r="AP118" s="5"/>
      <c r="AQ118" s="5"/>
      <c r="AR118" s="5"/>
      <c r="AS118" s="5"/>
      <c r="AT118" s="5"/>
      <c r="AU118" s="6" t="s">
        <v>927</v>
      </c>
      <c r="AV118" s="6" t="s">
        <v>1322</v>
      </c>
      <c r="AW118" s="6" t="s">
        <v>1322</v>
      </c>
      <c r="AX118" s="6" t="s">
        <v>929</v>
      </c>
      <c r="AY118" s="6" t="s">
        <v>930</v>
      </c>
      <c r="AZ118" s="6"/>
      <c r="BA118" s="6"/>
      <c r="BB118" s="6"/>
      <c r="BC118" s="6" t="s">
        <v>97</v>
      </c>
      <c r="BD118" s="6" t="s">
        <v>97</v>
      </c>
    </row>
    <row r="119" spans="1:56" ht="32" customHeight="1" x14ac:dyDescent="0.35">
      <c r="A119" s="13" t="s">
        <v>1703</v>
      </c>
      <c r="B119" s="6" t="s">
        <v>910</v>
      </c>
      <c r="C119" s="5" t="s">
        <v>1322</v>
      </c>
      <c r="D119" s="5" t="s">
        <v>834</v>
      </c>
      <c r="E119" s="5" t="s">
        <v>1704</v>
      </c>
      <c r="F119" s="5" t="s">
        <v>1322</v>
      </c>
      <c r="G119" s="5" t="s">
        <v>1419</v>
      </c>
      <c r="H119" s="5" t="s">
        <v>1705</v>
      </c>
      <c r="I119" s="5" t="s">
        <v>1706</v>
      </c>
      <c r="J119" s="16" t="s">
        <v>73</v>
      </c>
      <c r="K119" s="17" t="s">
        <v>181</v>
      </c>
      <c r="L119" s="5" t="s">
        <v>1707</v>
      </c>
      <c r="M119" s="6" t="s">
        <v>197</v>
      </c>
      <c r="N119" s="6" t="s">
        <v>809</v>
      </c>
      <c r="O119" s="6" t="s">
        <v>73</v>
      </c>
      <c r="P119" s="5" t="s">
        <v>918</v>
      </c>
      <c r="Q119" s="18" t="s">
        <v>186</v>
      </c>
      <c r="R119" s="5" t="s">
        <v>1021</v>
      </c>
      <c r="S119" s="6" t="s">
        <v>1000</v>
      </c>
      <c r="T119" s="5" t="s">
        <v>1001</v>
      </c>
      <c r="U119" s="6"/>
      <c r="V119" s="6" t="s">
        <v>1002</v>
      </c>
      <c r="W119" s="6" t="s">
        <v>333</v>
      </c>
      <c r="X119" s="5" t="s">
        <v>922</v>
      </c>
      <c r="Y119" s="5" t="s">
        <v>658</v>
      </c>
      <c r="Z119" s="5" t="str">
        <f t="shared" si="2"/>
        <v>Critical</v>
      </c>
      <c r="AA119" s="5" t="s">
        <v>923</v>
      </c>
      <c r="AB119" s="6" t="s">
        <v>956</v>
      </c>
      <c r="AC119" s="6" t="s">
        <v>78</v>
      </c>
      <c r="AD119" s="5" t="s">
        <v>940</v>
      </c>
      <c r="AE119" s="5" t="s">
        <v>354</v>
      </c>
      <c r="AF119" s="5" t="s">
        <v>354</v>
      </c>
      <c r="AG119" s="5" t="s">
        <v>354</v>
      </c>
      <c r="AH119" s="5" t="s">
        <v>354</v>
      </c>
      <c r="AI119" s="6" t="str">
        <f t="shared" si="3"/>
        <v>No</v>
      </c>
      <c r="AJ119" s="6" t="s">
        <v>941</v>
      </c>
      <c r="AK119" s="6" t="s">
        <v>73</v>
      </c>
      <c r="AL119" s="6">
        <f>MATCH(AA119,{"Low","Medium","High"},0)*MATCH(AB119,{"Low","Medium","High"},0)*INDEX({3,2,2,1,1},MATCH(X119,{"Core","Vertical extension","Differentiator","Future","Adjacent"},0))</f>
        <v>18</v>
      </c>
      <c r="AM119" s="5"/>
      <c r="AN119" s="5"/>
      <c r="AO119" s="5"/>
      <c r="AP119" s="5"/>
      <c r="AQ119" s="5"/>
      <c r="AR119" s="5"/>
      <c r="AS119" s="5"/>
      <c r="AT119" s="5"/>
      <c r="AU119" s="6" t="s">
        <v>927</v>
      </c>
      <c r="AV119" s="6" t="s">
        <v>1322</v>
      </c>
      <c r="AW119" s="6" t="s">
        <v>1322</v>
      </c>
      <c r="AX119" s="6" t="s">
        <v>929</v>
      </c>
      <c r="AY119" s="6" t="s">
        <v>930</v>
      </c>
      <c r="AZ119" s="6"/>
      <c r="BA119" s="6"/>
      <c r="BB119" s="6"/>
      <c r="BC119" s="6" t="s">
        <v>97</v>
      </c>
      <c r="BD119" s="6" t="s">
        <v>97</v>
      </c>
    </row>
    <row r="120" spans="1:56" ht="32" customHeight="1" x14ac:dyDescent="0.35">
      <c r="A120" s="13" t="s">
        <v>1708</v>
      </c>
      <c r="B120" s="6" t="s">
        <v>910</v>
      </c>
      <c r="C120" s="5" t="s">
        <v>1322</v>
      </c>
      <c r="D120" s="5" t="s">
        <v>834</v>
      </c>
      <c r="E120" s="5" t="s">
        <v>1709</v>
      </c>
      <c r="F120" s="5" t="s">
        <v>1322</v>
      </c>
      <c r="G120" s="5" t="s">
        <v>1710</v>
      </c>
      <c r="H120" s="5" t="s">
        <v>1711</v>
      </c>
      <c r="I120" s="5" t="s">
        <v>1712</v>
      </c>
      <c r="J120" s="16" t="s">
        <v>73</v>
      </c>
      <c r="K120" s="17" t="s">
        <v>181</v>
      </c>
      <c r="L120" s="5" t="s">
        <v>1713</v>
      </c>
      <c r="M120" s="6" t="s">
        <v>197</v>
      </c>
      <c r="N120" s="6" t="s">
        <v>809</v>
      </c>
      <c r="O120" s="6" t="s">
        <v>73</v>
      </c>
      <c r="P120" s="5" t="s">
        <v>918</v>
      </c>
      <c r="Q120" s="17" t="s">
        <v>182</v>
      </c>
      <c r="R120" s="5"/>
      <c r="S120" s="6" t="s">
        <v>1000</v>
      </c>
      <c r="T120" s="5" t="s">
        <v>1001</v>
      </c>
      <c r="U120" s="6"/>
      <c r="V120" s="6" t="s">
        <v>1002</v>
      </c>
      <c r="W120" s="6" t="s">
        <v>333</v>
      </c>
      <c r="X120" s="5" t="s">
        <v>922</v>
      </c>
      <c r="Y120" s="5" t="s">
        <v>658</v>
      </c>
      <c r="Z120" s="5" t="str">
        <f t="shared" si="2"/>
        <v>Critical</v>
      </c>
      <c r="AA120" s="5" t="s">
        <v>923</v>
      </c>
      <c r="AB120" s="6" t="s">
        <v>956</v>
      </c>
      <c r="AC120" s="6" t="s">
        <v>78</v>
      </c>
      <c r="AD120" s="5" t="s">
        <v>925</v>
      </c>
      <c r="AE120" s="5" t="s">
        <v>354</v>
      </c>
      <c r="AF120" s="5" t="s">
        <v>354</v>
      </c>
      <c r="AG120" s="5" t="s">
        <v>354</v>
      </c>
      <c r="AH120" s="5" t="s">
        <v>354</v>
      </c>
      <c r="AI120" s="6" t="str">
        <f t="shared" si="3"/>
        <v>No</v>
      </c>
      <c r="AJ120" s="6" t="s">
        <v>926</v>
      </c>
      <c r="AK120" s="6" t="s">
        <v>73</v>
      </c>
      <c r="AL120" s="6">
        <f>MATCH(AA120,{"Low","Medium","High"},0)*MATCH(AB120,{"Low","Medium","High"},0)*INDEX({3,2,2,1,1},MATCH(X120,{"Core","Vertical extension","Differentiator","Future","Adjacent"},0))</f>
        <v>18</v>
      </c>
      <c r="AM120" s="5"/>
      <c r="AN120" s="5"/>
      <c r="AO120" s="5"/>
      <c r="AP120" s="5"/>
      <c r="AQ120" s="5"/>
      <c r="AR120" s="5"/>
      <c r="AS120" s="5"/>
      <c r="AT120" s="5"/>
      <c r="AU120" s="6" t="s">
        <v>927</v>
      </c>
      <c r="AV120" s="6" t="s">
        <v>1322</v>
      </c>
      <c r="AW120" s="6" t="s">
        <v>1322</v>
      </c>
      <c r="AX120" s="6" t="s">
        <v>929</v>
      </c>
      <c r="AY120" s="6" t="s">
        <v>930</v>
      </c>
      <c r="AZ120" s="6"/>
      <c r="BA120" s="6"/>
      <c r="BB120" s="6"/>
      <c r="BC120" s="6" t="s">
        <v>97</v>
      </c>
      <c r="BD120" s="6" t="s">
        <v>97</v>
      </c>
    </row>
    <row r="121" spans="1:56" ht="32" customHeight="1" x14ac:dyDescent="0.35">
      <c r="A121" s="13" t="s">
        <v>1714</v>
      </c>
      <c r="B121" s="6" t="s">
        <v>910</v>
      </c>
      <c r="C121" s="5" t="s">
        <v>1322</v>
      </c>
      <c r="D121" s="5" t="s">
        <v>829</v>
      </c>
      <c r="E121" s="5" t="s">
        <v>1715</v>
      </c>
      <c r="F121" s="5" t="s">
        <v>1322</v>
      </c>
      <c r="G121" s="5" t="s">
        <v>1344</v>
      </c>
      <c r="H121" s="5" t="s">
        <v>1716</v>
      </c>
      <c r="I121" s="5" t="s">
        <v>1717</v>
      </c>
      <c r="J121" s="17" t="s">
        <v>121</v>
      </c>
      <c r="K121" s="17" t="s">
        <v>181</v>
      </c>
      <c r="L121" s="5" t="s">
        <v>1718</v>
      </c>
      <c r="M121" s="6" t="s">
        <v>197</v>
      </c>
      <c r="N121" s="6" t="s">
        <v>809</v>
      </c>
      <c r="O121" s="6" t="s">
        <v>121</v>
      </c>
      <c r="P121" s="5" t="s">
        <v>918</v>
      </c>
      <c r="Q121" s="17" t="s">
        <v>182</v>
      </c>
      <c r="R121" s="5"/>
      <c r="S121" s="6" t="s">
        <v>980</v>
      </c>
      <c r="T121" s="5" t="s">
        <v>981</v>
      </c>
      <c r="U121" s="6"/>
      <c r="V121" s="6" t="s">
        <v>982</v>
      </c>
      <c r="W121" s="6" t="s">
        <v>331</v>
      </c>
      <c r="X121" s="5" t="s">
        <v>922</v>
      </c>
      <c r="Y121" s="5" t="s">
        <v>658</v>
      </c>
      <c r="Z121" s="5" t="str">
        <f t="shared" si="2"/>
        <v>High</v>
      </c>
      <c r="AA121" s="5" t="s">
        <v>923</v>
      </c>
      <c r="AB121" s="6" t="s">
        <v>924</v>
      </c>
      <c r="AC121" s="6" t="s">
        <v>103</v>
      </c>
      <c r="AD121" s="5" t="s">
        <v>925</v>
      </c>
      <c r="AE121" s="5" t="s">
        <v>354</v>
      </c>
      <c r="AF121" s="5" t="s">
        <v>354</v>
      </c>
      <c r="AG121" s="5" t="s">
        <v>354</v>
      </c>
      <c r="AH121" s="5" t="s">
        <v>354</v>
      </c>
      <c r="AI121" s="6" t="str">
        <f t="shared" si="3"/>
        <v>No</v>
      </c>
      <c r="AJ121" s="6" t="s">
        <v>926</v>
      </c>
      <c r="AK121" s="6" t="s">
        <v>121</v>
      </c>
      <c r="AL121" s="6">
        <f>MATCH(AA121,{"Low","Medium","High"},0)*MATCH(AB121,{"Low","Medium","High"},0)*INDEX({3,2,2,1,1},MATCH(X121,{"Core","Vertical extension","Differentiator","Future","Adjacent"},0))</f>
        <v>9</v>
      </c>
      <c r="AM121" s="5"/>
      <c r="AN121" s="5"/>
      <c r="AO121" s="5"/>
      <c r="AP121" s="5"/>
      <c r="AQ121" s="5"/>
      <c r="AR121" s="5"/>
      <c r="AS121" s="5"/>
      <c r="AT121" s="5"/>
      <c r="AU121" s="6" t="s">
        <v>927</v>
      </c>
      <c r="AV121" s="6" t="s">
        <v>1322</v>
      </c>
      <c r="AW121" s="6" t="s">
        <v>1322</v>
      </c>
      <c r="AX121" s="6" t="s">
        <v>929</v>
      </c>
      <c r="AY121" s="6" t="s">
        <v>930</v>
      </c>
      <c r="AZ121" s="6"/>
      <c r="BA121" s="6"/>
      <c r="BB121" s="6"/>
      <c r="BC121" s="6" t="s">
        <v>97</v>
      </c>
      <c r="BD121" s="6" t="s">
        <v>97</v>
      </c>
    </row>
    <row r="122" spans="1:56" ht="32" customHeight="1" x14ac:dyDescent="0.35">
      <c r="A122" s="13" t="s">
        <v>1719</v>
      </c>
      <c r="B122" s="6" t="s">
        <v>910</v>
      </c>
      <c r="C122" s="5" t="s">
        <v>1322</v>
      </c>
      <c r="D122" s="5" t="s">
        <v>831</v>
      </c>
      <c r="E122" s="5" t="s">
        <v>1720</v>
      </c>
      <c r="F122" s="5" t="s">
        <v>1322</v>
      </c>
      <c r="G122" s="5" t="s">
        <v>1419</v>
      </c>
      <c r="H122" s="5" t="s">
        <v>1721</v>
      </c>
      <c r="I122" s="5" t="s">
        <v>1722</v>
      </c>
      <c r="J122" s="19" t="s">
        <v>151</v>
      </c>
      <c r="K122" s="17" t="s">
        <v>181</v>
      </c>
      <c r="L122" s="5" t="s">
        <v>1723</v>
      </c>
      <c r="M122" s="6" t="s">
        <v>197</v>
      </c>
      <c r="N122" s="6" t="s">
        <v>809</v>
      </c>
      <c r="O122" s="6" t="s">
        <v>151</v>
      </c>
      <c r="P122" s="5" t="s">
        <v>1115</v>
      </c>
      <c r="Q122" s="17" t="s">
        <v>182</v>
      </c>
      <c r="R122" s="5" t="s">
        <v>1115</v>
      </c>
      <c r="S122" s="6" t="s">
        <v>964</v>
      </c>
      <c r="T122" s="5" t="s">
        <v>965</v>
      </c>
      <c r="U122" s="6"/>
      <c r="V122" s="6" t="s">
        <v>966</v>
      </c>
      <c r="W122" s="6" t="s">
        <v>333</v>
      </c>
      <c r="X122" s="5" t="s">
        <v>922</v>
      </c>
      <c r="Y122" s="5" t="s">
        <v>658</v>
      </c>
      <c r="Z122" s="5" t="str">
        <f t="shared" si="2"/>
        <v>Medium</v>
      </c>
      <c r="AA122" s="5" t="s">
        <v>956</v>
      </c>
      <c r="AB122" s="6" t="s">
        <v>924</v>
      </c>
      <c r="AC122" s="6" t="s">
        <v>11</v>
      </c>
      <c r="AD122" s="5" t="s">
        <v>925</v>
      </c>
      <c r="AE122" s="5" t="s">
        <v>354</v>
      </c>
      <c r="AF122" s="5" t="s">
        <v>354</v>
      </c>
      <c r="AG122" s="5" t="s">
        <v>354</v>
      </c>
      <c r="AH122" s="5" t="s">
        <v>354</v>
      </c>
      <c r="AI122" s="6" t="str">
        <f t="shared" si="3"/>
        <v>No</v>
      </c>
      <c r="AJ122" s="6" t="s">
        <v>926</v>
      </c>
      <c r="AK122" s="6" t="s">
        <v>151</v>
      </c>
      <c r="AL122" s="6">
        <f>MATCH(AA122,{"Low","Medium","High"},0)*MATCH(AB122,{"Low","Medium","High"},0)*INDEX({3,2,2,1,1},MATCH(X122,{"Core","Vertical extension","Differentiator","Future","Adjacent"},0))</f>
        <v>6</v>
      </c>
      <c r="AM122" s="5"/>
      <c r="AN122" s="5"/>
      <c r="AO122" s="5"/>
      <c r="AP122" s="5"/>
      <c r="AQ122" s="5"/>
      <c r="AR122" s="5"/>
      <c r="AS122" s="5"/>
      <c r="AT122" s="5"/>
      <c r="AU122" s="6" t="s">
        <v>927</v>
      </c>
      <c r="AV122" s="6" t="s">
        <v>1322</v>
      </c>
      <c r="AW122" s="6" t="s">
        <v>1322</v>
      </c>
      <c r="AX122" s="6" t="s">
        <v>1003</v>
      </c>
      <c r="AY122" s="6" t="s">
        <v>930</v>
      </c>
      <c r="AZ122" s="6"/>
      <c r="BA122" s="6"/>
      <c r="BB122" s="6"/>
      <c r="BC122" s="6" t="s">
        <v>97</v>
      </c>
      <c r="BD122" s="6" t="s">
        <v>97</v>
      </c>
    </row>
    <row r="123" spans="1:56" ht="32" customHeight="1" x14ac:dyDescent="0.35">
      <c r="A123" s="13" t="s">
        <v>1724</v>
      </c>
      <c r="B123" s="6" t="s">
        <v>910</v>
      </c>
      <c r="C123" s="5" t="s">
        <v>1322</v>
      </c>
      <c r="D123" s="5" t="s">
        <v>831</v>
      </c>
      <c r="E123" s="5" t="s">
        <v>1725</v>
      </c>
      <c r="F123" s="5" t="s">
        <v>1322</v>
      </c>
      <c r="G123" s="5" t="s">
        <v>1344</v>
      </c>
      <c r="H123" s="5" t="s">
        <v>1726</v>
      </c>
      <c r="I123" s="5" t="s">
        <v>1727</v>
      </c>
      <c r="J123" s="19" t="s">
        <v>151</v>
      </c>
      <c r="K123" s="17" t="s">
        <v>181</v>
      </c>
      <c r="L123" s="5" t="s">
        <v>1728</v>
      </c>
      <c r="M123" s="6" t="s">
        <v>197</v>
      </c>
      <c r="N123" s="6" t="s">
        <v>809</v>
      </c>
      <c r="O123" s="6" t="s">
        <v>151</v>
      </c>
      <c r="P123" s="5" t="s">
        <v>1115</v>
      </c>
      <c r="Q123" s="17" t="s">
        <v>182</v>
      </c>
      <c r="R123" s="5" t="s">
        <v>1115</v>
      </c>
      <c r="S123" s="6" t="s">
        <v>964</v>
      </c>
      <c r="T123" s="5" t="s">
        <v>965</v>
      </c>
      <c r="U123" s="6"/>
      <c r="V123" s="6" t="s">
        <v>966</v>
      </c>
      <c r="W123" s="6" t="s">
        <v>333</v>
      </c>
      <c r="X123" s="5" t="s">
        <v>922</v>
      </c>
      <c r="Y123" s="5" t="s">
        <v>658</v>
      </c>
      <c r="Z123" s="5" t="str">
        <f t="shared" si="2"/>
        <v>Medium</v>
      </c>
      <c r="AA123" s="5" t="s">
        <v>956</v>
      </c>
      <c r="AB123" s="6" t="s">
        <v>924</v>
      </c>
      <c r="AC123" s="6" t="s">
        <v>11</v>
      </c>
      <c r="AD123" s="5" t="s">
        <v>925</v>
      </c>
      <c r="AE123" s="5" t="s">
        <v>354</v>
      </c>
      <c r="AF123" s="5" t="s">
        <v>354</v>
      </c>
      <c r="AG123" s="5" t="s">
        <v>354</v>
      </c>
      <c r="AH123" s="5" t="s">
        <v>354</v>
      </c>
      <c r="AI123" s="6" t="str">
        <f t="shared" si="3"/>
        <v>No</v>
      </c>
      <c r="AJ123" s="6" t="s">
        <v>926</v>
      </c>
      <c r="AK123" s="6" t="s">
        <v>151</v>
      </c>
      <c r="AL123" s="6">
        <f>MATCH(AA123,{"Low","Medium","High"},0)*MATCH(AB123,{"Low","Medium","High"},0)*INDEX({3,2,2,1,1},MATCH(X123,{"Core","Vertical extension","Differentiator","Future","Adjacent"},0))</f>
        <v>6</v>
      </c>
      <c r="AM123" s="5"/>
      <c r="AN123" s="5"/>
      <c r="AO123" s="5"/>
      <c r="AP123" s="5"/>
      <c r="AQ123" s="5"/>
      <c r="AR123" s="5"/>
      <c r="AS123" s="5"/>
      <c r="AT123" s="5"/>
      <c r="AU123" s="6" t="s">
        <v>927</v>
      </c>
      <c r="AV123" s="6" t="s">
        <v>1322</v>
      </c>
      <c r="AW123" s="6" t="s">
        <v>1322</v>
      </c>
      <c r="AX123" s="6" t="s">
        <v>1003</v>
      </c>
      <c r="AY123" s="6" t="s">
        <v>930</v>
      </c>
      <c r="AZ123" s="6"/>
      <c r="BA123" s="6"/>
      <c r="BB123" s="6"/>
      <c r="BC123" s="6" t="s">
        <v>97</v>
      </c>
      <c r="BD123" s="6" t="s">
        <v>97</v>
      </c>
    </row>
    <row r="124" spans="1:56" ht="32" customHeight="1" x14ac:dyDescent="0.35">
      <c r="A124" s="13" t="s">
        <v>1729</v>
      </c>
      <c r="B124" s="6" t="s">
        <v>910</v>
      </c>
      <c r="C124" s="5" t="s">
        <v>1322</v>
      </c>
      <c r="D124" s="5" t="s">
        <v>831</v>
      </c>
      <c r="E124" s="5" t="s">
        <v>1730</v>
      </c>
      <c r="F124" s="5" t="s">
        <v>1322</v>
      </c>
      <c r="G124" s="5" t="s">
        <v>459</v>
      </c>
      <c r="H124" s="5" t="s">
        <v>1731</v>
      </c>
      <c r="I124" s="5" t="s">
        <v>1732</v>
      </c>
      <c r="J124" s="19" t="s">
        <v>151</v>
      </c>
      <c r="K124" s="17" t="s">
        <v>181</v>
      </c>
      <c r="L124" s="5" t="s">
        <v>1733</v>
      </c>
      <c r="M124" s="6" t="s">
        <v>197</v>
      </c>
      <c r="N124" s="6" t="s">
        <v>809</v>
      </c>
      <c r="O124" s="6" t="s">
        <v>151</v>
      </c>
      <c r="P124" s="5" t="s">
        <v>1115</v>
      </c>
      <c r="Q124" s="17" t="s">
        <v>182</v>
      </c>
      <c r="R124" s="5" t="s">
        <v>1115</v>
      </c>
      <c r="S124" s="6" t="s">
        <v>964</v>
      </c>
      <c r="T124" s="5" t="s">
        <v>965</v>
      </c>
      <c r="U124" s="6"/>
      <c r="V124" s="6" t="s">
        <v>966</v>
      </c>
      <c r="W124" s="6" t="s">
        <v>333</v>
      </c>
      <c r="X124" s="5" t="s">
        <v>922</v>
      </c>
      <c r="Y124" s="5" t="s">
        <v>658</v>
      </c>
      <c r="Z124" s="5" t="str">
        <f t="shared" si="2"/>
        <v>Medium</v>
      </c>
      <c r="AA124" s="5" t="s">
        <v>956</v>
      </c>
      <c r="AB124" s="6" t="s">
        <v>924</v>
      </c>
      <c r="AC124" s="6" t="s">
        <v>11</v>
      </c>
      <c r="AD124" s="5" t="s">
        <v>925</v>
      </c>
      <c r="AE124" s="5" t="s">
        <v>354</v>
      </c>
      <c r="AF124" s="5" t="s">
        <v>354</v>
      </c>
      <c r="AG124" s="5" t="s">
        <v>354</v>
      </c>
      <c r="AH124" s="5" t="s">
        <v>354</v>
      </c>
      <c r="AI124" s="6" t="str">
        <f t="shared" si="3"/>
        <v>No</v>
      </c>
      <c r="AJ124" s="6" t="s">
        <v>926</v>
      </c>
      <c r="AK124" s="6" t="s">
        <v>151</v>
      </c>
      <c r="AL124" s="6">
        <f>MATCH(AA124,{"Low","Medium","High"},0)*MATCH(AB124,{"Low","Medium","High"},0)*INDEX({3,2,2,1,1},MATCH(X124,{"Core","Vertical extension","Differentiator","Future","Adjacent"},0))</f>
        <v>6</v>
      </c>
      <c r="AM124" s="5"/>
      <c r="AN124" s="5"/>
      <c r="AO124" s="5"/>
      <c r="AP124" s="5"/>
      <c r="AQ124" s="5"/>
      <c r="AR124" s="5"/>
      <c r="AS124" s="5"/>
      <c r="AT124" s="5"/>
      <c r="AU124" s="6" t="s">
        <v>927</v>
      </c>
      <c r="AV124" s="6" t="s">
        <v>1322</v>
      </c>
      <c r="AW124" s="6" t="s">
        <v>1322</v>
      </c>
      <c r="AX124" s="6" t="s">
        <v>1003</v>
      </c>
      <c r="AY124" s="6" t="s">
        <v>930</v>
      </c>
      <c r="AZ124" s="6"/>
      <c r="BA124" s="6"/>
      <c r="BB124" s="6"/>
      <c r="BC124" s="6" t="s">
        <v>97</v>
      </c>
      <c r="BD124" s="6" t="s">
        <v>97</v>
      </c>
    </row>
    <row r="125" spans="1:56" ht="32" customHeight="1" x14ac:dyDescent="0.35">
      <c r="A125" s="13" t="s">
        <v>1734</v>
      </c>
      <c r="B125" s="6" t="s">
        <v>910</v>
      </c>
      <c r="C125" s="5" t="s">
        <v>1322</v>
      </c>
      <c r="D125" s="5" t="s">
        <v>825</v>
      </c>
      <c r="E125" s="5" t="s">
        <v>1735</v>
      </c>
      <c r="F125" s="5" t="s">
        <v>1322</v>
      </c>
      <c r="G125" s="5" t="s">
        <v>459</v>
      </c>
      <c r="H125" s="5" t="s">
        <v>1736</v>
      </c>
      <c r="I125" s="5" t="s">
        <v>1737</v>
      </c>
      <c r="J125" s="17" t="s">
        <v>121</v>
      </c>
      <c r="K125" s="17" t="s">
        <v>181</v>
      </c>
      <c r="L125" s="5" t="s">
        <v>1738</v>
      </c>
      <c r="M125" s="6" t="s">
        <v>197</v>
      </c>
      <c r="N125" s="6" t="s">
        <v>809</v>
      </c>
      <c r="O125" s="6" t="s">
        <v>121</v>
      </c>
      <c r="P125" s="5" t="s">
        <v>918</v>
      </c>
      <c r="Q125" s="17" t="s">
        <v>182</v>
      </c>
      <c r="R125" s="5"/>
      <c r="S125" s="6" t="s">
        <v>1053</v>
      </c>
      <c r="T125" s="5" t="s">
        <v>1054</v>
      </c>
      <c r="U125" s="6"/>
      <c r="V125" s="6" t="s">
        <v>1055</v>
      </c>
      <c r="W125" s="6" t="s">
        <v>333</v>
      </c>
      <c r="X125" s="5" t="s">
        <v>922</v>
      </c>
      <c r="Y125" s="5" t="s">
        <v>658</v>
      </c>
      <c r="Z125" s="5" t="str">
        <f t="shared" si="2"/>
        <v>Critical</v>
      </c>
      <c r="AA125" s="5" t="s">
        <v>923</v>
      </c>
      <c r="AB125" s="6" t="s">
        <v>923</v>
      </c>
      <c r="AC125" s="6" t="s">
        <v>103</v>
      </c>
      <c r="AD125" s="5" t="s">
        <v>925</v>
      </c>
      <c r="AE125" s="5" t="s">
        <v>354</v>
      </c>
      <c r="AF125" s="5" t="s">
        <v>354</v>
      </c>
      <c r="AG125" s="5" t="s">
        <v>354</v>
      </c>
      <c r="AH125" s="5" t="s">
        <v>354</v>
      </c>
      <c r="AI125" s="6" t="str">
        <f t="shared" si="3"/>
        <v>No</v>
      </c>
      <c r="AJ125" s="6" t="s">
        <v>926</v>
      </c>
      <c r="AK125" s="6" t="s">
        <v>121</v>
      </c>
      <c r="AL125" s="6">
        <f>MATCH(AA125,{"Low","Medium","High"},0)*MATCH(AB125,{"Low","Medium","High"},0)*INDEX({3,2,2,1,1},MATCH(X125,{"Core","Vertical extension","Differentiator","Future","Adjacent"},0))</f>
        <v>27</v>
      </c>
      <c r="AM125" s="5"/>
      <c r="AN125" s="5"/>
      <c r="AO125" s="5"/>
      <c r="AP125" s="5"/>
      <c r="AQ125" s="5"/>
      <c r="AR125" s="5"/>
      <c r="AS125" s="5"/>
      <c r="AT125" s="5"/>
      <c r="AU125" s="6" t="s">
        <v>927</v>
      </c>
      <c r="AV125" s="6" t="s">
        <v>1322</v>
      </c>
      <c r="AW125" s="6" t="s">
        <v>1322</v>
      </c>
      <c r="AX125" s="6" t="s">
        <v>929</v>
      </c>
      <c r="AY125" s="6" t="s">
        <v>930</v>
      </c>
      <c r="AZ125" s="6"/>
      <c r="BA125" s="6"/>
      <c r="BB125" s="6"/>
      <c r="BC125" s="6" t="s">
        <v>97</v>
      </c>
      <c r="BD125" s="6" t="s">
        <v>97</v>
      </c>
    </row>
    <row r="126" spans="1:56" ht="32" customHeight="1" x14ac:dyDescent="0.35">
      <c r="A126" s="13" t="s">
        <v>1739</v>
      </c>
      <c r="B126" s="6" t="s">
        <v>910</v>
      </c>
      <c r="C126" s="5" t="s">
        <v>1322</v>
      </c>
      <c r="D126" s="5" t="s">
        <v>837</v>
      </c>
      <c r="E126" s="5" t="s">
        <v>1740</v>
      </c>
      <c r="F126" s="5" t="s">
        <v>1322</v>
      </c>
      <c r="G126" s="5" t="s">
        <v>459</v>
      </c>
      <c r="H126" s="5" t="s">
        <v>1741</v>
      </c>
      <c r="I126" s="5" t="s">
        <v>1742</v>
      </c>
      <c r="J126" s="17" t="s">
        <v>121</v>
      </c>
      <c r="K126" s="17" t="s">
        <v>181</v>
      </c>
      <c r="L126" s="5" t="s">
        <v>1743</v>
      </c>
      <c r="M126" s="6" t="s">
        <v>197</v>
      </c>
      <c r="N126" s="6" t="s">
        <v>809</v>
      </c>
      <c r="O126" s="6" t="s">
        <v>121</v>
      </c>
      <c r="P126" s="5" t="s">
        <v>918</v>
      </c>
      <c r="Q126" s="18" t="s">
        <v>186</v>
      </c>
      <c r="R126" s="5" t="s">
        <v>1744</v>
      </c>
      <c r="S126" s="6" t="s">
        <v>937</v>
      </c>
      <c r="T126" s="5" t="s">
        <v>938</v>
      </c>
      <c r="U126" s="6"/>
      <c r="V126" s="6" t="s">
        <v>939</v>
      </c>
      <c r="W126" s="6" t="s">
        <v>331</v>
      </c>
      <c r="X126" s="5" t="s">
        <v>922</v>
      </c>
      <c r="Y126" s="5" t="s">
        <v>658</v>
      </c>
      <c r="Z126" s="5" t="str">
        <f t="shared" si="2"/>
        <v>High</v>
      </c>
      <c r="AA126" s="5" t="s">
        <v>923</v>
      </c>
      <c r="AB126" s="6" t="s">
        <v>924</v>
      </c>
      <c r="AC126" s="6" t="s">
        <v>103</v>
      </c>
      <c r="AD126" s="5" t="s">
        <v>940</v>
      </c>
      <c r="AE126" s="5" t="s">
        <v>354</v>
      </c>
      <c r="AF126" s="5" t="s">
        <v>354</v>
      </c>
      <c r="AG126" s="5" t="s">
        <v>354</v>
      </c>
      <c r="AH126" s="5" t="s">
        <v>354</v>
      </c>
      <c r="AI126" s="6" t="str">
        <f t="shared" si="3"/>
        <v>No</v>
      </c>
      <c r="AJ126" s="6" t="s">
        <v>941</v>
      </c>
      <c r="AK126" s="6" t="s">
        <v>121</v>
      </c>
      <c r="AL126" s="6">
        <f>MATCH(AA126,{"Low","Medium","High"},0)*MATCH(AB126,{"Low","Medium","High"},0)*INDEX({3,2,2,1,1},MATCH(X126,{"Core","Vertical extension","Differentiator","Future","Adjacent"},0))</f>
        <v>9</v>
      </c>
      <c r="AM126" s="5"/>
      <c r="AN126" s="5"/>
      <c r="AO126" s="5"/>
      <c r="AP126" s="5"/>
      <c r="AQ126" s="5"/>
      <c r="AR126" s="5"/>
      <c r="AS126" s="5"/>
      <c r="AT126" s="5"/>
      <c r="AU126" s="6" t="s">
        <v>927</v>
      </c>
      <c r="AV126" s="6" t="s">
        <v>1322</v>
      </c>
      <c r="AW126" s="6" t="s">
        <v>1322</v>
      </c>
      <c r="AX126" s="6" t="s">
        <v>929</v>
      </c>
      <c r="AY126" s="6" t="s">
        <v>930</v>
      </c>
      <c r="AZ126" s="6"/>
      <c r="BA126" s="6" t="s">
        <v>1745</v>
      </c>
      <c r="BB126" s="6" t="s">
        <v>1746</v>
      </c>
      <c r="BC126" s="6" t="s">
        <v>97</v>
      </c>
      <c r="BD126" s="6" t="s">
        <v>97</v>
      </c>
    </row>
    <row r="127" spans="1:56" ht="32" customHeight="1" x14ac:dyDescent="0.35">
      <c r="A127" s="13" t="s">
        <v>1747</v>
      </c>
      <c r="B127" s="6" t="s">
        <v>910</v>
      </c>
      <c r="C127" s="5" t="s">
        <v>1322</v>
      </c>
      <c r="D127" s="5" t="s">
        <v>831</v>
      </c>
      <c r="E127" s="5" t="s">
        <v>1748</v>
      </c>
      <c r="F127" s="5" t="s">
        <v>1322</v>
      </c>
      <c r="G127" s="5" t="s">
        <v>1537</v>
      </c>
      <c r="H127" s="5" t="s">
        <v>1749</v>
      </c>
      <c r="I127" s="5" t="s">
        <v>1750</v>
      </c>
      <c r="J127" s="17" t="s">
        <v>121</v>
      </c>
      <c r="K127" s="17" t="s">
        <v>181</v>
      </c>
      <c r="L127" s="5" t="s">
        <v>1751</v>
      </c>
      <c r="M127" s="6" t="s">
        <v>197</v>
      </c>
      <c r="N127" s="6" t="s">
        <v>809</v>
      </c>
      <c r="O127" s="6" t="s">
        <v>121</v>
      </c>
      <c r="P127" s="5" t="s">
        <v>918</v>
      </c>
      <c r="Q127" s="17" t="s">
        <v>182</v>
      </c>
      <c r="R127" s="5"/>
      <c r="S127" s="6" t="s">
        <v>964</v>
      </c>
      <c r="T127" s="5" t="s">
        <v>965</v>
      </c>
      <c r="U127" s="6"/>
      <c r="V127" s="6" t="s">
        <v>966</v>
      </c>
      <c r="W127" s="6" t="s">
        <v>333</v>
      </c>
      <c r="X127" s="5" t="s">
        <v>922</v>
      </c>
      <c r="Y127" s="5" t="s">
        <v>658</v>
      </c>
      <c r="Z127" s="5" t="str">
        <f t="shared" si="2"/>
        <v>Medium</v>
      </c>
      <c r="AA127" s="5" t="s">
        <v>956</v>
      </c>
      <c r="AB127" s="6" t="s">
        <v>924</v>
      </c>
      <c r="AC127" s="6" t="s">
        <v>103</v>
      </c>
      <c r="AD127" s="5" t="s">
        <v>925</v>
      </c>
      <c r="AE127" s="5" t="s">
        <v>354</v>
      </c>
      <c r="AF127" s="5" t="s">
        <v>354</v>
      </c>
      <c r="AG127" s="5" t="s">
        <v>354</v>
      </c>
      <c r="AH127" s="5" t="s">
        <v>354</v>
      </c>
      <c r="AI127" s="6" t="str">
        <f t="shared" si="3"/>
        <v>No</v>
      </c>
      <c r="AJ127" s="6" t="s">
        <v>926</v>
      </c>
      <c r="AK127" s="6" t="s">
        <v>121</v>
      </c>
      <c r="AL127" s="6">
        <f>MATCH(AA127,{"Low","Medium","High"},0)*MATCH(AB127,{"Low","Medium","High"},0)*INDEX({3,2,2,1,1},MATCH(X127,{"Core","Vertical extension","Differentiator","Future","Adjacent"},0))</f>
        <v>6</v>
      </c>
      <c r="AM127" s="5"/>
      <c r="AN127" s="5"/>
      <c r="AO127" s="5"/>
      <c r="AP127" s="5"/>
      <c r="AQ127" s="5"/>
      <c r="AR127" s="5"/>
      <c r="AS127" s="5"/>
      <c r="AT127" s="5"/>
      <c r="AU127" s="6" t="s">
        <v>927</v>
      </c>
      <c r="AV127" s="6" t="s">
        <v>1322</v>
      </c>
      <c r="AW127" s="6" t="s">
        <v>1322</v>
      </c>
      <c r="AX127" s="6" t="s">
        <v>929</v>
      </c>
      <c r="AY127" s="6" t="s">
        <v>930</v>
      </c>
      <c r="AZ127" s="6"/>
      <c r="BA127" s="6" t="s">
        <v>1752</v>
      </c>
      <c r="BB127" s="6" t="s">
        <v>1746</v>
      </c>
      <c r="BC127" s="6" t="s">
        <v>97</v>
      </c>
      <c r="BD127" s="6" t="s">
        <v>97</v>
      </c>
    </row>
    <row r="128" spans="1:56" ht="32" customHeight="1" x14ac:dyDescent="0.35">
      <c r="A128" s="13" t="s">
        <v>1753</v>
      </c>
      <c r="B128" s="6" t="s">
        <v>910</v>
      </c>
      <c r="C128" s="5" t="s">
        <v>1322</v>
      </c>
      <c r="D128" s="5" t="s">
        <v>831</v>
      </c>
      <c r="E128" s="5" t="s">
        <v>1754</v>
      </c>
      <c r="F128" s="5" t="s">
        <v>1322</v>
      </c>
      <c r="G128" s="5" t="s">
        <v>459</v>
      </c>
      <c r="H128" s="5" t="s">
        <v>1755</v>
      </c>
      <c r="I128" s="5" t="s">
        <v>1756</v>
      </c>
      <c r="J128" s="17" t="s">
        <v>121</v>
      </c>
      <c r="K128" s="17" t="s">
        <v>181</v>
      </c>
      <c r="L128" s="5" t="s">
        <v>1757</v>
      </c>
      <c r="M128" s="6" t="s">
        <v>197</v>
      </c>
      <c r="N128" s="6" t="s">
        <v>809</v>
      </c>
      <c r="O128" s="6" t="s">
        <v>121</v>
      </c>
      <c r="P128" s="5" t="s">
        <v>918</v>
      </c>
      <c r="Q128" s="17" t="s">
        <v>182</v>
      </c>
      <c r="R128" s="5"/>
      <c r="S128" s="6" t="s">
        <v>964</v>
      </c>
      <c r="T128" s="5" t="s">
        <v>965</v>
      </c>
      <c r="U128" s="6"/>
      <c r="V128" s="6" t="s">
        <v>966</v>
      </c>
      <c r="W128" s="6" t="s">
        <v>333</v>
      </c>
      <c r="X128" s="5" t="s">
        <v>922</v>
      </c>
      <c r="Y128" s="5" t="s">
        <v>658</v>
      </c>
      <c r="Z128" s="5" t="str">
        <f t="shared" si="2"/>
        <v>Medium</v>
      </c>
      <c r="AA128" s="5" t="s">
        <v>956</v>
      </c>
      <c r="AB128" s="6" t="s">
        <v>924</v>
      </c>
      <c r="AC128" s="6" t="s">
        <v>103</v>
      </c>
      <c r="AD128" s="5" t="s">
        <v>925</v>
      </c>
      <c r="AE128" s="5" t="s">
        <v>354</v>
      </c>
      <c r="AF128" s="5" t="s">
        <v>354</v>
      </c>
      <c r="AG128" s="5" t="s">
        <v>354</v>
      </c>
      <c r="AH128" s="5" t="s">
        <v>354</v>
      </c>
      <c r="AI128" s="6" t="str">
        <f t="shared" si="3"/>
        <v>No</v>
      </c>
      <c r="AJ128" s="6" t="s">
        <v>926</v>
      </c>
      <c r="AK128" s="6" t="s">
        <v>121</v>
      </c>
      <c r="AL128" s="6">
        <f>MATCH(AA128,{"Low","Medium","High"},0)*MATCH(AB128,{"Low","Medium","High"},0)*INDEX({3,2,2,1,1},MATCH(X128,{"Core","Vertical extension","Differentiator","Future","Adjacent"},0))</f>
        <v>6</v>
      </c>
      <c r="AM128" s="5"/>
      <c r="AN128" s="5"/>
      <c r="AO128" s="5"/>
      <c r="AP128" s="5"/>
      <c r="AQ128" s="5"/>
      <c r="AR128" s="5"/>
      <c r="AS128" s="5"/>
      <c r="AT128" s="5"/>
      <c r="AU128" s="6" t="s">
        <v>927</v>
      </c>
      <c r="AV128" s="6" t="s">
        <v>1322</v>
      </c>
      <c r="AW128" s="6" t="s">
        <v>1322</v>
      </c>
      <c r="AX128" s="6" t="s">
        <v>929</v>
      </c>
      <c r="AY128" s="6" t="s">
        <v>930</v>
      </c>
      <c r="AZ128" s="6"/>
      <c r="BA128" s="6"/>
      <c r="BB128" s="6"/>
      <c r="BC128" s="6" t="s">
        <v>97</v>
      </c>
      <c r="BD128" s="6" t="s">
        <v>97</v>
      </c>
    </row>
    <row r="129" spans="1:56" ht="32" customHeight="1" x14ac:dyDescent="0.35">
      <c r="A129" s="13" t="s">
        <v>1758</v>
      </c>
      <c r="B129" s="6" t="s">
        <v>910</v>
      </c>
      <c r="C129" s="5" t="s">
        <v>1322</v>
      </c>
      <c r="D129" s="5" t="s">
        <v>827</v>
      </c>
      <c r="E129" s="5" t="s">
        <v>1759</v>
      </c>
      <c r="F129" s="5" t="s">
        <v>1322</v>
      </c>
      <c r="G129" s="5" t="s">
        <v>1760</v>
      </c>
      <c r="H129" s="5" t="s">
        <v>1761</v>
      </c>
      <c r="I129" s="5" t="s">
        <v>1762</v>
      </c>
      <c r="J129" s="16" t="s">
        <v>73</v>
      </c>
      <c r="K129" s="17" t="s">
        <v>181</v>
      </c>
      <c r="L129" s="5" t="s">
        <v>1763</v>
      </c>
      <c r="M129" s="6" t="s">
        <v>197</v>
      </c>
      <c r="N129" s="6" t="s">
        <v>809</v>
      </c>
      <c r="O129" s="6" t="s">
        <v>73</v>
      </c>
      <c r="P129" s="5" t="s">
        <v>918</v>
      </c>
      <c r="Q129" s="17" t="s">
        <v>182</v>
      </c>
      <c r="R129" s="5"/>
      <c r="S129" s="6" t="s">
        <v>1030</v>
      </c>
      <c r="T129" s="5" t="s">
        <v>827</v>
      </c>
      <c r="U129" s="6"/>
      <c r="V129" s="6" t="s">
        <v>1764</v>
      </c>
      <c r="W129" s="6" t="s">
        <v>333</v>
      </c>
      <c r="X129" s="5" t="s">
        <v>922</v>
      </c>
      <c r="Y129" s="5" t="s">
        <v>658</v>
      </c>
      <c r="Z129" s="5" t="str">
        <f t="shared" si="2"/>
        <v>Critical</v>
      </c>
      <c r="AA129" s="5" t="s">
        <v>923</v>
      </c>
      <c r="AB129" s="6" t="s">
        <v>956</v>
      </c>
      <c r="AC129" s="6" t="s">
        <v>78</v>
      </c>
      <c r="AD129" s="5" t="s">
        <v>925</v>
      </c>
      <c r="AE129" s="5" t="s">
        <v>354</v>
      </c>
      <c r="AF129" s="5" t="s">
        <v>354</v>
      </c>
      <c r="AG129" s="5" t="s">
        <v>354</v>
      </c>
      <c r="AH129" s="5" t="s">
        <v>354</v>
      </c>
      <c r="AI129" s="6" t="str">
        <f t="shared" si="3"/>
        <v>No</v>
      </c>
      <c r="AJ129" s="6" t="s">
        <v>926</v>
      </c>
      <c r="AK129" s="6" t="s">
        <v>73</v>
      </c>
      <c r="AL129" s="6">
        <f>MATCH(AA129,{"Low","Medium","High"},0)*MATCH(AB129,{"Low","Medium","High"},0)*INDEX({3,2,2,1,1},MATCH(X129,{"Core","Vertical extension","Differentiator","Future","Adjacent"},0))</f>
        <v>18</v>
      </c>
      <c r="AM129" s="5"/>
      <c r="AN129" s="5"/>
      <c r="AO129" s="5"/>
      <c r="AP129" s="5"/>
      <c r="AQ129" s="5"/>
      <c r="AR129" s="5"/>
      <c r="AS129" s="5"/>
      <c r="AT129" s="5"/>
      <c r="AU129" s="6" t="s">
        <v>927</v>
      </c>
      <c r="AV129" s="6" t="s">
        <v>1322</v>
      </c>
      <c r="AW129" s="6" t="s">
        <v>1322</v>
      </c>
      <c r="AX129" s="6" t="s">
        <v>929</v>
      </c>
      <c r="AY129" s="6" t="s">
        <v>1032</v>
      </c>
      <c r="AZ129" s="6"/>
      <c r="BA129" s="6"/>
      <c r="BB129" s="6"/>
      <c r="BC129" s="6" t="s">
        <v>97</v>
      </c>
      <c r="BD129" s="6" t="s">
        <v>97</v>
      </c>
    </row>
    <row r="130" spans="1:56" ht="32" customHeight="1" x14ac:dyDescent="0.35">
      <c r="A130" s="13" t="s">
        <v>1765</v>
      </c>
      <c r="B130" s="6" t="s">
        <v>910</v>
      </c>
      <c r="C130" s="5" t="s">
        <v>451</v>
      </c>
      <c r="D130" s="5" t="s">
        <v>842</v>
      </c>
      <c r="E130" s="5" t="s">
        <v>1766</v>
      </c>
      <c r="F130" s="5" t="s">
        <v>1767</v>
      </c>
      <c r="G130" s="5" t="s">
        <v>1768</v>
      </c>
      <c r="H130" s="5" t="s">
        <v>1769</v>
      </c>
      <c r="I130" s="5" t="s">
        <v>1770</v>
      </c>
      <c r="J130" s="17" t="s">
        <v>121</v>
      </c>
      <c r="K130" s="17" t="s">
        <v>181</v>
      </c>
      <c r="L130" s="5" t="s">
        <v>1771</v>
      </c>
      <c r="M130" s="6" t="s">
        <v>197</v>
      </c>
      <c r="N130" s="6" t="s">
        <v>809</v>
      </c>
      <c r="O130" s="6" t="s">
        <v>121</v>
      </c>
      <c r="P130" s="5" t="s">
        <v>918</v>
      </c>
      <c r="Q130" s="17" t="s">
        <v>182</v>
      </c>
      <c r="R130" s="5"/>
      <c r="S130" s="6" t="s">
        <v>1772</v>
      </c>
      <c r="T130" s="5" t="s">
        <v>1773</v>
      </c>
      <c r="U130" s="6"/>
      <c r="V130" s="6" t="s">
        <v>1774</v>
      </c>
      <c r="W130" s="6" t="s">
        <v>335</v>
      </c>
      <c r="X130" s="5" t="s">
        <v>922</v>
      </c>
      <c r="Y130" s="5" t="s">
        <v>1775</v>
      </c>
      <c r="Z130" s="5" t="str">
        <f t="shared" ref="Z130:Z193" si="4">IF(AL130&gt;=18,"Critical",IF(AL130&gt;=9,"High",IF(AL130&gt;=4,"Medium","Low")))</f>
        <v>Medium</v>
      </c>
      <c r="AA130" s="5" t="s">
        <v>956</v>
      </c>
      <c r="AB130" s="6" t="s">
        <v>924</v>
      </c>
      <c r="AC130" s="6" t="s">
        <v>11</v>
      </c>
      <c r="AD130" s="5" t="s">
        <v>925</v>
      </c>
      <c r="AE130" s="5" t="s">
        <v>354</v>
      </c>
      <c r="AF130" s="5" t="s">
        <v>354</v>
      </c>
      <c r="AG130" s="5" t="s">
        <v>354</v>
      </c>
      <c r="AH130" s="5" t="s">
        <v>354</v>
      </c>
      <c r="AI130" s="6" t="str">
        <f t="shared" ref="AI130:AI193" si="5">IF(AND(AU130="Pass",AE130&lt;&gt;"Not verified",AF130&lt;&gt;"Not verified",AG130&lt;&gt;"Not verified",AH130&lt;&gt;"Not verified",BC130="Yes",BD130="Yes"),"Yes","No")</f>
        <v>No</v>
      </c>
      <c r="AJ130" s="6" t="s">
        <v>926</v>
      </c>
      <c r="AK130" s="6" t="s">
        <v>151</v>
      </c>
      <c r="AL130" s="6">
        <f>MATCH(AA130,{"Low","Medium","High"},0)*MATCH(AB130,{"Low","Medium","High"},0)*INDEX({3,2,2,1,1},MATCH(X130,{"Core","Vertical extension","Differentiator","Future","Adjacent"},0))</f>
        <v>6</v>
      </c>
      <c r="AM130" s="5"/>
      <c r="AN130" s="5"/>
      <c r="AO130" s="5"/>
      <c r="AP130" s="5"/>
      <c r="AQ130" s="5"/>
      <c r="AR130" s="5"/>
      <c r="AS130" s="5"/>
      <c r="AT130" s="5"/>
      <c r="AU130" s="6" t="s">
        <v>927</v>
      </c>
      <c r="AV130" s="6" t="s">
        <v>1315</v>
      </c>
      <c r="AW130" s="6" t="s">
        <v>1315</v>
      </c>
      <c r="AX130" s="6" t="s">
        <v>929</v>
      </c>
      <c r="AY130" s="6" t="s">
        <v>930</v>
      </c>
      <c r="AZ130" s="6"/>
      <c r="BA130" s="6" t="s">
        <v>1286</v>
      </c>
      <c r="BB130" s="6" t="s">
        <v>1287</v>
      </c>
      <c r="BC130" s="6" t="s">
        <v>97</v>
      </c>
      <c r="BD130" s="6" t="s">
        <v>97</v>
      </c>
    </row>
    <row r="131" spans="1:56" ht="32" customHeight="1" x14ac:dyDescent="0.35">
      <c r="A131" s="13" t="s">
        <v>1776</v>
      </c>
      <c r="B131" s="6" t="s">
        <v>910</v>
      </c>
      <c r="C131" s="5" t="s">
        <v>451</v>
      </c>
      <c r="D131" s="5" t="s">
        <v>842</v>
      </c>
      <c r="E131" s="5" t="s">
        <v>1777</v>
      </c>
      <c r="F131" s="5" t="s">
        <v>1767</v>
      </c>
      <c r="G131" s="5" t="s">
        <v>1311</v>
      </c>
      <c r="H131" s="5" t="s">
        <v>1778</v>
      </c>
      <c r="I131" s="5" t="s">
        <v>1779</v>
      </c>
      <c r="J131" s="17" t="s">
        <v>121</v>
      </c>
      <c r="K131" s="17" t="s">
        <v>181</v>
      </c>
      <c r="L131" s="5" t="s">
        <v>1780</v>
      </c>
      <c r="M131" s="6" t="s">
        <v>197</v>
      </c>
      <c r="N131" s="6" t="s">
        <v>809</v>
      </c>
      <c r="O131" s="6" t="s">
        <v>121</v>
      </c>
      <c r="P131" s="5" t="s">
        <v>918</v>
      </c>
      <c r="Q131" s="17" t="s">
        <v>182</v>
      </c>
      <c r="R131" s="5"/>
      <c r="S131" s="6" t="s">
        <v>1772</v>
      </c>
      <c r="T131" s="5" t="s">
        <v>1773</v>
      </c>
      <c r="U131" s="6"/>
      <c r="V131" s="6" t="s">
        <v>1774</v>
      </c>
      <c r="W131" s="6" t="s">
        <v>335</v>
      </c>
      <c r="X131" s="5" t="s">
        <v>922</v>
      </c>
      <c r="Y131" s="5" t="s">
        <v>1775</v>
      </c>
      <c r="Z131" s="5" t="str">
        <f t="shared" si="4"/>
        <v>Medium</v>
      </c>
      <c r="AA131" s="5" t="s">
        <v>956</v>
      </c>
      <c r="AB131" s="6" t="s">
        <v>924</v>
      </c>
      <c r="AC131" s="6" t="s">
        <v>11</v>
      </c>
      <c r="AD131" s="5" t="s">
        <v>925</v>
      </c>
      <c r="AE131" s="5" t="s">
        <v>354</v>
      </c>
      <c r="AF131" s="5" t="s">
        <v>354</v>
      </c>
      <c r="AG131" s="5" t="s">
        <v>354</v>
      </c>
      <c r="AH131" s="5" t="s">
        <v>354</v>
      </c>
      <c r="AI131" s="6" t="str">
        <f t="shared" si="5"/>
        <v>No</v>
      </c>
      <c r="AJ131" s="6" t="s">
        <v>926</v>
      </c>
      <c r="AK131" s="6" t="s">
        <v>151</v>
      </c>
      <c r="AL131" s="6">
        <f>MATCH(AA131,{"Low","Medium","High"},0)*MATCH(AB131,{"Low","Medium","High"},0)*INDEX({3,2,2,1,1},MATCH(X131,{"Core","Vertical extension","Differentiator","Future","Adjacent"},0))</f>
        <v>6</v>
      </c>
      <c r="AM131" s="5"/>
      <c r="AN131" s="5"/>
      <c r="AO131" s="5"/>
      <c r="AP131" s="5"/>
      <c r="AQ131" s="5"/>
      <c r="AR131" s="5"/>
      <c r="AS131" s="5"/>
      <c r="AT131" s="5"/>
      <c r="AU131" s="6" t="s">
        <v>927</v>
      </c>
      <c r="AV131" s="6" t="s">
        <v>1315</v>
      </c>
      <c r="AW131" s="6" t="s">
        <v>1315</v>
      </c>
      <c r="AX131" s="6" t="s">
        <v>929</v>
      </c>
      <c r="AY131" s="6" t="s">
        <v>930</v>
      </c>
      <c r="AZ131" s="6"/>
      <c r="BA131" s="6"/>
      <c r="BB131" s="6"/>
      <c r="BC131" s="6" t="s">
        <v>97</v>
      </c>
      <c r="BD131" s="6" t="s">
        <v>97</v>
      </c>
    </row>
    <row r="132" spans="1:56" ht="32" customHeight="1" x14ac:dyDescent="0.35">
      <c r="A132" s="13" t="s">
        <v>1781</v>
      </c>
      <c r="B132" s="6" t="s">
        <v>910</v>
      </c>
      <c r="C132" s="5" t="s">
        <v>451</v>
      </c>
      <c r="D132" s="5" t="s">
        <v>842</v>
      </c>
      <c r="E132" s="5" t="s">
        <v>1782</v>
      </c>
      <c r="F132" s="5" t="s">
        <v>451</v>
      </c>
      <c r="G132" s="5" t="s">
        <v>1783</v>
      </c>
      <c r="H132" s="5" t="s">
        <v>1784</v>
      </c>
      <c r="I132" s="5" t="s">
        <v>1785</v>
      </c>
      <c r="J132" s="17" t="s">
        <v>121</v>
      </c>
      <c r="K132" s="17" t="s">
        <v>181</v>
      </c>
      <c r="L132" s="5" t="s">
        <v>1786</v>
      </c>
      <c r="M132" s="6" t="s">
        <v>197</v>
      </c>
      <c r="N132" s="6" t="s">
        <v>809</v>
      </c>
      <c r="O132" s="6" t="s">
        <v>121</v>
      </c>
      <c r="P132" s="5" t="s">
        <v>918</v>
      </c>
      <c r="Q132" s="18" t="s">
        <v>186</v>
      </c>
      <c r="R132" s="5" t="s">
        <v>1021</v>
      </c>
      <c r="S132" s="6" t="s">
        <v>1772</v>
      </c>
      <c r="T132" s="5" t="s">
        <v>1773</v>
      </c>
      <c r="U132" s="6"/>
      <c r="V132" s="6" t="s">
        <v>1774</v>
      </c>
      <c r="W132" s="6" t="s">
        <v>335</v>
      </c>
      <c r="X132" s="5" t="s">
        <v>922</v>
      </c>
      <c r="Y132" s="5" t="s">
        <v>1775</v>
      </c>
      <c r="Z132" s="5" t="str">
        <f t="shared" si="4"/>
        <v>Medium</v>
      </c>
      <c r="AA132" s="5" t="s">
        <v>956</v>
      </c>
      <c r="AB132" s="6" t="s">
        <v>924</v>
      </c>
      <c r="AC132" s="6" t="s">
        <v>11</v>
      </c>
      <c r="AD132" s="5" t="s">
        <v>940</v>
      </c>
      <c r="AE132" s="5" t="s">
        <v>354</v>
      </c>
      <c r="AF132" s="5" t="s">
        <v>354</v>
      </c>
      <c r="AG132" s="5" t="s">
        <v>354</v>
      </c>
      <c r="AH132" s="5" t="s">
        <v>354</v>
      </c>
      <c r="AI132" s="6" t="str">
        <f t="shared" si="5"/>
        <v>No</v>
      </c>
      <c r="AJ132" s="6" t="s">
        <v>941</v>
      </c>
      <c r="AK132" s="6" t="s">
        <v>151</v>
      </c>
      <c r="AL132" s="6">
        <f>MATCH(AA132,{"Low","Medium","High"},0)*MATCH(AB132,{"Low","Medium","High"},0)*INDEX({3,2,2,1,1},MATCH(X132,{"Core","Vertical extension","Differentiator","Future","Adjacent"},0))</f>
        <v>6</v>
      </c>
      <c r="AM132" s="5"/>
      <c r="AN132" s="5"/>
      <c r="AO132" s="5"/>
      <c r="AP132" s="5"/>
      <c r="AQ132" s="5"/>
      <c r="AR132" s="5"/>
      <c r="AS132" s="5"/>
      <c r="AT132" s="5"/>
      <c r="AU132" s="6" t="s">
        <v>927</v>
      </c>
      <c r="AV132" s="6" t="s">
        <v>1315</v>
      </c>
      <c r="AW132" s="6" t="s">
        <v>1315</v>
      </c>
      <c r="AX132" s="6" t="s">
        <v>929</v>
      </c>
      <c r="AY132" s="6" t="s">
        <v>930</v>
      </c>
      <c r="AZ132" s="6"/>
      <c r="BA132" s="6"/>
      <c r="BB132" s="6"/>
      <c r="BC132" s="6" t="s">
        <v>97</v>
      </c>
      <c r="BD132" s="6" t="s">
        <v>97</v>
      </c>
    </row>
    <row r="133" spans="1:56" ht="32" customHeight="1" x14ac:dyDescent="0.35">
      <c r="A133" s="13" t="s">
        <v>1787</v>
      </c>
      <c r="B133" s="6" t="s">
        <v>910</v>
      </c>
      <c r="C133" s="5" t="s">
        <v>451</v>
      </c>
      <c r="D133" s="5" t="s">
        <v>842</v>
      </c>
      <c r="E133" s="5" t="s">
        <v>1788</v>
      </c>
      <c r="F133" s="5" t="s">
        <v>451</v>
      </c>
      <c r="G133" s="5" t="s">
        <v>1017</v>
      </c>
      <c r="H133" s="5" t="s">
        <v>1789</v>
      </c>
      <c r="I133" s="5" t="s">
        <v>1790</v>
      </c>
      <c r="J133" s="17" t="s">
        <v>121</v>
      </c>
      <c r="K133" s="17" t="s">
        <v>181</v>
      </c>
      <c r="L133" s="5" t="s">
        <v>1791</v>
      </c>
      <c r="M133" s="6" t="s">
        <v>197</v>
      </c>
      <c r="N133" s="6" t="s">
        <v>809</v>
      </c>
      <c r="O133" s="6" t="s">
        <v>121</v>
      </c>
      <c r="P133" s="5" t="s">
        <v>918</v>
      </c>
      <c r="Q133" s="17" t="s">
        <v>182</v>
      </c>
      <c r="R133" s="5"/>
      <c r="S133" s="6" t="s">
        <v>1772</v>
      </c>
      <c r="T133" s="5" t="s">
        <v>1773</v>
      </c>
      <c r="U133" s="6"/>
      <c r="V133" s="6" t="s">
        <v>1774</v>
      </c>
      <c r="W133" s="6" t="s">
        <v>335</v>
      </c>
      <c r="X133" s="5" t="s">
        <v>922</v>
      </c>
      <c r="Y133" s="5" t="s">
        <v>1775</v>
      </c>
      <c r="Z133" s="5" t="str">
        <f t="shared" si="4"/>
        <v>Medium</v>
      </c>
      <c r="AA133" s="5" t="s">
        <v>956</v>
      </c>
      <c r="AB133" s="6" t="s">
        <v>924</v>
      </c>
      <c r="AC133" s="6" t="s">
        <v>11</v>
      </c>
      <c r="AD133" s="5" t="s">
        <v>925</v>
      </c>
      <c r="AE133" s="5" t="s">
        <v>354</v>
      </c>
      <c r="AF133" s="5" t="s">
        <v>354</v>
      </c>
      <c r="AG133" s="5" t="s">
        <v>354</v>
      </c>
      <c r="AH133" s="5" t="s">
        <v>354</v>
      </c>
      <c r="AI133" s="6" t="str">
        <f t="shared" si="5"/>
        <v>No</v>
      </c>
      <c r="AJ133" s="6" t="s">
        <v>926</v>
      </c>
      <c r="AK133" s="6" t="s">
        <v>151</v>
      </c>
      <c r="AL133" s="6">
        <f>MATCH(AA133,{"Low","Medium","High"},0)*MATCH(AB133,{"Low","Medium","High"},0)*INDEX({3,2,2,1,1},MATCH(X133,{"Core","Vertical extension","Differentiator","Future","Adjacent"},0))</f>
        <v>6</v>
      </c>
      <c r="AM133" s="5"/>
      <c r="AN133" s="5"/>
      <c r="AO133" s="5"/>
      <c r="AP133" s="5"/>
      <c r="AQ133" s="5"/>
      <c r="AR133" s="5"/>
      <c r="AS133" s="5"/>
      <c r="AT133" s="5"/>
      <c r="AU133" s="6" t="s">
        <v>927</v>
      </c>
      <c r="AV133" s="6" t="s">
        <v>1315</v>
      </c>
      <c r="AW133" s="6" t="s">
        <v>1315</v>
      </c>
      <c r="AX133" s="6" t="s">
        <v>929</v>
      </c>
      <c r="AY133" s="6" t="s">
        <v>930</v>
      </c>
      <c r="AZ133" s="6"/>
      <c r="BA133" s="6" t="s">
        <v>1286</v>
      </c>
      <c r="BB133" s="6" t="s">
        <v>1287</v>
      </c>
      <c r="BC133" s="6" t="s">
        <v>97</v>
      </c>
      <c r="BD133" s="6" t="s">
        <v>97</v>
      </c>
    </row>
    <row r="134" spans="1:56" ht="32" customHeight="1" x14ac:dyDescent="0.35">
      <c r="A134" s="13" t="s">
        <v>1792</v>
      </c>
      <c r="B134" s="6" t="s">
        <v>910</v>
      </c>
      <c r="C134" s="5" t="s">
        <v>451</v>
      </c>
      <c r="D134" s="5" t="s">
        <v>829</v>
      </c>
      <c r="E134" s="5" t="s">
        <v>1793</v>
      </c>
      <c r="F134" s="5" t="s">
        <v>451</v>
      </c>
      <c r="G134" s="5" t="s">
        <v>1794</v>
      </c>
      <c r="H134" s="5" t="s">
        <v>1795</v>
      </c>
      <c r="I134" s="5" t="s">
        <v>1796</v>
      </c>
      <c r="J134" s="16" t="s">
        <v>73</v>
      </c>
      <c r="K134" s="17" t="s">
        <v>181</v>
      </c>
      <c r="L134" s="5" t="s">
        <v>1797</v>
      </c>
      <c r="M134" s="6" t="s">
        <v>197</v>
      </c>
      <c r="N134" s="6" t="s">
        <v>809</v>
      </c>
      <c r="O134" s="6" t="s">
        <v>73</v>
      </c>
      <c r="P134" s="5" t="s">
        <v>918</v>
      </c>
      <c r="Q134" s="17" t="s">
        <v>182</v>
      </c>
      <c r="R134" s="5"/>
      <c r="S134" s="6" t="s">
        <v>980</v>
      </c>
      <c r="T134" s="5" t="s">
        <v>981</v>
      </c>
      <c r="U134" s="6"/>
      <c r="V134" s="6" t="s">
        <v>982</v>
      </c>
      <c r="W134" s="6" t="s">
        <v>331</v>
      </c>
      <c r="X134" s="5" t="s">
        <v>922</v>
      </c>
      <c r="Y134" s="5" t="s">
        <v>1775</v>
      </c>
      <c r="Z134" s="5" t="str">
        <f t="shared" si="4"/>
        <v>High</v>
      </c>
      <c r="AA134" s="5" t="s">
        <v>923</v>
      </c>
      <c r="AB134" s="6" t="s">
        <v>924</v>
      </c>
      <c r="AC134" s="6" t="s">
        <v>78</v>
      </c>
      <c r="AD134" s="5" t="s">
        <v>925</v>
      </c>
      <c r="AE134" s="5" t="s">
        <v>354</v>
      </c>
      <c r="AF134" s="5" t="s">
        <v>354</v>
      </c>
      <c r="AG134" s="5" t="s">
        <v>354</v>
      </c>
      <c r="AH134" s="5" t="s">
        <v>354</v>
      </c>
      <c r="AI134" s="6" t="str">
        <f t="shared" si="5"/>
        <v>No</v>
      </c>
      <c r="AJ134" s="6" t="s">
        <v>926</v>
      </c>
      <c r="AK134" s="6" t="s">
        <v>73</v>
      </c>
      <c r="AL134" s="6">
        <f>MATCH(AA134,{"Low","Medium","High"},0)*MATCH(AB134,{"Low","Medium","High"},0)*INDEX({3,2,2,1,1},MATCH(X134,{"Core","Vertical extension","Differentiator","Future","Adjacent"},0))</f>
        <v>9</v>
      </c>
      <c r="AM134" s="5"/>
      <c r="AN134" s="5"/>
      <c r="AO134" s="5"/>
      <c r="AP134" s="5"/>
      <c r="AQ134" s="5"/>
      <c r="AR134" s="5"/>
      <c r="AS134" s="5"/>
      <c r="AT134" s="5"/>
      <c r="AU134" s="6" t="s">
        <v>927</v>
      </c>
      <c r="AV134" s="6" t="s">
        <v>1315</v>
      </c>
      <c r="AW134" s="6" t="s">
        <v>1315</v>
      </c>
      <c r="AX134" s="6" t="s">
        <v>929</v>
      </c>
      <c r="AY134" s="6" t="s">
        <v>930</v>
      </c>
      <c r="AZ134" s="6"/>
      <c r="BA134" s="6"/>
      <c r="BB134" s="6"/>
      <c r="BC134" s="6" t="s">
        <v>97</v>
      </c>
      <c r="BD134" s="6" t="s">
        <v>97</v>
      </c>
    </row>
    <row r="135" spans="1:56" ht="32" customHeight="1" x14ac:dyDescent="0.35">
      <c r="A135" s="13" t="s">
        <v>1798</v>
      </c>
      <c r="B135" s="6" t="s">
        <v>910</v>
      </c>
      <c r="C135" s="5" t="s">
        <v>451</v>
      </c>
      <c r="D135" s="5" t="s">
        <v>842</v>
      </c>
      <c r="E135" s="5" t="s">
        <v>1799</v>
      </c>
      <c r="F135" s="5" t="s">
        <v>451</v>
      </c>
      <c r="G135" s="5" t="s">
        <v>1017</v>
      </c>
      <c r="H135" s="5" t="s">
        <v>1800</v>
      </c>
      <c r="I135" s="5" t="s">
        <v>1801</v>
      </c>
      <c r="J135" s="19" t="s">
        <v>151</v>
      </c>
      <c r="K135" s="17" t="s">
        <v>181</v>
      </c>
      <c r="L135" s="5" t="s">
        <v>1802</v>
      </c>
      <c r="M135" s="6" t="s">
        <v>197</v>
      </c>
      <c r="N135" s="6" t="s">
        <v>809</v>
      </c>
      <c r="O135" s="6" t="s">
        <v>151</v>
      </c>
      <c r="P135" s="5" t="s">
        <v>918</v>
      </c>
      <c r="Q135" s="17" t="s">
        <v>182</v>
      </c>
      <c r="R135" s="5"/>
      <c r="S135" s="6" t="s">
        <v>1772</v>
      </c>
      <c r="T135" s="5" t="s">
        <v>1773</v>
      </c>
      <c r="U135" s="6"/>
      <c r="V135" s="6" t="s">
        <v>1774</v>
      </c>
      <c r="W135" s="6" t="s">
        <v>335</v>
      </c>
      <c r="X135" s="5" t="s">
        <v>922</v>
      </c>
      <c r="Y135" s="5" t="s">
        <v>1775</v>
      </c>
      <c r="Z135" s="5" t="str">
        <f t="shared" si="4"/>
        <v>Medium</v>
      </c>
      <c r="AA135" s="5" t="s">
        <v>956</v>
      </c>
      <c r="AB135" s="6" t="s">
        <v>924</v>
      </c>
      <c r="AC135" s="6" t="s">
        <v>11</v>
      </c>
      <c r="AD135" s="5" t="s">
        <v>925</v>
      </c>
      <c r="AE135" s="5" t="s">
        <v>354</v>
      </c>
      <c r="AF135" s="5" t="s">
        <v>354</v>
      </c>
      <c r="AG135" s="5" t="s">
        <v>354</v>
      </c>
      <c r="AH135" s="5" t="s">
        <v>354</v>
      </c>
      <c r="AI135" s="6" t="str">
        <f t="shared" si="5"/>
        <v>No</v>
      </c>
      <c r="AJ135" s="6" t="s">
        <v>926</v>
      </c>
      <c r="AK135" s="6" t="s">
        <v>151</v>
      </c>
      <c r="AL135" s="6">
        <f>MATCH(AA135,{"Low","Medium","High"},0)*MATCH(AB135,{"Low","Medium","High"},0)*INDEX({3,2,2,1,1},MATCH(X135,{"Core","Vertical extension","Differentiator","Future","Adjacent"},0))</f>
        <v>6</v>
      </c>
      <c r="AM135" s="5"/>
      <c r="AN135" s="5"/>
      <c r="AO135" s="5"/>
      <c r="AP135" s="5"/>
      <c r="AQ135" s="5"/>
      <c r="AR135" s="5"/>
      <c r="AS135" s="5"/>
      <c r="AT135" s="5"/>
      <c r="AU135" s="6" t="s">
        <v>927</v>
      </c>
      <c r="AV135" s="6" t="s">
        <v>1315</v>
      </c>
      <c r="AW135" s="6" t="s">
        <v>1315</v>
      </c>
      <c r="AX135" s="6" t="s">
        <v>929</v>
      </c>
      <c r="AY135" s="6" t="s">
        <v>930</v>
      </c>
      <c r="AZ135" s="6"/>
      <c r="BA135" s="6"/>
      <c r="BB135" s="6"/>
      <c r="BC135" s="6" t="s">
        <v>97</v>
      </c>
      <c r="BD135" s="6" t="s">
        <v>97</v>
      </c>
    </row>
    <row r="136" spans="1:56" ht="32" customHeight="1" x14ac:dyDescent="0.35">
      <c r="A136" s="13" t="s">
        <v>1803</v>
      </c>
      <c r="B136" s="6" t="s">
        <v>910</v>
      </c>
      <c r="C136" s="5" t="s">
        <v>451</v>
      </c>
      <c r="D136" s="5" t="s">
        <v>833</v>
      </c>
      <c r="E136" s="5" t="s">
        <v>1804</v>
      </c>
      <c r="F136" s="5" t="s">
        <v>451</v>
      </c>
      <c r="G136" s="5" t="s">
        <v>1017</v>
      </c>
      <c r="H136" s="5" t="s">
        <v>1805</v>
      </c>
      <c r="I136" s="5" t="s">
        <v>1806</v>
      </c>
      <c r="J136" s="17" t="s">
        <v>121</v>
      </c>
      <c r="K136" s="17" t="s">
        <v>181</v>
      </c>
      <c r="L136" s="5" t="s">
        <v>1807</v>
      </c>
      <c r="M136" s="6" t="s">
        <v>197</v>
      </c>
      <c r="N136" s="6" t="s">
        <v>809</v>
      </c>
      <c r="O136" s="6" t="s">
        <v>121</v>
      </c>
      <c r="P136" s="5" t="s">
        <v>918</v>
      </c>
      <c r="Q136" s="17" t="s">
        <v>182</v>
      </c>
      <c r="R136" s="5"/>
      <c r="S136" s="6" t="s">
        <v>919</v>
      </c>
      <c r="T136" s="5" t="s">
        <v>920</v>
      </c>
      <c r="U136" s="6"/>
      <c r="V136" s="6" t="s">
        <v>921</v>
      </c>
      <c r="W136" s="6" t="s">
        <v>331</v>
      </c>
      <c r="X136" s="5" t="s">
        <v>922</v>
      </c>
      <c r="Y136" s="5" t="s">
        <v>1775</v>
      </c>
      <c r="Z136" s="5" t="str">
        <f t="shared" si="4"/>
        <v>Medium</v>
      </c>
      <c r="AA136" s="5" t="s">
        <v>956</v>
      </c>
      <c r="AB136" s="6" t="s">
        <v>924</v>
      </c>
      <c r="AC136" s="6" t="s">
        <v>103</v>
      </c>
      <c r="AD136" s="5" t="s">
        <v>925</v>
      </c>
      <c r="AE136" s="5" t="s">
        <v>354</v>
      </c>
      <c r="AF136" s="5" t="s">
        <v>354</v>
      </c>
      <c r="AG136" s="5" t="s">
        <v>354</v>
      </c>
      <c r="AH136" s="5" t="s">
        <v>354</v>
      </c>
      <c r="AI136" s="6" t="str">
        <f t="shared" si="5"/>
        <v>No</v>
      </c>
      <c r="AJ136" s="6" t="s">
        <v>926</v>
      </c>
      <c r="AK136" s="6" t="s">
        <v>121</v>
      </c>
      <c r="AL136" s="6">
        <f>MATCH(AA136,{"Low","Medium","High"},0)*MATCH(AB136,{"Low","Medium","High"},0)*INDEX({3,2,2,1,1},MATCH(X136,{"Core","Vertical extension","Differentiator","Future","Adjacent"},0))</f>
        <v>6</v>
      </c>
      <c r="AM136" s="5"/>
      <c r="AN136" s="5"/>
      <c r="AO136" s="5"/>
      <c r="AP136" s="5"/>
      <c r="AQ136" s="5"/>
      <c r="AR136" s="5"/>
      <c r="AS136" s="5"/>
      <c r="AT136" s="5"/>
      <c r="AU136" s="6" t="s">
        <v>927</v>
      </c>
      <c r="AV136" s="6" t="s">
        <v>1315</v>
      </c>
      <c r="AW136" s="6" t="s">
        <v>1315</v>
      </c>
      <c r="AX136" s="6" t="s">
        <v>929</v>
      </c>
      <c r="AY136" s="6" t="s">
        <v>930</v>
      </c>
      <c r="AZ136" s="6"/>
      <c r="BA136" s="6"/>
      <c r="BB136" s="6"/>
      <c r="BC136" s="6" t="s">
        <v>97</v>
      </c>
      <c r="BD136" s="6" t="s">
        <v>97</v>
      </c>
    </row>
    <row r="137" spans="1:56" ht="32" customHeight="1" x14ac:dyDescent="0.35">
      <c r="A137" s="13" t="s">
        <v>1808</v>
      </c>
      <c r="B137" s="6" t="s">
        <v>910</v>
      </c>
      <c r="C137" s="5" t="s">
        <v>451</v>
      </c>
      <c r="D137" s="5" t="s">
        <v>834</v>
      </c>
      <c r="E137" s="5" t="s">
        <v>1809</v>
      </c>
      <c r="F137" s="5" t="s">
        <v>451</v>
      </c>
      <c r="G137" s="5" t="s">
        <v>1810</v>
      </c>
      <c r="H137" s="5" t="s">
        <v>1811</v>
      </c>
      <c r="I137" s="5" t="s">
        <v>1812</v>
      </c>
      <c r="J137" s="17" t="s">
        <v>121</v>
      </c>
      <c r="K137" s="17" t="s">
        <v>181</v>
      </c>
      <c r="L137" s="5" t="s">
        <v>1813</v>
      </c>
      <c r="M137" s="6" t="s">
        <v>197</v>
      </c>
      <c r="N137" s="6" t="s">
        <v>809</v>
      </c>
      <c r="O137" s="6" t="s">
        <v>121</v>
      </c>
      <c r="P137" s="5" t="s">
        <v>918</v>
      </c>
      <c r="Q137" s="17" t="s">
        <v>182</v>
      </c>
      <c r="R137" s="5"/>
      <c r="S137" s="6" t="s">
        <v>1000</v>
      </c>
      <c r="T137" s="5" t="s">
        <v>1001</v>
      </c>
      <c r="U137" s="6"/>
      <c r="V137" s="6" t="s">
        <v>1002</v>
      </c>
      <c r="W137" s="6" t="s">
        <v>333</v>
      </c>
      <c r="X137" s="5" t="s">
        <v>922</v>
      </c>
      <c r="Y137" s="5" t="s">
        <v>1775</v>
      </c>
      <c r="Z137" s="5" t="str">
        <f t="shared" si="4"/>
        <v>Critical</v>
      </c>
      <c r="AA137" s="5" t="s">
        <v>923</v>
      </c>
      <c r="AB137" s="6" t="s">
        <v>956</v>
      </c>
      <c r="AC137" s="6" t="s">
        <v>103</v>
      </c>
      <c r="AD137" s="5" t="s">
        <v>925</v>
      </c>
      <c r="AE137" s="5" t="s">
        <v>354</v>
      </c>
      <c r="AF137" s="5" t="s">
        <v>354</v>
      </c>
      <c r="AG137" s="5" t="s">
        <v>354</v>
      </c>
      <c r="AH137" s="5" t="s">
        <v>354</v>
      </c>
      <c r="AI137" s="6" t="str">
        <f t="shared" si="5"/>
        <v>No</v>
      </c>
      <c r="AJ137" s="6" t="s">
        <v>926</v>
      </c>
      <c r="AK137" s="6" t="s">
        <v>121</v>
      </c>
      <c r="AL137" s="6">
        <f>MATCH(AA137,{"Low","Medium","High"},0)*MATCH(AB137,{"Low","Medium","High"},0)*INDEX({3,2,2,1,1},MATCH(X137,{"Core","Vertical extension","Differentiator","Future","Adjacent"},0))</f>
        <v>18</v>
      </c>
      <c r="AM137" s="5"/>
      <c r="AN137" s="5"/>
      <c r="AO137" s="5"/>
      <c r="AP137" s="5"/>
      <c r="AQ137" s="5"/>
      <c r="AR137" s="5"/>
      <c r="AS137" s="5"/>
      <c r="AT137" s="5"/>
      <c r="AU137" s="6" t="s">
        <v>927</v>
      </c>
      <c r="AV137" s="6" t="s">
        <v>1315</v>
      </c>
      <c r="AW137" s="6" t="s">
        <v>1315</v>
      </c>
      <c r="AX137" s="6" t="s">
        <v>929</v>
      </c>
      <c r="AY137" s="6" t="s">
        <v>930</v>
      </c>
      <c r="AZ137" s="6"/>
      <c r="BA137" s="6"/>
      <c r="BB137" s="6"/>
      <c r="BC137" s="6" t="s">
        <v>97</v>
      </c>
      <c r="BD137" s="6" t="s">
        <v>97</v>
      </c>
    </row>
    <row r="138" spans="1:56" ht="32" customHeight="1" x14ac:dyDescent="0.35">
      <c r="A138" s="13" t="s">
        <v>1814</v>
      </c>
      <c r="B138" s="6" t="s">
        <v>910</v>
      </c>
      <c r="C138" s="5" t="s">
        <v>451</v>
      </c>
      <c r="D138" s="5" t="s">
        <v>834</v>
      </c>
      <c r="E138" s="5" t="s">
        <v>1815</v>
      </c>
      <c r="F138" s="5" t="s">
        <v>451</v>
      </c>
      <c r="G138" s="5" t="s">
        <v>1017</v>
      </c>
      <c r="H138" s="5" t="s">
        <v>1816</v>
      </c>
      <c r="I138" s="5" t="s">
        <v>1817</v>
      </c>
      <c r="J138" s="17" t="s">
        <v>121</v>
      </c>
      <c r="K138" s="17" t="s">
        <v>181</v>
      </c>
      <c r="L138" s="5" t="s">
        <v>1818</v>
      </c>
      <c r="M138" s="6" t="s">
        <v>197</v>
      </c>
      <c r="N138" s="6" t="s">
        <v>809</v>
      </c>
      <c r="O138" s="6" t="s">
        <v>121</v>
      </c>
      <c r="P138" s="5" t="s">
        <v>999</v>
      </c>
      <c r="Q138" s="17" t="s">
        <v>182</v>
      </c>
      <c r="R138" s="5" t="s">
        <v>999</v>
      </c>
      <c r="S138" s="6" t="s">
        <v>1000</v>
      </c>
      <c r="T138" s="5" t="s">
        <v>1001</v>
      </c>
      <c r="U138" s="6"/>
      <c r="V138" s="6" t="s">
        <v>1002</v>
      </c>
      <c r="W138" s="6" t="s">
        <v>333</v>
      </c>
      <c r="X138" s="5" t="s">
        <v>922</v>
      </c>
      <c r="Y138" s="5" t="s">
        <v>1775</v>
      </c>
      <c r="Z138" s="5" t="str">
        <f t="shared" si="4"/>
        <v>Critical</v>
      </c>
      <c r="AA138" s="5" t="s">
        <v>923</v>
      </c>
      <c r="AB138" s="6" t="s">
        <v>956</v>
      </c>
      <c r="AC138" s="6" t="s">
        <v>103</v>
      </c>
      <c r="AD138" s="5" t="s">
        <v>925</v>
      </c>
      <c r="AE138" s="5" t="s">
        <v>354</v>
      </c>
      <c r="AF138" s="5" t="s">
        <v>354</v>
      </c>
      <c r="AG138" s="5" t="s">
        <v>354</v>
      </c>
      <c r="AH138" s="5" t="s">
        <v>354</v>
      </c>
      <c r="AI138" s="6" t="str">
        <f t="shared" si="5"/>
        <v>No</v>
      </c>
      <c r="AJ138" s="6" t="s">
        <v>926</v>
      </c>
      <c r="AK138" s="6" t="s">
        <v>121</v>
      </c>
      <c r="AL138" s="6">
        <f>MATCH(AA138,{"Low","Medium","High"},0)*MATCH(AB138,{"Low","Medium","High"},0)*INDEX({3,2,2,1,1},MATCH(X138,{"Core","Vertical extension","Differentiator","Future","Adjacent"},0))</f>
        <v>18</v>
      </c>
      <c r="AM138" s="5"/>
      <c r="AN138" s="5"/>
      <c r="AO138" s="5"/>
      <c r="AP138" s="5"/>
      <c r="AQ138" s="5"/>
      <c r="AR138" s="5"/>
      <c r="AS138" s="5"/>
      <c r="AT138" s="5"/>
      <c r="AU138" s="6" t="s">
        <v>927</v>
      </c>
      <c r="AV138" s="6" t="s">
        <v>1315</v>
      </c>
      <c r="AW138" s="6" t="s">
        <v>1315</v>
      </c>
      <c r="AX138" s="6" t="s">
        <v>1003</v>
      </c>
      <c r="AY138" s="6" t="s">
        <v>930</v>
      </c>
      <c r="AZ138" s="6"/>
      <c r="BA138" s="6"/>
      <c r="BB138" s="6"/>
      <c r="BC138" s="6" t="s">
        <v>97</v>
      </c>
      <c r="BD138" s="6" t="s">
        <v>97</v>
      </c>
    </row>
    <row r="139" spans="1:56" ht="32" customHeight="1" x14ac:dyDescent="0.35">
      <c r="A139" s="13" t="s">
        <v>1819</v>
      </c>
      <c r="B139" s="6" t="s">
        <v>910</v>
      </c>
      <c r="C139" s="5" t="s">
        <v>451</v>
      </c>
      <c r="D139" s="5" t="s">
        <v>831</v>
      </c>
      <c r="E139" s="5" t="s">
        <v>1820</v>
      </c>
      <c r="F139" s="5" t="s">
        <v>451</v>
      </c>
      <c r="G139" s="5" t="s">
        <v>1310</v>
      </c>
      <c r="H139" s="5" t="s">
        <v>1821</v>
      </c>
      <c r="I139" s="5" t="s">
        <v>1822</v>
      </c>
      <c r="J139" s="19" t="s">
        <v>151</v>
      </c>
      <c r="K139" s="17" t="s">
        <v>181</v>
      </c>
      <c r="L139" s="5" t="s">
        <v>1823</v>
      </c>
      <c r="M139" s="6" t="s">
        <v>197</v>
      </c>
      <c r="N139" s="6" t="s">
        <v>809</v>
      </c>
      <c r="O139" s="6" t="s">
        <v>151</v>
      </c>
      <c r="P139" s="5" t="s">
        <v>1115</v>
      </c>
      <c r="Q139" s="17" t="s">
        <v>182</v>
      </c>
      <c r="R139" s="5" t="s">
        <v>1115</v>
      </c>
      <c r="S139" s="6" t="s">
        <v>964</v>
      </c>
      <c r="T139" s="5" t="s">
        <v>965</v>
      </c>
      <c r="U139" s="6"/>
      <c r="V139" s="6" t="s">
        <v>966</v>
      </c>
      <c r="W139" s="6" t="s">
        <v>333</v>
      </c>
      <c r="X139" s="5" t="s">
        <v>922</v>
      </c>
      <c r="Y139" s="5" t="s">
        <v>1775</v>
      </c>
      <c r="Z139" s="5" t="str">
        <f t="shared" si="4"/>
        <v>Medium</v>
      </c>
      <c r="AA139" s="5" t="s">
        <v>956</v>
      </c>
      <c r="AB139" s="6" t="s">
        <v>924</v>
      </c>
      <c r="AC139" s="6" t="s">
        <v>11</v>
      </c>
      <c r="AD139" s="5" t="s">
        <v>925</v>
      </c>
      <c r="AE139" s="5" t="s">
        <v>354</v>
      </c>
      <c r="AF139" s="5" t="s">
        <v>354</v>
      </c>
      <c r="AG139" s="5" t="s">
        <v>354</v>
      </c>
      <c r="AH139" s="5" t="s">
        <v>354</v>
      </c>
      <c r="AI139" s="6" t="str">
        <f t="shared" si="5"/>
        <v>No</v>
      </c>
      <c r="AJ139" s="6" t="s">
        <v>926</v>
      </c>
      <c r="AK139" s="6" t="s">
        <v>151</v>
      </c>
      <c r="AL139" s="6">
        <f>MATCH(AA139,{"Low","Medium","High"},0)*MATCH(AB139,{"Low","Medium","High"},0)*INDEX({3,2,2,1,1},MATCH(X139,{"Core","Vertical extension","Differentiator","Future","Adjacent"},0))</f>
        <v>6</v>
      </c>
      <c r="AM139" s="5"/>
      <c r="AN139" s="5"/>
      <c r="AO139" s="5"/>
      <c r="AP139" s="5"/>
      <c r="AQ139" s="5"/>
      <c r="AR139" s="5"/>
      <c r="AS139" s="5"/>
      <c r="AT139" s="5"/>
      <c r="AU139" s="6" t="s">
        <v>927</v>
      </c>
      <c r="AV139" s="6" t="s">
        <v>1315</v>
      </c>
      <c r="AW139" s="6" t="s">
        <v>1315</v>
      </c>
      <c r="AX139" s="6" t="s">
        <v>1003</v>
      </c>
      <c r="AY139" s="6" t="s">
        <v>930</v>
      </c>
      <c r="AZ139" s="6"/>
      <c r="BA139" s="6"/>
      <c r="BB139" s="6"/>
      <c r="BC139" s="6" t="s">
        <v>97</v>
      </c>
      <c r="BD139" s="6" t="s">
        <v>97</v>
      </c>
    </row>
    <row r="140" spans="1:56" ht="32" customHeight="1" x14ac:dyDescent="0.35">
      <c r="A140" s="13" t="s">
        <v>1824</v>
      </c>
      <c r="B140" s="6" t="s">
        <v>910</v>
      </c>
      <c r="C140" s="5" t="s">
        <v>1344</v>
      </c>
      <c r="D140" s="5" t="s">
        <v>835</v>
      </c>
      <c r="E140" s="5" t="s">
        <v>1825</v>
      </c>
      <c r="F140" s="5" t="s">
        <v>1344</v>
      </c>
      <c r="G140" s="5" t="s">
        <v>1826</v>
      </c>
      <c r="H140" s="5" t="s">
        <v>1827</v>
      </c>
      <c r="I140" s="5" t="s">
        <v>1828</v>
      </c>
      <c r="J140" s="17" t="s">
        <v>121</v>
      </c>
      <c r="K140" s="17" t="s">
        <v>181</v>
      </c>
      <c r="L140" s="5" t="s">
        <v>1829</v>
      </c>
      <c r="M140" s="6" t="s">
        <v>197</v>
      </c>
      <c r="N140" s="6" t="s">
        <v>809</v>
      </c>
      <c r="O140" s="6" t="s">
        <v>121</v>
      </c>
      <c r="P140" s="5" t="s">
        <v>918</v>
      </c>
      <c r="Q140" s="18" t="s">
        <v>186</v>
      </c>
      <c r="R140" s="5" t="s">
        <v>1021</v>
      </c>
      <c r="S140" s="6" t="s">
        <v>1076</v>
      </c>
      <c r="T140" s="5" t="s">
        <v>1077</v>
      </c>
      <c r="U140" s="6"/>
      <c r="V140" s="6" t="s">
        <v>1078</v>
      </c>
      <c r="W140" s="6" t="s">
        <v>331</v>
      </c>
      <c r="X140" s="5" t="s">
        <v>922</v>
      </c>
      <c r="Y140" s="5" t="s">
        <v>1830</v>
      </c>
      <c r="Z140" s="5" t="str">
        <f t="shared" si="4"/>
        <v>Medium</v>
      </c>
      <c r="AA140" s="5" t="s">
        <v>956</v>
      </c>
      <c r="AB140" s="6" t="s">
        <v>924</v>
      </c>
      <c r="AC140" s="6" t="s">
        <v>103</v>
      </c>
      <c r="AD140" s="5" t="s">
        <v>940</v>
      </c>
      <c r="AE140" s="5" t="s">
        <v>354</v>
      </c>
      <c r="AF140" s="5" t="s">
        <v>354</v>
      </c>
      <c r="AG140" s="5" t="s">
        <v>354</v>
      </c>
      <c r="AH140" s="5" t="s">
        <v>354</v>
      </c>
      <c r="AI140" s="6" t="str">
        <f t="shared" si="5"/>
        <v>No</v>
      </c>
      <c r="AJ140" s="6" t="s">
        <v>941</v>
      </c>
      <c r="AK140" s="6" t="s">
        <v>121</v>
      </c>
      <c r="AL140" s="6">
        <f>MATCH(AA140,{"Low","Medium","High"},0)*MATCH(AB140,{"Low","Medium","High"},0)*INDEX({3,2,2,1,1},MATCH(X140,{"Core","Vertical extension","Differentiator","Future","Adjacent"},0))</f>
        <v>6</v>
      </c>
      <c r="AM140" s="5"/>
      <c r="AN140" s="5"/>
      <c r="AO140" s="5"/>
      <c r="AP140" s="5"/>
      <c r="AQ140" s="5"/>
      <c r="AR140" s="5"/>
      <c r="AS140" s="5"/>
      <c r="AT140" s="5"/>
      <c r="AU140" s="6" t="s">
        <v>927</v>
      </c>
      <c r="AV140" s="6" t="s">
        <v>1344</v>
      </c>
      <c r="AW140" s="6" t="s">
        <v>1344</v>
      </c>
      <c r="AX140" s="6" t="s">
        <v>929</v>
      </c>
      <c r="AY140" s="6" t="s">
        <v>930</v>
      </c>
      <c r="AZ140" s="6"/>
      <c r="BA140" s="6" t="s">
        <v>1831</v>
      </c>
      <c r="BB140" s="6" t="s">
        <v>1832</v>
      </c>
      <c r="BC140" s="6" t="s">
        <v>97</v>
      </c>
      <c r="BD140" s="6" t="s">
        <v>97</v>
      </c>
    </row>
    <row r="141" spans="1:56" ht="32" customHeight="1" x14ac:dyDescent="0.35">
      <c r="A141" s="13" t="s">
        <v>1833</v>
      </c>
      <c r="B141" s="6" t="s">
        <v>910</v>
      </c>
      <c r="C141" s="5" t="s">
        <v>1344</v>
      </c>
      <c r="D141" s="5" t="s">
        <v>835</v>
      </c>
      <c r="E141" s="5" t="s">
        <v>1834</v>
      </c>
      <c r="F141" s="5" t="s">
        <v>1344</v>
      </c>
      <c r="G141" s="5" t="s">
        <v>1101</v>
      </c>
      <c r="H141" s="5" t="s">
        <v>1835</v>
      </c>
      <c r="I141" s="5" t="s">
        <v>1836</v>
      </c>
      <c r="J141" s="17" t="s">
        <v>121</v>
      </c>
      <c r="K141" s="17" t="s">
        <v>181</v>
      </c>
      <c r="L141" s="5" t="s">
        <v>1837</v>
      </c>
      <c r="M141" s="6" t="s">
        <v>197</v>
      </c>
      <c r="N141" s="6" t="s">
        <v>809</v>
      </c>
      <c r="O141" s="6" t="s">
        <v>121</v>
      </c>
      <c r="P141" s="5" t="s">
        <v>918</v>
      </c>
      <c r="Q141" s="17" t="s">
        <v>182</v>
      </c>
      <c r="R141" s="5"/>
      <c r="S141" s="6" t="s">
        <v>1076</v>
      </c>
      <c r="T141" s="5" t="s">
        <v>1077</v>
      </c>
      <c r="U141" s="6"/>
      <c r="V141" s="6" t="s">
        <v>1078</v>
      </c>
      <c r="W141" s="6" t="s">
        <v>331</v>
      </c>
      <c r="X141" s="5" t="s">
        <v>922</v>
      </c>
      <c r="Y141" s="5" t="s">
        <v>1830</v>
      </c>
      <c r="Z141" s="5" t="str">
        <f t="shared" si="4"/>
        <v>Medium</v>
      </c>
      <c r="AA141" s="5" t="s">
        <v>956</v>
      </c>
      <c r="AB141" s="6" t="s">
        <v>924</v>
      </c>
      <c r="AC141" s="6" t="s">
        <v>103</v>
      </c>
      <c r="AD141" s="5" t="s">
        <v>925</v>
      </c>
      <c r="AE141" s="5" t="s">
        <v>354</v>
      </c>
      <c r="AF141" s="5" t="s">
        <v>354</v>
      </c>
      <c r="AG141" s="5" t="s">
        <v>354</v>
      </c>
      <c r="AH141" s="5" t="s">
        <v>354</v>
      </c>
      <c r="AI141" s="6" t="str">
        <f t="shared" si="5"/>
        <v>No</v>
      </c>
      <c r="AJ141" s="6" t="s">
        <v>926</v>
      </c>
      <c r="AK141" s="6" t="s">
        <v>121</v>
      </c>
      <c r="AL141" s="6">
        <f>MATCH(AA141,{"Low","Medium","High"},0)*MATCH(AB141,{"Low","Medium","High"},0)*INDEX({3,2,2,1,1},MATCH(X141,{"Core","Vertical extension","Differentiator","Future","Adjacent"},0))</f>
        <v>6</v>
      </c>
      <c r="AM141" s="5"/>
      <c r="AN141" s="5"/>
      <c r="AO141" s="5"/>
      <c r="AP141" s="5"/>
      <c r="AQ141" s="5"/>
      <c r="AR141" s="5"/>
      <c r="AS141" s="5"/>
      <c r="AT141" s="5"/>
      <c r="AU141" s="6" t="s">
        <v>927</v>
      </c>
      <c r="AV141" s="6" t="s">
        <v>1344</v>
      </c>
      <c r="AW141" s="6" t="s">
        <v>1344</v>
      </c>
      <c r="AX141" s="6" t="s">
        <v>929</v>
      </c>
      <c r="AY141" s="6" t="s">
        <v>930</v>
      </c>
      <c r="AZ141" s="6"/>
      <c r="BA141" s="6"/>
      <c r="BB141" s="6"/>
      <c r="BC141" s="6" t="s">
        <v>97</v>
      </c>
      <c r="BD141" s="6" t="s">
        <v>97</v>
      </c>
    </row>
    <row r="142" spans="1:56" ht="32" customHeight="1" x14ac:dyDescent="0.35">
      <c r="A142" s="13" t="s">
        <v>1838</v>
      </c>
      <c r="B142" s="6" t="s">
        <v>910</v>
      </c>
      <c r="C142" s="5" t="s">
        <v>1344</v>
      </c>
      <c r="D142" s="5" t="s">
        <v>835</v>
      </c>
      <c r="E142" s="5" t="s">
        <v>1839</v>
      </c>
      <c r="F142" s="5" t="s">
        <v>1344</v>
      </c>
      <c r="G142" s="5" t="s">
        <v>1826</v>
      </c>
      <c r="H142" s="5" t="s">
        <v>1827</v>
      </c>
      <c r="I142" s="5" t="s">
        <v>1828</v>
      </c>
      <c r="J142" s="17" t="s">
        <v>121</v>
      </c>
      <c r="K142" s="17" t="s">
        <v>181</v>
      </c>
      <c r="L142" s="5" t="s">
        <v>1829</v>
      </c>
      <c r="M142" s="6" t="s">
        <v>197</v>
      </c>
      <c r="N142" s="6" t="s">
        <v>809</v>
      </c>
      <c r="O142" s="6" t="s">
        <v>121</v>
      </c>
      <c r="P142" s="5" t="s">
        <v>918</v>
      </c>
      <c r="Q142" s="18" t="s">
        <v>186</v>
      </c>
      <c r="R142" s="5" t="s">
        <v>1021</v>
      </c>
      <c r="S142" s="6" t="s">
        <v>1076</v>
      </c>
      <c r="T142" s="5" t="s">
        <v>1077</v>
      </c>
      <c r="U142" s="6"/>
      <c r="V142" s="6" t="s">
        <v>1078</v>
      </c>
      <c r="W142" s="6" t="s">
        <v>331</v>
      </c>
      <c r="X142" s="5" t="s">
        <v>922</v>
      </c>
      <c r="Y142" s="5" t="s">
        <v>1830</v>
      </c>
      <c r="Z142" s="5" t="str">
        <f t="shared" si="4"/>
        <v>Medium</v>
      </c>
      <c r="AA142" s="5" t="s">
        <v>956</v>
      </c>
      <c r="AB142" s="6" t="s">
        <v>924</v>
      </c>
      <c r="AC142" s="6" t="s">
        <v>103</v>
      </c>
      <c r="AD142" s="5" t="s">
        <v>940</v>
      </c>
      <c r="AE142" s="5" t="s">
        <v>354</v>
      </c>
      <c r="AF142" s="5" t="s">
        <v>354</v>
      </c>
      <c r="AG142" s="5" t="s">
        <v>354</v>
      </c>
      <c r="AH142" s="5" t="s">
        <v>354</v>
      </c>
      <c r="AI142" s="6" t="str">
        <f t="shared" si="5"/>
        <v>No</v>
      </c>
      <c r="AJ142" s="6" t="s">
        <v>941</v>
      </c>
      <c r="AK142" s="6" t="s">
        <v>121</v>
      </c>
      <c r="AL142" s="6">
        <f>MATCH(AA142,{"Low","Medium","High"},0)*MATCH(AB142,{"Low","Medium","High"},0)*INDEX({3,2,2,1,1},MATCH(X142,{"Core","Vertical extension","Differentiator","Future","Adjacent"},0))</f>
        <v>6</v>
      </c>
      <c r="AM142" s="5"/>
      <c r="AN142" s="5"/>
      <c r="AO142" s="5"/>
      <c r="AP142" s="5"/>
      <c r="AQ142" s="5"/>
      <c r="AR142" s="5"/>
      <c r="AS142" s="5"/>
      <c r="AT142" s="5"/>
      <c r="AU142" s="6" t="s">
        <v>927</v>
      </c>
      <c r="AV142" s="6" t="s">
        <v>1344</v>
      </c>
      <c r="AW142" s="6" t="s">
        <v>1344</v>
      </c>
      <c r="AX142" s="6" t="s">
        <v>929</v>
      </c>
      <c r="AY142" s="6" t="s">
        <v>930</v>
      </c>
      <c r="AZ142" s="6"/>
      <c r="BA142" s="6" t="s">
        <v>1831</v>
      </c>
      <c r="BB142" s="6" t="s">
        <v>1832</v>
      </c>
      <c r="BC142" s="6" t="s">
        <v>97</v>
      </c>
      <c r="BD142" s="6" t="s">
        <v>97</v>
      </c>
    </row>
    <row r="143" spans="1:56" ht="32" customHeight="1" x14ac:dyDescent="0.35">
      <c r="A143" s="13" t="s">
        <v>1840</v>
      </c>
      <c r="B143" s="6" t="s">
        <v>910</v>
      </c>
      <c r="C143" s="5" t="s">
        <v>1344</v>
      </c>
      <c r="D143" s="5" t="s">
        <v>835</v>
      </c>
      <c r="E143" s="5" t="s">
        <v>1841</v>
      </c>
      <c r="F143" s="5" t="s">
        <v>1842</v>
      </c>
      <c r="G143" s="5" t="s">
        <v>1101</v>
      </c>
      <c r="H143" s="5" t="s">
        <v>1843</v>
      </c>
      <c r="I143" s="5" t="s">
        <v>1844</v>
      </c>
      <c r="J143" s="17" t="s">
        <v>121</v>
      </c>
      <c r="K143" s="17" t="s">
        <v>181</v>
      </c>
      <c r="L143" s="5" t="s">
        <v>1845</v>
      </c>
      <c r="M143" s="6" t="s">
        <v>197</v>
      </c>
      <c r="N143" s="6" t="s">
        <v>809</v>
      </c>
      <c r="O143" s="6" t="s">
        <v>121</v>
      </c>
      <c r="P143" s="5" t="s">
        <v>918</v>
      </c>
      <c r="Q143" s="17" t="s">
        <v>182</v>
      </c>
      <c r="R143" s="5"/>
      <c r="S143" s="6" t="s">
        <v>1076</v>
      </c>
      <c r="T143" s="5" t="s">
        <v>1077</v>
      </c>
      <c r="U143" s="6"/>
      <c r="V143" s="6" t="s">
        <v>1078</v>
      </c>
      <c r="W143" s="6" t="s">
        <v>331</v>
      </c>
      <c r="X143" s="5" t="s">
        <v>922</v>
      </c>
      <c r="Y143" s="5" t="s">
        <v>1830</v>
      </c>
      <c r="Z143" s="5" t="str">
        <f t="shared" si="4"/>
        <v>Medium</v>
      </c>
      <c r="AA143" s="5" t="s">
        <v>956</v>
      </c>
      <c r="AB143" s="6" t="s">
        <v>924</v>
      </c>
      <c r="AC143" s="6" t="s">
        <v>103</v>
      </c>
      <c r="AD143" s="5" t="s">
        <v>925</v>
      </c>
      <c r="AE143" s="5" t="s">
        <v>354</v>
      </c>
      <c r="AF143" s="5" t="s">
        <v>354</v>
      </c>
      <c r="AG143" s="5" t="s">
        <v>354</v>
      </c>
      <c r="AH143" s="5" t="s">
        <v>354</v>
      </c>
      <c r="AI143" s="6" t="str">
        <f t="shared" si="5"/>
        <v>No</v>
      </c>
      <c r="AJ143" s="6" t="s">
        <v>926</v>
      </c>
      <c r="AK143" s="6" t="s">
        <v>121</v>
      </c>
      <c r="AL143" s="6">
        <f>MATCH(AA143,{"Low","Medium","High"},0)*MATCH(AB143,{"Low","Medium","High"},0)*INDEX({3,2,2,1,1},MATCH(X143,{"Core","Vertical extension","Differentiator","Future","Adjacent"},0))</f>
        <v>6</v>
      </c>
      <c r="AM143" s="5"/>
      <c r="AN143" s="5"/>
      <c r="AO143" s="5"/>
      <c r="AP143" s="5"/>
      <c r="AQ143" s="5"/>
      <c r="AR143" s="5"/>
      <c r="AS143" s="5"/>
      <c r="AT143" s="5"/>
      <c r="AU143" s="6" t="s">
        <v>927</v>
      </c>
      <c r="AV143" s="6" t="s">
        <v>1344</v>
      </c>
      <c r="AW143" s="6" t="s">
        <v>1344</v>
      </c>
      <c r="AX143" s="6" t="s">
        <v>929</v>
      </c>
      <c r="AY143" s="6" t="s">
        <v>930</v>
      </c>
      <c r="AZ143" s="6"/>
      <c r="BA143" s="6"/>
      <c r="BB143" s="6"/>
      <c r="BC143" s="6" t="s">
        <v>97</v>
      </c>
      <c r="BD143" s="6" t="s">
        <v>97</v>
      </c>
    </row>
    <row r="144" spans="1:56" ht="32" customHeight="1" x14ac:dyDescent="0.35">
      <c r="A144" s="13" t="s">
        <v>1846</v>
      </c>
      <c r="B144" s="6" t="s">
        <v>910</v>
      </c>
      <c r="C144" s="5" t="s">
        <v>1344</v>
      </c>
      <c r="D144" s="5" t="s">
        <v>835</v>
      </c>
      <c r="E144" s="5" t="s">
        <v>1847</v>
      </c>
      <c r="F144" s="5" t="s">
        <v>1344</v>
      </c>
      <c r="G144" s="5" t="s">
        <v>1101</v>
      </c>
      <c r="H144" s="5" t="s">
        <v>1848</v>
      </c>
      <c r="I144" s="5" t="s">
        <v>1849</v>
      </c>
      <c r="J144" s="17" t="s">
        <v>121</v>
      </c>
      <c r="K144" s="17" t="s">
        <v>181</v>
      </c>
      <c r="L144" s="5" t="s">
        <v>1850</v>
      </c>
      <c r="M144" s="6" t="s">
        <v>197</v>
      </c>
      <c r="N144" s="6" t="s">
        <v>809</v>
      </c>
      <c r="O144" s="6" t="s">
        <v>121</v>
      </c>
      <c r="P144" s="5" t="s">
        <v>918</v>
      </c>
      <c r="Q144" s="17" t="s">
        <v>182</v>
      </c>
      <c r="R144" s="5"/>
      <c r="S144" s="6" t="s">
        <v>1076</v>
      </c>
      <c r="T144" s="5" t="s">
        <v>1077</v>
      </c>
      <c r="U144" s="6"/>
      <c r="V144" s="6" t="s">
        <v>1078</v>
      </c>
      <c r="W144" s="6" t="s">
        <v>331</v>
      </c>
      <c r="X144" s="5" t="s">
        <v>922</v>
      </c>
      <c r="Y144" s="5" t="s">
        <v>1830</v>
      </c>
      <c r="Z144" s="5" t="str">
        <f t="shared" si="4"/>
        <v>Medium</v>
      </c>
      <c r="AA144" s="5" t="s">
        <v>956</v>
      </c>
      <c r="AB144" s="6" t="s">
        <v>924</v>
      </c>
      <c r="AC144" s="6" t="s">
        <v>103</v>
      </c>
      <c r="AD144" s="5" t="s">
        <v>925</v>
      </c>
      <c r="AE144" s="5" t="s">
        <v>354</v>
      </c>
      <c r="AF144" s="5" t="s">
        <v>354</v>
      </c>
      <c r="AG144" s="5" t="s">
        <v>354</v>
      </c>
      <c r="AH144" s="5" t="s">
        <v>354</v>
      </c>
      <c r="AI144" s="6" t="str">
        <f t="shared" si="5"/>
        <v>No</v>
      </c>
      <c r="AJ144" s="6" t="s">
        <v>926</v>
      </c>
      <c r="AK144" s="6" t="s">
        <v>121</v>
      </c>
      <c r="AL144" s="6">
        <f>MATCH(AA144,{"Low","Medium","High"},0)*MATCH(AB144,{"Low","Medium","High"},0)*INDEX({3,2,2,1,1},MATCH(X144,{"Core","Vertical extension","Differentiator","Future","Adjacent"},0))</f>
        <v>6</v>
      </c>
      <c r="AM144" s="5"/>
      <c r="AN144" s="5"/>
      <c r="AO144" s="5"/>
      <c r="AP144" s="5"/>
      <c r="AQ144" s="5"/>
      <c r="AR144" s="5"/>
      <c r="AS144" s="5"/>
      <c r="AT144" s="5"/>
      <c r="AU144" s="6" t="s">
        <v>927</v>
      </c>
      <c r="AV144" s="6" t="s">
        <v>1344</v>
      </c>
      <c r="AW144" s="6" t="s">
        <v>1344</v>
      </c>
      <c r="AX144" s="6" t="s">
        <v>929</v>
      </c>
      <c r="AY144" s="6" t="s">
        <v>930</v>
      </c>
      <c r="AZ144" s="6"/>
      <c r="BA144" s="6"/>
      <c r="BB144" s="6"/>
      <c r="BC144" s="6" t="s">
        <v>97</v>
      </c>
      <c r="BD144" s="6" t="s">
        <v>97</v>
      </c>
    </row>
    <row r="145" spans="1:56" ht="32" customHeight="1" x14ac:dyDescent="0.35">
      <c r="A145" s="13" t="s">
        <v>1851</v>
      </c>
      <c r="B145" s="6" t="s">
        <v>910</v>
      </c>
      <c r="C145" s="5" t="s">
        <v>1344</v>
      </c>
      <c r="D145" s="5" t="s">
        <v>829</v>
      </c>
      <c r="E145" s="5" t="s">
        <v>1852</v>
      </c>
      <c r="F145" s="5" t="s">
        <v>1842</v>
      </c>
      <c r="G145" s="5" t="s">
        <v>1101</v>
      </c>
      <c r="H145" s="5" t="s">
        <v>1853</v>
      </c>
      <c r="I145" s="5" t="s">
        <v>1854</v>
      </c>
      <c r="J145" s="17" t="s">
        <v>121</v>
      </c>
      <c r="K145" s="17" t="s">
        <v>181</v>
      </c>
      <c r="L145" s="5" t="s">
        <v>1855</v>
      </c>
      <c r="M145" s="6" t="s">
        <v>197</v>
      </c>
      <c r="N145" s="6" t="s">
        <v>809</v>
      </c>
      <c r="O145" s="6" t="s">
        <v>121</v>
      </c>
      <c r="P145" s="5" t="s">
        <v>918</v>
      </c>
      <c r="Q145" s="17" t="s">
        <v>182</v>
      </c>
      <c r="R145" s="5"/>
      <c r="S145" s="6" t="s">
        <v>980</v>
      </c>
      <c r="T145" s="5" t="s">
        <v>981</v>
      </c>
      <c r="U145" s="6"/>
      <c r="V145" s="6" t="s">
        <v>982</v>
      </c>
      <c r="W145" s="6" t="s">
        <v>331</v>
      </c>
      <c r="X145" s="5" t="s">
        <v>922</v>
      </c>
      <c r="Y145" s="5" t="s">
        <v>1830</v>
      </c>
      <c r="Z145" s="5" t="str">
        <f t="shared" si="4"/>
        <v>High</v>
      </c>
      <c r="AA145" s="5" t="s">
        <v>923</v>
      </c>
      <c r="AB145" s="6" t="s">
        <v>924</v>
      </c>
      <c r="AC145" s="6" t="s">
        <v>103</v>
      </c>
      <c r="AD145" s="5" t="s">
        <v>925</v>
      </c>
      <c r="AE145" s="5" t="s">
        <v>354</v>
      </c>
      <c r="AF145" s="5" t="s">
        <v>354</v>
      </c>
      <c r="AG145" s="5" t="s">
        <v>354</v>
      </c>
      <c r="AH145" s="5" t="s">
        <v>354</v>
      </c>
      <c r="AI145" s="6" t="str">
        <f t="shared" si="5"/>
        <v>No</v>
      </c>
      <c r="AJ145" s="6" t="s">
        <v>926</v>
      </c>
      <c r="AK145" s="6" t="s">
        <v>121</v>
      </c>
      <c r="AL145" s="6">
        <f>MATCH(AA145,{"Low","Medium","High"},0)*MATCH(AB145,{"Low","Medium","High"},0)*INDEX({3,2,2,1,1},MATCH(X145,{"Core","Vertical extension","Differentiator","Future","Adjacent"},0))</f>
        <v>9</v>
      </c>
      <c r="AM145" s="5"/>
      <c r="AN145" s="5"/>
      <c r="AO145" s="5"/>
      <c r="AP145" s="5"/>
      <c r="AQ145" s="5"/>
      <c r="AR145" s="5"/>
      <c r="AS145" s="5"/>
      <c r="AT145" s="5"/>
      <c r="AU145" s="6" t="s">
        <v>927</v>
      </c>
      <c r="AV145" s="6" t="s">
        <v>1344</v>
      </c>
      <c r="AW145" s="6" t="s">
        <v>1344</v>
      </c>
      <c r="AX145" s="6" t="s">
        <v>929</v>
      </c>
      <c r="AY145" s="6" t="s">
        <v>930</v>
      </c>
      <c r="AZ145" s="6"/>
      <c r="BA145" s="6"/>
      <c r="BB145" s="6"/>
      <c r="BC145" s="6" t="s">
        <v>97</v>
      </c>
      <c r="BD145" s="6" t="s">
        <v>97</v>
      </c>
    </row>
    <row r="146" spans="1:56" ht="32" customHeight="1" x14ac:dyDescent="0.35">
      <c r="A146" s="13" t="s">
        <v>1856</v>
      </c>
      <c r="B146" s="6" t="s">
        <v>910</v>
      </c>
      <c r="C146" s="5" t="s">
        <v>1344</v>
      </c>
      <c r="D146" s="5" t="s">
        <v>835</v>
      </c>
      <c r="E146" s="5" t="s">
        <v>1857</v>
      </c>
      <c r="F146" s="5" t="s">
        <v>1858</v>
      </c>
      <c r="G146" s="5" t="s">
        <v>1101</v>
      </c>
      <c r="H146" s="5" t="s">
        <v>1859</v>
      </c>
      <c r="I146" s="5" t="s">
        <v>1860</v>
      </c>
      <c r="J146" s="17" t="s">
        <v>121</v>
      </c>
      <c r="K146" s="17" t="s">
        <v>181</v>
      </c>
      <c r="L146" s="5" t="s">
        <v>1861</v>
      </c>
      <c r="M146" s="6" t="s">
        <v>197</v>
      </c>
      <c r="N146" s="6" t="s">
        <v>809</v>
      </c>
      <c r="O146" s="6" t="s">
        <v>121</v>
      </c>
      <c r="P146" s="5" t="s">
        <v>918</v>
      </c>
      <c r="Q146" s="17" t="s">
        <v>182</v>
      </c>
      <c r="R146" s="5"/>
      <c r="S146" s="6" t="s">
        <v>1076</v>
      </c>
      <c r="T146" s="5" t="s">
        <v>1077</v>
      </c>
      <c r="U146" s="6"/>
      <c r="V146" s="6" t="s">
        <v>1078</v>
      </c>
      <c r="W146" s="6" t="s">
        <v>331</v>
      </c>
      <c r="X146" s="5" t="s">
        <v>922</v>
      </c>
      <c r="Y146" s="5" t="s">
        <v>1830</v>
      </c>
      <c r="Z146" s="5" t="str">
        <f t="shared" si="4"/>
        <v>Medium</v>
      </c>
      <c r="AA146" s="5" t="s">
        <v>956</v>
      </c>
      <c r="AB146" s="6" t="s">
        <v>924</v>
      </c>
      <c r="AC146" s="6" t="s">
        <v>103</v>
      </c>
      <c r="AD146" s="5" t="s">
        <v>925</v>
      </c>
      <c r="AE146" s="5" t="s">
        <v>354</v>
      </c>
      <c r="AF146" s="5" t="s">
        <v>354</v>
      </c>
      <c r="AG146" s="5" t="s">
        <v>354</v>
      </c>
      <c r="AH146" s="5" t="s">
        <v>354</v>
      </c>
      <c r="AI146" s="6" t="str">
        <f t="shared" si="5"/>
        <v>No</v>
      </c>
      <c r="AJ146" s="6" t="s">
        <v>926</v>
      </c>
      <c r="AK146" s="6" t="s">
        <v>121</v>
      </c>
      <c r="AL146" s="6">
        <f>MATCH(AA146,{"Low","Medium","High"},0)*MATCH(AB146,{"Low","Medium","High"},0)*INDEX({3,2,2,1,1},MATCH(X146,{"Core","Vertical extension","Differentiator","Future","Adjacent"},0))</f>
        <v>6</v>
      </c>
      <c r="AM146" s="5"/>
      <c r="AN146" s="5"/>
      <c r="AO146" s="5"/>
      <c r="AP146" s="5"/>
      <c r="AQ146" s="5"/>
      <c r="AR146" s="5"/>
      <c r="AS146" s="5"/>
      <c r="AT146" s="5"/>
      <c r="AU146" s="6" t="s">
        <v>927</v>
      </c>
      <c r="AV146" s="6" t="s">
        <v>1344</v>
      </c>
      <c r="AW146" s="6" t="s">
        <v>55</v>
      </c>
      <c r="AX146" s="6" t="s">
        <v>929</v>
      </c>
      <c r="AY146" s="6" t="s">
        <v>930</v>
      </c>
      <c r="AZ146" s="6"/>
      <c r="BA146" s="6" t="s">
        <v>1862</v>
      </c>
      <c r="BB146" s="6" t="s">
        <v>1863</v>
      </c>
      <c r="BC146" s="6" t="s">
        <v>97</v>
      </c>
      <c r="BD146" s="6" t="s">
        <v>97</v>
      </c>
    </row>
    <row r="147" spans="1:56" ht="32" customHeight="1" x14ac:dyDescent="0.35">
      <c r="A147" s="13" t="s">
        <v>1864</v>
      </c>
      <c r="B147" s="6" t="s">
        <v>910</v>
      </c>
      <c r="C147" s="5" t="s">
        <v>1344</v>
      </c>
      <c r="D147" s="5" t="s">
        <v>834</v>
      </c>
      <c r="E147" s="5" t="s">
        <v>1128</v>
      </c>
      <c r="F147" s="5" t="s">
        <v>1344</v>
      </c>
      <c r="G147" s="5" t="s">
        <v>1865</v>
      </c>
      <c r="H147" s="5" t="s">
        <v>1866</v>
      </c>
      <c r="I147" s="5" t="s">
        <v>1867</v>
      </c>
      <c r="J147" s="17" t="s">
        <v>121</v>
      </c>
      <c r="K147" s="17" t="s">
        <v>181</v>
      </c>
      <c r="L147" s="5" t="s">
        <v>1868</v>
      </c>
      <c r="M147" s="6" t="s">
        <v>197</v>
      </c>
      <c r="N147" s="6" t="s">
        <v>809</v>
      </c>
      <c r="O147" s="6" t="s">
        <v>121</v>
      </c>
      <c r="P147" s="5" t="s">
        <v>918</v>
      </c>
      <c r="Q147" s="17" t="s">
        <v>182</v>
      </c>
      <c r="R147" s="5"/>
      <c r="S147" s="6" t="s">
        <v>1000</v>
      </c>
      <c r="T147" s="5" t="s">
        <v>1001</v>
      </c>
      <c r="U147" s="6"/>
      <c r="V147" s="6" t="s">
        <v>1002</v>
      </c>
      <c r="W147" s="6" t="s">
        <v>333</v>
      </c>
      <c r="X147" s="5" t="s">
        <v>922</v>
      </c>
      <c r="Y147" s="5" t="s">
        <v>1830</v>
      </c>
      <c r="Z147" s="5" t="str">
        <f t="shared" si="4"/>
        <v>Critical</v>
      </c>
      <c r="AA147" s="5" t="s">
        <v>923</v>
      </c>
      <c r="AB147" s="6" t="s">
        <v>956</v>
      </c>
      <c r="AC147" s="6" t="s">
        <v>103</v>
      </c>
      <c r="AD147" s="5" t="s">
        <v>925</v>
      </c>
      <c r="AE147" s="5" t="s">
        <v>354</v>
      </c>
      <c r="AF147" s="5" t="s">
        <v>354</v>
      </c>
      <c r="AG147" s="5" t="s">
        <v>354</v>
      </c>
      <c r="AH147" s="5" t="s">
        <v>354</v>
      </c>
      <c r="AI147" s="6" t="str">
        <f t="shared" si="5"/>
        <v>No</v>
      </c>
      <c r="AJ147" s="6" t="s">
        <v>926</v>
      </c>
      <c r="AK147" s="6" t="s">
        <v>121</v>
      </c>
      <c r="AL147" s="6">
        <f>MATCH(AA147,{"Low","Medium","High"},0)*MATCH(AB147,{"Low","Medium","High"},0)*INDEX({3,2,2,1,1},MATCH(X147,{"Core","Vertical extension","Differentiator","Future","Adjacent"},0))</f>
        <v>18</v>
      </c>
      <c r="AM147" s="5"/>
      <c r="AN147" s="5"/>
      <c r="AO147" s="5"/>
      <c r="AP147" s="5"/>
      <c r="AQ147" s="5"/>
      <c r="AR147" s="5"/>
      <c r="AS147" s="5"/>
      <c r="AT147" s="5"/>
      <c r="AU147" s="6" t="s">
        <v>927</v>
      </c>
      <c r="AV147" s="6" t="s">
        <v>1344</v>
      </c>
      <c r="AW147" s="6" t="s">
        <v>1344</v>
      </c>
      <c r="AX147" s="6" t="s">
        <v>929</v>
      </c>
      <c r="AY147" s="6" t="s">
        <v>930</v>
      </c>
      <c r="AZ147" s="6" t="s">
        <v>1869</v>
      </c>
      <c r="BA147" s="6"/>
      <c r="BB147" s="6"/>
      <c r="BC147" s="6" t="s">
        <v>97</v>
      </c>
      <c r="BD147" s="6" t="s">
        <v>97</v>
      </c>
    </row>
    <row r="148" spans="1:56" ht="32" customHeight="1" x14ac:dyDescent="0.35">
      <c r="A148" s="13" t="s">
        <v>1870</v>
      </c>
      <c r="B148" s="6" t="s">
        <v>910</v>
      </c>
      <c r="C148" s="5" t="s">
        <v>1344</v>
      </c>
      <c r="D148" s="5" t="s">
        <v>835</v>
      </c>
      <c r="E148" s="5" t="s">
        <v>1871</v>
      </c>
      <c r="F148" s="5" t="s">
        <v>1344</v>
      </c>
      <c r="G148" s="5" t="s">
        <v>951</v>
      </c>
      <c r="H148" s="5" t="s">
        <v>1872</v>
      </c>
      <c r="I148" s="5" t="s">
        <v>1873</v>
      </c>
      <c r="J148" s="19" t="s">
        <v>151</v>
      </c>
      <c r="K148" s="17" t="s">
        <v>181</v>
      </c>
      <c r="L148" s="5" t="s">
        <v>1874</v>
      </c>
      <c r="M148" s="6" t="s">
        <v>197</v>
      </c>
      <c r="N148" s="6" t="s">
        <v>809</v>
      </c>
      <c r="O148" s="6" t="s">
        <v>151</v>
      </c>
      <c r="P148" s="5" t="s">
        <v>1115</v>
      </c>
      <c r="Q148" s="17" t="s">
        <v>182</v>
      </c>
      <c r="R148" s="5" t="s">
        <v>1115</v>
      </c>
      <c r="S148" s="6" t="s">
        <v>1076</v>
      </c>
      <c r="T148" s="5" t="s">
        <v>1077</v>
      </c>
      <c r="U148" s="6"/>
      <c r="V148" s="6" t="s">
        <v>1078</v>
      </c>
      <c r="W148" s="6" t="s">
        <v>331</v>
      </c>
      <c r="X148" s="5" t="s">
        <v>922</v>
      </c>
      <c r="Y148" s="5" t="s">
        <v>1830</v>
      </c>
      <c r="Z148" s="5" t="str">
        <f t="shared" si="4"/>
        <v>Medium</v>
      </c>
      <c r="AA148" s="5" t="s">
        <v>956</v>
      </c>
      <c r="AB148" s="6" t="s">
        <v>924</v>
      </c>
      <c r="AC148" s="6" t="s">
        <v>11</v>
      </c>
      <c r="AD148" s="5" t="s">
        <v>925</v>
      </c>
      <c r="AE148" s="5" t="s">
        <v>354</v>
      </c>
      <c r="AF148" s="5" t="s">
        <v>354</v>
      </c>
      <c r="AG148" s="5" t="s">
        <v>354</v>
      </c>
      <c r="AH148" s="5" t="s">
        <v>354</v>
      </c>
      <c r="AI148" s="6" t="str">
        <f t="shared" si="5"/>
        <v>No</v>
      </c>
      <c r="AJ148" s="6" t="s">
        <v>926</v>
      </c>
      <c r="AK148" s="6" t="s">
        <v>151</v>
      </c>
      <c r="AL148" s="6">
        <f>MATCH(AA148,{"Low","Medium","High"},0)*MATCH(AB148,{"Low","Medium","High"},0)*INDEX({3,2,2,1,1},MATCH(X148,{"Core","Vertical extension","Differentiator","Future","Adjacent"},0))</f>
        <v>6</v>
      </c>
      <c r="AM148" s="5"/>
      <c r="AN148" s="5"/>
      <c r="AO148" s="5"/>
      <c r="AP148" s="5"/>
      <c r="AQ148" s="5"/>
      <c r="AR148" s="5"/>
      <c r="AS148" s="5"/>
      <c r="AT148" s="5"/>
      <c r="AU148" s="6" t="s">
        <v>927</v>
      </c>
      <c r="AV148" s="6" t="s">
        <v>1344</v>
      </c>
      <c r="AW148" s="6" t="s">
        <v>1344</v>
      </c>
      <c r="AX148" s="6" t="s">
        <v>1003</v>
      </c>
      <c r="AY148" s="6" t="s">
        <v>930</v>
      </c>
      <c r="AZ148" s="6"/>
      <c r="BA148" s="6"/>
      <c r="BB148" s="6"/>
      <c r="BC148" s="6" t="s">
        <v>97</v>
      </c>
      <c r="BD148" s="6" t="s">
        <v>97</v>
      </c>
    </row>
    <row r="149" spans="1:56" ht="32" customHeight="1" x14ac:dyDescent="0.35">
      <c r="A149" s="13" t="s">
        <v>1875</v>
      </c>
      <c r="B149" s="6" t="s">
        <v>910</v>
      </c>
      <c r="C149" s="5" t="s">
        <v>1344</v>
      </c>
      <c r="D149" s="5" t="s">
        <v>835</v>
      </c>
      <c r="E149" s="5" t="s">
        <v>1876</v>
      </c>
      <c r="F149" s="5" t="s">
        <v>1344</v>
      </c>
      <c r="G149" s="5" t="s">
        <v>1322</v>
      </c>
      <c r="H149" s="5" t="s">
        <v>1877</v>
      </c>
      <c r="I149" s="5" t="s">
        <v>1878</v>
      </c>
      <c r="J149" s="19" t="s">
        <v>151</v>
      </c>
      <c r="K149" s="17" t="s">
        <v>181</v>
      </c>
      <c r="L149" s="5" t="s">
        <v>1879</v>
      </c>
      <c r="M149" s="6" t="s">
        <v>197</v>
      </c>
      <c r="N149" s="6" t="s">
        <v>809</v>
      </c>
      <c r="O149" s="6" t="s">
        <v>151</v>
      </c>
      <c r="P149" s="5" t="s">
        <v>1115</v>
      </c>
      <c r="Q149" s="17" t="s">
        <v>182</v>
      </c>
      <c r="R149" s="5" t="s">
        <v>1115</v>
      </c>
      <c r="S149" s="6" t="s">
        <v>1076</v>
      </c>
      <c r="T149" s="5" t="s">
        <v>1077</v>
      </c>
      <c r="U149" s="6"/>
      <c r="V149" s="6" t="s">
        <v>1078</v>
      </c>
      <c r="W149" s="6" t="s">
        <v>331</v>
      </c>
      <c r="X149" s="5" t="s">
        <v>922</v>
      </c>
      <c r="Y149" s="5" t="s">
        <v>1830</v>
      </c>
      <c r="Z149" s="5" t="str">
        <f t="shared" si="4"/>
        <v>Medium</v>
      </c>
      <c r="AA149" s="5" t="s">
        <v>956</v>
      </c>
      <c r="AB149" s="6" t="s">
        <v>924</v>
      </c>
      <c r="AC149" s="6" t="s">
        <v>11</v>
      </c>
      <c r="AD149" s="5" t="s">
        <v>925</v>
      </c>
      <c r="AE149" s="5" t="s">
        <v>354</v>
      </c>
      <c r="AF149" s="5" t="s">
        <v>354</v>
      </c>
      <c r="AG149" s="5" t="s">
        <v>354</v>
      </c>
      <c r="AH149" s="5" t="s">
        <v>354</v>
      </c>
      <c r="AI149" s="6" t="str">
        <f t="shared" si="5"/>
        <v>No</v>
      </c>
      <c r="AJ149" s="6" t="s">
        <v>926</v>
      </c>
      <c r="AK149" s="6" t="s">
        <v>151</v>
      </c>
      <c r="AL149" s="6">
        <f>MATCH(AA149,{"Low","Medium","High"},0)*MATCH(AB149,{"Low","Medium","High"},0)*INDEX({3,2,2,1,1},MATCH(X149,{"Core","Vertical extension","Differentiator","Future","Adjacent"},0))</f>
        <v>6</v>
      </c>
      <c r="AM149" s="5"/>
      <c r="AN149" s="5"/>
      <c r="AO149" s="5"/>
      <c r="AP149" s="5"/>
      <c r="AQ149" s="5"/>
      <c r="AR149" s="5"/>
      <c r="AS149" s="5"/>
      <c r="AT149" s="5"/>
      <c r="AU149" s="6" t="s">
        <v>927</v>
      </c>
      <c r="AV149" s="6" t="s">
        <v>1344</v>
      </c>
      <c r="AW149" s="6" t="s">
        <v>1344</v>
      </c>
      <c r="AX149" s="6" t="s">
        <v>1003</v>
      </c>
      <c r="AY149" s="6" t="s">
        <v>930</v>
      </c>
      <c r="AZ149" s="6"/>
      <c r="BA149" s="6"/>
      <c r="BB149" s="6"/>
      <c r="BC149" s="6" t="s">
        <v>97</v>
      </c>
      <c r="BD149" s="6" t="s">
        <v>97</v>
      </c>
    </row>
    <row r="150" spans="1:56" ht="32" customHeight="1" x14ac:dyDescent="0.35">
      <c r="A150" s="13" t="s">
        <v>1880</v>
      </c>
      <c r="B150" s="6" t="s">
        <v>910</v>
      </c>
      <c r="C150" s="5" t="s">
        <v>1881</v>
      </c>
      <c r="D150" s="5" t="s">
        <v>829</v>
      </c>
      <c r="E150" s="5" t="s">
        <v>1882</v>
      </c>
      <c r="F150" s="5" t="s">
        <v>1881</v>
      </c>
      <c r="G150" s="5" t="s">
        <v>1883</v>
      </c>
      <c r="H150" s="5" t="s">
        <v>1884</v>
      </c>
      <c r="I150" s="5" t="s">
        <v>1885</v>
      </c>
      <c r="J150" s="16" t="s">
        <v>73</v>
      </c>
      <c r="K150" s="17" t="s">
        <v>181</v>
      </c>
      <c r="L150" s="5" t="s">
        <v>1886</v>
      </c>
      <c r="M150" s="6" t="s">
        <v>197</v>
      </c>
      <c r="N150" s="6" t="s">
        <v>809</v>
      </c>
      <c r="O150" s="6" t="s">
        <v>73</v>
      </c>
      <c r="P150" s="5" t="s">
        <v>918</v>
      </c>
      <c r="Q150" s="17" t="s">
        <v>182</v>
      </c>
      <c r="R150" s="5"/>
      <c r="S150" s="6" t="s">
        <v>980</v>
      </c>
      <c r="T150" s="5" t="s">
        <v>981</v>
      </c>
      <c r="U150" s="6"/>
      <c r="V150" s="6" t="s">
        <v>982</v>
      </c>
      <c r="W150" s="6" t="s">
        <v>331</v>
      </c>
      <c r="X150" s="5" t="s">
        <v>922</v>
      </c>
      <c r="Y150" s="5" t="s">
        <v>1405</v>
      </c>
      <c r="Z150" s="5" t="str">
        <f t="shared" si="4"/>
        <v>High</v>
      </c>
      <c r="AA150" s="5" t="s">
        <v>923</v>
      </c>
      <c r="AB150" s="6" t="s">
        <v>924</v>
      </c>
      <c r="AC150" s="6" t="s">
        <v>78</v>
      </c>
      <c r="AD150" s="5" t="s">
        <v>925</v>
      </c>
      <c r="AE150" s="5" t="s">
        <v>354</v>
      </c>
      <c r="AF150" s="5" t="s">
        <v>354</v>
      </c>
      <c r="AG150" s="5" t="s">
        <v>354</v>
      </c>
      <c r="AH150" s="5" t="s">
        <v>354</v>
      </c>
      <c r="AI150" s="6" t="str">
        <f t="shared" si="5"/>
        <v>No</v>
      </c>
      <c r="AJ150" s="6" t="s">
        <v>926</v>
      </c>
      <c r="AK150" s="6" t="s">
        <v>73</v>
      </c>
      <c r="AL150" s="6">
        <f>MATCH(AA150,{"Low","Medium","High"},0)*MATCH(AB150,{"Low","Medium","High"},0)*INDEX({3,2,2,1,1},MATCH(X150,{"Core","Vertical extension","Differentiator","Future","Adjacent"},0))</f>
        <v>9</v>
      </c>
      <c r="AM150" s="5"/>
      <c r="AN150" s="5"/>
      <c r="AO150" s="5"/>
      <c r="AP150" s="5"/>
      <c r="AQ150" s="5"/>
      <c r="AR150" s="5"/>
      <c r="AS150" s="5"/>
      <c r="AT150" s="5"/>
      <c r="AU150" s="6" t="s">
        <v>927</v>
      </c>
      <c r="AV150" s="6" t="s">
        <v>1296</v>
      </c>
      <c r="AW150" s="6" t="s">
        <v>1296</v>
      </c>
      <c r="AX150" s="6" t="s">
        <v>929</v>
      </c>
      <c r="AY150" s="6" t="s">
        <v>930</v>
      </c>
      <c r="AZ150" s="6"/>
      <c r="BA150" s="6"/>
      <c r="BB150" s="6"/>
      <c r="BC150" s="6" t="s">
        <v>97</v>
      </c>
      <c r="BD150" s="6" t="s">
        <v>97</v>
      </c>
    </row>
    <row r="151" spans="1:56" ht="32" customHeight="1" x14ac:dyDescent="0.35">
      <c r="A151" s="13" t="s">
        <v>1887</v>
      </c>
      <c r="B151" s="6" t="s">
        <v>910</v>
      </c>
      <c r="C151" s="5" t="s">
        <v>1881</v>
      </c>
      <c r="D151" s="5" t="s">
        <v>829</v>
      </c>
      <c r="E151" s="5" t="s">
        <v>1888</v>
      </c>
      <c r="F151" s="5" t="s">
        <v>1889</v>
      </c>
      <c r="G151" s="5" t="s">
        <v>1101</v>
      </c>
      <c r="H151" s="5" t="s">
        <v>1890</v>
      </c>
      <c r="I151" s="5" t="s">
        <v>1891</v>
      </c>
      <c r="J151" s="17" t="s">
        <v>121</v>
      </c>
      <c r="K151" s="17" t="s">
        <v>181</v>
      </c>
      <c r="L151" s="5" t="s">
        <v>1892</v>
      </c>
      <c r="M151" s="6" t="s">
        <v>197</v>
      </c>
      <c r="N151" s="6" t="s">
        <v>809</v>
      </c>
      <c r="O151" s="6" t="s">
        <v>121</v>
      </c>
      <c r="P151" s="5" t="s">
        <v>918</v>
      </c>
      <c r="Q151" s="17" t="s">
        <v>182</v>
      </c>
      <c r="R151" s="5"/>
      <c r="S151" s="6" t="s">
        <v>980</v>
      </c>
      <c r="T151" s="5" t="s">
        <v>981</v>
      </c>
      <c r="U151" s="6"/>
      <c r="V151" s="6" t="s">
        <v>982</v>
      </c>
      <c r="W151" s="6" t="s">
        <v>331</v>
      </c>
      <c r="X151" s="5" t="s">
        <v>922</v>
      </c>
      <c r="Y151" s="5" t="s">
        <v>1405</v>
      </c>
      <c r="Z151" s="5" t="str">
        <f t="shared" si="4"/>
        <v>High</v>
      </c>
      <c r="AA151" s="5" t="s">
        <v>923</v>
      </c>
      <c r="AB151" s="6" t="s">
        <v>924</v>
      </c>
      <c r="AC151" s="6" t="s">
        <v>103</v>
      </c>
      <c r="AD151" s="5" t="s">
        <v>925</v>
      </c>
      <c r="AE151" s="5" t="s">
        <v>354</v>
      </c>
      <c r="AF151" s="5" t="s">
        <v>354</v>
      </c>
      <c r="AG151" s="5" t="s">
        <v>354</v>
      </c>
      <c r="AH151" s="5" t="s">
        <v>354</v>
      </c>
      <c r="AI151" s="6" t="str">
        <f t="shared" si="5"/>
        <v>No</v>
      </c>
      <c r="AJ151" s="6" t="s">
        <v>926</v>
      </c>
      <c r="AK151" s="6" t="s">
        <v>121</v>
      </c>
      <c r="AL151" s="6">
        <f>MATCH(AA151,{"Low","Medium","High"},0)*MATCH(AB151,{"Low","Medium","High"},0)*INDEX({3,2,2,1,1},MATCH(X151,{"Core","Vertical extension","Differentiator","Future","Adjacent"},0))</f>
        <v>9</v>
      </c>
      <c r="AM151" s="5"/>
      <c r="AN151" s="5"/>
      <c r="AO151" s="5"/>
      <c r="AP151" s="5"/>
      <c r="AQ151" s="5"/>
      <c r="AR151" s="5"/>
      <c r="AS151" s="5"/>
      <c r="AT151" s="5"/>
      <c r="AU151" s="6" t="s">
        <v>927</v>
      </c>
      <c r="AV151" s="6" t="s">
        <v>1296</v>
      </c>
      <c r="AW151" s="6" t="s">
        <v>1296</v>
      </c>
      <c r="AX151" s="6" t="s">
        <v>929</v>
      </c>
      <c r="AY151" s="6" t="s">
        <v>930</v>
      </c>
      <c r="AZ151" s="6"/>
      <c r="BA151" s="6" t="s">
        <v>1079</v>
      </c>
      <c r="BB151" s="6" t="s">
        <v>1080</v>
      </c>
      <c r="BC151" s="6" t="s">
        <v>97</v>
      </c>
      <c r="BD151" s="6" t="s">
        <v>97</v>
      </c>
    </row>
    <row r="152" spans="1:56" ht="32" customHeight="1" x14ac:dyDescent="0.35">
      <c r="A152" s="13" t="s">
        <v>1893</v>
      </c>
      <c r="B152" s="6" t="s">
        <v>910</v>
      </c>
      <c r="C152" s="5" t="s">
        <v>1881</v>
      </c>
      <c r="D152" s="5" t="s">
        <v>839</v>
      </c>
      <c r="E152" s="5" t="s">
        <v>1894</v>
      </c>
      <c r="F152" s="5" t="s">
        <v>1881</v>
      </c>
      <c r="G152" s="5" t="s">
        <v>1479</v>
      </c>
      <c r="H152" s="5" t="s">
        <v>1895</v>
      </c>
      <c r="I152" s="5" t="s">
        <v>1896</v>
      </c>
      <c r="J152" s="17" t="s">
        <v>121</v>
      </c>
      <c r="K152" s="17" t="s">
        <v>181</v>
      </c>
      <c r="L152" s="5" t="s">
        <v>1897</v>
      </c>
      <c r="M152" s="6" t="s">
        <v>197</v>
      </c>
      <c r="N152" s="6" t="s">
        <v>809</v>
      </c>
      <c r="O152" s="6" t="s">
        <v>121</v>
      </c>
      <c r="P152" s="5" t="s">
        <v>918</v>
      </c>
      <c r="Q152" s="17" t="s">
        <v>182</v>
      </c>
      <c r="R152" s="5"/>
      <c r="S152" s="6" t="s">
        <v>1359</v>
      </c>
      <c r="T152" s="5" t="s">
        <v>1360</v>
      </c>
      <c r="U152" s="6"/>
      <c r="V152" s="6" t="s">
        <v>982</v>
      </c>
      <c r="W152" s="6" t="s">
        <v>331</v>
      </c>
      <c r="X152" s="5" t="s">
        <v>922</v>
      </c>
      <c r="Y152" s="5" t="s">
        <v>1405</v>
      </c>
      <c r="Z152" s="5" t="str">
        <f t="shared" si="4"/>
        <v>Medium</v>
      </c>
      <c r="AA152" s="5" t="s">
        <v>956</v>
      </c>
      <c r="AB152" s="6" t="s">
        <v>924</v>
      </c>
      <c r="AC152" s="6" t="s">
        <v>103</v>
      </c>
      <c r="AD152" s="5" t="s">
        <v>925</v>
      </c>
      <c r="AE152" s="5" t="s">
        <v>354</v>
      </c>
      <c r="AF152" s="5" t="s">
        <v>354</v>
      </c>
      <c r="AG152" s="5" t="s">
        <v>354</v>
      </c>
      <c r="AH152" s="5" t="s">
        <v>354</v>
      </c>
      <c r="AI152" s="6" t="str">
        <f t="shared" si="5"/>
        <v>No</v>
      </c>
      <c r="AJ152" s="6" t="s">
        <v>926</v>
      </c>
      <c r="AK152" s="6" t="s">
        <v>121</v>
      </c>
      <c r="AL152" s="6">
        <f>MATCH(AA152,{"Low","Medium","High"},0)*MATCH(AB152,{"Low","Medium","High"},0)*INDEX({3,2,2,1,1},MATCH(X152,{"Core","Vertical extension","Differentiator","Future","Adjacent"},0))</f>
        <v>6</v>
      </c>
      <c r="AM152" s="5"/>
      <c r="AN152" s="5"/>
      <c r="AO152" s="5"/>
      <c r="AP152" s="5"/>
      <c r="AQ152" s="5"/>
      <c r="AR152" s="5"/>
      <c r="AS152" s="5"/>
      <c r="AT152" s="5"/>
      <c r="AU152" s="6" t="s">
        <v>927</v>
      </c>
      <c r="AV152" s="6" t="s">
        <v>1296</v>
      </c>
      <c r="AW152" s="6" t="s">
        <v>1296</v>
      </c>
      <c r="AX152" s="6" t="s">
        <v>929</v>
      </c>
      <c r="AY152" s="6" t="s">
        <v>930</v>
      </c>
      <c r="AZ152" s="6"/>
      <c r="BA152" s="6" t="s">
        <v>1361</v>
      </c>
      <c r="BB152" s="6" t="s">
        <v>1362</v>
      </c>
      <c r="BC152" s="6" t="s">
        <v>97</v>
      </c>
      <c r="BD152" s="6" t="s">
        <v>97</v>
      </c>
    </row>
    <row r="153" spans="1:56" ht="32" customHeight="1" x14ac:dyDescent="0.35">
      <c r="A153" s="13" t="s">
        <v>1898</v>
      </c>
      <c r="B153" s="6" t="s">
        <v>910</v>
      </c>
      <c r="C153" s="5" t="s">
        <v>1881</v>
      </c>
      <c r="D153" s="5" t="s">
        <v>829</v>
      </c>
      <c r="E153" s="5" t="s">
        <v>1899</v>
      </c>
      <c r="F153" s="5" t="s">
        <v>1881</v>
      </c>
      <c r="G153" s="5" t="s">
        <v>1900</v>
      </c>
      <c r="H153" s="5" t="s">
        <v>1901</v>
      </c>
      <c r="I153" s="5" t="s">
        <v>1902</v>
      </c>
      <c r="J153" s="16" t="s">
        <v>73</v>
      </c>
      <c r="K153" s="17" t="s">
        <v>181</v>
      </c>
      <c r="L153" s="5" t="s">
        <v>1903</v>
      </c>
      <c r="M153" s="6" t="s">
        <v>197</v>
      </c>
      <c r="N153" s="6" t="s">
        <v>809</v>
      </c>
      <c r="O153" s="6" t="s">
        <v>73</v>
      </c>
      <c r="P153" s="5" t="s">
        <v>918</v>
      </c>
      <c r="Q153" s="17" t="s">
        <v>182</v>
      </c>
      <c r="R153" s="5"/>
      <c r="S153" s="6" t="s">
        <v>980</v>
      </c>
      <c r="T153" s="5" t="s">
        <v>981</v>
      </c>
      <c r="U153" s="6"/>
      <c r="V153" s="6" t="s">
        <v>982</v>
      </c>
      <c r="W153" s="6" t="s">
        <v>331</v>
      </c>
      <c r="X153" s="5" t="s">
        <v>922</v>
      </c>
      <c r="Y153" s="5" t="s">
        <v>1405</v>
      </c>
      <c r="Z153" s="5" t="str">
        <f t="shared" si="4"/>
        <v>High</v>
      </c>
      <c r="AA153" s="5" t="s">
        <v>923</v>
      </c>
      <c r="AB153" s="6" t="s">
        <v>924</v>
      </c>
      <c r="AC153" s="6" t="s">
        <v>78</v>
      </c>
      <c r="AD153" s="5" t="s">
        <v>925</v>
      </c>
      <c r="AE153" s="5" t="s">
        <v>354</v>
      </c>
      <c r="AF153" s="5" t="s">
        <v>354</v>
      </c>
      <c r="AG153" s="5" t="s">
        <v>354</v>
      </c>
      <c r="AH153" s="5" t="s">
        <v>354</v>
      </c>
      <c r="AI153" s="6" t="str">
        <f t="shared" si="5"/>
        <v>No</v>
      </c>
      <c r="AJ153" s="6" t="s">
        <v>926</v>
      </c>
      <c r="AK153" s="6" t="s">
        <v>73</v>
      </c>
      <c r="AL153" s="6">
        <f>MATCH(AA153,{"Low","Medium","High"},0)*MATCH(AB153,{"Low","Medium","High"},0)*INDEX({3,2,2,1,1},MATCH(X153,{"Core","Vertical extension","Differentiator","Future","Adjacent"},0))</f>
        <v>9</v>
      </c>
      <c r="AM153" s="5"/>
      <c r="AN153" s="5"/>
      <c r="AO153" s="5"/>
      <c r="AP153" s="5"/>
      <c r="AQ153" s="5"/>
      <c r="AR153" s="5"/>
      <c r="AS153" s="5"/>
      <c r="AT153" s="5"/>
      <c r="AU153" s="6" t="s">
        <v>927</v>
      </c>
      <c r="AV153" s="6" t="s">
        <v>1296</v>
      </c>
      <c r="AW153" s="6" t="s">
        <v>1296</v>
      </c>
      <c r="AX153" s="6" t="s">
        <v>929</v>
      </c>
      <c r="AY153" s="6" t="s">
        <v>930</v>
      </c>
      <c r="AZ153" s="6"/>
      <c r="BA153" s="6" t="s">
        <v>1079</v>
      </c>
      <c r="BB153" s="6" t="s">
        <v>1080</v>
      </c>
      <c r="BC153" s="6" t="s">
        <v>97</v>
      </c>
      <c r="BD153" s="6" t="s">
        <v>97</v>
      </c>
    </row>
    <row r="154" spans="1:56" ht="32" customHeight="1" x14ac:dyDescent="0.35">
      <c r="A154" s="13" t="s">
        <v>1904</v>
      </c>
      <c r="B154" s="6" t="s">
        <v>910</v>
      </c>
      <c r="C154" s="5" t="s">
        <v>1881</v>
      </c>
      <c r="D154" s="5" t="s">
        <v>829</v>
      </c>
      <c r="E154" s="5" t="s">
        <v>1905</v>
      </c>
      <c r="F154" s="5" t="s">
        <v>1881</v>
      </c>
      <c r="G154" s="5" t="s">
        <v>1906</v>
      </c>
      <c r="H154" s="5" t="s">
        <v>1907</v>
      </c>
      <c r="I154" s="5" t="s">
        <v>1908</v>
      </c>
      <c r="J154" s="17" t="s">
        <v>121</v>
      </c>
      <c r="K154" s="17" t="s">
        <v>181</v>
      </c>
      <c r="L154" s="5" t="s">
        <v>1909</v>
      </c>
      <c r="M154" s="6" t="s">
        <v>197</v>
      </c>
      <c r="N154" s="6" t="s">
        <v>809</v>
      </c>
      <c r="O154" s="6" t="s">
        <v>121</v>
      </c>
      <c r="P154" s="5" t="s">
        <v>918</v>
      </c>
      <c r="Q154" s="18" t="s">
        <v>186</v>
      </c>
      <c r="R154" s="5" t="s">
        <v>1429</v>
      </c>
      <c r="S154" s="6" t="s">
        <v>980</v>
      </c>
      <c r="T154" s="5" t="s">
        <v>981</v>
      </c>
      <c r="U154" s="6"/>
      <c r="V154" s="6" t="s">
        <v>982</v>
      </c>
      <c r="W154" s="6" t="s">
        <v>331</v>
      </c>
      <c r="X154" s="5" t="s">
        <v>922</v>
      </c>
      <c r="Y154" s="5" t="s">
        <v>1405</v>
      </c>
      <c r="Z154" s="5" t="str">
        <f t="shared" si="4"/>
        <v>High</v>
      </c>
      <c r="AA154" s="5" t="s">
        <v>923</v>
      </c>
      <c r="AB154" s="6" t="s">
        <v>924</v>
      </c>
      <c r="AC154" s="6" t="s">
        <v>103</v>
      </c>
      <c r="AD154" s="5" t="s">
        <v>940</v>
      </c>
      <c r="AE154" s="5" t="s">
        <v>354</v>
      </c>
      <c r="AF154" s="5" t="s">
        <v>354</v>
      </c>
      <c r="AG154" s="5" t="s">
        <v>354</v>
      </c>
      <c r="AH154" s="5" t="s">
        <v>354</v>
      </c>
      <c r="AI154" s="6" t="str">
        <f t="shared" si="5"/>
        <v>No</v>
      </c>
      <c r="AJ154" s="6" t="s">
        <v>941</v>
      </c>
      <c r="AK154" s="6" t="s">
        <v>121</v>
      </c>
      <c r="AL154" s="6">
        <f>MATCH(AA154,{"Low","Medium","High"},0)*MATCH(AB154,{"Low","Medium","High"},0)*INDEX({3,2,2,1,1},MATCH(X154,{"Core","Vertical extension","Differentiator","Future","Adjacent"},0))</f>
        <v>9</v>
      </c>
      <c r="AM154" s="5"/>
      <c r="AN154" s="5"/>
      <c r="AO154" s="5"/>
      <c r="AP154" s="5"/>
      <c r="AQ154" s="5"/>
      <c r="AR154" s="5"/>
      <c r="AS154" s="5"/>
      <c r="AT154" s="5"/>
      <c r="AU154" s="6" t="s">
        <v>927</v>
      </c>
      <c r="AV154" s="6" t="s">
        <v>1296</v>
      </c>
      <c r="AW154" s="6" t="s">
        <v>1296</v>
      </c>
      <c r="AX154" s="6" t="s">
        <v>929</v>
      </c>
      <c r="AY154" s="6" t="s">
        <v>930</v>
      </c>
      <c r="AZ154" s="6"/>
      <c r="BA154" s="6"/>
      <c r="BB154" s="6"/>
      <c r="BC154" s="6" t="s">
        <v>97</v>
      </c>
      <c r="BD154" s="6" t="s">
        <v>97</v>
      </c>
    </row>
    <row r="155" spans="1:56" ht="32" customHeight="1" x14ac:dyDescent="0.35">
      <c r="A155" s="13" t="s">
        <v>1910</v>
      </c>
      <c r="B155" s="6" t="s">
        <v>910</v>
      </c>
      <c r="C155" s="5" t="s">
        <v>1881</v>
      </c>
      <c r="D155" s="5" t="s">
        <v>841</v>
      </c>
      <c r="E155" s="5" t="s">
        <v>1911</v>
      </c>
      <c r="F155" s="5" t="s">
        <v>1881</v>
      </c>
      <c r="G155" s="5" t="s">
        <v>1912</v>
      </c>
      <c r="H155" s="5" t="s">
        <v>1913</v>
      </c>
      <c r="I155" s="5" t="s">
        <v>1914</v>
      </c>
      <c r="J155" s="17" t="s">
        <v>121</v>
      </c>
      <c r="K155" s="17" t="s">
        <v>181</v>
      </c>
      <c r="L155" s="5" t="s">
        <v>1915</v>
      </c>
      <c r="M155" s="6" t="s">
        <v>197</v>
      </c>
      <c r="N155" s="6" t="s">
        <v>809</v>
      </c>
      <c r="O155" s="6" t="s">
        <v>121</v>
      </c>
      <c r="P155" s="5" t="s">
        <v>918</v>
      </c>
      <c r="Q155" s="18" t="s">
        <v>186</v>
      </c>
      <c r="R155" s="5" t="s">
        <v>1236</v>
      </c>
      <c r="S155" s="6" t="s">
        <v>1038</v>
      </c>
      <c r="T155" s="5" t="s">
        <v>1039</v>
      </c>
      <c r="U155" s="6"/>
      <c r="V155" s="6" t="s">
        <v>921</v>
      </c>
      <c r="W155" s="6" t="s">
        <v>331</v>
      </c>
      <c r="X155" s="5" t="s">
        <v>922</v>
      </c>
      <c r="Y155" s="5" t="s">
        <v>1405</v>
      </c>
      <c r="Z155" s="5" t="str">
        <f t="shared" si="4"/>
        <v>Medium</v>
      </c>
      <c r="AA155" s="5" t="s">
        <v>956</v>
      </c>
      <c r="AB155" s="6" t="s">
        <v>924</v>
      </c>
      <c r="AC155" s="6" t="s">
        <v>103</v>
      </c>
      <c r="AD155" s="5" t="s">
        <v>940</v>
      </c>
      <c r="AE155" s="5" t="s">
        <v>354</v>
      </c>
      <c r="AF155" s="5" t="s">
        <v>354</v>
      </c>
      <c r="AG155" s="5" t="s">
        <v>354</v>
      </c>
      <c r="AH155" s="5" t="s">
        <v>354</v>
      </c>
      <c r="AI155" s="6" t="str">
        <f t="shared" si="5"/>
        <v>No</v>
      </c>
      <c r="AJ155" s="6" t="s">
        <v>941</v>
      </c>
      <c r="AK155" s="6" t="s">
        <v>121</v>
      </c>
      <c r="AL155" s="6">
        <f>MATCH(AA155,{"Low","Medium","High"},0)*MATCH(AB155,{"Low","Medium","High"},0)*INDEX({3,2,2,1,1},MATCH(X155,{"Core","Vertical extension","Differentiator","Future","Adjacent"},0))</f>
        <v>6</v>
      </c>
      <c r="AM155" s="5"/>
      <c r="AN155" s="5"/>
      <c r="AO155" s="5"/>
      <c r="AP155" s="5"/>
      <c r="AQ155" s="5"/>
      <c r="AR155" s="5"/>
      <c r="AS155" s="5"/>
      <c r="AT155" s="5"/>
      <c r="AU155" s="6" t="s">
        <v>927</v>
      </c>
      <c r="AV155" s="6" t="s">
        <v>1296</v>
      </c>
      <c r="AW155" s="6" t="s">
        <v>1296</v>
      </c>
      <c r="AX155" s="6" t="s">
        <v>929</v>
      </c>
      <c r="AY155" s="6" t="s">
        <v>930</v>
      </c>
      <c r="AZ155" s="6"/>
      <c r="BA155" s="6" t="s">
        <v>1916</v>
      </c>
      <c r="BB155" s="6" t="s">
        <v>984</v>
      </c>
      <c r="BC155" s="6" t="s">
        <v>97</v>
      </c>
      <c r="BD155" s="6" t="s">
        <v>97</v>
      </c>
    </row>
    <row r="156" spans="1:56" ht="32" customHeight="1" x14ac:dyDescent="0.35">
      <c r="A156" s="13" t="s">
        <v>1917</v>
      </c>
      <c r="B156" s="6" t="s">
        <v>910</v>
      </c>
      <c r="C156" s="5" t="s">
        <v>1881</v>
      </c>
      <c r="D156" s="5" t="s">
        <v>829</v>
      </c>
      <c r="E156" s="5" t="s">
        <v>1918</v>
      </c>
      <c r="F156" s="5" t="s">
        <v>1881</v>
      </c>
      <c r="G156" s="5" t="s">
        <v>1919</v>
      </c>
      <c r="H156" s="5" t="s">
        <v>1920</v>
      </c>
      <c r="I156" s="5" t="s">
        <v>1921</v>
      </c>
      <c r="J156" s="17" t="s">
        <v>121</v>
      </c>
      <c r="K156" s="17" t="s">
        <v>181</v>
      </c>
      <c r="L156" s="5" t="s">
        <v>1922</v>
      </c>
      <c r="M156" s="6" t="s">
        <v>197</v>
      </c>
      <c r="N156" s="6" t="s">
        <v>809</v>
      </c>
      <c r="O156" s="6" t="s">
        <v>121</v>
      </c>
      <c r="P156" s="5" t="s">
        <v>918</v>
      </c>
      <c r="Q156" s="17" t="s">
        <v>182</v>
      </c>
      <c r="R156" s="5"/>
      <c r="S156" s="6" t="s">
        <v>980</v>
      </c>
      <c r="T156" s="5" t="s">
        <v>981</v>
      </c>
      <c r="U156" s="6"/>
      <c r="V156" s="6" t="s">
        <v>982</v>
      </c>
      <c r="W156" s="6" t="s">
        <v>331</v>
      </c>
      <c r="X156" s="5" t="s">
        <v>922</v>
      </c>
      <c r="Y156" s="5" t="s">
        <v>1405</v>
      </c>
      <c r="Z156" s="5" t="str">
        <f t="shared" si="4"/>
        <v>High</v>
      </c>
      <c r="AA156" s="5" t="s">
        <v>923</v>
      </c>
      <c r="AB156" s="6" t="s">
        <v>924</v>
      </c>
      <c r="AC156" s="6" t="s">
        <v>103</v>
      </c>
      <c r="AD156" s="5" t="s">
        <v>925</v>
      </c>
      <c r="AE156" s="5" t="s">
        <v>354</v>
      </c>
      <c r="AF156" s="5" t="s">
        <v>354</v>
      </c>
      <c r="AG156" s="5" t="s">
        <v>354</v>
      </c>
      <c r="AH156" s="5" t="s">
        <v>354</v>
      </c>
      <c r="AI156" s="6" t="str">
        <f t="shared" si="5"/>
        <v>No</v>
      </c>
      <c r="AJ156" s="6" t="s">
        <v>926</v>
      </c>
      <c r="AK156" s="6" t="s">
        <v>121</v>
      </c>
      <c r="AL156" s="6">
        <f>MATCH(AA156,{"Low","Medium","High"},0)*MATCH(AB156,{"Low","Medium","High"},0)*INDEX({3,2,2,1,1},MATCH(X156,{"Core","Vertical extension","Differentiator","Future","Adjacent"},0))</f>
        <v>9</v>
      </c>
      <c r="AM156" s="5"/>
      <c r="AN156" s="5"/>
      <c r="AO156" s="5"/>
      <c r="AP156" s="5"/>
      <c r="AQ156" s="5"/>
      <c r="AR156" s="5"/>
      <c r="AS156" s="5"/>
      <c r="AT156" s="5"/>
      <c r="AU156" s="6" t="s">
        <v>927</v>
      </c>
      <c r="AV156" s="6" t="s">
        <v>1296</v>
      </c>
      <c r="AW156" s="6" t="s">
        <v>1296</v>
      </c>
      <c r="AX156" s="6" t="s">
        <v>929</v>
      </c>
      <c r="AY156" s="6" t="s">
        <v>930</v>
      </c>
      <c r="AZ156" s="6"/>
      <c r="BA156" s="6" t="s">
        <v>1442</v>
      </c>
      <c r="BB156" s="6" t="s">
        <v>1443</v>
      </c>
      <c r="BC156" s="6" t="s">
        <v>97</v>
      </c>
      <c r="BD156" s="6" t="s">
        <v>97</v>
      </c>
    </row>
    <row r="157" spans="1:56" ht="32" customHeight="1" x14ac:dyDescent="0.35">
      <c r="A157" s="13" t="s">
        <v>1923</v>
      </c>
      <c r="B157" s="6" t="s">
        <v>910</v>
      </c>
      <c r="C157" s="5" t="s">
        <v>1881</v>
      </c>
      <c r="D157" s="5" t="s">
        <v>829</v>
      </c>
      <c r="E157" s="5" t="s">
        <v>1924</v>
      </c>
      <c r="F157" s="5" t="s">
        <v>1881</v>
      </c>
      <c r="G157" s="5" t="s">
        <v>459</v>
      </c>
      <c r="H157" s="5" t="s">
        <v>1925</v>
      </c>
      <c r="I157" s="5" t="s">
        <v>1926</v>
      </c>
      <c r="J157" s="17" t="s">
        <v>121</v>
      </c>
      <c r="K157" s="17" t="s">
        <v>181</v>
      </c>
      <c r="L157" s="5" t="s">
        <v>1927</v>
      </c>
      <c r="M157" s="6" t="s">
        <v>197</v>
      </c>
      <c r="N157" s="6" t="s">
        <v>809</v>
      </c>
      <c r="O157" s="6" t="s">
        <v>121</v>
      </c>
      <c r="P157" s="5" t="s">
        <v>918</v>
      </c>
      <c r="Q157" s="18" t="s">
        <v>186</v>
      </c>
      <c r="R157" s="5" t="s">
        <v>1449</v>
      </c>
      <c r="S157" s="6" t="s">
        <v>980</v>
      </c>
      <c r="T157" s="5" t="s">
        <v>981</v>
      </c>
      <c r="U157" s="6"/>
      <c r="V157" s="6" t="s">
        <v>982</v>
      </c>
      <c r="W157" s="6" t="s">
        <v>331</v>
      </c>
      <c r="X157" s="5" t="s">
        <v>922</v>
      </c>
      <c r="Y157" s="5" t="s">
        <v>1405</v>
      </c>
      <c r="Z157" s="5" t="str">
        <f t="shared" si="4"/>
        <v>High</v>
      </c>
      <c r="AA157" s="5" t="s">
        <v>923</v>
      </c>
      <c r="AB157" s="6" t="s">
        <v>924</v>
      </c>
      <c r="AC157" s="6" t="s">
        <v>103</v>
      </c>
      <c r="AD157" s="5" t="s">
        <v>940</v>
      </c>
      <c r="AE157" s="5" t="s">
        <v>354</v>
      </c>
      <c r="AF157" s="5" t="s">
        <v>354</v>
      </c>
      <c r="AG157" s="5" t="s">
        <v>354</v>
      </c>
      <c r="AH157" s="5" t="s">
        <v>354</v>
      </c>
      <c r="AI157" s="6" t="str">
        <f t="shared" si="5"/>
        <v>No</v>
      </c>
      <c r="AJ157" s="6" t="s">
        <v>941</v>
      </c>
      <c r="AK157" s="6" t="s">
        <v>121</v>
      </c>
      <c r="AL157" s="6">
        <f>MATCH(AA157,{"Low","Medium","High"},0)*MATCH(AB157,{"Low","Medium","High"},0)*INDEX({3,2,2,1,1},MATCH(X157,{"Core","Vertical extension","Differentiator","Future","Adjacent"},0))</f>
        <v>9</v>
      </c>
      <c r="AM157" s="5"/>
      <c r="AN157" s="5"/>
      <c r="AO157" s="5"/>
      <c r="AP157" s="5"/>
      <c r="AQ157" s="5"/>
      <c r="AR157" s="5"/>
      <c r="AS157" s="5"/>
      <c r="AT157" s="5"/>
      <c r="AU157" s="6" t="s">
        <v>927</v>
      </c>
      <c r="AV157" s="6" t="s">
        <v>1296</v>
      </c>
      <c r="AW157" s="6" t="s">
        <v>1296</v>
      </c>
      <c r="AX157" s="6" t="s">
        <v>929</v>
      </c>
      <c r="AY157" s="6" t="s">
        <v>930</v>
      </c>
      <c r="AZ157" s="6"/>
      <c r="BA157" s="6" t="s">
        <v>1442</v>
      </c>
      <c r="BB157" s="6" t="s">
        <v>1443</v>
      </c>
      <c r="BC157" s="6" t="s">
        <v>97</v>
      </c>
      <c r="BD157" s="6" t="s">
        <v>97</v>
      </c>
    </row>
    <row r="158" spans="1:56" ht="32" customHeight="1" x14ac:dyDescent="0.35">
      <c r="A158" s="13" t="s">
        <v>1928</v>
      </c>
      <c r="B158" s="6" t="s">
        <v>910</v>
      </c>
      <c r="C158" s="5" t="s">
        <v>1881</v>
      </c>
      <c r="D158" s="5" t="s">
        <v>829</v>
      </c>
      <c r="E158" s="5" t="s">
        <v>1929</v>
      </c>
      <c r="F158" s="5" t="s">
        <v>1881</v>
      </c>
      <c r="G158" s="5" t="s">
        <v>1930</v>
      </c>
      <c r="H158" s="5" t="s">
        <v>1931</v>
      </c>
      <c r="I158" s="5" t="s">
        <v>1932</v>
      </c>
      <c r="J158" s="17" t="s">
        <v>121</v>
      </c>
      <c r="K158" s="17" t="s">
        <v>181</v>
      </c>
      <c r="L158" s="5" t="s">
        <v>1933</v>
      </c>
      <c r="M158" s="6" t="s">
        <v>197</v>
      </c>
      <c r="N158" s="6" t="s">
        <v>809</v>
      </c>
      <c r="O158" s="6" t="s">
        <v>121</v>
      </c>
      <c r="P158" s="5" t="s">
        <v>918</v>
      </c>
      <c r="Q158" s="17" t="s">
        <v>182</v>
      </c>
      <c r="R158" s="5"/>
      <c r="S158" s="6" t="s">
        <v>980</v>
      </c>
      <c r="T158" s="5" t="s">
        <v>981</v>
      </c>
      <c r="U158" s="6"/>
      <c r="V158" s="6" t="s">
        <v>982</v>
      </c>
      <c r="W158" s="6" t="s">
        <v>331</v>
      </c>
      <c r="X158" s="5" t="s">
        <v>922</v>
      </c>
      <c r="Y158" s="5" t="s">
        <v>1405</v>
      </c>
      <c r="Z158" s="5" t="str">
        <f t="shared" si="4"/>
        <v>High</v>
      </c>
      <c r="AA158" s="5" t="s">
        <v>923</v>
      </c>
      <c r="AB158" s="6" t="s">
        <v>924</v>
      </c>
      <c r="AC158" s="6" t="s">
        <v>103</v>
      </c>
      <c r="AD158" s="5" t="s">
        <v>925</v>
      </c>
      <c r="AE158" s="5" t="s">
        <v>354</v>
      </c>
      <c r="AF158" s="5" t="s">
        <v>354</v>
      </c>
      <c r="AG158" s="5" t="s">
        <v>354</v>
      </c>
      <c r="AH158" s="5" t="s">
        <v>354</v>
      </c>
      <c r="AI158" s="6" t="str">
        <f t="shared" si="5"/>
        <v>No</v>
      </c>
      <c r="AJ158" s="6" t="s">
        <v>926</v>
      </c>
      <c r="AK158" s="6" t="s">
        <v>121</v>
      </c>
      <c r="AL158" s="6">
        <f>MATCH(AA158,{"Low","Medium","High"},0)*MATCH(AB158,{"Low","Medium","High"},0)*INDEX({3,2,2,1,1},MATCH(X158,{"Core","Vertical extension","Differentiator","Future","Adjacent"},0))</f>
        <v>9</v>
      </c>
      <c r="AM158" s="5"/>
      <c r="AN158" s="5"/>
      <c r="AO158" s="5"/>
      <c r="AP158" s="5"/>
      <c r="AQ158" s="5"/>
      <c r="AR158" s="5"/>
      <c r="AS158" s="5"/>
      <c r="AT158" s="5"/>
      <c r="AU158" s="6" t="s">
        <v>927</v>
      </c>
      <c r="AV158" s="6" t="s">
        <v>1296</v>
      </c>
      <c r="AW158" s="6" t="s">
        <v>1296</v>
      </c>
      <c r="AX158" s="6" t="s">
        <v>929</v>
      </c>
      <c r="AY158" s="6" t="s">
        <v>930</v>
      </c>
      <c r="AZ158" s="6"/>
      <c r="BA158" s="6"/>
      <c r="BB158" s="6"/>
      <c r="BC158" s="6" t="s">
        <v>97</v>
      </c>
      <c r="BD158" s="6" t="s">
        <v>97</v>
      </c>
    </row>
    <row r="159" spans="1:56" ht="32" customHeight="1" x14ac:dyDescent="0.35">
      <c r="A159" s="13" t="s">
        <v>1934</v>
      </c>
      <c r="B159" s="6" t="s">
        <v>910</v>
      </c>
      <c r="C159" s="5" t="s">
        <v>1881</v>
      </c>
      <c r="D159" s="5" t="s">
        <v>829</v>
      </c>
      <c r="E159" s="5" t="s">
        <v>1935</v>
      </c>
      <c r="F159" s="5" t="s">
        <v>1881</v>
      </c>
      <c r="G159" s="5" t="s">
        <v>1419</v>
      </c>
      <c r="H159" s="5" t="s">
        <v>1936</v>
      </c>
      <c r="I159" s="5" t="s">
        <v>1937</v>
      </c>
      <c r="J159" s="16" t="s">
        <v>73</v>
      </c>
      <c r="K159" s="17" t="s">
        <v>181</v>
      </c>
      <c r="L159" s="5" t="s">
        <v>1938</v>
      </c>
      <c r="M159" s="6" t="s">
        <v>197</v>
      </c>
      <c r="N159" s="6" t="s">
        <v>809</v>
      </c>
      <c r="O159" s="6" t="s">
        <v>73</v>
      </c>
      <c r="P159" s="5" t="s">
        <v>918</v>
      </c>
      <c r="Q159" s="17" t="s">
        <v>182</v>
      </c>
      <c r="R159" s="5"/>
      <c r="S159" s="6" t="s">
        <v>980</v>
      </c>
      <c r="T159" s="5" t="s">
        <v>981</v>
      </c>
      <c r="U159" s="6"/>
      <c r="V159" s="6" t="s">
        <v>982</v>
      </c>
      <c r="W159" s="6" t="s">
        <v>331</v>
      </c>
      <c r="X159" s="5" t="s">
        <v>922</v>
      </c>
      <c r="Y159" s="5" t="s">
        <v>1405</v>
      </c>
      <c r="Z159" s="5" t="str">
        <f t="shared" si="4"/>
        <v>High</v>
      </c>
      <c r="AA159" s="5" t="s">
        <v>923</v>
      </c>
      <c r="AB159" s="6" t="s">
        <v>924</v>
      </c>
      <c r="AC159" s="6" t="s">
        <v>78</v>
      </c>
      <c r="AD159" s="5" t="s">
        <v>925</v>
      </c>
      <c r="AE159" s="5" t="s">
        <v>354</v>
      </c>
      <c r="AF159" s="5" t="s">
        <v>354</v>
      </c>
      <c r="AG159" s="5" t="s">
        <v>354</v>
      </c>
      <c r="AH159" s="5" t="s">
        <v>354</v>
      </c>
      <c r="AI159" s="6" t="str">
        <f t="shared" si="5"/>
        <v>No</v>
      </c>
      <c r="AJ159" s="6" t="s">
        <v>926</v>
      </c>
      <c r="AK159" s="6" t="s">
        <v>73</v>
      </c>
      <c r="AL159" s="6">
        <f>MATCH(AA159,{"Low","Medium","High"},0)*MATCH(AB159,{"Low","Medium","High"},0)*INDEX({3,2,2,1,1},MATCH(X159,{"Core","Vertical extension","Differentiator","Future","Adjacent"},0))</f>
        <v>9</v>
      </c>
      <c r="AM159" s="5"/>
      <c r="AN159" s="5"/>
      <c r="AO159" s="5"/>
      <c r="AP159" s="5"/>
      <c r="AQ159" s="5"/>
      <c r="AR159" s="5"/>
      <c r="AS159" s="5"/>
      <c r="AT159" s="5"/>
      <c r="AU159" s="6" t="s">
        <v>927</v>
      </c>
      <c r="AV159" s="6" t="s">
        <v>1296</v>
      </c>
      <c r="AW159" s="6" t="s">
        <v>1296</v>
      </c>
      <c r="AX159" s="6" t="s">
        <v>929</v>
      </c>
      <c r="AY159" s="6" t="s">
        <v>930</v>
      </c>
      <c r="AZ159" s="6"/>
      <c r="BA159" s="6"/>
      <c r="BB159" s="6"/>
      <c r="BC159" s="6" t="s">
        <v>97</v>
      </c>
      <c r="BD159" s="6" t="s">
        <v>97</v>
      </c>
    </row>
    <row r="160" spans="1:56" ht="32" customHeight="1" x14ac:dyDescent="0.35">
      <c r="A160" s="13" t="s">
        <v>1939</v>
      </c>
      <c r="B160" s="6" t="s">
        <v>910</v>
      </c>
      <c r="C160" s="5" t="s">
        <v>1881</v>
      </c>
      <c r="D160" s="5" t="s">
        <v>829</v>
      </c>
      <c r="E160" s="5" t="s">
        <v>1940</v>
      </c>
      <c r="F160" s="5" t="s">
        <v>1881</v>
      </c>
      <c r="G160" s="5" t="s">
        <v>1941</v>
      </c>
      <c r="H160" s="5" t="s">
        <v>1942</v>
      </c>
      <c r="I160" s="5" t="s">
        <v>1943</v>
      </c>
      <c r="J160" s="19" t="s">
        <v>151</v>
      </c>
      <c r="K160" s="17" t="s">
        <v>181</v>
      </c>
      <c r="L160" s="5" t="s">
        <v>1944</v>
      </c>
      <c r="M160" s="6" t="s">
        <v>197</v>
      </c>
      <c r="N160" s="6" t="s">
        <v>809</v>
      </c>
      <c r="O160" s="6" t="s">
        <v>151</v>
      </c>
      <c r="P160" s="5" t="s">
        <v>1115</v>
      </c>
      <c r="Q160" s="17" t="s">
        <v>182</v>
      </c>
      <c r="R160" s="5" t="s">
        <v>1115</v>
      </c>
      <c r="S160" s="6" t="s">
        <v>980</v>
      </c>
      <c r="T160" s="5" t="s">
        <v>981</v>
      </c>
      <c r="U160" s="6"/>
      <c r="V160" s="6" t="s">
        <v>982</v>
      </c>
      <c r="W160" s="6" t="s">
        <v>331</v>
      </c>
      <c r="X160" s="5" t="s">
        <v>922</v>
      </c>
      <c r="Y160" s="5" t="s">
        <v>1405</v>
      </c>
      <c r="Z160" s="5" t="str">
        <f t="shared" si="4"/>
        <v>High</v>
      </c>
      <c r="AA160" s="5" t="s">
        <v>923</v>
      </c>
      <c r="AB160" s="6" t="s">
        <v>924</v>
      </c>
      <c r="AC160" s="6" t="s">
        <v>11</v>
      </c>
      <c r="AD160" s="5" t="s">
        <v>925</v>
      </c>
      <c r="AE160" s="5" t="s">
        <v>354</v>
      </c>
      <c r="AF160" s="5" t="s">
        <v>354</v>
      </c>
      <c r="AG160" s="5" t="s">
        <v>354</v>
      </c>
      <c r="AH160" s="5" t="s">
        <v>354</v>
      </c>
      <c r="AI160" s="6" t="str">
        <f t="shared" si="5"/>
        <v>No</v>
      </c>
      <c r="AJ160" s="6" t="s">
        <v>926</v>
      </c>
      <c r="AK160" s="6" t="s">
        <v>151</v>
      </c>
      <c r="AL160" s="6">
        <f>MATCH(AA160,{"Low","Medium","High"},0)*MATCH(AB160,{"Low","Medium","High"},0)*INDEX({3,2,2,1,1},MATCH(X160,{"Core","Vertical extension","Differentiator","Future","Adjacent"},0))</f>
        <v>9</v>
      </c>
      <c r="AM160" s="5"/>
      <c r="AN160" s="5"/>
      <c r="AO160" s="5"/>
      <c r="AP160" s="5"/>
      <c r="AQ160" s="5"/>
      <c r="AR160" s="5"/>
      <c r="AS160" s="5"/>
      <c r="AT160" s="5"/>
      <c r="AU160" s="6" t="s">
        <v>927</v>
      </c>
      <c r="AV160" s="6" t="s">
        <v>1296</v>
      </c>
      <c r="AW160" s="6" t="s">
        <v>1296</v>
      </c>
      <c r="AX160" s="6" t="s">
        <v>1003</v>
      </c>
      <c r="AY160" s="6" t="s">
        <v>930</v>
      </c>
      <c r="AZ160" s="6"/>
      <c r="BA160" s="6"/>
      <c r="BB160" s="6"/>
      <c r="BC160" s="6" t="s">
        <v>97</v>
      </c>
      <c r="BD160" s="6" t="s">
        <v>97</v>
      </c>
    </row>
    <row r="161" spans="1:56" ht="32" customHeight="1" x14ac:dyDescent="0.35">
      <c r="A161" s="13" t="s">
        <v>1945</v>
      </c>
      <c r="B161" s="6" t="s">
        <v>910</v>
      </c>
      <c r="C161" s="5" t="s">
        <v>1881</v>
      </c>
      <c r="D161" s="5" t="s">
        <v>829</v>
      </c>
      <c r="E161" s="5" t="s">
        <v>1946</v>
      </c>
      <c r="F161" s="5" t="s">
        <v>1881</v>
      </c>
      <c r="G161" s="5" t="s">
        <v>1947</v>
      </c>
      <c r="H161" s="5" t="s">
        <v>1948</v>
      </c>
      <c r="I161" s="5" t="s">
        <v>1949</v>
      </c>
      <c r="J161" s="17" t="s">
        <v>121</v>
      </c>
      <c r="K161" s="17" t="s">
        <v>181</v>
      </c>
      <c r="L161" s="5" t="s">
        <v>1950</v>
      </c>
      <c r="M161" s="6" t="s">
        <v>197</v>
      </c>
      <c r="N161" s="6" t="s">
        <v>809</v>
      </c>
      <c r="O161" s="6" t="s">
        <v>121</v>
      </c>
      <c r="P161" s="5" t="s">
        <v>918</v>
      </c>
      <c r="Q161" s="17" t="s">
        <v>182</v>
      </c>
      <c r="R161" s="5"/>
      <c r="S161" s="6" t="s">
        <v>980</v>
      </c>
      <c r="T161" s="5" t="s">
        <v>981</v>
      </c>
      <c r="U161" s="6"/>
      <c r="V161" s="6" t="s">
        <v>982</v>
      </c>
      <c r="W161" s="6" t="s">
        <v>331</v>
      </c>
      <c r="X161" s="5" t="s">
        <v>922</v>
      </c>
      <c r="Y161" s="5" t="s">
        <v>1405</v>
      </c>
      <c r="Z161" s="5" t="str">
        <f t="shared" si="4"/>
        <v>High</v>
      </c>
      <c r="AA161" s="5" t="s">
        <v>923</v>
      </c>
      <c r="AB161" s="6" t="s">
        <v>924</v>
      </c>
      <c r="AC161" s="6" t="s">
        <v>103</v>
      </c>
      <c r="AD161" s="5" t="s">
        <v>925</v>
      </c>
      <c r="AE161" s="5" t="s">
        <v>354</v>
      </c>
      <c r="AF161" s="5" t="s">
        <v>354</v>
      </c>
      <c r="AG161" s="5" t="s">
        <v>354</v>
      </c>
      <c r="AH161" s="5" t="s">
        <v>354</v>
      </c>
      <c r="AI161" s="6" t="str">
        <f t="shared" si="5"/>
        <v>No</v>
      </c>
      <c r="AJ161" s="6" t="s">
        <v>926</v>
      </c>
      <c r="AK161" s="6" t="s">
        <v>121</v>
      </c>
      <c r="AL161" s="6">
        <f>MATCH(AA161,{"Low","Medium","High"},0)*MATCH(AB161,{"Low","Medium","High"},0)*INDEX({3,2,2,1,1},MATCH(X161,{"Core","Vertical extension","Differentiator","Future","Adjacent"},0))</f>
        <v>9</v>
      </c>
      <c r="AM161" s="5"/>
      <c r="AN161" s="5"/>
      <c r="AO161" s="5"/>
      <c r="AP161" s="5"/>
      <c r="AQ161" s="5"/>
      <c r="AR161" s="5"/>
      <c r="AS161" s="5"/>
      <c r="AT161" s="5"/>
      <c r="AU161" s="6" t="s">
        <v>927</v>
      </c>
      <c r="AV161" s="6" t="s">
        <v>1296</v>
      </c>
      <c r="AW161" s="6" t="s">
        <v>1296</v>
      </c>
      <c r="AX161" s="6" t="s">
        <v>929</v>
      </c>
      <c r="AY161" s="6" t="s">
        <v>930</v>
      </c>
      <c r="AZ161" s="6"/>
      <c r="BA161" s="6"/>
      <c r="BB161" s="6"/>
      <c r="BC161" s="6" t="s">
        <v>97</v>
      </c>
      <c r="BD161" s="6" t="s">
        <v>97</v>
      </c>
    </row>
    <row r="162" spans="1:56" ht="32" customHeight="1" x14ac:dyDescent="0.35">
      <c r="A162" s="13" t="s">
        <v>1951</v>
      </c>
      <c r="B162" s="6" t="s">
        <v>910</v>
      </c>
      <c r="C162" s="5" t="s">
        <v>1881</v>
      </c>
      <c r="D162" s="5" t="s">
        <v>829</v>
      </c>
      <c r="E162" s="5" t="s">
        <v>1952</v>
      </c>
      <c r="F162" s="5" t="s">
        <v>1881</v>
      </c>
      <c r="G162" s="5" t="s">
        <v>1459</v>
      </c>
      <c r="H162" s="5" t="s">
        <v>1953</v>
      </c>
      <c r="I162" s="5" t="s">
        <v>1954</v>
      </c>
      <c r="J162" s="17" t="s">
        <v>121</v>
      </c>
      <c r="K162" s="17" t="s">
        <v>181</v>
      </c>
      <c r="L162" s="5" t="s">
        <v>1955</v>
      </c>
      <c r="M162" s="6" t="s">
        <v>197</v>
      </c>
      <c r="N162" s="6" t="s">
        <v>809</v>
      </c>
      <c r="O162" s="6" t="s">
        <v>121</v>
      </c>
      <c r="P162" s="5" t="s">
        <v>918</v>
      </c>
      <c r="Q162" s="17" t="s">
        <v>182</v>
      </c>
      <c r="R162" s="5"/>
      <c r="S162" s="6" t="s">
        <v>980</v>
      </c>
      <c r="T162" s="5" t="s">
        <v>981</v>
      </c>
      <c r="U162" s="6"/>
      <c r="V162" s="6" t="s">
        <v>982</v>
      </c>
      <c r="W162" s="6" t="s">
        <v>331</v>
      </c>
      <c r="X162" s="5" t="s">
        <v>922</v>
      </c>
      <c r="Y162" s="5" t="s">
        <v>1405</v>
      </c>
      <c r="Z162" s="5" t="str">
        <f t="shared" si="4"/>
        <v>High</v>
      </c>
      <c r="AA162" s="5" t="s">
        <v>923</v>
      </c>
      <c r="AB162" s="6" t="s">
        <v>924</v>
      </c>
      <c r="AC162" s="6" t="s">
        <v>103</v>
      </c>
      <c r="AD162" s="5" t="s">
        <v>925</v>
      </c>
      <c r="AE162" s="5" t="s">
        <v>354</v>
      </c>
      <c r="AF162" s="5" t="s">
        <v>354</v>
      </c>
      <c r="AG162" s="5" t="s">
        <v>354</v>
      </c>
      <c r="AH162" s="5" t="s">
        <v>354</v>
      </c>
      <c r="AI162" s="6" t="str">
        <f t="shared" si="5"/>
        <v>No</v>
      </c>
      <c r="AJ162" s="6" t="s">
        <v>926</v>
      </c>
      <c r="AK162" s="6" t="s">
        <v>121</v>
      </c>
      <c r="AL162" s="6">
        <f>MATCH(AA162,{"Low","Medium","High"},0)*MATCH(AB162,{"Low","Medium","High"},0)*INDEX({3,2,2,1,1},MATCH(X162,{"Core","Vertical extension","Differentiator","Future","Adjacent"},0))</f>
        <v>9</v>
      </c>
      <c r="AM162" s="5"/>
      <c r="AN162" s="5"/>
      <c r="AO162" s="5"/>
      <c r="AP162" s="5"/>
      <c r="AQ162" s="5"/>
      <c r="AR162" s="5"/>
      <c r="AS162" s="5"/>
      <c r="AT162" s="5"/>
      <c r="AU162" s="6" t="s">
        <v>927</v>
      </c>
      <c r="AV162" s="6" t="s">
        <v>1296</v>
      </c>
      <c r="AW162" s="6" t="s">
        <v>1296</v>
      </c>
      <c r="AX162" s="6" t="s">
        <v>929</v>
      </c>
      <c r="AY162" s="6" t="s">
        <v>930</v>
      </c>
      <c r="AZ162" s="6"/>
      <c r="BA162" s="6" t="s">
        <v>1079</v>
      </c>
      <c r="BB162" s="6" t="s">
        <v>1080</v>
      </c>
      <c r="BC162" s="6" t="s">
        <v>97</v>
      </c>
      <c r="BD162" s="6" t="s">
        <v>97</v>
      </c>
    </row>
    <row r="163" spans="1:56" ht="32" customHeight="1" x14ac:dyDescent="0.35">
      <c r="A163" s="13" t="s">
        <v>1956</v>
      </c>
      <c r="B163" s="6" t="s">
        <v>910</v>
      </c>
      <c r="C163" s="5" t="s">
        <v>1017</v>
      </c>
      <c r="D163" s="5" t="s">
        <v>833</v>
      </c>
      <c r="E163" s="5" t="s">
        <v>1957</v>
      </c>
      <c r="F163" s="5" t="s">
        <v>1017</v>
      </c>
      <c r="G163" s="5" t="s">
        <v>913</v>
      </c>
      <c r="H163" s="5" t="s">
        <v>1958</v>
      </c>
      <c r="I163" s="5" t="s">
        <v>1959</v>
      </c>
      <c r="J163" s="17" t="s">
        <v>121</v>
      </c>
      <c r="K163" s="17" t="s">
        <v>181</v>
      </c>
      <c r="L163" s="5" t="s">
        <v>1960</v>
      </c>
      <c r="M163" s="6" t="s">
        <v>197</v>
      </c>
      <c r="N163" s="6" t="s">
        <v>809</v>
      </c>
      <c r="O163" s="6" t="s">
        <v>121</v>
      </c>
      <c r="P163" s="5" t="s">
        <v>918</v>
      </c>
      <c r="Q163" s="18" t="s">
        <v>186</v>
      </c>
      <c r="R163" s="5" t="s">
        <v>1021</v>
      </c>
      <c r="S163" s="6" t="s">
        <v>919</v>
      </c>
      <c r="T163" s="5" t="s">
        <v>920</v>
      </c>
      <c r="U163" s="6"/>
      <c r="V163" s="6" t="s">
        <v>921</v>
      </c>
      <c r="W163" s="6" t="s">
        <v>331</v>
      </c>
      <c r="X163" s="5" t="s">
        <v>922</v>
      </c>
      <c r="Y163" s="5" t="s">
        <v>1961</v>
      </c>
      <c r="Z163" s="5" t="str">
        <f t="shared" si="4"/>
        <v>Medium</v>
      </c>
      <c r="AA163" s="5" t="s">
        <v>956</v>
      </c>
      <c r="AB163" s="6" t="s">
        <v>924</v>
      </c>
      <c r="AC163" s="6" t="s">
        <v>103</v>
      </c>
      <c r="AD163" s="5" t="s">
        <v>940</v>
      </c>
      <c r="AE163" s="5" t="s">
        <v>354</v>
      </c>
      <c r="AF163" s="5" t="s">
        <v>354</v>
      </c>
      <c r="AG163" s="5" t="s">
        <v>354</v>
      </c>
      <c r="AH163" s="5" t="s">
        <v>354</v>
      </c>
      <c r="AI163" s="6" t="str">
        <f t="shared" si="5"/>
        <v>No</v>
      </c>
      <c r="AJ163" s="6" t="s">
        <v>941</v>
      </c>
      <c r="AK163" s="6" t="s">
        <v>121</v>
      </c>
      <c r="AL163" s="6">
        <f>MATCH(AA163,{"Low","Medium","High"},0)*MATCH(AB163,{"Low","Medium","High"},0)*INDEX({3,2,2,1,1},MATCH(X163,{"Core","Vertical extension","Differentiator","Future","Adjacent"},0))</f>
        <v>6</v>
      </c>
      <c r="AM163" s="5"/>
      <c r="AN163" s="5"/>
      <c r="AO163" s="5"/>
      <c r="AP163" s="5"/>
      <c r="AQ163" s="5"/>
      <c r="AR163" s="5"/>
      <c r="AS163" s="5"/>
      <c r="AT163" s="5"/>
      <c r="AU163" s="6" t="s">
        <v>927</v>
      </c>
      <c r="AV163" s="6" t="s">
        <v>1962</v>
      </c>
      <c r="AW163" s="6" t="s">
        <v>1962</v>
      </c>
      <c r="AX163" s="6" t="s">
        <v>929</v>
      </c>
      <c r="AY163" s="6" t="s">
        <v>930</v>
      </c>
      <c r="AZ163" s="6"/>
      <c r="BA163" s="6"/>
      <c r="BB163" s="6"/>
      <c r="BC163" s="6" t="s">
        <v>97</v>
      </c>
      <c r="BD163" s="6" t="s">
        <v>97</v>
      </c>
    </row>
    <row r="164" spans="1:56" ht="32" customHeight="1" x14ac:dyDescent="0.35">
      <c r="A164" s="13" t="s">
        <v>1963</v>
      </c>
      <c r="B164" s="6" t="s">
        <v>910</v>
      </c>
      <c r="C164" s="5" t="s">
        <v>1017</v>
      </c>
      <c r="D164" s="5" t="s">
        <v>842</v>
      </c>
      <c r="E164" s="5" t="s">
        <v>1964</v>
      </c>
      <c r="F164" s="5" t="s">
        <v>1017</v>
      </c>
      <c r="G164" s="5" t="s">
        <v>451</v>
      </c>
      <c r="H164" s="5" t="s">
        <v>1965</v>
      </c>
      <c r="I164" s="5" t="s">
        <v>1966</v>
      </c>
      <c r="J164" s="19" t="s">
        <v>151</v>
      </c>
      <c r="K164" s="17" t="s">
        <v>181</v>
      </c>
      <c r="L164" s="5" t="s">
        <v>1967</v>
      </c>
      <c r="M164" s="6" t="s">
        <v>197</v>
      </c>
      <c r="N164" s="6" t="s">
        <v>809</v>
      </c>
      <c r="O164" s="6" t="s">
        <v>151</v>
      </c>
      <c r="P164" s="5" t="s">
        <v>1115</v>
      </c>
      <c r="Q164" s="17" t="s">
        <v>182</v>
      </c>
      <c r="R164" s="5" t="s">
        <v>1115</v>
      </c>
      <c r="S164" s="6" t="s">
        <v>1772</v>
      </c>
      <c r="T164" s="5" t="s">
        <v>1773</v>
      </c>
      <c r="U164" s="6"/>
      <c r="V164" s="6" t="s">
        <v>1774</v>
      </c>
      <c r="W164" s="6" t="s">
        <v>335</v>
      </c>
      <c r="X164" s="5" t="s">
        <v>922</v>
      </c>
      <c r="Y164" s="5" t="s">
        <v>1961</v>
      </c>
      <c r="Z164" s="5" t="str">
        <f t="shared" si="4"/>
        <v>Medium</v>
      </c>
      <c r="AA164" s="5" t="s">
        <v>956</v>
      </c>
      <c r="AB164" s="6" t="s">
        <v>924</v>
      </c>
      <c r="AC164" s="6" t="s">
        <v>11</v>
      </c>
      <c r="AD164" s="5" t="s">
        <v>925</v>
      </c>
      <c r="AE164" s="5" t="s">
        <v>354</v>
      </c>
      <c r="AF164" s="5" t="s">
        <v>354</v>
      </c>
      <c r="AG164" s="5" t="s">
        <v>354</v>
      </c>
      <c r="AH164" s="5" t="s">
        <v>354</v>
      </c>
      <c r="AI164" s="6" t="str">
        <f t="shared" si="5"/>
        <v>No</v>
      </c>
      <c r="AJ164" s="6" t="s">
        <v>926</v>
      </c>
      <c r="AK164" s="6" t="s">
        <v>151</v>
      </c>
      <c r="AL164" s="6">
        <f>MATCH(AA164,{"Low","Medium","High"},0)*MATCH(AB164,{"Low","Medium","High"},0)*INDEX({3,2,2,1,1},MATCH(X164,{"Core","Vertical extension","Differentiator","Future","Adjacent"},0))</f>
        <v>6</v>
      </c>
      <c r="AM164" s="5"/>
      <c r="AN164" s="5"/>
      <c r="AO164" s="5"/>
      <c r="AP164" s="5"/>
      <c r="AQ164" s="5"/>
      <c r="AR164" s="5"/>
      <c r="AS164" s="5"/>
      <c r="AT164" s="5"/>
      <c r="AU164" s="6" t="s">
        <v>927</v>
      </c>
      <c r="AV164" s="6" t="s">
        <v>1962</v>
      </c>
      <c r="AW164" s="6" t="s">
        <v>1962</v>
      </c>
      <c r="AX164" s="6" t="s">
        <v>1003</v>
      </c>
      <c r="AY164" s="6" t="s">
        <v>930</v>
      </c>
      <c r="AZ164" s="6"/>
      <c r="BA164" s="6"/>
      <c r="BB164" s="6"/>
      <c r="BC164" s="6" t="s">
        <v>97</v>
      </c>
      <c r="BD164" s="6" t="s">
        <v>97</v>
      </c>
    </row>
    <row r="165" spans="1:56" ht="32" customHeight="1" x14ac:dyDescent="0.35">
      <c r="A165" s="13" t="s">
        <v>1968</v>
      </c>
      <c r="B165" s="6" t="s">
        <v>910</v>
      </c>
      <c r="C165" s="5" t="s">
        <v>1017</v>
      </c>
      <c r="D165" s="5" t="s">
        <v>834</v>
      </c>
      <c r="E165" s="5" t="s">
        <v>1969</v>
      </c>
      <c r="F165" s="5" t="s">
        <v>1017</v>
      </c>
      <c r="G165" s="5" t="s">
        <v>1970</v>
      </c>
      <c r="H165" s="5" t="s">
        <v>1971</v>
      </c>
      <c r="I165" s="5" t="s">
        <v>1972</v>
      </c>
      <c r="J165" s="17" t="s">
        <v>121</v>
      </c>
      <c r="K165" s="17" t="s">
        <v>181</v>
      </c>
      <c r="L165" s="5" t="s">
        <v>1973</v>
      </c>
      <c r="M165" s="6" t="s">
        <v>197</v>
      </c>
      <c r="N165" s="6" t="s">
        <v>809</v>
      </c>
      <c r="O165" s="6" t="s">
        <v>121</v>
      </c>
      <c r="P165" s="5" t="s">
        <v>918</v>
      </c>
      <c r="Q165" s="18" t="s">
        <v>186</v>
      </c>
      <c r="R165" s="5" t="s">
        <v>1021</v>
      </c>
      <c r="S165" s="6" t="s">
        <v>1000</v>
      </c>
      <c r="T165" s="5" t="s">
        <v>1001</v>
      </c>
      <c r="U165" s="6"/>
      <c r="V165" s="6" t="s">
        <v>1002</v>
      </c>
      <c r="W165" s="6" t="s">
        <v>333</v>
      </c>
      <c r="X165" s="5" t="s">
        <v>922</v>
      </c>
      <c r="Y165" s="5" t="s">
        <v>1961</v>
      </c>
      <c r="Z165" s="5" t="str">
        <f t="shared" si="4"/>
        <v>Critical</v>
      </c>
      <c r="AA165" s="5" t="s">
        <v>923</v>
      </c>
      <c r="AB165" s="6" t="s">
        <v>956</v>
      </c>
      <c r="AC165" s="6" t="s">
        <v>103</v>
      </c>
      <c r="AD165" s="5" t="s">
        <v>940</v>
      </c>
      <c r="AE165" s="5" t="s">
        <v>354</v>
      </c>
      <c r="AF165" s="5" t="s">
        <v>354</v>
      </c>
      <c r="AG165" s="5" t="s">
        <v>354</v>
      </c>
      <c r="AH165" s="5" t="s">
        <v>354</v>
      </c>
      <c r="AI165" s="6" t="str">
        <f t="shared" si="5"/>
        <v>No</v>
      </c>
      <c r="AJ165" s="6" t="s">
        <v>941</v>
      </c>
      <c r="AK165" s="6" t="s">
        <v>121</v>
      </c>
      <c r="AL165" s="6">
        <f>MATCH(AA165,{"Low","Medium","High"},0)*MATCH(AB165,{"Low","Medium","High"},0)*INDEX({3,2,2,1,1},MATCH(X165,{"Core","Vertical extension","Differentiator","Future","Adjacent"},0))</f>
        <v>18</v>
      </c>
      <c r="AM165" s="5"/>
      <c r="AN165" s="5"/>
      <c r="AO165" s="5"/>
      <c r="AP165" s="5"/>
      <c r="AQ165" s="5"/>
      <c r="AR165" s="5"/>
      <c r="AS165" s="5"/>
      <c r="AT165" s="5"/>
      <c r="AU165" s="6" t="s">
        <v>927</v>
      </c>
      <c r="AV165" s="6" t="s">
        <v>1962</v>
      </c>
      <c r="AW165" s="6" t="s">
        <v>1962</v>
      </c>
      <c r="AX165" s="6" t="s">
        <v>929</v>
      </c>
      <c r="AY165" s="6" t="s">
        <v>930</v>
      </c>
      <c r="AZ165" s="6"/>
      <c r="BA165" s="6"/>
      <c r="BB165" s="6"/>
      <c r="BC165" s="6" t="s">
        <v>97</v>
      </c>
      <c r="BD165" s="6" t="s">
        <v>97</v>
      </c>
    </row>
    <row r="166" spans="1:56" ht="32" customHeight="1" x14ac:dyDescent="0.35">
      <c r="A166" s="13" t="s">
        <v>1974</v>
      </c>
      <c r="B166" s="6" t="s">
        <v>910</v>
      </c>
      <c r="C166" s="5" t="s">
        <v>1017</v>
      </c>
      <c r="D166" s="5" t="s">
        <v>837</v>
      </c>
      <c r="E166" s="5" t="s">
        <v>1975</v>
      </c>
      <c r="F166" s="5" t="s">
        <v>1017</v>
      </c>
      <c r="G166" s="5" t="s">
        <v>1976</v>
      </c>
      <c r="H166" s="5" t="s">
        <v>1977</v>
      </c>
      <c r="I166" s="5" t="s">
        <v>1978</v>
      </c>
      <c r="J166" s="17" t="s">
        <v>121</v>
      </c>
      <c r="K166" s="17" t="s">
        <v>181</v>
      </c>
      <c r="L166" s="5" t="s">
        <v>1979</v>
      </c>
      <c r="M166" s="6" t="s">
        <v>197</v>
      </c>
      <c r="N166" s="6" t="s">
        <v>809</v>
      </c>
      <c r="O166" s="6" t="s">
        <v>121</v>
      </c>
      <c r="P166" s="5" t="s">
        <v>918</v>
      </c>
      <c r="Q166" s="17" t="s">
        <v>182</v>
      </c>
      <c r="R166" s="5"/>
      <c r="S166" s="6" t="s">
        <v>937</v>
      </c>
      <c r="T166" s="5" t="s">
        <v>938</v>
      </c>
      <c r="U166" s="6"/>
      <c r="V166" s="6" t="s">
        <v>939</v>
      </c>
      <c r="W166" s="6" t="s">
        <v>331</v>
      </c>
      <c r="X166" s="5" t="s">
        <v>922</v>
      </c>
      <c r="Y166" s="5" t="s">
        <v>1961</v>
      </c>
      <c r="Z166" s="5" t="str">
        <f t="shared" si="4"/>
        <v>High</v>
      </c>
      <c r="AA166" s="5" t="s">
        <v>923</v>
      </c>
      <c r="AB166" s="6" t="s">
        <v>924</v>
      </c>
      <c r="AC166" s="6" t="s">
        <v>103</v>
      </c>
      <c r="AD166" s="5" t="s">
        <v>925</v>
      </c>
      <c r="AE166" s="5" t="s">
        <v>354</v>
      </c>
      <c r="AF166" s="5" t="s">
        <v>354</v>
      </c>
      <c r="AG166" s="5" t="s">
        <v>354</v>
      </c>
      <c r="AH166" s="5" t="s">
        <v>354</v>
      </c>
      <c r="AI166" s="6" t="str">
        <f t="shared" si="5"/>
        <v>No</v>
      </c>
      <c r="AJ166" s="6" t="s">
        <v>926</v>
      </c>
      <c r="AK166" s="6" t="s">
        <v>121</v>
      </c>
      <c r="AL166" s="6">
        <f>MATCH(AA166,{"Low","Medium","High"},0)*MATCH(AB166,{"Low","Medium","High"},0)*INDEX({3,2,2,1,1},MATCH(X166,{"Core","Vertical extension","Differentiator","Future","Adjacent"},0))</f>
        <v>9</v>
      </c>
      <c r="AM166" s="5"/>
      <c r="AN166" s="5"/>
      <c r="AO166" s="5"/>
      <c r="AP166" s="5"/>
      <c r="AQ166" s="5"/>
      <c r="AR166" s="5"/>
      <c r="AS166" s="5"/>
      <c r="AT166" s="5"/>
      <c r="AU166" s="6" t="s">
        <v>927</v>
      </c>
      <c r="AV166" s="6" t="s">
        <v>1962</v>
      </c>
      <c r="AW166" s="6" t="s">
        <v>1962</v>
      </c>
      <c r="AX166" s="6" t="s">
        <v>929</v>
      </c>
      <c r="AY166" s="6" t="s">
        <v>930</v>
      </c>
      <c r="AZ166" s="6"/>
      <c r="BA166" s="6"/>
      <c r="BB166" s="6"/>
      <c r="BC166" s="6" t="s">
        <v>97</v>
      </c>
      <c r="BD166" s="6" t="s">
        <v>97</v>
      </c>
    </row>
    <row r="167" spans="1:56" ht="32" customHeight="1" x14ac:dyDescent="0.35">
      <c r="A167" s="13" t="s">
        <v>1980</v>
      </c>
      <c r="B167" s="6" t="s">
        <v>910</v>
      </c>
      <c r="C167" s="5" t="s">
        <v>1017</v>
      </c>
      <c r="D167" s="5" t="s">
        <v>841</v>
      </c>
      <c r="E167" s="5" t="s">
        <v>1981</v>
      </c>
      <c r="F167" s="5" t="s">
        <v>1017</v>
      </c>
      <c r="G167" s="5" t="s">
        <v>1982</v>
      </c>
      <c r="H167" s="5" t="s">
        <v>1983</v>
      </c>
      <c r="I167" s="5" t="s">
        <v>1984</v>
      </c>
      <c r="J167" s="17" t="s">
        <v>121</v>
      </c>
      <c r="K167" s="17" t="s">
        <v>181</v>
      </c>
      <c r="L167" s="5" t="s">
        <v>1985</v>
      </c>
      <c r="M167" s="6" t="s">
        <v>197</v>
      </c>
      <c r="N167" s="6" t="s">
        <v>809</v>
      </c>
      <c r="O167" s="6" t="s">
        <v>121</v>
      </c>
      <c r="P167" s="5" t="s">
        <v>918</v>
      </c>
      <c r="Q167" s="18" t="s">
        <v>186</v>
      </c>
      <c r="R167" s="5" t="s">
        <v>1236</v>
      </c>
      <c r="S167" s="6" t="s">
        <v>1038</v>
      </c>
      <c r="T167" s="5" t="s">
        <v>1039</v>
      </c>
      <c r="U167" s="6"/>
      <c r="V167" s="6" t="s">
        <v>921</v>
      </c>
      <c r="W167" s="6" t="s">
        <v>331</v>
      </c>
      <c r="X167" s="5" t="s">
        <v>922</v>
      </c>
      <c r="Y167" s="5" t="s">
        <v>1961</v>
      </c>
      <c r="Z167" s="5" t="str">
        <f t="shared" si="4"/>
        <v>Medium</v>
      </c>
      <c r="AA167" s="5" t="s">
        <v>956</v>
      </c>
      <c r="AB167" s="6" t="s">
        <v>924</v>
      </c>
      <c r="AC167" s="6" t="s">
        <v>103</v>
      </c>
      <c r="AD167" s="5" t="s">
        <v>940</v>
      </c>
      <c r="AE167" s="5" t="s">
        <v>354</v>
      </c>
      <c r="AF167" s="5" t="s">
        <v>354</v>
      </c>
      <c r="AG167" s="5" t="s">
        <v>354</v>
      </c>
      <c r="AH167" s="5" t="s">
        <v>354</v>
      </c>
      <c r="AI167" s="6" t="str">
        <f t="shared" si="5"/>
        <v>No</v>
      </c>
      <c r="AJ167" s="6" t="s">
        <v>941</v>
      </c>
      <c r="AK167" s="6" t="s">
        <v>121</v>
      </c>
      <c r="AL167" s="6">
        <f>MATCH(AA167,{"Low","Medium","High"},0)*MATCH(AB167,{"Low","Medium","High"},0)*INDEX({3,2,2,1,1},MATCH(X167,{"Core","Vertical extension","Differentiator","Future","Adjacent"},0))</f>
        <v>6</v>
      </c>
      <c r="AM167" s="5"/>
      <c r="AN167" s="5"/>
      <c r="AO167" s="5"/>
      <c r="AP167" s="5"/>
      <c r="AQ167" s="5"/>
      <c r="AR167" s="5"/>
      <c r="AS167" s="5"/>
      <c r="AT167" s="5"/>
      <c r="AU167" s="6" t="s">
        <v>927</v>
      </c>
      <c r="AV167" s="6" t="s">
        <v>1962</v>
      </c>
      <c r="AW167" s="6" t="s">
        <v>1962</v>
      </c>
      <c r="AX167" s="6" t="s">
        <v>929</v>
      </c>
      <c r="AY167" s="6" t="s">
        <v>930</v>
      </c>
      <c r="AZ167" s="6"/>
      <c r="BA167" s="6" t="s">
        <v>1040</v>
      </c>
      <c r="BB167" s="6" t="s">
        <v>1041</v>
      </c>
      <c r="BC167" s="6" t="s">
        <v>97</v>
      </c>
      <c r="BD167" s="6" t="s">
        <v>97</v>
      </c>
    </row>
    <row r="168" spans="1:56" ht="32" customHeight="1" x14ac:dyDescent="0.35">
      <c r="A168" s="13" t="s">
        <v>1986</v>
      </c>
      <c r="B168" s="6" t="s">
        <v>910</v>
      </c>
      <c r="C168" s="5" t="s">
        <v>1017</v>
      </c>
      <c r="D168" s="5" t="s">
        <v>841</v>
      </c>
      <c r="E168" s="5" t="s">
        <v>1987</v>
      </c>
      <c r="F168" s="5" t="s">
        <v>1017</v>
      </c>
      <c r="G168" s="5" t="s">
        <v>1988</v>
      </c>
      <c r="H168" s="5" t="s">
        <v>1989</v>
      </c>
      <c r="I168" s="5" t="s">
        <v>1990</v>
      </c>
      <c r="J168" s="19" t="s">
        <v>151</v>
      </c>
      <c r="K168" s="17" t="s">
        <v>181</v>
      </c>
      <c r="L168" s="5" t="s">
        <v>1991</v>
      </c>
      <c r="M168" s="6" t="s">
        <v>197</v>
      </c>
      <c r="N168" s="6" t="s">
        <v>809</v>
      </c>
      <c r="O168" s="6" t="s">
        <v>151</v>
      </c>
      <c r="P168" s="5" t="s">
        <v>1115</v>
      </c>
      <c r="Q168" s="17" t="s">
        <v>182</v>
      </c>
      <c r="R168" s="5" t="s">
        <v>1115</v>
      </c>
      <c r="S168" s="6" t="s">
        <v>1038</v>
      </c>
      <c r="T168" s="5" t="s">
        <v>1039</v>
      </c>
      <c r="U168" s="6"/>
      <c r="V168" s="6" t="s">
        <v>921</v>
      </c>
      <c r="W168" s="6" t="s">
        <v>331</v>
      </c>
      <c r="X168" s="5" t="s">
        <v>922</v>
      </c>
      <c r="Y168" s="5" t="s">
        <v>1961</v>
      </c>
      <c r="Z168" s="5" t="str">
        <f t="shared" si="4"/>
        <v>Medium</v>
      </c>
      <c r="AA168" s="5" t="s">
        <v>956</v>
      </c>
      <c r="AB168" s="6" t="s">
        <v>924</v>
      </c>
      <c r="AC168" s="6" t="s">
        <v>11</v>
      </c>
      <c r="AD168" s="5" t="s">
        <v>925</v>
      </c>
      <c r="AE168" s="5" t="s">
        <v>354</v>
      </c>
      <c r="AF168" s="5" t="s">
        <v>354</v>
      </c>
      <c r="AG168" s="5" t="s">
        <v>354</v>
      </c>
      <c r="AH168" s="5" t="s">
        <v>354</v>
      </c>
      <c r="AI168" s="6" t="str">
        <f t="shared" si="5"/>
        <v>No</v>
      </c>
      <c r="AJ168" s="6" t="s">
        <v>926</v>
      </c>
      <c r="AK168" s="6" t="s">
        <v>151</v>
      </c>
      <c r="AL168" s="6">
        <f>MATCH(AA168,{"Low","Medium","High"},0)*MATCH(AB168,{"Low","Medium","High"},0)*INDEX({3,2,2,1,1},MATCH(X168,{"Core","Vertical extension","Differentiator","Future","Adjacent"},0))</f>
        <v>6</v>
      </c>
      <c r="AM168" s="5"/>
      <c r="AN168" s="5"/>
      <c r="AO168" s="5"/>
      <c r="AP168" s="5"/>
      <c r="AQ168" s="5"/>
      <c r="AR168" s="5"/>
      <c r="AS168" s="5"/>
      <c r="AT168" s="5"/>
      <c r="AU168" s="6" t="s">
        <v>927</v>
      </c>
      <c r="AV168" s="6" t="s">
        <v>1962</v>
      </c>
      <c r="AW168" s="6" t="s">
        <v>1962</v>
      </c>
      <c r="AX168" s="6" t="s">
        <v>1003</v>
      </c>
      <c r="AY168" s="6" t="s">
        <v>930</v>
      </c>
      <c r="AZ168" s="6"/>
      <c r="BA168" s="6"/>
      <c r="BB168" s="6"/>
      <c r="BC168" s="6" t="s">
        <v>97</v>
      </c>
      <c r="BD168" s="6" t="s">
        <v>97</v>
      </c>
    </row>
    <row r="169" spans="1:56" ht="32" customHeight="1" x14ac:dyDescent="0.35">
      <c r="A169" s="13" t="s">
        <v>1992</v>
      </c>
      <c r="B169" s="6" t="s">
        <v>910</v>
      </c>
      <c r="C169" s="5" t="s">
        <v>1017</v>
      </c>
      <c r="D169" s="5" t="s">
        <v>834</v>
      </c>
      <c r="E169" s="5" t="s">
        <v>1993</v>
      </c>
      <c r="F169" s="5" t="s">
        <v>1017</v>
      </c>
      <c r="G169" s="5" t="s">
        <v>1994</v>
      </c>
      <c r="H169" s="5" t="s">
        <v>1995</v>
      </c>
      <c r="I169" s="5" t="s">
        <v>1996</v>
      </c>
      <c r="J169" s="19" t="s">
        <v>151</v>
      </c>
      <c r="K169" s="17" t="s">
        <v>181</v>
      </c>
      <c r="L169" s="5" t="s">
        <v>1997</v>
      </c>
      <c r="M169" s="6" t="s">
        <v>197</v>
      </c>
      <c r="N169" s="6" t="s">
        <v>809</v>
      </c>
      <c r="O169" s="6" t="s">
        <v>151</v>
      </c>
      <c r="P169" s="5" t="s">
        <v>1115</v>
      </c>
      <c r="Q169" s="18" t="s">
        <v>186</v>
      </c>
      <c r="R169" s="5" t="s">
        <v>1998</v>
      </c>
      <c r="S169" s="6" t="s">
        <v>1000</v>
      </c>
      <c r="T169" s="5" t="s">
        <v>1001</v>
      </c>
      <c r="U169" s="6"/>
      <c r="V169" s="6" t="s">
        <v>1002</v>
      </c>
      <c r="W169" s="6" t="s">
        <v>333</v>
      </c>
      <c r="X169" s="5" t="s">
        <v>922</v>
      </c>
      <c r="Y169" s="5" t="s">
        <v>1961</v>
      </c>
      <c r="Z169" s="5" t="str">
        <f t="shared" si="4"/>
        <v>Critical</v>
      </c>
      <c r="AA169" s="5" t="s">
        <v>923</v>
      </c>
      <c r="AB169" s="6" t="s">
        <v>956</v>
      </c>
      <c r="AC169" s="6" t="s">
        <v>11</v>
      </c>
      <c r="AD169" s="5" t="s">
        <v>940</v>
      </c>
      <c r="AE169" s="5" t="s">
        <v>354</v>
      </c>
      <c r="AF169" s="5" t="s">
        <v>354</v>
      </c>
      <c r="AG169" s="5" t="s">
        <v>354</v>
      </c>
      <c r="AH169" s="5" t="s">
        <v>354</v>
      </c>
      <c r="AI169" s="6" t="str">
        <f t="shared" si="5"/>
        <v>No</v>
      </c>
      <c r="AJ169" s="6" t="s">
        <v>941</v>
      </c>
      <c r="AK169" s="6" t="s">
        <v>151</v>
      </c>
      <c r="AL169" s="6">
        <f>MATCH(AA169,{"Low","Medium","High"},0)*MATCH(AB169,{"Low","Medium","High"},0)*INDEX({3,2,2,1,1},MATCH(X169,{"Core","Vertical extension","Differentiator","Future","Adjacent"},0))</f>
        <v>18</v>
      </c>
      <c r="AM169" s="5"/>
      <c r="AN169" s="5"/>
      <c r="AO169" s="5"/>
      <c r="AP169" s="5"/>
      <c r="AQ169" s="5"/>
      <c r="AR169" s="5"/>
      <c r="AS169" s="5"/>
      <c r="AT169" s="5"/>
      <c r="AU169" s="6" t="s">
        <v>927</v>
      </c>
      <c r="AV169" s="6" t="s">
        <v>1962</v>
      </c>
      <c r="AW169" s="6" t="s">
        <v>1962</v>
      </c>
      <c r="AX169" s="6" t="s">
        <v>1003</v>
      </c>
      <c r="AY169" s="6" t="s">
        <v>930</v>
      </c>
      <c r="AZ169" s="6"/>
      <c r="BA169" s="6"/>
      <c r="BB169" s="6"/>
      <c r="BC169" s="6" t="s">
        <v>97</v>
      </c>
      <c r="BD169" s="6" t="s">
        <v>97</v>
      </c>
    </row>
    <row r="170" spans="1:56" ht="32" customHeight="1" x14ac:dyDescent="0.35">
      <c r="A170" s="13" t="s">
        <v>1999</v>
      </c>
      <c r="B170" s="6" t="s">
        <v>910</v>
      </c>
      <c r="C170" s="5" t="s">
        <v>1017</v>
      </c>
      <c r="D170" s="5" t="s">
        <v>833</v>
      </c>
      <c r="E170" s="5" t="s">
        <v>2000</v>
      </c>
      <c r="F170" s="5" t="s">
        <v>1017</v>
      </c>
      <c r="G170" s="5" t="s">
        <v>2001</v>
      </c>
      <c r="H170" s="5" t="s">
        <v>2002</v>
      </c>
      <c r="I170" s="5" t="s">
        <v>2003</v>
      </c>
      <c r="J170" s="19" t="s">
        <v>151</v>
      </c>
      <c r="K170" s="17" t="s">
        <v>181</v>
      </c>
      <c r="L170" s="5" t="s">
        <v>2004</v>
      </c>
      <c r="M170" s="6" t="s">
        <v>197</v>
      </c>
      <c r="N170" s="6" t="s">
        <v>809</v>
      </c>
      <c r="O170" s="6" t="s">
        <v>151</v>
      </c>
      <c r="P170" s="5" t="s">
        <v>1115</v>
      </c>
      <c r="Q170" s="18" t="s">
        <v>186</v>
      </c>
      <c r="R170" s="5" t="s">
        <v>1998</v>
      </c>
      <c r="S170" s="6" t="s">
        <v>919</v>
      </c>
      <c r="T170" s="5" t="s">
        <v>920</v>
      </c>
      <c r="U170" s="6"/>
      <c r="V170" s="6" t="s">
        <v>921</v>
      </c>
      <c r="W170" s="6" t="s">
        <v>331</v>
      </c>
      <c r="X170" s="5" t="s">
        <v>922</v>
      </c>
      <c r="Y170" s="5" t="s">
        <v>1961</v>
      </c>
      <c r="Z170" s="5" t="str">
        <f t="shared" si="4"/>
        <v>Medium</v>
      </c>
      <c r="AA170" s="5" t="s">
        <v>956</v>
      </c>
      <c r="AB170" s="6" t="s">
        <v>924</v>
      </c>
      <c r="AC170" s="6" t="s">
        <v>11</v>
      </c>
      <c r="AD170" s="5" t="s">
        <v>940</v>
      </c>
      <c r="AE170" s="5" t="s">
        <v>354</v>
      </c>
      <c r="AF170" s="5" t="s">
        <v>354</v>
      </c>
      <c r="AG170" s="5" t="s">
        <v>354</v>
      </c>
      <c r="AH170" s="5" t="s">
        <v>354</v>
      </c>
      <c r="AI170" s="6" t="str">
        <f t="shared" si="5"/>
        <v>No</v>
      </c>
      <c r="AJ170" s="6" t="s">
        <v>941</v>
      </c>
      <c r="AK170" s="6" t="s">
        <v>151</v>
      </c>
      <c r="AL170" s="6">
        <f>MATCH(AA170,{"Low","Medium","High"},0)*MATCH(AB170,{"Low","Medium","High"},0)*INDEX({3,2,2,1,1},MATCH(X170,{"Core","Vertical extension","Differentiator","Future","Adjacent"},0))</f>
        <v>6</v>
      </c>
      <c r="AM170" s="5"/>
      <c r="AN170" s="5"/>
      <c r="AO170" s="5"/>
      <c r="AP170" s="5"/>
      <c r="AQ170" s="5"/>
      <c r="AR170" s="5"/>
      <c r="AS170" s="5"/>
      <c r="AT170" s="5"/>
      <c r="AU170" s="6" t="s">
        <v>927</v>
      </c>
      <c r="AV170" s="6" t="s">
        <v>1962</v>
      </c>
      <c r="AW170" s="6" t="s">
        <v>1962</v>
      </c>
      <c r="AX170" s="6" t="s">
        <v>1003</v>
      </c>
      <c r="AY170" s="6" t="s">
        <v>930</v>
      </c>
      <c r="AZ170" s="6"/>
      <c r="BA170" s="6"/>
      <c r="BB170" s="6"/>
      <c r="BC170" s="6" t="s">
        <v>97</v>
      </c>
      <c r="BD170" s="6" t="s">
        <v>97</v>
      </c>
    </row>
    <row r="171" spans="1:56" ht="32" customHeight="1" x14ac:dyDescent="0.35">
      <c r="A171" s="13" t="s">
        <v>2005</v>
      </c>
      <c r="B171" s="6" t="s">
        <v>910</v>
      </c>
      <c r="C171" s="5" t="s">
        <v>1101</v>
      </c>
      <c r="D171" s="5" t="s">
        <v>835</v>
      </c>
      <c r="E171" s="5" t="s">
        <v>2006</v>
      </c>
      <c r="F171" s="5" t="s">
        <v>2007</v>
      </c>
      <c r="G171" s="5" t="s">
        <v>1344</v>
      </c>
      <c r="H171" s="5" t="s">
        <v>2008</v>
      </c>
      <c r="I171" s="5" t="s">
        <v>2009</v>
      </c>
      <c r="J171" s="17" t="s">
        <v>121</v>
      </c>
      <c r="K171" s="17" t="s">
        <v>181</v>
      </c>
      <c r="L171" s="5" t="s">
        <v>2010</v>
      </c>
      <c r="M171" s="6" t="s">
        <v>197</v>
      </c>
      <c r="N171" s="6" t="s">
        <v>809</v>
      </c>
      <c r="O171" s="6" t="s">
        <v>121</v>
      </c>
      <c r="P171" s="5" t="s">
        <v>918</v>
      </c>
      <c r="Q171" s="18" t="s">
        <v>186</v>
      </c>
      <c r="R171" s="5" t="s">
        <v>1021</v>
      </c>
      <c r="S171" s="6" t="s">
        <v>1076</v>
      </c>
      <c r="T171" s="5" t="s">
        <v>1077</v>
      </c>
      <c r="U171" s="6"/>
      <c r="V171" s="6" t="s">
        <v>1078</v>
      </c>
      <c r="W171" s="6" t="s">
        <v>331</v>
      </c>
      <c r="X171" s="5" t="s">
        <v>922</v>
      </c>
      <c r="Y171" s="5" t="s">
        <v>1961</v>
      </c>
      <c r="Z171" s="5" t="str">
        <f t="shared" si="4"/>
        <v>Medium</v>
      </c>
      <c r="AA171" s="5" t="s">
        <v>956</v>
      </c>
      <c r="AB171" s="6" t="s">
        <v>924</v>
      </c>
      <c r="AC171" s="6" t="s">
        <v>103</v>
      </c>
      <c r="AD171" s="5" t="s">
        <v>940</v>
      </c>
      <c r="AE171" s="5" t="s">
        <v>354</v>
      </c>
      <c r="AF171" s="5" t="s">
        <v>354</v>
      </c>
      <c r="AG171" s="5" t="s">
        <v>354</v>
      </c>
      <c r="AH171" s="5" t="s">
        <v>354</v>
      </c>
      <c r="AI171" s="6" t="str">
        <f t="shared" si="5"/>
        <v>No</v>
      </c>
      <c r="AJ171" s="6" t="s">
        <v>941</v>
      </c>
      <c r="AK171" s="6" t="s">
        <v>121</v>
      </c>
      <c r="AL171" s="6">
        <f>MATCH(AA171,{"Low","Medium","High"},0)*MATCH(AB171,{"Low","Medium","High"},0)*INDEX({3,2,2,1,1},MATCH(X171,{"Core","Vertical extension","Differentiator","Future","Adjacent"},0))</f>
        <v>6</v>
      </c>
      <c r="AM171" s="5"/>
      <c r="AN171" s="5"/>
      <c r="AO171" s="5"/>
      <c r="AP171" s="5"/>
      <c r="AQ171" s="5"/>
      <c r="AR171" s="5"/>
      <c r="AS171" s="5"/>
      <c r="AT171" s="5"/>
      <c r="AU171" s="6" t="s">
        <v>927</v>
      </c>
      <c r="AV171" s="6" t="s">
        <v>1962</v>
      </c>
      <c r="AW171" s="6" t="s">
        <v>1962</v>
      </c>
      <c r="AX171" s="6" t="s">
        <v>929</v>
      </c>
      <c r="AY171" s="6" t="s">
        <v>930</v>
      </c>
      <c r="AZ171" s="6"/>
      <c r="BA171" s="6"/>
      <c r="BB171" s="6"/>
      <c r="BC171" s="6" t="s">
        <v>97</v>
      </c>
      <c r="BD171" s="6" t="s">
        <v>97</v>
      </c>
    </row>
    <row r="172" spans="1:56" ht="32" customHeight="1" x14ac:dyDescent="0.35">
      <c r="A172" s="13" t="s">
        <v>2011</v>
      </c>
      <c r="B172" s="6" t="s">
        <v>910</v>
      </c>
      <c r="C172" s="5" t="s">
        <v>1101</v>
      </c>
      <c r="D172" s="5" t="s">
        <v>835</v>
      </c>
      <c r="E172" s="5" t="s">
        <v>2012</v>
      </c>
      <c r="F172" s="5" t="s">
        <v>1101</v>
      </c>
      <c r="G172" s="5" t="s">
        <v>1858</v>
      </c>
      <c r="H172" s="5" t="s">
        <v>2013</v>
      </c>
      <c r="I172" s="5" t="s">
        <v>2014</v>
      </c>
      <c r="J172" s="17" t="s">
        <v>121</v>
      </c>
      <c r="K172" s="17" t="s">
        <v>181</v>
      </c>
      <c r="L172" s="5" t="s">
        <v>2015</v>
      </c>
      <c r="M172" s="6" t="s">
        <v>197</v>
      </c>
      <c r="N172" s="6" t="s">
        <v>809</v>
      </c>
      <c r="O172" s="6" t="s">
        <v>121</v>
      </c>
      <c r="P172" s="5" t="s">
        <v>918</v>
      </c>
      <c r="Q172" s="17" t="s">
        <v>182</v>
      </c>
      <c r="R172" s="5"/>
      <c r="S172" s="6" t="s">
        <v>1076</v>
      </c>
      <c r="T172" s="5" t="s">
        <v>1077</v>
      </c>
      <c r="U172" s="6"/>
      <c r="V172" s="6" t="s">
        <v>1078</v>
      </c>
      <c r="W172" s="6" t="s">
        <v>331</v>
      </c>
      <c r="X172" s="5" t="s">
        <v>922</v>
      </c>
      <c r="Y172" s="5" t="s">
        <v>1961</v>
      </c>
      <c r="Z172" s="5" t="str">
        <f t="shared" si="4"/>
        <v>Medium</v>
      </c>
      <c r="AA172" s="5" t="s">
        <v>956</v>
      </c>
      <c r="AB172" s="6" t="s">
        <v>924</v>
      </c>
      <c r="AC172" s="6" t="s">
        <v>103</v>
      </c>
      <c r="AD172" s="5" t="s">
        <v>925</v>
      </c>
      <c r="AE172" s="5" t="s">
        <v>354</v>
      </c>
      <c r="AF172" s="5" t="s">
        <v>354</v>
      </c>
      <c r="AG172" s="5" t="s">
        <v>354</v>
      </c>
      <c r="AH172" s="5" t="s">
        <v>354</v>
      </c>
      <c r="AI172" s="6" t="str">
        <f t="shared" si="5"/>
        <v>No</v>
      </c>
      <c r="AJ172" s="6" t="s">
        <v>926</v>
      </c>
      <c r="AK172" s="6" t="s">
        <v>121</v>
      </c>
      <c r="AL172" s="6">
        <f>MATCH(AA172,{"Low","Medium","High"},0)*MATCH(AB172,{"Low","Medium","High"},0)*INDEX({3,2,2,1,1},MATCH(X172,{"Core","Vertical extension","Differentiator","Future","Adjacent"},0))</f>
        <v>6</v>
      </c>
      <c r="AM172" s="5"/>
      <c r="AN172" s="5"/>
      <c r="AO172" s="5"/>
      <c r="AP172" s="5"/>
      <c r="AQ172" s="5"/>
      <c r="AR172" s="5"/>
      <c r="AS172" s="5"/>
      <c r="AT172" s="5"/>
      <c r="AU172" s="6" t="s">
        <v>927</v>
      </c>
      <c r="AV172" s="6" t="s">
        <v>1962</v>
      </c>
      <c r="AW172" s="6" t="s">
        <v>1962</v>
      </c>
      <c r="AX172" s="6" t="s">
        <v>929</v>
      </c>
      <c r="AY172" s="6" t="s">
        <v>930</v>
      </c>
      <c r="AZ172" s="6"/>
      <c r="BA172" s="6"/>
      <c r="BB172" s="6"/>
      <c r="BC172" s="6" t="s">
        <v>97</v>
      </c>
      <c r="BD172" s="6" t="s">
        <v>97</v>
      </c>
    </row>
    <row r="173" spans="1:56" ht="32" customHeight="1" x14ac:dyDescent="0.35">
      <c r="A173" s="13" t="s">
        <v>2016</v>
      </c>
      <c r="B173" s="6" t="s">
        <v>910</v>
      </c>
      <c r="C173" s="5" t="s">
        <v>1101</v>
      </c>
      <c r="D173" s="5" t="s">
        <v>834</v>
      </c>
      <c r="E173" s="5" t="s">
        <v>2017</v>
      </c>
      <c r="F173" s="5" t="s">
        <v>1101</v>
      </c>
      <c r="G173" s="5" t="s">
        <v>1452</v>
      </c>
      <c r="H173" s="5" t="s">
        <v>2018</v>
      </c>
      <c r="I173" s="5" t="s">
        <v>2019</v>
      </c>
      <c r="J173" s="19" t="s">
        <v>151</v>
      </c>
      <c r="K173" s="17" t="s">
        <v>181</v>
      </c>
      <c r="L173" s="5" t="s">
        <v>2020</v>
      </c>
      <c r="M173" s="6" t="s">
        <v>197</v>
      </c>
      <c r="N173" s="6" t="s">
        <v>809</v>
      </c>
      <c r="O173" s="6" t="s">
        <v>151</v>
      </c>
      <c r="P173" s="5" t="s">
        <v>1115</v>
      </c>
      <c r="Q173" s="17" t="s">
        <v>182</v>
      </c>
      <c r="R173" s="5" t="s">
        <v>1115</v>
      </c>
      <c r="S173" s="6" t="s">
        <v>1000</v>
      </c>
      <c r="T173" s="5" t="s">
        <v>1001</v>
      </c>
      <c r="U173" s="6"/>
      <c r="V173" s="6" t="s">
        <v>1002</v>
      </c>
      <c r="W173" s="6" t="s">
        <v>333</v>
      </c>
      <c r="X173" s="5" t="s">
        <v>922</v>
      </c>
      <c r="Y173" s="5" t="s">
        <v>1961</v>
      </c>
      <c r="Z173" s="5" t="str">
        <f t="shared" si="4"/>
        <v>Critical</v>
      </c>
      <c r="AA173" s="5" t="s">
        <v>923</v>
      </c>
      <c r="AB173" s="6" t="s">
        <v>956</v>
      </c>
      <c r="AC173" s="6" t="s">
        <v>11</v>
      </c>
      <c r="AD173" s="5" t="s">
        <v>925</v>
      </c>
      <c r="AE173" s="5" t="s">
        <v>354</v>
      </c>
      <c r="AF173" s="5" t="s">
        <v>354</v>
      </c>
      <c r="AG173" s="5" t="s">
        <v>354</v>
      </c>
      <c r="AH173" s="5" t="s">
        <v>354</v>
      </c>
      <c r="AI173" s="6" t="str">
        <f t="shared" si="5"/>
        <v>No</v>
      </c>
      <c r="AJ173" s="6" t="s">
        <v>926</v>
      </c>
      <c r="AK173" s="6" t="s">
        <v>151</v>
      </c>
      <c r="AL173" s="6">
        <f>MATCH(AA173,{"Low","Medium","High"},0)*MATCH(AB173,{"Low","Medium","High"},0)*INDEX({3,2,2,1,1},MATCH(X173,{"Core","Vertical extension","Differentiator","Future","Adjacent"},0))</f>
        <v>18</v>
      </c>
      <c r="AM173" s="5"/>
      <c r="AN173" s="5"/>
      <c r="AO173" s="5"/>
      <c r="AP173" s="5"/>
      <c r="AQ173" s="5"/>
      <c r="AR173" s="5"/>
      <c r="AS173" s="5"/>
      <c r="AT173" s="5"/>
      <c r="AU173" s="6" t="s">
        <v>927</v>
      </c>
      <c r="AV173" s="6" t="s">
        <v>1962</v>
      </c>
      <c r="AW173" s="6" t="s">
        <v>1962</v>
      </c>
      <c r="AX173" s="6" t="s">
        <v>1003</v>
      </c>
      <c r="AY173" s="6" t="s">
        <v>930</v>
      </c>
      <c r="AZ173" s="6"/>
      <c r="BA173" s="6"/>
      <c r="BB173" s="6"/>
      <c r="BC173" s="6" t="s">
        <v>97</v>
      </c>
      <c r="BD173" s="6" t="s">
        <v>97</v>
      </c>
    </row>
    <row r="174" spans="1:56" ht="32" customHeight="1" x14ac:dyDescent="0.35">
      <c r="A174" s="13" t="s">
        <v>2021</v>
      </c>
      <c r="B174" s="6" t="s">
        <v>910</v>
      </c>
      <c r="C174" s="5" t="s">
        <v>1101</v>
      </c>
      <c r="D174" s="5" t="s">
        <v>834</v>
      </c>
      <c r="E174" s="5" t="s">
        <v>2022</v>
      </c>
      <c r="F174" s="5" t="s">
        <v>1101</v>
      </c>
      <c r="G174" s="5" t="s">
        <v>1710</v>
      </c>
      <c r="H174" s="5" t="s">
        <v>2023</v>
      </c>
      <c r="I174" s="5" t="s">
        <v>2024</v>
      </c>
      <c r="J174" s="19" t="s">
        <v>151</v>
      </c>
      <c r="K174" s="17" t="s">
        <v>181</v>
      </c>
      <c r="L174" s="5" t="s">
        <v>2025</v>
      </c>
      <c r="M174" s="6" t="s">
        <v>197</v>
      </c>
      <c r="N174" s="6" t="s">
        <v>809</v>
      </c>
      <c r="O174" s="6" t="s">
        <v>151</v>
      </c>
      <c r="P174" s="5" t="s">
        <v>1115</v>
      </c>
      <c r="Q174" s="17" t="s">
        <v>182</v>
      </c>
      <c r="R174" s="5" t="s">
        <v>1115</v>
      </c>
      <c r="S174" s="6" t="s">
        <v>1000</v>
      </c>
      <c r="T174" s="5" t="s">
        <v>1001</v>
      </c>
      <c r="U174" s="6"/>
      <c r="V174" s="6" t="s">
        <v>1002</v>
      </c>
      <c r="W174" s="6" t="s">
        <v>333</v>
      </c>
      <c r="X174" s="5" t="s">
        <v>922</v>
      </c>
      <c r="Y174" s="5" t="s">
        <v>1961</v>
      </c>
      <c r="Z174" s="5" t="str">
        <f t="shared" si="4"/>
        <v>Critical</v>
      </c>
      <c r="AA174" s="5" t="s">
        <v>923</v>
      </c>
      <c r="AB174" s="6" t="s">
        <v>956</v>
      </c>
      <c r="AC174" s="6" t="s">
        <v>11</v>
      </c>
      <c r="AD174" s="5" t="s">
        <v>925</v>
      </c>
      <c r="AE174" s="5" t="s">
        <v>354</v>
      </c>
      <c r="AF174" s="5" t="s">
        <v>354</v>
      </c>
      <c r="AG174" s="5" t="s">
        <v>354</v>
      </c>
      <c r="AH174" s="5" t="s">
        <v>354</v>
      </c>
      <c r="AI174" s="6" t="str">
        <f t="shared" si="5"/>
        <v>No</v>
      </c>
      <c r="AJ174" s="6" t="s">
        <v>926</v>
      </c>
      <c r="AK174" s="6" t="s">
        <v>151</v>
      </c>
      <c r="AL174" s="6">
        <f>MATCH(AA174,{"Low","Medium","High"},0)*MATCH(AB174,{"Low","Medium","High"},0)*INDEX({3,2,2,1,1},MATCH(X174,{"Core","Vertical extension","Differentiator","Future","Adjacent"},0))</f>
        <v>18</v>
      </c>
      <c r="AM174" s="5"/>
      <c r="AN174" s="5"/>
      <c r="AO174" s="5"/>
      <c r="AP174" s="5"/>
      <c r="AQ174" s="5"/>
      <c r="AR174" s="5"/>
      <c r="AS174" s="5"/>
      <c r="AT174" s="5"/>
      <c r="AU174" s="6" t="s">
        <v>927</v>
      </c>
      <c r="AV174" s="6" t="s">
        <v>1962</v>
      </c>
      <c r="AW174" s="6" t="s">
        <v>1962</v>
      </c>
      <c r="AX174" s="6" t="s">
        <v>1003</v>
      </c>
      <c r="AY174" s="6" t="s">
        <v>930</v>
      </c>
      <c r="AZ174" s="6"/>
      <c r="BA174" s="6"/>
      <c r="BB174" s="6"/>
      <c r="BC174" s="6" t="s">
        <v>97</v>
      </c>
      <c r="BD174" s="6" t="s">
        <v>97</v>
      </c>
    </row>
    <row r="175" spans="1:56" ht="32" customHeight="1" x14ac:dyDescent="0.35">
      <c r="A175" s="13" t="s">
        <v>2026</v>
      </c>
      <c r="B175" s="6" t="s">
        <v>910</v>
      </c>
      <c r="C175" s="5" t="s">
        <v>1101</v>
      </c>
      <c r="D175" s="5" t="s">
        <v>841</v>
      </c>
      <c r="E175" s="5" t="s">
        <v>2027</v>
      </c>
      <c r="F175" s="5" t="s">
        <v>1101</v>
      </c>
      <c r="G175" s="5" t="s">
        <v>1344</v>
      </c>
      <c r="H175" s="5" t="s">
        <v>2028</v>
      </c>
      <c r="I175" s="5" t="s">
        <v>2029</v>
      </c>
      <c r="J175" s="17" t="s">
        <v>121</v>
      </c>
      <c r="K175" s="17" t="s">
        <v>181</v>
      </c>
      <c r="L175" s="5" t="s">
        <v>2030</v>
      </c>
      <c r="M175" s="6" t="s">
        <v>197</v>
      </c>
      <c r="N175" s="6" t="s">
        <v>809</v>
      </c>
      <c r="O175" s="6" t="s">
        <v>121</v>
      </c>
      <c r="P175" s="5" t="s">
        <v>918</v>
      </c>
      <c r="Q175" s="18" t="s">
        <v>186</v>
      </c>
      <c r="R175" s="5" t="s">
        <v>2031</v>
      </c>
      <c r="S175" s="6" t="s">
        <v>1038</v>
      </c>
      <c r="T175" s="5" t="s">
        <v>1039</v>
      </c>
      <c r="U175" s="6"/>
      <c r="V175" s="6" t="s">
        <v>921</v>
      </c>
      <c r="W175" s="6" t="s">
        <v>331</v>
      </c>
      <c r="X175" s="5" t="s">
        <v>922</v>
      </c>
      <c r="Y175" s="5" t="s">
        <v>1961</v>
      </c>
      <c r="Z175" s="5" t="str">
        <f t="shared" si="4"/>
        <v>Medium</v>
      </c>
      <c r="AA175" s="5" t="s">
        <v>956</v>
      </c>
      <c r="AB175" s="6" t="s">
        <v>924</v>
      </c>
      <c r="AC175" s="6" t="s">
        <v>103</v>
      </c>
      <c r="AD175" s="5" t="s">
        <v>940</v>
      </c>
      <c r="AE175" s="5" t="s">
        <v>354</v>
      </c>
      <c r="AF175" s="5" t="s">
        <v>354</v>
      </c>
      <c r="AG175" s="5" t="s">
        <v>354</v>
      </c>
      <c r="AH175" s="5" t="s">
        <v>354</v>
      </c>
      <c r="AI175" s="6" t="str">
        <f t="shared" si="5"/>
        <v>No</v>
      </c>
      <c r="AJ175" s="6" t="s">
        <v>941</v>
      </c>
      <c r="AK175" s="6" t="s">
        <v>121</v>
      </c>
      <c r="AL175" s="6">
        <f>MATCH(AA175,{"Low","Medium","High"},0)*MATCH(AB175,{"Low","Medium","High"},0)*INDEX({3,2,2,1,1},MATCH(X175,{"Core","Vertical extension","Differentiator","Future","Adjacent"},0))</f>
        <v>6</v>
      </c>
      <c r="AM175" s="5"/>
      <c r="AN175" s="5"/>
      <c r="AO175" s="5"/>
      <c r="AP175" s="5"/>
      <c r="AQ175" s="5"/>
      <c r="AR175" s="5"/>
      <c r="AS175" s="5"/>
      <c r="AT175" s="5"/>
      <c r="AU175" s="6" t="s">
        <v>927</v>
      </c>
      <c r="AV175" s="6" t="s">
        <v>1962</v>
      </c>
      <c r="AW175" s="6" t="s">
        <v>1962</v>
      </c>
      <c r="AX175" s="6" t="s">
        <v>929</v>
      </c>
      <c r="AY175" s="6" t="s">
        <v>930</v>
      </c>
      <c r="AZ175" s="6"/>
      <c r="BA175" s="6" t="s">
        <v>1147</v>
      </c>
      <c r="BB175" s="6" t="s">
        <v>1148</v>
      </c>
      <c r="BC175" s="6" t="s">
        <v>97</v>
      </c>
      <c r="BD175" s="6" t="s">
        <v>97</v>
      </c>
    </row>
    <row r="176" spans="1:56" ht="32" customHeight="1" x14ac:dyDescent="0.35">
      <c r="A176" s="13" t="s">
        <v>2032</v>
      </c>
      <c r="B176" s="6" t="s">
        <v>910</v>
      </c>
      <c r="C176" s="5" t="s">
        <v>1101</v>
      </c>
      <c r="D176" s="5" t="s">
        <v>835</v>
      </c>
      <c r="E176" s="5" t="s">
        <v>2033</v>
      </c>
      <c r="F176" s="5" t="s">
        <v>1101</v>
      </c>
      <c r="G176" s="5" t="s">
        <v>1452</v>
      </c>
      <c r="H176" s="5" t="s">
        <v>2034</v>
      </c>
      <c r="I176" s="5" t="s">
        <v>2035</v>
      </c>
      <c r="J176" s="17" t="s">
        <v>121</v>
      </c>
      <c r="K176" s="17" t="s">
        <v>181</v>
      </c>
      <c r="L176" s="5" t="s">
        <v>2036</v>
      </c>
      <c r="M176" s="6" t="s">
        <v>197</v>
      </c>
      <c r="N176" s="6" t="s">
        <v>809</v>
      </c>
      <c r="O176" s="6" t="s">
        <v>121</v>
      </c>
      <c r="P176" s="5" t="s">
        <v>918</v>
      </c>
      <c r="Q176" s="17" t="s">
        <v>182</v>
      </c>
      <c r="R176" s="5"/>
      <c r="S176" s="6" t="s">
        <v>1076</v>
      </c>
      <c r="T176" s="5" t="s">
        <v>1077</v>
      </c>
      <c r="U176" s="6"/>
      <c r="V176" s="6" t="s">
        <v>1078</v>
      </c>
      <c r="W176" s="6" t="s">
        <v>331</v>
      </c>
      <c r="X176" s="5" t="s">
        <v>922</v>
      </c>
      <c r="Y176" s="5" t="s">
        <v>1961</v>
      </c>
      <c r="Z176" s="5" t="str">
        <f t="shared" si="4"/>
        <v>Medium</v>
      </c>
      <c r="AA176" s="5" t="s">
        <v>956</v>
      </c>
      <c r="AB176" s="6" t="s">
        <v>924</v>
      </c>
      <c r="AC176" s="6" t="s">
        <v>103</v>
      </c>
      <c r="AD176" s="5" t="s">
        <v>925</v>
      </c>
      <c r="AE176" s="5" t="s">
        <v>354</v>
      </c>
      <c r="AF176" s="5" t="s">
        <v>354</v>
      </c>
      <c r="AG176" s="5" t="s">
        <v>354</v>
      </c>
      <c r="AH176" s="5" t="s">
        <v>354</v>
      </c>
      <c r="AI176" s="6" t="str">
        <f t="shared" si="5"/>
        <v>No</v>
      </c>
      <c r="AJ176" s="6" t="s">
        <v>926</v>
      </c>
      <c r="AK176" s="6" t="s">
        <v>121</v>
      </c>
      <c r="AL176" s="6">
        <f>MATCH(AA176,{"Low","Medium","High"},0)*MATCH(AB176,{"Low","Medium","High"},0)*INDEX({3,2,2,1,1},MATCH(X176,{"Core","Vertical extension","Differentiator","Future","Adjacent"},0))</f>
        <v>6</v>
      </c>
      <c r="AM176" s="5"/>
      <c r="AN176" s="5"/>
      <c r="AO176" s="5"/>
      <c r="AP176" s="5"/>
      <c r="AQ176" s="5"/>
      <c r="AR176" s="5"/>
      <c r="AS176" s="5"/>
      <c r="AT176" s="5"/>
      <c r="AU176" s="6" t="s">
        <v>927</v>
      </c>
      <c r="AV176" s="6" t="s">
        <v>1962</v>
      </c>
      <c r="AW176" s="6" t="s">
        <v>1962</v>
      </c>
      <c r="AX176" s="6" t="s">
        <v>929</v>
      </c>
      <c r="AY176" s="6" t="s">
        <v>930</v>
      </c>
      <c r="AZ176" s="6"/>
      <c r="BA176" s="6"/>
      <c r="BB176" s="6"/>
      <c r="BC176" s="6" t="s">
        <v>97</v>
      </c>
      <c r="BD176" s="6" t="s">
        <v>97</v>
      </c>
    </row>
    <row r="177" spans="1:56" ht="32" customHeight="1" x14ac:dyDescent="0.35">
      <c r="A177" s="13" t="s">
        <v>2037</v>
      </c>
      <c r="B177" s="6" t="s">
        <v>910</v>
      </c>
      <c r="C177" s="5" t="s">
        <v>2038</v>
      </c>
      <c r="D177" s="5" t="s">
        <v>838</v>
      </c>
      <c r="E177" s="5" t="s">
        <v>2039</v>
      </c>
      <c r="F177" s="5" t="s">
        <v>1596</v>
      </c>
      <c r="G177" s="5" t="s">
        <v>2040</v>
      </c>
      <c r="H177" s="5" t="s">
        <v>2041</v>
      </c>
      <c r="I177" s="5" t="s">
        <v>2042</v>
      </c>
      <c r="J177" s="16" t="s">
        <v>73</v>
      </c>
      <c r="K177" s="17" t="s">
        <v>181</v>
      </c>
      <c r="L177" s="5" t="s">
        <v>2043</v>
      </c>
      <c r="M177" s="6" t="s">
        <v>197</v>
      </c>
      <c r="N177" s="6" t="s">
        <v>809</v>
      </c>
      <c r="O177" s="6" t="s">
        <v>73</v>
      </c>
      <c r="P177" s="5" t="s">
        <v>918</v>
      </c>
      <c r="Q177" s="17" t="s">
        <v>182</v>
      </c>
      <c r="R177" s="5"/>
      <c r="S177" s="6" t="s">
        <v>990</v>
      </c>
      <c r="T177" s="5" t="s">
        <v>991</v>
      </c>
      <c r="U177" s="6"/>
      <c r="V177" s="6" t="s">
        <v>992</v>
      </c>
      <c r="W177" s="6" t="s">
        <v>337</v>
      </c>
      <c r="X177" s="5" t="s">
        <v>922</v>
      </c>
      <c r="Y177" s="5" t="s">
        <v>2044</v>
      </c>
      <c r="Z177" s="5" t="str">
        <f t="shared" si="4"/>
        <v>High</v>
      </c>
      <c r="AA177" s="5" t="s">
        <v>923</v>
      </c>
      <c r="AB177" s="6" t="s">
        <v>924</v>
      </c>
      <c r="AC177" s="6" t="s">
        <v>78</v>
      </c>
      <c r="AD177" s="5" t="s">
        <v>925</v>
      </c>
      <c r="AE177" s="5" t="s">
        <v>354</v>
      </c>
      <c r="AF177" s="5" t="s">
        <v>354</v>
      </c>
      <c r="AG177" s="5" t="s">
        <v>354</v>
      </c>
      <c r="AH177" s="5" t="s">
        <v>354</v>
      </c>
      <c r="AI177" s="6" t="str">
        <f t="shared" si="5"/>
        <v>No</v>
      </c>
      <c r="AJ177" s="6" t="s">
        <v>926</v>
      </c>
      <c r="AK177" s="6" t="s">
        <v>73</v>
      </c>
      <c r="AL177" s="6">
        <f>MATCH(AA177,{"Low","Medium","High"},0)*MATCH(AB177,{"Low","Medium","High"},0)*INDEX({3,2,2,1,1},MATCH(X177,{"Core","Vertical extension","Differentiator","Future","Adjacent"},0))</f>
        <v>9</v>
      </c>
      <c r="AM177" s="5"/>
      <c r="AN177" s="5"/>
      <c r="AO177" s="5"/>
      <c r="AP177" s="5"/>
      <c r="AQ177" s="5"/>
      <c r="AR177" s="5"/>
      <c r="AS177" s="5"/>
      <c r="AT177" s="5"/>
      <c r="AU177" s="6" t="s">
        <v>927</v>
      </c>
      <c r="AV177" s="6" t="s">
        <v>1390</v>
      </c>
      <c r="AW177" s="6" t="s">
        <v>1390</v>
      </c>
      <c r="AX177" s="6" t="s">
        <v>929</v>
      </c>
      <c r="AY177" s="6" t="s">
        <v>930</v>
      </c>
      <c r="AZ177" s="6"/>
      <c r="BA177" s="6" t="s">
        <v>1602</v>
      </c>
      <c r="BB177" s="6" t="s">
        <v>1603</v>
      </c>
      <c r="BC177" s="6" t="s">
        <v>97</v>
      </c>
      <c r="BD177" s="6" t="s">
        <v>97</v>
      </c>
    </row>
    <row r="178" spans="1:56" ht="32" customHeight="1" x14ac:dyDescent="0.35">
      <c r="A178" s="13" t="s">
        <v>2045</v>
      </c>
      <c r="B178" s="6" t="s">
        <v>910</v>
      </c>
      <c r="C178" s="5" t="s">
        <v>2038</v>
      </c>
      <c r="D178" s="5" t="s">
        <v>838</v>
      </c>
      <c r="E178" s="5" t="s">
        <v>2046</v>
      </c>
      <c r="F178" s="5" t="s">
        <v>1596</v>
      </c>
      <c r="G178" s="5" t="s">
        <v>2047</v>
      </c>
      <c r="H178" s="5" t="s">
        <v>2048</v>
      </c>
      <c r="I178" s="5" t="s">
        <v>2049</v>
      </c>
      <c r="J178" s="16" t="s">
        <v>73</v>
      </c>
      <c r="K178" s="17" t="s">
        <v>181</v>
      </c>
      <c r="L178" s="5" t="s">
        <v>2050</v>
      </c>
      <c r="M178" s="6" t="s">
        <v>197</v>
      </c>
      <c r="N178" s="6" t="s">
        <v>809</v>
      </c>
      <c r="O178" s="6" t="s">
        <v>73</v>
      </c>
      <c r="P178" s="5" t="s">
        <v>918</v>
      </c>
      <c r="Q178" s="17" t="s">
        <v>182</v>
      </c>
      <c r="R178" s="5"/>
      <c r="S178" s="6" t="s">
        <v>990</v>
      </c>
      <c r="T178" s="5" t="s">
        <v>991</v>
      </c>
      <c r="U178" s="6"/>
      <c r="V178" s="6" t="s">
        <v>992</v>
      </c>
      <c r="W178" s="6" t="s">
        <v>337</v>
      </c>
      <c r="X178" s="5" t="s">
        <v>922</v>
      </c>
      <c r="Y178" s="5" t="s">
        <v>2044</v>
      </c>
      <c r="Z178" s="5" t="str">
        <f t="shared" si="4"/>
        <v>High</v>
      </c>
      <c r="AA178" s="5" t="s">
        <v>923</v>
      </c>
      <c r="AB178" s="6" t="s">
        <v>924</v>
      </c>
      <c r="AC178" s="6" t="s">
        <v>78</v>
      </c>
      <c r="AD178" s="5" t="s">
        <v>925</v>
      </c>
      <c r="AE178" s="5" t="s">
        <v>354</v>
      </c>
      <c r="AF178" s="5" t="s">
        <v>354</v>
      </c>
      <c r="AG178" s="5" t="s">
        <v>354</v>
      </c>
      <c r="AH178" s="5" t="s">
        <v>354</v>
      </c>
      <c r="AI178" s="6" t="str">
        <f t="shared" si="5"/>
        <v>No</v>
      </c>
      <c r="AJ178" s="6" t="s">
        <v>926</v>
      </c>
      <c r="AK178" s="6" t="s">
        <v>73</v>
      </c>
      <c r="AL178" s="6">
        <f>MATCH(AA178,{"Low","Medium","High"},0)*MATCH(AB178,{"Low","Medium","High"},0)*INDEX({3,2,2,1,1},MATCH(X178,{"Core","Vertical extension","Differentiator","Future","Adjacent"},0))</f>
        <v>9</v>
      </c>
      <c r="AM178" s="5"/>
      <c r="AN178" s="5"/>
      <c r="AO178" s="5"/>
      <c r="AP178" s="5"/>
      <c r="AQ178" s="5"/>
      <c r="AR178" s="5"/>
      <c r="AS178" s="5"/>
      <c r="AT178" s="5"/>
      <c r="AU178" s="6" t="s">
        <v>927</v>
      </c>
      <c r="AV178" s="6" t="s">
        <v>1390</v>
      </c>
      <c r="AW178" s="6" t="s">
        <v>1390</v>
      </c>
      <c r="AX178" s="6" t="s">
        <v>929</v>
      </c>
      <c r="AY178" s="6" t="s">
        <v>930</v>
      </c>
      <c r="AZ178" s="6"/>
      <c r="BA178" s="6"/>
      <c r="BB178" s="6"/>
      <c r="BC178" s="6" t="s">
        <v>97</v>
      </c>
      <c r="BD178" s="6" t="s">
        <v>97</v>
      </c>
    </row>
    <row r="179" spans="1:56" ht="32" customHeight="1" x14ac:dyDescent="0.35">
      <c r="A179" s="13" t="s">
        <v>2051</v>
      </c>
      <c r="B179" s="6" t="s">
        <v>910</v>
      </c>
      <c r="C179" s="5" t="s">
        <v>2038</v>
      </c>
      <c r="D179" s="5" t="s">
        <v>838</v>
      </c>
      <c r="E179" s="5" t="s">
        <v>2052</v>
      </c>
      <c r="F179" s="5" t="s">
        <v>1596</v>
      </c>
      <c r="G179" s="5" t="s">
        <v>1322</v>
      </c>
      <c r="H179" s="5" t="s">
        <v>2053</v>
      </c>
      <c r="I179" s="5" t="s">
        <v>2054</v>
      </c>
      <c r="J179" s="16" t="s">
        <v>73</v>
      </c>
      <c r="K179" s="17" t="s">
        <v>181</v>
      </c>
      <c r="L179" s="5" t="s">
        <v>2055</v>
      </c>
      <c r="M179" s="6" t="s">
        <v>197</v>
      </c>
      <c r="N179" s="6" t="s">
        <v>809</v>
      </c>
      <c r="O179" s="6" t="s">
        <v>73</v>
      </c>
      <c r="P179" s="5" t="s">
        <v>918</v>
      </c>
      <c r="Q179" s="17" t="s">
        <v>182</v>
      </c>
      <c r="R179" s="5"/>
      <c r="S179" s="6" t="s">
        <v>990</v>
      </c>
      <c r="T179" s="5" t="s">
        <v>991</v>
      </c>
      <c r="U179" s="6"/>
      <c r="V179" s="6" t="s">
        <v>992</v>
      </c>
      <c r="W179" s="6" t="s">
        <v>337</v>
      </c>
      <c r="X179" s="5" t="s">
        <v>922</v>
      </c>
      <c r="Y179" s="5" t="s">
        <v>2044</v>
      </c>
      <c r="Z179" s="5" t="str">
        <f t="shared" si="4"/>
        <v>High</v>
      </c>
      <c r="AA179" s="5" t="s">
        <v>923</v>
      </c>
      <c r="AB179" s="6" t="s">
        <v>924</v>
      </c>
      <c r="AC179" s="6" t="s">
        <v>78</v>
      </c>
      <c r="AD179" s="5" t="s">
        <v>925</v>
      </c>
      <c r="AE179" s="5" t="s">
        <v>354</v>
      </c>
      <c r="AF179" s="5" t="s">
        <v>354</v>
      </c>
      <c r="AG179" s="5" t="s">
        <v>354</v>
      </c>
      <c r="AH179" s="5" t="s">
        <v>354</v>
      </c>
      <c r="AI179" s="6" t="str">
        <f t="shared" si="5"/>
        <v>No</v>
      </c>
      <c r="AJ179" s="6" t="s">
        <v>926</v>
      </c>
      <c r="AK179" s="6" t="s">
        <v>73</v>
      </c>
      <c r="AL179" s="6">
        <f>MATCH(AA179,{"Low","Medium","High"},0)*MATCH(AB179,{"Low","Medium","High"},0)*INDEX({3,2,2,1,1},MATCH(X179,{"Core","Vertical extension","Differentiator","Future","Adjacent"},0))</f>
        <v>9</v>
      </c>
      <c r="AM179" s="5"/>
      <c r="AN179" s="5"/>
      <c r="AO179" s="5"/>
      <c r="AP179" s="5"/>
      <c r="AQ179" s="5"/>
      <c r="AR179" s="5"/>
      <c r="AS179" s="5"/>
      <c r="AT179" s="5"/>
      <c r="AU179" s="6" t="s">
        <v>927</v>
      </c>
      <c r="AV179" s="6" t="s">
        <v>1390</v>
      </c>
      <c r="AW179" s="6" t="s">
        <v>1390</v>
      </c>
      <c r="AX179" s="6" t="s">
        <v>929</v>
      </c>
      <c r="AY179" s="6" t="s">
        <v>930</v>
      </c>
      <c r="AZ179" s="6"/>
      <c r="BA179" s="6"/>
      <c r="BB179" s="6"/>
      <c r="BC179" s="6" t="s">
        <v>97</v>
      </c>
      <c r="BD179" s="6" t="s">
        <v>97</v>
      </c>
    </row>
    <row r="180" spans="1:56" ht="32" customHeight="1" x14ac:dyDescent="0.35">
      <c r="A180" s="13" t="s">
        <v>2056</v>
      </c>
      <c r="B180" s="6" t="s">
        <v>910</v>
      </c>
      <c r="C180" s="5" t="s">
        <v>2038</v>
      </c>
      <c r="D180" s="5" t="s">
        <v>825</v>
      </c>
      <c r="E180" s="5" t="s">
        <v>2057</v>
      </c>
      <c r="F180" s="5" t="s">
        <v>1596</v>
      </c>
      <c r="G180" s="5" t="s">
        <v>1049</v>
      </c>
      <c r="H180" s="5" t="s">
        <v>2058</v>
      </c>
      <c r="I180" s="5" t="s">
        <v>2059</v>
      </c>
      <c r="J180" s="16" t="s">
        <v>73</v>
      </c>
      <c r="K180" s="17" t="s">
        <v>181</v>
      </c>
      <c r="L180" s="5" t="s">
        <v>2060</v>
      </c>
      <c r="M180" s="6" t="s">
        <v>197</v>
      </c>
      <c r="N180" s="6" t="s">
        <v>809</v>
      </c>
      <c r="O180" s="6" t="s">
        <v>73</v>
      </c>
      <c r="P180" s="5" t="s">
        <v>918</v>
      </c>
      <c r="Q180" s="17" t="s">
        <v>182</v>
      </c>
      <c r="R180" s="5"/>
      <c r="S180" s="6" t="s">
        <v>1053</v>
      </c>
      <c r="T180" s="5" t="s">
        <v>1054</v>
      </c>
      <c r="U180" s="6"/>
      <c r="V180" s="6" t="s">
        <v>1055</v>
      </c>
      <c r="W180" s="6" t="s">
        <v>333</v>
      </c>
      <c r="X180" s="5" t="s">
        <v>922</v>
      </c>
      <c r="Y180" s="5" t="s">
        <v>2044</v>
      </c>
      <c r="Z180" s="5" t="str">
        <f t="shared" si="4"/>
        <v>Critical</v>
      </c>
      <c r="AA180" s="5" t="s">
        <v>923</v>
      </c>
      <c r="AB180" s="6" t="s">
        <v>923</v>
      </c>
      <c r="AC180" s="6" t="s">
        <v>78</v>
      </c>
      <c r="AD180" s="5" t="s">
        <v>925</v>
      </c>
      <c r="AE180" s="5" t="s">
        <v>354</v>
      </c>
      <c r="AF180" s="5" t="s">
        <v>354</v>
      </c>
      <c r="AG180" s="5" t="s">
        <v>354</v>
      </c>
      <c r="AH180" s="5" t="s">
        <v>354</v>
      </c>
      <c r="AI180" s="6" t="str">
        <f t="shared" si="5"/>
        <v>No</v>
      </c>
      <c r="AJ180" s="6" t="s">
        <v>926</v>
      </c>
      <c r="AK180" s="6" t="s">
        <v>73</v>
      </c>
      <c r="AL180" s="6">
        <f>MATCH(AA180,{"Low","Medium","High"},0)*MATCH(AB180,{"Low","Medium","High"},0)*INDEX({3,2,2,1,1},MATCH(X180,{"Core","Vertical extension","Differentiator","Future","Adjacent"},0))</f>
        <v>27</v>
      </c>
      <c r="AM180" s="5"/>
      <c r="AN180" s="5"/>
      <c r="AO180" s="5"/>
      <c r="AP180" s="5"/>
      <c r="AQ180" s="5"/>
      <c r="AR180" s="5"/>
      <c r="AS180" s="5"/>
      <c r="AT180" s="5"/>
      <c r="AU180" s="6" t="s">
        <v>927</v>
      </c>
      <c r="AV180" s="6" t="s">
        <v>1390</v>
      </c>
      <c r="AW180" s="6" t="s">
        <v>1390</v>
      </c>
      <c r="AX180" s="6" t="s">
        <v>929</v>
      </c>
      <c r="AY180" s="6" t="s">
        <v>930</v>
      </c>
      <c r="AZ180" s="6"/>
      <c r="BA180" s="6" t="s">
        <v>2061</v>
      </c>
      <c r="BB180" s="6" t="s">
        <v>2062</v>
      </c>
      <c r="BC180" s="6" t="s">
        <v>97</v>
      </c>
      <c r="BD180" s="6" t="s">
        <v>97</v>
      </c>
    </row>
    <row r="181" spans="1:56" ht="32" customHeight="1" x14ac:dyDescent="0.35">
      <c r="A181" s="13" t="s">
        <v>2063</v>
      </c>
      <c r="B181" s="6" t="s">
        <v>910</v>
      </c>
      <c r="C181" s="5" t="s">
        <v>2038</v>
      </c>
      <c r="D181" s="5" t="s">
        <v>839</v>
      </c>
      <c r="E181" s="5" t="s">
        <v>2064</v>
      </c>
      <c r="F181" s="5" t="s">
        <v>1596</v>
      </c>
      <c r="G181" s="5" t="s">
        <v>2065</v>
      </c>
      <c r="H181" s="5" t="s">
        <v>2066</v>
      </c>
      <c r="I181" s="5" t="s">
        <v>2067</v>
      </c>
      <c r="J181" s="16" t="s">
        <v>73</v>
      </c>
      <c r="K181" s="17" t="s">
        <v>181</v>
      </c>
      <c r="L181" s="5" t="s">
        <v>2068</v>
      </c>
      <c r="M181" s="6" t="s">
        <v>197</v>
      </c>
      <c r="N181" s="6" t="s">
        <v>809</v>
      </c>
      <c r="O181" s="6" t="s">
        <v>73</v>
      </c>
      <c r="P181" s="5" t="s">
        <v>918</v>
      </c>
      <c r="Q181" s="17" t="s">
        <v>182</v>
      </c>
      <c r="R181" s="5"/>
      <c r="S181" s="6" t="s">
        <v>1359</v>
      </c>
      <c r="T181" s="5" t="s">
        <v>1360</v>
      </c>
      <c r="U181" s="6"/>
      <c r="V181" s="6" t="s">
        <v>982</v>
      </c>
      <c r="W181" s="6" t="s">
        <v>331</v>
      </c>
      <c r="X181" s="5" t="s">
        <v>922</v>
      </c>
      <c r="Y181" s="5" t="s">
        <v>2044</v>
      </c>
      <c r="Z181" s="5" t="str">
        <f t="shared" si="4"/>
        <v>High</v>
      </c>
      <c r="AA181" s="5" t="s">
        <v>923</v>
      </c>
      <c r="AB181" s="6" t="s">
        <v>924</v>
      </c>
      <c r="AC181" s="6" t="s">
        <v>78</v>
      </c>
      <c r="AD181" s="5" t="s">
        <v>925</v>
      </c>
      <c r="AE181" s="5" t="s">
        <v>354</v>
      </c>
      <c r="AF181" s="5" t="s">
        <v>354</v>
      </c>
      <c r="AG181" s="5" t="s">
        <v>354</v>
      </c>
      <c r="AH181" s="5" t="s">
        <v>354</v>
      </c>
      <c r="AI181" s="6" t="str">
        <f t="shared" si="5"/>
        <v>No</v>
      </c>
      <c r="AJ181" s="6" t="s">
        <v>926</v>
      </c>
      <c r="AK181" s="6" t="s">
        <v>73</v>
      </c>
      <c r="AL181" s="6">
        <f>MATCH(AA181,{"Low","Medium","High"},0)*MATCH(AB181,{"Low","Medium","High"},0)*INDEX({3,2,2,1,1},MATCH(X181,{"Core","Vertical extension","Differentiator","Future","Adjacent"},0))</f>
        <v>9</v>
      </c>
      <c r="AM181" s="5"/>
      <c r="AN181" s="5"/>
      <c r="AO181" s="5"/>
      <c r="AP181" s="5"/>
      <c r="AQ181" s="5"/>
      <c r="AR181" s="5"/>
      <c r="AS181" s="5"/>
      <c r="AT181" s="5"/>
      <c r="AU181" s="6" t="s">
        <v>927</v>
      </c>
      <c r="AV181" s="6" t="s">
        <v>1390</v>
      </c>
      <c r="AW181" s="6" t="s">
        <v>1390</v>
      </c>
      <c r="AX181" s="6" t="s">
        <v>929</v>
      </c>
      <c r="AY181" s="6" t="s">
        <v>930</v>
      </c>
      <c r="AZ181" s="6"/>
      <c r="BA181" s="6"/>
      <c r="BB181" s="6"/>
      <c r="BC181" s="6" t="s">
        <v>97</v>
      </c>
      <c r="BD181" s="6" t="s">
        <v>97</v>
      </c>
    </row>
    <row r="182" spans="1:56" ht="32" customHeight="1" x14ac:dyDescent="0.35">
      <c r="A182" s="13" t="s">
        <v>2069</v>
      </c>
      <c r="B182" s="6" t="s">
        <v>910</v>
      </c>
      <c r="C182" s="5" t="s">
        <v>2038</v>
      </c>
      <c r="D182" s="5" t="s">
        <v>825</v>
      </c>
      <c r="E182" s="5" t="s">
        <v>2070</v>
      </c>
      <c r="F182" s="5" t="s">
        <v>1596</v>
      </c>
      <c r="G182" s="5" t="s">
        <v>459</v>
      </c>
      <c r="H182" s="5" t="s">
        <v>2071</v>
      </c>
      <c r="I182" s="5" t="s">
        <v>2072</v>
      </c>
      <c r="J182" s="16" t="s">
        <v>73</v>
      </c>
      <c r="K182" s="17" t="s">
        <v>181</v>
      </c>
      <c r="L182" s="5" t="s">
        <v>2073</v>
      </c>
      <c r="M182" s="6" t="s">
        <v>197</v>
      </c>
      <c r="N182" s="6" t="s">
        <v>809</v>
      </c>
      <c r="O182" s="6" t="s">
        <v>73</v>
      </c>
      <c r="P182" s="5" t="s">
        <v>918</v>
      </c>
      <c r="Q182" s="17" t="s">
        <v>182</v>
      </c>
      <c r="R182" s="5"/>
      <c r="S182" s="6" t="s">
        <v>1053</v>
      </c>
      <c r="T182" s="5" t="s">
        <v>1054</v>
      </c>
      <c r="U182" s="6"/>
      <c r="V182" s="6" t="s">
        <v>1055</v>
      </c>
      <c r="W182" s="6" t="s">
        <v>333</v>
      </c>
      <c r="X182" s="5" t="s">
        <v>922</v>
      </c>
      <c r="Y182" s="5" t="s">
        <v>2044</v>
      </c>
      <c r="Z182" s="5" t="str">
        <f t="shared" si="4"/>
        <v>Critical</v>
      </c>
      <c r="AA182" s="5" t="s">
        <v>923</v>
      </c>
      <c r="AB182" s="6" t="s">
        <v>923</v>
      </c>
      <c r="AC182" s="6" t="s">
        <v>78</v>
      </c>
      <c r="AD182" s="5" t="s">
        <v>925</v>
      </c>
      <c r="AE182" s="5" t="s">
        <v>354</v>
      </c>
      <c r="AF182" s="5" t="s">
        <v>354</v>
      </c>
      <c r="AG182" s="5" t="s">
        <v>354</v>
      </c>
      <c r="AH182" s="5" t="s">
        <v>354</v>
      </c>
      <c r="AI182" s="6" t="str">
        <f t="shared" si="5"/>
        <v>No</v>
      </c>
      <c r="AJ182" s="6" t="s">
        <v>926</v>
      </c>
      <c r="AK182" s="6" t="s">
        <v>73</v>
      </c>
      <c r="AL182" s="6">
        <f>MATCH(AA182,{"Low","Medium","High"},0)*MATCH(AB182,{"Low","Medium","High"},0)*INDEX({3,2,2,1,1},MATCH(X182,{"Core","Vertical extension","Differentiator","Future","Adjacent"},0))</f>
        <v>27</v>
      </c>
      <c r="AM182" s="5"/>
      <c r="AN182" s="5"/>
      <c r="AO182" s="5"/>
      <c r="AP182" s="5"/>
      <c r="AQ182" s="5"/>
      <c r="AR182" s="5"/>
      <c r="AS182" s="5"/>
      <c r="AT182" s="5"/>
      <c r="AU182" s="6" t="s">
        <v>927</v>
      </c>
      <c r="AV182" s="6" t="s">
        <v>1390</v>
      </c>
      <c r="AW182" s="6" t="s">
        <v>1390</v>
      </c>
      <c r="AX182" s="6" t="s">
        <v>929</v>
      </c>
      <c r="AY182" s="6" t="s">
        <v>930</v>
      </c>
      <c r="AZ182" s="6"/>
      <c r="BA182" s="6" t="s">
        <v>2074</v>
      </c>
      <c r="BB182" s="6"/>
      <c r="BC182" s="6" t="s">
        <v>97</v>
      </c>
      <c r="BD182" s="6" t="s">
        <v>97</v>
      </c>
    </row>
    <row r="183" spans="1:56" ht="32" customHeight="1" x14ac:dyDescent="0.35">
      <c r="A183" s="13" t="s">
        <v>2075</v>
      </c>
      <c r="B183" s="6" t="s">
        <v>910</v>
      </c>
      <c r="C183" s="5" t="s">
        <v>2038</v>
      </c>
      <c r="D183" s="5" t="s">
        <v>833</v>
      </c>
      <c r="E183" s="5" t="s">
        <v>2076</v>
      </c>
      <c r="F183" s="5" t="s">
        <v>1596</v>
      </c>
      <c r="G183" s="5" t="s">
        <v>2077</v>
      </c>
      <c r="H183" s="5" t="s">
        <v>2078</v>
      </c>
      <c r="I183" s="5" t="s">
        <v>2079</v>
      </c>
      <c r="J183" s="19" t="s">
        <v>151</v>
      </c>
      <c r="K183" s="17" t="s">
        <v>181</v>
      </c>
      <c r="L183" s="5" t="s">
        <v>2080</v>
      </c>
      <c r="M183" s="6" t="s">
        <v>197</v>
      </c>
      <c r="N183" s="6" t="s">
        <v>809</v>
      </c>
      <c r="O183" s="6" t="s">
        <v>151</v>
      </c>
      <c r="P183" s="5" t="s">
        <v>1115</v>
      </c>
      <c r="Q183" s="17" t="s">
        <v>182</v>
      </c>
      <c r="R183" s="5" t="s">
        <v>1115</v>
      </c>
      <c r="S183" s="6" t="s">
        <v>919</v>
      </c>
      <c r="T183" s="5" t="s">
        <v>920</v>
      </c>
      <c r="U183" s="6"/>
      <c r="V183" s="6" t="s">
        <v>921</v>
      </c>
      <c r="W183" s="6" t="s">
        <v>331</v>
      </c>
      <c r="X183" s="5" t="s">
        <v>922</v>
      </c>
      <c r="Y183" s="5" t="s">
        <v>2044</v>
      </c>
      <c r="Z183" s="5" t="str">
        <f t="shared" si="4"/>
        <v>Medium</v>
      </c>
      <c r="AA183" s="5" t="s">
        <v>956</v>
      </c>
      <c r="AB183" s="6" t="s">
        <v>924</v>
      </c>
      <c r="AC183" s="6" t="s">
        <v>11</v>
      </c>
      <c r="AD183" s="5" t="s">
        <v>925</v>
      </c>
      <c r="AE183" s="5" t="s">
        <v>354</v>
      </c>
      <c r="AF183" s="5" t="s">
        <v>354</v>
      </c>
      <c r="AG183" s="5" t="s">
        <v>354</v>
      </c>
      <c r="AH183" s="5" t="s">
        <v>354</v>
      </c>
      <c r="AI183" s="6" t="str">
        <f t="shared" si="5"/>
        <v>No</v>
      </c>
      <c r="AJ183" s="6" t="s">
        <v>926</v>
      </c>
      <c r="AK183" s="6" t="s">
        <v>151</v>
      </c>
      <c r="AL183" s="6">
        <f>MATCH(AA183,{"Low","Medium","High"},0)*MATCH(AB183,{"Low","Medium","High"},0)*INDEX({3,2,2,1,1},MATCH(X183,{"Core","Vertical extension","Differentiator","Future","Adjacent"},0))</f>
        <v>6</v>
      </c>
      <c r="AM183" s="5"/>
      <c r="AN183" s="5"/>
      <c r="AO183" s="5"/>
      <c r="AP183" s="5"/>
      <c r="AQ183" s="5"/>
      <c r="AR183" s="5"/>
      <c r="AS183" s="5"/>
      <c r="AT183" s="5"/>
      <c r="AU183" s="6" t="s">
        <v>927</v>
      </c>
      <c r="AV183" s="6" t="s">
        <v>1390</v>
      </c>
      <c r="AW183" s="6" t="s">
        <v>1390</v>
      </c>
      <c r="AX183" s="6" t="s">
        <v>1003</v>
      </c>
      <c r="AY183" s="6" t="s">
        <v>930</v>
      </c>
      <c r="AZ183" s="6"/>
      <c r="BA183" s="6"/>
      <c r="BB183" s="6"/>
      <c r="BC183" s="6" t="s">
        <v>97</v>
      </c>
      <c r="BD183" s="6" t="s">
        <v>97</v>
      </c>
    </row>
    <row r="184" spans="1:56" ht="32" customHeight="1" x14ac:dyDescent="0.35">
      <c r="A184" s="13" t="s">
        <v>2081</v>
      </c>
      <c r="B184" s="6" t="s">
        <v>910</v>
      </c>
      <c r="C184" s="5" t="s">
        <v>2038</v>
      </c>
      <c r="D184" s="5" t="s">
        <v>840</v>
      </c>
      <c r="E184" s="5" t="s">
        <v>2082</v>
      </c>
      <c r="F184" s="5" t="s">
        <v>1596</v>
      </c>
      <c r="G184" s="5" t="s">
        <v>951</v>
      </c>
      <c r="H184" s="5" t="s">
        <v>2083</v>
      </c>
      <c r="I184" s="5" t="s">
        <v>2084</v>
      </c>
      <c r="J184" s="17" t="s">
        <v>121</v>
      </c>
      <c r="K184" s="17" t="s">
        <v>181</v>
      </c>
      <c r="L184" s="5" t="s">
        <v>2085</v>
      </c>
      <c r="M184" s="6" t="s">
        <v>197</v>
      </c>
      <c r="N184" s="6" t="s">
        <v>809</v>
      </c>
      <c r="O184" s="6" t="s">
        <v>121</v>
      </c>
      <c r="P184" s="5" t="s">
        <v>918</v>
      </c>
      <c r="Q184" s="18" t="s">
        <v>186</v>
      </c>
      <c r="R184" s="5" t="s">
        <v>1021</v>
      </c>
      <c r="S184" s="6" t="s">
        <v>1022</v>
      </c>
      <c r="T184" s="5" t="s">
        <v>1023</v>
      </c>
      <c r="U184" s="6"/>
      <c r="V184" s="6" t="s">
        <v>1024</v>
      </c>
      <c r="W184" s="6" t="s">
        <v>337</v>
      </c>
      <c r="X184" s="5" t="s">
        <v>922</v>
      </c>
      <c r="Y184" s="5" t="s">
        <v>2044</v>
      </c>
      <c r="Z184" s="5" t="str">
        <f t="shared" si="4"/>
        <v>Medium</v>
      </c>
      <c r="AA184" s="5" t="s">
        <v>956</v>
      </c>
      <c r="AB184" s="6" t="s">
        <v>924</v>
      </c>
      <c r="AC184" s="6" t="s">
        <v>11</v>
      </c>
      <c r="AD184" s="5" t="s">
        <v>940</v>
      </c>
      <c r="AE184" s="5" t="s">
        <v>354</v>
      </c>
      <c r="AF184" s="5" t="s">
        <v>354</v>
      </c>
      <c r="AG184" s="5" t="s">
        <v>354</v>
      </c>
      <c r="AH184" s="5" t="s">
        <v>354</v>
      </c>
      <c r="AI184" s="6" t="str">
        <f t="shared" si="5"/>
        <v>No</v>
      </c>
      <c r="AJ184" s="6" t="s">
        <v>941</v>
      </c>
      <c r="AK184" s="6" t="s">
        <v>151</v>
      </c>
      <c r="AL184" s="6">
        <f>MATCH(AA184,{"Low","Medium","High"},0)*MATCH(AB184,{"Low","Medium","High"},0)*INDEX({3,2,2,1,1},MATCH(X184,{"Core","Vertical extension","Differentiator","Future","Adjacent"},0))</f>
        <v>6</v>
      </c>
      <c r="AM184" s="5"/>
      <c r="AN184" s="5"/>
      <c r="AO184" s="5"/>
      <c r="AP184" s="5"/>
      <c r="AQ184" s="5"/>
      <c r="AR184" s="5"/>
      <c r="AS184" s="5"/>
      <c r="AT184" s="5"/>
      <c r="AU184" s="6" t="s">
        <v>927</v>
      </c>
      <c r="AV184" s="6" t="s">
        <v>1390</v>
      </c>
      <c r="AW184" s="6" t="s">
        <v>1390</v>
      </c>
      <c r="AX184" s="6" t="s">
        <v>929</v>
      </c>
      <c r="AY184" s="6" t="s">
        <v>930</v>
      </c>
      <c r="AZ184" s="6"/>
      <c r="BA184" s="6"/>
      <c r="BB184" s="6"/>
      <c r="BC184" s="6" t="s">
        <v>97</v>
      </c>
      <c r="BD184" s="6" t="s">
        <v>97</v>
      </c>
    </row>
    <row r="185" spans="1:56" ht="32" customHeight="1" x14ac:dyDescent="0.35">
      <c r="A185" s="13" t="s">
        <v>2086</v>
      </c>
      <c r="B185" s="6" t="s">
        <v>910</v>
      </c>
      <c r="C185" s="5" t="s">
        <v>2038</v>
      </c>
      <c r="D185" s="5" t="s">
        <v>827</v>
      </c>
      <c r="E185" s="5" t="s">
        <v>2087</v>
      </c>
      <c r="F185" s="5" t="s">
        <v>1596</v>
      </c>
      <c r="G185" s="5" t="s">
        <v>2088</v>
      </c>
      <c r="H185" s="5" t="s">
        <v>2089</v>
      </c>
      <c r="I185" s="5" t="s">
        <v>2090</v>
      </c>
      <c r="J185" s="17" t="s">
        <v>121</v>
      </c>
      <c r="K185" s="17" t="s">
        <v>181</v>
      </c>
      <c r="L185" s="5" t="s">
        <v>2091</v>
      </c>
      <c r="M185" s="6" t="s">
        <v>197</v>
      </c>
      <c r="N185" s="6" t="s">
        <v>809</v>
      </c>
      <c r="O185" s="6" t="s">
        <v>121</v>
      </c>
      <c r="P185" s="5" t="s">
        <v>918</v>
      </c>
      <c r="Q185" s="17" t="s">
        <v>182</v>
      </c>
      <c r="R185" s="5"/>
      <c r="S185" s="6" t="s">
        <v>1030</v>
      </c>
      <c r="T185" s="5" t="s">
        <v>827</v>
      </c>
      <c r="U185" s="6"/>
      <c r="V185" s="6" t="s">
        <v>1031</v>
      </c>
      <c r="W185" s="6" t="s">
        <v>333</v>
      </c>
      <c r="X185" s="5" t="s">
        <v>922</v>
      </c>
      <c r="Y185" s="5" t="s">
        <v>2044</v>
      </c>
      <c r="Z185" s="5" t="str">
        <f t="shared" si="4"/>
        <v>High</v>
      </c>
      <c r="AA185" s="5" t="s">
        <v>956</v>
      </c>
      <c r="AB185" s="6" t="s">
        <v>956</v>
      </c>
      <c r="AC185" s="6" t="s">
        <v>103</v>
      </c>
      <c r="AD185" s="5" t="s">
        <v>925</v>
      </c>
      <c r="AE185" s="5" t="s">
        <v>354</v>
      </c>
      <c r="AF185" s="5" t="s">
        <v>354</v>
      </c>
      <c r="AG185" s="5" t="s">
        <v>354</v>
      </c>
      <c r="AH185" s="5" t="s">
        <v>354</v>
      </c>
      <c r="AI185" s="6" t="str">
        <f t="shared" si="5"/>
        <v>No</v>
      </c>
      <c r="AJ185" s="6" t="s">
        <v>926</v>
      </c>
      <c r="AK185" s="6" t="s">
        <v>121</v>
      </c>
      <c r="AL185" s="6">
        <f>MATCH(AA185,{"Low","Medium","High"},0)*MATCH(AB185,{"Low","Medium","High"},0)*INDEX({3,2,2,1,1},MATCH(X185,{"Core","Vertical extension","Differentiator","Future","Adjacent"},0))</f>
        <v>12</v>
      </c>
      <c r="AM185" s="5"/>
      <c r="AN185" s="5"/>
      <c r="AO185" s="5"/>
      <c r="AP185" s="5"/>
      <c r="AQ185" s="5"/>
      <c r="AR185" s="5"/>
      <c r="AS185" s="5"/>
      <c r="AT185" s="5"/>
      <c r="AU185" s="6" t="s">
        <v>927</v>
      </c>
      <c r="AV185" s="6" t="s">
        <v>1390</v>
      </c>
      <c r="AW185" s="6" t="s">
        <v>1390</v>
      </c>
      <c r="AX185" s="6" t="s">
        <v>929</v>
      </c>
      <c r="AY185" s="6" t="s">
        <v>1032</v>
      </c>
      <c r="AZ185" s="6"/>
      <c r="BA185" s="6"/>
      <c r="BB185" s="6"/>
      <c r="BC185" s="6" t="s">
        <v>97</v>
      </c>
      <c r="BD185" s="6" t="s">
        <v>97</v>
      </c>
    </row>
    <row r="186" spans="1:56" ht="32" customHeight="1" x14ac:dyDescent="0.35">
      <c r="A186" s="13" t="s">
        <v>2092</v>
      </c>
      <c r="B186" s="6" t="s">
        <v>910</v>
      </c>
      <c r="C186" s="5" t="s">
        <v>2038</v>
      </c>
      <c r="D186" s="5" t="s">
        <v>827</v>
      </c>
      <c r="E186" s="5" t="s">
        <v>2093</v>
      </c>
      <c r="F186" s="5" t="s">
        <v>1596</v>
      </c>
      <c r="G186" s="5" t="s">
        <v>2094</v>
      </c>
      <c r="H186" s="5" t="s">
        <v>2095</v>
      </c>
      <c r="I186" s="5" t="s">
        <v>2096</v>
      </c>
      <c r="J186" s="16" t="s">
        <v>73</v>
      </c>
      <c r="K186" s="17" t="s">
        <v>181</v>
      </c>
      <c r="L186" s="5" t="s">
        <v>2097</v>
      </c>
      <c r="M186" s="6" t="s">
        <v>197</v>
      </c>
      <c r="N186" s="6" t="s">
        <v>809</v>
      </c>
      <c r="O186" s="6" t="s">
        <v>73</v>
      </c>
      <c r="P186" s="5" t="s">
        <v>918</v>
      </c>
      <c r="Q186" s="17" t="s">
        <v>182</v>
      </c>
      <c r="R186" s="5"/>
      <c r="S186" s="6" t="s">
        <v>1030</v>
      </c>
      <c r="T186" s="5" t="s">
        <v>827</v>
      </c>
      <c r="U186" s="6"/>
      <c r="V186" s="6" t="s">
        <v>1031</v>
      </c>
      <c r="W186" s="6" t="s">
        <v>333</v>
      </c>
      <c r="X186" s="5" t="s">
        <v>922</v>
      </c>
      <c r="Y186" s="5" t="s">
        <v>2044</v>
      </c>
      <c r="Z186" s="5" t="str">
        <f t="shared" si="4"/>
        <v>Critical</v>
      </c>
      <c r="AA186" s="5" t="s">
        <v>923</v>
      </c>
      <c r="AB186" s="6" t="s">
        <v>956</v>
      </c>
      <c r="AC186" s="6" t="s">
        <v>78</v>
      </c>
      <c r="AD186" s="5" t="s">
        <v>925</v>
      </c>
      <c r="AE186" s="5" t="s">
        <v>354</v>
      </c>
      <c r="AF186" s="5" t="s">
        <v>354</v>
      </c>
      <c r="AG186" s="5" t="s">
        <v>354</v>
      </c>
      <c r="AH186" s="5" t="s">
        <v>354</v>
      </c>
      <c r="AI186" s="6" t="str">
        <f t="shared" si="5"/>
        <v>No</v>
      </c>
      <c r="AJ186" s="6" t="s">
        <v>926</v>
      </c>
      <c r="AK186" s="6" t="s">
        <v>73</v>
      </c>
      <c r="AL186" s="6">
        <f>MATCH(AA186,{"Low","Medium","High"},0)*MATCH(AB186,{"Low","Medium","High"},0)*INDEX({3,2,2,1,1},MATCH(X186,{"Core","Vertical extension","Differentiator","Future","Adjacent"},0))</f>
        <v>18</v>
      </c>
      <c r="AM186" s="5"/>
      <c r="AN186" s="5"/>
      <c r="AO186" s="5"/>
      <c r="AP186" s="5"/>
      <c r="AQ186" s="5"/>
      <c r="AR186" s="5"/>
      <c r="AS186" s="5"/>
      <c r="AT186" s="5"/>
      <c r="AU186" s="6" t="s">
        <v>927</v>
      </c>
      <c r="AV186" s="6" t="s">
        <v>1390</v>
      </c>
      <c r="AW186" s="6" t="s">
        <v>1390</v>
      </c>
      <c r="AX186" s="6" t="s">
        <v>929</v>
      </c>
      <c r="AY186" s="6" t="s">
        <v>1032</v>
      </c>
      <c r="AZ186" s="6"/>
      <c r="BA186" s="6"/>
      <c r="BB186" s="6"/>
      <c r="BC186" s="6" t="s">
        <v>97</v>
      </c>
      <c r="BD186" s="6" t="s">
        <v>97</v>
      </c>
    </row>
    <row r="187" spans="1:56" ht="32" customHeight="1" x14ac:dyDescent="0.35">
      <c r="A187" s="13" t="s">
        <v>2098</v>
      </c>
      <c r="B187" s="6" t="s">
        <v>910</v>
      </c>
      <c r="C187" s="5" t="s">
        <v>2038</v>
      </c>
      <c r="D187" s="5" t="s">
        <v>836</v>
      </c>
      <c r="E187" s="5" t="s">
        <v>2099</v>
      </c>
      <c r="F187" s="5" t="s">
        <v>1596</v>
      </c>
      <c r="G187" s="5" t="s">
        <v>459</v>
      </c>
      <c r="H187" s="5" t="s">
        <v>2100</v>
      </c>
      <c r="I187" s="5" t="s">
        <v>2101</v>
      </c>
      <c r="J187" s="17" t="s">
        <v>121</v>
      </c>
      <c r="K187" s="17" t="s">
        <v>181</v>
      </c>
      <c r="L187" s="5" t="s">
        <v>2102</v>
      </c>
      <c r="M187" s="6" t="s">
        <v>197</v>
      </c>
      <c r="N187" s="6" t="s">
        <v>809</v>
      </c>
      <c r="O187" s="6" t="s">
        <v>121</v>
      </c>
      <c r="P187" s="5" t="s">
        <v>918</v>
      </c>
      <c r="Q187" s="17" t="s">
        <v>182</v>
      </c>
      <c r="R187" s="5"/>
      <c r="S187" s="6" t="s">
        <v>1061</v>
      </c>
      <c r="T187" s="5" t="s">
        <v>1062</v>
      </c>
      <c r="U187" s="6"/>
      <c r="V187" s="6" t="s">
        <v>1055</v>
      </c>
      <c r="W187" s="6" t="s">
        <v>333</v>
      </c>
      <c r="X187" s="5" t="s">
        <v>922</v>
      </c>
      <c r="Y187" s="5" t="s">
        <v>2044</v>
      </c>
      <c r="Z187" s="5" t="str">
        <f t="shared" si="4"/>
        <v>Medium</v>
      </c>
      <c r="AA187" s="5" t="s">
        <v>956</v>
      </c>
      <c r="AB187" s="6" t="s">
        <v>924</v>
      </c>
      <c r="AC187" s="6" t="s">
        <v>103</v>
      </c>
      <c r="AD187" s="5" t="s">
        <v>925</v>
      </c>
      <c r="AE187" s="5" t="s">
        <v>354</v>
      </c>
      <c r="AF187" s="5" t="s">
        <v>354</v>
      </c>
      <c r="AG187" s="5" t="s">
        <v>354</v>
      </c>
      <c r="AH187" s="5" t="s">
        <v>354</v>
      </c>
      <c r="AI187" s="6" t="str">
        <f t="shared" si="5"/>
        <v>No</v>
      </c>
      <c r="AJ187" s="6" t="s">
        <v>926</v>
      </c>
      <c r="AK187" s="6" t="s">
        <v>121</v>
      </c>
      <c r="AL187" s="6">
        <f>MATCH(AA187,{"Low","Medium","High"},0)*MATCH(AB187,{"Low","Medium","High"},0)*INDEX({3,2,2,1,1},MATCH(X187,{"Core","Vertical extension","Differentiator","Future","Adjacent"},0))</f>
        <v>6</v>
      </c>
      <c r="AM187" s="5"/>
      <c r="AN187" s="5"/>
      <c r="AO187" s="5"/>
      <c r="AP187" s="5"/>
      <c r="AQ187" s="5"/>
      <c r="AR187" s="5"/>
      <c r="AS187" s="5"/>
      <c r="AT187" s="5"/>
      <c r="AU187" s="6" t="s">
        <v>927</v>
      </c>
      <c r="AV187" s="6" t="s">
        <v>1390</v>
      </c>
      <c r="AW187" s="6" t="s">
        <v>1390</v>
      </c>
      <c r="AX187" s="6" t="s">
        <v>929</v>
      </c>
      <c r="AY187" s="6" t="s">
        <v>930</v>
      </c>
      <c r="AZ187" s="6"/>
      <c r="BA187" s="6"/>
      <c r="BB187" s="6"/>
      <c r="BC187" s="6" t="s">
        <v>97</v>
      </c>
      <c r="BD187" s="6" t="s">
        <v>97</v>
      </c>
    </row>
    <row r="188" spans="1:56" ht="32" customHeight="1" x14ac:dyDescent="0.35">
      <c r="A188" s="13" t="s">
        <v>2103</v>
      </c>
      <c r="B188" s="6" t="s">
        <v>910</v>
      </c>
      <c r="C188" s="5" t="s">
        <v>2038</v>
      </c>
      <c r="D188" s="5" t="s">
        <v>827</v>
      </c>
      <c r="E188" s="5" t="s">
        <v>2104</v>
      </c>
      <c r="F188" s="5" t="s">
        <v>1596</v>
      </c>
      <c r="G188" s="5" t="s">
        <v>1322</v>
      </c>
      <c r="H188" s="5" t="s">
        <v>2105</v>
      </c>
      <c r="I188" s="5" t="s">
        <v>2106</v>
      </c>
      <c r="J188" s="16" t="s">
        <v>73</v>
      </c>
      <c r="K188" s="17" t="s">
        <v>181</v>
      </c>
      <c r="L188" s="5" t="s">
        <v>2107</v>
      </c>
      <c r="M188" s="6" t="s">
        <v>197</v>
      </c>
      <c r="N188" s="6" t="s">
        <v>809</v>
      </c>
      <c r="O188" s="6" t="s">
        <v>73</v>
      </c>
      <c r="P188" s="5" t="s">
        <v>918</v>
      </c>
      <c r="Q188" s="17" t="s">
        <v>182</v>
      </c>
      <c r="R188" s="5"/>
      <c r="S188" s="6" t="s">
        <v>1030</v>
      </c>
      <c r="T188" s="5" t="s">
        <v>827</v>
      </c>
      <c r="U188" s="6"/>
      <c r="V188" s="6" t="s">
        <v>1764</v>
      </c>
      <c r="W188" s="6" t="s">
        <v>333</v>
      </c>
      <c r="X188" s="5" t="s">
        <v>922</v>
      </c>
      <c r="Y188" s="5" t="s">
        <v>2044</v>
      </c>
      <c r="Z188" s="5" t="str">
        <f t="shared" si="4"/>
        <v>Critical</v>
      </c>
      <c r="AA188" s="5" t="s">
        <v>923</v>
      </c>
      <c r="AB188" s="6" t="s">
        <v>956</v>
      </c>
      <c r="AC188" s="6" t="s">
        <v>78</v>
      </c>
      <c r="AD188" s="5" t="s">
        <v>925</v>
      </c>
      <c r="AE188" s="5" t="s">
        <v>354</v>
      </c>
      <c r="AF188" s="5" t="s">
        <v>354</v>
      </c>
      <c r="AG188" s="5" t="s">
        <v>354</v>
      </c>
      <c r="AH188" s="5" t="s">
        <v>354</v>
      </c>
      <c r="AI188" s="6" t="str">
        <f t="shared" si="5"/>
        <v>No</v>
      </c>
      <c r="AJ188" s="6" t="s">
        <v>926</v>
      </c>
      <c r="AK188" s="6" t="s">
        <v>73</v>
      </c>
      <c r="AL188" s="6">
        <f>MATCH(AA188,{"Low","Medium","High"},0)*MATCH(AB188,{"Low","Medium","High"},0)*INDEX({3,2,2,1,1},MATCH(X188,{"Core","Vertical extension","Differentiator","Future","Adjacent"},0))</f>
        <v>18</v>
      </c>
      <c r="AM188" s="5"/>
      <c r="AN188" s="5"/>
      <c r="AO188" s="5"/>
      <c r="AP188" s="5"/>
      <c r="AQ188" s="5"/>
      <c r="AR188" s="5"/>
      <c r="AS188" s="5"/>
      <c r="AT188" s="5"/>
      <c r="AU188" s="6" t="s">
        <v>927</v>
      </c>
      <c r="AV188" s="6" t="s">
        <v>1390</v>
      </c>
      <c r="AW188" s="6" t="s">
        <v>1390</v>
      </c>
      <c r="AX188" s="6" t="s">
        <v>929</v>
      </c>
      <c r="AY188" s="6" t="s">
        <v>1032</v>
      </c>
      <c r="AZ188" s="6"/>
      <c r="BA188" s="6"/>
      <c r="BB188" s="6"/>
      <c r="BC188" s="6" t="s">
        <v>97</v>
      </c>
      <c r="BD188" s="6" t="s">
        <v>97</v>
      </c>
    </row>
    <row r="189" spans="1:56" ht="32" customHeight="1" x14ac:dyDescent="0.35">
      <c r="A189" s="13" t="s">
        <v>2108</v>
      </c>
      <c r="B189" s="6" t="s">
        <v>910</v>
      </c>
      <c r="C189" s="5" t="s">
        <v>2038</v>
      </c>
      <c r="D189" s="5" t="s">
        <v>827</v>
      </c>
      <c r="E189" s="5" t="s">
        <v>2109</v>
      </c>
      <c r="F189" s="5" t="s">
        <v>1596</v>
      </c>
      <c r="G189" s="5" t="s">
        <v>951</v>
      </c>
      <c r="H189" s="5" t="s">
        <v>2110</v>
      </c>
      <c r="I189" s="5" t="s">
        <v>2111</v>
      </c>
      <c r="J189" s="17" t="s">
        <v>121</v>
      </c>
      <c r="K189" s="17" t="s">
        <v>181</v>
      </c>
      <c r="L189" s="5" t="s">
        <v>2112</v>
      </c>
      <c r="M189" s="6" t="s">
        <v>197</v>
      </c>
      <c r="N189" s="6" t="s">
        <v>809</v>
      </c>
      <c r="O189" s="6" t="s">
        <v>121</v>
      </c>
      <c r="P189" s="5" t="s">
        <v>918</v>
      </c>
      <c r="Q189" s="17" t="s">
        <v>182</v>
      </c>
      <c r="R189" s="5"/>
      <c r="S189" s="6" t="s">
        <v>1030</v>
      </c>
      <c r="T189" s="5" t="s">
        <v>827</v>
      </c>
      <c r="U189" s="6"/>
      <c r="V189" s="6" t="s">
        <v>1764</v>
      </c>
      <c r="W189" s="6" t="s">
        <v>333</v>
      </c>
      <c r="X189" s="5" t="s">
        <v>922</v>
      </c>
      <c r="Y189" s="5" t="s">
        <v>2044</v>
      </c>
      <c r="Z189" s="5" t="str">
        <f t="shared" si="4"/>
        <v>High</v>
      </c>
      <c r="AA189" s="5" t="s">
        <v>956</v>
      </c>
      <c r="AB189" s="6" t="s">
        <v>956</v>
      </c>
      <c r="AC189" s="6" t="s">
        <v>103</v>
      </c>
      <c r="AD189" s="5" t="s">
        <v>925</v>
      </c>
      <c r="AE189" s="5" t="s">
        <v>354</v>
      </c>
      <c r="AF189" s="5" t="s">
        <v>354</v>
      </c>
      <c r="AG189" s="5" t="s">
        <v>354</v>
      </c>
      <c r="AH189" s="5" t="s">
        <v>354</v>
      </c>
      <c r="AI189" s="6" t="str">
        <f t="shared" si="5"/>
        <v>No</v>
      </c>
      <c r="AJ189" s="6" t="s">
        <v>926</v>
      </c>
      <c r="AK189" s="6" t="s">
        <v>121</v>
      </c>
      <c r="AL189" s="6">
        <f>MATCH(AA189,{"Low","Medium","High"},0)*MATCH(AB189,{"Low","Medium","High"},0)*INDEX({3,2,2,1,1},MATCH(X189,{"Core","Vertical extension","Differentiator","Future","Adjacent"},0))</f>
        <v>12</v>
      </c>
      <c r="AM189" s="5"/>
      <c r="AN189" s="5"/>
      <c r="AO189" s="5"/>
      <c r="AP189" s="5"/>
      <c r="AQ189" s="5"/>
      <c r="AR189" s="5"/>
      <c r="AS189" s="5"/>
      <c r="AT189" s="5"/>
      <c r="AU189" s="6" t="s">
        <v>927</v>
      </c>
      <c r="AV189" s="6" t="s">
        <v>1390</v>
      </c>
      <c r="AW189" s="6" t="s">
        <v>1390</v>
      </c>
      <c r="AX189" s="6" t="s">
        <v>929</v>
      </c>
      <c r="AY189" s="6" t="s">
        <v>1032</v>
      </c>
      <c r="AZ189" s="6"/>
      <c r="BA189" s="6"/>
      <c r="BB189" s="6"/>
      <c r="BC189" s="6" t="s">
        <v>97</v>
      </c>
      <c r="BD189" s="6" t="s">
        <v>97</v>
      </c>
    </row>
    <row r="190" spans="1:56" ht="32" customHeight="1" x14ac:dyDescent="0.35">
      <c r="A190" s="13" t="s">
        <v>2113</v>
      </c>
      <c r="B190" s="6" t="s">
        <v>2114</v>
      </c>
      <c r="C190" s="5" t="s">
        <v>2115</v>
      </c>
      <c r="D190" s="5" t="s">
        <v>833</v>
      </c>
      <c r="E190" s="5" t="s">
        <v>2116</v>
      </c>
      <c r="F190" s="5" t="s">
        <v>1767</v>
      </c>
      <c r="G190" s="5" t="s">
        <v>2117</v>
      </c>
      <c r="H190" s="5" t="s">
        <v>2118</v>
      </c>
      <c r="I190" s="5" t="s">
        <v>2119</v>
      </c>
      <c r="J190" s="17" t="s">
        <v>121</v>
      </c>
      <c r="K190" s="17" t="s">
        <v>181</v>
      </c>
      <c r="L190" s="5" t="s">
        <v>2120</v>
      </c>
      <c r="M190" s="6" t="s">
        <v>197</v>
      </c>
      <c r="N190" s="6" t="s">
        <v>812</v>
      </c>
      <c r="O190" s="6" t="s">
        <v>121</v>
      </c>
      <c r="P190" s="5" t="s">
        <v>918</v>
      </c>
      <c r="Q190" s="17" t="s">
        <v>182</v>
      </c>
      <c r="R190" s="5"/>
      <c r="S190" s="6" t="s">
        <v>919</v>
      </c>
      <c r="T190" s="5" t="s">
        <v>920</v>
      </c>
      <c r="U190" s="6"/>
      <c r="V190" s="6" t="s">
        <v>921</v>
      </c>
      <c r="W190" s="6" t="s">
        <v>331</v>
      </c>
      <c r="X190" s="5" t="s">
        <v>922</v>
      </c>
      <c r="Y190" s="5" t="s">
        <v>812</v>
      </c>
      <c r="Z190" s="5" t="str">
        <f t="shared" si="4"/>
        <v>Medium</v>
      </c>
      <c r="AA190" s="5" t="s">
        <v>956</v>
      </c>
      <c r="AB190" s="6" t="s">
        <v>924</v>
      </c>
      <c r="AC190" s="6" t="s">
        <v>103</v>
      </c>
      <c r="AD190" s="5" t="s">
        <v>925</v>
      </c>
      <c r="AE190" s="5" t="s">
        <v>354</v>
      </c>
      <c r="AF190" s="5" t="s">
        <v>354</v>
      </c>
      <c r="AG190" s="5" t="s">
        <v>354</v>
      </c>
      <c r="AH190" s="5" t="s">
        <v>354</v>
      </c>
      <c r="AI190" s="6" t="str">
        <f t="shared" si="5"/>
        <v>No</v>
      </c>
      <c r="AJ190" s="6" t="s">
        <v>926</v>
      </c>
      <c r="AK190" s="6" t="s">
        <v>121</v>
      </c>
      <c r="AL190" s="6">
        <f>MATCH(AA190,{"Low","Medium","High"},0)*MATCH(AB190,{"Low","Medium","High"},0)*INDEX({3,2,2,1,1},MATCH(X190,{"Core","Vertical extension","Differentiator","Future","Adjacent"},0))</f>
        <v>6</v>
      </c>
      <c r="AM190" s="5"/>
      <c r="AN190" s="5"/>
      <c r="AO190" s="5"/>
      <c r="AP190" s="5"/>
      <c r="AQ190" s="5"/>
      <c r="AR190" s="5"/>
      <c r="AS190" s="5"/>
      <c r="AT190" s="5"/>
      <c r="AU190" s="6" t="s">
        <v>927</v>
      </c>
      <c r="AV190" s="6" t="s">
        <v>1315</v>
      </c>
      <c r="AW190" s="6" t="s">
        <v>1315</v>
      </c>
      <c r="AX190" s="6" t="s">
        <v>929</v>
      </c>
      <c r="AY190" s="6" t="s">
        <v>930</v>
      </c>
      <c r="AZ190" s="6"/>
      <c r="BA190" s="6" t="s">
        <v>1286</v>
      </c>
      <c r="BB190" s="6" t="s">
        <v>1287</v>
      </c>
      <c r="BC190" s="6" t="s">
        <v>97</v>
      </c>
      <c r="BD190" s="6" t="s">
        <v>97</v>
      </c>
    </row>
    <row r="191" spans="1:56" ht="32" customHeight="1" x14ac:dyDescent="0.35">
      <c r="A191" s="13" t="s">
        <v>2121</v>
      </c>
      <c r="B191" s="6" t="s">
        <v>2114</v>
      </c>
      <c r="C191" s="5" t="s">
        <v>2115</v>
      </c>
      <c r="D191" s="5" t="s">
        <v>833</v>
      </c>
      <c r="E191" s="5" t="s">
        <v>2122</v>
      </c>
      <c r="F191" s="5" t="s">
        <v>451</v>
      </c>
      <c r="G191" s="5" t="s">
        <v>1017</v>
      </c>
      <c r="H191" s="5" t="s">
        <v>2123</v>
      </c>
      <c r="I191" s="5" t="s">
        <v>2124</v>
      </c>
      <c r="J191" s="17" t="s">
        <v>121</v>
      </c>
      <c r="K191" s="17" t="s">
        <v>181</v>
      </c>
      <c r="L191" s="5" t="s">
        <v>1791</v>
      </c>
      <c r="M191" s="6" t="s">
        <v>197</v>
      </c>
      <c r="N191" s="6" t="s">
        <v>812</v>
      </c>
      <c r="O191" s="6" t="s">
        <v>121</v>
      </c>
      <c r="P191" s="5" t="s">
        <v>918</v>
      </c>
      <c r="Q191" s="17" t="s">
        <v>182</v>
      </c>
      <c r="R191" s="5"/>
      <c r="S191" s="6" t="s">
        <v>919</v>
      </c>
      <c r="T191" s="5" t="s">
        <v>920</v>
      </c>
      <c r="U191" s="6"/>
      <c r="V191" s="6" t="s">
        <v>921</v>
      </c>
      <c r="W191" s="6" t="s">
        <v>331</v>
      </c>
      <c r="X191" s="5" t="s">
        <v>922</v>
      </c>
      <c r="Y191" s="5" t="s">
        <v>812</v>
      </c>
      <c r="Z191" s="5" t="str">
        <f t="shared" si="4"/>
        <v>Medium</v>
      </c>
      <c r="AA191" s="5" t="s">
        <v>956</v>
      </c>
      <c r="AB191" s="6" t="s">
        <v>924</v>
      </c>
      <c r="AC191" s="6" t="s">
        <v>103</v>
      </c>
      <c r="AD191" s="5" t="s">
        <v>925</v>
      </c>
      <c r="AE191" s="5" t="s">
        <v>354</v>
      </c>
      <c r="AF191" s="5" t="s">
        <v>354</v>
      </c>
      <c r="AG191" s="5" t="s">
        <v>354</v>
      </c>
      <c r="AH191" s="5" t="s">
        <v>354</v>
      </c>
      <c r="AI191" s="6" t="str">
        <f t="shared" si="5"/>
        <v>No</v>
      </c>
      <c r="AJ191" s="6" t="s">
        <v>926</v>
      </c>
      <c r="AK191" s="6" t="s">
        <v>121</v>
      </c>
      <c r="AL191" s="6">
        <f>MATCH(AA191,{"Low","Medium","High"},0)*MATCH(AB191,{"Low","Medium","High"},0)*INDEX({3,2,2,1,1},MATCH(X191,{"Core","Vertical extension","Differentiator","Future","Adjacent"},0))</f>
        <v>6</v>
      </c>
      <c r="AM191" s="5"/>
      <c r="AN191" s="5"/>
      <c r="AO191" s="5"/>
      <c r="AP191" s="5"/>
      <c r="AQ191" s="5"/>
      <c r="AR191" s="5"/>
      <c r="AS191" s="5"/>
      <c r="AT191" s="5"/>
      <c r="AU191" s="6" t="s">
        <v>927</v>
      </c>
      <c r="AV191" s="6" t="s">
        <v>1315</v>
      </c>
      <c r="AW191" s="6" t="s">
        <v>1315</v>
      </c>
      <c r="AX191" s="6" t="s">
        <v>929</v>
      </c>
      <c r="AY191" s="6" t="s">
        <v>930</v>
      </c>
      <c r="AZ191" s="6"/>
      <c r="BA191" s="6" t="s">
        <v>1286</v>
      </c>
      <c r="BB191" s="6" t="s">
        <v>1287</v>
      </c>
      <c r="BC191" s="6" t="s">
        <v>97</v>
      </c>
      <c r="BD191" s="6" t="s">
        <v>97</v>
      </c>
    </row>
    <row r="192" spans="1:56" ht="32" customHeight="1" x14ac:dyDescent="0.35">
      <c r="A192" s="13" t="s">
        <v>2125</v>
      </c>
      <c r="B192" s="6" t="s">
        <v>2114</v>
      </c>
      <c r="C192" s="5" t="s">
        <v>2115</v>
      </c>
      <c r="D192" s="5" t="s">
        <v>833</v>
      </c>
      <c r="E192" s="5" t="s">
        <v>2126</v>
      </c>
      <c r="F192" s="5" t="s">
        <v>2127</v>
      </c>
      <c r="G192" s="5" t="s">
        <v>1354</v>
      </c>
      <c r="H192" s="5" t="s">
        <v>2128</v>
      </c>
      <c r="I192" s="5" t="s">
        <v>2129</v>
      </c>
      <c r="J192" s="17" t="s">
        <v>121</v>
      </c>
      <c r="K192" s="17" t="s">
        <v>181</v>
      </c>
      <c r="L192" s="5" t="s">
        <v>2130</v>
      </c>
      <c r="M192" s="6" t="s">
        <v>197</v>
      </c>
      <c r="N192" s="6" t="s">
        <v>812</v>
      </c>
      <c r="O192" s="6" t="s">
        <v>121</v>
      </c>
      <c r="P192" s="5" t="s">
        <v>999</v>
      </c>
      <c r="Q192" s="17" t="s">
        <v>182</v>
      </c>
      <c r="R192" s="5" t="s">
        <v>999</v>
      </c>
      <c r="S192" s="6" t="s">
        <v>919</v>
      </c>
      <c r="T192" s="5" t="s">
        <v>920</v>
      </c>
      <c r="U192" s="6"/>
      <c r="V192" s="6" t="s">
        <v>921</v>
      </c>
      <c r="W192" s="6" t="s">
        <v>331</v>
      </c>
      <c r="X192" s="5" t="s">
        <v>922</v>
      </c>
      <c r="Y192" s="5" t="s">
        <v>812</v>
      </c>
      <c r="Z192" s="5" t="str">
        <f t="shared" si="4"/>
        <v>Medium</v>
      </c>
      <c r="AA192" s="5" t="s">
        <v>956</v>
      </c>
      <c r="AB192" s="6" t="s">
        <v>924</v>
      </c>
      <c r="AC192" s="6" t="s">
        <v>103</v>
      </c>
      <c r="AD192" s="5" t="s">
        <v>925</v>
      </c>
      <c r="AE192" s="5" t="s">
        <v>354</v>
      </c>
      <c r="AF192" s="5" t="s">
        <v>354</v>
      </c>
      <c r="AG192" s="5" t="s">
        <v>354</v>
      </c>
      <c r="AH192" s="5" t="s">
        <v>354</v>
      </c>
      <c r="AI192" s="6" t="str">
        <f t="shared" si="5"/>
        <v>No</v>
      </c>
      <c r="AJ192" s="6" t="s">
        <v>926</v>
      </c>
      <c r="AK192" s="6" t="s">
        <v>121</v>
      </c>
      <c r="AL192" s="6">
        <f>MATCH(AA192,{"Low","Medium","High"},0)*MATCH(AB192,{"Low","Medium","High"},0)*INDEX({3,2,2,1,1},MATCH(X192,{"Core","Vertical extension","Differentiator","Future","Adjacent"},0))</f>
        <v>6</v>
      </c>
      <c r="AM192" s="5"/>
      <c r="AN192" s="5"/>
      <c r="AO192" s="5"/>
      <c r="AP192" s="5"/>
      <c r="AQ192" s="5"/>
      <c r="AR192" s="5"/>
      <c r="AS192" s="5"/>
      <c r="AT192" s="5"/>
      <c r="AU192" s="6" t="s">
        <v>927</v>
      </c>
      <c r="AV192" s="6" t="s">
        <v>1315</v>
      </c>
      <c r="AW192" s="6" t="s">
        <v>1315</v>
      </c>
      <c r="AX192" s="6" t="s">
        <v>1003</v>
      </c>
      <c r="AY192" s="6" t="s">
        <v>930</v>
      </c>
      <c r="AZ192" s="6"/>
      <c r="BA192" s="6" t="s">
        <v>983</v>
      </c>
      <c r="BB192" s="6" t="s">
        <v>984</v>
      </c>
      <c r="BC192" s="6" t="s">
        <v>97</v>
      </c>
      <c r="BD192" s="6" t="s">
        <v>97</v>
      </c>
    </row>
    <row r="193" spans="1:56" ht="32" customHeight="1" x14ac:dyDescent="0.35">
      <c r="A193" s="13" t="s">
        <v>2131</v>
      </c>
      <c r="B193" s="6" t="s">
        <v>2114</v>
      </c>
      <c r="C193" s="5" t="s">
        <v>2115</v>
      </c>
      <c r="D193" s="5" t="s">
        <v>833</v>
      </c>
      <c r="E193" s="5" t="s">
        <v>2132</v>
      </c>
      <c r="F193" s="5" t="s">
        <v>2133</v>
      </c>
      <c r="G193" s="5" t="s">
        <v>1400</v>
      </c>
      <c r="H193" s="5" t="s">
        <v>2134</v>
      </c>
      <c r="I193" s="5" t="s">
        <v>2135</v>
      </c>
      <c r="J193" s="17" t="s">
        <v>121</v>
      </c>
      <c r="K193" s="17" t="s">
        <v>181</v>
      </c>
      <c r="L193" s="5" t="s">
        <v>2136</v>
      </c>
      <c r="M193" s="6" t="s">
        <v>197</v>
      </c>
      <c r="N193" s="6" t="s">
        <v>812</v>
      </c>
      <c r="O193" s="6" t="s">
        <v>121</v>
      </c>
      <c r="P193" s="5" t="s">
        <v>918</v>
      </c>
      <c r="Q193" s="17" t="s">
        <v>182</v>
      </c>
      <c r="R193" s="5"/>
      <c r="S193" s="6" t="s">
        <v>919</v>
      </c>
      <c r="T193" s="5" t="s">
        <v>920</v>
      </c>
      <c r="U193" s="6"/>
      <c r="V193" s="6" t="s">
        <v>921</v>
      </c>
      <c r="W193" s="6" t="s">
        <v>331</v>
      </c>
      <c r="X193" s="5" t="s">
        <v>922</v>
      </c>
      <c r="Y193" s="5" t="s">
        <v>812</v>
      </c>
      <c r="Z193" s="5" t="str">
        <f t="shared" si="4"/>
        <v>Medium</v>
      </c>
      <c r="AA193" s="5" t="s">
        <v>956</v>
      </c>
      <c r="AB193" s="6" t="s">
        <v>924</v>
      </c>
      <c r="AC193" s="6" t="s">
        <v>103</v>
      </c>
      <c r="AD193" s="5" t="s">
        <v>925</v>
      </c>
      <c r="AE193" s="5" t="s">
        <v>354</v>
      </c>
      <c r="AF193" s="5" t="s">
        <v>354</v>
      </c>
      <c r="AG193" s="5" t="s">
        <v>354</v>
      </c>
      <c r="AH193" s="5" t="s">
        <v>354</v>
      </c>
      <c r="AI193" s="6" t="str">
        <f t="shared" si="5"/>
        <v>No</v>
      </c>
      <c r="AJ193" s="6" t="s">
        <v>926</v>
      </c>
      <c r="AK193" s="6" t="s">
        <v>121</v>
      </c>
      <c r="AL193" s="6">
        <f>MATCH(AA193,{"Low","Medium","High"},0)*MATCH(AB193,{"Low","Medium","High"},0)*INDEX({3,2,2,1,1},MATCH(X193,{"Core","Vertical extension","Differentiator","Future","Adjacent"},0))</f>
        <v>6</v>
      </c>
      <c r="AM193" s="5"/>
      <c r="AN193" s="5"/>
      <c r="AO193" s="5"/>
      <c r="AP193" s="5"/>
      <c r="AQ193" s="5"/>
      <c r="AR193" s="5"/>
      <c r="AS193" s="5"/>
      <c r="AT193" s="5"/>
      <c r="AU193" s="6" t="s">
        <v>927</v>
      </c>
      <c r="AV193" s="6" t="s">
        <v>1315</v>
      </c>
      <c r="AW193" s="6" t="s">
        <v>1315</v>
      </c>
      <c r="AX193" s="6" t="s">
        <v>929</v>
      </c>
      <c r="AY193" s="6" t="s">
        <v>930</v>
      </c>
      <c r="AZ193" s="6"/>
      <c r="BA193" s="6"/>
      <c r="BB193" s="6"/>
      <c r="BC193" s="6" t="s">
        <v>97</v>
      </c>
      <c r="BD193" s="6" t="s">
        <v>97</v>
      </c>
    </row>
    <row r="194" spans="1:56" ht="32" customHeight="1" x14ac:dyDescent="0.35">
      <c r="A194" s="13" t="s">
        <v>2137</v>
      </c>
      <c r="B194" s="6" t="s">
        <v>2114</v>
      </c>
      <c r="C194" s="5" t="s">
        <v>2115</v>
      </c>
      <c r="D194" s="5" t="s">
        <v>833</v>
      </c>
      <c r="E194" s="5" t="s">
        <v>2138</v>
      </c>
      <c r="F194" s="5" t="s">
        <v>1400</v>
      </c>
      <c r="G194" s="5" t="s">
        <v>1353</v>
      </c>
      <c r="H194" s="5" t="s">
        <v>2139</v>
      </c>
      <c r="I194" s="5" t="s">
        <v>2140</v>
      </c>
      <c r="J194" s="17" t="s">
        <v>121</v>
      </c>
      <c r="K194" s="17" t="s">
        <v>181</v>
      </c>
      <c r="L194" s="5" t="s">
        <v>2141</v>
      </c>
      <c r="M194" s="6" t="s">
        <v>197</v>
      </c>
      <c r="N194" s="6" t="s">
        <v>812</v>
      </c>
      <c r="O194" s="6" t="s">
        <v>121</v>
      </c>
      <c r="P194" s="5" t="s">
        <v>918</v>
      </c>
      <c r="Q194" s="17" t="s">
        <v>182</v>
      </c>
      <c r="R194" s="5"/>
      <c r="S194" s="6" t="s">
        <v>919</v>
      </c>
      <c r="T194" s="5" t="s">
        <v>920</v>
      </c>
      <c r="U194" s="6"/>
      <c r="V194" s="6" t="s">
        <v>921</v>
      </c>
      <c r="W194" s="6" t="s">
        <v>331</v>
      </c>
      <c r="X194" s="5" t="s">
        <v>922</v>
      </c>
      <c r="Y194" s="5" t="s">
        <v>812</v>
      </c>
      <c r="Z194" s="5" t="str">
        <f t="shared" ref="Z194:Z257" si="6">IF(AL194&gt;=18,"Critical",IF(AL194&gt;=9,"High",IF(AL194&gt;=4,"Medium","Low")))</f>
        <v>Medium</v>
      </c>
      <c r="AA194" s="5" t="s">
        <v>956</v>
      </c>
      <c r="AB194" s="6" t="s">
        <v>924</v>
      </c>
      <c r="AC194" s="6" t="s">
        <v>103</v>
      </c>
      <c r="AD194" s="5" t="s">
        <v>925</v>
      </c>
      <c r="AE194" s="5" t="s">
        <v>354</v>
      </c>
      <c r="AF194" s="5" t="s">
        <v>354</v>
      </c>
      <c r="AG194" s="5" t="s">
        <v>354</v>
      </c>
      <c r="AH194" s="5" t="s">
        <v>354</v>
      </c>
      <c r="AI194" s="6" t="str">
        <f t="shared" ref="AI194:AI257" si="7">IF(AND(AU194="Pass",AE194&lt;&gt;"Not verified",AF194&lt;&gt;"Not verified",AG194&lt;&gt;"Not verified",AH194&lt;&gt;"Not verified",BC194="Yes",BD194="Yes"),"Yes","No")</f>
        <v>No</v>
      </c>
      <c r="AJ194" s="6" t="s">
        <v>926</v>
      </c>
      <c r="AK194" s="6" t="s">
        <v>121</v>
      </c>
      <c r="AL194" s="6">
        <f>MATCH(AA194,{"Low","Medium","High"},0)*MATCH(AB194,{"Low","Medium","High"},0)*INDEX({3,2,2,1,1},MATCH(X194,{"Core","Vertical extension","Differentiator","Future","Adjacent"},0))</f>
        <v>6</v>
      </c>
      <c r="AM194" s="5"/>
      <c r="AN194" s="5"/>
      <c r="AO194" s="5"/>
      <c r="AP194" s="5"/>
      <c r="AQ194" s="5"/>
      <c r="AR194" s="5"/>
      <c r="AS194" s="5"/>
      <c r="AT194" s="5"/>
      <c r="AU194" s="6" t="s">
        <v>927</v>
      </c>
      <c r="AV194" s="6" t="s">
        <v>1296</v>
      </c>
      <c r="AW194" s="6" t="s">
        <v>1296</v>
      </c>
      <c r="AX194" s="6" t="s">
        <v>929</v>
      </c>
      <c r="AY194" s="6" t="s">
        <v>930</v>
      </c>
      <c r="AZ194" s="6"/>
      <c r="BA194" s="6" t="s">
        <v>1286</v>
      </c>
      <c r="BB194" s="6" t="s">
        <v>1287</v>
      </c>
      <c r="BC194" s="6" t="s">
        <v>97</v>
      </c>
      <c r="BD194" s="6" t="s">
        <v>97</v>
      </c>
    </row>
    <row r="195" spans="1:56" ht="32" customHeight="1" x14ac:dyDescent="0.35">
      <c r="A195" s="13" t="s">
        <v>2142</v>
      </c>
      <c r="B195" s="6" t="s">
        <v>2114</v>
      </c>
      <c r="C195" s="5" t="s">
        <v>2115</v>
      </c>
      <c r="D195" s="5" t="s">
        <v>833</v>
      </c>
      <c r="E195" s="5" t="s">
        <v>2143</v>
      </c>
      <c r="F195" s="5" t="s">
        <v>1300</v>
      </c>
      <c r="G195" s="5" t="s">
        <v>2144</v>
      </c>
      <c r="H195" s="5" t="s">
        <v>2145</v>
      </c>
      <c r="I195" s="5" t="s">
        <v>2146</v>
      </c>
      <c r="J195" s="17" t="s">
        <v>121</v>
      </c>
      <c r="K195" s="17" t="s">
        <v>181</v>
      </c>
      <c r="L195" s="5" t="s">
        <v>2147</v>
      </c>
      <c r="M195" s="6" t="s">
        <v>197</v>
      </c>
      <c r="N195" s="6" t="s">
        <v>812</v>
      </c>
      <c r="O195" s="6" t="s">
        <v>121</v>
      </c>
      <c r="P195" s="5" t="s">
        <v>918</v>
      </c>
      <c r="Q195" s="17" t="s">
        <v>182</v>
      </c>
      <c r="R195" s="5"/>
      <c r="S195" s="6" t="s">
        <v>919</v>
      </c>
      <c r="T195" s="5" t="s">
        <v>920</v>
      </c>
      <c r="U195" s="6"/>
      <c r="V195" s="6" t="s">
        <v>921</v>
      </c>
      <c r="W195" s="6" t="s">
        <v>331</v>
      </c>
      <c r="X195" s="5" t="s">
        <v>922</v>
      </c>
      <c r="Y195" s="5" t="s">
        <v>812</v>
      </c>
      <c r="Z195" s="5" t="str">
        <f t="shared" si="6"/>
        <v>Medium</v>
      </c>
      <c r="AA195" s="5" t="s">
        <v>956</v>
      </c>
      <c r="AB195" s="6" t="s">
        <v>924</v>
      </c>
      <c r="AC195" s="6" t="s">
        <v>103</v>
      </c>
      <c r="AD195" s="5" t="s">
        <v>925</v>
      </c>
      <c r="AE195" s="5" t="s">
        <v>354</v>
      </c>
      <c r="AF195" s="5" t="s">
        <v>354</v>
      </c>
      <c r="AG195" s="5" t="s">
        <v>354</v>
      </c>
      <c r="AH195" s="5" t="s">
        <v>354</v>
      </c>
      <c r="AI195" s="6" t="str">
        <f t="shared" si="7"/>
        <v>No</v>
      </c>
      <c r="AJ195" s="6" t="s">
        <v>926</v>
      </c>
      <c r="AK195" s="6" t="s">
        <v>121</v>
      </c>
      <c r="AL195" s="6">
        <f>MATCH(AA195,{"Low","Medium","High"},0)*MATCH(AB195,{"Low","Medium","High"},0)*INDEX({3,2,2,1,1},MATCH(X195,{"Core","Vertical extension","Differentiator","Future","Adjacent"},0))</f>
        <v>6</v>
      </c>
      <c r="AM195" s="5"/>
      <c r="AN195" s="5"/>
      <c r="AO195" s="5"/>
      <c r="AP195" s="5"/>
      <c r="AQ195" s="5"/>
      <c r="AR195" s="5"/>
      <c r="AS195" s="5"/>
      <c r="AT195" s="5"/>
      <c r="AU195" s="6" t="s">
        <v>927</v>
      </c>
      <c r="AV195" s="6" t="s">
        <v>1306</v>
      </c>
      <c r="AW195" s="6" t="s">
        <v>1306</v>
      </c>
      <c r="AX195" s="6" t="s">
        <v>929</v>
      </c>
      <c r="AY195" s="6" t="s">
        <v>930</v>
      </c>
      <c r="AZ195" s="6"/>
      <c r="BA195" s="6" t="s">
        <v>2148</v>
      </c>
      <c r="BB195" s="6" t="s">
        <v>2149</v>
      </c>
      <c r="BC195" s="6" t="s">
        <v>97</v>
      </c>
      <c r="BD195" s="6" t="s">
        <v>97</v>
      </c>
    </row>
    <row r="196" spans="1:56" ht="32" customHeight="1" x14ac:dyDescent="0.35">
      <c r="A196" s="13" t="s">
        <v>2150</v>
      </c>
      <c r="B196" s="6" t="s">
        <v>2114</v>
      </c>
      <c r="C196" s="5" t="s">
        <v>2115</v>
      </c>
      <c r="D196" s="5" t="s">
        <v>833</v>
      </c>
      <c r="E196" s="5" t="s">
        <v>2151</v>
      </c>
      <c r="F196" s="5" t="s">
        <v>1623</v>
      </c>
      <c r="G196" s="5" t="s">
        <v>1017</v>
      </c>
      <c r="H196" s="5" t="s">
        <v>2152</v>
      </c>
      <c r="I196" s="5" t="s">
        <v>2153</v>
      </c>
      <c r="J196" s="17" t="s">
        <v>121</v>
      </c>
      <c r="K196" s="17" t="s">
        <v>181</v>
      </c>
      <c r="L196" s="5" t="s">
        <v>2154</v>
      </c>
      <c r="M196" s="6" t="s">
        <v>197</v>
      </c>
      <c r="N196" s="6" t="s">
        <v>812</v>
      </c>
      <c r="O196" s="6" t="s">
        <v>121</v>
      </c>
      <c r="P196" s="5" t="s">
        <v>918</v>
      </c>
      <c r="Q196" s="17" t="s">
        <v>182</v>
      </c>
      <c r="R196" s="5"/>
      <c r="S196" s="6" t="s">
        <v>919</v>
      </c>
      <c r="T196" s="5" t="s">
        <v>920</v>
      </c>
      <c r="U196" s="6"/>
      <c r="V196" s="6" t="s">
        <v>921</v>
      </c>
      <c r="W196" s="6" t="s">
        <v>331</v>
      </c>
      <c r="X196" s="5" t="s">
        <v>922</v>
      </c>
      <c r="Y196" s="5" t="s">
        <v>812</v>
      </c>
      <c r="Z196" s="5" t="str">
        <f t="shared" si="6"/>
        <v>Medium</v>
      </c>
      <c r="AA196" s="5" t="s">
        <v>956</v>
      </c>
      <c r="AB196" s="6" t="s">
        <v>924</v>
      </c>
      <c r="AC196" s="6" t="s">
        <v>103</v>
      </c>
      <c r="AD196" s="5" t="s">
        <v>925</v>
      </c>
      <c r="AE196" s="5" t="s">
        <v>354</v>
      </c>
      <c r="AF196" s="5" t="s">
        <v>354</v>
      </c>
      <c r="AG196" s="5" t="s">
        <v>354</v>
      </c>
      <c r="AH196" s="5" t="s">
        <v>354</v>
      </c>
      <c r="AI196" s="6" t="str">
        <f t="shared" si="7"/>
        <v>No</v>
      </c>
      <c r="AJ196" s="6" t="s">
        <v>926</v>
      </c>
      <c r="AK196" s="6" t="s">
        <v>121</v>
      </c>
      <c r="AL196" s="6">
        <f>MATCH(AA196,{"Low","Medium","High"},0)*MATCH(AB196,{"Low","Medium","High"},0)*INDEX({3,2,2,1,1},MATCH(X196,{"Core","Vertical extension","Differentiator","Future","Adjacent"},0))</f>
        <v>6</v>
      </c>
      <c r="AM196" s="5"/>
      <c r="AN196" s="5"/>
      <c r="AO196" s="5"/>
      <c r="AP196" s="5"/>
      <c r="AQ196" s="5"/>
      <c r="AR196" s="5"/>
      <c r="AS196" s="5"/>
      <c r="AT196" s="5"/>
      <c r="AU196" s="6" t="s">
        <v>927</v>
      </c>
      <c r="AV196" s="6" t="s">
        <v>928</v>
      </c>
      <c r="AW196" s="6" t="s">
        <v>928</v>
      </c>
      <c r="AX196" s="6" t="s">
        <v>929</v>
      </c>
      <c r="AY196" s="6" t="s">
        <v>930</v>
      </c>
      <c r="AZ196" s="6"/>
      <c r="BA196" s="6" t="s">
        <v>942</v>
      </c>
      <c r="BB196" s="6" t="s">
        <v>943</v>
      </c>
      <c r="BC196" s="6" t="s">
        <v>97</v>
      </c>
      <c r="BD196" s="6" t="s">
        <v>97</v>
      </c>
    </row>
    <row r="197" spans="1:56" ht="32" customHeight="1" x14ac:dyDescent="0.35">
      <c r="A197" s="13" t="s">
        <v>2155</v>
      </c>
      <c r="B197" s="6" t="s">
        <v>2114</v>
      </c>
      <c r="C197" s="5" t="s">
        <v>2115</v>
      </c>
      <c r="D197" s="5" t="s">
        <v>833</v>
      </c>
      <c r="E197" s="5" t="s">
        <v>2156</v>
      </c>
      <c r="F197" s="5" t="s">
        <v>2157</v>
      </c>
      <c r="G197" s="5" t="s">
        <v>1400</v>
      </c>
      <c r="H197" s="5" t="s">
        <v>2158</v>
      </c>
      <c r="I197" s="5" t="s">
        <v>2159</v>
      </c>
      <c r="J197" s="17" t="s">
        <v>121</v>
      </c>
      <c r="K197" s="17" t="s">
        <v>181</v>
      </c>
      <c r="L197" s="5" t="s">
        <v>2160</v>
      </c>
      <c r="M197" s="6" t="s">
        <v>197</v>
      </c>
      <c r="N197" s="6" t="s">
        <v>812</v>
      </c>
      <c r="O197" s="6" t="s">
        <v>121</v>
      </c>
      <c r="P197" s="5" t="s">
        <v>918</v>
      </c>
      <c r="Q197" s="17" t="s">
        <v>182</v>
      </c>
      <c r="R197" s="5"/>
      <c r="S197" s="6" t="s">
        <v>919</v>
      </c>
      <c r="T197" s="5" t="s">
        <v>920</v>
      </c>
      <c r="U197" s="6"/>
      <c r="V197" s="6" t="s">
        <v>921</v>
      </c>
      <c r="W197" s="6" t="s">
        <v>331</v>
      </c>
      <c r="X197" s="5" t="s">
        <v>922</v>
      </c>
      <c r="Y197" s="5" t="s">
        <v>812</v>
      </c>
      <c r="Z197" s="5" t="str">
        <f t="shared" si="6"/>
        <v>Medium</v>
      </c>
      <c r="AA197" s="5" t="s">
        <v>956</v>
      </c>
      <c r="AB197" s="6" t="s">
        <v>924</v>
      </c>
      <c r="AC197" s="6" t="s">
        <v>103</v>
      </c>
      <c r="AD197" s="5" t="s">
        <v>925</v>
      </c>
      <c r="AE197" s="5" t="s">
        <v>354</v>
      </c>
      <c r="AF197" s="5" t="s">
        <v>354</v>
      </c>
      <c r="AG197" s="5" t="s">
        <v>354</v>
      </c>
      <c r="AH197" s="5" t="s">
        <v>354</v>
      </c>
      <c r="AI197" s="6" t="str">
        <f t="shared" si="7"/>
        <v>No</v>
      </c>
      <c r="AJ197" s="6" t="s">
        <v>926</v>
      </c>
      <c r="AK197" s="6" t="s">
        <v>121</v>
      </c>
      <c r="AL197" s="6">
        <f>MATCH(AA197,{"Low","Medium","High"},0)*MATCH(AB197,{"Low","Medium","High"},0)*INDEX({3,2,2,1,1},MATCH(X197,{"Core","Vertical extension","Differentiator","Future","Adjacent"},0))</f>
        <v>6</v>
      </c>
      <c r="AM197" s="5"/>
      <c r="AN197" s="5"/>
      <c r="AO197" s="5"/>
      <c r="AP197" s="5"/>
      <c r="AQ197" s="5"/>
      <c r="AR197" s="5"/>
      <c r="AS197" s="5"/>
      <c r="AT197" s="5"/>
      <c r="AU197" s="6" t="s">
        <v>927</v>
      </c>
      <c r="AV197" s="6" t="s">
        <v>2161</v>
      </c>
      <c r="AW197" s="6" t="s">
        <v>2161</v>
      </c>
      <c r="AX197" s="6" t="s">
        <v>929</v>
      </c>
      <c r="AY197" s="6" t="s">
        <v>930</v>
      </c>
      <c r="AZ197" s="6"/>
      <c r="BA197" s="6" t="s">
        <v>1079</v>
      </c>
      <c r="BB197" s="6" t="s">
        <v>1080</v>
      </c>
      <c r="BC197" s="6" t="s">
        <v>97</v>
      </c>
      <c r="BD197" s="6" t="s">
        <v>97</v>
      </c>
    </row>
    <row r="198" spans="1:56" ht="32" customHeight="1" x14ac:dyDescent="0.35">
      <c r="A198" s="13" t="s">
        <v>2162</v>
      </c>
      <c r="B198" s="6" t="s">
        <v>2114</v>
      </c>
      <c r="C198" s="5" t="s">
        <v>2115</v>
      </c>
      <c r="D198" s="5" t="s">
        <v>833</v>
      </c>
      <c r="E198" s="5" t="s">
        <v>2163</v>
      </c>
      <c r="F198" s="5" t="s">
        <v>2164</v>
      </c>
      <c r="G198" s="5" t="s">
        <v>1452</v>
      </c>
      <c r="H198" s="5" t="s">
        <v>2165</v>
      </c>
      <c r="I198" s="5" t="s">
        <v>2166</v>
      </c>
      <c r="J198" s="17" t="s">
        <v>121</v>
      </c>
      <c r="K198" s="17" t="s">
        <v>181</v>
      </c>
      <c r="L198" s="5" t="s">
        <v>2167</v>
      </c>
      <c r="M198" s="6" t="s">
        <v>197</v>
      </c>
      <c r="N198" s="6" t="s">
        <v>812</v>
      </c>
      <c r="O198" s="6" t="s">
        <v>121</v>
      </c>
      <c r="P198" s="5" t="s">
        <v>999</v>
      </c>
      <c r="Q198" s="18" t="s">
        <v>186</v>
      </c>
      <c r="R198" s="5" t="s">
        <v>2168</v>
      </c>
      <c r="S198" s="6" t="s">
        <v>919</v>
      </c>
      <c r="T198" s="5" t="s">
        <v>920</v>
      </c>
      <c r="U198" s="6"/>
      <c r="V198" s="6" t="s">
        <v>921</v>
      </c>
      <c r="W198" s="6" t="s">
        <v>331</v>
      </c>
      <c r="X198" s="5" t="s">
        <v>922</v>
      </c>
      <c r="Y198" s="5" t="s">
        <v>812</v>
      </c>
      <c r="Z198" s="5" t="str">
        <f t="shared" si="6"/>
        <v>Medium</v>
      </c>
      <c r="AA198" s="5" t="s">
        <v>956</v>
      </c>
      <c r="AB198" s="6" t="s">
        <v>924</v>
      </c>
      <c r="AC198" s="6" t="s">
        <v>103</v>
      </c>
      <c r="AD198" s="5" t="s">
        <v>940</v>
      </c>
      <c r="AE198" s="5" t="s">
        <v>354</v>
      </c>
      <c r="AF198" s="5" t="s">
        <v>354</v>
      </c>
      <c r="AG198" s="5" t="s">
        <v>354</v>
      </c>
      <c r="AH198" s="5" t="s">
        <v>354</v>
      </c>
      <c r="AI198" s="6" t="str">
        <f t="shared" si="7"/>
        <v>No</v>
      </c>
      <c r="AJ198" s="6" t="s">
        <v>941</v>
      </c>
      <c r="AK198" s="6" t="s">
        <v>121</v>
      </c>
      <c r="AL198" s="6">
        <f>MATCH(AA198,{"Low","Medium","High"},0)*MATCH(AB198,{"Low","Medium","High"},0)*INDEX({3,2,2,1,1},MATCH(X198,{"Core","Vertical extension","Differentiator","Future","Adjacent"},0))</f>
        <v>6</v>
      </c>
      <c r="AM198" s="5"/>
      <c r="AN198" s="5"/>
      <c r="AO198" s="5"/>
      <c r="AP198" s="5"/>
      <c r="AQ198" s="5"/>
      <c r="AR198" s="5"/>
      <c r="AS198" s="5"/>
      <c r="AT198" s="5"/>
      <c r="AU198" s="6" t="s">
        <v>927</v>
      </c>
      <c r="AV198" s="6" t="s">
        <v>2161</v>
      </c>
      <c r="AW198" s="6" t="s">
        <v>2161</v>
      </c>
      <c r="AX198" s="6" t="s">
        <v>1003</v>
      </c>
      <c r="AY198" s="6" t="s">
        <v>930</v>
      </c>
      <c r="AZ198" s="6"/>
      <c r="BA198" s="6" t="s">
        <v>1329</v>
      </c>
      <c r="BB198" s="6" t="s">
        <v>1330</v>
      </c>
      <c r="BC198" s="6" t="s">
        <v>97</v>
      </c>
      <c r="BD198" s="6" t="s">
        <v>97</v>
      </c>
    </row>
    <row r="199" spans="1:56" ht="32" customHeight="1" x14ac:dyDescent="0.35">
      <c r="A199" s="13" t="s">
        <v>2169</v>
      </c>
      <c r="B199" s="6" t="s">
        <v>2114</v>
      </c>
      <c r="C199" s="5" t="s">
        <v>2115</v>
      </c>
      <c r="D199" s="5" t="s">
        <v>833</v>
      </c>
      <c r="E199" s="5" t="s">
        <v>2170</v>
      </c>
      <c r="F199" s="5" t="s">
        <v>2171</v>
      </c>
      <c r="G199" s="5" t="s">
        <v>1049</v>
      </c>
      <c r="H199" s="5" t="s">
        <v>2172</v>
      </c>
      <c r="I199" s="5" t="s">
        <v>2173</v>
      </c>
      <c r="J199" s="17" t="s">
        <v>121</v>
      </c>
      <c r="K199" s="17" t="s">
        <v>181</v>
      </c>
      <c r="L199" s="5" t="s">
        <v>2174</v>
      </c>
      <c r="M199" s="6" t="s">
        <v>197</v>
      </c>
      <c r="N199" s="6" t="s">
        <v>812</v>
      </c>
      <c r="O199" s="6" t="s">
        <v>121</v>
      </c>
      <c r="P199" s="5" t="s">
        <v>918</v>
      </c>
      <c r="Q199" s="18" t="s">
        <v>186</v>
      </c>
      <c r="R199" s="5" t="s">
        <v>2175</v>
      </c>
      <c r="S199" s="6" t="s">
        <v>919</v>
      </c>
      <c r="T199" s="5" t="s">
        <v>920</v>
      </c>
      <c r="U199" s="6"/>
      <c r="V199" s="6" t="s">
        <v>921</v>
      </c>
      <c r="W199" s="6" t="s">
        <v>331</v>
      </c>
      <c r="X199" s="5" t="s">
        <v>922</v>
      </c>
      <c r="Y199" s="5" t="s">
        <v>812</v>
      </c>
      <c r="Z199" s="5" t="str">
        <f t="shared" si="6"/>
        <v>Medium</v>
      </c>
      <c r="AA199" s="5" t="s">
        <v>956</v>
      </c>
      <c r="AB199" s="6" t="s">
        <v>924</v>
      </c>
      <c r="AC199" s="6" t="s">
        <v>103</v>
      </c>
      <c r="AD199" s="5" t="s">
        <v>940</v>
      </c>
      <c r="AE199" s="5" t="s">
        <v>354</v>
      </c>
      <c r="AF199" s="5" t="s">
        <v>354</v>
      </c>
      <c r="AG199" s="5" t="s">
        <v>354</v>
      </c>
      <c r="AH199" s="5" t="s">
        <v>354</v>
      </c>
      <c r="AI199" s="6" t="str">
        <f t="shared" si="7"/>
        <v>No</v>
      </c>
      <c r="AJ199" s="6" t="s">
        <v>941</v>
      </c>
      <c r="AK199" s="6" t="s">
        <v>121</v>
      </c>
      <c r="AL199" s="6">
        <f>MATCH(AA199,{"Low","Medium","High"},0)*MATCH(AB199,{"Low","Medium","High"},0)*INDEX({3,2,2,1,1},MATCH(X199,{"Core","Vertical extension","Differentiator","Future","Adjacent"},0))</f>
        <v>6</v>
      </c>
      <c r="AM199" s="5"/>
      <c r="AN199" s="5"/>
      <c r="AO199" s="5"/>
      <c r="AP199" s="5"/>
      <c r="AQ199" s="5"/>
      <c r="AR199" s="5"/>
      <c r="AS199" s="5"/>
      <c r="AT199" s="5"/>
      <c r="AU199" s="6" t="s">
        <v>927</v>
      </c>
      <c r="AV199" s="6" t="s">
        <v>2161</v>
      </c>
      <c r="AW199" s="6" t="s">
        <v>2161</v>
      </c>
      <c r="AX199" s="6" t="s">
        <v>929</v>
      </c>
      <c r="AY199" s="6" t="s">
        <v>930</v>
      </c>
      <c r="AZ199" s="6"/>
      <c r="BA199" s="6" t="s">
        <v>2176</v>
      </c>
      <c r="BB199" s="6"/>
      <c r="BC199" s="6" t="s">
        <v>97</v>
      </c>
      <c r="BD199" s="6" t="s">
        <v>97</v>
      </c>
    </row>
    <row r="200" spans="1:56" ht="32" customHeight="1" x14ac:dyDescent="0.35">
      <c r="A200" s="13" t="s">
        <v>2177</v>
      </c>
      <c r="B200" s="6" t="s">
        <v>2114</v>
      </c>
      <c r="C200" s="5" t="s">
        <v>2115</v>
      </c>
      <c r="D200" s="5" t="s">
        <v>833</v>
      </c>
      <c r="E200" s="5" t="s">
        <v>2178</v>
      </c>
      <c r="F200" s="5" t="s">
        <v>1976</v>
      </c>
      <c r="G200" s="5" t="s">
        <v>1017</v>
      </c>
      <c r="H200" s="5" t="s">
        <v>2179</v>
      </c>
      <c r="I200" s="5" t="s">
        <v>2180</v>
      </c>
      <c r="J200" s="17" t="s">
        <v>121</v>
      </c>
      <c r="K200" s="17" t="s">
        <v>181</v>
      </c>
      <c r="L200" s="5" t="s">
        <v>2181</v>
      </c>
      <c r="M200" s="6" t="s">
        <v>197</v>
      </c>
      <c r="N200" s="6" t="s">
        <v>812</v>
      </c>
      <c r="O200" s="6" t="s">
        <v>121</v>
      </c>
      <c r="P200" s="5" t="s">
        <v>918</v>
      </c>
      <c r="Q200" s="17" t="s">
        <v>182</v>
      </c>
      <c r="R200" s="5"/>
      <c r="S200" s="6" t="s">
        <v>919</v>
      </c>
      <c r="T200" s="5" t="s">
        <v>920</v>
      </c>
      <c r="U200" s="6"/>
      <c r="V200" s="6" t="s">
        <v>921</v>
      </c>
      <c r="W200" s="6" t="s">
        <v>331</v>
      </c>
      <c r="X200" s="5" t="s">
        <v>922</v>
      </c>
      <c r="Y200" s="5" t="s">
        <v>812</v>
      </c>
      <c r="Z200" s="5" t="str">
        <f t="shared" si="6"/>
        <v>Medium</v>
      </c>
      <c r="AA200" s="5" t="s">
        <v>956</v>
      </c>
      <c r="AB200" s="6" t="s">
        <v>924</v>
      </c>
      <c r="AC200" s="6" t="s">
        <v>103</v>
      </c>
      <c r="AD200" s="5" t="s">
        <v>925</v>
      </c>
      <c r="AE200" s="5" t="s">
        <v>354</v>
      </c>
      <c r="AF200" s="5" t="s">
        <v>354</v>
      </c>
      <c r="AG200" s="5" t="s">
        <v>354</v>
      </c>
      <c r="AH200" s="5" t="s">
        <v>354</v>
      </c>
      <c r="AI200" s="6" t="str">
        <f t="shared" si="7"/>
        <v>No</v>
      </c>
      <c r="AJ200" s="6" t="s">
        <v>926</v>
      </c>
      <c r="AK200" s="6" t="s">
        <v>121</v>
      </c>
      <c r="AL200" s="6">
        <f>MATCH(AA200,{"Low","Medium","High"},0)*MATCH(AB200,{"Low","Medium","High"},0)*INDEX({3,2,2,1,1},MATCH(X200,{"Core","Vertical extension","Differentiator","Future","Adjacent"},0))</f>
        <v>6</v>
      </c>
      <c r="AM200" s="5"/>
      <c r="AN200" s="5"/>
      <c r="AO200" s="5"/>
      <c r="AP200" s="5"/>
      <c r="AQ200" s="5"/>
      <c r="AR200" s="5"/>
      <c r="AS200" s="5"/>
      <c r="AT200" s="5"/>
      <c r="AU200" s="6" t="s">
        <v>927</v>
      </c>
      <c r="AV200" s="6" t="s">
        <v>55</v>
      </c>
      <c r="AW200" s="6" t="s">
        <v>55</v>
      </c>
      <c r="AX200" s="6" t="s">
        <v>929</v>
      </c>
      <c r="AY200" s="6" t="s">
        <v>930</v>
      </c>
      <c r="AZ200" s="6"/>
      <c r="BA200" s="6"/>
      <c r="BB200" s="6"/>
      <c r="BC200" s="6" t="s">
        <v>97</v>
      </c>
      <c r="BD200" s="6" t="s">
        <v>97</v>
      </c>
    </row>
    <row r="201" spans="1:56" ht="32" customHeight="1" x14ac:dyDescent="0.35">
      <c r="A201" s="13" t="s">
        <v>2182</v>
      </c>
      <c r="B201" s="6" t="s">
        <v>2114</v>
      </c>
      <c r="C201" s="5" t="s">
        <v>2115</v>
      </c>
      <c r="D201" s="5" t="s">
        <v>833</v>
      </c>
      <c r="E201" s="5" t="s">
        <v>2183</v>
      </c>
      <c r="F201" s="5" t="s">
        <v>2164</v>
      </c>
      <c r="G201" s="5" t="s">
        <v>1710</v>
      </c>
      <c r="H201" s="5" t="s">
        <v>2184</v>
      </c>
      <c r="I201" s="5" t="s">
        <v>2185</v>
      </c>
      <c r="J201" s="17" t="s">
        <v>121</v>
      </c>
      <c r="K201" s="17" t="s">
        <v>181</v>
      </c>
      <c r="L201" s="5" t="s">
        <v>2186</v>
      </c>
      <c r="M201" s="6" t="s">
        <v>197</v>
      </c>
      <c r="N201" s="6" t="s">
        <v>812</v>
      </c>
      <c r="O201" s="6" t="s">
        <v>121</v>
      </c>
      <c r="P201" s="5" t="s">
        <v>918</v>
      </c>
      <c r="Q201" s="17" t="s">
        <v>182</v>
      </c>
      <c r="R201" s="5"/>
      <c r="S201" s="6" t="s">
        <v>919</v>
      </c>
      <c r="T201" s="5" t="s">
        <v>920</v>
      </c>
      <c r="U201" s="6"/>
      <c r="V201" s="6" t="s">
        <v>921</v>
      </c>
      <c r="W201" s="6" t="s">
        <v>331</v>
      </c>
      <c r="X201" s="5" t="s">
        <v>922</v>
      </c>
      <c r="Y201" s="5" t="s">
        <v>812</v>
      </c>
      <c r="Z201" s="5" t="str">
        <f t="shared" si="6"/>
        <v>Medium</v>
      </c>
      <c r="AA201" s="5" t="s">
        <v>956</v>
      </c>
      <c r="AB201" s="6" t="s">
        <v>924</v>
      </c>
      <c r="AC201" s="6" t="s">
        <v>103</v>
      </c>
      <c r="AD201" s="5" t="s">
        <v>925</v>
      </c>
      <c r="AE201" s="5" t="s">
        <v>354</v>
      </c>
      <c r="AF201" s="5" t="s">
        <v>354</v>
      </c>
      <c r="AG201" s="5" t="s">
        <v>354</v>
      </c>
      <c r="AH201" s="5" t="s">
        <v>354</v>
      </c>
      <c r="AI201" s="6" t="str">
        <f t="shared" si="7"/>
        <v>No</v>
      </c>
      <c r="AJ201" s="6" t="s">
        <v>926</v>
      </c>
      <c r="AK201" s="6" t="s">
        <v>121</v>
      </c>
      <c r="AL201" s="6">
        <f>MATCH(AA201,{"Low","Medium","High"},0)*MATCH(AB201,{"Low","Medium","High"},0)*INDEX({3,2,2,1,1},MATCH(X201,{"Core","Vertical extension","Differentiator","Future","Adjacent"},0))</f>
        <v>6</v>
      </c>
      <c r="AM201" s="5"/>
      <c r="AN201" s="5"/>
      <c r="AO201" s="5"/>
      <c r="AP201" s="5"/>
      <c r="AQ201" s="5"/>
      <c r="AR201" s="5"/>
      <c r="AS201" s="5"/>
      <c r="AT201" s="5"/>
      <c r="AU201" s="6" t="s">
        <v>927</v>
      </c>
      <c r="AV201" s="6" t="s">
        <v>2161</v>
      </c>
      <c r="AW201" s="6" t="s">
        <v>2161</v>
      </c>
      <c r="AX201" s="6" t="s">
        <v>929</v>
      </c>
      <c r="AY201" s="6" t="s">
        <v>930</v>
      </c>
      <c r="AZ201" s="6"/>
      <c r="BA201" s="6"/>
      <c r="BB201" s="6"/>
      <c r="BC201" s="6" t="s">
        <v>97</v>
      </c>
      <c r="BD201" s="6" t="s">
        <v>97</v>
      </c>
    </row>
    <row r="202" spans="1:56" ht="32" customHeight="1" x14ac:dyDescent="0.35">
      <c r="A202" s="13" t="s">
        <v>2187</v>
      </c>
      <c r="B202" s="6" t="s">
        <v>2114</v>
      </c>
      <c r="C202" s="5" t="s">
        <v>2115</v>
      </c>
      <c r="D202" s="5" t="s">
        <v>833</v>
      </c>
      <c r="E202" s="5" t="s">
        <v>2188</v>
      </c>
      <c r="F202" s="5" t="s">
        <v>1333</v>
      </c>
      <c r="G202" s="5" t="s">
        <v>1017</v>
      </c>
      <c r="H202" s="5" t="s">
        <v>2189</v>
      </c>
      <c r="I202" s="5" t="s">
        <v>2190</v>
      </c>
      <c r="J202" s="17" t="s">
        <v>121</v>
      </c>
      <c r="K202" s="17" t="s">
        <v>181</v>
      </c>
      <c r="L202" s="5" t="s">
        <v>2191</v>
      </c>
      <c r="M202" s="6" t="s">
        <v>197</v>
      </c>
      <c r="N202" s="6" t="s">
        <v>812</v>
      </c>
      <c r="O202" s="6" t="s">
        <v>121</v>
      </c>
      <c r="P202" s="5" t="s">
        <v>918</v>
      </c>
      <c r="Q202" s="18" t="s">
        <v>186</v>
      </c>
      <c r="R202" s="5" t="s">
        <v>2192</v>
      </c>
      <c r="S202" s="6" t="s">
        <v>919</v>
      </c>
      <c r="T202" s="5" t="s">
        <v>920</v>
      </c>
      <c r="U202" s="6"/>
      <c r="V202" s="6" t="s">
        <v>921</v>
      </c>
      <c r="W202" s="6" t="s">
        <v>331</v>
      </c>
      <c r="X202" s="5" t="s">
        <v>922</v>
      </c>
      <c r="Y202" s="5" t="s">
        <v>812</v>
      </c>
      <c r="Z202" s="5" t="str">
        <f t="shared" si="6"/>
        <v>Medium</v>
      </c>
      <c r="AA202" s="5" t="s">
        <v>956</v>
      </c>
      <c r="AB202" s="6" t="s">
        <v>924</v>
      </c>
      <c r="AC202" s="6" t="s">
        <v>103</v>
      </c>
      <c r="AD202" s="5" t="s">
        <v>940</v>
      </c>
      <c r="AE202" s="5" t="s">
        <v>354</v>
      </c>
      <c r="AF202" s="5" t="s">
        <v>354</v>
      </c>
      <c r="AG202" s="5" t="s">
        <v>354</v>
      </c>
      <c r="AH202" s="5" t="s">
        <v>354</v>
      </c>
      <c r="AI202" s="6" t="str">
        <f t="shared" si="7"/>
        <v>No</v>
      </c>
      <c r="AJ202" s="6" t="s">
        <v>941</v>
      </c>
      <c r="AK202" s="6" t="s">
        <v>121</v>
      </c>
      <c r="AL202" s="6">
        <f>MATCH(AA202,{"Low","Medium","High"},0)*MATCH(AB202,{"Low","Medium","High"},0)*INDEX({3,2,2,1,1},MATCH(X202,{"Core","Vertical extension","Differentiator","Future","Adjacent"},0))</f>
        <v>6</v>
      </c>
      <c r="AM202" s="5"/>
      <c r="AN202" s="5"/>
      <c r="AO202" s="5"/>
      <c r="AP202" s="5"/>
      <c r="AQ202" s="5"/>
      <c r="AR202" s="5"/>
      <c r="AS202" s="5"/>
      <c r="AT202" s="5"/>
      <c r="AU202" s="6" t="s">
        <v>927</v>
      </c>
      <c r="AV202" s="6" t="s">
        <v>55</v>
      </c>
      <c r="AW202" s="6" t="s">
        <v>55</v>
      </c>
      <c r="AX202" s="6" t="s">
        <v>929</v>
      </c>
      <c r="AY202" s="6" t="s">
        <v>930</v>
      </c>
      <c r="AZ202" s="6"/>
      <c r="BA202" s="6" t="s">
        <v>2193</v>
      </c>
      <c r="BB202" s="6" t="s">
        <v>2194</v>
      </c>
      <c r="BC202" s="6" t="s">
        <v>97</v>
      </c>
      <c r="BD202" s="6" t="s">
        <v>97</v>
      </c>
    </row>
    <row r="203" spans="1:56" ht="32" customHeight="1" x14ac:dyDescent="0.35">
      <c r="A203" s="13" t="s">
        <v>2195</v>
      </c>
      <c r="B203" s="6" t="s">
        <v>2114</v>
      </c>
      <c r="C203" s="5" t="s">
        <v>2115</v>
      </c>
      <c r="D203" s="5" t="s">
        <v>833</v>
      </c>
      <c r="E203" s="5" t="s">
        <v>2196</v>
      </c>
      <c r="F203" s="5" t="s">
        <v>1710</v>
      </c>
      <c r="G203" s="5" t="s">
        <v>2197</v>
      </c>
      <c r="H203" s="5" t="s">
        <v>2198</v>
      </c>
      <c r="I203" s="5" t="s">
        <v>2199</v>
      </c>
      <c r="J203" s="16" t="s">
        <v>73</v>
      </c>
      <c r="K203" s="17" t="s">
        <v>181</v>
      </c>
      <c r="L203" s="5" t="s">
        <v>2200</v>
      </c>
      <c r="M203" s="6" t="s">
        <v>197</v>
      </c>
      <c r="N203" s="6" t="s">
        <v>812</v>
      </c>
      <c r="O203" s="6" t="s">
        <v>73</v>
      </c>
      <c r="P203" s="5" t="s">
        <v>918</v>
      </c>
      <c r="Q203" s="17" t="s">
        <v>182</v>
      </c>
      <c r="R203" s="5"/>
      <c r="S203" s="6" t="s">
        <v>919</v>
      </c>
      <c r="T203" s="5" t="s">
        <v>920</v>
      </c>
      <c r="U203" s="6"/>
      <c r="V203" s="6" t="s">
        <v>921</v>
      </c>
      <c r="W203" s="6" t="s">
        <v>331</v>
      </c>
      <c r="X203" s="5" t="s">
        <v>922</v>
      </c>
      <c r="Y203" s="5" t="s">
        <v>812</v>
      </c>
      <c r="Z203" s="5" t="str">
        <f t="shared" si="6"/>
        <v>High</v>
      </c>
      <c r="AA203" s="5" t="s">
        <v>923</v>
      </c>
      <c r="AB203" s="6" t="s">
        <v>924</v>
      </c>
      <c r="AC203" s="6" t="s">
        <v>78</v>
      </c>
      <c r="AD203" s="5" t="s">
        <v>925</v>
      </c>
      <c r="AE203" s="5" t="s">
        <v>354</v>
      </c>
      <c r="AF203" s="5" t="s">
        <v>354</v>
      </c>
      <c r="AG203" s="5" t="s">
        <v>354</v>
      </c>
      <c r="AH203" s="5" t="s">
        <v>354</v>
      </c>
      <c r="AI203" s="6" t="str">
        <f t="shared" si="7"/>
        <v>No</v>
      </c>
      <c r="AJ203" s="6" t="s">
        <v>926</v>
      </c>
      <c r="AK203" s="6" t="s">
        <v>73</v>
      </c>
      <c r="AL203" s="6">
        <f>MATCH(AA203,{"Low","Medium","High"},0)*MATCH(AB203,{"Low","Medium","High"},0)*INDEX({3,2,2,1,1},MATCH(X203,{"Core","Vertical extension","Differentiator","Future","Adjacent"},0))</f>
        <v>9</v>
      </c>
      <c r="AM203" s="5"/>
      <c r="AN203" s="5"/>
      <c r="AO203" s="5"/>
      <c r="AP203" s="5"/>
      <c r="AQ203" s="5"/>
      <c r="AR203" s="5"/>
      <c r="AS203" s="5"/>
      <c r="AT203" s="5"/>
      <c r="AU203" s="6" t="s">
        <v>927</v>
      </c>
      <c r="AV203" s="6" t="s">
        <v>55</v>
      </c>
      <c r="AW203" s="6" t="s">
        <v>55</v>
      </c>
      <c r="AX203" s="6" t="s">
        <v>929</v>
      </c>
      <c r="AY203" s="6" t="s">
        <v>930</v>
      </c>
      <c r="AZ203" s="6"/>
      <c r="BA203" s="6"/>
      <c r="BB203" s="6"/>
      <c r="BC203" s="6" t="s">
        <v>97</v>
      </c>
      <c r="BD203" s="6" t="s">
        <v>97</v>
      </c>
    </row>
    <row r="204" spans="1:56" ht="32" customHeight="1" x14ac:dyDescent="0.35">
      <c r="A204" s="13" t="s">
        <v>2201</v>
      </c>
      <c r="B204" s="6" t="s">
        <v>2114</v>
      </c>
      <c r="C204" s="5" t="s">
        <v>2115</v>
      </c>
      <c r="D204" s="5" t="s">
        <v>833</v>
      </c>
      <c r="E204" s="5" t="s">
        <v>2202</v>
      </c>
      <c r="F204" s="5" t="s">
        <v>2203</v>
      </c>
      <c r="G204" s="5" t="s">
        <v>1710</v>
      </c>
      <c r="H204" s="5" t="s">
        <v>2204</v>
      </c>
      <c r="I204" s="5" t="s">
        <v>2205</v>
      </c>
      <c r="J204" s="17" t="s">
        <v>121</v>
      </c>
      <c r="K204" s="17" t="s">
        <v>181</v>
      </c>
      <c r="L204" s="5" t="s">
        <v>2206</v>
      </c>
      <c r="M204" s="6" t="s">
        <v>197</v>
      </c>
      <c r="N204" s="6" t="s">
        <v>812</v>
      </c>
      <c r="O204" s="6" t="s">
        <v>121</v>
      </c>
      <c r="P204" s="5" t="s">
        <v>918</v>
      </c>
      <c r="Q204" s="17" t="s">
        <v>182</v>
      </c>
      <c r="R204" s="5"/>
      <c r="S204" s="6" t="s">
        <v>919</v>
      </c>
      <c r="T204" s="5" t="s">
        <v>920</v>
      </c>
      <c r="U204" s="6"/>
      <c r="V204" s="6" t="s">
        <v>921</v>
      </c>
      <c r="W204" s="6" t="s">
        <v>331</v>
      </c>
      <c r="X204" s="5" t="s">
        <v>922</v>
      </c>
      <c r="Y204" s="5" t="s">
        <v>812</v>
      </c>
      <c r="Z204" s="5" t="str">
        <f t="shared" si="6"/>
        <v>Medium</v>
      </c>
      <c r="AA204" s="5" t="s">
        <v>956</v>
      </c>
      <c r="AB204" s="6" t="s">
        <v>924</v>
      </c>
      <c r="AC204" s="6" t="s">
        <v>103</v>
      </c>
      <c r="AD204" s="5" t="s">
        <v>925</v>
      </c>
      <c r="AE204" s="5" t="s">
        <v>354</v>
      </c>
      <c r="AF204" s="5" t="s">
        <v>354</v>
      </c>
      <c r="AG204" s="5" t="s">
        <v>354</v>
      </c>
      <c r="AH204" s="5" t="s">
        <v>354</v>
      </c>
      <c r="AI204" s="6" t="str">
        <f t="shared" si="7"/>
        <v>No</v>
      </c>
      <c r="AJ204" s="6" t="s">
        <v>926</v>
      </c>
      <c r="AK204" s="6" t="s">
        <v>121</v>
      </c>
      <c r="AL204" s="6">
        <f>MATCH(AA204,{"Low","Medium","High"},0)*MATCH(AB204,{"Low","Medium","High"},0)*INDEX({3,2,2,1,1},MATCH(X204,{"Core","Vertical extension","Differentiator","Future","Adjacent"},0))</f>
        <v>6</v>
      </c>
      <c r="AM204" s="5"/>
      <c r="AN204" s="5"/>
      <c r="AO204" s="5"/>
      <c r="AP204" s="5"/>
      <c r="AQ204" s="5"/>
      <c r="AR204" s="5"/>
      <c r="AS204" s="5"/>
      <c r="AT204" s="5"/>
      <c r="AU204" s="6" t="s">
        <v>927</v>
      </c>
      <c r="AV204" s="6" t="s">
        <v>2161</v>
      </c>
      <c r="AW204" s="6" t="s">
        <v>2161</v>
      </c>
      <c r="AX204" s="6" t="s">
        <v>929</v>
      </c>
      <c r="AY204" s="6" t="s">
        <v>930</v>
      </c>
      <c r="AZ204" s="6"/>
      <c r="BA204" s="6"/>
      <c r="BB204" s="6"/>
      <c r="BC204" s="6" t="s">
        <v>97</v>
      </c>
      <c r="BD204" s="6" t="s">
        <v>97</v>
      </c>
    </row>
    <row r="205" spans="1:56" ht="32" customHeight="1" x14ac:dyDescent="0.35">
      <c r="A205" s="13" t="s">
        <v>2207</v>
      </c>
      <c r="B205" s="6" t="s">
        <v>2114</v>
      </c>
      <c r="C205" s="5" t="s">
        <v>2115</v>
      </c>
      <c r="D205" s="5" t="s">
        <v>833</v>
      </c>
      <c r="E205" s="5" t="s">
        <v>2208</v>
      </c>
      <c r="F205" s="5" t="s">
        <v>2209</v>
      </c>
      <c r="G205" s="5" t="s">
        <v>1322</v>
      </c>
      <c r="H205" s="5" t="s">
        <v>2210</v>
      </c>
      <c r="I205" s="5" t="s">
        <v>2211</v>
      </c>
      <c r="J205" s="17" t="s">
        <v>121</v>
      </c>
      <c r="K205" s="17" t="s">
        <v>181</v>
      </c>
      <c r="L205" s="5" t="s">
        <v>2212</v>
      </c>
      <c r="M205" s="6" t="s">
        <v>197</v>
      </c>
      <c r="N205" s="6" t="s">
        <v>812</v>
      </c>
      <c r="O205" s="6" t="s">
        <v>121</v>
      </c>
      <c r="P205" s="5" t="s">
        <v>918</v>
      </c>
      <c r="Q205" s="17" t="s">
        <v>182</v>
      </c>
      <c r="R205" s="5"/>
      <c r="S205" s="6" t="s">
        <v>919</v>
      </c>
      <c r="T205" s="5" t="s">
        <v>920</v>
      </c>
      <c r="U205" s="6"/>
      <c r="V205" s="6" t="s">
        <v>921</v>
      </c>
      <c r="W205" s="6" t="s">
        <v>331</v>
      </c>
      <c r="X205" s="5" t="s">
        <v>922</v>
      </c>
      <c r="Y205" s="5" t="s">
        <v>812</v>
      </c>
      <c r="Z205" s="5" t="str">
        <f t="shared" si="6"/>
        <v>Medium</v>
      </c>
      <c r="AA205" s="5" t="s">
        <v>956</v>
      </c>
      <c r="AB205" s="6" t="s">
        <v>924</v>
      </c>
      <c r="AC205" s="6" t="s">
        <v>103</v>
      </c>
      <c r="AD205" s="5" t="s">
        <v>925</v>
      </c>
      <c r="AE205" s="5" t="s">
        <v>354</v>
      </c>
      <c r="AF205" s="5" t="s">
        <v>354</v>
      </c>
      <c r="AG205" s="5" t="s">
        <v>354</v>
      </c>
      <c r="AH205" s="5" t="s">
        <v>354</v>
      </c>
      <c r="AI205" s="6" t="str">
        <f t="shared" si="7"/>
        <v>No</v>
      </c>
      <c r="AJ205" s="6" t="s">
        <v>926</v>
      </c>
      <c r="AK205" s="6" t="s">
        <v>121</v>
      </c>
      <c r="AL205" s="6">
        <f>MATCH(AA205,{"Low","Medium","High"},0)*MATCH(AB205,{"Low","Medium","High"},0)*INDEX({3,2,2,1,1},MATCH(X205,{"Core","Vertical extension","Differentiator","Future","Adjacent"},0))</f>
        <v>6</v>
      </c>
      <c r="AM205" s="5"/>
      <c r="AN205" s="5"/>
      <c r="AO205" s="5"/>
      <c r="AP205" s="5"/>
      <c r="AQ205" s="5"/>
      <c r="AR205" s="5"/>
      <c r="AS205" s="5"/>
      <c r="AT205" s="5"/>
      <c r="AU205" s="6" t="s">
        <v>927</v>
      </c>
      <c r="AV205" s="6" t="s">
        <v>2161</v>
      </c>
      <c r="AW205" s="6" t="s">
        <v>2161</v>
      </c>
      <c r="AX205" s="6" t="s">
        <v>929</v>
      </c>
      <c r="AY205" s="6" t="s">
        <v>930</v>
      </c>
      <c r="AZ205" s="6"/>
      <c r="BA205" s="6" t="s">
        <v>1752</v>
      </c>
      <c r="BB205" s="6" t="s">
        <v>1746</v>
      </c>
      <c r="BC205" s="6" t="s">
        <v>97</v>
      </c>
      <c r="BD205" s="6" t="s">
        <v>97</v>
      </c>
    </row>
    <row r="206" spans="1:56" ht="32" customHeight="1" x14ac:dyDescent="0.35">
      <c r="A206" s="13" t="s">
        <v>2213</v>
      </c>
      <c r="B206" s="6" t="s">
        <v>2114</v>
      </c>
      <c r="C206" s="5" t="s">
        <v>2115</v>
      </c>
      <c r="D206" s="5" t="s">
        <v>833</v>
      </c>
      <c r="E206" s="5" t="s">
        <v>2214</v>
      </c>
      <c r="F206" s="5" t="s">
        <v>2215</v>
      </c>
      <c r="G206" s="5" t="s">
        <v>1017</v>
      </c>
      <c r="H206" s="5" t="s">
        <v>2216</v>
      </c>
      <c r="I206" s="5" t="s">
        <v>2217</v>
      </c>
      <c r="J206" s="17" t="s">
        <v>121</v>
      </c>
      <c r="K206" s="17" t="s">
        <v>181</v>
      </c>
      <c r="L206" s="5" t="s">
        <v>2218</v>
      </c>
      <c r="M206" s="6" t="s">
        <v>197</v>
      </c>
      <c r="N206" s="6" t="s">
        <v>812</v>
      </c>
      <c r="O206" s="6" t="s">
        <v>121</v>
      </c>
      <c r="P206" s="5" t="s">
        <v>918</v>
      </c>
      <c r="Q206" s="17" t="s">
        <v>182</v>
      </c>
      <c r="R206" s="5"/>
      <c r="S206" s="6" t="s">
        <v>919</v>
      </c>
      <c r="T206" s="5" t="s">
        <v>920</v>
      </c>
      <c r="U206" s="6"/>
      <c r="V206" s="6" t="s">
        <v>921</v>
      </c>
      <c r="W206" s="6" t="s">
        <v>331</v>
      </c>
      <c r="X206" s="5" t="s">
        <v>922</v>
      </c>
      <c r="Y206" s="5" t="s">
        <v>812</v>
      </c>
      <c r="Z206" s="5" t="str">
        <f t="shared" si="6"/>
        <v>Medium</v>
      </c>
      <c r="AA206" s="5" t="s">
        <v>956</v>
      </c>
      <c r="AB206" s="6" t="s">
        <v>924</v>
      </c>
      <c r="AC206" s="6" t="s">
        <v>103</v>
      </c>
      <c r="AD206" s="5" t="s">
        <v>925</v>
      </c>
      <c r="AE206" s="5" t="s">
        <v>354</v>
      </c>
      <c r="AF206" s="5" t="s">
        <v>354</v>
      </c>
      <c r="AG206" s="5" t="s">
        <v>354</v>
      </c>
      <c r="AH206" s="5" t="s">
        <v>354</v>
      </c>
      <c r="AI206" s="6" t="str">
        <f t="shared" si="7"/>
        <v>No</v>
      </c>
      <c r="AJ206" s="6" t="s">
        <v>926</v>
      </c>
      <c r="AK206" s="6" t="s">
        <v>121</v>
      </c>
      <c r="AL206" s="6">
        <f>MATCH(AA206,{"Low","Medium","High"},0)*MATCH(AB206,{"Low","Medium","High"},0)*INDEX({3,2,2,1,1},MATCH(X206,{"Core","Vertical extension","Differentiator","Future","Adjacent"},0))</f>
        <v>6</v>
      </c>
      <c r="AM206" s="5"/>
      <c r="AN206" s="5"/>
      <c r="AO206" s="5"/>
      <c r="AP206" s="5"/>
      <c r="AQ206" s="5"/>
      <c r="AR206" s="5"/>
      <c r="AS206" s="5"/>
      <c r="AT206" s="5"/>
      <c r="AU206" s="6" t="s">
        <v>927</v>
      </c>
      <c r="AV206" s="6" t="s">
        <v>1315</v>
      </c>
      <c r="AW206" s="6" t="s">
        <v>1315</v>
      </c>
      <c r="AX206" s="6" t="s">
        <v>929</v>
      </c>
      <c r="AY206" s="6" t="s">
        <v>930</v>
      </c>
      <c r="AZ206" s="6"/>
      <c r="BA206" s="6" t="s">
        <v>1040</v>
      </c>
      <c r="BB206" s="6" t="s">
        <v>1041</v>
      </c>
      <c r="BC206" s="6" t="s">
        <v>97</v>
      </c>
      <c r="BD206" s="6" t="s">
        <v>97</v>
      </c>
    </row>
    <row r="207" spans="1:56" ht="32" customHeight="1" x14ac:dyDescent="0.35">
      <c r="A207" s="13" t="s">
        <v>2219</v>
      </c>
      <c r="B207" s="6" t="s">
        <v>2114</v>
      </c>
      <c r="C207" s="5" t="s">
        <v>2115</v>
      </c>
      <c r="D207" s="5" t="s">
        <v>833</v>
      </c>
      <c r="E207" s="5" t="s">
        <v>2220</v>
      </c>
      <c r="F207" s="5" t="s">
        <v>1373</v>
      </c>
      <c r="G207" s="5" t="s">
        <v>1400</v>
      </c>
      <c r="H207" s="5" t="s">
        <v>2221</v>
      </c>
      <c r="I207" s="5" t="s">
        <v>2222</v>
      </c>
      <c r="J207" s="17" t="s">
        <v>121</v>
      </c>
      <c r="K207" s="17" t="s">
        <v>181</v>
      </c>
      <c r="L207" s="5" t="s">
        <v>2223</v>
      </c>
      <c r="M207" s="6" t="s">
        <v>197</v>
      </c>
      <c r="N207" s="6" t="s">
        <v>812</v>
      </c>
      <c r="O207" s="6" t="s">
        <v>121</v>
      </c>
      <c r="P207" s="5" t="s">
        <v>999</v>
      </c>
      <c r="Q207" s="18" t="s">
        <v>186</v>
      </c>
      <c r="R207" s="5" t="s">
        <v>2224</v>
      </c>
      <c r="S207" s="6" t="s">
        <v>919</v>
      </c>
      <c r="T207" s="5" t="s">
        <v>920</v>
      </c>
      <c r="U207" s="6"/>
      <c r="V207" s="6" t="s">
        <v>921</v>
      </c>
      <c r="W207" s="6" t="s">
        <v>331</v>
      </c>
      <c r="X207" s="5" t="s">
        <v>922</v>
      </c>
      <c r="Y207" s="5" t="s">
        <v>812</v>
      </c>
      <c r="Z207" s="5" t="str">
        <f t="shared" si="6"/>
        <v>Medium</v>
      </c>
      <c r="AA207" s="5" t="s">
        <v>956</v>
      </c>
      <c r="AB207" s="6" t="s">
        <v>924</v>
      </c>
      <c r="AC207" s="6" t="s">
        <v>103</v>
      </c>
      <c r="AD207" s="5" t="s">
        <v>940</v>
      </c>
      <c r="AE207" s="5" t="s">
        <v>354</v>
      </c>
      <c r="AF207" s="5" t="s">
        <v>354</v>
      </c>
      <c r="AG207" s="5" t="s">
        <v>354</v>
      </c>
      <c r="AH207" s="5" t="s">
        <v>354</v>
      </c>
      <c r="AI207" s="6" t="str">
        <f t="shared" si="7"/>
        <v>No</v>
      </c>
      <c r="AJ207" s="6" t="s">
        <v>941</v>
      </c>
      <c r="AK207" s="6" t="s">
        <v>121</v>
      </c>
      <c r="AL207" s="6">
        <f>MATCH(AA207,{"Low","Medium","High"},0)*MATCH(AB207,{"Low","Medium","High"},0)*INDEX({3,2,2,1,1},MATCH(X207,{"Core","Vertical extension","Differentiator","Future","Adjacent"},0))</f>
        <v>6</v>
      </c>
      <c r="AM207" s="5"/>
      <c r="AN207" s="5"/>
      <c r="AO207" s="5"/>
      <c r="AP207" s="5"/>
      <c r="AQ207" s="5"/>
      <c r="AR207" s="5"/>
      <c r="AS207" s="5"/>
      <c r="AT207" s="5"/>
      <c r="AU207" s="6" t="s">
        <v>927</v>
      </c>
      <c r="AV207" s="6" t="s">
        <v>1296</v>
      </c>
      <c r="AW207" s="6" t="s">
        <v>1296</v>
      </c>
      <c r="AX207" s="6" t="s">
        <v>1003</v>
      </c>
      <c r="AY207" s="6" t="s">
        <v>930</v>
      </c>
      <c r="AZ207" s="6"/>
      <c r="BA207" s="6" t="s">
        <v>2225</v>
      </c>
      <c r="BB207" s="6" t="s">
        <v>1080</v>
      </c>
      <c r="BC207" s="6" t="s">
        <v>97</v>
      </c>
      <c r="BD207" s="6" t="s">
        <v>97</v>
      </c>
    </row>
    <row r="208" spans="1:56" ht="32" customHeight="1" x14ac:dyDescent="0.35">
      <c r="A208" s="13" t="s">
        <v>2226</v>
      </c>
      <c r="B208" s="6" t="s">
        <v>2114</v>
      </c>
      <c r="C208" s="5" t="s">
        <v>2115</v>
      </c>
      <c r="D208" s="5" t="s">
        <v>833</v>
      </c>
      <c r="E208" s="5" t="s">
        <v>2227</v>
      </c>
      <c r="F208" s="5" t="s">
        <v>1452</v>
      </c>
      <c r="G208" s="5" t="s">
        <v>1017</v>
      </c>
      <c r="H208" s="5" t="s">
        <v>2228</v>
      </c>
      <c r="I208" s="5" t="s">
        <v>2229</v>
      </c>
      <c r="J208" s="17" t="s">
        <v>121</v>
      </c>
      <c r="K208" s="17" t="s">
        <v>181</v>
      </c>
      <c r="L208" s="5" t="s">
        <v>2230</v>
      </c>
      <c r="M208" s="6" t="s">
        <v>197</v>
      </c>
      <c r="N208" s="6" t="s">
        <v>812</v>
      </c>
      <c r="O208" s="6" t="s">
        <v>121</v>
      </c>
      <c r="P208" s="5" t="s">
        <v>918</v>
      </c>
      <c r="Q208" s="18" t="s">
        <v>186</v>
      </c>
      <c r="R208" s="5" t="s">
        <v>2231</v>
      </c>
      <c r="S208" s="6" t="s">
        <v>919</v>
      </c>
      <c r="T208" s="5" t="s">
        <v>920</v>
      </c>
      <c r="U208" s="6"/>
      <c r="V208" s="6" t="s">
        <v>921</v>
      </c>
      <c r="W208" s="6" t="s">
        <v>331</v>
      </c>
      <c r="X208" s="5" t="s">
        <v>922</v>
      </c>
      <c r="Y208" s="5" t="s">
        <v>812</v>
      </c>
      <c r="Z208" s="5" t="str">
        <f t="shared" si="6"/>
        <v>Medium</v>
      </c>
      <c r="AA208" s="5" t="s">
        <v>956</v>
      </c>
      <c r="AB208" s="6" t="s">
        <v>924</v>
      </c>
      <c r="AC208" s="6" t="s">
        <v>103</v>
      </c>
      <c r="AD208" s="5" t="s">
        <v>940</v>
      </c>
      <c r="AE208" s="5" t="s">
        <v>354</v>
      </c>
      <c r="AF208" s="5" t="s">
        <v>354</v>
      </c>
      <c r="AG208" s="5" t="s">
        <v>354</v>
      </c>
      <c r="AH208" s="5" t="s">
        <v>354</v>
      </c>
      <c r="AI208" s="6" t="str">
        <f t="shared" si="7"/>
        <v>No</v>
      </c>
      <c r="AJ208" s="6" t="s">
        <v>941</v>
      </c>
      <c r="AK208" s="6" t="s">
        <v>121</v>
      </c>
      <c r="AL208" s="6">
        <f>MATCH(AA208,{"Low","Medium","High"},0)*MATCH(AB208,{"Low","Medium","High"},0)*INDEX({3,2,2,1,1},MATCH(X208,{"Core","Vertical extension","Differentiator","Future","Adjacent"},0))</f>
        <v>6</v>
      </c>
      <c r="AM208" s="5"/>
      <c r="AN208" s="5"/>
      <c r="AO208" s="5"/>
      <c r="AP208" s="5"/>
      <c r="AQ208" s="5"/>
      <c r="AR208" s="5"/>
      <c r="AS208" s="5"/>
      <c r="AT208" s="5"/>
      <c r="AU208" s="6" t="s">
        <v>927</v>
      </c>
      <c r="AV208" s="6" t="s">
        <v>55</v>
      </c>
      <c r="AW208" s="6" t="s">
        <v>55</v>
      </c>
      <c r="AX208" s="6" t="s">
        <v>929</v>
      </c>
      <c r="AY208" s="6" t="s">
        <v>930</v>
      </c>
      <c r="AZ208" s="6"/>
      <c r="BA208" s="6" t="s">
        <v>2232</v>
      </c>
      <c r="BB208" s="6" t="s">
        <v>2233</v>
      </c>
      <c r="BC208" s="6" t="s">
        <v>97</v>
      </c>
      <c r="BD208" s="6" t="s">
        <v>97</v>
      </c>
    </row>
    <row r="209" spans="1:56" ht="32" customHeight="1" x14ac:dyDescent="0.35">
      <c r="A209" s="13" t="s">
        <v>2234</v>
      </c>
      <c r="B209" s="6" t="s">
        <v>2114</v>
      </c>
      <c r="C209" s="5" t="s">
        <v>2115</v>
      </c>
      <c r="D209" s="5" t="s">
        <v>833</v>
      </c>
      <c r="E209" s="5" t="s">
        <v>2235</v>
      </c>
      <c r="F209" s="5" t="s">
        <v>2236</v>
      </c>
      <c r="G209" s="5" t="s">
        <v>1049</v>
      </c>
      <c r="H209" s="5" t="s">
        <v>2237</v>
      </c>
      <c r="I209" s="5" t="s">
        <v>2238</v>
      </c>
      <c r="J209" s="17" t="s">
        <v>121</v>
      </c>
      <c r="K209" s="17" t="s">
        <v>181</v>
      </c>
      <c r="L209" s="5" t="s">
        <v>2239</v>
      </c>
      <c r="M209" s="6" t="s">
        <v>197</v>
      </c>
      <c r="N209" s="6" t="s">
        <v>812</v>
      </c>
      <c r="O209" s="6" t="s">
        <v>121</v>
      </c>
      <c r="P209" s="5" t="s">
        <v>999</v>
      </c>
      <c r="Q209" s="17" t="s">
        <v>182</v>
      </c>
      <c r="R209" s="5" t="s">
        <v>999</v>
      </c>
      <c r="S209" s="6" t="s">
        <v>919</v>
      </c>
      <c r="T209" s="5" t="s">
        <v>920</v>
      </c>
      <c r="U209" s="6"/>
      <c r="V209" s="6" t="s">
        <v>921</v>
      </c>
      <c r="W209" s="6" t="s">
        <v>331</v>
      </c>
      <c r="X209" s="5" t="s">
        <v>922</v>
      </c>
      <c r="Y209" s="5" t="s">
        <v>812</v>
      </c>
      <c r="Z209" s="5" t="str">
        <f t="shared" si="6"/>
        <v>Medium</v>
      </c>
      <c r="AA209" s="5" t="s">
        <v>956</v>
      </c>
      <c r="AB209" s="6" t="s">
        <v>924</v>
      </c>
      <c r="AC209" s="6" t="s">
        <v>103</v>
      </c>
      <c r="AD209" s="5" t="s">
        <v>925</v>
      </c>
      <c r="AE209" s="5" t="s">
        <v>354</v>
      </c>
      <c r="AF209" s="5" t="s">
        <v>354</v>
      </c>
      <c r="AG209" s="5" t="s">
        <v>354</v>
      </c>
      <c r="AH209" s="5" t="s">
        <v>354</v>
      </c>
      <c r="AI209" s="6" t="str">
        <f t="shared" si="7"/>
        <v>No</v>
      </c>
      <c r="AJ209" s="6" t="s">
        <v>926</v>
      </c>
      <c r="AK209" s="6" t="s">
        <v>121</v>
      </c>
      <c r="AL209" s="6">
        <f>MATCH(AA209,{"Low","Medium","High"},0)*MATCH(AB209,{"Low","Medium","High"},0)*INDEX({3,2,2,1,1},MATCH(X209,{"Core","Vertical extension","Differentiator","Future","Adjacent"},0))</f>
        <v>6</v>
      </c>
      <c r="AM209" s="5"/>
      <c r="AN209" s="5"/>
      <c r="AO209" s="5"/>
      <c r="AP209" s="5"/>
      <c r="AQ209" s="5"/>
      <c r="AR209" s="5"/>
      <c r="AS209" s="5"/>
      <c r="AT209" s="5"/>
      <c r="AU209" s="6" t="s">
        <v>927</v>
      </c>
      <c r="AV209" s="6" t="s">
        <v>2161</v>
      </c>
      <c r="AW209" s="6" t="s">
        <v>2161</v>
      </c>
      <c r="AX209" s="6" t="s">
        <v>1003</v>
      </c>
      <c r="AY209" s="6" t="s">
        <v>930</v>
      </c>
      <c r="AZ209" s="6"/>
      <c r="BA209" s="6"/>
      <c r="BB209" s="6"/>
      <c r="BC209" s="6" t="s">
        <v>97</v>
      </c>
      <c r="BD209" s="6" t="s">
        <v>97</v>
      </c>
    </row>
    <row r="210" spans="1:56" ht="32" customHeight="1" x14ac:dyDescent="0.35">
      <c r="A210" s="13" t="s">
        <v>2240</v>
      </c>
      <c r="B210" s="6" t="s">
        <v>2114</v>
      </c>
      <c r="C210" s="5" t="s">
        <v>2115</v>
      </c>
      <c r="D210" s="5" t="s">
        <v>833</v>
      </c>
      <c r="E210" s="5" t="s">
        <v>2241</v>
      </c>
      <c r="F210" s="5" t="s">
        <v>2242</v>
      </c>
      <c r="G210" s="5" t="s">
        <v>1017</v>
      </c>
      <c r="H210" s="5" t="s">
        <v>2243</v>
      </c>
      <c r="I210" s="5" t="s">
        <v>2244</v>
      </c>
      <c r="J210" s="17" t="s">
        <v>121</v>
      </c>
      <c r="K210" s="17" t="s">
        <v>181</v>
      </c>
      <c r="L210" s="5" t="s">
        <v>2245</v>
      </c>
      <c r="M210" s="6" t="s">
        <v>197</v>
      </c>
      <c r="N210" s="6" t="s">
        <v>812</v>
      </c>
      <c r="O210" s="6" t="s">
        <v>121</v>
      </c>
      <c r="P210" s="5" t="s">
        <v>918</v>
      </c>
      <c r="Q210" s="17" t="s">
        <v>182</v>
      </c>
      <c r="R210" s="5"/>
      <c r="S210" s="6" t="s">
        <v>919</v>
      </c>
      <c r="T210" s="5" t="s">
        <v>920</v>
      </c>
      <c r="U210" s="6"/>
      <c r="V210" s="6" t="s">
        <v>921</v>
      </c>
      <c r="W210" s="6" t="s">
        <v>331</v>
      </c>
      <c r="X210" s="5" t="s">
        <v>922</v>
      </c>
      <c r="Y210" s="5" t="s">
        <v>812</v>
      </c>
      <c r="Z210" s="5" t="str">
        <f t="shared" si="6"/>
        <v>Medium</v>
      </c>
      <c r="AA210" s="5" t="s">
        <v>956</v>
      </c>
      <c r="AB210" s="6" t="s">
        <v>924</v>
      </c>
      <c r="AC210" s="6" t="s">
        <v>103</v>
      </c>
      <c r="AD210" s="5" t="s">
        <v>925</v>
      </c>
      <c r="AE210" s="5" t="s">
        <v>354</v>
      </c>
      <c r="AF210" s="5" t="s">
        <v>354</v>
      </c>
      <c r="AG210" s="5" t="s">
        <v>354</v>
      </c>
      <c r="AH210" s="5" t="s">
        <v>354</v>
      </c>
      <c r="AI210" s="6" t="str">
        <f t="shared" si="7"/>
        <v>No</v>
      </c>
      <c r="AJ210" s="6" t="s">
        <v>926</v>
      </c>
      <c r="AK210" s="6" t="s">
        <v>121</v>
      </c>
      <c r="AL210" s="6">
        <f>MATCH(AA210,{"Low","Medium","High"},0)*MATCH(AB210,{"Low","Medium","High"},0)*INDEX({3,2,2,1,1},MATCH(X210,{"Core","Vertical extension","Differentiator","Future","Adjacent"},0))</f>
        <v>6</v>
      </c>
      <c r="AM210" s="5"/>
      <c r="AN210" s="5"/>
      <c r="AO210" s="5"/>
      <c r="AP210" s="5"/>
      <c r="AQ210" s="5"/>
      <c r="AR210" s="5"/>
      <c r="AS210" s="5"/>
      <c r="AT210" s="5"/>
      <c r="AU210" s="6" t="s">
        <v>927</v>
      </c>
      <c r="AV210" s="6" t="s">
        <v>55</v>
      </c>
      <c r="AW210" s="6" t="s">
        <v>55</v>
      </c>
      <c r="AX210" s="6" t="s">
        <v>929</v>
      </c>
      <c r="AY210" s="6" t="s">
        <v>930</v>
      </c>
      <c r="AZ210" s="6"/>
      <c r="BA210" s="6"/>
      <c r="BB210" s="6"/>
      <c r="BC210" s="6" t="s">
        <v>97</v>
      </c>
      <c r="BD210" s="6" t="s">
        <v>97</v>
      </c>
    </row>
    <row r="211" spans="1:56" ht="32" customHeight="1" x14ac:dyDescent="0.35">
      <c r="A211" s="13" t="s">
        <v>2246</v>
      </c>
      <c r="B211" s="6" t="s">
        <v>2114</v>
      </c>
      <c r="C211" s="5" t="s">
        <v>2115</v>
      </c>
      <c r="D211" s="5" t="s">
        <v>833</v>
      </c>
      <c r="E211" s="5" t="s">
        <v>2247</v>
      </c>
      <c r="F211" s="5" t="s">
        <v>1452</v>
      </c>
      <c r="G211" s="5" t="s">
        <v>2094</v>
      </c>
      <c r="H211" s="5" t="s">
        <v>2248</v>
      </c>
      <c r="I211" s="5" t="s">
        <v>2249</v>
      </c>
      <c r="J211" s="17" t="s">
        <v>121</v>
      </c>
      <c r="K211" s="17" t="s">
        <v>181</v>
      </c>
      <c r="L211" s="5" t="s">
        <v>2250</v>
      </c>
      <c r="M211" s="6" t="s">
        <v>197</v>
      </c>
      <c r="N211" s="6" t="s">
        <v>812</v>
      </c>
      <c r="O211" s="6" t="s">
        <v>121</v>
      </c>
      <c r="P211" s="5" t="s">
        <v>918</v>
      </c>
      <c r="Q211" s="17" t="s">
        <v>182</v>
      </c>
      <c r="R211" s="5"/>
      <c r="S211" s="6" t="s">
        <v>919</v>
      </c>
      <c r="T211" s="5" t="s">
        <v>920</v>
      </c>
      <c r="U211" s="6"/>
      <c r="V211" s="6" t="s">
        <v>921</v>
      </c>
      <c r="W211" s="6" t="s">
        <v>331</v>
      </c>
      <c r="X211" s="5" t="s">
        <v>922</v>
      </c>
      <c r="Y211" s="5" t="s">
        <v>812</v>
      </c>
      <c r="Z211" s="5" t="str">
        <f t="shared" si="6"/>
        <v>Medium</v>
      </c>
      <c r="AA211" s="5" t="s">
        <v>956</v>
      </c>
      <c r="AB211" s="6" t="s">
        <v>924</v>
      </c>
      <c r="AC211" s="6" t="s">
        <v>103</v>
      </c>
      <c r="AD211" s="5" t="s">
        <v>925</v>
      </c>
      <c r="AE211" s="5" t="s">
        <v>354</v>
      </c>
      <c r="AF211" s="5" t="s">
        <v>354</v>
      </c>
      <c r="AG211" s="5" t="s">
        <v>354</v>
      </c>
      <c r="AH211" s="5" t="s">
        <v>354</v>
      </c>
      <c r="AI211" s="6" t="str">
        <f t="shared" si="7"/>
        <v>No</v>
      </c>
      <c r="AJ211" s="6" t="s">
        <v>926</v>
      </c>
      <c r="AK211" s="6" t="s">
        <v>121</v>
      </c>
      <c r="AL211" s="6">
        <f>MATCH(AA211,{"Low","Medium","High"},0)*MATCH(AB211,{"Low","Medium","High"},0)*INDEX({3,2,2,1,1},MATCH(X211,{"Core","Vertical extension","Differentiator","Future","Adjacent"},0))</f>
        <v>6</v>
      </c>
      <c r="AM211" s="5"/>
      <c r="AN211" s="5"/>
      <c r="AO211" s="5"/>
      <c r="AP211" s="5"/>
      <c r="AQ211" s="5"/>
      <c r="AR211" s="5"/>
      <c r="AS211" s="5"/>
      <c r="AT211" s="5"/>
      <c r="AU211" s="6" t="s">
        <v>927</v>
      </c>
      <c r="AV211" s="6" t="s">
        <v>55</v>
      </c>
      <c r="AW211" s="6" t="s">
        <v>55</v>
      </c>
      <c r="AX211" s="6" t="s">
        <v>929</v>
      </c>
      <c r="AY211" s="6" t="s">
        <v>930</v>
      </c>
      <c r="AZ211" s="6"/>
      <c r="BA211" s="6"/>
      <c r="BB211" s="6"/>
      <c r="BC211" s="6" t="s">
        <v>97</v>
      </c>
      <c r="BD211" s="6" t="s">
        <v>97</v>
      </c>
    </row>
    <row r="212" spans="1:56" ht="32" customHeight="1" x14ac:dyDescent="0.35">
      <c r="A212" s="13" t="s">
        <v>2251</v>
      </c>
      <c r="B212" s="6" t="s">
        <v>2114</v>
      </c>
      <c r="C212" s="5" t="s">
        <v>2115</v>
      </c>
      <c r="D212" s="5" t="s">
        <v>835</v>
      </c>
      <c r="E212" s="5" t="s">
        <v>2252</v>
      </c>
      <c r="F212" s="5" t="s">
        <v>1344</v>
      </c>
      <c r="G212" s="5" t="s">
        <v>1101</v>
      </c>
      <c r="H212" s="5" t="s">
        <v>2253</v>
      </c>
      <c r="I212" s="5" t="s">
        <v>2254</v>
      </c>
      <c r="J212" s="17" t="s">
        <v>121</v>
      </c>
      <c r="K212" s="17" t="s">
        <v>181</v>
      </c>
      <c r="L212" s="5" t="s">
        <v>2255</v>
      </c>
      <c r="M212" s="6" t="s">
        <v>197</v>
      </c>
      <c r="N212" s="6" t="s">
        <v>812</v>
      </c>
      <c r="O212" s="6" t="s">
        <v>121</v>
      </c>
      <c r="P212" s="5" t="s">
        <v>918</v>
      </c>
      <c r="Q212" s="17" t="s">
        <v>182</v>
      </c>
      <c r="R212" s="5"/>
      <c r="S212" s="6" t="s">
        <v>1076</v>
      </c>
      <c r="T212" s="5" t="s">
        <v>1077</v>
      </c>
      <c r="U212" s="6"/>
      <c r="V212" s="6" t="s">
        <v>1078</v>
      </c>
      <c r="W212" s="6" t="s">
        <v>331</v>
      </c>
      <c r="X212" s="5" t="s">
        <v>922</v>
      </c>
      <c r="Y212" s="5" t="s">
        <v>812</v>
      </c>
      <c r="Z212" s="5" t="str">
        <f t="shared" si="6"/>
        <v>Medium</v>
      </c>
      <c r="AA212" s="5" t="s">
        <v>956</v>
      </c>
      <c r="AB212" s="6" t="s">
        <v>924</v>
      </c>
      <c r="AC212" s="6" t="s">
        <v>103</v>
      </c>
      <c r="AD212" s="5" t="s">
        <v>925</v>
      </c>
      <c r="AE212" s="5" t="s">
        <v>354</v>
      </c>
      <c r="AF212" s="5" t="s">
        <v>354</v>
      </c>
      <c r="AG212" s="5" t="s">
        <v>354</v>
      </c>
      <c r="AH212" s="5" t="s">
        <v>354</v>
      </c>
      <c r="AI212" s="6" t="str">
        <f t="shared" si="7"/>
        <v>No</v>
      </c>
      <c r="AJ212" s="6" t="s">
        <v>926</v>
      </c>
      <c r="AK212" s="6" t="s">
        <v>121</v>
      </c>
      <c r="AL212" s="6">
        <f>MATCH(AA212,{"Low","Medium","High"},0)*MATCH(AB212,{"Low","Medium","High"},0)*INDEX({3,2,2,1,1},MATCH(X212,{"Core","Vertical extension","Differentiator","Future","Adjacent"},0))</f>
        <v>6</v>
      </c>
      <c r="AM212" s="5"/>
      <c r="AN212" s="5"/>
      <c r="AO212" s="5"/>
      <c r="AP212" s="5"/>
      <c r="AQ212" s="5"/>
      <c r="AR212" s="5"/>
      <c r="AS212" s="5"/>
      <c r="AT212" s="5"/>
      <c r="AU212" s="6" t="s">
        <v>927</v>
      </c>
      <c r="AV212" s="6" t="s">
        <v>1344</v>
      </c>
      <c r="AW212" s="6" t="s">
        <v>1344</v>
      </c>
      <c r="AX212" s="6" t="s">
        <v>929</v>
      </c>
      <c r="AY212" s="6" t="s">
        <v>930</v>
      </c>
      <c r="AZ212" s="6"/>
      <c r="BA212" s="6" t="s">
        <v>1831</v>
      </c>
      <c r="BB212" s="6" t="s">
        <v>1832</v>
      </c>
      <c r="BC212" s="6" t="s">
        <v>97</v>
      </c>
      <c r="BD212" s="6" t="s">
        <v>97</v>
      </c>
    </row>
    <row r="213" spans="1:56" ht="32" customHeight="1" x14ac:dyDescent="0.35">
      <c r="A213" s="13" t="s">
        <v>2256</v>
      </c>
      <c r="B213" s="6" t="s">
        <v>2114</v>
      </c>
      <c r="C213" s="5" t="s">
        <v>2115</v>
      </c>
      <c r="D213" s="5" t="s">
        <v>835</v>
      </c>
      <c r="E213" s="5" t="s">
        <v>2257</v>
      </c>
      <c r="F213" s="5" t="s">
        <v>1344</v>
      </c>
      <c r="G213" s="5" t="s">
        <v>1101</v>
      </c>
      <c r="H213" s="5" t="s">
        <v>2258</v>
      </c>
      <c r="I213" s="5" t="s">
        <v>2259</v>
      </c>
      <c r="J213" s="17" t="s">
        <v>121</v>
      </c>
      <c r="K213" s="17" t="s">
        <v>181</v>
      </c>
      <c r="L213" s="5" t="s">
        <v>2260</v>
      </c>
      <c r="M213" s="6" t="s">
        <v>197</v>
      </c>
      <c r="N213" s="6" t="s">
        <v>812</v>
      </c>
      <c r="O213" s="6" t="s">
        <v>121</v>
      </c>
      <c r="P213" s="5" t="s">
        <v>918</v>
      </c>
      <c r="Q213" s="18" t="s">
        <v>186</v>
      </c>
      <c r="R213" s="5" t="s">
        <v>1021</v>
      </c>
      <c r="S213" s="6" t="s">
        <v>1076</v>
      </c>
      <c r="T213" s="5" t="s">
        <v>1077</v>
      </c>
      <c r="U213" s="6"/>
      <c r="V213" s="6" t="s">
        <v>1078</v>
      </c>
      <c r="W213" s="6" t="s">
        <v>331</v>
      </c>
      <c r="X213" s="5" t="s">
        <v>922</v>
      </c>
      <c r="Y213" s="5" t="s">
        <v>812</v>
      </c>
      <c r="Z213" s="5" t="str">
        <f t="shared" si="6"/>
        <v>Medium</v>
      </c>
      <c r="AA213" s="5" t="s">
        <v>956</v>
      </c>
      <c r="AB213" s="6" t="s">
        <v>924</v>
      </c>
      <c r="AC213" s="6" t="s">
        <v>103</v>
      </c>
      <c r="AD213" s="5" t="s">
        <v>940</v>
      </c>
      <c r="AE213" s="5" t="s">
        <v>354</v>
      </c>
      <c r="AF213" s="5" t="s">
        <v>354</v>
      </c>
      <c r="AG213" s="5" t="s">
        <v>354</v>
      </c>
      <c r="AH213" s="5" t="s">
        <v>354</v>
      </c>
      <c r="AI213" s="6" t="str">
        <f t="shared" si="7"/>
        <v>No</v>
      </c>
      <c r="AJ213" s="6" t="s">
        <v>941</v>
      </c>
      <c r="AK213" s="6" t="s">
        <v>121</v>
      </c>
      <c r="AL213" s="6">
        <f>MATCH(AA213,{"Low","Medium","High"},0)*MATCH(AB213,{"Low","Medium","High"},0)*INDEX({3,2,2,1,1},MATCH(X213,{"Core","Vertical extension","Differentiator","Future","Adjacent"},0))</f>
        <v>6</v>
      </c>
      <c r="AM213" s="5"/>
      <c r="AN213" s="5"/>
      <c r="AO213" s="5"/>
      <c r="AP213" s="5"/>
      <c r="AQ213" s="5"/>
      <c r="AR213" s="5"/>
      <c r="AS213" s="5"/>
      <c r="AT213" s="5"/>
      <c r="AU213" s="6" t="s">
        <v>927</v>
      </c>
      <c r="AV213" s="6" t="s">
        <v>1344</v>
      </c>
      <c r="AW213" s="6" t="s">
        <v>1344</v>
      </c>
      <c r="AX213" s="6" t="s">
        <v>929</v>
      </c>
      <c r="AY213" s="6" t="s">
        <v>930</v>
      </c>
      <c r="AZ213" s="6"/>
      <c r="BA213" s="6"/>
      <c r="BB213" s="6"/>
      <c r="BC213" s="6" t="s">
        <v>97</v>
      </c>
      <c r="BD213" s="6" t="s">
        <v>97</v>
      </c>
    </row>
    <row r="214" spans="1:56" ht="32" customHeight="1" x14ac:dyDescent="0.35">
      <c r="A214" s="13" t="s">
        <v>2261</v>
      </c>
      <c r="B214" s="6" t="s">
        <v>2114</v>
      </c>
      <c r="C214" s="5" t="s">
        <v>2115</v>
      </c>
      <c r="D214" s="5" t="s">
        <v>835</v>
      </c>
      <c r="E214" s="5" t="s">
        <v>2262</v>
      </c>
      <c r="F214" s="5" t="s">
        <v>1344</v>
      </c>
      <c r="G214" s="5" t="s">
        <v>1101</v>
      </c>
      <c r="H214" s="5" t="s">
        <v>2263</v>
      </c>
      <c r="I214" s="5" t="s">
        <v>2264</v>
      </c>
      <c r="J214" s="17" t="s">
        <v>121</v>
      </c>
      <c r="K214" s="17" t="s">
        <v>181</v>
      </c>
      <c r="L214" s="5" t="s">
        <v>2265</v>
      </c>
      <c r="M214" s="6" t="s">
        <v>197</v>
      </c>
      <c r="N214" s="6" t="s">
        <v>812</v>
      </c>
      <c r="O214" s="6" t="s">
        <v>121</v>
      </c>
      <c r="P214" s="5" t="s">
        <v>918</v>
      </c>
      <c r="Q214" s="17" t="s">
        <v>182</v>
      </c>
      <c r="R214" s="5"/>
      <c r="S214" s="6" t="s">
        <v>1076</v>
      </c>
      <c r="T214" s="5" t="s">
        <v>1077</v>
      </c>
      <c r="U214" s="6"/>
      <c r="V214" s="6" t="s">
        <v>1078</v>
      </c>
      <c r="W214" s="6" t="s">
        <v>331</v>
      </c>
      <c r="X214" s="5" t="s">
        <v>922</v>
      </c>
      <c r="Y214" s="5" t="s">
        <v>812</v>
      </c>
      <c r="Z214" s="5" t="str">
        <f t="shared" si="6"/>
        <v>Medium</v>
      </c>
      <c r="AA214" s="5" t="s">
        <v>956</v>
      </c>
      <c r="AB214" s="6" t="s">
        <v>924</v>
      </c>
      <c r="AC214" s="6" t="s">
        <v>103</v>
      </c>
      <c r="AD214" s="5" t="s">
        <v>925</v>
      </c>
      <c r="AE214" s="5" t="s">
        <v>354</v>
      </c>
      <c r="AF214" s="5" t="s">
        <v>354</v>
      </c>
      <c r="AG214" s="5" t="s">
        <v>354</v>
      </c>
      <c r="AH214" s="5" t="s">
        <v>354</v>
      </c>
      <c r="AI214" s="6" t="str">
        <f t="shared" si="7"/>
        <v>No</v>
      </c>
      <c r="AJ214" s="6" t="s">
        <v>926</v>
      </c>
      <c r="AK214" s="6" t="s">
        <v>121</v>
      </c>
      <c r="AL214" s="6">
        <f>MATCH(AA214,{"Low","Medium","High"},0)*MATCH(AB214,{"Low","Medium","High"},0)*INDEX({3,2,2,1,1},MATCH(X214,{"Core","Vertical extension","Differentiator","Future","Adjacent"},0))</f>
        <v>6</v>
      </c>
      <c r="AM214" s="5"/>
      <c r="AN214" s="5"/>
      <c r="AO214" s="5"/>
      <c r="AP214" s="5"/>
      <c r="AQ214" s="5"/>
      <c r="AR214" s="5"/>
      <c r="AS214" s="5"/>
      <c r="AT214" s="5"/>
      <c r="AU214" s="6" t="s">
        <v>927</v>
      </c>
      <c r="AV214" s="6" t="s">
        <v>1344</v>
      </c>
      <c r="AW214" s="6" t="s">
        <v>1344</v>
      </c>
      <c r="AX214" s="6" t="s">
        <v>929</v>
      </c>
      <c r="AY214" s="6" t="s">
        <v>930</v>
      </c>
      <c r="AZ214" s="6"/>
      <c r="BA214" s="6"/>
      <c r="BB214" s="6"/>
      <c r="BC214" s="6" t="s">
        <v>97</v>
      </c>
      <c r="BD214" s="6" t="s">
        <v>97</v>
      </c>
    </row>
    <row r="215" spans="1:56" ht="32" customHeight="1" x14ac:dyDescent="0.35">
      <c r="A215" s="13" t="s">
        <v>2266</v>
      </c>
      <c r="B215" s="6" t="s">
        <v>2114</v>
      </c>
      <c r="C215" s="5" t="s">
        <v>2115</v>
      </c>
      <c r="D215" s="5" t="s">
        <v>835</v>
      </c>
      <c r="E215" s="5" t="s">
        <v>2267</v>
      </c>
      <c r="F215" s="5" t="s">
        <v>1353</v>
      </c>
      <c r="G215" s="5" t="s">
        <v>2268</v>
      </c>
      <c r="H215" s="5" t="s">
        <v>2269</v>
      </c>
      <c r="I215" s="5" t="s">
        <v>2270</v>
      </c>
      <c r="J215" s="17" t="s">
        <v>121</v>
      </c>
      <c r="K215" s="17" t="s">
        <v>181</v>
      </c>
      <c r="L215" s="5" t="s">
        <v>2271</v>
      </c>
      <c r="M215" s="6" t="s">
        <v>197</v>
      </c>
      <c r="N215" s="6" t="s">
        <v>812</v>
      </c>
      <c r="O215" s="6" t="s">
        <v>121</v>
      </c>
      <c r="P215" s="5" t="s">
        <v>918</v>
      </c>
      <c r="Q215" s="17" t="s">
        <v>182</v>
      </c>
      <c r="R215" s="5"/>
      <c r="S215" s="6" t="s">
        <v>1076</v>
      </c>
      <c r="T215" s="5" t="s">
        <v>1077</v>
      </c>
      <c r="U215" s="6"/>
      <c r="V215" s="6" t="s">
        <v>1078</v>
      </c>
      <c r="W215" s="6" t="s">
        <v>331</v>
      </c>
      <c r="X215" s="5" t="s">
        <v>922</v>
      </c>
      <c r="Y215" s="5" t="s">
        <v>812</v>
      </c>
      <c r="Z215" s="5" t="str">
        <f t="shared" si="6"/>
        <v>Medium</v>
      </c>
      <c r="AA215" s="5" t="s">
        <v>956</v>
      </c>
      <c r="AB215" s="6" t="s">
        <v>924</v>
      </c>
      <c r="AC215" s="6" t="s">
        <v>103</v>
      </c>
      <c r="AD215" s="5" t="s">
        <v>925</v>
      </c>
      <c r="AE215" s="5" t="s">
        <v>354</v>
      </c>
      <c r="AF215" s="5" t="s">
        <v>354</v>
      </c>
      <c r="AG215" s="5" t="s">
        <v>354</v>
      </c>
      <c r="AH215" s="5" t="s">
        <v>354</v>
      </c>
      <c r="AI215" s="6" t="str">
        <f t="shared" si="7"/>
        <v>No</v>
      </c>
      <c r="AJ215" s="6" t="s">
        <v>926</v>
      </c>
      <c r="AK215" s="6" t="s">
        <v>121</v>
      </c>
      <c r="AL215" s="6">
        <f>MATCH(AA215,{"Low","Medium","High"},0)*MATCH(AB215,{"Low","Medium","High"},0)*INDEX({3,2,2,1,1},MATCH(X215,{"Core","Vertical extension","Differentiator","Future","Adjacent"},0))</f>
        <v>6</v>
      </c>
      <c r="AM215" s="5"/>
      <c r="AN215" s="5"/>
      <c r="AO215" s="5"/>
      <c r="AP215" s="5"/>
      <c r="AQ215" s="5"/>
      <c r="AR215" s="5"/>
      <c r="AS215" s="5"/>
      <c r="AT215" s="5"/>
      <c r="AU215" s="6" t="s">
        <v>927</v>
      </c>
      <c r="AV215" s="6" t="s">
        <v>1306</v>
      </c>
      <c r="AW215" s="6" t="s">
        <v>1306</v>
      </c>
      <c r="AX215" s="6" t="s">
        <v>929</v>
      </c>
      <c r="AY215" s="6" t="s">
        <v>930</v>
      </c>
      <c r="AZ215" s="6"/>
      <c r="BA215" s="6"/>
      <c r="BB215" s="6"/>
      <c r="BC215" s="6" t="s">
        <v>97</v>
      </c>
      <c r="BD215" s="6" t="s">
        <v>97</v>
      </c>
    </row>
    <row r="216" spans="1:56" ht="32" customHeight="1" x14ac:dyDescent="0.35">
      <c r="A216" s="13" t="s">
        <v>2272</v>
      </c>
      <c r="B216" s="6" t="s">
        <v>2114</v>
      </c>
      <c r="C216" s="5" t="s">
        <v>2115</v>
      </c>
      <c r="D216" s="5" t="s">
        <v>835</v>
      </c>
      <c r="E216" s="5" t="s">
        <v>2273</v>
      </c>
      <c r="F216" s="5" t="s">
        <v>1400</v>
      </c>
      <c r="G216" s="5" t="s">
        <v>2274</v>
      </c>
      <c r="H216" s="5" t="s">
        <v>2275</v>
      </c>
      <c r="I216" s="5" t="s">
        <v>2276</v>
      </c>
      <c r="J216" s="17" t="s">
        <v>121</v>
      </c>
      <c r="K216" s="17" t="s">
        <v>181</v>
      </c>
      <c r="L216" s="5" t="s">
        <v>2277</v>
      </c>
      <c r="M216" s="6" t="s">
        <v>197</v>
      </c>
      <c r="N216" s="6" t="s">
        <v>812</v>
      </c>
      <c r="O216" s="6" t="s">
        <v>121</v>
      </c>
      <c r="P216" s="5" t="s">
        <v>918</v>
      </c>
      <c r="Q216" s="17" t="s">
        <v>182</v>
      </c>
      <c r="R216" s="5"/>
      <c r="S216" s="6" t="s">
        <v>1076</v>
      </c>
      <c r="T216" s="5" t="s">
        <v>1077</v>
      </c>
      <c r="U216" s="6"/>
      <c r="V216" s="6" t="s">
        <v>1078</v>
      </c>
      <c r="W216" s="6" t="s">
        <v>331</v>
      </c>
      <c r="X216" s="5" t="s">
        <v>922</v>
      </c>
      <c r="Y216" s="5" t="s">
        <v>812</v>
      </c>
      <c r="Z216" s="5" t="str">
        <f t="shared" si="6"/>
        <v>Medium</v>
      </c>
      <c r="AA216" s="5" t="s">
        <v>956</v>
      </c>
      <c r="AB216" s="6" t="s">
        <v>924</v>
      </c>
      <c r="AC216" s="6" t="s">
        <v>103</v>
      </c>
      <c r="AD216" s="5" t="s">
        <v>925</v>
      </c>
      <c r="AE216" s="5" t="s">
        <v>354</v>
      </c>
      <c r="AF216" s="5" t="s">
        <v>354</v>
      </c>
      <c r="AG216" s="5" t="s">
        <v>354</v>
      </c>
      <c r="AH216" s="5" t="s">
        <v>354</v>
      </c>
      <c r="AI216" s="6" t="str">
        <f t="shared" si="7"/>
        <v>No</v>
      </c>
      <c r="AJ216" s="6" t="s">
        <v>926</v>
      </c>
      <c r="AK216" s="6" t="s">
        <v>121</v>
      </c>
      <c r="AL216" s="6">
        <f>MATCH(AA216,{"Low","Medium","High"},0)*MATCH(AB216,{"Low","Medium","High"},0)*INDEX({3,2,2,1,1},MATCH(X216,{"Core","Vertical extension","Differentiator","Future","Adjacent"},0))</f>
        <v>6</v>
      </c>
      <c r="AM216" s="5"/>
      <c r="AN216" s="5"/>
      <c r="AO216" s="5"/>
      <c r="AP216" s="5"/>
      <c r="AQ216" s="5"/>
      <c r="AR216" s="5"/>
      <c r="AS216" s="5"/>
      <c r="AT216" s="5"/>
      <c r="AU216" s="6" t="s">
        <v>927</v>
      </c>
      <c r="AV216" s="6" t="s">
        <v>1296</v>
      </c>
      <c r="AW216" s="6" t="s">
        <v>1296</v>
      </c>
      <c r="AX216" s="6" t="s">
        <v>929</v>
      </c>
      <c r="AY216" s="6" t="s">
        <v>930</v>
      </c>
      <c r="AZ216" s="6"/>
      <c r="BA216" s="6"/>
      <c r="BB216" s="6"/>
      <c r="BC216" s="6" t="s">
        <v>97</v>
      </c>
      <c r="BD216" s="6" t="s">
        <v>97</v>
      </c>
    </row>
    <row r="217" spans="1:56" ht="32" customHeight="1" x14ac:dyDescent="0.35">
      <c r="A217" s="13" t="s">
        <v>2278</v>
      </c>
      <c r="B217" s="6" t="s">
        <v>2114</v>
      </c>
      <c r="C217" s="5" t="s">
        <v>2115</v>
      </c>
      <c r="D217" s="5" t="s">
        <v>835</v>
      </c>
      <c r="E217" s="5" t="s">
        <v>2279</v>
      </c>
      <c r="F217" s="5" t="s">
        <v>2280</v>
      </c>
      <c r="G217" s="5" t="s">
        <v>1400</v>
      </c>
      <c r="H217" s="5" t="s">
        <v>2281</v>
      </c>
      <c r="I217" s="5" t="s">
        <v>2282</v>
      </c>
      <c r="J217" s="17" t="s">
        <v>121</v>
      </c>
      <c r="K217" s="17" t="s">
        <v>181</v>
      </c>
      <c r="L217" s="5" t="s">
        <v>2283</v>
      </c>
      <c r="M217" s="6" t="s">
        <v>197</v>
      </c>
      <c r="N217" s="6" t="s">
        <v>812</v>
      </c>
      <c r="O217" s="6" t="s">
        <v>121</v>
      </c>
      <c r="P217" s="5" t="s">
        <v>999</v>
      </c>
      <c r="Q217" s="17" t="s">
        <v>182</v>
      </c>
      <c r="R217" s="5" t="s">
        <v>999</v>
      </c>
      <c r="S217" s="6" t="s">
        <v>1076</v>
      </c>
      <c r="T217" s="5" t="s">
        <v>1077</v>
      </c>
      <c r="U217" s="6"/>
      <c r="V217" s="6" t="s">
        <v>1078</v>
      </c>
      <c r="W217" s="6" t="s">
        <v>331</v>
      </c>
      <c r="X217" s="5" t="s">
        <v>922</v>
      </c>
      <c r="Y217" s="5" t="s">
        <v>812</v>
      </c>
      <c r="Z217" s="5" t="str">
        <f t="shared" si="6"/>
        <v>Medium</v>
      </c>
      <c r="AA217" s="5" t="s">
        <v>956</v>
      </c>
      <c r="AB217" s="6" t="s">
        <v>924</v>
      </c>
      <c r="AC217" s="6" t="s">
        <v>103</v>
      </c>
      <c r="AD217" s="5" t="s">
        <v>925</v>
      </c>
      <c r="AE217" s="5" t="s">
        <v>354</v>
      </c>
      <c r="AF217" s="5" t="s">
        <v>354</v>
      </c>
      <c r="AG217" s="5" t="s">
        <v>354</v>
      </c>
      <c r="AH217" s="5" t="s">
        <v>354</v>
      </c>
      <c r="AI217" s="6" t="str">
        <f t="shared" si="7"/>
        <v>No</v>
      </c>
      <c r="AJ217" s="6" t="s">
        <v>926</v>
      </c>
      <c r="AK217" s="6" t="s">
        <v>121</v>
      </c>
      <c r="AL217" s="6">
        <f>MATCH(AA217,{"Low","Medium","High"},0)*MATCH(AB217,{"Low","Medium","High"},0)*INDEX({3,2,2,1,1},MATCH(X217,{"Core","Vertical extension","Differentiator","Future","Adjacent"},0))</f>
        <v>6</v>
      </c>
      <c r="AM217" s="5"/>
      <c r="AN217" s="5"/>
      <c r="AO217" s="5"/>
      <c r="AP217" s="5"/>
      <c r="AQ217" s="5"/>
      <c r="AR217" s="5"/>
      <c r="AS217" s="5"/>
      <c r="AT217" s="5"/>
      <c r="AU217" s="6" t="s">
        <v>927</v>
      </c>
      <c r="AV217" s="6" t="s">
        <v>2161</v>
      </c>
      <c r="AW217" s="6" t="s">
        <v>2161</v>
      </c>
      <c r="AX217" s="6" t="s">
        <v>1003</v>
      </c>
      <c r="AY217" s="6" t="s">
        <v>930</v>
      </c>
      <c r="AZ217" s="6"/>
      <c r="BA217" s="6" t="s">
        <v>1098</v>
      </c>
      <c r="BB217" s="6" t="s">
        <v>1080</v>
      </c>
      <c r="BC217" s="6" t="s">
        <v>97</v>
      </c>
      <c r="BD217" s="6" t="s">
        <v>97</v>
      </c>
    </row>
    <row r="218" spans="1:56" ht="32" customHeight="1" x14ac:dyDescent="0.35">
      <c r="A218" s="13" t="s">
        <v>2284</v>
      </c>
      <c r="B218" s="6" t="s">
        <v>2114</v>
      </c>
      <c r="C218" s="5" t="s">
        <v>2115</v>
      </c>
      <c r="D218" s="5" t="s">
        <v>835</v>
      </c>
      <c r="E218" s="5" t="s">
        <v>2285</v>
      </c>
      <c r="F218" s="5" t="s">
        <v>1400</v>
      </c>
      <c r="G218" s="5" t="s">
        <v>1101</v>
      </c>
      <c r="H218" s="5" t="s">
        <v>2286</v>
      </c>
      <c r="I218" s="5" t="s">
        <v>2287</v>
      </c>
      <c r="J218" s="17" t="s">
        <v>121</v>
      </c>
      <c r="K218" s="17" t="s">
        <v>181</v>
      </c>
      <c r="L218" s="5" t="s">
        <v>2288</v>
      </c>
      <c r="M218" s="6" t="s">
        <v>197</v>
      </c>
      <c r="N218" s="6" t="s">
        <v>812</v>
      </c>
      <c r="O218" s="6" t="s">
        <v>121</v>
      </c>
      <c r="P218" s="5" t="s">
        <v>918</v>
      </c>
      <c r="Q218" s="17" t="s">
        <v>182</v>
      </c>
      <c r="R218" s="5"/>
      <c r="S218" s="6" t="s">
        <v>1076</v>
      </c>
      <c r="T218" s="5" t="s">
        <v>1077</v>
      </c>
      <c r="U218" s="6"/>
      <c r="V218" s="6" t="s">
        <v>1078</v>
      </c>
      <c r="W218" s="6" t="s">
        <v>331</v>
      </c>
      <c r="X218" s="5" t="s">
        <v>922</v>
      </c>
      <c r="Y218" s="5" t="s">
        <v>812</v>
      </c>
      <c r="Z218" s="5" t="str">
        <f t="shared" si="6"/>
        <v>Medium</v>
      </c>
      <c r="AA218" s="5" t="s">
        <v>956</v>
      </c>
      <c r="AB218" s="6" t="s">
        <v>924</v>
      </c>
      <c r="AC218" s="6" t="s">
        <v>103</v>
      </c>
      <c r="AD218" s="5" t="s">
        <v>925</v>
      </c>
      <c r="AE218" s="5" t="s">
        <v>354</v>
      </c>
      <c r="AF218" s="5" t="s">
        <v>354</v>
      </c>
      <c r="AG218" s="5" t="s">
        <v>354</v>
      </c>
      <c r="AH218" s="5" t="s">
        <v>354</v>
      </c>
      <c r="AI218" s="6" t="str">
        <f t="shared" si="7"/>
        <v>No</v>
      </c>
      <c r="AJ218" s="6" t="s">
        <v>926</v>
      </c>
      <c r="AK218" s="6" t="s">
        <v>121</v>
      </c>
      <c r="AL218" s="6">
        <f>MATCH(AA218,{"Low","Medium","High"},0)*MATCH(AB218,{"Low","Medium","High"},0)*INDEX({3,2,2,1,1},MATCH(X218,{"Core","Vertical extension","Differentiator","Future","Adjacent"},0))</f>
        <v>6</v>
      </c>
      <c r="AM218" s="5"/>
      <c r="AN218" s="5"/>
      <c r="AO218" s="5"/>
      <c r="AP218" s="5"/>
      <c r="AQ218" s="5"/>
      <c r="AR218" s="5"/>
      <c r="AS218" s="5"/>
      <c r="AT218" s="5"/>
      <c r="AU218" s="6" t="s">
        <v>927</v>
      </c>
      <c r="AV218" s="6" t="s">
        <v>1296</v>
      </c>
      <c r="AW218" s="6" t="s">
        <v>1296</v>
      </c>
      <c r="AX218" s="6" t="s">
        <v>929</v>
      </c>
      <c r="AY218" s="6" t="s">
        <v>930</v>
      </c>
      <c r="AZ218" s="6"/>
      <c r="BA218" s="6" t="s">
        <v>2289</v>
      </c>
      <c r="BB218" s="6" t="s">
        <v>1190</v>
      </c>
      <c r="BC218" s="6" t="s">
        <v>97</v>
      </c>
      <c r="BD218" s="6" t="s">
        <v>97</v>
      </c>
    </row>
    <row r="219" spans="1:56" ht="32" customHeight="1" x14ac:dyDescent="0.35">
      <c r="A219" s="13" t="s">
        <v>2290</v>
      </c>
      <c r="B219" s="6" t="s">
        <v>2114</v>
      </c>
      <c r="C219" s="5" t="s">
        <v>2115</v>
      </c>
      <c r="D219" s="5" t="s">
        <v>835</v>
      </c>
      <c r="E219" s="5" t="s">
        <v>2291</v>
      </c>
      <c r="F219" s="5" t="s">
        <v>1400</v>
      </c>
      <c r="G219" s="5" t="s">
        <v>2292</v>
      </c>
      <c r="H219" s="5" t="s">
        <v>2293</v>
      </c>
      <c r="I219" s="5" t="s">
        <v>2294</v>
      </c>
      <c r="J219" s="17" t="s">
        <v>121</v>
      </c>
      <c r="K219" s="17" t="s">
        <v>181</v>
      </c>
      <c r="L219" s="5" t="s">
        <v>2295</v>
      </c>
      <c r="M219" s="6" t="s">
        <v>197</v>
      </c>
      <c r="N219" s="6" t="s">
        <v>812</v>
      </c>
      <c r="O219" s="6" t="s">
        <v>121</v>
      </c>
      <c r="P219" s="5" t="s">
        <v>918</v>
      </c>
      <c r="Q219" s="17" t="s">
        <v>182</v>
      </c>
      <c r="R219" s="5"/>
      <c r="S219" s="6" t="s">
        <v>1076</v>
      </c>
      <c r="T219" s="5" t="s">
        <v>1077</v>
      </c>
      <c r="U219" s="6"/>
      <c r="V219" s="6" t="s">
        <v>1078</v>
      </c>
      <c r="W219" s="6" t="s">
        <v>331</v>
      </c>
      <c r="X219" s="5" t="s">
        <v>922</v>
      </c>
      <c r="Y219" s="5" t="s">
        <v>812</v>
      </c>
      <c r="Z219" s="5" t="str">
        <f t="shared" si="6"/>
        <v>Medium</v>
      </c>
      <c r="AA219" s="5" t="s">
        <v>956</v>
      </c>
      <c r="AB219" s="6" t="s">
        <v>924</v>
      </c>
      <c r="AC219" s="6" t="s">
        <v>103</v>
      </c>
      <c r="AD219" s="5" t="s">
        <v>925</v>
      </c>
      <c r="AE219" s="5" t="s">
        <v>354</v>
      </c>
      <c r="AF219" s="5" t="s">
        <v>354</v>
      </c>
      <c r="AG219" s="5" t="s">
        <v>354</v>
      </c>
      <c r="AH219" s="5" t="s">
        <v>354</v>
      </c>
      <c r="AI219" s="6" t="str">
        <f t="shared" si="7"/>
        <v>No</v>
      </c>
      <c r="AJ219" s="6" t="s">
        <v>926</v>
      </c>
      <c r="AK219" s="6" t="s">
        <v>121</v>
      </c>
      <c r="AL219" s="6">
        <f>MATCH(AA219,{"Low","Medium","High"},0)*MATCH(AB219,{"Low","Medium","High"},0)*INDEX({3,2,2,1,1},MATCH(X219,{"Core","Vertical extension","Differentiator","Future","Adjacent"},0))</f>
        <v>6</v>
      </c>
      <c r="AM219" s="5"/>
      <c r="AN219" s="5"/>
      <c r="AO219" s="5"/>
      <c r="AP219" s="5"/>
      <c r="AQ219" s="5"/>
      <c r="AR219" s="5"/>
      <c r="AS219" s="5"/>
      <c r="AT219" s="5"/>
      <c r="AU219" s="6" t="s">
        <v>927</v>
      </c>
      <c r="AV219" s="6" t="s">
        <v>1296</v>
      </c>
      <c r="AW219" s="6" t="s">
        <v>1296</v>
      </c>
      <c r="AX219" s="6" t="s">
        <v>929</v>
      </c>
      <c r="AY219" s="6" t="s">
        <v>930</v>
      </c>
      <c r="AZ219" s="6"/>
      <c r="BA219" s="6"/>
      <c r="BB219" s="6"/>
      <c r="BC219" s="6" t="s">
        <v>97</v>
      </c>
      <c r="BD219" s="6" t="s">
        <v>97</v>
      </c>
    </row>
    <row r="220" spans="1:56" ht="32" customHeight="1" x14ac:dyDescent="0.35">
      <c r="A220" s="13" t="s">
        <v>2296</v>
      </c>
      <c r="B220" s="6" t="s">
        <v>2114</v>
      </c>
      <c r="C220" s="5" t="s">
        <v>2115</v>
      </c>
      <c r="D220" s="5" t="s">
        <v>835</v>
      </c>
      <c r="E220" s="5" t="s">
        <v>2297</v>
      </c>
      <c r="F220" s="5" t="s">
        <v>2298</v>
      </c>
      <c r="G220" s="5" t="s">
        <v>1344</v>
      </c>
      <c r="H220" s="5" t="s">
        <v>2299</v>
      </c>
      <c r="I220" s="5" t="s">
        <v>2300</v>
      </c>
      <c r="J220" s="17" t="s">
        <v>121</v>
      </c>
      <c r="K220" s="17" t="s">
        <v>181</v>
      </c>
      <c r="L220" s="5" t="s">
        <v>2301</v>
      </c>
      <c r="M220" s="6" t="s">
        <v>197</v>
      </c>
      <c r="N220" s="6" t="s">
        <v>812</v>
      </c>
      <c r="O220" s="6" t="s">
        <v>121</v>
      </c>
      <c r="P220" s="5" t="s">
        <v>918</v>
      </c>
      <c r="Q220" s="17" t="s">
        <v>182</v>
      </c>
      <c r="R220" s="5"/>
      <c r="S220" s="6" t="s">
        <v>1076</v>
      </c>
      <c r="T220" s="5" t="s">
        <v>1077</v>
      </c>
      <c r="U220" s="6"/>
      <c r="V220" s="6" t="s">
        <v>1078</v>
      </c>
      <c r="W220" s="6" t="s">
        <v>331</v>
      </c>
      <c r="X220" s="5" t="s">
        <v>922</v>
      </c>
      <c r="Y220" s="5" t="s">
        <v>812</v>
      </c>
      <c r="Z220" s="5" t="str">
        <f t="shared" si="6"/>
        <v>Medium</v>
      </c>
      <c r="AA220" s="5" t="s">
        <v>956</v>
      </c>
      <c r="AB220" s="6" t="s">
        <v>924</v>
      </c>
      <c r="AC220" s="6" t="s">
        <v>103</v>
      </c>
      <c r="AD220" s="5" t="s">
        <v>925</v>
      </c>
      <c r="AE220" s="5" t="s">
        <v>354</v>
      </c>
      <c r="AF220" s="5" t="s">
        <v>354</v>
      </c>
      <c r="AG220" s="5" t="s">
        <v>354</v>
      </c>
      <c r="AH220" s="5" t="s">
        <v>354</v>
      </c>
      <c r="AI220" s="6" t="str">
        <f t="shared" si="7"/>
        <v>No</v>
      </c>
      <c r="AJ220" s="6" t="s">
        <v>926</v>
      </c>
      <c r="AK220" s="6" t="s">
        <v>121</v>
      </c>
      <c r="AL220" s="6">
        <f>MATCH(AA220,{"Low","Medium","High"},0)*MATCH(AB220,{"Low","Medium","High"},0)*INDEX({3,2,2,1,1},MATCH(X220,{"Core","Vertical extension","Differentiator","Future","Adjacent"},0))</f>
        <v>6</v>
      </c>
      <c r="AM220" s="5"/>
      <c r="AN220" s="5"/>
      <c r="AO220" s="5"/>
      <c r="AP220" s="5"/>
      <c r="AQ220" s="5"/>
      <c r="AR220" s="5"/>
      <c r="AS220" s="5"/>
      <c r="AT220" s="5"/>
      <c r="AU220" s="6" t="s">
        <v>927</v>
      </c>
      <c r="AV220" s="6" t="s">
        <v>2161</v>
      </c>
      <c r="AW220" s="6" t="s">
        <v>2161</v>
      </c>
      <c r="AX220" s="6" t="s">
        <v>929</v>
      </c>
      <c r="AY220" s="6" t="s">
        <v>930</v>
      </c>
      <c r="AZ220" s="6"/>
      <c r="BA220" s="6"/>
      <c r="BB220" s="6"/>
      <c r="BC220" s="6" t="s">
        <v>97</v>
      </c>
      <c r="BD220" s="6" t="s">
        <v>97</v>
      </c>
    </row>
    <row r="221" spans="1:56" ht="32" customHeight="1" x14ac:dyDescent="0.35">
      <c r="A221" s="13" t="s">
        <v>2302</v>
      </c>
      <c r="B221" s="6" t="s">
        <v>2114</v>
      </c>
      <c r="C221" s="5" t="s">
        <v>2115</v>
      </c>
      <c r="D221" s="5" t="s">
        <v>835</v>
      </c>
      <c r="E221" s="5" t="s">
        <v>2303</v>
      </c>
      <c r="F221" s="5" t="s">
        <v>1452</v>
      </c>
      <c r="G221" s="5" t="s">
        <v>1344</v>
      </c>
      <c r="H221" s="5" t="s">
        <v>2304</v>
      </c>
      <c r="I221" s="5" t="s">
        <v>2305</v>
      </c>
      <c r="J221" s="17" t="s">
        <v>121</v>
      </c>
      <c r="K221" s="17" t="s">
        <v>181</v>
      </c>
      <c r="L221" s="5" t="s">
        <v>2306</v>
      </c>
      <c r="M221" s="6" t="s">
        <v>197</v>
      </c>
      <c r="N221" s="6" t="s">
        <v>812</v>
      </c>
      <c r="O221" s="6" t="s">
        <v>121</v>
      </c>
      <c r="P221" s="5" t="s">
        <v>918</v>
      </c>
      <c r="Q221" s="17" t="s">
        <v>182</v>
      </c>
      <c r="R221" s="5"/>
      <c r="S221" s="6" t="s">
        <v>1076</v>
      </c>
      <c r="T221" s="5" t="s">
        <v>1077</v>
      </c>
      <c r="U221" s="6"/>
      <c r="V221" s="6" t="s">
        <v>1078</v>
      </c>
      <c r="W221" s="6" t="s">
        <v>331</v>
      </c>
      <c r="X221" s="5" t="s">
        <v>922</v>
      </c>
      <c r="Y221" s="5" t="s">
        <v>812</v>
      </c>
      <c r="Z221" s="5" t="str">
        <f t="shared" si="6"/>
        <v>Medium</v>
      </c>
      <c r="AA221" s="5" t="s">
        <v>956</v>
      </c>
      <c r="AB221" s="6" t="s">
        <v>924</v>
      </c>
      <c r="AC221" s="6" t="s">
        <v>103</v>
      </c>
      <c r="AD221" s="5" t="s">
        <v>925</v>
      </c>
      <c r="AE221" s="5" t="s">
        <v>354</v>
      </c>
      <c r="AF221" s="5" t="s">
        <v>354</v>
      </c>
      <c r="AG221" s="5" t="s">
        <v>354</v>
      </c>
      <c r="AH221" s="5" t="s">
        <v>354</v>
      </c>
      <c r="AI221" s="6" t="str">
        <f t="shared" si="7"/>
        <v>No</v>
      </c>
      <c r="AJ221" s="6" t="s">
        <v>926</v>
      </c>
      <c r="AK221" s="6" t="s">
        <v>121</v>
      </c>
      <c r="AL221" s="6">
        <f>MATCH(AA221,{"Low","Medium","High"},0)*MATCH(AB221,{"Low","Medium","High"},0)*INDEX({3,2,2,1,1},MATCH(X221,{"Core","Vertical extension","Differentiator","Future","Adjacent"},0))</f>
        <v>6</v>
      </c>
      <c r="AM221" s="5"/>
      <c r="AN221" s="5"/>
      <c r="AO221" s="5"/>
      <c r="AP221" s="5"/>
      <c r="AQ221" s="5"/>
      <c r="AR221" s="5"/>
      <c r="AS221" s="5"/>
      <c r="AT221" s="5"/>
      <c r="AU221" s="6" t="s">
        <v>927</v>
      </c>
      <c r="AV221" s="6" t="s">
        <v>55</v>
      </c>
      <c r="AW221" s="6" t="s">
        <v>55</v>
      </c>
      <c r="AX221" s="6" t="s">
        <v>929</v>
      </c>
      <c r="AY221" s="6" t="s">
        <v>930</v>
      </c>
      <c r="AZ221" s="6"/>
      <c r="BA221" s="6"/>
      <c r="BB221" s="6"/>
      <c r="BC221" s="6" t="s">
        <v>97</v>
      </c>
      <c r="BD221" s="6" t="s">
        <v>97</v>
      </c>
    </row>
    <row r="222" spans="1:56" ht="32" customHeight="1" x14ac:dyDescent="0.35">
      <c r="A222" s="13" t="s">
        <v>2307</v>
      </c>
      <c r="B222" s="6" t="s">
        <v>2114</v>
      </c>
      <c r="C222" s="5" t="s">
        <v>2115</v>
      </c>
      <c r="D222" s="5" t="s">
        <v>835</v>
      </c>
      <c r="E222" s="5" t="s">
        <v>2308</v>
      </c>
      <c r="F222" s="5" t="s">
        <v>1452</v>
      </c>
      <c r="G222" s="5" t="s">
        <v>1344</v>
      </c>
      <c r="H222" s="5" t="s">
        <v>2309</v>
      </c>
      <c r="I222" s="5" t="s">
        <v>2310</v>
      </c>
      <c r="J222" s="17" t="s">
        <v>121</v>
      </c>
      <c r="K222" s="17" t="s">
        <v>181</v>
      </c>
      <c r="L222" s="5" t="s">
        <v>2311</v>
      </c>
      <c r="M222" s="6" t="s">
        <v>197</v>
      </c>
      <c r="N222" s="6" t="s">
        <v>812</v>
      </c>
      <c r="O222" s="6" t="s">
        <v>121</v>
      </c>
      <c r="P222" s="5" t="s">
        <v>918</v>
      </c>
      <c r="Q222" s="17" t="s">
        <v>182</v>
      </c>
      <c r="R222" s="5"/>
      <c r="S222" s="6" t="s">
        <v>1076</v>
      </c>
      <c r="T222" s="5" t="s">
        <v>1077</v>
      </c>
      <c r="U222" s="6"/>
      <c r="V222" s="6" t="s">
        <v>1078</v>
      </c>
      <c r="W222" s="6" t="s">
        <v>331</v>
      </c>
      <c r="X222" s="5" t="s">
        <v>922</v>
      </c>
      <c r="Y222" s="5" t="s">
        <v>812</v>
      </c>
      <c r="Z222" s="5" t="str">
        <f t="shared" si="6"/>
        <v>Medium</v>
      </c>
      <c r="AA222" s="5" t="s">
        <v>956</v>
      </c>
      <c r="AB222" s="6" t="s">
        <v>924</v>
      </c>
      <c r="AC222" s="6" t="s">
        <v>103</v>
      </c>
      <c r="AD222" s="5" t="s">
        <v>925</v>
      </c>
      <c r="AE222" s="5" t="s">
        <v>354</v>
      </c>
      <c r="AF222" s="5" t="s">
        <v>354</v>
      </c>
      <c r="AG222" s="5" t="s">
        <v>354</v>
      </c>
      <c r="AH222" s="5" t="s">
        <v>354</v>
      </c>
      <c r="AI222" s="6" t="str">
        <f t="shared" si="7"/>
        <v>No</v>
      </c>
      <c r="AJ222" s="6" t="s">
        <v>926</v>
      </c>
      <c r="AK222" s="6" t="s">
        <v>121</v>
      </c>
      <c r="AL222" s="6">
        <f>MATCH(AA222,{"Low","Medium","High"},0)*MATCH(AB222,{"Low","Medium","High"},0)*INDEX({3,2,2,1,1},MATCH(X222,{"Core","Vertical extension","Differentiator","Future","Adjacent"},0))</f>
        <v>6</v>
      </c>
      <c r="AM222" s="5"/>
      <c r="AN222" s="5"/>
      <c r="AO222" s="5"/>
      <c r="AP222" s="5"/>
      <c r="AQ222" s="5"/>
      <c r="AR222" s="5"/>
      <c r="AS222" s="5"/>
      <c r="AT222" s="5"/>
      <c r="AU222" s="6" t="s">
        <v>927</v>
      </c>
      <c r="AV222" s="6" t="s">
        <v>55</v>
      </c>
      <c r="AW222" s="6" t="s">
        <v>55</v>
      </c>
      <c r="AX222" s="6" t="s">
        <v>929</v>
      </c>
      <c r="AY222" s="6" t="s">
        <v>930</v>
      </c>
      <c r="AZ222" s="6"/>
      <c r="BA222" s="6"/>
      <c r="BB222" s="6"/>
      <c r="BC222" s="6" t="s">
        <v>97</v>
      </c>
      <c r="BD222" s="6" t="s">
        <v>97</v>
      </c>
    </row>
    <row r="223" spans="1:56" ht="32" customHeight="1" x14ac:dyDescent="0.35">
      <c r="A223" s="13" t="s">
        <v>2312</v>
      </c>
      <c r="B223" s="6" t="s">
        <v>2114</v>
      </c>
      <c r="C223" s="5" t="s">
        <v>2115</v>
      </c>
      <c r="D223" s="5" t="s">
        <v>835</v>
      </c>
      <c r="E223" s="5" t="s">
        <v>2313</v>
      </c>
      <c r="F223" s="5" t="s">
        <v>1452</v>
      </c>
      <c r="G223" s="5" t="s">
        <v>1344</v>
      </c>
      <c r="H223" s="5" t="s">
        <v>2314</v>
      </c>
      <c r="I223" s="5" t="s">
        <v>2315</v>
      </c>
      <c r="J223" s="17" t="s">
        <v>121</v>
      </c>
      <c r="K223" s="17" t="s">
        <v>181</v>
      </c>
      <c r="L223" s="5" t="s">
        <v>2316</v>
      </c>
      <c r="M223" s="6" t="s">
        <v>197</v>
      </c>
      <c r="N223" s="6" t="s">
        <v>812</v>
      </c>
      <c r="O223" s="6" t="s">
        <v>121</v>
      </c>
      <c r="P223" s="5" t="s">
        <v>918</v>
      </c>
      <c r="Q223" s="17" t="s">
        <v>182</v>
      </c>
      <c r="R223" s="5"/>
      <c r="S223" s="6" t="s">
        <v>1076</v>
      </c>
      <c r="T223" s="5" t="s">
        <v>1077</v>
      </c>
      <c r="U223" s="6"/>
      <c r="V223" s="6" t="s">
        <v>1078</v>
      </c>
      <c r="W223" s="6" t="s">
        <v>331</v>
      </c>
      <c r="X223" s="5" t="s">
        <v>922</v>
      </c>
      <c r="Y223" s="5" t="s">
        <v>812</v>
      </c>
      <c r="Z223" s="5" t="str">
        <f t="shared" si="6"/>
        <v>Medium</v>
      </c>
      <c r="AA223" s="5" t="s">
        <v>956</v>
      </c>
      <c r="AB223" s="6" t="s">
        <v>924</v>
      </c>
      <c r="AC223" s="6" t="s">
        <v>103</v>
      </c>
      <c r="AD223" s="5" t="s">
        <v>925</v>
      </c>
      <c r="AE223" s="5" t="s">
        <v>354</v>
      </c>
      <c r="AF223" s="5" t="s">
        <v>354</v>
      </c>
      <c r="AG223" s="5" t="s">
        <v>354</v>
      </c>
      <c r="AH223" s="5" t="s">
        <v>354</v>
      </c>
      <c r="AI223" s="6" t="str">
        <f t="shared" si="7"/>
        <v>No</v>
      </c>
      <c r="AJ223" s="6" t="s">
        <v>926</v>
      </c>
      <c r="AK223" s="6" t="s">
        <v>121</v>
      </c>
      <c r="AL223" s="6">
        <f>MATCH(AA223,{"Low","Medium","High"},0)*MATCH(AB223,{"Low","Medium","High"},0)*INDEX({3,2,2,1,1},MATCH(X223,{"Core","Vertical extension","Differentiator","Future","Adjacent"},0))</f>
        <v>6</v>
      </c>
      <c r="AM223" s="5"/>
      <c r="AN223" s="5"/>
      <c r="AO223" s="5"/>
      <c r="AP223" s="5"/>
      <c r="AQ223" s="5"/>
      <c r="AR223" s="5"/>
      <c r="AS223" s="5"/>
      <c r="AT223" s="5"/>
      <c r="AU223" s="6" t="s">
        <v>927</v>
      </c>
      <c r="AV223" s="6" t="s">
        <v>55</v>
      </c>
      <c r="AW223" s="6" t="s">
        <v>55</v>
      </c>
      <c r="AX223" s="6" t="s">
        <v>929</v>
      </c>
      <c r="AY223" s="6" t="s">
        <v>930</v>
      </c>
      <c r="AZ223" s="6"/>
      <c r="BA223" s="6"/>
      <c r="BB223" s="6"/>
      <c r="BC223" s="6" t="s">
        <v>97</v>
      </c>
      <c r="BD223" s="6" t="s">
        <v>97</v>
      </c>
    </row>
    <row r="224" spans="1:56" ht="32" customHeight="1" x14ac:dyDescent="0.35">
      <c r="A224" s="13" t="s">
        <v>2317</v>
      </c>
      <c r="B224" s="6" t="s">
        <v>2114</v>
      </c>
      <c r="C224" s="5" t="s">
        <v>2115</v>
      </c>
      <c r="D224" s="5" t="s">
        <v>835</v>
      </c>
      <c r="E224" s="5" t="s">
        <v>2318</v>
      </c>
      <c r="F224" s="5" t="s">
        <v>1452</v>
      </c>
      <c r="G224" s="5" t="s">
        <v>1101</v>
      </c>
      <c r="H224" s="5" t="s">
        <v>2319</v>
      </c>
      <c r="I224" s="5" t="s">
        <v>2320</v>
      </c>
      <c r="J224" s="17" t="s">
        <v>121</v>
      </c>
      <c r="K224" s="17" t="s">
        <v>181</v>
      </c>
      <c r="L224" s="5" t="s">
        <v>2321</v>
      </c>
      <c r="M224" s="6" t="s">
        <v>197</v>
      </c>
      <c r="N224" s="6" t="s">
        <v>812</v>
      </c>
      <c r="O224" s="6" t="s">
        <v>121</v>
      </c>
      <c r="P224" s="5" t="s">
        <v>918</v>
      </c>
      <c r="Q224" s="17" t="s">
        <v>182</v>
      </c>
      <c r="R224" s="5"/>
      <c r="S224" s="6" t="s">
        <v>1076</v>
      </c>
      <c r="T224" s="5" t="s">
        <v>1077</v>
      </c>
      <c r="U224" s="6"/>
      <c r="V224" s="6" t="s">
        <v>1078</v>
      </c>
      <c r="W224" s="6" t="s">
        <v>331</v>
      </c>
      <c r="X224" s="5" t="s">
        <v>922</v>
      </c>
      <c r="Y224" s="5" t="s">
        <v>812</v>
      </c>
      <c r="Z224" s="5" t="str">
        <f t="shared" si="6"/>
        <v>Medium</v>
      </c>
      <c r="AA224" s="5" t="s">
        <v>956</v>
      </c>
      <c r="AB224" s="6" t="s">
        <v>924</v>
      </c>
      <c r="AC224" s="6" t="s">
        <v>103</v>
      </c>
      <c r="AD224" s="5" t="s">
        <v>925</v>
      </c>
      <c r="AE224" s="5" t="s">
        <v>354</v>
      </c>
      <c r="AF224" s="5" t="s">
        <v>354</v>
      </c>
      <c r="AG224" s="5" t="s">
        <v>354</v>
      </c>
      <c r="AH224" s="5" t="s">
        <v>354</v>
      </c>
      <c r="AI224" s="6" t="str">
        <f t="shared" si="7"/>
        <v>No</v>
      </c>
      <c r="AJ224" s="6" t="s">
        <v>926</v>
      </c>
      <c r="AK224" s="6" t="s">
        <v>121</v>
      </c>
      <c r="AL224" s="6">
        <f>MATCH(AA224,{"Low","Medium","High"},0)*MATCH(AB224,{"Low","Medium","High"},0)*INDEX({3,2,2,1,1},MATCH(X224,{"Core","Vertical extension","Differentiator","Future","Adjacent"},0))</f>
        <v>6</v>
      </c>
      <c r="AM224" s="5"/>
      <c r="AN224" s="5"/>
      <c r="AO224" s="5"/>
      <c r="AP224" s="5"/>
      <c r="AQ224" s="5"/>
      <c r="AR224" s="5"/>
      <c r="AS224" s="5"/>
      <c r="AT224" s="5"/>
      <c r="AU224" s="6" t="s">
        <v>927</v>
      </c>
      <c r="AV224" s="6" t="s">
        <v>55</v>
      </c>
      <c r="AW224" s="6" t="s">
        <v>55</v>
      </c>
      <c r="AX224" s="6" t="s">
        <v>929</v>
      </c>
      <c r="AY224" s="6" t="s">
        <v>930</v>
      </c>
      <c r="AZ224" s="6"/>
      <c r="BA224" s="6"/>
      <c r="BB224" s="6"/>
      <c r="BC224" s="6" t="s">
        <v>97</v>
      </c>
      <c r="BD224" s="6" t="s">
        <v>97</v>
      </c>
    </row>
    <row r="225" spans="1:56" ht="32" customHeight="1" x14ac:dyDescent="0.35">
      <c r="A225" s="13" t="s">
        <v>2322</v>
      </c>
      <c r="B225" s="6" t="s">
        <v>2114</v>
      </c>
      <c r="C225" s="5" t="s">
        <v>2115</v>
      </c>
      <c r="D225" s="5" t="s">
        <v>835</v>
      </c>
      <c r="E225" s="5" t="s">
        <v>2323</v>
      </c>
      <c r="F225" s="5" t="s">
        <v>2164</v>
      </c>
      <c r="G225" s="5" t="s">
        <v>1452</v>
      </c>
      <c r="H225" s="5" t="s">
        <v>2324</v>
      </c>
      <c r="I225" s="5" t="s">
        <v>2325</v>
      </c>
      <c r="J225" s="17" t="s">
        <v>121</v>
      </c>
      <c r="K225" s="17" t="s">
        <v>181</v>
      </c>
      <c r="L225" s="5" t="s">
        <v>2326</v>
      </c>
      <c r="M225" s="6" t="s">
        <v>197</v>
      </c>
      <c r="N225" s="6" t="s">
        <v>812</v>
      </c>
      <c r="O225" s="6" t="s">
        <v>121</v>
      </c>
      <c r="P225" s="5" t="s">
        <v>999</v>
      </c>
      <c r="Q225" s="18" t="s">
        <v>186</v>
      </c>
      <c r="R225" s="5" t="s">
        <v>2327</v>
      </c>
      <c r="S225" s="6" t="s">
        <v>1076</v>
      </c>
      <c r="T225" s="5" t="s">
        <v>1077</v>
      </c>
      <c r="U225" s="6"/>
      <c r="V225" s="6" t="s">
        <v>1078</v>
      </c>
      <c r="W225" s="6" t="s">
        <v>331</v>
      </c>
      <c r="X225" s="5" t="s">
        <v>922</v>
      </c>
      <c r="Y225" s="5" t="s">
        <v>812</v>
      </c>
      <c r="Z225" s="5" t="str">
        <f t="shared" si="6"/>
        <v>Medium</v>
      </c>
      <c r="AA225" s="5" t="s">
        <v>956</v>
      </c>
      <c r="AB225" s="6" t="s">
        <v>924</v>
      </c>
      <c r="AC225" s="6" t="s">
        <v>103</v>
      </c>
      <c r="AD225" s="5" t="s">
        <v>940</v>
      </c>
      <c r="AE225" s="5" t="s">
        <v>354</v>
      </c>
      <c r="AF225" s="5" t="s">
        <v>354</v>
      </c>
      <c r="AG225" s="5" t="s">
        <v>354</v>
      </c>
      <c r="AH225" s="5" t="s">
        <v>354</v>
      </c>
      <c r="AI225" s="6" t="str">
        <f t="shared" si="7"/>
        <v>No</v>
      </c>
      <c r="AJ225" s="6" t="s">
        <v>941</v>
      </c>
      <c r="AK225" s="6" t="s">
        <v>121</v>
      </c>
      <c r="AL225" s="6">
        <f>MATCH(AA225,{"Low","Medium","High"},0)*MATCH(AB225,{"Low","Medium","High"},0)*INDEX({3,2,2,1,1},MATCH(X225,{"Core","Vertical extension","Differentiator","Future","Adjacent"},0))</f>
        <v>6</v>
      </c>
      <c r="AM225" s="5"/>
      <c r="AN225" s="5"/>
      <c r="AO225" s="5"/>
      <c r="AP225" s="5"/>
      <c r="AQ225" s="5"/>
      <c r="AR225" s="5"/>
      <c r="AS225" s="5"/>
      <c r="AT225" s="5"/>
      <c r="AU225" s="6" t="s">
        <v>927</v>
      </c>
      <c r="AV225" s="6" t="s">
        <v>2161</v>
      </c>
      <c r="AW225" s="6" t="s">
        <v>2161</v>
      </c>
      <c r="AX225" s="6" t="s">
        <v>1003</v>
      </c>
      <c r="AY225" s="6" t="s">
        <v>930</v>
      </c>
      <c r="AZ225" s="6"/>
      <c r="BA225" s="6" t="s">
        <v>1862</v>
      </c>
      <c r="BB225" s="6" t="s">
        <v>1863</v>
      </c>
      <c r="BC225" s="6" t="s">
        <v>97</v>
      </c>
      <c r="BD225" s="6" t="s">
        <v>97</v>
      </c>
    </row>
    <row r="226" spans="1:56" ht="32" customHeight="1" x14ac:dyDescent="0.35">
      <c r="A226" s="13" t="s">
        <v>2328</v>
      </c>
      <c r="B226" s="6" t="s">
        <v>2114</v>
      </c>
      <c r="C226" s="5" t="s">
        <v>2115</v>
      </c>
      <c r="D226" s="5" t="s">
        <v>835</v>
      </c>
      <c r="E226" s="5" t="s">
        <v>2329</v>
      </c>
      <c r="F226" s="5" t="s">
        <v>2171</v>
      </c>
      <c r="G226" s="5" t="s">
        <v>1452</v>
      </c>
      <c r="H226" s="5" t="s">
        <v>2330</v>
      </c>
      <c r="I226" s="5" t="s">
        <v>2331</v>
      </c>
      <c r="J226" s="17" t="s">
        <v>121</v>
      </c>
      <c r="K226" s="17" t="s">
        <v>181</v>
      </c>
      <c r="L226" s="5" t="s">
        <v>2332</v>
      </c>
      <c r="M226" s="6" t="s">
        <v>197</v>
      </c>
      <c r="N226" s="6" t="s">
        <v>812</v>
      </c>
      <c r="O226" s="6" t="s">
        <v>121</v>
      </c>
      <c r="P226" s="5" t="s">
        <v>918</v>
      </c>
      <c r="Q226" s="18" t="s">
        <v>186</v>
      </c>
      <c r="R226" s="5" t="s">
        <v>2175</v>
      </c>
      <c r="S226" s="6" t="s">
        <v>1076</v>
      </c>
      <c r="T226" s="5" t="s">
        <v>1077</v>
      </c>
      <c r="U226" s="6"/>
      <c r="V226" s="6" t="s">
        <v>1078</v>
      </c>
      <c r="W226" s="6" t="s">
        <v>331</v>
      </c>
      <c r="X226" s="5" t="s">
        <v>922</v>
      </c>
      <c r="Y226" s="5" t="s">
        <v>812</v>
      </c>
      <c r="Z226" s="5" t="str">
        <f t="shared" si="6"/>
        <v>Medium</v>
      </c>
      <c r="AA226" s="5" t="s">
        <v>956</v>
      </c>
      <c r="AB226" s="6" t="s">
        <v>924</v>
      </c>
      <c r="AC226" s="6" t="s">
        <v>103</v>
      </c>
      <c r="AD226" s="5" t="s">
        <v>940</v>
      </c>
      <c r="AE226" s="5" t="s">
        <v>354</v>
      </c>
      <c r="AF226" s="5" t="s">
        <v>354</v>
      </c>
      <c r="AG226" s="5" t="s">
        <v>354</v>
      </c>
      <c r="AH226" s="5" t="s">
        <v>354</v>
      </c>
      <c r="AI226" s="6" t="str">
        <f t="shared" si="7"/>
        <v>No</v>
      </c>
      <c r="AJ226" s="6" t="s">
        <v>941</v>
      </c>
      <c r="AK226" s="6" t="s">
        <v>121</v>
      </c>
      <c r="AL226" s="6">
        <f>MATCH(AA226,{"Low","Medium","High"},0)*MATCH(AB226,{"Low","Medium","High"},0)*INDEX({3,2,2,1,1},MATCH(X226,{"Core","Vertical extension","Differentiator","Future","Adjacent"},0))</f>
        <v>6</v>
      </c>
      <c r="AM226" s="5"/>
      <c r="AN226" s="5"/>
      <c r="AO226" s="5"/>
      <c r="AP226" s="5"/>
      <c r="AQ226" s="5"/>
      <c r="AR226" s="5"/>
      <c r="AS226" s="5"/>
      <c r="AT226" s="5"/>
      <c r="AU226" s="6" t="s">
        <v>927</v>
      </c>
      <c r="AV226" s="6" t="s">
        <v>2161</v>
      </c>
      <c r="AW226" s="6" t="s">
        <v>2161</v>
      </c>
      <c r="AX226" s="6" t="s">
        <v>929</v>
      </c>
      <c r="AY226" s="6" t="s">
        <v>930</v>
      </c>
      <c r="AZ226" s="6"/>
      <c r="BA226" s="6" t="s">
        <v>2176</v>
      </c>
      <c r="BB226" s="6"/>
      <c r="BC226" s="6" t="s">
        <v>97</v>
      </c>
      <c r="BD226" s="6" t="s">
        <v>97</v>
      </c>
    </row>
    <row r="227" spans="1:56" ht="32" customHeight="1" x14ac:dyDescent="0.35">
      <c r="A227" s="13" t="s">
        <v>2333</v>
      </c>
      <c r="B227" s="6" t="s">
        <v>2114</v>
      </c>
      <c r="C227" s="5" t="s">
        <v>2115</v>
      </c>
      <c r="D227" s="5" t="s">
        <v>835</v>
      </c>
      <c r="E227" s="5" t="s">
        <v>2334</v>
      </c>
      <c r="F227" s="5" t="s">
        <v>1452</v>
      </c>
      <c r="G227" s="5" t="s">
        <v>1453</v>
      </c>
      <c r="H227" s="5" t="s">
        <v>2335</v>
      </c>
      <c r="I227" s="5" t="s">
        <v>2336</v>
      </c>
      <c r="J227" s="17" t="s">
        <v>121</v>
      </c>
      <c r="K227" s="17" t="s">
        <v>181</v>
      </c>
      <c r="L227" s="5" t="s">
        <v>2337</v>
      </c>
      <c r="M227" s="6" t="s">
        <v>197</v>
      </c>
      <c r="N227" s="6" t="s">
        <v>812</v>
      </c>
      <c r="O227" s="6" t="s">
        <v>121</v>
      </c>
      <c r="P227" s="5" t="s">
        <v>999</v>
      </c>
      <c r="Q227" s="17" t="s">
        <v>182</v>
      </c>
      <c r="R227" s="5" t="s">
        <v>999</v>
      </c>
      <c r="S227" s="6" t="s">
        <v>1076</v>
      </c>
      <c r="T227" s="5" t="s">
        <v>1077</v>
      </c>
      <c r="U227" s="6"/>
      <c r="V227" s="6" t="s">
        <v>1078</v>
      </c>
      <c r="W227" s="6" t="s">
        <v>331</v>
      </c>
      <c r="X227" s="5" t="s">
        <v>922</v>
      </c>
      <c r="Y227" s="5" t="s">
        <v>812</v>
      </c>
      <c r="Z227" s="5" t="str">
        <f t="shared" si="6"/>
        <v>Medium</v>
      </c>
      <c r="AA227" s="5" t="s">
        <v>956</v>
      </c>
      <c r="AB227" s="6" t="s">
        <v>924</v>
      </c>
      <c r="AC227" s="6" t="s">
        <v>103</v>
      </c>
      <c r="AD227" s="5" t="s">
        <v>925</v>
      </c>
      <c r="AE227" s="5" t="s">
        <v>354</v>
      </c>
      <c r="AF227" s="5" t="s">
        <v>354</v>
      </c>
      <c r="AG227" s="5" t="s">
        <v>354</v>
      </c>
      <c r="AH227" s="5" t="s">
        <v>354</v>
      </c>
      <c r="AI227" s="6" t="str">
        <f t="shared" si="7"/>
        <v>No</v>
      </c>
      <c r="AJ227" s="6" t="s">
        <v>926</v>
      </c>
      <c r="AK227" s="6" t="s">
        <v>121</v>
      </c>
      <c r="AL227" s="6">
        <f>MATCH(AA227,{"Low","Medium","High"},0)*MATCH(AB227,{"Low","Medium","High"},0)*INDEX({3,2,2,1,1},MATCH(X227,{"Core","Vertical extension","Differentiator","Future","Adjacent"},0))</f>
        <v>6</v>
      </c>
      <c r="AM227" s="5"/>
      <c r="AN227" s="5"/>
      <c r="AO227" s="5"/>
      <c r="AP227" s="5"/>
      <c r="AQ227" s="5"/>
      <c r="AR227" s="5"/>
      <c r="AS227" s="5"/>
      <c r="AT227" s="5"/>
      <c r="AU227" s="6" t="s">
        <v>927</v>
      </c>
      <c r="AV227" s="6" t="s">
        <v>55</v>
      </c>
      <c r="AW227" s="6" t="s">
        <v>55</v>
      </c>
      <c r="AX227" s="6" t="s">
        <v>1003</v>
      </c>
      <c r="AY227" s="6" t="s">
        <v>930</v>
      </c>
      <c r="AZ227" s="6"/>
      <c r="BA227" s="6"/>
      <c r="BB227" s="6"/>
      <c r="BC227" s="6" t="s">
        <v>97</v>
      </c>
      <c r="BD227" s="6" t="s">
        <v>97</v>
      </c>
    </row>
    <row r="228" spans="1:56" ht="32" customHeight="1" x14ac:dyDescent="0.35">
      <c r="A228" s="13" t="s">
        <v>2338</v>
      </c>
      <c r="B228" s="6" t="s">
        <v>2114</v>
      </c>
      <c r="C228" s="5" t="s">
        <v>2115</v>
      </c>
      <c r="D228" s="5" t="s">
        <v>835</v>
      </c>
      <c r="E228" s="5" t="s">
        <v>2339</v>
      </c>
      <c r="F228" s="5" t="s">
        <v>1333</v>
      </c>
      <c r="G228" s="5" t="s">
        <v>1101</v>
      </c>
      <c r="H228" s="5" t="s">
        <v>2340</v>
      </c>
      <c r="I228" s="5" t="s">
        <v>2341</v>
      </c>
      <c r="J228" s="17" t="s">
        <v>121</v>
      </c>
      <c r="K228" s="17" t="s">
        <v>181</v>
      </c>
      <c r="L228" s="5" t="s">
        <v>2342</v>
      </c>
      <c r="M228" s="6" t="s">
        <v>197</v>
      </c>
      <c r="N228" s="6" t="s">
        <v>812</v>
      </c>
      <c r="O228" s="6" t="s">
        <v>121</v>
      </c>
      <c r="P228" s="5" t="s">
        <v>918</v>
      </c>
      <c r="Q228" s="17" t="s">
        <v>182</v>
      </c>
      <c r="R228" s="5"/>
      <c r="S228" s="6" t="s">
        <v>1076</v>
      </c>
      <c r="T228" s="5" t="s">
        <v>1077</v>
      </c>
      <c r="U228" s="6"/>
      <c r="V228" s="6" t="s">
        <v>1078</v>
      </c>
      <c r="W228" s="6" t="s">
        <v>331</v>
      </c>
      <c r="X228" s="5" t="s">
        <v>922</v>
      </c>
      <c r="Y228" s="5" t="s">
        <v>812</v>
      </c>
      <c r="Z228" s="5" t="str">
        <f t="shared" si="6"/>
        <v>Medium</v>
      </c>
      <c r="AA228" s="5" t="s">
        <v>956</v>
      </c>
      <c r="AB228" s="6" t="s">
        <v>924</v>
      </c>
      <c r="AC228" s="6" t="s">
        <v>103</v>
      </c>
      <c r="AD228" s="5" t="s">
        <v>925</v>
      </c>
      <c r="AE228" s="5" t="s">
        <v>354</v>
      </c>
      <c r="AF228" s="5" t="s">
        <v>354</v>
      </c>
      <c r="AG228" s="5" t="s">
        <v>354</v>
      </c>
      <c r="AH228" s="5" t="s">
        <v>354</v>
      </c>
      <c r="AI228" s="6" t="str">
        <f t="shared" si="7"/>
        <v>No</v>
      </c>
      <c r="AJ228" s="6" t="s">
        <v>926</v>
      </c>
      <c r="AK228" s="6" t="s">
        <v>121</v>
      </c>
      <c r="AL228" s="6">
        <f>MATCH(AA228,{"Low","Medium","High"},0)*MATCH(AB228,{"Low","Medium","High"},0)*INDEX({3,2,2,1,1},MATCH(X228,{"Core","Vertical extension","Differentiator","Future","Adjacent"},0))</f>
        <v>6</v>
      </c>
      <c r="AM228" s="5"/>
      <c r="AN228" s="5"/>
      <c r="AO228" s="5"/>
      <c r="AP228" s="5"/>
      <c r="AQ228" s="5"/>
      <c r="AR228" s="5"/>
      <c r="AS228" s="5"/>
      <c r="AT228" s="5"/>
      <c r="AU228" s="6" t="s">
        <v>927</v>
      </c>
      <c r="AV228" s="6" t="s">
        <v>55</v>
      </c>
      <c r="AW228" s="6" t="s">
        <v>55</v>
      </c>
      <c r="AX228" s="6" t="s">
        <v>929</v>
      </c>
      <c r="AY228" s="6" t="s">
        <v>930</v>
      </c>
      <c r="AZ228" s="6"/>
      <c r="BA228" s="6"/>
      <c r="BB228" s="6"/>
      <c r="BC228" s="6" t="s">
        <v>97</v>
      </c>
      <c r="BD228" s="6" t="s">
        <v>97</v>
      </c>
    </row>
    <row r="229" spans="1:56" ht="32" customHeight="1" x14ac:dyDescent="0.35">
      <c r="A229" s="13" t="s">
        <v>2343</v>
      </c>
      <c r="B229" s="6" t="s">
        <v>2114</v>
      </c>
      <c r="C229" s="5" t="s">
        <v>2115</v>
      </c>
      <c r="D229" s="5" t="s">
        <v>835</v>
      </c>
      <c r="E229" s="5" t="s">
        <v>2344</v>
      </c>
      <c r="F229" s="5" t="s">
        <v>1452</v>
      </c>
      <c r="G229" s="5" t="s">
        <v>1101</v>
      </c>
      <c r="H229" s="5" t="s">
        <v>2345</v>
      </c>
      <c r="I229" s="5" t="s">
        <v>2346</v>
      </c>
      <c r="J229" s="17" t="s">
        <v>121</v>
      </c>
      <c r="K229" s="17" t="s">
        <v>181</v>
      </c>
      <c r="L229" s="5" t="s">
        <v>2347</v>
      </c>
      <c r="M229" s="6" t="s">
        <v>197</v>
      </c>
      <c r="N229" s="6" t="s">
        <v>812</v>
      </c>
      <c r="O229" s="6" t="s">
        <v>121</v>
      </c>
      <c r="P229" s="5" t="s">
        <v>918</v>
      </c>
      <c r="Q229" s="18" t="s">
        <v>186</v>
      </c>
      <c r="R229" s="5" t="s">
        <v>2192</v>
      </c>
      <c r="S229" s="6" t="s">
        <v>1076</v>
      </c>
      <c r="T229" s="5" t="s">
        <v>1077</v>
      </c>
      <c r="U229" s="6"/>
      <c r="V229" s="6" t="s">
        <v>1078</v>
      </c>
      <c r="W229" s="6" t="s">
        <v>331</v>
      </c>
      <c r="X229" s="5" t="s">
        <v>922</v>
      </c>
      <c r="Y229" s="5" t="s">
        <v>812</v>
      </c>
      <c r="Z229" s="5" t="str">
        <f t="shared" si="6"/>
        <v>Medium</v>
      </c>
      <c r="AA229" s="5" t="s">
        <v>956</v>
      </c>
      <c r="AB229" s="6" t="s">
        <v>924</v>
      </c>
      <c r="AC229" s="6" t="s">
        <v>103</v>
      </c>
      <c r="AD229" s="5" t="s">
        <v>940</v>
      </c>
      <c r="AE229" s="5" t="s">
        <v>354</v>
      </c>
      <c r="AF229" s="5" t="s">
        <v>354</v>
      </c>
      <c r="AG229" s="5" t="s">
        <v>354</v>
      </c>
      <c r="AH229" s="5" t="s">
        <v>354</v>
      </c>
      <c r="AI229" s="6" t="str">
        <f t="shared" si="7"/>
        <v>No</v>
      </c>
      <c r="AJ229" s="6" t="s">
        <v>941</v>
      </c>
      <c r="AK229" s="6" t="s">
        <v>121</v>
      </c>
      <c r="AL229" s="6">
        <f>MATCH(AA229,{"Low","Medium","High"},0)*MATCH(AB229,{"Low","Medium","High"},0)*INDEX({3,2,2,1,1},MATCH(X229,{"Core","Vertical extension","Differentiator","Future","Adjacent"},0))</f>
        <v>6</v>
      </c>
      <c r="AM229" s="5"/>
      <c r="AN229" s="5"/>
      <c r="AO229" s="5"/>
      <c r="AP229" s="5"/>
      <c r="AQ229" s="5"/>
      <c r="AR229" s="5"/>
      <c r="AS229" s="5"/>
      <c r="AT229" s="5"/>
      <c r="AU229" s="6" t="s">
        <v>927</v>
      </c>
      <c r="AV229" s="6" t="s">
        <v>55</v>
      </c>
      <c r="AW229" s="6" t="s">
        <v>55</v>
      </c>
      <c r="AX229" s="6" t="s">
        <v>929</v>
      </c>
      <c r="AY229" s="6" t="s">
        <v>930</v>
      </c>
      <c r="AZ229" s="6"/>
      <c r="BA229" s="6" t="s">
        <v>2193</v>
      </c>
      <c r="BB229" s="6" t="s">
        <v>2194</v>
      </c>
      <c r="BC229" s="6" t="s">
        <v>97</v>
      </c>
      <c r="BD229" s="6" t="s">
        <v>97</v>
      </c>
    </row>
    <row r="230" spans="1:56" ht="32" customHeight="1" x14ac:dyDescent="0.35">
      <c r="A230" s="13" t="s">
        <v>2348</v>
      </c>
      <c r="B230" s="6" t="s">
        <v>2114</v>
      </c>
      <c r="C230" s="5" t="s">
        <v>2115</v>
      </c>
      <c r="D230" s="5" t="s">
        <v>835</v>
      </c>
      <c r="E230" s="5" t="s">
        <v>2349</v>
      </c>
      <c r="F230" s="5" t="s">
        <v>1452</v>
      </c>
      <c r="G230" s="5" t="s">
        <v>1101</v>
      </c>
      <c r="H230" s="5" t="s">
        <v>2350</v>
      </c>
      <c r="I230" s="5" t="s">
        <v>2351</v>
      </c>
      <c r="J230" s="17" t="s">
        <v>121</v>
      </c>
      <c r="K230" s="17" t="s">
        <v>181</v>
      </c>
      <c r="L230" s="5" t="s">
        <v>2352</v>
      </c>
      <c r="M230" s="6" t="s">
        <v>197</v>
      </c>
      <c r="N230" s="6" t="s">
        <v>812</v>
      </c>
      <c r="O230" s="6" t="s">
        <v>121</v>
      </c>
      <c r="P230" s="5" t="s">
        <v>918</v>
      </c>
      <c r="Q230" s="18" t="s">
        <v>186</v>
      </c>
      <c r="R230" s="5" t="s">
        <v>2353</v>
      </c>
      <c r="S230" s="6" t="s">
        <v>1076</v>
      </c>
      <c r="T230" s="5" t="s">
        <v>1077</v>
      </c>
      <c r="U230" s="6"/>
      <c r="V230" s="6" t="s">
        <v>1078</v>
      </c>
      <c r="W230" s="6" t="s">
        <v>331</v>
      </c>
      <c r="X230" s="5" t="s">
        <v>922</v>
      </c>
      <c r="Y230" s="5" t="s">
        <v>812</v>
      </c>
      <c r="Z230" s="5" t="str">
        <f t="shared" si="6"/>
        <v>Medium</v>
      </c>
      <c r="AA230" s="5" t="s">
        <v>956</v>
      </c>
      <c r="AB230" s="6" t="s">
        <v>924</v>
      </c>
      <c r="AC230" s="6" t="s">
        <v>103</v>
      </c>
      <c r="AD230" s="5" t="s">
        <v>940</v>
      </c>
      <c r="AE230" s="5" t="s">
        <v>354</v>
      </c>
      <c r="AF230" s="5" t="s">
        <v>354</v>
      </c>
      <c r="AG230" s="5" t="s">
        <v>354</v>
      </c>
      <c r="AH230" s="5" t="s">
        <v>354</v>
      </c>
      <c r="AI230" s="6" t="str">
        <f t="shared" si="7"/>
        <v>No</v>
      </c>
      <c r="AJ230" s="6" t="s">
        <v>941</v>
      </c>
      <c r="AK230" s="6" t="s">
        <v>121</v>
      </c>
      <c r="AL230" s="6">
        <f>MATCH(AA230,{"Low","Medium","High"},0)*MATCH(AB230,{"Low","Medium","High"},0)*INDEX({3,2,2,1,1},MATCH(X230,{"Core","Vertical extension","Differentiator","Future","Adjacent"},0))</f>
        <v>6</v>
      </c>
      <c r="AM230" s="5"/>
      <c r="AN230" s="5"/>
      <c r="AO230" s="5"/>
      <c r="AP230" s="5"/>
      <c r="AQ230" s="5"/>
      <c r="AR230" s="5"/>
      <c r="AS230" s="5"/>
      <c r="AT230" s="5"/>
      <c r="AU230" s="6" t="s">
        <v>927</v>
      </c>
      <c r="AV230" s="6" t="s">
        <v>55</v>
      </c>
      <c r="AW230" s="6" t="s">
        <v>55</v>
      </c>
      <c r="AX230" s="6" t="s">
        <v>929</v>
      </c>
      <c r="AY230" s="6" t="s">
        <v>930</v>
      </c>
      <c r="AZ230" s="6"/>
      <c r="BA230" s="6" t="s">
        <v>2354</v>
      </c>
      <c r="BB230" s="6" t="s">
        <v>2355</v>
      </c>
      <c r="BC230" s="6" t="s">
        <v>97</v>
      </c>
      <c r="BD230" s="6" t="s">
        <v>97</v>
      </c>
    </row>
    <row r="231" spans="1:56" ht="32" customHeight="1" x14ac:dyDescent="0.35">
      <c r="A231" s="13" t="s">
        <v>2356</v>
      </c>
      <c r="B231" s="6" t="s">
        <v>2114</v>
      </c>
      <c r="C231" s="5" t="s">
        <v>2115</v>
      </c>
      <c r="D231" s="5" t="s">
        <v>835</v>
      </c>
      <c r="E231" s="5" t="s">
        <v>2357</v>
      </c>
      <c r="F231" s="5" t="s">
        <v>1347</v>
      </c>
      <c r="G231" s="5" t="s">
        <v>1101</v>
      </c>
      <c r="H231" s="5" t="s">
        <v>2358</v>
      </c>
      <c r="I231" s="5" t="s">
        <v>2359</v>
      </c>
      <c r="J231" s="17" t="s">
        <v>121</v>
      </c>
      <c r="K231" s="17" t="s">
        <v>181</v>
      </c>
      <c r="L231" s="5" t="s">
        <v>2360</v>
      </c>
      <c r="M231" s="6" t="s">
        <v>197</v>
      </c>
      <c r="N231" s="6" t="s">
        <v>812</v>
      </c>
      <c r="O231" s="6" t="s">
        <v>121</v>
      </c>
      <c r="P231" s="5" t="s">
        <v>999</v>
      </c>
      <c r="Q231" s="18" t="s">
        <v>186</v>
      </c>
      <c r="R231" s="5" t="s">
        <v>2361</v>
      </c>
      <c r="S231" s="6" t="s">
        <v>1076</v>
      </c>
      <c r="T231" s="5" t="s">
        <v>1077</v>
      </c>
      <c r="U231" s="6"/>
      <c r="V231" s="6" t="s">
        <v>1078</v>
      </c>
      <c r="W231" s="6" t="s">
        <v>331</v>
      </c>
      <c r="X231" s="5" t="s">
        <v>922</v>
      </c>
      <c r="Y231" s="5" t="s">
        <v>812</v>
      </c>
      <c r="Z231" s="5" t="str">
        <f t="shared" si="6"/>
        <v>Medium</v>
      </c>
      <c r="AA231" s="5" t="s">
        <v>956</v>
      </c>
      <c r="AB231" s="6" t="s">
        <v>924</v>
      </c>
      <c r="AC231" s="6" t="s">
        <v>103</v>
      </c>
      <c r="AD231" s="5" t="s">
        <v>940</v>
      </c>
      <c r="AE231" s="5" t="s">
        <v>354</v>
      </c>
      <c r="AF231" s="5" t="s">
        <v>354</v>
      </c>
      <c r="AG231" s="5" t="s">
        <v>354</v>
      </c>
      <c r="AH231" s="5" t="s">
        <v>354</v>
      </c>
      <c r="AI231" s="6" t="str">
        <f t="shared" si="7"/>
        <v>No</v>
      </c>
      <c r="AJ231" s="6" t="s">
        <v>941</v>
      </c>
      <c r="AK231" s="6" t="s">
        <v>121</v>
      </c>
      <c r="AL231" s="6">
        <f>MATCH(AA231,{"Low","Medium","High"},0)*MATCH(AB231,{"Low","Medium","High"},0)*INDEX({3,2,2,1,1},MATCH(X231,{"Core","Vertical extension","Differentiator","Future","Adjacent"},0))</f>
        <v>6</v>
      </c>
      <c r="AM231" s="5"/>
      <c r="AN231" s="5"/>
      <c r="AO231" s="5"/>
      <c r="AP231" s="5"/>
      <c r="AQ231" s="5"/>
      <c r="AR231" s="5"/>
      <c r="AS231" s="5"/>
      <c r="AT231" s="5"/>
      <c r="AU231" s="6" t="s">
        <v>927</v>
      </c>
      <c r="AV231" s="6" t="s">
        <v>1296</v>
      </c>
      <c r="AW231" s="6" t="s">
        <v>1296</v>
      </c>
      <c r="AX231" s="6" t="s">
        <v>1003</v>
      </c>
      <c r="AY231" s="6" t="s">
        <v>930</v>
      </c>
      <c r="AZ231" s="6"/>
      <c r="BA231" s="6" t="s">
        <v>2362</v>
      </c>
      <c r="BB231" s="6" t="s">
        <v>1080</v>
      </c>
      <c r="BC231" s="6" t="s">
        <v>97</v>
      </c>
      <c r="BD231" s="6" t="s">
        <v>97</v>
      </c>
    </row>
    <row r="232" spans="1:56" ht="32" customHeight="1" x14ac:dyDescent="0.35">
      <c r="A232" s="13" t="s">
        <v>2363</v>
      </c>
      <c r="B232" s="6" t="s">
        <v>2114</v>
      </c>
      <c r="C232" s="5" t="s">
        <v>2115</v>
      </c>
      <c r="D232" s="5" t="s">
        <v>835</v>
      </c>
      <c r="E232" s="5" t="s">
        <v>2364</v>
      </c>
      <c r="F232" s="5" t="s">
        <v>1452</v>
      </c>
      <c r="G232" s="5" t="s">
        <v>1101</v>
      </c>
      <c r="H232" s="5" t="s">
        <v>2365</v>
      </c>
      <c r="I232" s="5" t="s">
        <v>2366</v>
      </c>
      <c r="J232" s="17" t="s">
        <v>121</v>
      </c>
      <c r="K232" s="17" t="s">
        <v>181</v>
      </c>
      <c r="L232" s="5" t="s">
        <v>2367</v>
      </c>
      <c r="M232" s="6" t="s">
        <v>197</v>
      </c>
      <c r="N232" s="6" t="s">
        <v>812</v>
      </c>
      <c r="O232" s="6" t="s">
        <v>121</v>
      </c>
      <c r="P232" s="5" t="s">
        <v>918</v>
      </c>
      <c r="Q232" s="18" t="s">
        <v>186</v>
      </c>
      <c r="R232" s="5" t="s">
        <v>2031</v>
      </c>
      <c r="S232" s="6" t="s">
        <v>1076</v>
      </c>
      <c r="T232" s="5" t="s">
        <v>1077</v>
      </c>
      <c r="U232" s="6"/>
      <c r="V232" s="6" t="s">
        <v>1078</v>
      </c>
      <c r="W232" s="6" t="s">
        <v>331</v>
      </c>
      <c r="X232" s="5" t="s">
        <v>922</v>
      </c>
      <c r="Y232" s="5" t="s">
        <v>812</v>
      </c>
      <c r="Z232" s="5" t="str">
        <f t="shared" si="6"/>
        <v>Medium</v>
      </c>
      <c r="AA232" s="5" t="s">
        <v>956</v>
      </c>
      <c r="AB232" s="6" t="s">
        <v>924</v>
      </c>
      <c r="AC232" s="6" t="s">
        <v>103</v>
      </c>
      <c r="AD232" s="5" t="s">
        <v>940</v>
      </c>
      <c r="AE232" s="5" t="s">
        <v>354</v>
      </c>
      <c r="AF232" s="5" t="s">
        <v>354</v>
      </c>
      <c r="AG232" s="5" t="s">
        <v>354</v>
      </c>
      <c r="AH232" s="5" t="s">
        <v>354</v>
      </c>
      <c r="AI232" s="6" t="str">
        <f t="shared" si="7"/>
        <v>No</v>
      </c>
      <c r="AJ232" s="6" t="s">
        <v>941</v>
      </c>
      <c r="AK232" s="6" t="s">
        <v>121</v>
      </c>
      <c r="AL232" s="6">
        <f>MATCH(AA232,{"Low","Medium","High"},0)*MATCH(AB232,{"Low","Medium","High"},0)*INDEX({3,2,2,1,1},MATCH(X232,{"Core","Vertical extension","Differentiator","Future","Adjacent"},0))</f>
        <v>6</v>
      </c>
      <c r="AM232" s="5"/>
      <c r="AN232" s="5"/>
      <c r="AO232" s="5"/>
      <c r="AP232" s="5"/>
      <c r="AQ232" s="5"/>
      <c r="AR232" s="5"/>
      <c r="AS232" s="5"/>
      <c r="AT232" s="5"/>
      <c r="AU232" s="6" t="s">
        <v>927</v>
      </c>
      <c r="AV232" s="6" t="s">
        <v>55</v>
      </c>
      <c r="AW232" s="6" t="s">
        <v>55</v>
      </c>
      <c r="AX232" s="6" t="s">
        <v>929</v>
      </c>
      <c r="AY232" s="6" t="s">
        <v>930</v>
      </c>
      <c r="AZ232" s="6"/>
      <c r="BA232" s="6" t="s">
        <v>2368</v>
      </c>
      <c r="BB232" s="6" t="s">
        <v>2369</v>
      </c>
      <c r="BC232" s="6" t="s">
        <v>97</v>
      </c>
      <c r="BD232" s="6" t="s">
        <v>97</v>
      </c>
    </row>
    <row r="233" spans="1:56" ht="32" customHeight="1" x14ac:dyDescent="0.35">
      <c r="A233" s="13" t="s">
        <v>2370</v>
      </c>
      <c r="B233" s="6" t="s">
        <v>2114</v>
      </c>
      <c r="C233" s="5" t="s">
        <v>2115</v>
      </c>
      <c r="D233" s="5" t="s">
        <v>835</v>
      </c>
      <c r="E233" s="5" t="s">
        <v>2371</v>
      </c>
      <c r="F233" s="5" t="s">
        <v>2171</v>
      </c>
      <c r="G233" s="5" t="s">
        <v>1049</v>
      </c>
      <c r="H233" s="5" t="s">
        <v>2372</v>
      </c>
      <c r="I233" s="5" t="s">
        <v>2373</v>
      </c>
      <c r="J233" s="17" t="s">
        <v>121</v>
      </c>
      <c r="K233" s="17" t="s">
        <v>181</v>
      </c>
      <c r="L233" s="5" t="s">
        <v>2374</v>
      </c>
      <c r="M233" s="6" t="s">
        <v>197</v>
      </c>
      <c r="N233" s="6" t="s">
        <v>812</v>
      </c>
      <c r="O233" s="6" t="s">
        <v>121</v>
      </c>
      <c r="P233" s="5" t="s">
        <v>999</v>
      </c>
      <c r="Q233" s="17" t="s">
        <v>182</v>
      </c>
      <c r="R233" s="5" t="s">
        <v>999</v>
      </c>
      <c r="S233" s="6" t="s">
        <v>1076</v>
      </c>
      <c r="T233" s="5" t="s">
        <v>1077</v>
      </c>
      <c r="U233" s="6"/>
      <c r="V233" s="6" t="s">
        <v>1078</v>
      </c>
      <c r="W233" s="6" t="s">
        <v>331</v>
      </c>
      <c r="X233" s="5" t="s">
        <v>922</v>
      </c>
      <c r="Y233" s="5" t="s">
        <v>812</v>
      </c>
      <c r="Z233" s="5" t="str">
        <f t="shared" si="6"/>
        <v>Medium</v>
      </c>
      <c r="AA233" s="5" t="s">
        <v>956</v>
      </c>
      <c r="AB233" s="6" t="s">
        <v>924</v>
      </c>
      <c r="AC233" s="6" t="s">
        <v>103</v>
      </c>
      <c r="AD233" s="5" t="s">
        <v>925</v>
      </c>
      <c r="AE233" s="5" t="s">
        <v>354</v>
      </c>
      <c r="AF233" s="5" t="s">
        <v>354</v>
      </c>
      <c r="AG233" s="5" t="s">
        <v>354</v>
      </c>
      <c r="AH233" s="5" t="s">
        <v>354</v>
      </c>
      <c r="AI233" s="6" t="str">
        <f t="shared" si="7"/>
        <v>No</v>
      </c>
      <c r="AJ233" s="6" t="s">
        <v>926</v>
      </c>
      <c r="AK233" s="6" t="s">
        <v>121</v>
      </c>
      <c r="AL233" s="6">
        <f>MATCH(AA233,{"Low","Medium","High"},0)*MATCH(AB233,{"Low","Medium","High"},0)*INDEX({3,2,2,1,1},MATCH(X233,{"Core","Vertical extension","Differentiator","Future","Adjacent"},0))</f>
        <v>6</v>
      </c>
      <c r="AM233" s="5"/>
      <c r="AN233" s="5"/>
      <c r="AO233" s="5"/>
      <c r="AP233" s="5"/>
      <c r="AQ233" s="5"/>
      <c r="AR233" s="5"/>
      <c r="AS233" s="5"/>
      <c r="AT233" s="5"/>
      <c r="AU233" s="6" t="s">
        <v>927</v>
      </c>
      <c r="AV233" s="6" t="s">
        <v>2161</v>
      </c>
      <c r="AW233" s="6" t="s">
        <v>2161</v>
      </c>
      <c r="AX233" s="6" t="s">
        <v>1003</v>
      </c>
      <c r="AY233" s="6" t="s">
        <v>930</v>
      </c>
      <c r="AZ233" s="6"/>
      <c r="BA233" s="6"/>
      <c r="BB233" s="6"/>
      <c r="BC233" s="6" t="s">
        <v>97</v>
      </c>
      <c r="BD233" s="6" t="s">
        <v>97</v>
      </c>
    </row>
    <row r="234" spans="1:56" ht="32" customHeight="1" x14ac:dyDescent="0.35">
      <c r="A234" s="13" t="s">
        <v>2375</v>
      </c>
      <c r="B234" s="6" t="s">
        <v>2114</v>
      </c>
      <c r="C234" s="5" t="s">
        <v>2115</v>
      </c>
      <c r="D234" s="5" t="s">
        <v>835</v>
      </c>
      <c r="E234" s="5" t="s">
        <v>2376</v>
      </c>
      <c r="F234" s="5" t="s">
        <v>2209</v>
      </c>
      <c r="G234" s="5" t="s">
        <v>1452</v>
      </c>
      <c r="H234" s="5" t="s">
        <v>2377</v>
      </c>
      <c r="I234" s="5" t="s">
        <v>2378</v>
      </c>
      <c r="J234" s="17" t="s">
        <v>121</v>
      </c>
      <c r="K234" s="17" t="s">
        <v>181</v>
      </c>
      <c r="L234" s="5" t="s">
        <v>2379</v>
      </c>
      <c r="M234" s="6" t="s">
        <v>197</v>
      </c>
      <c r="N234" s="6" t="s">
        <v>812</v>
      </c>
      <c r="O234" s="6" t="s">
        <v>121</v>
      </c>
      <c r="P234" s="5" t="s">
        <v>918</v>
      </c>
      <c r="Q234" s="17" t="s">
        <v>182</v>
      </c>
      <c r="R234" s="5"/>
      <c r="S234" s="6" t="s">
        <v>1076</v>
      </c>
      <c r="T234" s="5" t="s">
        <v>1077</v>
      </c>
      <c r="U234" s="6"/>
      <c r="V234" s="6" t="s">
        <v>1078</v>
      </c>
      <c r="W234" s="6" t="s">
        <v>331</v>
      </c>
      <c r="X234" s="5" t="s">
        <v>922</v>
      </c>
      <c r="Y234" s="5" t="s">
        <v>812</v>
      </c>
      <c r="Z234" s="5" t="str">
        <f t="shared" si="6"/>
        <v>Medium</v>
      </c>
      <c r="AA234" s="5" t="s">
        <v>956</v>
      </c>
      <c r="AB234" s="6" t="s">
        <v>924</v>
      </c>
      <c r="AC234" s="6" t="s">
        <v>103</v>
      </c>
      <c r="AD234" s="5" t="s">
        <v>925</v>
      </c>
      <c r="AE234" s="5" t="s">
        <v>354</v>
      </c>
      <c r="AF234" s="5" t="s">
        <v>354</v>
      </c>
      <c r="AG234" s="5" t="s">
        <v>354</v>
      </c>
      <c r="AH234" s="5" t="s">
        <v>354</v>
      </c>
      <c r="AI234" s="6" t="str">
        <f t="shared" si="7"/>
        <v>No</v>
      </c>
      <c r="AJ234" s="6" t="s">
        <v>926</v>
      </c>
      <c r="AK234" s="6" t="s">
        <v>121</v>
      </c>
      <c r="AL234" s="6">
        <f>MATCH(AA234,{"Low","Medium","High"},0)*MATCH(AB234,{"Low","Medium","High"},0)*INDEX({3,2,2,1,1},MATCH(X234,{"Core","Vertical extension","Differentiator","Future","Adjacent"},0))</f>
        <v>6</v>
      </c>
      <c r="AM234" s="5"/>
      <c r="AN234" s="5"/>
      <c r="AO234" s="5"/>
      <c r="AP234" s="5"/>
      <c r="AQ234" s="5"/>
      <c r="AR234" s="5"/>
      <c r="AS234" s="5"/>
      <c r="AT234" s="5"/>
      <c r="AU234" s="6" t="s">
        <v>927</v>
      </c>
      <c r="AV234" s="6" t="s">
        <v>2161</v>
      </c>
      <c r="AW234" s="6" t="s">
        <v>2161</v>
      </c>
      <c r="AX234" s="6" t="s">
        <v>929</v>
      </c>
      <c r="AY234" s="6" t="s">
        <v>930</v>
      </c>
      <c r="AZ234" s="6"/>
      <c r="BA234" s="6" t="s">
        <v>2380</v>
      </c>
      <c r="BB234" s="6" t="s">
        <v>2381</v>
      </c>
      <c r="BC234" s="6" t="s">
        <v>97</v>
      </c>
      <c r="BD234" s="6" t="s">
        <v>97</v>
      </c>
    </row>
    <row r="235" spans="1:56" ht="32" customHeight="1" x14ac:dyDescent="0.35">
      <c r="A235" s="13" t="s">
        <v>2382</v>
      </c>
      <c r="B235" s="6" t="s">
        <v>2114</v>
      </c>
      <c r="C235" s="5" t="s">
        <v>2115</v>
      </c>
      <c r="D235" s="5" t="s">
        <v>835</v>
      </c>
      <c r="E235" s="5" t="s">
        <v>2383</v>
      </c>
      <c r="F235" s="5" t="s">
        <v>1452</v>
      </c>
      <c r="G235" s="5" t="s">
        <v>1459</v>
      </c>
      <c r="H235" s="5" t="s">
        <v>2384</v>
      </c>
      <c r="I235" s="5" t="s">
        <v>2385</v>
      </c>
      <c r="J235" s="17" t="s">
        <v>121</v>
      </c>
      <c r="K235" s="17" t="s">
        <v>181</v>
      </c>
      <c r="L235" s="5" t="s">
        <v>2386</v>
      </c>
      <c r="M235" s="6" t="s">
        <v>197</v>
      </c>
      <c r="N235" s="6" t="s">
        <v>812</v>
      </c>
      <c r="O235" s="6" t="s">
        <v>121</v>
      </c>
      <c r="P235" s="5" t="s">
        <v>918</v>
      </c>
      <c r="Q235" s="17" t="s">
        <v>182</v>
      </c>
      <c r="R235" s="5"/>
      <c r="S235" s="6" t="s">
        <v>1076</v>
      </c>
      <c r="T235" s="5" t="s">
        <v>1077</v>
      </c>
      <c r="U235" s="6"/>
      <c r="V235" s="6" t="s">
        <v>1078</v>
      </c>
      <c r="W235" s="6" t="s">
        <v>331</v>
      </c>
      <c r="X235" s="5" t="s">
        <v>922</v>
      </c>
      <c r="Y235" s="5" t="s">
        <v>812</v>
      </c>
      <c r="Z235" s="5" t="str">
        <f t="shared" si="6"/>
        <v>Medium</v>
      </c>
      <c r="AA235" s="5" t="s">
        <v>956</v>
      </c>
      <c r="AB235" s="6" t="s">
        <v>924</v>
      </c>
      <c r="AC235" s="6" t="s">
        <v>103</v>
      </c>
      <c r="AD235" s="5" t="s">
        <v>925</v>
      </c>
      <c r="AE235" s="5" t="s">
        <v>354</v>
      </c>
      <c r="AF235" s="5" t="s">
        <v>354</v>
      </c>
      <c r="AG235" s="5" t="s">
        <v>354</v>
      </c>
      <c r="AH235" s="5" t="s">
        <v>354</v>
      </c>
      <c r="AI235" s="6" t="str">
        <f t="shared" si="7"/>
        <v>No</v>
      </c>
      <c r="AJ235" s="6" t="s">
        <v>926</v>
      </c>
      <c r="AK235" s="6" t="s">
        <v>121</v>
      </c>
      <c r="AL235" s="6">
        <f>MATCH(AA235,{"Low","Medium","High"},0)*MATCH(AB235,{"Low","Medium","High"},0)*INDEX({3,2,2,1,1},MATCH(X235,{"Core","Vertical extension","Differentiator","Future","Adjacent"},0))</f>
        <v>6</v>
      </c>
      <c r="AM235" s="5"/>
      <c r="AN235" s="5"/>
      <c r="AO235" s="5"/>
      <c r="AP235" s="5"/>
      <c r="AQ235" s="5"/>
      <c r="AR235" s="5"/>
      <c r="AS235" s="5"/>
      <c r="AT235" s="5"/>
      <c r="AU235" s="6" t="s">
        <v>927</v>
      </c>
      <c r="AV235" s="6" t="s">
        <v>55</v>
      </c>
      <c r="AW235" s="6" t="s">
        <v>55</v>
      </c>
      <c r="AX235" s="6" t="s">
        <v>929</v>
      </c>
      <c r="AY235" s="6" t="s">
        <v>930</v>
      </c>
      <c r="AZ235" s="6"/>
      <c r="BA235" s="6"/>
      <c r="BB235" s="6"/>
      <c r="BC235" s="6" t="s">
        <v>97</v>
      </c>
      <c r="BD235" s="6" t="s">
        <v>97</v>
      </c>
    </row>
    <row r="236" spans="1:56" ht="32" customHeight="1" x14ac:dyDescent="0.35">
      <c r="A236" s="13" t="s">
        <v>2387</v>
      </c>
      <c r="B236" s="6" t="s">
        <v>2114</v>
      </c>
      <c r="C236" s="5" t="s">
        <v>2115</v>
      </c>
      <c r="D236" s="5" t="s">
        <v>829</v>
      </c>
      <c r="E236" s="5" t="s">
        <v>2388</v>
      </c>
      <c r="F236" s="5" t="s">
        <v>1400</v>
      </c>
      <c r="G236" s="5" t="s">
        <v>1101</v>
      </c>
      <c r="H236" s="5" t="s">
        <v>2389</v>
      </c>
      <c r="I236" s="5" t="s">
        <v>2390</v>
      </c>
      <c r="J236" s="17" t="s">
        <v>121</v>
      </c>
      <c r="K236" s="17" t="s">
        <v>181</v>
      </c>
      <c r="L236" s="5" t="s">
        <v>2391</v>
      </c>
      <c r="M236" s="6" t="s">
        <v>197</v>
      </c>
      <c r="N236" s="6" t="s">
        <v>812</v>
      </c>
      <c r="O236" s="6" t="s">
        <v>121</v>
      </c>
      <c r="P236" s="5" t="s">
        <v>918</v>
      </c>
      <c r="Q236" s="18" t="s">
        <v>186</v>
      </c>
      <c r="R236" s="5" t="s">
        <v>2392</v>
      </c>
      <c r="S236" s="6" t="s">
        <v>980</v>
      </c>
      <c r="T236" s="5" t="s">
        <v>981</v>
      </c>
      <c r="U236" s="6"/>
      <c r="V236" s="6" t="s">
        <v>982</v>
      </c>
      <c r="W236" s="6" t="s">
        <v>331</v>
      </c>
      <c r="X236" s="5" t="s">
        <v>922</v>
      </c>
      <c r="Y236" s="5" t="s">
        <v>812</v>
      </c>
      <c r="Z236" s="5" t="str">
        <f t="shared" si="6"/>
        <v>High</v>
      </c>
      <c r="AA236" s="5" t="s">
        <v>923</v>
      </c>
      <c r="AB236" s="6" t="s">
        <v>924</v>
      </c>
      <c r="AC236" s="6" t="s">
        <v>103</v>
      </c>
      <c r="AD236" s="5" t="s">
        <v>940</v>
      </c>
      <c r="AE236" s="5" t="s">
        <v>354</v>
      </c>
      <c r="AF236" s="5" t="s">
        <v>354</v>
      </c>
      <c r="AG236" s="5" t="s">
        <v>354</v>
      </c>
      <c r="AH236" s="5" t="s">
        <v>354</v>
      </c>
      <c r="AI236" s="6" t="str">
        <f t="shared" si="7"/>
        <v>No</v>
      </c>
      <c r="AJ236" s="6" t="s">
        <v>941</v>
      </c>
      <c r="AK236" s="6" t="s">
        <v>121</v>
      </c>
      <c r="AL236" s="6">
        <f>MATCH(AA236,{"Low","Medium","High"},0)*MATCH(AB236,{"Low","Medium","High"},0)*INDEX({3,2,2,1,1},MATCH(X236,{"Core","Vertical extension","Differentiator","Future","Adjacent"},0))</f>
        <v>9</v>
      </c>
      <c r="AM236" s="5"/>
      <c r="AN236" s="5"/>
      <c r="AO236" s="5"/>
      <c r="AP236" s="5"/>
      <c r="AQ236" s="5"/>
      <c r="AR236" s="5"/>
      <c r="AS236" s="5"/>
      <c r="AT236" s="5"/>
      <c r="AU236" s="6" t="s">
        <v>927</v>
      </c>
      <c r="AV236" s="6" t="s">
        <v>1296</v>
      </c>
      <c r="AW236" s="6" t="s">
        <v>1296</v>
      </c>
      <c r="AX236" s="6" t="s">
        <v>929</v>
      </c>
      <c r="AY236" s="6" t="s">
        <v>930</v>
      </c>
      <c r="AZ236" s="6"/>
      <c r="BA236" s="6" t="s">
        <v>2393</v>
      </c>
      <c r="BB236" s="6" t="s">
        <v>1080</v>
      </c>
      <c r="BC236" s="6" t="s">
        <v>97</v>
      </c>
      <c r="BD236" s="6" t="s">
        <v>97</v>
      </c>
    </row>
    <row r="237" spans="1:56" ht="32" customHeight="1" x14ac:dyDescent="0.35">
      <c r="A237" s="13" t="s">
        <v>2394</v>
      </c>
      <c r="B237" s="6" t="s">
        <v>2114</v>
      </c>
      <c r="C237" s="5" t="s">
        <v>2115</v>
      </c>
      <c r="D237" s="5" t="s">
        <v>829</v>
      </c>
      <c r="E237" s="5" t="s">
        <v>2395</v>
      </c>
      <c r="F237" s="5" t="s">
        <v>2396</v>
      </c>
      <c r="G237" s="5" t="s">
        <v>1017</v>
      </c>
      <c r="H237" s="5" t="s">
        <v>2397</v>
      </c>
      <c r="I237" s="5" t="s">
        <v>2398</v>
      </c>
      <c r="J237" s="17" t="s">
        <v>121</v>
      </c>
      <c r="K237" s="17" t="s">
        <v>181</v>
      </c>
      <c r="L237" s="5" t="s">
        <v>2399</v>
      </c>
      <c r="M237" s="6" t="s">
        <v>197</v>
      </c>
      <c r="N237" s="6" t="s">
        <v>812</v>
      </c>
      <c r="O237" s="6" t="s">
        <v>121</v>
      </c>
      <c r="P237" s="5" t="s">
        <v>999</v>
      </c>
      <c r="Q237" s="17" t="s">
        <v>182</v>
      </c>
      <c r="R237" s="5" t="s">
        <v>999</v>
      </c>
      <c r="S237" s="6" t="s">
        <v>980</v>
      </c>
      <c r="T237" s="5" t="s">
        <v>981</v>
      </c>
      <c r="U237" s="6"/>
      <c r="V237" s="6" t="s">
        <v>982</v>
      </c>
      <c r="W237" s="6" t="s">
        <v>331</v>
      </c>
      <c r="X237" s="5" t="s">
        <v>922</v>
      </c>
      <c r="Y237" s="5" t="s">
        <v>812</v>
      </c>
      <c r="Z237" s="5" t="str">
        <f t="shared" si="6"/>
        <v>High</v>
      </c>
      <c r="AA237" s="5" t="s">
        <v>923</v>
      </c>
      <c r="AB237" s="6" t="s">
        <v>924</v>
      </c>
      <c r="AC237" s="6" t="s">
        <v>103</v>
      </c>
      <c r="AD237" s="5" t="s">
        <v>925</v>
      </c>
      <c r="AE237" s="5" t="s">
        <v>354</v>
      </c>
      <c r="AF237" s="5" t="s">
        <v>354</v>
      </c>
      <c r="AG237" s="5" t="s">
        <v>354</v>
      </c>
      <c r="AH237" s="5" t="s">
        <v>354</v>
      </c>
      <c r="AI237" s="6" t="str">
        <f t="shared" si="7"/>
        <v>No</v>
      </c>
      <c r="AJ237" s="6" t="s">
        <v>926</v>
      </c>
      <c r="AK237" s="6" t="s">
        <v>121</v>
      </c>
      <c r="AL237" s="6">
        <f>MATCH(AA237,{"Low","Medium","High"},0)*MATCH(AB237,{"Low","Medium","High"},0)*INDEX({3,2,2,1,1},MATCH(X237,{"Core","Vertical extension","Differentiator","Future","Adjacent"},0))</f>
        <v>9</v>
      </c>
      <c r="AM237" s="5"/>
      <c r="AN237" s="5"/>
      <c r="AO237" s="5"/>
      <c r="AP237" s="5"/>
      <c r="AQ237" s="5"/>
      <c r="AR237" s="5"/>
      <c r="AS237" s="5"/>
      <c r="AT237" s="5"/>
      <c r="AU237" s="6" t="s">
        <v>927</v>
      </c>
      <c r="AV237" s="6" t="s">
        <v>928</v>
      </c>
      <c r="AW237" s="6" t="s">
        <v>928</v>
      </c>
      <c r="AX237" s="6" t="s">
        <v>1003</v>
      </c>
      <c r="AY237" s="6" t="s">
        <v>930</v>
      </c>
      <c r="AZ237" s="6"/>
      <c r="BA237" s="6" t="s">
        <v>1079</v>
      </c>
      <c r="BB237" s="6" t="s">
        <v>1080</v>
      </c>
      <c r="BC237" s="6" t="s">
        <v>97</v>
      </c>
      <c r="BD237" s="6" t="s">
        <v>97</v>
      </c>
    </row>
    <row r="238" spans="1:56" ht="32" customHeight="1" x14ac:dyDescent="0.35">
      <c r="A238" s="13" t="s">
        <v>2400</v>
      </c>
      <c r="B238" s="6" t="s">
        <v>2114</v>
      </c>
      <c r="C238" s="5" t="s">
        <v>2115</v>
      </c>
      <c r="D238" s="5" t="s">
        <v>829</v>
      </c>
      <c r="E238" s="5" t="s">
        <v>2401</v>
      </c>
      <c r="F238" s="5" t="s">
        <v>1400</v>
      </c>
      <c r="G238" s="5" t="s">
        <v>1017</v>
      </c>
      <c r="H238" s="5" t="s">
        <v>2402</v>
      </c>
      <c r="I238" s="5" t="s">
        <v>2403</v>
      </c>
      <c r="J238" s="17" t="s">
        <v>121</v>
      </c>
      <c r="K238" s="17" t="s">
        <v>181</v>
      </c>
      <c r="L238" s="5" t="s">
        <v>2404</v>
      </c>
      <c r="M238" s="6" t="s">
        <v>197</v>
      </c>
      <c r="N238" s="6" t="s">
        <v>812</v>
      </c>
      <c r="O238" s="6" t="s">
        <v>121</v>
      </c>
      <c r="P238" s="5" t="s">
        <v>918</v>
      </c>
      <c r="Q238" s="18" t="s">
        <v>186</v>
      </c>
      <c r="R238" s="5" t="s">
        <v>1236</v>
      </c>
      <c r="S238" s="6" t="s">
        <v>980</v>
      </c>
      <c r="T238" s="5" t="s">
        <v>981</v>
      </c>
      <c r="U238" s="6"/>
      <c r="V238" s="6" t="s">
        <v>982</v>
      </c>
      <c r="W238" s="6" t="s">
        <v>331</v>
      </c>
      <c r="X238" s="5" t="s">
        <v>922</v>
      </c>
      <c r="Y238" s="5" t="s">
        <v>812</v>
      </c>
      <c r="Z238" s="5" t="str">
        <f t="shared" si="6"/>
        <v>High</v>
      </c>
      <c r="AA238" s="5" t="s">
        <v>923</v>
      </c>
      <c r="AB238" s="6" t="s">
        <v>924</v>
      </c>
      <c r="AC238" s="6" t="s">
        <v>103</v>
      </c>
      <c r="AD238" s="5" t="s">
        <v>940</v>
      </c>
      <c r="AE238" s="5" t="s">
        <v>354</v>
      </c>
      <c r="AF238" s="5" t="s">
        <v>354</v>
      </c>
      <c r="AG238" s="5" t="s">
        <v>354</v>
      </c>
      <c r="AH238" s="5" t="s">
        <v>354</v>
      </c>
      <c r="AI238" s="6" t="str">
        <f t="shared" si="7"/>
        <v>No</v>
      </c>
      <c r="AJ238" s="6" t="s">
        <v>941</v>
      </c>
      <c r="AK238" s="6" t="s">
        <v>121</v>
      </c>
      <c r="AL238" s="6">
        <f>MATCH(AA238,{"Low","Medium","High"},0)*MATCH(AB238,{"Low","Medium","High"},0)*INDEX({3,2,2,1,1},MATCH(X238,{"Core","Vertical extension","Differentiator","Future","Adjacent"},0))</f>
        <v>9</v>
      </c>
      <c r="AM238" s="5"/>
      <c r="AN238" s="5"/>
      <c r="AO238" s="5"/>
      <c r="AP238" s="5"/>
      <c r="AQ238" s="5"/>
      <c r="AR238" s="5"/>
      <c r="AS238" s="5"/>
      <c r="AT238" s="5"/>
      <c r="AU238" s="6" t="s">
        <v>927</v>
      </c>
      <c r="AV238" s="6" t="s">
        <v>1296</v>
      </c>
      <c r="AW238" s="6" t="s">
        <v>1296</v>
      </c>
      <c r="AX238" s="6" t="s">
        <v>929</v>
      </c>
      <c r="AY238" s="6" t="s">
        <v>930</v>
      </c>
      <c r="AZ238" s="6"/>
      <c r="BA238" s="6" t="s">
        <v>2225</v>
      </c>
      <c r="BB238" s="6" t="s">
        <v>1080</v>
      </c>
      <c r="BC238" s="6" t="s">
        <v>97</v>
      </c>
      <c r="BD238" s="6" t="s">
        <v>97</v>
      </c>
    </row>
    <row r="239" spans="1:56" ht="32" customHeight="1" x14ac:dyDescent="0.35">
      <c r="A239" s="13" t="s">
        <v>2405</v>
      </c>
      <c r="B239" s="6" t="s">
        <v>2114</v>
      </c>
      <c r="C239" s="5" t="s">
        <v>2115</v>
      </c>
      <c r="D239" s="5" t="s">
        <v>829</v>
      </c>
      <c r="E239" s="5" t="s">
        <v>2406</v>
      </c>
      <c r="F239" s="5" t="s">
        <v>1400</v>
      </c>
      <c r="G239" s="5" t="s">
        <v>1101</v>
      </c>
      <c r="H239" s="5" t="s">
        <v>2407</v>
      </c>
      <c r="I239" s="5" t="s">
        <v>2408</v>
      </c>
      <c r="J239" s="17" t="s">
        <v>121</v>
      </c>
      <c r="K239" s="17" t="s">
        <v>181</v>
      </c>
      <c r="L239" s="5" t="s">
        <v>2409</v>
      </c>
      <c r="M239" s="6" t="s">
        <v>197</v>
      </c>
      <c r="N239" s="6" t="s">
        <v>812</v>
      </c>
      <c r="O239" s="6" t="s">
        <v>121</v>
      </c>
      <c r="P239" s="5" t="s">
        <v>918</v>
      </c>
      <c r="Q239" s="18" t="s">
        <v>186</v>
      </c>
      <c r="R239" s="5" t="s">
        <v>2410</v>
      </c>
      <c r="S239" s="6" t="s">
        <v>980</v>
      </c>
      <c r="T239" s="5" t="s">
        <v>981</v>
      </c>
      <c r="U239" s="6"/>
      <c r="V239" s="6" t="s">
        <v>982</v>
      </c>
      <c r="W239" s="6" t="s">
        <v>331</v>
      </c>
      <c r="X239" s="5" t="s">
        <v>922</v>
      </c>
      <c r="Y239" s="5" t="s">
        <v>812</v>
      </c>
      <c r="Z239" s="5" t="str">
        <f t="shared" si="6"/>
        <v>High</v>
      </c>
      <c r="AA239" s="5" t="s">
        <v>923</v>
      </c>
      <c r="AB239" s="6" t="s">
        <v>924</v>
      </c>
      <c r="AC239" s="6" t="s">
        <v>103</v>
      </c>
      <c r="AD239" s="5" t="s">
        <v>940</v>
      </c>
      <c r="AE239" s="5" t="s">
        <v>354</v>
      </c>
      <c r="AF239" s="5" t="s">
        <v>354</v>
      </c>
      <c r="AG239" s="5" t="s">
        <v>354</v>
      </c>
      <c r="AH239" s="5" t="s">
        <v>354</v>
      </c>
      <c r="AI239" s="6" t="str">
        <f t="shared" si="7"/>
        <v>No</v>
      </c>
      <c r="AJ239" s="6" t="s">
        <v>941</v>
      </c>
      <c r="AK239" s="6" t="s">
        <v>121</v>
      </c>
      <c r="AL239" s="6">
        <f>MATCH(AA239,{"Low","Medium","High"},0)*MATCH(AB239,{"Low","Medium","High"},0)*INDEX({3,2,2,1,1},MATCH(X239,{"Core","Vertical extension","Differentiator","Future","Adjacent"},0))</f>
        <v>9</v>
      </c>
      <c r="AM239" s="5"/>
      <c r="AN239" s="5"/>
      <c r="AO239" s="5"/>
      <c r="AP239" s="5"/>
      <c r="AQ239" s="5"/>
      <c r="AR239" s="5"/>
      <c r="AS239" s="5"/>
      <c r="AT239" s="5"/>
      <c r="AU239" s="6" t="s">
        <v>927</v>
      </c>
      <c r="AV239" s="6" t="s">
        <v>1296</v>
      </c>
      <c r="AW239" s="6" t="s">
        <v>1296</v>
      </c>
      <c r="AX239" s="6" t="s">
        <v>929</v>
      </c>
      <c r="AY239" s="6" t="s">
        <v>930</v>
      </c>
      <c r="AZ239" s="6"/>
      <c r="BA239" s="6" t="s">
        <v>2411</v>
      </c>
      <c r="BB239" s="6" t="s">
        <v>1080</v>
      </c>
      <c r="BC239" s="6" t="s">
        <v>97</v>
      </c>
      <c r="BD239" s="6" t="s">
        <v>97</v>
      </c>
    </row>
    <row r="240" spans="1:56" ht="32" customHeight="1" x14ac:dyDescent="0.35">
      <c r="A240" s="13" t="s">
        <v>2412</v>
      </c>
      <c r="B240" s="6" t="s">
        <v>2114</v>
      </c>
      <c r="C240" s="5" t="s">
        <v>2115</v>
      </c>
      <c r="D240" s="5" t="s">
        <v>829</v>
      </c>
      <c r="E240" s="5" t="s">
        <v>2413</v>
      </c>
      <c r="F240" s="5" t="s">
        <v>2414</v>
      </c>
      <c r="G240" s="5" t="s">
        <v>1353</v>
      </c>
      <c r="H240" s="5" t="s">
        <v>2415</v>
      </c>
      <c r="I240" s="5" t="s">
        <v>2416</v>
      </c>
      <c r="J240" s="17" t="s">
        <v>121</v>
      </c>
      <c r="K240" s="17" t="s">
        <v>181</v>
      </c>
      <c r="L240" s="5" t="s">
        <v>2417</v>
      </c>
      <c r="M240" s="6" t="s">
        <v>197</v>
      </c>
      <c r="N240" s="6" t="s">
        <v>812</v>
      </c>
      <c r="O240" s="6" t="s">
        <v>121</v>
      </c>
      <c r="P240" s="5" t="s">
        <v>918</v>
      </c>
      <c r="Q240" s="18" t="s">
        <v>186</v>
      </c>
      <c r="R240" s="5" t="s">
        <v>1358</v>
      </c>
      <c r="S240" s="6" t="s">
        <v>980</v>
      </c>
      <c r="T240" s="5" t="s">
        <v>981</v>
      </c>
      <c r="U240" s="6"/>
      <c r="V240" s="6" t="s">
        <v>982</v>
      </c>
      <c r="W240" s="6" t="s">
        <v>331</v>
      </c>
      <c r="X240" s="5" t="s">
        <v>922</v>
      </c>
      <c r="Y240" s="5" t="s">
        <v>812</v>
      </c>
      <c r="Z240" s="5" t="str">
        <f t="shared" si="6"/>
        <v>High</v>
      </c>
      <c r="AA240" s="5" t="s">
        <v>923</v>
      </c>
      <c r="AB240" s="6" t="s">
        <v>924</v>
      </c>
      <c r="AC240" s="6" t="s">
        <v>103</v>
      </c>
      <c r="AD240" s="5" t="s">
        <v>940</v>
      </c>
      <c r="AE240" s="5" t="s">
        <v>354</v>
      </c>
      <c r="AF240" s="5" t="s">
        <v>354</v>
      </c>
      <c r="AG240" s="5" t="s">
        <v>354</v>
      </c>
      <c r="AH240" s="5" t="s">
        <v>354</v>
      </c>
      <c r="AI240" s="6" t="str">
        <f t="shared" si="7"/>
        <v>No</v>
      </c>
      <c r="AJ240" s="6" t="s">
        <v>941</v>
      </c>
      <c r="AK240" s="6" t="s">
        <v>121</v>
      </c>
      <c r="AL240" s="6">
        <f>MATCH(AA240,{"Low","Medium","High"},0)*MATCH(AB240,{"Low","Medium","High"},0)*INDEX({3,2,2,1,1},MATCH(X240,{"Core","Vertical extension","Differentiator","Future","Adjacent"},0))</f>
        <v>9</v>
      </c>
      <c r="AM240" s="5"/>
      <c r="AN240" s="5"/>
      <c r="AO240" s="5"/>
      <c r="AP240" s="5"/>
      <c r="AQ240" s="5"/>
      <c r="AR240" s="5"/>
      <c r="AS240" s="5"/>
      <c r="AT240" s="5"/>
      <c r="AU240" s="6" t="s">
        <v>927</v>
      </c>
      <c r="AV240" s="6" t="s">
        <v>1296</v>
      </c>
      <c r="AW240" s="6" t="s">
        <v>1296</v>
      </c>
      <c r="AX240" s="6" t="s">
        <v>929</v>
      </c>
      <c r="AY240" s="6" t="s">
        <v>930</v>
      </c>
      <c r="AZ240" s="6"/>
      <c r="BA240" s="6" t="s">
        <v>2418</v>
      </c>
      <c r="BB240" s="6" t="s">
        <v>1080</v>
      </c>
      <c r="BC240" s="6" t="s">
        <v>97</v>
      </c>
      <c r="BD240" s="6" t="s">
        <v>97</v>
      </c>
    </row>
    <row r="241" spans="1:56" ht="32" customHeight="1" x14ac:dyDescent="0.35">
      <c r="A241" s="13" t="s">
        <v>2419</v>
      </c>
      <c r="B241" s="6" t="s">
        <v>2114</v>
      </c>
      <c r="C241" s="5" t="s">
        <v>2115</v>
      </c>
      <c r="D241" s="5" t="s">
        <v>829</v>
      </c>
      <c r="E241" s="5" t="s">
        <v>2420</v>
      </c>
      <c r="F241" s="5" t="s">
        <v>2421</v>
      </c>
      <c r="G241" s="5" t="s">
        <v>1353</v>
      </c>
      <c r="H241" s="5" t="s">
        <v>2422</v>
      </c>
      <c r="I241" s="5" t="s">
        <v>2423</v>
      </c>
      <c r="J241" s="17" t="s">
        <v>121</v>
      </c>
      <c r="K241" s="17" t="s">
        <v>181</v>
      </c>
      <c r="L241" s="5" t="s">
        <v>2424</v>
      </c>
      <c r="M241" s="6" t="s">
        <v>197</v>
      </c>
      <c r="N241" s="6" t="s">
        <v>812</v>
      </c>
      <c r="O241" s="6" t="s">
        <v>121</v>
      </c>
      <c r="P241" s="5" t="s">
        <v>918</v>
      </c>
      <c r="Q241" s="18" t="s">
        <v>186</v>
      </c>
      <c r="R241" s="5" t="s">
        <v>1358</v>
      </c>
      <c r="S241" s="6" t="s">
        <v>980</v>
      </c>
      <c r="T241" s="5" t="s">
        <v>981</v>
      </c>
      <c r="U241" s="6"/>
      <c r="V241" s="6" t="s">
        <v>982</v>
      </c>
      <c r="W241" s="6" t="s">
        <v>331</v>
      </c>
      <c r="X241" s="5" t="s">
        <v>922</v>
      </c>
      <c r="Y241" s="5" t="s">
        <v>812</v>
      </c>
      <c r="Z241" s="5" t="str">
        <f t="shared" si="6"/>
        <v>High</v>
      </c>
      <c r="AA241" s="5" t="s">
        <v>923</v>
      </c>
      <c r="AB241" s="6" t="s">
        <v>924</v>
      </c>
      <c r="AC241" s="6" t="s">
        <v>103</v>
      </c>
      <c r="AD241" s="5" t="s">
        <v>940</v>
      </c>
      <c r="AE241" s="5" t="s">
        <v>354</v>
      </c>
      <c r="AF241" s="5" t="s">
        <v>354</v>
      </c>
      <c r="AG241" s="5" t="s">
        <v>354</v>
      </c>
      <c r="AH241" s="5" t="s">
        <v>354</v>
      </c>
      <c r="AI241" s="6" t="str">
        <f t="shared" si="7"/>
        <v>No</v>
      </c>
      <c r="AJ241" s="6" t="s">
        <v>941</v>
      </c>
      <c r="AK241" s="6" t="s">
        <v>121</v>
      </c>
      <c r="AL241" s="6">
        <f>MATCH(AA241,{"Low","Medium","High"},0)*MATCH(AB241,{"Low","Medium","High"},0)*INDEX({3,2,2,1,1},MATCH(X241,{"Core","Vertical extension","Differentiator","Future","Adjacent"},0))</f>
        <v>9</v>
      </c>
      <c r="AM241" s="5"/>
      <c r="AN241" s="5"/>
      <c r="AO241" s="5"/>
      <c r="AP241" s="5"/>
      <c r="AQ241" s="5"/>
      <c r="AR241" s="5"/>
      <c r="AS241" s="5"/>
      <c r="AT241" s="5"/>
      <c r="AU241" s="6" t="s">
        <v>927</v>
      </c>
      <c r="AV241" s="6" t="s">
        <v>1296</v>
      </c>
      <c r="AW241" s="6" t="s">
        <v>1296</v>
      </c>
      <c r="AX241" s="6" t="s">
        <v>929</v>
      </c>
      <c r="AY241" s="6" t="s">
        <v>930</v>
      </c>
      <c r="AZ241" s="6"/>
      <c r="BA241" s="6" t="s">
        <v>2418</v>
      </c>
      <c r="BB241" s="6" t="s">
        <v>1080</v>
      </c>
      <c r="BC241" s="6" t="s">
        <v>97</v>
      </c>
      <c r="BD241" s="6" t="s">
        <v>97</v>
      </c>
    </row>
    <row r="242" spans="1:56" ht="32" customHeight="1" x14ac:dyDescent="0.35">
      <c r="A242" s="13" t="s">
        <v>2425</v>
      </c>
      <c r="B242" s="6" t="s">
        <v>2114</v>
      </c>
      <c r="C242" s="5" t="s">
        <v>2115</v>
      </c>
      <c r="D242" s="5" t="s">
        <v>829</v>
      </c>
      <c r="E242" s="5" t="s">
        <v>2426</v>
      </c>
      <c r="F242" s="5" t="s">
        <v>1497</v>
      </c>
      <c r="G242" s="5" t="s">
        <v>1459</v>
      </c>
      <c r="H242" s="5" t="s">
        <v>2427</v>
      </c>
      <c r="I242" s="5" t="s">
        <v>2428</v>
      </c>
      <c r="J242" s="17" t="s">
        <v>121</v>
      </c>
      <c r="K242" s="17" t="s">
        <v>181</v>
      </c>
      <c r="L242" s="5" t="s">
        <v>2429</v>
      </c>
      <c r="M242" s="6" t="s">
        <v>197</v>
      </c>
      <c r="N242" s="6" t="s">
        <v>812</v>
      </c>
      <c r="O242" s="6" t="s">
        <v>121</v>
      </c>
      <c r="P242" s="5" t="s">
        <v>918</v>
      </c>
      <c r="Q242" s="18" t="s">
        <v>186</v>
      </c>
      <c r="R242" s="5" t="s">
        <v>1358</v>
      </c>
      <c r="S242" s="6" t="s">
        <v>980</v>
      </c>
      <c r="T242" s="5" t="s">
        <v>981</v>
      </c>
      <c r="U242" s="6"/>
      <c r="V242" s="6" t="s">
        <v>982</v>
      </c>
      <c r="W242" s="6" t="s">
        <v>331</v>
      </c>
      <c r="X242" s="5" t="s">
        <v>922</v>
      </c>
      <c r="Y242" s="5" t="s">
        <v>812</v>
      </c>
      <c r="Z242" s="5" t="str">
        <f t="shared" si="6"/>
        <v>High</v>
      </c>
      <c r="AA242" s="5" t="s">
        <v>923</v>
      </c>
      <c r="AB242" s="6" t="s">
        <v>924</v>
      </c>
      <c r="AC242" s="6" t="s">
        <v>103</v>
      </c>
      <c r="AD242" s="5" t="s">
        <v>940</v>
      </c>
      <c r="AE242" s="5" t="s">
        <v>354</v>
      </c>
      <c r="AF242" s="5" t="s">
        <v>354</v>
      </c>
      <c r="AG242" s="5" t="s">
        <v>354</v>
      </c>
      <c r="AH242" s="5" t="s">
        <v>354</v>
      </c>
      <c r="AI242" s="6" t="str">
        <f t="shared" si="7"/>
        <v>No</v>
      </c>
      <c r="AJ242" s="6" t="s">
        <v>941</v>
      </c>
      <c r="AK242" s="6" t="s">
        <v>121</v>
      </c>
      <c r="AL242" s="6">
        <f>MATCH(AA242,{"Low","Medium","High"},0)*MATCH(AB242,{"Low","Medium","High"},0)*INDEX({3,2,2,1,1},MATCH(X242,{"Core","Vertical extension","Differentiator","Future","Adjacent"},0))</f>
        <v>9</v>
      </c>
      <c r="AM242" s="5"/>
      <c r="AN242" s="5"/>
      <c r="AO242" s="5"/>
      <c r="AP242" s="5"/>
      <c r="AQ242" s="5"/>
      <c r="AR242" s="5"/>
      <c r="AS242" s="5"/>
      <c r="AT242" s="5"/>
      <c r="AU242" s="6" t="s">
        <v>927</v>
      </c>
      <c r="AV242" s="6" t="s">
        <v>1306</v>
      </c>
      <c r="AW242" s="6" t="s">
        <v>1306</v>
      </c>
      <c r="AX242" s="6" t="s">
        <v>929</v>
      </c>
      <c r="AY242" s="6" t="s">
        <v>930</v>
      </c>
      <c r="AZ242" s="6"/>
      <c r="BA242" s="6" t="s">
        <v>1361</v>
      </c>
      <c r="BB242" s="6" t="s">
        <v>1362</v>
      </c>
      <c r="BC242" s="6" t="s">
        <v>97</v>
      </c>
      <c r="BD242" s="6" t="s">
        <v>97</v>
      </c>
    </row>
    <row r="243" spans="1:56" ht="32" customHeight="1" x14ac:dyDescent="0.35">
      <c r="A243" s="13" t="s">
        <v>2430</v>
      </c>
      <c r="B243" s="6" t="s">
        <v>2114</v>
      </c>
      <c r="C243" s="5" t="s">
        <v>2115</v>
      </c>
      <c r="D243" s="5" t="s">
        <v>829</v>
      </c>
      <c r="E243" s="5" t="s">
        <v>2431</v>
      </c>
      <c r="F243" s="5" t="s">
        <v>2432</v>
      </c>
      <c r="G243" s="5" t="s">
        <v>2433</v>
      </c>
      <c r="H243" s="5" t="s">
        <v>2434</v>
      </c>
      <c r="I243" s="5" t="s">
        <v>2435</v>
      </c>
      <c r="J243" s="17" t="s">
        <v>121</v>
      </c>
      <c r="K243" s="17" t="s">
        <v>181</v>
      </c>
      <c r="L243" s="5" t="s">
        <v>2436</v>
      </c>
      <c r="M243" s="6" t="s">
        <v>197</v>
      </c>
      <c r="N243" s="6" t="s">
        <v>812</v>
      </c>
      <c r="O243" s="6" t="s">
        <v>121</v>
      </c>
      <c r="P243" s="5" t="s">
        <v>918</v>
      </c>
      <c r="Q243" s="18" t="s">
        <v>186</v>
      </c>
      <c r="R243" s="5" t="s">
        <v>1429</v>
      </c>
      <c r="S243" s="6" t="s">
        <v>980</v>
      </c>
      <c r="T243" s="5" t="s">
        <v>981</v>
      </c>
      <c r="U243" s="6"/>
      <c r="V243" s="6" t="s">
        <v>982</v>
      </c>
      <c r="W243" s="6" t="s">
        <v>331</v>
      </c>
      <c r="X243" s="5" t="s">
        <v>922</v>
      </c>
      <c r="Y243" s="5" t="s">
        <v>812</v>
      </c>
      <c r="Z243" s="5" t="str">
        <f t="shared" si="6"/>
        <v>High</v>
      </c>
      <c r="AA243" s="5" t="s">
        <v>923</v>
      </c>
      <c r="AB243" s="6" t="s">
        <v>924</v>
      </c>
      <c r="AC243" s="6" t="s">
        <v>103</v>
      </c>
      <c r="AD243" s="5" t="s">
        <v>940</v>
      </c>
      <c r="AE243" s="5" t="s">
        <v>354</v>
      </c>
      <c r="AF243" s="5" t="s">
        <v>354</v>
      </c>
      <c r="AG243" s="5" t="s">
        <v>354</v>
      </c>
      <c r="AH243" s="5" t="s">
        <v>354</v>
      </c>
      <c r="AI243" s="6" t="str">
        <f t="shared" si="7"/>
        <v>No</v>
      </c>
      <c r="AJ243" s="6" t="s">
        <v>941</v>
      </c>
      <c r="AK243" s="6" t="s">
        <v>121</v>
      </c>
      <c r="AL243" s="6">
        <f>MATCH(AA243,{"Low","Medium","High"},0)*MATCH(AB243,{"Low","Medium","High"},0)*INDEX({3,2,2,1,1},MATCH(X243,{"Core","Vertical extension","Differentiator","Future","Adjacent"},0))</f>
        <v>9</v>
      </c>
      <c r="AM243" s="5"/>
      <c r="AN243" s="5"/>
      <c r="AO243" s="5"/>
      <c r="AP243" s="5"/>
      <c r="AQ243" s="5"/>
      <c r="AR243" s="5"/>
      <c r="AS243" s="5"/>
      <c r="AT243" s="5"/>
      <c r="AU243" s="6" t="s">
        <v>927</v>
      </c>
      <c r="AV243" s="6" t="s">
        <v>1322</v>
      </c>
      <c r="AW243" s="6" t="s">
        <v>1322</v>
      </c>
      <c r="AX243" s="6" t="s">
        <v>929</v>
      </c>
      <c r="AY243" s="6" t="s">
        <v>930</v>
      </c>
      <c r="AZ243" s="6"/>
      <c r="BA243" s="6"/>
      <c r="BB243" s="6"/>
      <c r="BC243" s="6" t="s">
        <v>97</v>
      </c>
      <c r="BD243" s="6" t="s">
        <v>97</v>
      </c>
    </row>
    <row r="244" spans="1:56" ht="32" customHeight="1" x14ac:dyDescent="0.35">
      <c r="A244" s="13" t="s">
        <v>2437</v>
      </c>
      <c r="B244" s="6" t="s">
        <v>2114</v>
      </c>
      <c r="C244" s="5" t="s">
        <v>2115</v>
      </c>
      <c r="D244" s="5" t="s">
        <v>829</v>
      </c>
      <c r="E244" s="5" t="s">
        <v>2438</v>
      </c>
      <c r="F244" s="5" t="s">
        <v>2280</v>
      </c>
      <c r="G244" s="5" t="s">
        <v>1881</v>
      </c>
      <c r="H244" s="5" t="s">
        <v>2439</v>
      </c>
      <c r="I244" s="5" t="s">
        <v>2440</v>
      </c>
      <c r="J244" s="17" t="s">
        <v>121</v>
      </c>
      <c r="K244" s="17" t="s">
        <v>181</v>
      </c>
      <c r="L244" s="5" t="s">
        <v>2441</v>
      </c>
      <c r="M244" s="6" t="s">
        <v>197</v>
      </c>
      <c r="N244" s="6" t="s">
        <v>812</v>
      </c>
      <c r="O244" s="6" t="s">
        <v>121</v>
      </c>
      <c r="P244" s="5" t="s">
        <v>999</v>
      </c>
      <c r="Q244" s="17" t="s">
        <v>182</v>
      </c>
      <c r="R244" s="5" t="s">
        <v>999</v>
      </c>
      <c r="S244" s="6" t="s">
        <v>980</v>
      </c>
      <c r="T244" s="5" t="s">
        <v>981</v>
      </c>
      <c r="U244" s="6"/>
      <c r="V244" s="6" t="s">
        <v>982</v>
      </c>
      <c r="W244" s="6" t="s">
        <v>331</v>
      </c>
      <c r="X244" s="5" t="s">
        <v>922</v>
      </c>
      <c r="Y244" s="5" t="s">
        <v>812</v>
      </c>
      <c r="Z244" s="5" t="str">
        <f t="shared" si="6"/>
        <v>High</v>
      </c>
      <c r="AA244" s="5" t="s">
        <v>923</v>
      </c>
      <c r="AB244" s="6" t="s">
        <v>924</v>
      </c>
      <c r="AC244" s="6" t="s">
        <v>103</v>
      </c>
      <c r="AD244" s="5" t="s">
        <v>925</v>
      </c>
      <c r="AE244" s="5" t="s">
        <v>354</v>
      </c>
      <c r="AF244" s="5" t="s">
        <v>354</v>
      </c>
      <c r="AG244" s="5" t="s">
        <v>354</v>
      </c>
      <c r="AH244" s="5" t="s">
        <v>354</v>
      </c>
      <c r="AI244" s="6" t="str">
        <f t="shared" si="7"/>
        <v>No</v>
      </c>
      <c r="AJ244" s="6" t="s">
        <v>926</v>
      </c>
      <c r="AK244" s="6" t="s">
        <v>121</v>
      </c>
      <c r="AL244" s="6">
        <f>MATCH(AA244,{"Low","Medium","High"},0)*MATCH(AB244,{"Low","Medium","High"},0)*INDEX({3,2,2,1,1},MATCH(X244,{"Core","Vertical extension","Differentiator","Future","Adjacent"},0))</f>
        <v>9</v>
      </c>
      <c r="AM244" s="5"/>
      <c r="AN244" s="5"/>
      <c r="AO244" s="5"/>
      <c r="AP244" s="5"/>
      <c r="AQ244" s="5"/>
      <c r="AR244" s="5"/>
      <c r="AS244" s="5"/>
      <c r="AT244" s="5"/>
      <c r="AU244" s="6" t="s">
        <v>927</v>
      </c>
      <c r="AV244" s="6" t="s">
        <v>2161</v>
      </c>
      <c r="AW244" s="6" t="s">
        <v>2161</v>
      </c>
      <c r="AX244" s="6" t="s">
        <v>1003</v>
      </c>
      <c r="AY244" s="6" t="s">
        <v>930</v>
      </c>
      <c r="AZ244" s="6"/>
      <c r="BA244" s="6" t="s">
        <v>1079</v>
      </c>
      <c r="BB244" s="6" t="s">
        <v>1080</v>
      </c>
      <c r="BC244" s="6" t="s">
        <v>97</v>
      </c>
      <c r="BD244" s="6" t="s">
        <v>97</v>
      </c>
    </row>
    <row r="245" spans="1:56" ht="32" customHeight="1" x14ac:dyDescent="0.35">
      <c r="A245" s="13" t="s">
        <v>2442</v>
      </c>
      <c r="B245" s="6" t="s">
        <v>2114</v>
      </c>
      <c r="C245" s="5" t="s">
        <v>2115</v>
      </c>
      <c r="D245" s="5" t="s">
        <v>829</v>
      </c>
      <c r="E245" s="5" t="s">
        <v>2443</v>
      </c>
      <c r="F245" s="5" t="s">
        <v>1400</v>
      </c>
      <c r="G245" s="5" t="s">
        <v>1419</v>
      </c>
      <c r="H245" s="5" t="s">
        <v>2444</v>
      </c>
      <c r="I245" s="5" t="s">
        <v>2445</v>
      </c>
      <c r="J245" s="17" t="s">
        <v>121</v>
      </c>
      <c r="K245" s="17" t="s">
        <v>181</v>
      </c>
      <c r="L245" s="5" t="s">
        <v>2446</v>
      </c>
      <c r="M245" s="6" t="s">
        <v>197</v>
      </c>
      <c r="N245" s="6" t="s">
        <v>812</v>
      </c>
      <c r="O245" s="6" t="s">
        <v>121</v>
      </c>
      <c r="P245" s="5" t="s">
        <v>918</v>
      </c>
      <c r="Q245" s="17" t="s">
        <v>182</v>
      </c>
      <c r="R245" s="5"/>
      <c r="S245" s="6" t="s">
        <v>980</v>
      </c>
      <c r="T245" s="5" t="s">
        <v>981</v>
      </c>
      <c r="U245" s="6"/>
      <c r="V245" s="6" t="s">
        <v>982</v>
      </c>
      <c r="W245" s="6" t="s">
        <v>331</v>
      </c>
      <c r="X245" s="5" t="s">
        <v>922</v>
      </c>
      <c r="Y245" s="5" t="s">
        <v>812</v>
      </c>
      <c r="Z245" s="5" t="str">
        <f t="shared" si="6"/>
        <v>High</v>
      </c>
      <c r="AA245" s="5" t="s">
        <v>923</v>
      </c>
      <c r="AB245" s="6" t="s">
        <v>924</v>
      </c>
      <c r="AC245" s="6" t="s">
        <v>103</v>
      </c>
      <c r="AD245" s="5" t="s">
        <v>925</v>
      </c>
      <c r="AE245" s="5" t="s">
        <v>354</v>
      </c>
      <c r="AF245" s="5" t="s">
        <v>354</v>
      </c>
      <c r="AG245" s="5" t="s">
        <v>354</v>
      </c>
      <c r="AH245" s="5" t="s">
        <v>354</v>
      </c>
      <c r="AI245" s="6" t="str">
        <f t="shared" si="7"/>
        <v>No</v>
      </c>
      <c r="AJ245" s="6" t="s">
        <v>926</v>
      </c>
      <c r="AK245" s="6" t="s">
        <v>121</v>
      </c>
      <c r="AL245" s="6">
        <f>MATCH(AA245,{"Low","Medium","High"},0)*MATCH(AB245,{"Low","Medium","High"},0)*INDEX({3,2,2,1,1},MATCH(X245,{"Core","Vertical extension","Differentiator","Future","Adjacent"},0))</f>
        <v>9</v>
      </c>
      <c r="AM245" s="5"/>
      <c r="AN245" s="5"/>
      <c r="AO245" s="5"/>
      <c r="AP245" s="5"/>
      <c r="AQ245" s="5"/>
      <c r="AR245" s="5"/>
      <c r="AS245" s="5"/>
      <c r="AT245" s="5"/>
      <c r="AU245" s="6" t="s">
        <v>927</v>
      </c>
      <c r="AV245" s="6" t="s">
        <v>1296</v>
      </c>
      <c r="AW245" s="6" t="s">
        <v>1296</v>
      </c>
      <c r="AX245" s="6" t="s">
        <v>929</v>
      </c>
      <c r="AY245" s="6" t="s">
        <v>930</v>
      </c>
      <c r="AZ245" s="6"/>
      <c r="BA245" s="6"/>
      <c r="BB245" s="6"/>
      <c r="BC245" s="6" t="s">
        <v>97</v>
      </c>
      <c r="BD245" s="6" t="s">
        <v>97</v>
      </c>
    </row>
    <row r="246" spans="1:56" ht="32" customHeight="1" x14ac:dyDescent="0.35">
      <c r="A246" s="13" t="s">
        <v>2447</v>
      </c>
      <c r="B246" s="6" t="s">
        <v>2114</v>
      </c>
      <c r="C246" s="5" t="s">
        <v>2115</v>
      </c>
      <c r="D246" s="5" t="s">
        <v>829</v>
      </c>
      <c r="E246" s="5" t="s">
        <v>2448</v>
      </c>
      <c r="F246" s="5" t="s">
        <v>1881</v>
      </c>
      <c r="G246" s="5" t="s">
        <v>1322</v>
      </c>
      <c r="H246" s="5" t="s">
        <v>2449</v>
      </c>
      <c r="I246" s="5" t="s">
        <v>2450</v>
      </c>
      <c r="J246" s="17" t="s">
        <v>121</v>
      </c>
      <c r="K246" s="17" t="s">
        <v>181</v>
      </c>
      <c r="L246" s="5" t="s">
        <v>2451</v>
      </c>
      <c r="M246" s="6" t="s">
        <v>197</v>
      </c>
      <c r="N246" s="6" t="s">
        <v>812</v>
      </c>
      <c r="O246" s="6" t="s">
        <v>121</v>
      </c>
      <c r="P246" s="5" t="s">
        <v>918</v>
      </c>
      <c r="Q246" s="18" t="s">
        <v>186</v>
      </c>
      <c r="R246" s="5" t="s">
        <v>1429</v>
      </c>
      <c r="S246" s="6" t="s">
        <v>980</v>
      </c>
      <c r="T246" s="5" t="s">
        <v>981</v>
      </c>
      <c r="U246" s="6"/>
      <c r="V246" s="6" t="s">
        <v>982</v>
      </c>
      <c r="W246" s="6" t="s">
        <v>331</v>
      </c>
      <c r="X246" s="5" t="s">
        <v>922</v>
      </c>
      <c r="Y246" s="5" t="s">
        <v>812</v>
      </c>
      <c r="Z246" s="5" t="str">
        <f t="shared" si="6"/>
        <v>High</v>
      </c>
      <c r="AA246" s="5" t="s">
        <v>923</v>
      </c>
      <c r="AB246" s="6" t="s">
        <v>924</v>
      </c>
      <c r="AC246" s="6" t="s">
        <v>103</v>
      </c>
      <c r="AD246" s="5" t="s">
        <v>940</v>
      </c>
      <c r="AE246" s="5" t="s">
        <v>354</v>
      </c>
      <c r="AF246" s="5" t="s">
        <v>354</v>
      </c>
      <c r="AG246" s="5" t="s">
        <v>354</v>
      </c>
      <c r="AH246" s="5" t="s">
        <v>354</v>
      </c>
      <c r="AI246" s="6" t="str">
        <f t="shared" si="7"/>
        <v>No</v>
      </c>
      <c r="AJ246" s="6" t="s">
        <v>941</v>
      </c>
      <c r="AK246" s="6" t="s">
        <v>121</v>
      </c>
      <c r="AL246" s="6">
        <f>MATCH(AA246,{"Low","Medium","High"},0)*MATCH(AB246,{"Low","Medium","High"},0)*INDEX({3,2,2,1,1},MATCH(X246,{"Core","Vertical extension","Differentiator","Future","Adjacent"},0))</f>
        <v>9</v>
      </c>
      <c r="AM246" s="5"/>
      <c r="AN246" s="5"/>
      <c r="AO246" s="5"/>
      <c r="AP246" s="5"/>
      <c r="AQ246" s="5"/>
      <c r="AR246" s="5"/>
      <c r="AS246" s="5"/>
      <c r="AT246" s="5"/>
      <c r="AU246" s="6" t="s">
        <v>927</v>
      </c>
      <c r="AV246" s="6" t="s">
        <v>1296</v>
      </c>
      <c r="AW246" s="6" t="s">
        <v>1296</v>
      </c>
      <c r="AX246" s="6" t="s">
        <v>929</v>
      </c>
      <c r="AY246" s="6" t="s">
        <v>930</v>
      </c>
      <c r="AZ246" s="6"/>
      <c r="BA246" s="6"/>
      <c r="BB246" s="6"/>
      <c r="BC246" s="6" t="s">
        <v>97</v>
      </c>
      <c r="BD246" s="6" t="s">
        <v>97</v>
      </c>
    </row>
    <row r="247" spans="1:56" ht="32" customHeight="1" x14ac:dyDescent="0.35">
      <c r="A247" s="13" t="s">
        <v>2452</v>
      </c>
      <c r="B247" s="6" t="s">
        <v>2114</v>
      </c>
      <c r="C247" s="5" t="s">
        <v>2115</v>
      </c>
      <c r="D247" s="5" t="s">
        <v>829</v>
      </c>
      <c r="E247" s="5" t="s">
        <v>2453</v>
      </c>
      <c r="F247" s="5" t="s">
        <v>2157</v>
      </c>
      <c r="G247" s="5" t="s">
        <v>2454</v>
      </c>
      <c r="H247" s="5" t="s">
        <v>2455</v>
      </c>
      <c r="I247" s="5" t="s">
        <v>2456</v>
      </c>
      <c r="J247" s="16" t="s">
        <v>73</v>
      </c>
      <c r="K247" s="17" t="s">
        <v>181</v>
      </c>
      <c r="L247" s="5" t="s">
        <v>2457</v>
      </c>
      <c r="M247" s="6" t="s">
        <v>197</v>
      </c>
      <c r="N247" s="6" t="s">
        <v>812</v>
      </c>
      <c r="O247" s="6" t="s">
        <v>73</v>
      </c>
      <c r="P247" s="5" t="s">
        <v>2458</v>
      </c>
      <c r="Q247" s="17" t="s">
        <v>182</v>
      </c>
      <c r="R247" s="5" t="s">
        <v>2458</v>
      </c>
      <c r="S247" s="6" t="s">
        <v>980</v>
      </c>
      <c r="T247" s="5" t="s">
        <v>981</v>
      </c>
      <c r="U247" s="6"/>
      <c r="V247" s="6" t="s">
        <v>982</v>
      </c>
      <c r="W247" s="6" t="s">
        <v>331</v>
      </c>
      <c r="X247" s="5" t="s">
        <v>922</v>
      </c>
      <c r="Y247" s="5" t="s">
        <v>812</v>
      </c>
      <c r="Z247" s="5" t="str">
        <f t="shared" si="6"/>
        <v>High</v>
      </c>
      <c r="AA247" s="5" t="s">
        <v>923</v>
      </c>
      <c r="AB247" s="6" t="s">
        <v>924</v>
      </c>
      <c r="AC247" s="6" t="s">
        <v>78</v>
      </c>
      <c r="AD247" s="5" t="s">
        <v>925</v>
      </c>
      <c r="AE247" s="5" t="s">
        <v>354</v>
      </c>
      <c r="AF247" s="5" t="s">
        <v>354</v>
      </c>
      <c r="AG247" s="5" t="s">
        <v>354</v>
      </c>
      <c r="AH247" s="5" t="s">
        <v>354</v>
      </c>
      <c r="AI247" s="6" t="str">
        <f t="shared" si="7"/>
        <v>No</v>
      </c>
      <c r="AJ247" s="6" t="s">
        <v>926</v>
      </c>
      <c r="AK247" s="6" t="s">
        <v>73</v>
      </c>
      <c r="AL247" s="6">
        <f>MATCH(AA247,{"Low","Medium","High"},0)*MATCH(AB247,{"Low","Medium","High"},0)*INDEX({3,2,2,1,1},MATCH(X247,{"Core","Vertical extension","Differentiator","Future","Adjacent"},0))</f>
        <v>9</v>
      </c>
      <c r="AM247" s="5"/>
      <c r="AN247" s="5"/>
      <c r="AO247" s="5"/>
      <c r="AP247" s="5"/>
      <c r="AQ247" s="5"/>
      <c r="AR247" s="5"/>
      <c r="AS247" s="5"/>
      <c r="AT247" s="5"/>
      <c r="AU247" s="6" t="s">
        <v>927</v>
      </c>
      <c r="AV247" s="6" t="s">
        <v>2161</v>
      </c>
      <c r="AW247" s="6" t="s">
        <v>2161</v>
      </c>
      <c r="AX247" s="6" t="s">
        <v>1003</v>
      </c>
      <c r="AY247" s="6" t="s">
        <v>930</v>
      </c>
      <c r="AZ247" s="6"/>
      <c r="BA247" s="6"/>
      <c r="BB247" s="6"/>
      <c r="BC247" s="6" t="s">
        <v>97</v>
      </c>
      <c r="BD247" s="6" t="s">
        <v>97</v>
      </c>
    </row>
    <row r="248" spans="1:56" ht="32" customHeight="1" x14ac:dyDescent="0.35">
      <c r="A248" s="13" t="s">
        <v>2459</v>
      </c>
      <c r="B248" s="6" t="s">
        <v>2114</v>
      </c>
      <c r="C248" s="5" t="s">
        <v>2115</v>
      </c>
      <c r="D248" s="5" t="s">
        <v>829</v>
      </c>
      <c r="E248" s="5" t="s">
        <v>2460</v>
      </c>
      <c r="F248" s="5" t="s">
        <v>2209</v>
      </c>
      <c r="G248" s="5" t="s">
        <v>2461</v>
      </c>
      <c r="H248" s="5" t="s">
        <v>2462</v>
      </c>
      <c r="I248" s="5" t="s">
        <v>2463</v>
      </c>
      <c r="J248" s="17" t="s">
        <v>121</v>
      </c>
      <c r="K248" s="17" t="s">
        <v>181</v>
      </c>
      <c r="L248" s="5" t="s">
        <v>2464</v>
      </c>
      <c r="M248" s="6" t="s">
        <v>197</v>
      </c>
      <c r="N248" s="6" t="s">
        <v>812</v>
      </c>
      <c r="O248" s="6" t="s">
        <v>121</v>
      </c>
      <c r="P248" s="5" t="s">
        <v>918</v>
      </c>
      <c r="Q248" s="17" t="s">
        <v>182</v>
      </c>
      <c r="R248" s="5"/>
      <c r="S248" s="6" t="s">
        <v>980</v>
      </c>
      <c r="T248" s="5" t="s">
        <v>981</v>
      </c>
      <c r="U248" s="6"/>
      <c r="V248" s="6" t="s">
        <v>982</v>
      </c>
      <c r="W248" s="6" t="s">
        <v>331</v>
      </c>
      <c r="X248" s="5" t="s">
        <v>922</v>
      </c>
      <c r="Y248" s="5" t="s">
        <v>812</v>
      </c>
      <c r="Z248" s="5" t="str">
        <f t="shared" si="6"/>
        <v>High</v>
      </c>
      <c r="AA248" s="5" t="s">
        <v>923</v>
      </c>
      <c r="AB248" s="6" t="s">
        <v>924</v>
      </c>
      <c r="AC248" s="6" t="s">
        <v>103</v>
      </c>
      <c r="AD248" s="5" t="s">
        <v>925</v>
      </c>
      <c r="AE248" s="5" t="s">
        <v>354</v>
      </c>
      <c r="AF248" s="5" t="s">
        <v>354</v>
      </c>
      <c r="AG248" s="5" t="s">
        <v>354</v>
      </c>
      <c r="AH248" s="5" t="s">
        <v>354</v>
      </c>
      <c r="AI248" s="6" t="str">
        <f t="shared" si="7"/>
        <v>No</v>
      </c>
      <c r="AJ248" s="6" t="s">
        <v>926</v>
      </c>
      <c r="AK248" s="6" t="s">
        <v>121</v>
      </c>
      <c r="AL248" s="6">
        <f>MATCH(AA248,{"Low","Medium","High"},0)*MATCH(AB248,{"Low","Medium","High"},0)*INDEX({3,2,2,1,1},MATCH(X248,{"Core","Vertical extension","Differentiator","Future","Adjacent"},0))</f>
        <v>9</v>
      </c>
      <c r="AM248" s="5"/>
      <c r="AN248" s="5"/>
      <c r="AO248" s="5"/>
      <c r="AP248" s="5"/>
      <c r="AQ248" s="5"/>
      <c r="AR248" s="5"/>
      <c r="AS248" s="5"/>
      <c r="AT248" s="5"/>
      <c r="AU248" s="6" t="s">
        <v>927</v>
      </c>
      <c r="AV248" s="6" t="s">
        <v>2161</v>
      </c>
      <c r="AW248" s="6" t="s">
        <v>2161</v>
      </c>
      <c r="AX248" s="6" t="s">
        <v>929</v>
      </c>
      <c r="AY248" s="6" t="s">
        <v>930</v>
      </c>
      <c r="AZ248" s="6"/>
      <c r="BA248" s="6" t="s">
        <v>1752</v>
      </c>
      <c r="BB248" s="6" t="s">
        <v>1746</v>
      </c>
      <c r="BC248" s="6" t="s">
        <v>97</v>
      </c>
      <c r="BD248" s="6" t="s">
        <v>97</v>
      </c>
    </row>
    <row r="249" spans="1:56" ht="32" customHeight="1" x14ac:dyDescent="0.35">
      <c r="A249" s="13" t="s">
        <v>2465</v>
      </c>
      <c r="B249" s="6" t="s">
        <v>2114</v>
      </c>
      <c r="C249" s="5" t="s">
        <v>2115</v>
      </c>
      <c r="D249" s="5" t="s">
        <v>829</v>
      </c>
      <c r="E249" s="5" t="s">
        <v>2466</v>
      </c>
      <c r="F249" s="5" t="s">
        <v>913</v>
      </c>
      <c r="G249" s="5" t="s">
        <v>1017</v>
      </c>
      <c r="H249" s="5" t="s">
        <v>2467</v>
      </c>
      <c r="I249" s="5" t="s">
        <v>2468</v>
      </c>
      <c r="J249" s="17" t="s">
        <v>121</v>
      </c>
      <c r="K249" s="17" t="s">
        <v>181</v>
      </c>
      <c r="L249" s="5" t="s">
        <v>2469</v>
      </c>
      <c r="M249" s="6" t="s">
        <v>197</v>
      </c>
      <c r="N249" s="6" t="s">
        <v>812</v>
      </c>
      <c r="O249" s="6" t="s">
        <v>121</v>
      </c>
      <c r="P249" s="5" t="s">
        <v>918</v>
      </c>
      <c r="Q249" s="17" t="s">
        <v>182</v>
      </c>
      <c r="R249" s="5"/>
      <c r="S249" s="6" t="s">
        <v>980</v>
      </c>
      <c r="T249" s="5" t="s">
        <v>981</v>
      </c>
      <c r="U249" s="6"/>
      <c r="V249" s="6" t="s">
        <v>982</v>
      </c>
      <c r="W249" s="6" t="s">
        <v>331</v>
      </c>
      <c r="X249" s="5" t="s">
        <v>922</v>
      </c>
      <c r="Y249" s="5" t="s">
        <v>812</v>
      </c>
      <c r="Z249" s="5" t="str">
        <f t="shared" si="6"/>
        <v>High</v>
      </c>
      <c r="AA249" s="5" t="s">
        <v>923</v>
      </c>
      <c r="AB249" s="6" t="s">
        <v>924</v>
      </c>
      <c r="AC249" s="6" t="s">
        <v>103</v>
      </c>
      <c r="AD249" s="5" t="s">
        <v>925</v>
      </c>
      <c r="AE249" s="5" t="s">
        <v>354</v>
      </c>
      <c r="AF249" s="5" t="s">
        <v>354</v>
      </c>
      <c r="AG249" s="5" t="s">
        <v>354</v>
      </c>
      <c r="AH249" s="5" t="s">
        <v>354</v>
      </c>
      <c r="AI249" s="6" t="str">
        <f t="shared" si="7"/>
        <v>No</v>
      </c>
      <c r="AJ249" s="6" t="s">
        <v>926</v>
      </c>
      <c r="AK249" s="6" t="s">
        <v>121</v>
      </c>
      <c r="AL249" s="6">
        <f>MATCH(AA249,{"Low","Medium","High"},0)*MATCH(AB249,{"Low","Medium","High"},0)*INDEX({3,2,2,1,1},MATCH(X249,{"Core","Vertical extension","Differentiator","Future","Adjacent"},0))</f>
        <v>9</v>
      </c>
      <c r="AM249" s="5"/>
      <c r="AN249" s="5"/>
      <c r="AO249" s="5"/>
      <c r="AP249" s="5"/>
      <c r="AQ249" s="5"/>
      <c r="AR249" s="5"/>
      <c r="AS249" s="5"/>
      <c r="AT249" s="5"/>
      <c r="AU249" s="6" t="s">
        <v>927</v>
      </c>
      <c r="AV249" s="6" t="s">
        <v>928</v>
      </c>
      <c r="AW249" s="6" t="s">
        <v>928</v>
      </c>
      <c r="AX249" s="6" t="s">
        <v>929</v>
      </c>
      <c r="AY249" s="6" t="s">
        <v>930</v>
      </c>
      <c r="AZ249" s="6"/>
      <c r="BA249" s="6" t="s">
        <v>2470</v>
      </c>
      <c r="BB249" s="6" t="s">
        <v>1190</v>
      </c>
      <c r="BC249" s="6" t="s">
        <v>97</v>
      </c>
      <c r="BD249" s="6" t="s">
        <v>97</v>
      </c>
    </row>
    <row r="250" spans="1:56" ht="32" customHeight="1" x14ac:dyDescent="0.35">
      <c r="A250" s="13" t="s">
        <v>2471</v>
      </c>
      <c r="B250" s="6" t="s">
        <v>2114</v>
      </c>
      <c r="C250" s="5" t="s">
        <v>2115</v>
      </c>
      <c r="D250" s="5" t="s">
        <v>829</v>
      </c>
      <c r="E250" s="5" t="s">
        <v>2472</v>
      </c>
      <c r="F250" s="5" t="s">
        <v>913</v>
      </c>
      <c r="G250" s="5" t="s">
        <v>1017</v>
      </c>
      <c r="H250" s="5" t="s">
        <v>2473</v>
      </c>
      <c r="I250" s="5" t="s">
        <v>2474</v>
      </c>
      <c r="J250" s="17" t="s">
        <v>121</v>
      </c>
      <c r="K250" s="17" t="s">
        <v>181</v>
      </c>
      <c r="L250" s="5" t="s">
        <v>2475</v>
      </c>
      <c r="M250" s="6" t="s">
        <v>197</v>
      </c>
      <c r="N250" s="6" t="s">
        <v>812</v>
      </c>
      <c r="O250" s="6" t="s">
        <v>121</v>
      </c>
      <c r="P250" s="5" t="s">
        <v>918</v>
      </c>
      <c r="Q250" s="18" t="s">
        <v>186</v>
      </c>
      <c r="R250" s="5" t="s">
        <v>1368</v>
      </c>
      <c r="S250" s="6" t="s">
        <v>980</v>
      </c>
      <c r="T250" s="5" t="s">
        <v>981</v>
      </c>
      <c r="U250" s="6"/>
      <c r="V250" s="6" t="s">
        <v>982</v>
      </c>
      <c r="W250" s="6" t="s">
        <v>331</v>
      </c>
      <c r="X250" s="5" t="s">
        <v>922</v>
      </c>
      <c r="Y250" s="5" t="s">
        <v>812</v>
      </c>
      <c r="Z250" s="5" t="str">
        <f t="shared" si="6"/>
        <v>High</v>
      </c>
      <c r="AA250" s="5" t="s">
        <v>923</v>
      </c>
      <c r="AB250" s="6" t="s">
        <v>924</v>
      </c>
      <c r="AC250" s="6" t="s">
        <v>103</v>
      </c>
      <c r="AD250" s="5" t="s">
        <v>940</v>
      </c>
      <c r="AE250" s="5" t="s">
        <v>354</v>
      </c>
      <c r="AF250" s="5" t="s">
        <v>354</v>
      </c>
      <c r="AG250" s="5" t="s">
        <v>354</v>
      </c>
      <c r="AH250" s="5" t="s">
        <v>354</v>
      </c>
      <c r="AI250" s="6" t="str">
        <f t="shared" si="7"/>
        <v>No</v>
      </c>
      <c r="AJ250" s="6" t="s">
        <v>941</v>
      </c>
      <c r="AK250" s="6" t="s">
        <v>121</v>
      </c>
      <c r="AL250" s="6">
        <f>MATCH(AA250,{"Low","Medium","High"},0)*MATCH(AB250,{"Low","Medium","High"},0)*INDEX({3,2,2,1,1},MATCH(X250,{"Core","Vertical extension","Differentiator","Future","Adjacent"},0))</f>
        <v>9</v>
      </c>
      <c r="AM250" s="5"/>
      <c r="AN250" s="5"/>
      <c r="AO250" s="5"/>
      <c r="AP250" s="5"/>
      <c r="AQ250" s="5"/>
      <c r="AR250" s="5"/>
      <c r="AS250" s="5"/>
      <c r="AT250" s="5"/>
      <c r="AU250" s="6" t="s">
        <v>927</v>
      </c>
      <c r="AV250" s="6" t="s">
        <v>928</v>
      </c>
      <c r="AW250" s="6" t="s">
        <v>928</v>
      </c>
      <c r="AX250" s="6" t="s">
        <v>929</v>
      </c>
      <c r="AY250" s="6" t="s">
        <v>930</v>
      </c>
      <c r="AZ250" s="6"/>
      <c r="BA250" s="6" t="s">
        <v>2476</v>
      </c>
      <c r="BB250" s="6" t="s">
        <v>1370</v>
      </c>
      <c r="BC250" s="6" t="s">
        <v>97</v>
      </c>
      <c r="BD250" s="6" t="s">
        <v>97</v>
      </c>
    </row>
    <row r="251" spans="1:56" ht="32" customHeight="1" x14ac:dyDescent="0.35">
      <c r="A251" s="13" t="s">
        <v>2477</v>
      </c>
      <c r="B251" s="6" t="s">
        <v>2114</v>
      </c>
      <c r="C251" s="5" t="s">
        <v>2115</v>
      </c>
      <c r="D251" s="5" t="s">
        <v>829</v>
      </c>
      <c r="E251" s="5" t="s">
        <v>2478</v>
      </c>
      <c r="F251" s="5" t="s">
        <v>1400</v>
      </c>
      <c r="G251" s="5" t="s">
        <v>1017</v>
      </c>
      <c r="H251" s="5" t="s">
        <v>2479</v>
      </c>
      <c r="I251" s="5" t="s">
        <v>2480</v>
      </c>
      <c r="J251" s="17" t="s">
        <v>121</v>
      </c>
      <c r="K251" s="17" t="s">
        <v>181</v>
      </c>
      <c r="L251" s="5" t="s">
        <v>2481</v>
      </c>
      <c r="M251" s="6" t="s">
        <v>197</v>
      </c>
      <c r="N251" s="6" t="s">
        <v>812</v>
      </c>
      <c r="O251" s="6" t="s">
        <v>121</v>
      </c>
      <c r="P251" s="5" t="s">
        <v>918</v>
      </c>
      <c r="Q251" s="18" t="s">
        <v>186</v>
      </c>
      <c r="R251" s="5" t="s">
        <v>1368</v>
      </c>
      <c r="S251" s="6" t="s">
        <v>980</v>
      </c>
      <c r="T251" s="5" t="s">
        <v>981</v>
      </c>
      <c r="U251" s="6"/>
      <c r="V251" s="6" t="s">
        <v>982</v>
      </c>
      <c r="W251" s="6" t="s">
        <v>331</v>
      </c>
      <c r="X251" s="5" t="s">
        <v>922</v>
      </c>
      <c r="Y251" s="5" t="s">
        <v>812</v>
      </c>
      <c r="Z251" s="5" t="str">
        <f t="shared" si="6"/>
        <v>High</v>
      </c>
      <c r="AA251" s="5" t="s">
        <v>923</v>
      </c>
      <c r="AB251" s="6" t="s">
        <v>924</v>
      </c>
      <c r="AC251" s="6" t="s">
        <v>103</v>
      </c>
      <c r="AD251" s="5" t="s">
        <v>940</v>
      </c>
      <c r="AE251" s="5" t="s">
        <v>354</v>
      </c>
      <c r="AF251" s="5" t="s">
        <v>354</v>
      </c>
      <c r="AG251" s="5" t="s">
        <v>354</v>
      </c>
      <c r="AH251" s="5" t="s">
        <v>354</v>
      </c>
      <c r="AI251" s="6" t="str">
        <f t="shared" si="7"/>
        <v>No</v>
      </c>
      <c r="AJ251" s="6" t="s">
        <v>941</v>
      </c>
      <c r="AK251" s="6" t="s">
        <v>121</v>
      </c>
      <c r="AL251" s="6">
        <f>MATCH(AA251,{"Low","Medium","High"},0)*MATCH(AB251,{"Low","Medium","High"},0)*INDEX({3,2,2,1,1},MATCH(X251,{"Core","Vertical extension","Differentiator","Future","Adjacent"},0))</f>
        <v>9</v>
      </c>
      <c r="AM251" s="5"/>
      <c r="AN251" s="5"/>
      <c r="AO251" s="5"/>
      <c r="AP251" s="5"/>
      <c r="AQ251" s="5"/>
      <c r="AR251" s="5"/>
      <c r="AS251" s="5"/>
      <c r="AT251" s="5"/>
      <c r="AU251" s="6" t="s">
        <v>927</v>
      </c>
      <c r="AV251" s="6" t="s">
        <v>1296</v>
      </c>
      <c r="AW251" s="6" t="s">
        <v>1296</v>
      </c>
      <c r="AX251" s="6" t="s">
        <v>929</v>
      </c>
      <c r="AY251" s="6" t="s">
        <v>930</v>
      </c>
      <c r="AZ251" s="6"/>
      <c r="BA251" s="6" t="s">
        <v>2482</v>
      </c>
      <c r="BB251" s="6" t="s">
        <v>1370</v>
      </c>
      <c r="BC251" s="6" t="s">
        <v>97</v>
      </c>
      <c r="BD251" s="6" t="s">
        <v>97</v>
      </c>
    </row>
    <row r="252" spans="1:56" ht="32" customHeight="1" x14ac:dyDescent="0.35">
      <c r="A252" s="13" t="s">
        <v>2483</v>
      </c>
      <c r="B252" s="6" t="s">
        <v>2114</v>
      </c>
      <c r="C252" s="5" t="s">
        <v>2115</v>
      </c>
      <c r="D252" s="5" t="s">
        <v>829</v>
      </c>
      <c r="E252" s="5" t="s">
        <v>2484</v>
      </c>
      <c r="F252" s="5" t="s">
        <v>2485</v>
      </c>
      <c r="G252" s="5" t="s">
        <v>1560</v>
      </c>
      <c r="H252" s="5" t="s">
        <v>2486</v>
      </c>
      <c r="I252" s="5" t="s">
        <v>2487</v>
      </c>
      <c r="J252" s="17" t="s">
        <v>121</v>
      </c>
      <c r="K252" s="17" t="s">
        <v>181</v>
      </c>
      <c r="L252" s="5" t="s">
        <v>2488</v>
      </c>
      <c r="M252" s="6" t="s">
        <v>197</v>
      </c>
      <c r="N252" s="6" t="s">
        <v>812</v>
      </c>
      <c r="O252" s="6" t="s">
        <v>121</v>
      </c>
      <c r="P252" s="5" t="s">
        <v>918</v>
      </c>
      <c r="Q252" s="18" t="s">
        <v>186</v>
      </c>
      <c r="R252" s="5" t="s">
        <v>1449</v>
      </c>
      <c r="S252" s="6" t="s">
        <v>980</v>
      </c>
      <c r="T252" s="5" t="s">
        <v>981</v>
      </c>
      <c r="U252" s="6"/>
      <c r="V252" s="6" t="s">
        <v>982</v>
      </c>
      <c r="W252" s="6" t="s">
        <v>331</v>
      </c>
      <c r="X252" s="5" t="s">
        <v>922</v>
      </c>
      <c r="Y252" s="5" t="s">
        <v>812</v>
      </c>
      <c r="Z252" s="5" t="str">
        <f t="shared" si="6"/>
        <v>High</v>
      </c>
      <c r="AA252" s="5" t="s">
        <v>923</v>
      </c>
      <c r="AB252" s="6" t="s">
        <v>924</v>
      </c>
      <c r="AC252" s="6" t="s">
        <v>103</v>
      </c>
      <c r="AD252" s="5" t="s">
        <v>940</v>
      </c>
      <c r="AE252" s="5" t="s">
        <v>354</v>
      </c>
      <c r="AF252" s="5" t="s">
        <v>354</v>
      </c>
      <c r="AG252" s="5" t="s">
        <v>354</v>
      </c>
      <c r="AH252" s="5" t="s">
        <v>354</v>
      </c>
      <c r="AI252" s="6" t="str">
        <f t="shared" si="7"/>
        <v>No</v>
      </c>
      <c r="AJ252" s="6" t="s">
        <v>941</v>
      </c>
      <c r="AK252" s="6" t="s">
        <v>121</v>
      </c>
      <c r="AL252" s="6">
        <f>MATCH(AA252,{"Low","Medium","High"},0)*MATCH(AB252,{"Low","Medium","High"},0)*INDEX({3,2,2,1,1},MATCH(X252,{"Core","Vertical extension","Differentiator","Future","Adjacent"},0))</f>
        <v>9</v>
      </c>
      <c r="AM252" s="5"/>
      <c r="AN252" s="5"/>
      <c r="AO252" s="5"/>
      <c r="AP252" s="5"/>
      <c r="AQ252" s="5"/>
      <c r="AR252" s="5"/>
      <c r="AS252" s="5"/>
      <c r="AT252" s="5"/>
      <c r="AU252" s="6" t="s">
        <v>927</v>
      </c>
      <c r="AV252" s="6" t="s">
        <v>1296</v>
      </c>
      <c r="AW252" s="6" t="s">
        <v>1296</v>
      </c>
      <c r="AX252" s="6" t="s">
        <v>929</v>
      </c>
      <c r="AY252" s="6" t="s">
        <v>930</v>
      </c>
      <c r="AZ252" s="6"/>
      <c r="BA252" s="6" t="s">
        <v>1442</v>
      </c>
      <c r="BB252" s="6" t="s">
        <v>1443</v>
      </c>
      <c r="BC252" s="6" t="s">
        <v>97</v>
      </c>
      <c r="BD252" s="6" t="s">
        <v>97</v>
      </c>
    </row>
    <row r="253" spans="1:56" ht="32" customHeight="1" x14ac:dyDescent="0.35">
      <c r="A253" s="13" t="s">
        <v>2489</v>
      </c>
      <c r="B253" s="6" t="s">
        <v>2114</v>
      </c>
      <c r="C253" s="5" t="s">
        <v>2115</v>
      </c>
      <c r="D253" s="5" t="s">
        <v>829</v>
      </c>
      <c r="E253" s="5" t="s">
        <v>2490</v>
      </c>
      <c r="F253" s="5" t="s">
        <v>1560</v>
      </c>
      <c r="G253" s="5" t="s">
        <v>1373</v>
      </c>
      <c r="H253" s="5" t="s">
        <v>2491</v>
      </c>
      <c r="I253" s="5" t="s">
        <v>2492</v>
      </c>
      <c r="J253" s="17" t="s">
        <v>121</v>
      </c>
      <c r="K253" s="17" t="s">
        <v>181</v>
      </c>
      <c r="L253" s="5" t="s">
        <v>2493</v>
      </c>
      <c r="M253" s="6" t="s">
        <v>197</v>
      </c>
      <c r="N253" s="6" t="s">
        <v>812</v>
      </c>
      <c r="O253" s="6" t="s">
        <v>121</v>
      </c>
      <c r="P253" s="5" t="s">
        <v>918</v>
      </c>
      <c r="Q253" s="18" t="s">
        <v>186</v>
      </c>
      <c r="R253" s="5" t="s">
        <v>1449</v>
      </c>
      <c r="S253" s="6" t="s">
        <v>980</v>
      </c>
      <c r="T253" s="5" t="s">
        <v>981</v>
      </c>
      <c r="U253" s="6"/>
      <c r="V253" s="6" t="s">
        <v>982</v>
      </c>
      <c r="W253" s="6" t="s">
        <v>331</v>
      </c>
      <c r="X253" s="5" t="s">
        <v>922</v>
      </c>
      <c r="Y253" s="5" t="s">
        <v>812</v>
      </c>
      <c r="Z253" s="5" t="str">
        <f t="shared" si="6"/>
        <v>High</v>
      </c>
      <c r="AA253" s="5" t="s">
        <v>923</v>
      </c>
      <c r="AB253" s="6" t="s">
        <v>924</v>
      </c>
      <c r="AC253" s="6" t="s">
        <v>103</v>
      </c>
      <c r="AD253" s="5" t="s">
        <v>940</v>
      </c>
      <c r="AE253" s="5" t="s">
        <v>354</v>
      </c>
      <c r="AF253" s="5" t="s">
        <v>354</v>
      </c>
      <c r="AG253" s="5" t="s">
        <v>354</v>
      </c>
      <c r="AH253" s="5" t="s">
        <v>354</v>
      </c>
      <c r="AI253" s="6" t="str">
        <f t="shared" si="7"/>
        <v>No</v>
      </c>
      <c r="AJ253" s="6" t="s">
        <v>941</v>
      </c>
      <c r="AK253" s="6" t="s">
        <v>121</v>
      </c>
      <c r="AL253" s="6">
        <f>MATCH(AA253,{"Low","Medium","High"},0)*MATCH(AB253,{"Low","Medium","High"},0)*INDEX({3,2,2,1,1},MATCH(X253,{"Core","Vertical extension","Differentiator","Future","Adjacent"},0))</f>
        <v>9</v>
      </c>
      <c r="AM253" s="5"/>
      <c r="AN253" s="5"/>
      <c r="AO253" s="5"/>
      <c r="AP253" s="5"/>
      <c r="AQ253" s="5"/>
      <c r="AR253" s="5"/>
      <c r="AS253" s="5"/>
      <c r="AT253" s="5"/>
      <c r="AU253" s="6" t="s">
        <v>927</v>
      </c>
      <c r="AV253" s="6" t="s">
        <v>1296</v>
      </c>
      <c r="AW253" s="6" t="s">
        <v>1296</v>
      </c>
      <c r="AX253" s="6" t="s">
        <v>929</v>
      </c>
      <c r="AY253" s="6" t="s">
        <v>930</v>
      </c>
      <c r="AZ253" s="6"/>
      <c r="BA253" s="6" t="s">
        <v>1442</v>
      </c>
      <c r="BB253" s="6" t="s">
        <v>1443</v>
      </c>
      <c r="BC253" s="6" t="s">
        <v>97</v>
      </c>
      <c r="BD253" s="6" t="s">
        <v>97</v>
      </c>
    </row>
    <row r="254" spans="1:56" ht="32" customHeight="1" x14ac:dyDescent="0.35">
      <c r="A254" s="13" t="s">
        <v>2494</v>
      </c>
      <c r="B254" s="6" t="s">
        <v>2114</v>
      </c>
      <c r="C254" s="5" t="s">
        <v>2115</v>
      </c>
      <c r="D254" s="5" t="s">
        <v>829</v>
      </c>
      <c r="E254" s="5" t="s">
        <v>2495</v>
      </c>
      <c r="F254" s="5" t="s">
        <v>2496</v>
      </c>
      <c r="G254" s="5" t="s">
        <v>1459</v>
      </c>
      <c r="H254" s="5" t="s">
        <v>2497</v>
      </c>
      <c r="I254" s="5" t="s">
        <v>2498</v>
      </c>
      <c r="J254" s="17" t="s">
        <v>121</v>
      </c>
      <c r="K254" s="17" t="s">
        <v>181</v>
      </c>
      <c r="L254" s="5" t="s">
        <v>2499</v>
      </c>
      <c r="M254" s="6" t="s">
        <v>197</v>
      </c>
      <c r="N254" s="6" t="s">
        <v>812</v>
      </c>
      <c r="O254" s="6" t="s">
        <v>121</v>
      </c>
      <c r="P254" s="5" t="s">
        <v>918</v>
      </c>
      <c r="Q254" s="18" t="s">
        <v>186</v>
      </c>
      <c r="R254" s="5" t="s">
        <v>1449</v>
      </c>
      <c r="S254" s="6" t="s">
        <v>980</v>
      </c>
      <c r="T254" s="5" t="s">
        <v>981</v>
      </c>
      <c r="U254" s="6"/>
      <c r="V254" s="6" t="s">
        <v>982</v>
      </c>
      <c r="W254" s="6" t="s">
        <v>331</v>
      </c>
      <c r="X254" s="5" t="s">
        <v>922</v>
      </c>
      <c r="Y254" s="5" t="s">
        <v>812</v>
      </c>
      <c r="Z254" s="5" t="str">
        <f t="shared" si="6"/>
        <v>High</v>
      </c>
      <c r="AA254" s="5" t="s">
        <v>923</v>
      </c>
      <c r="AB254" s="6" t="s">
        <v>924</v>
      </c>
      <c r="AC254" s="6" t="s">
        <v>103</v>
      </c>
      <c r="AD254" s="5" t="s">
        <v>940</v>
      </c>
      <c r="AE254" s="5" t="s">
        <v>354</v>
      </c>
      <c r="AF254" s="5" t="s">
        <v>354</v>
      </c>
      <c r="AG254" s="5" t="s">
        <v>354</v>
      </c>
      <c r="AH254" s="5" t="s">
        <v>354</v>
      </c>
      <c r="AI254" s="6" t="str">
        <f t="shared" si="7"/>
        <v>No</v>
      </c>
      <c r="AJ254" s="6" t="s">
        <v>941</v>
      </c>
      <c r="AK254" s="6" t="s">
        <v>121</v>
      </c>
      <c r="AL254" s="6">
        <f>MATCH(AA254,{"Low","Medium","High"},0)*MATCH(AB254,{"Low","Medium","High"},0)*INDEX({3,2,2,1,1},MATCH(X254,{"Core","Vertical extension","Differentiator","Future","Adjacent"},0))</f>
        <v>9</v>
      </c>
      <c r="AM254" s="5"/>
      <c r="AN254" s="5"/>
      <c r="AO254" s="5"/>
      <c r="AP254" s="5"/>
      <c r="AQ254" s="5"/>
      <c r="AR254" s="5"/>
      <c r="AS254" s="5"/>
      <c r="AT254" s="5"/>
      <c r="AU254" s="6" t="s">
        <v>927</v>
      </c>
      <c r="AV254" s="6" t="s">
        <v>1322</v>
      </c>
      <c r="AW254" s="6" t="s">
        <v>1322</v>
      </c>
      <c r="AX254" s="6" t="s">
        <v>929</v>
      </c>
      <c r="AY254" s="6" t="s">
        <v>930</v>
      </c>
      <c r="AZ254" s="6"/>
      <c r="BA254" s="6" t="s">
        <v>2500</v>
      </c>
      <c r="BB254" s="6" t="s">
        <v>2501</v>
      </c>
      <c r="BC254" s="6" t="s">
        <v>97</v>
      </c>
      <c r="BD254" s="6" t="s">
        <v>97</v>
      </c>
    </row>
    <row r="255" spans="1:56" ht="32" customHeight="1" x14ac:dyDescent="0.35">
      <c r="A255" s="13" t="s">
        <v>2502</v>
      </c>
      <c r="B255" s="6" t="s">
        <v>2114</v>
      </c>
      <c r="C255" s="5" t="s">
        <v>2115</v>
      </c>
      <c r="D255" s="5" t="s">
        <v>829</v>
      </c>
      <c r="E255" s="5" t="s">
        <v>2503</v>
      </c>
      <c r="F255" s="5" t="s">
        <v>2504</v>
      </c>
      <c r="G255" s="5" t="s">
        <v>2094</v>
      </c>
      <c r="H255" s="5" t="s">
        <v>2505</v>
      </c>
      <c r="I255" s="5" t="s">
        <v>2506</v>
      </c>
      <c r="J255" s="17" t="s">
        <v>121</v>
      </c>
      <c r="K255" s="17" t="s">
        <v>181</v>
      </c>
      <c r="L255" s="5" t="s">
        <v>2507</v>
      </c>
      <c r="M255" s="6" t="s">
        <v>197</v>
      </c>
      <c r="N255" s="6" t="s">
        <v>812</v>
      </c>
      <c r="O255" s="6" t="s">
        <v>121</v>
      </c>
      <c r="P255" s="5" t="s">
        <v>918</v>
      </c>
      <c r="Q255" s="17" t="s">
        <v>182</v>
      </c>
      <c r="R255" s="5"/>
      <c r="S255" s="6" t="s">
        <v>980</v>
      </c>
      <c r="T255" s="5" t="s">
        <v>981</v>
      </c>
      <c r="U255" s="6"/>
      <c r="V255" s="6" t="s">
        <v>982</v>
      </c>
      <c r="W255" s="6" t="s">
        <v>331</v>
      </c>
      <c r="X255" s="5" t="s">
        <v>922</v>
      </c>
      <c r="Y255" s="5" t="s">
        <v>812</v>
      </c>
      <c r="Z255" s="5" t="str">
        <f t="shared" si="6"/>
        <v>High</v>
      </c>
      <c r="AA255" s="5" t="s">
        <v>923</v>
      </c>
      <c r="AB255" s="6" t="s">
        <v>924</v>
      </c>
      <c r="AC255" s="6" t="s">
        <v>103</v>
      </c>
      <c r="AD255" s="5" t="s">
        <v>925</v>
      </c>
      <c r="AE255" s="5" t="s">
        <v>354</v>
      </c>
      <c r="AF255" s="5" t="s">
        <v>354</v>
      </c>
      <c r="AG255" s="5" t="s">
        <v>354</v>
      </c>
      <c r="AH255" s="5" t="s">
        <v>354</v>
      </c>
      <c r="AI255" s="6" t="str">
        <f t="shared" si="7"/>
        <v>No</v>
      </c>
      <c r="AJ255" s="6" t="s">
        <v>926</v>
      </c>
      <c r="AK255" s="6" t="s">
        <v>121</v>
      </c>
      <c r="AL255" s="6">
        <f>MATCH(AA255,{"Low","Medium","High"},0)*MATCH(AB255,{"Low","Medium","High"},0)*INDEX({3,2,2,1,1},MATCH(X255,{"Core","Vertical extension","Differentiator","Future","Adjacent"},0))</f>
        <v>9</v>
      </c>
      <c r="AM255" s="5"/>
      <c r="AN255" s="5"/>
      <c r="AO255" s="5"/>
      <c r="AP255" s="5"/>
      <c r="AQ255" s="5"/>
      <c r="AR255" s="5"/>
      <c r="AS255" s="5"/>
      <c r="AT255" s="5"/>
      <c r="AU255" s="6" t="s">
        <v>927</v>
      </c>
      <c r="AV255" s="6" t="s">
        <v>2161</v>
      </c>
      <c r="AW255" s="6" t="s">
        <v>2161</v>
      </c>
      <c r="AX255" s="6" t="s">
        <v>929</v>
      </c>
      <c r="AY255" s="6" t="s">
        <v>930</v>
      </c>
      <c r="AZ255" s="6"/>
      <c r="BA255" s="6"/>
      <c r="BB255" s="6"/>
      <c r="BC255" s="6" t="s">
        <v>97</v>
      </c>
      <c r="BD255" s="6" t="s">
        <v>97</v>
      </c>
    </row>
    <row r="256" spans="1:56" ht="32" customHeight="1" x14ac:dyDescent="0.35">
      <c r="A256" s="13" t="s">
        <v>2508</v>
      </c>
      <c r="B256" s="6" t="s">
        <v>2114</v>
      </c>
      <c r="C256" s="5" t="s">
        <v>2115</v>
      </c>
      <c r="D256" s="5" t="s">
        <v>829</v>
      </c>
      <c r="E256" s="5" t="s">
        <v>2509</v>
      </c>
      <c r="F256" s="5" t="s">
        <v>2510</v>
      </c>
      <c r="G256" s="5" t="s">
        <v>1452</v>
      </c>
      <c r="H256" s="5" t="s">
        <v>2511</v>
      </c>
      <c r="I256" s="5" t="s">
        <v>2512</v>
      </c>
      <c r="J256" s="17" t="s">
        <v>121</v>
      </c>
      <c r="K256" s="17" t="s">
        <v>181</v>
      </c>
      <c r="L256" s="5" t="s">
        <v>2513</v>
      </c>
      <c r="M256" s="6" t="s">
        <v>197</v>
      </c>
      <c r="N256" s="6" t="s">
        <v>812</v>
      </c>
      <c r="O256" s="6" t="s">
        <v>121</v>
      </c>
      <c r="P256" s="5" t="s">
        <v>918</v>
      </c>
      <c r="Q256" s="17" t="s">
        <v>182</v>
      </c>
      <c r="R256" s="5"/>
      <c r="S256" s="6" t="s">
        <v>980</v>
      </c>
      <c r="T256" s="5" t="s">
        <v>981</v>
      </c>
      <c r="U256" s="6"/>
      <c r="V256" s="6" t="s">
        <v>982</v>
      </c>
      <c r="W256" s="6" t="s">
        <v>331</v>
      </c>
      <c r="X256" s="5" t="s">
        <v>922</v>
      </c>
      <c r="Y256" s="5" t="s">
        <v>812</v>
      </c>
      <c r="Z256" s="5" t="str">
        <f t="shared" si="6"/>
        <v>High</v>
      </c>
      <c r="AA256" s="5" t="s">
        <v>923</v>
      </c>
      <c r="AB256" s="6" t="s">
        <v>924</v>
      </c>
      <c r="AC256" s="6" t="s">
        <v>103</v>
      </c>
      <c r="AD256" s="5" t="s">
        <v>925</v>
      </c>
      <c r="AE256" s="5" t="s">
        <v>354</v>
      </c>
      <c r="AF256" s="5" t="s">
        <v>354</v>
      </c>
      <c r="AG256" s="5" t="s">
        <v>354</v>
      </c>
      <c r="AH256" s="5" t="s">
        <v>354</v>
      </c>
      <c r="AI256" s="6" t="str">
        <f t="shared" si="7"/>
        <v>No</v>
      </c>
      <c r="AJ256" s="6" t="s">
        <v>926</v>
      </c>
      <c r="AK256" s="6" t="s">
        <v>121</v>
      </c>
      <c r="AL256" s="6">
        <f>MATCH(AA256,{"Low","Medium","High"},0)*MATCH(AB256,{"Low","Medium","High"},0)*INDEX({3,2,2,1,1},MATCH(X256,{"Core","Vertical extension","Differentiator","Future","Adjacent"},0))</f>
        <v>9</v>
      </c>
      <c r="AM256" s="5"/>
      <c r="AN256" s="5"/>
      <c r="AO256" s="5"/>
      <c r="AP256" s="5"/>
      <c r="AQ256" s="5"/>
      <c r="AR256" s="5"/>
      <c r="AS256" s="5"/>
      <c r="AT256" s="5"/>
      <c r="AU256" s="6" t="s">
        <v>927</v>
      </c>
      <c r="AV256" s="6" t="s">
        <v>2161</v>
      </c>
      <c r="AW256" s="6" t="s">
        <v>2161</v>
      </c>
      <c r="AX256" s="6" t="s">
        <v>929</v>
      </c>
      <c r="AY256" s="6" t="s">
        <v>930</v>
      </c>
      <c r="AZ256" s="6"/>
      <c r="BA256" s="6"/>
      <c r="BB256" s="6"/>
      <c r="BC256" s="6" t="s">
        <v>97</v>
      </c>
      <c r="BD256" s="6" t="s">
        <v>97</v>
      </c>
    </row>
    <row r="257" spans="1:56" ht="32" customHeight="1" x14ac:dyDescent="0.35">
      <c r="A257" s="13" t="s">
        <v>2514</v>
      </c>
      <c r="B257" s="6" t="s">
        <v>2114</v>
      </c>
      <c r="C257" s="5" t="s">
        <v>2115</v>
      </c>
      <c r="D257" s="5" t="s">
        <v>829</v>
      </c>
      <c r="E257" s="5" t="s">
        <v>2515</v>
      </c>
      <c r="F257" s="5" t="s">
        <v>831</v>
      </c>
      <c r="G257" s="5" t="s">
        <v>1322</v>
      </c>
      <c r="H257" s="5" t="s">
        <v>2516</v>
      </c>
      <c r="I257" s="5" t="s">
        <v>2517</v>
      </c>
      <c r="J257" s="17" t="s">
        <v>121</v>
      </c>
      <c r="K257" s="17" t="s">
        <v>181</v>
      </c>
      <c r="L257" s="5" t="s">
        <v>2518</v>
      </c>
      <c r="M257" s="6" t="s">
        <v>197</v>
      </c>
      <c r="N257" s="6" t="s">
        <v>812</v>
      </c>
      <c r="O257" s="6" t="s">
        <v>121</v>
      </c>
      <c r="P257" s="5" t="s">
        <v>918</v>
      </c>
      <c r="Q257" s="17" t="s">
        <v>182</v>
      </c>
      <c r="R257" s="5"/>
      <c r="S257" s="6" t="s">
        <v>980</v>
      </c>
      <c r="T257" s="5" t="s">
        <v>981</v>
      </c>
      <c r="U257" s="6"/>
      <c r="V257" s="6" t="s">
        <v>982</v>
      </c>
      <c r="W257" s="6" t="s">
        <v>331</v>
      </c>
      <c r="X257" s="5" t="s">
        <v>922</v>
      </c>
      <c r="Y257" s="5" t="s">
        <v>812</v>
      </c>
      <c r="Z257" s="5" t="str">
        <f t="shared" si="6"/>
        <v>High</v>
      </c>
      <c r="AA257" s="5" t="s">
        <v>923</v>
      </c>
      <c r="AB257" s="6" t="s">
        <v>924</v>
      </c>
      <c r="AC257" s="6" t="s">
        <v>103</v>
      </c>
      <c r="AD257" s="5" t="s">
        <v>925</v>
      </c>
      <c r="AE257" s="5" t="s">
        <v>354</v>
      </c>
      <c r="AF257" s="5" t="s">
        <v>354</v>
      </c>
      <c r="AG257" s="5" t="s">
        <v>354</v>
      </c>
      <c r="AH257" s="5" t="s">
        <v>354</v>
      </c>
      <c r="AI257" s="6" t="str">
        <f t="shared" si="7"/>
        <v>No</v>
      </c>
      <c r="AJ257" s="6" t="s">
        <v>926</v>
      </c>
      <c r="AK257" s="6" t="s">
        <v>121</v>
      </c>
      <c r="AL257" s="6">
        <f>MATCH(AA257,{"Low","Medium","High"},0)*MATCH(AB257,{"Low","Medium","High"},0)*INDEX({3,2,2,1,1},MATCH(X257,{"Core","Vertical extension","Differentiator","Future","Adjacent"},0))</f>
        <v>9</v>
      </c>
      <c r="AM257" s="5"/>
      <c r="AN257" s="5"/>
      <c r="AO257" s="5"/>
      <c r="AP257" s="5"/>
      <c r="AQ257" s="5"/>
      <c r="AR257" s="5"/>
      <c r="AS257" s="5"/>
      <c r="AT257" s="5"/>
      <c r="AU257" s="6" t="s">
        <v>927</v>
      </c>
      <c r="AV257" s="6" t="s">
        <v>2161</v>
      </c>
      <c r="AW257" s="6" t="s">
        <v>2161</v>
      </c>
      <c r="AX257" s="6" t="s">
        <v>929</v>
      </c>
      <c r="AY257" s="6" t="s">
        <v>930</v>
      </c>
      <c r="AZ257" s="6"/>
      <c r="BA257" s="6"/>
      <c r="BB257" s="6"/>
      <c r="BC257" s="6" t="s">
        <v>97</v>
      </c>
      <c r="BD257" s="6" t="s">
        <v>97</v>
      </c>
    </row>
    <row r="258" spans="1:56" ht="32" customHeight="1" x14ac:dyDescent="0.35">
      <c r="A258" s="13" t="s">
        <v>2519</v>
      </c>
      <c r="B258" s="6" t="s">
        <v>2114</v>
      </c>
      <c r="C258" s="5" t="s">
        <v>2115</v>
      </c>
      <c r="D258" s="5" t="s">
        <v>829</v>
      </c>
      <c r="E258" s="5" t="s">
        <v>2520</v>
      </c>
      <c r="F258" s="5" t="s">
        <v>2521</v>
      </c>
      <c r="G258" s="5" t="s">
        <v>1459</v>
      </c>
      <c r="H258" s="5" t="s">
        <v>2522</v>
      </c>
      <c r="I258" s="5" t="s">
        <v>2523</v>
      </c>
      <c r="J258" s="17" t="s">
        <v>121</v>
      </c>
      <c r="K258" s="17" t="s">
        <v>181</v>
      </c>
      <c r="L258" s="5" t="s">
        <v>2524</v>
      </c>
      <c r="M258" s="6" t="s">
        <v>197</v>
      </c>
      <c r="N258" s="6" t="s">
        <v>812</v>
      </c>
      <c r="O258" s="6" t="s">
        <v>121</v>
      </c>
      <c r="P258" s="5" t="s">
        <v>918</v>
      </c>
      <c r="Q258" s="18" t="s">
        <v>186</v>
      </c>
      <c r="R258" s="5" t="s">
        <v>2525</v>
      </c>
      <c r="S258" s="6" t="s">
        <v>980</v>
      </c>
      <c r="T258" s="5" t="s">
        <v>981</v>
      </c>
      <c r="U258" s="6"/>
      <c r="V258" s="6" t="s">
        <v>982</v>
      </c>
      <c r="W258" s="6" t="s">
        <v>331</v>
      </c>
      <c r="X258" s="5" t="s">
        <v>922</v>
      </c>
      <c r="Y258" s="5" t="s">
        <v>812</v>
      </c>
      <c r="Z258" s="5" t="str">
        <f t="shared" ref="Z258:Z321" si="8">IF(AL258&gt;=18,"Critical",IF(AL258&gt;=9,"High",IF(AL258&gt;=4,"Medium","Low")))</f>
        <v>High</v>
      </c>
      <c r="AA258" s="5" t="s">
        <v>923</v>
      </c>
      <c r="AB258" s="6" t="s">
        <v>924</v>
      </c>
      <c r="AC258" s="6" t="s">
        <v>103</v>
      </c>
      <c r="AD258" s="5" t="s">
        <v>940</v>
      </c>
      <c r="AE258" s="5" t="s">
        <v>354</v>
      </c>
      <c r="AF258" s="5" t="s">
        <v>354</v>
      </c>
      <c r="AG258" s="5" t="s">
        <v>354</v>
      </c>
      <c r="AH258" s="5" t="s">
        <v>354</v>
      </c>
      <c r="AI258" s="6" t="str">
        <f t="shared" ref="AI258:AI321" si="9">IF(AND(AU258="Pass",AE258&lt;&gt;"Not verified",AF258&lt;&gt;"Not verified",AG258&lt;&gt;"Not verified",AH258&lt;&gt;"Not verified",BC258="Yes",BD258="Yes"),"Yes","No")</f>
        <v>No</v>
      </c>
      <c r="AJ258" s="6" t="s">
        <v>941</v>
      </c>
      <c r="AK258" s="6" t="s">
        <v>121</v>
      </c>
      <c r="AL258" s="6">
        <f>MATCH(AA258,{"Low","Medium","High"},0)*MATCH(AB258,{"Low","Medium","High"},0)*INDEX({3,2,2,1,1},MATCH(X258,{"Core","Vertical extension","Differentiator","Future","Adjacent"},0))</f>
        <v>9</v>
      </c>
      <c r="AM258" s="5"/>
      <c r="AN258" s="5"/>
      <c r="AO258" s="5"/>
      <c r="AP258" s="5"/>
      <c r="AQ258" s="5"/>
      <c r="AR258" s="5"/>
      <c r="AS258" s="5"/>
      <c r="AT258" s="5"/>
      <c r="AU258" s="6" t="s">
        <v>927</v>
      </c>
      <c r="AV258" s="6" t="s">
        <v>2161</v>
      </c>
      <c r="AW258" s="6" t="s">
        <v>2161</v>
      </c>
      <c r="AX258" s="6" t="s">
        <v>929</v>
      </c>
      <c r="AY258" s="6" t="s">
        <v>930</v>
      </c>
      <c r="AZ258" s="6"/>
      <c r="BA258" s="6" t="s">
        <v>1079</v>
      </c>
      <c r="BB258" s="6" t="s">
        <v>1080</v>
      </c>
      <c r="BC258" s="6" t="s">
        <v>97</v>
      </c>
      <c r="BD258" s="6" t="s">
        <v>97</v>
      </c>
    </row>
    <row r="259" spans="1:56" ht="32" customHeight="1" x14ac:dyDescent="0.35">
      <c r="A259" s="13" t="s">
        <v>2526</v>
      </c>
      <c r="B259" s="6" t="s">
        <v>2114</v>
      </c>
      <c r="C259" s="5" t="s">
        <v>2115</v>
      </c>
      <c r="D259" s="5" t="s">
        <v>839</v>
      </c>
      <c r="E259" s="5" t="s">
        <v>2527</v>
      </c>
      <c r="F259" s="5" t="s">
        <v>2528</v>
      </c>
      <c r="G259" s="5" t="s">
        <v>2529</v>
      </c>
      <c r="H259" s="5" t="s">
        <v>2530</v>
      </c>
      <c r="I259" s="5" t="s">
        <v>2531</v>
      </c>
      <c r="J259" s="17" t="s">
        <v>121</v>
      </c>
      <c r="K259" s="17" t="s">
        <v>181</v>
      </c>
      <c r="L259" s="5" t="s">
        <v>2532</v>
      </c>
      <c r="M259" s="6" t="s">
        <v>197</v>
      </c>
      <c r="N259" s="6" t="s">
        <v>812</v>
      </c>
      <c r="O259" s="6" t="s">
        <v>121</v>
      </c>
      <c r="P259" s="5" t="s">
        <v>918</v>
      </c>
      <c r="Q259" s="17" t="s">
        <v>182</v>
      </c>
      <c r="R259" s="5"/>
      <c r="S259" s="6" t="s">
        <v>1359</v>
      </c>
      <c r="T259" s="5" t="s">
        <v>1360</v>
      </c>
      <c r="U259" s="6"/>
      <c r="V259" s="6" t="s">
        <v>982</v>
      </c>
      <c r="W259" s="6" t="s">
        <v>331</v>
      </c>
      <c r="X259" s="5" t="s">
        <v>922</v>
      </c>
      <c r="Y259" s="5" t="s">
        <v>812</v>
      </c>
      <c r="Z259" s="5" t="str">
        <f t="shared" si="8"/>
        <v>Medium</v>
      </c>
      <c r="AA259" s="5" t="s">
        <v>956</v>
      </c>
      <c r="AB259" s="6" t="s">
        <v>924</v>
      </c>
      <c r="AC259" s="6" t="s">
        <v>103</v>
      </c>
      <c r="AD259" s="5" t="s">
        <v>925</v>
      </c>
      <c r="AE259" s="5" t="s">
        <v>354</v>
      </c>
      <c r="AF259" s="5" t="s">
        <v>354</v>
      </c>
      <c r="AG259" s="5" t="s">
        <v>354</v>
      </c>
      <c r="AH259" s="5" t="s">
        <v>354</v>
      </c>
      <c r="AI259" s="6" t="str">
        <f t="shared" si="9"/>
        <v>No</v>
      </c>
      <c r="AJ259" s="6" t="s">
        <v>926</v>
      </c>
      <c r="AK259" s="6" t="s">
        <v>121</v>
      </c>
      <c r="AL259" s="6">
        <f>MATCH(AA259,{"Low","Medium","High"},0)*MATCH(AB259,{"Low","Medium","High"},0)*INDEX({3,2,2,1,1},MATCH(X259,{"Core","Vertical extension","Differentiator","Future","Adjacent"},0))</f>
        <v>6</v>
      </c>
      <c r="AM259" s="5"/>
      <c r="AN259" s="5"/>
      <c r="AO259" s="5"/>
      <c r="AP259" s="5"/>
      <c r="AQ259" s="5"/>
      <c r="AR259" s="5"/>
      <c r="AS259" s="5"/>
      <c r="AT259" s="5"/>
      <c r="AU259" s="6" t="s">
        <v>927</v>
      </c>
      <c r="AV259" s="6" t="s">
        <v>1296</v>
      </c>
      <c r="AW259" s="6" t="s">
        <v>1296</v>
      </c>
      <c r="AX259" s="6" t="s">
        <v>929</v>
      </c>
      <c r="AY259" s="6" t="s">
        <v>930</v>
      </c>
      <c r="AZ259" s="6"/>
      <c r="BA259" s="6"/>
      <c r="BB259" s="6"/>
      <c r="BC259" s="6" t="s">
        <v>97</v>
      </c>
      <c r="BD259" s="6" t="s">
        <v>97</v>
      </c>
    </row>
    <row r="260" spans="1:56" ht="32" customHeight="1" x14ac:dyDescent="0.35">
      <c r="A260" s="13" t="s">
        <v>2533</v>
      </c>
      <c r="B260" s="6" t="s">
        <v>2114</v>
      </c>
      <c r="C260" s="5" t="s">
        <v>2115</v>
      </c>
      <c r="D260" s="5" t="s">
        <v>839</v>
      </c>
      <c r="E260" s="5" t="s">
        <v>2534</v>
      </c>
      <c r="F260" s="5" t="s">
        <v>2529</v>
      </c>
      <c r="G260" s="5" t="s">
        <v>2528</v>
      </c>
      <c r="H260" s="5" t="s">
        <v>2535</v>
      </c>
      <c r="I260" s="5" t="s">
        <v>2536</v>
      </c>
      <c r="J260" s="17" t="s">
        <v>121</v>
      </c>
      <c r="K260" s="17" t="s">
        <v>181</v>
      </c>
      <c r="L260" s="5" t="s">
        <v>2537</v>
      </c>
      <c r="M260" s="6" t="s">
        <v>197</v>
      </c>
      <c r="N260" s="6" t="s">
        <v>812</v>
      </c>
      <c r="O260" s="6" t="s">
        <v>121</v>
      </c>
      <c r="P260" s="5" t="s">
        <v>918</v>
      </c>
      <c r="Q260" s="17" t="s">
        <v>182</v>
      </c>
      <c r="R260" s="5"/>
      <c r="S260" s="6" t="s">
        <v>1359</v>
      </c>
      <c r="T260" s="5" t="s">
        <v>1360</v>
      </c>
      <c r="U260" s="6"/>
      <c r="V260" s="6" t="s">
        <v>982</v>
      </c>
      <c r="W260" s="6" t="s">
        <v>331</v>
      </c>
      <c r="X260" s="5" t="s">
        <v>922</v>
      </c>
      <c r="Y260" s="5" t="s">
        <v>812</v>
      </c>
      <c r="Z260" s="5" t="str">
        <f t="shared" si="8"/>
        <v>Medium</v>
      </c>
      <c r="AA260" s="5" t="s">
        <v>956</v>
      </c>
      <c r="AB260" s="6" t="s">
        <v>924</v>
      </c>
      <c r="AC260" s="6" t="s">
        <v>103</v>
      </c>
      <c r="AD260" s="5" t="s">
        <v>925</v>
      </c>
      <c r="AE260" s="5" t="s">
        <v>354</v>
      </c>
      <c r="AF260" s="5" t="s">
        <v>354</v>
      </c>
      <c r="AG260" s="5" t="s">
        <v>354</v>
      </c>
      <c r="AH260" s="5" t="s">
        <v>354</v>
      </c>
      <c r="AI260" s="6" t="str">
        <f t="shared" si="9"/>
        <v>No</v>
      </c>
      <c r="AJ260" s="6" t="s">
        <v>926</v>
      </c>
      <c r="AK260" s="6" t="s">
        <v>121</v>
      </c>
      <c r="AL260" s="6">
        <f>MATCH(AA260,{"Low","Medium","High"},0)*MATCH(AB260,{"Low","Medium","High"},0)*INDEX({3,2,2,1,1},MATCH(X260,{"Core","Vertical extension","Differentiator","Future","Adjacent"},0))</f>
        <v>6</v>
      </c>
      <c r="AM260" s="5"/>
      <c r="AN260" s="5"/>
      <c r="AO260" s="5"/>
      <c r="AP260" s="5"/>
      <c r="AQ260" s="5"/>
      <c r="AR260" s="5"/>
      <c r="AS260" s="5"/>
      <c r="AT260" s="5"/>
      <c r="AU260" s="6" t="s">
        <v>927</v>
      </c>
      <c r="AV260" s="6" t="s">
        <v>1296</v>
      </c>
      <c r="AW260" s="6" t="s">
        <v>1296</v>
      </c>
      <c r="AX260" s="6" t="s">
        <v>929</v>
      </c>
      <c r="AY260" s="6" t="s">
        <v>930</v>
      </c>
      <c r="AZ260" s="6"/>
      <c r="BA260" s="6"/>
      <c r="BB260" s="6"/>
      <c r="BC260" s="6" t="s">
        <v>97</v>
      </c>
      <c r="BD260" s="6" t="s">
        <v>97</v>
      </c>
    </row>
    <row r="261" spans="1:56" ht="32" customHeight="1" x14ac:dyDescent="0.35">
      <c r="A261" s="13" t="s">
        <v>2538</v>
      </c>
      <c r="B261" s="6" t="s">
        <v>2114</v>
      </c>
      <c r="C261" s="5" t="s">
        <v>2115</v>
      </c>
      <c r="D261" s="5" t="s">
        <v>839</v>
      </c>
      <c r="E261" s="5" t="s">
        <v>2539</v>
      </c>
      <c r="F261" s="5" t="s">
        <v>1400</v>
      </c>
      <c r="G261" s="5" t="s">
        <v>1300</v>
      </c>
      <c r="H261" s="5" t="s">
        <v>2540</v>
      </c>
      <c r="I261" s="5" t="s">
        <v>2541</v>
      </c>
      <c r="J261" s="17" t="s">
        <v>121</v>
      </c>
      <c r="K261" s="17" t="s">
        <v>181</v>
      </c>
      <c r="L261" s="5" t="s">
        <v>2542</v>
      </c>
      <c r="M261" s="6" t="s">
        <v>197</v>
      </c>
      <c r="N261" s="6" t="s">
        <v>812</v>
      </c>
      <c r="O261" s="6" t="s">
        <v>121</v>
      </c>
      <c r="P261" s="5" t="s">
        <v>918</v>
      </c>
      <c r="Q261" s="17" t="s">
        <v>182</v>
      </c>
      <c r="R261" s="5"/>
      <c r="S261" s="6" t="s">
        <v>1359</v>
      </c>
      <c r="T261" s="5" t="s">
        <v>1360</v>
      </c>
      <c r="U261" s="6"/>
      <c r="V261" s="6" t="s">
        <v>982</v>
      </c>
      <c r="W261" s="6" t="s">
        <v>331</v>
      </c>
      <c r="X261" s="5" t="s">
        <v>922</v>
      </c>
      <c r="Y261" s="5" t="s">
        <v>812</v>
      </c>
      <c r="Z261" s="5" t="str">
        <f t="shared" si="8"/>
        <v>Medium</v>
      </c>
      <c r="AA261" s="5" t="s">
        <v>956</v>
      </c>
      <c r="AB261" s="6" t="s">
        <v>924</v>
      </c>
      <c r="AC261" s="6" t="s">
        <v>103</v>
      </c>
      <c r="AD261" s="5" t="s">
        <v>925</v>
      </c>
      <c r="AE261" s="5" t="s">
        <v>354</v>
      </c>
      <c r="AF261" s="5" t="s">
        <v>354</v>
      </c>
      <c r="AG261" s="5" t="s">
        <v>354</v>
      </c>
      <c r="AH261" s="5" t="s">
        <v>354</v>
      </c>
      <c r="AI261" s="6" t="str">
        <f t="shared" si="9"/>
        <v>No</v>
      </c>
      <c r="AJ261" s="6" t="s">
        <v>926</v>
      </c>
      <c r="AK261" s="6" t="s">
        <v>121</v>
      </c>
      <c r="AL261" s="6">
        <f>MATCH(AA261,{"Low","Medium","High"},0)*MATCH(AB261,{"Low","Medium","High"},0)*INDEX({3,2,2,1,1},MATCH(X261,{"Core","Vertical extension","Differentiator","Future","Adjacent"},0))</f>
        <v>6</v>
      </c>
      <c r="AM261" s="5"/>
      <c r="AN261" s="5"/>
      <c r="AO261" s="5"/>
      <c r="AP261" s="5"/>
      <c r="AQ261" s="5"/>
      <c r="AR261" s="5"/>
      <c r="AS261" s="5"/>
      <c r="AT261" s="5"/>
      <c r="AU261" s="6" t="s">
        <v>927</v>
      </c>
      <c r="AV261" s="6" t="s">
        <v>1296</v>
      </c>
      <c r="AW261" s="6" t="s">
        <v>1296</v>
      </c>
      <c r="AX261" s="6" t="s">
        <v>929</v>
      </c>
      <c r="AY261" s="6" t="s">
        <v>930</v>
      </c>
      <c r="AZ261" s="6"/>
      <c r="BA261" s="6"/>
      <c r="BB261" s="6"/>
      <c r="BC261" s="6" t="s">
        <v>97</v>
      </c>
      <c r="BD261" s="6" t="s">
        <v>97</v>
      </c>
    </row>
    <row r="262" spans="1:56" ht="32" customHeight="1" x14ac:dyDescent="0.35">
      <c r="A262" s="13" t="s">
        <v>2543</v>
      </c>
      <c r="B262" s="6" t="s">
        <v>2114</v>
      </c>
      <c r="C262" s="5" t="s">
        <v>2115</v>
      </c>
      <c r="D262" s="5" t="s">
        <v>839</v>
      </c>
      <c r="E262" s="5" t="s">
        <v>2544</v>
      </c>
      <c r="F262" s="5" t="s">
        <v>1400</v>
      </c>
      <c r="G262" s="5" t="s">
        <v>2001</v>
      </c>
      <c r="H262" s="5" t="s">
        <v>2545</v>
      </c>
      <c r="I262" s="5" t="s">
        <v>2546</v>
      </c>
      <c r="J262" s="17" t="s">
        <v>121</v>
      </c>
      <c r="K262" s="17" t="s">
        <v>181</v>
      </c>
      <c r="L262" s="5" t="s">
        <v>2547</v>
      </c>
      <c r="M262" s="6" t="s">
        <v>197</v>
      </c>
      <c r="N262" s="6" t="s">
        <v>812</v>
      </c>
      <c r="O262" s="6" t="s">
        <v>121</v>
      </c>
      <c r="P262" s="5" t="s">
        <v>918</v>
      </c>
      <c r="Q262" s="18" t="s">
        <v>186</v>
      </c>
      <c r="R262" s="5" t="s">
        <v>1358</v>
      </c>
      <c r="S262" s="6" t="s">
        <v>1359</v>
      </c>
      <c r="T262" s="5" t="s">
        <v>1360</v>
      </c>
      <c r="U262" s="6"/>
      <c r="V262" s="6" t="s">
        <v>982</v>
      </c>
      <c r="W262" s="6" t="s">
        <v>331</v>
      </c>
      <c r="X262" s="5" t="s">
        <v>922</v>
      </c>
      <c r="Y262" s="5" t="s">
        <v>812</v>
      </c>
      <c r="Z262" s="5" t="str">
        <f t="shared" si="8"/>
        <v>Medium</v>
      </c>
      <c r="AA262" s="5" t="s">
        <v>956</v>
      </c>
      <c r="AB262" s="6" t="s">
        <v>924</v>
      </c>
      <c r="AC262" s="6" t="s">
        <v>103</v>
      </c>
      <c r="AD262" s="5" t="s">
        <v>940</v>
      </c>
      <c r="AE262" s="5" t="s">
        <v>354</v>
      </c>
      <c r="AF262" s="5" t="s">
        <v>354</v>
      </c>
      <c r="AG262" s="5" t="s">
        <v>354</v>
      </c>
      <c r="AH262" s="5" t="s">
        <v>354</v>
      </c>
      <c r="AI262" s="6" t="str">
        <f t="shared" si="9"/>
        <v>No</v>
      </c>
      <c r="AJ262" s="6" t="s">
        <v>941</v>
      </c>
      <c r="AK262" s="6" t="s">
        <v>121</v>
      </c>
      <c r="AL262" s="6">
        <f>MATCH(AA262,{"Low","Medium","High"},0)*MATCH(AB262,{"Low","Medium","High"},0)*INDEX({3,2,2,1,1},MATCH(X262,{"Core","Vertical extension","Differentiator","Future","Adjacent"},0))</f>
        <v>6</v>
      </c>
      <c r="AM262" s="5"/>
      <c r="AN262" s="5"/>
      <c r="AO262" s="5"/>
      <c r="AP262" s="5"/>
      <c r="AQ262" s="5"/>
      <c r="AR262" s="5"/>
      <c r="AS262" s="5"/>
      <c r="AT262" s="5"/>
      <c r="AU262" s="6" t="s">
        <v>927</v>
      </c>
      <c r="AV262" s="6" t="s">
        <v>1296</v>
      </c>
      <c r="AW262" s="6" t="s">
        <v>1296</v>
      </c>
      <c r="AX262" s="6" t="s">
        <v>929</v>
      </c>
      <c r="AY262" s="6" t="s">
        <v>930</v>
      </c>
      <c r="AZ262" s="6"/>
      <c r="BA262" s="6" t="s">
        <v>1361</v>
      </c>
      <c r="BB262" s="6" t="s">
        <v>1362</v>
      </c>
      <c r="BC262" s="6" t="s">
        <v>97</v>
      </c>
      <c r="BD262" s="6" t="s">
        <v>97</v>
      </c>
    </row>
    <row r="263" spans="1:56" ht="32" customHeight="1" x14ac:dyDescent="0.35">
      <c r="A263" s="13" t="s">
        <v>2548</v>
      </c>
      <c r="B263" s="6" t="s">
        <v>2114</v>
      </c>
      <c r="C263" s="5" t="s">
        <v>2115</v>
      </c>
      <c r="D263" s="5" t="s">
        <v>839</v>
      </c>
      <c r="E263" s="5" t="s">
        <v>2549</v>
      </c>
      <c r="F263" s="5" t="s">
        <v>2550</v>
      </c>
      <c r="G263" s="5" t="s">
        <v>2001</v>
      </c>
      <c r="H263" s="5" t="s">
        <v>2551</v>
      </c>
      <c r="I263" s="5" t="s">
        <v>2552</v>
      </c>
      <c r="J263" s="17" t="s">
        <v>121</v>
      </c>
      <c r="K263" s="17" t="s">
        <v>181</v>
      </c>
      <c r="L263" s="5" t="s">
        <v>2553</v>
      </c>
      <c r="M263" s="6" t="s">
        <v>197</v>
      </c>
      <c r="N263" s="6" t="s">
        <v>812</v>
      </c>
      <c r="O263" s="6" t="s">
        <v>121</v>
      </c>
      <c r="P263" s="5" t="s">
        <v>918</v>
      </c>
      <c r="Q263" s="18" t="s">
        <v>186</v>
      </c>
      <c r="R263" s="5" t="s">
        <v>1358</v>
      </c>
      <c r="S263" s="6" t="s">
        <v>1359</v>
      </c>
      <c r="T263" s="5" t="s">
        <v>1360</v>
      </c>
      <c r="U263" s="6"/>
      <c r="V263" s="6" t="s">
        <v>982</v>
      </c>
      <c r="W263" s="6" t="s">
        <v>331</v>
      </c>
      <c r="X263" s="5" t="s">
        <v>922</v>
      </c>
      <c r="Y263" s="5" t="s">
        <v>812</v>
      </c>
      <c r="Z263" s="5" t="str">
        <f t="shared" si="8"/>
        <v>Medium</v>
      </c>
      <c r="AA263" s="5" t="s">
        <v>956</v>
      </c>
      <c r="AB263" s="6" t="s">
        <v>924</v>
      </c>
      <c r="AC263" s="6" t="s">
        <v>103</v>
      </c>
      <c r="AD263" s="5" t="s">
        <v>940</v>
      </c>
      <c r="AE263" s="5" t="s">
        <v>354</v>
      </c>
      <c r="AF263" s="5" t="s">
        <v>354</v>
      </c>
      <c r="AG263" s="5" t="s">
        <v>354</v>
      </c>
      <c r="AH263" s="5" t="s">
        <v>354</v>
      </c>
      <c r="AI263" s="6" t="str">
        <f t="shared" si="9"/>
        <v>No</v>
      </c>
      <c r="AJ263" s="6" t="s">
        <v>941</v>
      </c>
      <c r="AK263" s="6" t="s">
        <v>121</v>
      </c>
      <c r="AL263" s="6">
        <f>MATCH(AA263,{"Low","Medium","High"},0)*MATCH(AB263,{"Low","Medium","High"},0)*INDEX({3,2,2,1,1},MATCH(X263,{"Core","Vertical extension","Differentiator","Future","Adjacent"},0))</f>
        <v>6</v>
      </c>
      <c r="AM263" s="5"/>
      <c r="AN263" s="5"/>
      <c r="AO263" s="5"/>
      <c r="AP263" s="5"/>
      <c r="AQ263" s="5"/>
      <c r="AR263" s="5"/>
      <c r="AS263" s="5"/>
      <c r="AT263" s="5"/>
      <c r="AU263" s="6" t="s">
        <v>927</v>
      </c>
      <c r="AV263" s="6" t="s">
        <v>1296</v>
      </c>
      <c r="AW263" s="6" t="s">
        <v>1296</v>
      </c>
      <c r="AX263" s="6" t="s">
        <v>929</v>
      </c>
      <c r="AY263" s="6" t="s">
        <v>930</v>
      </c>
      <c r="AZ263" s="6"/>
      <c r="BA263" s="6" t="s">
        <v>1361</v>
      </c>
      <c r="BB263" s="6" t="s">
        <v>1362</v>
      </c>
      <c r="BC263" s="6" t="s">
        <v>97</v>
      </c>
      <c r="BD263" s="6" t="s">
        <v>97</v>
      </c>
    </row>
    <row r="264" spans="1:56" ht="32" customHeight="1" x14ac:dyDescent="0.35">
      <c r="A264" s="13" t="s">
        <v>2554</v>
      </c>
      <c r="B264" s="6" t="s">
        <v>2114</v>
      </c>
      <c r="C264" s="5" t="s">
        <v>2115</v>
      </c>
      <c r="D264" s="5" t="s">
        <v>839</v>
      </c>
      <c r="E264" s="5" t="s">
        <v>2555</v>
      </c>
      <c r="F264" s="5" t="s">
        <v>2280</v>
      </c>
      <c r="G264" s="5" t="s">
        <v>2556</v>
      </c>
      <c r="H264" s="5" t="s">
        <v>2557</v>
      </c>
      <c r="I264" s="5" t="s">
        <v>2558</v>
      </c>
      <c r="J264" s="17" t="s">
        <v>121</v>
      </c>
      <c r="K264" s="17" t="s">
        <v>181</v>
      </c>
      <c r="L264" s="5" t="s">
        <v>2559</v>
      </c>
      <c r="M264" s="6" t="s">
        <v>197</v>
      </c>
      <c r="N264" s="6" t="s">
        <v>812</v>
      </c>
      <c r="O264" s="6" t="s">
        <v>121</v>
      </c>
      <c r="P264" s="5" t="s">
        <v>918</v>
      </c>
      <c r="Q264" s="17" t="s">
        <v>182</v>
      </c>
      <c r="R264" s="5"/>
      <c r="S264" s="6" t="s">
        <v>1359</v>
      </c>
      <c r="T264" s="5" t="s">
        <v>1360</v>
      </c>
      <c r="U264" s="6"/>
      <c r="V264" s="6" t="s">
        <v>982</v>
      </c>
      <c r="W264" s="6" t="s">
        <v>331</v>
      </c>
      <c r="X264" s="5" t="s">
        <v>922</v>
      </c>
      <c r="Y264" s="5" t="s">
        <v>812</v>
      </c>
      <c r="Z264" s="5" t="str">
        <f t="shared" si="8"/>
        <v>Medium</v>
      </c>
      <c r="AA264" s="5" t="s">
        <v>956</v>
      </c>
      <c r="AB264" s="6" t="s">
        <v>924</v>
      </c>
      <c r="AC264" s="6" t="s">
        <v>103</v>
      </c>
      <c r="AD264" s="5" t="s">
        <v>925</v>
      </c>
      <c r="AE264" s="5" t="s">
        <v>354</v>
      </c>
      <c r="AF264" s="5" t="s">
        <v>354</v>
      </c>
      <c r="AG264" s="5" t="s">
        <v>354</v>
      </c>
      <c r="AH264" s="5" t="s">
        <v>354</v>
      </c>
      <c r="AI264" s="6" t="str">
        <f t="shared" si="9"/>
        <v>No</v>
      </c>
      <c r="AJ264" s="6" t="s">
        <v>926</v>
      </c>
      <c r="AK264" s="6" t="s">
        <v>121</v>
      </c>
      <c r="AL264" s="6">
        <f>MATCH(AA264,{"Low","Medium","High"},0)*MATCH(AB264,{"Low","Medium","High"},0)*INDEX({3,2,2,1,1},MATCH(X264,{"Core","Vertical extension","Differentiator","Future","Adjacent"},0))</f>
        <v>6</v>
      </c>
      <c r="AM264" s="5"/>
      <c r="AN264" s="5"/>
      <c r="AO264" s="5"/>
      <c r="AP264" s="5"/>
      <c r="AQ264" s="5"/>
      <c r="AR264" s="5"/>
      <c r="AS264" s="5"/>
      <c r="AT264" s="5"/>
      <c r="AU264" s="6" t="s">
        <v>927</v>
      </c>
      <c r="AV264" s="6" t="s">
        <v>2161</v>
      </c>
      <c r="AW264" s="6" t="s">
        <v>2161</v>
      </c>
      <c r="AX264" s="6" t="s">
        <v>929</v>
      </c>
      <c r="AY264" s="6" t="s">
        <v>930</v>
      </c>
      <c r="AZ264" s="6"/>
      <c r="BA264" s="6" t="s">
        <v>1079</v>
      </c>
      <c r="BB264" s="6" t="s">
        <v>1080</v>
      </c>
      <c r="BC264" s="6" t="s">
        <v>97</v>
      </c>
      <c r="BD264" s="6" t="s">
        <v>97</v>
      </c>
    </row>
    <row r="265" spans="1:56" ht="32" customHeight="1" x14ac:dyDescent="0.35">
      <c r="A265" s="13" t="s">
        <v>2560</v>
      </c>
      <c r="B265" s="6" t="s">
        <v>2114</v>
      </c>
      <c r="C265" s="5" t="s">
        <v>2115</v>
      </c>
      <c r="D265" s="5" t="s">
        <v>839</v>
      </c>
      <c r="E265" s="5" t="s">
        <v>2561</v>
      </c>
      <c r="F265" s="5" t="s">
        <v>2280</v>
      </c>
      <c r="G265" s="5" t="s">
        <v>2528</v>
      </c>
      <c r="H265" s="5" t="s">
        <v>2562</v>
      </c>
      <c r="I265" s="5" t="s">
        <v>2563</v>
      </c>
      <c r="J265" s="17" t="s">
        <v>121</v>
      </c>
      <c r="K265" s="17" t="s">
        <v>181</v>
      </c>
      <c r="L265" s="5" t="s">
        <v>2564</v>
      </c>
      <c r="M265" s="6" t="s">
        <v>197</v>
      </c>
      <c r="N265" s="6" t="s">
        <v>812</v>
      </c>
      <c r="O265" s="6" t="s">
        <v>121</v>
      </c>
      <c r="P265" s="5" t="s">
        <v>918</v>
      </c>
      <c r="Q265" s="17" t="s">
        <v>182</v>
      </c>
      <c r="R265" s="5"/>
      <c r="S265" s="6" t="s">
        <v>1359</v>
      </c>
      <c r="T265" s="5" t="s">
        <v>1360</v>
      </c>
      <c r="U265" s="6"/>
      <c r="V265" s="6" t="s">
        <v>982</v>
      </c>
      <c r="W265" s="6" t="s">
        <v>331</v>
      </c>
      <c r="X265" s="5" t="s">
        <v>922</v>
      </c>
      <c r="Y265" s="5" t="s">
        <v>812</v>
      </c>
      <c r="Z265" s="5" t="str">
        <f t="shared" si="8"/>
        <v>Medium</v>
      </c>
      <c r="AA265" s="5" t="s">
        <v>956</v>
      </c>
      <c r="AB265" s="6" t="s">
        <v>924</v>
      </c>
      <c r="AC265" s="6" t="s">
        <v>103</v>
      </c>
      <c r="AD265" s="5" t="s">
        <v>925</v>
      </c>
      <c r="AE265" s="5" t="s">
        <v>354</v>
      </c>
      <c r="AF265" s="5" t="s">
        <v>354</v>
      </c>
      <c r="AG265" s="5" t="s">
        <v>354</v>
      </c>
      <c r="AH265" s="5" t="s">
        <v>354</v>
      </c>
      <c r="AI265" s="6" t="str">
        <f t="shared" si="9"/>
        <v>No</v>
      </c>
      <c r="AJ265" s="6" t="s">
        <v>926</v>
      </c>
      <c r="AK265" s="6" t="s">
        <v>121</v>
      </c>
      <c r="AL265" s="6">
        <f>MATCH(AA265,{"Low","Medium","High"},0)*MATCH(AB265,{"Low","Medium","High"},0)*INDEX({3,2,2,1,1},MATCH(X265,{"Core","Vertical extension","Differentiator","Future","Adjacent"},0))</f>
        <v>6</v>
      </c>
      <c r="AM265" s="5"/>
      <c r="AN265" s="5"/>
      <c r="AO265" s="5"/>
      <c r="AP265" s="5"/>
      <c r="AQ265" s="5"/>
      <c r="AR265" s="5"/>
      <c r="AS265" s="5"/>
      <c r="AT265" s="5"/>
      <c r="AU265" s="6" t="s">
        <v>927</v>
      </c>
      <c r="AV265" s="6" t="s">
        <v>2161</v>
      </c>
      <c r="AW265" s="6" t="s">
        <v>2161</v>
      </c>
      <c r="AX265" s="6" t="s">
        <v>929</v>
      </c>
      <c r="AY265" s="6" t="s">
        <v>930</v>
      </c>
      <c r="AZ265" s="6"/>
      <c r="BA265" s="6" t="s">
        <v>1079</v>
      </c>
      <c r="BB265" s="6" t="s">
        <v>1080</v>
      </c>
      <c r="BC265" s="6" t="s">
        <v>97</v>
      </c>
      <c r="BD265" s="6" t="s">
        <v>97</v>
      </c>
    </row>
    <row r="266" spans="1:56" ht="32" customHeight="1" x14ac:dyDescent="0.35">
      <c r="A266" s="13" t="s">
        <v>2565</v>
      </c>
      <c r="B266" s="6" t="s">
        <v>2114</v>
      </c>
      <c r="C266" s="5" t="s">
        <v>2115</v>
      </c>
      <c r="D266" s="5" t="s">
        <v>839</v>
      </c>
      <c r="E266" s="5" t="s">
        <v>2566</v>
      </c>
      <c r="F266" s="5" t="s">
        <v>2550</v>
      </c>
      <c r="G266" s="5" t="s">
        <v>1497</v>
      </c>
      <c r="H266" s="5" t="s">
        <v>2567</v>
      </c>
      <c r="I266" s="5" t="s">
        <v>2568</v>
      </c>
      <c r="J266" s="17" t="s">
        <v>121</v>
      </c>
      <c r="K266" s="17" t="s">
        <v>181</v>
      </c>
      <c r="L266" s="5" t="s">
        <v>2569</v>
      </c>
      <c r="M266" s="6" t="s">
        <v>197</v>
      </c>
      <c r="N266" s="6" t="s">
        <v>812</v>
      </c>
      <c r="O266" s="6" t="s">
        <v>121</v>
      </c>
      <c r="P266" s="5" t="s">
        <v>918</v>
      </c>
      <c r="Q266" s="18" t="s">
        <v>186</v>
      </c>
      <c r="R266" s="5" t="s">
        <v>1358</v>
      </c>
      <c r="S266" s="6" t="s">
        <v>1359</v>
      </c>
      <c r="T266" s="5" t="s">
        <v>1360</v>
      </c>
      <c r="U266" s="6"/>
      <c r="V266" s="6" t="s">
        <v>982</v>
      </c>
      <c r="W266" s="6" t="s">
        <v>331</v>
      </c>
      <c r="X266" s="5" t="s">
        <v>922</v>
      </c>
      <c r="Y266" s="5" t="s">
        <v>812</v>
      </c>
      <c r="Z266" s="5" t="str">
        <f t="shared" si="8"/>
        <v>Medium</v>
      </c>
      <c r="AA266" s="5" t="s">
        <v>956</v>
      </c>
      <c r="AB266" s="6" t="s">
        <v>924</v>
      </c>
      <c r="AC266" s="6" t="s">
        <v>103</v>
      </c>
      <c r="AD266" s="5" t="s">
        <v>940</v>
      </c>
      <c r="AE266" s="5" t="s">
        <v>354</v>
      </c>
      <c r="AF266" s="5" t="s">
        <v>354</v>
      </c>
      <c r="AG266" s="5" t="s">
        <v>354</v>
      </c>
      <c r="AH266" s="5" t="s">
        <v>354</v>
      </c>
      <c r="AI266" s="6" t="str">
        <f t="shared" si="9"/>
        <v>No</v>
      </c>
      <c r="AJ266" s="6" t="s">
        <v>941</v>
      </c>
      <c r="AK266" s="6" t="s">
        <v>121</v>
      </c>
      <c r="AL266" s="6">
        <f>MATCH(AA266,{"Low","Medium","High"},0)*MATCH(AB266,{"Low","Medium","High"},0)*INDEX({3,2,2,1,1},MATCH(X266,{"Core","Vertical extension","Differentiator","Future","Adjacent"},0))</f>
        <v>6</v>
      </c>
      <c r="AM266" s="5"/>
      <c r="AN266" s="5"/>
      <c r="AO266" s="5"/>
      <c r="AP266" s="5"/>
      <c r="AQ266" s="5"/>
      <c r="AR266" s="5"/>
      <c r="AS266" s="5"/>
      <c r="AT266" s="5"/>
      <c r="AU266" s="6" t="s">
        <v>927</v>
      </c>
      <c r="AV266" s="6" t="s">
        <v>1296</v>
      </c>
      <c r="AW266" s="6" t="s">
        <v>1296</v>
      </c>
      <c r="AX266" s="6" t="s">
        <v>929</v>
      </c>
      <c r="AY266" s="6" t="s">
        <v>930</v>
      </c>
      <c r="AZ266" s="6"/>
      <c r="BA266" s="6" t="s">
        <v>1361</v>
      </c>
      <c r="BB266" s="6" t="s">
        <v>1362</v>
      </c>
      <c r="BC266" s="6" t="s">
        <v>97</v>
      </c>
      <c r="BD266" s="6" t="s">
        <v>97</v>
      </c>
    </row>
    <row r="267" spans="1:56" ht="32" customHeight="1" x14ac:dyDescent="0.35">
      <c r="A267" s="13" t="s">
        <v>2570</v>
      </c>
      <c r="B267" s="6" t="s">
        <v>2114</v>
      </c>
      <c r="C267" s="5" t="s">
        <v>2115</v>
      </c>
      <c r="D267" s="5" t="s">
        <v>839</v>
      </c>
      <c r="E267" s="5" t="s">
        <v>2571</v>
      </c>
      <c r="F267" s="5" t="s">
        <v>2550</v>
      </c>
      <c r="G267" s="5" t="s">
        <v>2572</v>
      </c>
      <c r="H267" s="5" t="s">
        <v>2573</v>
      </c>
      <c r="I267" s="5" t="s">
        <v>2574</v>
      </c>
      <c r="J267" s="17" t="s">
        <v>121</v>
      </c>
      <c r="K267" s="17" t="s">
        <v>181</v>
      </c>
      <c r="L267" s="5" t="s">
        <v>2575</v>
      </c>
      <c r="M267" s="6" t="s">
        <v>197</v>
      </c>
      <c r="N267" s="6" t="s">
        <v>812</v>
      </c>
      <c r="O267" s="6" t="s">
        <v>121</v>
      </c>
      <c r="P267" s="5" t="s">
        <v>918</v>
      </c>
      <c r="Q267" s="17" t="s">
        <v>182</v>
      </c>
      <c r="R267" s="5"/>
      <c r="S267" s="6" t="s">
        <v>1359</v>
      </c>
      <c r="T267" s="5" t="s">
        <v>1360</v>
      </c>
      <c r="U267" s="6"/>
      <c r="V267" s="6" t="s">
        <v>982</v>
      </c>
      <c r="W267" s="6" t="s">
        <v>331</v>
      </c>
      <c r="X267" s="5" t="s">
        <v>922</v>
      </c>
      <c r="Y267" s="5" t="s">
        <v>812</v>
      </c>
      <c r="Z267" s="5" t="str">
        <f t="shared" si="8"/>
        <v>Medium</v>
      </c>
      <c r="AA267" s="5" t="s">
        <v>956</v>
      </c>
      <c r="AB267" s="6" t="s">
        <v>924</v>
      </c>
      <c r="AC267" s="6" t="s">
        <v>103</v>
      </c>
      <c r="AD267" s="5" t="s">
        <v>925</v>
      </c>
      <c r="AE267" s="5" t="s">
        <v>354</v>
      </c>
      <c r="AF267" s="5" t="s">
        <v>354</v>
      </c>
      <c r="AG267" s="5" t="s">
        <v>354</v>
      </c>
      <c r="AH267" s="5" t="s">
        <v>354</v>
      </c>
      <c r="AI267" s="6" t="str">
        <f t="shared" si="9"/>
        <v>No</v>
      </c>
      <c r="AJ267" s="6" t="s">
        <v>926</v>
      </c>
      <c r="AK267" s="6" t="s">
        <v>121</v>
      </c>
      <c r="AL267" s="6">
        <f>MATCH(AA267,{"Low","Medium","High"},0)*MATCH(AB267,{"Low","Medium","High"},0)*INDEX({3,2,2,1,1},MATCH(X267,{"Core","Vertical extension","Differentiator","Future","Adjacent"},0))</f>
        <v>6</v>
      </c>
      <c r="AM267" s="5"/>
      <c r="AN267" s="5"/>
      <c r="AO267" s="5"/>
      <c r="AP267" s="5"/>
      <c r="AQ267" s="5"/>
      <c r="AR267" s="5"/>
      <c r="AS267" s="5"/>
      <c r="AT267" s="5"/>
      <c r="AU267" s="6" t="s">
        <v>927</v>
      </c>
      <c r="AV267" s="6" t="s">
        <v>1296</v>
      </c>
      <c r="AW267" s="6" t="s">
        <v>1296</v>
      </c>
      <c r="AX267" s="6" t="s">
        <v>929</v>
      </c>
      <c r="AY267" s="6" t="s">
        <v>930</v>
      </c>
      <c r="AZ267" s="6"/>
      <c r="BA267" s="6"/>
      <c r="BB267" s="6"/>
      <c r="BC267" s="6" t="s">
        <v>97</v>
      </c>
      <c r="BD267" s="6" t="s">
        <v>97</v>
      </c>
    </row>
    <row r="268" spans="1:56" ht="32" customHeight="1" x14ac:dyDescent="0.35">
      <c r="A268" s="13" t="s">
        <v>2576</v>
      </c>
      <c r="B268" s="6" t="s">
        <v>2114</v>
      </c>
      <c r="C268" s="5" t="s">
        <v>2115</v>
      </c>
      <c r="D268" s="5" t="s">
        <v>839</v>
      </c>
      <c r="E268" s="5" t="s">
        <v>2577</v>
      </c>
      <c r="F268" s="5" t="s">
        <v>1497</v>
      </c>
      <c r="G268" s="5" t="s">
        <v>1883</v>
      </c>
      <c r="H268" s="5" t="s">
        <v>2578</v>
      </c>
      <c r="I268" s="5" t="s">
        <v>2579</v>
      </c>
      <c r="J268" s="17" t="s">
        <v>121</v>
      </c>
      <c r="K268" s="17" t="s">
        <v>181</v>
      </c>
      <c r="L268" s="5" t="s">
        <v>2580</v>
      </c>
      <c r="M268" s="6" t="s">
        <v>197</v>
      </c>
      <c r="N268" s="6" t="s">
        <v>812</v>
      </c>
      <c r="O268" s="6" t="s">
        <v>121</v>
      </c>
      <c r="P268" s="5" t="s">
        <v>999</v>
      </c>
      <c r="Q268" s="18" t="s">
        <v>186</v>
      </c>
      <c r="R268" s="5" t="s">
        <v>2581</v>
      </c>
      <c r="S268" s="6" t="s">
        <v>1359</v>
      </c>
      <c r="T268" s="5" t="s">
        <v>1360</v>
      </c>
      <c r="U268" s="6"/>
      <c r="V268" s="6" t="s">
        <v>982</v>
      </c>
      <c r="W268" s="6" t="s">
        <v>331</v>
      </c>
      <c r="X268" s="5" t="s">
        <v>922</v>
      </c>
      <c r="Y268" s="5" t="s">
        <v>812</v>
      </c>
      <c r="Z268" s="5" t="str">
        <f t="shared" si="8"/>
        <v>Medium</v>
      </c>
      <c r="AA268" s="5" t="s">
        <v>956</v>
      </c>
      <c r="AB268" s="6" t="s">
        <v>924</v>
      </c>
      <c r="AC268" s="6" t="s">
        <v>103</v>
      </c>
      <c r="AD268" s="5" t="s">
        <v>940</v>
      </c>
      <c r="AE268" s="5" t="s">
        <v>354</v>
      </c>
      <c r="AF268" s="5" t="s">
        <v>354</v>
      </c>
      <c r="AG268" s="5" t="s">
        <v>354</v>
      </c>
      <c r="AH268" s="5" t="s">
        <v>354</v>
      </c>
      <c r="AI268" s="6" t="str">
        <f t="shared" si="9"/>
        <v>No</v>
      </c>
      <c r="AJ268" s="6" t="s">
        <v>941</v>
      </c>
      <c r="AK268" s="6" t="s">
        <v>121</v>
      </c>
      <c r="AL268" s="6">
        <f>MATCH(AA268,{"Low","Medium","High"},0)*MATCH(AB268,{"Low","Medium","High"},0)*INDEX({3,2,2,1,1},MATCH(X268,{"Core","Vertical extension","Differentiator","Future","Adjacent"},0))</f>
        <v>6</v>
      </c>
      <c r="AM268" s="5"/>
      <c r="AN268" s="5"/>
      <c r="AO268" s="5"/>
      <c r="AP268" s="5"/>
      <c r="AQ268" s="5"/>
      <c r="AR268" s="5"/>
      <c r="AS268" s="5"/>
      <c r="AT268" s="5"/>
      <c r="AU268" s="6" t="s">
        <v>927</v>
      </c>
      <c r="AV268" s="6" t="s">
        <v>1306</v>
      </c>
      <c r="AW268" s="6" t="s">
        <v>1306</v>
      </c>
      <c r="AX268" s="6" t="s">
        <v>1003</v>
      </c>
      <c r="AY268" s="6" t="s">
        <v>930</v>
      </c>
      <c r="AZ268" s="6"/>
      <c r="BA268" s="6" t="s">
        <v>1361</v>
      </c>
      <c r="BB268" s="6" t="s">
        <v>1362</v>
      </c>
      <c r="BC268" s="6" t="s">
        <v>97</v>
      </c>
      <c r="BD268" s="6" t="s">
        <v>97</v>
      </c>
    </row>
    <row r="269" spans="1:56" ht="32" customHeight="1" x14ac:dyDescent="0.35">
      <c r="A269" s="13" t="s">
        <v>2582</v>
      </c>
      <c r="B269" s="6" t="s">
        <v>2114</v>
      </c>
      <c r="C269" s="5" t="s">
        <v>2115</v>
      </c>
      <c r="D269" s="5" t="s">
        <v>839</v>
      </c>
      <c r="E269" s="5" t="s">
        <v>2583</v>
      </c>
      <c r="F269" s="5" t="s">
        <v>831</v>
      </c>
      <c r="G269" s="5" t="s">
        <v>1322</v>
      </c>
      <c r="H269" s="5" t="s">
        <v>2584</v>
      </c>
      <c r="I269" s="5" t="s">
        <v>2585</v>
      </c>
      <c r="J269" s="17" t="s">
        <v>121</v>
      </c>
      <c r="K269" s="17" t="s">
        <v>181</v>
      </c>
      <c r="L269" s="5" t="s">
        <v>2586</v>
      </c>
      <c r="M269" s="6" t="s">
        <v>197</v>
      </c>
      <c r="N269" s="6" t="s">
        <v>812</v>
      </c>
      <c r="O269" s="6" t="s">
        <v>121</v>
      </c>
      <c r="P269" s="5" t="s">
        <v>918</v>
      </c>
      <c r="Q269" s="17" t="s">
        <v>182</v>
      </c>
      <c r="R269" s="5"/>
      <c r="S269" s="6" t="s">
        <v>1359</v>
      </c>
      <c r="T269" s="5" t="s">
        <v>1360</v>
      </c>
      <c r="U269" s="6"/>
      <c r="V269" s="6" t="s">
        <v>982</v>
      </c>
      <c r="W269" s="6" t="s">
        <v>331</v>
      </c>
      <c r="X269" s="5" t="s">
        <v>922</v>
      </c>
      <c r="Y269" s="5" t="s">
        <v>812</v>
      </c>
      <c r="Z269" s="5" t="str">
        <f t="shared" si="8"/>
        <v>Medium</v>
      </c>
      <c r="AA269" s="5" t="s">
        <v>956</v>
      </c>
      <c r="AB269" s="6" t="s">
        <v>924</v>
      </c>
      <c r="AC269" s="6" t="s">
        <v>103</v>
      </c>
      <c r="AD269" s="5" t="s">
        <v>925</v>
      </c>
      <c r="AE269" s="5" t="s">
        <v>354</v>
      </c>
      <c r="AF269" s="5" t="s">
        <v>354</v>
      </c>
      <c r="AG269" s="5" t="s">
        <v>354</v>
      </c>
      <c r="AH269" s="5" t="s">
        <v>354</v>
      </c>
      <c r="AI269" s="6" t="str">
        <f t="shared" si="9"/>
        <v>No</v>
      </c>
      <c r="AJ269" s="6" t="s">
        <v>926</v>
      </c>
      <c r="AK269" s="6" t="s">
        <v>121</v>
      </c>
      <c r="AL269" s="6">
        <f>MATCH(AA269,{"Low","Medium","High"},0)*MATCH(AB269,{"Low","Medium","High"},0)*INDEX({3,2,2,1,1},MATCH(X269,{"Core","Vertical extension","Differentiator","Future","Adjacent"},0))</f>
        <v>6</v>
      </c>
      <c r="AM269" s="5"/>
      <c r="AN269" s="5"/>
      <c r="AO269" s="5"/>
      <c r="AP269" s="5"/>
      <c r="AQ269" s="5"/>
      <c r="AR269" s="5"/>
      <c r="AS269" s="5"/>
      <c r="AT269" s="5"/>
      <c r="AU269" s="6" t="s">
        <v>927</v>
      </c>
      <c r="AV269" s="6" t="s">
        <v>2161</v>
      </c>
      <c r="AW269" s="6" t="s">
        <v>2161</v>
      </c>
      <c r="AX269" s="6" t="s">
        <v>929</v>
      </c>
      <c r="AY269" s="6" t="s">
        <v>930</v>
      </c>
      <c r="AZ269" s="6"/>
      <c r="BA269" s="6"/>
      <c r="BB269" s="6"/>
      <c r="BC269" s="6" t="s">
        <v>97</v>
      </c>
      <c r="BD269" s="6" t="s">
        <v>97</v>
      </c>
    </row>
    <row r="270" spans="1:56" ht="32" customHeight="1" x14ac:dyDescent="0.35">
      <c r="A270" s="13" t="s">
        <v>2587</v>
      </c>
      <c r="B270" s="6" t="s">
        <v>2114</v>
      </c>
      <c r="C270" s="5" t="s">
        <v>2115</v>
      </c>
      <c r="D270" s="5" t="s">
        <v>839</v>
      </c>
      <c r="E270" s="5" t="s">
        <v>2588</v>
      </c>
      <c r="F270" s="5" t="s">
        <v>831</v>
      </c>
      <c r="G270" s="5" t="s">
        <v>1322</v>
      </c>
      <c r="H270" s="5" t="s">
        <v>2589</v>
      </c>
      <c r="I270" s="5" t="s">
        <v>2590</v>
      </c>
      <c r="J270" s="17" t="s">
        <v>121</v>
      </c>
      <c r="K270" s="17" t="s">
        <v>181</v>
      </c>
      <c r="L270" s="5" t="s">
        <v>2591</v>
      </c>
      <c r="M270" s="6" t="s">
        <v>197</v>
      </c>
      <c r="N270" s="6" t="s">
        <v>812</v>
      </c>
      <c r="O270" s="6" t="s">
        <v>121</v>
      </c>
      <c r="P270" s="5" t="s">
        <v>918</v>
      </c>
      <c r="Q270" s="17" t="s">
        <v>182</v>
      </c>
      <c r="R270" s="5"/>
      <c r="S270" s="6" t="s">
        <v>1359</v>
      </c>
      <c r="T270" s="5" t="s">
        <v>1360</v>
      </c>
      <c r="U270" s="6"/>
      <c r="V270" s="6" t="s">
        <v>982</v>
      </c>
      <c r="W270" s="6" t="s">
        <v>331</v>
      </c>
      <c r="X270" s="5" t="s">
        <v>922</v>
      </c>
      <c r="Y270" s="5" t="s">
        <v>812</v>
      </c>
      <c r="Z270" s="5" t="str">
        <f t="shared" si="8"/>
        <v>Medium</v>
      </c>
      <c r="AA270" s="5" t="s">
        <v>956</v>
      </c>
      <c r="AB270" s="6" t="s">
        <v>924</v>
      </c>
      <c r="AC270" s="6" t="s">
        <v>103</v>
      </c>
      <c r="AD270" s="5" t="s">
        <v>925</v>
      </c>
      <c r="AE270" s="5" t="s">
        <v>354</v>
      </c>
      <c r="AF270" s="5" t="s">
        <v>354</v>
      </c>
      <c r="AG270" s="5" t="s">
        <v>354</v>
      </c>
      <c r="AH270" s="5" t="s">
        <v>354</v>
      </c>
      <c r="AI270" s="6" t="str">
        <f t="shared" si="9"/>
        <v>No</v>
      </c>
      <c r="AJ270" s="6" t="s">
        <v>926</v>
      </c>
      <c r="AK270" s="6" t="s">
        <v>121</v>
      </c>
      <c r="AL270" s="6">
        <f>MATCH(AA270,{"Low","Medium","High"},0)*MATCH(AB270,{"Low","Medium","High"},0)*INDEX({3,2,2,1,1},MATCH(X270,{"Core","Vertical extension","Differentiator","Future","Adjacent"},0))</f>
        <v>6</v>
      </c>
      <c r="AM270" s="5"/>
      <c r="AN270" s="5"/>
      <c r="AO270" s="5"/>
      <c r="AP270" s="5"/>
      <c r="AQ270" s="5"/>
      <c r="AR270" s="5"/>
      <c r="AS270" s="5"/>
      <c r="AT270" s="5"/>
      <c r="AU270" s="6" t="s">
        <v>927</v>
      </c>
      <c r="AV270" s="6" t="s">
        <v>2161</v>
      </c>
      <c r="AW270" s="6" t="s">
        <v>2161</v>
      </c>
      <c r="AX270" s="6" t="s">
        <v>929</v>
      </c>
      <c r="AY270" s="6" t="s">
        <v>930</v>
      </c>
      <c r="AZ270" s="6"/>
      <c r="BA270" s="6"/>
      <c r="BB270" s="6"/>
      <c r="BC270" s="6" t="s">
        <v>97</v>
      </c>
      <c r="BD270" s="6" t="s">
        <v>97</v>
      </c>
    </row>
    <row r="271" spans="1:56" ht="32" customHeight="1" x14ac:dyDescent="0.35">
      <c r="A271" s="13" t="s">
        <v>2592</v>
      </c>
      <c r="B271" s="6" t="s">
        <v>2114</v>
      </c>
      <c r="C271" s="5" t="s">
        <v>2115</v>
      </c>
      <c r="D271" s="5" t="s">
        <v>839</v>
      </c>
      <c r="E271" s="5" t="s">
        <v>2593</v>
      </c>
      <c r="F271" s="5" t="s">
        <v>831</v>
      </c>
      <c r="G271" s="5" t="s">
        <v>1322</v>
      </c>
      <c r="H271" s="5" t="s">
        <v>2594</v>
      </c>
      <c r="I271" s="5" t="s">
        <v>2595</v>
      </c>
      <c r="J271" s="17" t="s">
        <v>121</v>
      </c>
      <c r="K271" s="17" t="s">
        <v>181</v>
      </c>
      <c r="L271" s="5" t="s">
        <v>1508</v>
      </c>
      <c r="M271" s="6" t="s">
        <v>197</v>
      </c>
      <c r="N271" s="6" t="s">
        <v>812</v>
      </c>
      <c r="O271" s="6" t="s">
        <v>121</v>
      </c>
      <c r="P271" s="5" t="s">
        <v>918</v>
      </c>
      <c r="Q271" s="17" t="s">
        <v>182</v>
      </c>
      <c r="R271" s="5"/>
      <c r="S271" s="6" t="s">
        <v>1359</v>
      </c>
      <c r="T271" s="5" t="s">
        <v>1360</v>
      </c>
      <c r="U271" s="6"/>
      <c r="V271" s="6" t="s">
        <v>982</v>
      </c>
      <c r="W271" s="6" t="s">
        <v>331</v>
      </c>
      <c r="X271" s="5" t="s">
        <v>922</v>
      </c>
      <c r="Y271" s="5" t="s">
        <v>812</v>
      </c>
      <c r="Z271" s="5" t="str">
        <f t="shared" si="8"/>
        <v>Medium</v>
      </c>
      <c r="AA271" s="5" t="s">
        <v>956</v>
      </c>
      <c r="AB271" s="6" t="s">
        <v>924</v>
      </c>
      <c r="AC271" s="6" t="s">
        <v>103</v>
      </c>
      <c r="AD271" s="5" t="s">
        <v>925</v>
      </c>
      <c r="AE271" s="5" t="s">
        <v>354</v>
      </c>
      <c r="AF271" s="5" t="s">
        <v>354</v>
      </c>
      <c r="AG271" s="5" t="s">
        <v>354</v>
      </c>
      <c r="AH271" s="5" t="s">
        <v>354</v>
      </c>
      <c r="AI271" s="6" t="str">
        <f t="shared" si="9"/>
        <v>No</v>
      </c>
      <c r="AJ271" s="6" t="s">
        <v>926</v>
      </c>
      <c r="AK271" s="6" t="s">
        <v>121</v>
      </c>
      <c r="AL271" s="6">
        <f>MATCH(AA271,{"Low","Medium","High"},0)*MATCH(AB271,{"Low","Medium","High"},0)*INDEX({3,2,2,1,1},MATCH(X271,{"Core","Vertical extension","Differentiator","Future","Adjacent"},0))</f>
        <v>6</v>
      </c>
      <c r="AM271" s="5"/>
      <c r="AN271" s="5"/>
      <c r="AO271" s="5"/>
      <c r="AP271" s="5"/>
      <c r="AQ271" s="5"/>
      <c r="AR271" s="5"/>
      <c r="AS271" s="5"/>
      <c r="AT271" s="5"/>
      <c r="AU271" s="6" t="s">
        <v>927</v>
      </c>
      <c r="AV271" s="6" t="s">
        <v>2161</v>
      </c>
      <c r="AW271" s="6" t="s">
        <v>2161</v>
      </c>
      <c r="AX271" s="6" t="s">
        <v>929</v>
      </c>
      <c r="AY271" s="6" t="s">
        <v>930</v>
      </c>
      <c r="AZ271" s="6"/>
      <c r="BA271" s="6"/>
      <c r="BB271" s="6"/>
      <c r="BC271" s="6" t="s">
        <v>97</v>
      </c>
      <c r="BD271" s="6" t="s">
        <v>97</v>
      </c>
    </row>
    <row r="272" spans="1:56" ht="32" customHeight="1" x14ac:dyDescent="0.35">
      <c r="A272" s="13" t="s">
        <v>2596</v>
      </c>
      <c r="B272" s="6" t="s">
        <v>2114</v>
      </c>
      <c r="C272" s="5" t="s">
        <v>2115</v>
      </c>
      <c r="D272" s="5" t="s">
        <v>839</v>
      </c>
      <c r="E272" s="5" t="s">
        <v>2597</v>
      </c>
      <c r="F272" s="5" t="s">
        <v>831</v>
      </c>
      <c r="G272" s="5" t="s">
        <v>1322</v>
      </c>
      <c r="H272" s="5" t="s">
        <v>2598</v>
      </c>
      <c r="I272" s="5" t="s">
        <v>2599</v>
      </c>
      <c r="J272" s="17" t="s">
        <v>121</v>
      </c>
      <c r="K272" s="17" t="s">
        <v>181</v>
      </c>
      <c r="L272" s="5" t="s">
        <v>2600</v>
      </c>
      <c r="M272" s="6" t="s">
        <v>197</v>
      </c>
      <c r="N272" s="6" t="s">
        <v>812</v>
      </c>
      <c r="O272" s="6" t="s">
        <v>121</v>
      </c>
      <c r="P272" s="5" t="s">
        <v>918</v>
      </c>
      <c r="Q272" s="17" t="s">
        <v>182</v>
      </c>
      <c r="R272" s="5"/>
      <c r="S272" s="6" t="s">
        <v>1359</v>
      </c>
      <c r="T272" s="5" t="s">
        <v>1360</v>
      </c>
      <c r="U272" s="6"/>
      <c r="V272" s="6" t="s">
        <v>982</v>
      </c>
      <c r="W272" s="6" t="s">
        <v>331</v>
      </c>
      <c r="X272" s="5" t="s">
        <v>922</v>
      </c>
      <c r="Y272" s="5" t="s">
        <v>812</v>
      </c>
      <c r="Z272" s="5" t="str">
        <f t="shared" si="8"/>
        <v>Medium</v>
      </c>
      <c r="AA272" s="5" t="s">
        <v>956</v>
      </c>
      <c r="AB272" s="6" t="s">
        <v>924</v>
      </c>
      <c r="AC272" s="6" t="s">
        <v>103</v>
      </c>
      <c r="AD272" s="5" t="s">
        <v>925</v>
      </c>
      <c r="AE272" s="5" t="s">
        <v>354</v>
      </c>
      <c r="AF272" s="5" t="s">
        <v>354</v>
      </c>
      <c r="AG272" s="5" t="s">
        <v>354</v>
      </c>
      <c r="AH272" s="5" t="s">
        <v>354</v>
      </c>
      <c r="AI272" s="6" t="str">
        <f t="shared" si="9"/>
        <v>No</v>
      </c>
      <c r="AJ272" s="6" t="s">
        <v>926</v>
      </c>
      <c r="AK272" s="6" t="s">
        <v>121</v>
      </c>
      <c r="AL272" s="6">
        <f>MATCH(AA272,{"Low","Medium","High"},0)*MATCH(AB272,{"Low","Medium","High"},0)*INDEX({3,2,2,1,1},MATCH(X272,{"Core","Vertical extension","Differentiator","Future","Adjacent"},0))</f>
        <v>6</v>
      </c>
      <c r="AM272" s="5"/>
      <c r="AN272" s="5"/>
      <c r="AO272" s="5"/>
      <c r="AP272" s="5"/>
      <c r="AQ272" s="5"/>
      <c r="AR272" s="5"/>
      <c r="AS272" s="5"/>
      <c r="AT272" s="5"/>
      <c r="AU272" s="6" t="s">
        <v>927</v>
      </c>
      <c r="AV272" s="6" t="s">
        <v>2161</v>
      </c>
      <c r="AW272" s="6" t="s">
        <v>2161</v>
      </c>
      <c r="AX272" s="6" t="s">
        <v>929</v>
      </c>
      <c r="AY272" s="6" t="s">
        <v>930</v>
      </c>
      <c r="AZ272" s="6"/>
      <c r="BA272" s="6"/>
      <c r="BB272" s="6"/>
      <c r="BC272" s="6" t="s">
        <v>97</v>
      </c>
      <c r="BD272" s="6" t="s">
        <v>97</v>
      </c>
    </row>
    <row r="273" spans="1:56" ht="32" customHeight="1" x14ac:dyDescent="0.35">
      <c r="A273" s="13" t="s">
        <v>2601</v>
      </c>
      <c r="B273" s="6" t="s">
        <v>2114</v>
      </c>
      <c r="C273" s="5" t="s">
        <v>2115</v>
      </c>
      <c r="D273" s="5" t="s">
        <v>839</v>
      </c>
      <c r="E273" s="5" t="s">
        <v>2602</v>
      </c>
      <c r="F273" s="5" t="s">
        <v>831</v>
      </c>
      <c r="G273" s="5" t="s">
        <v>1322</v>
      </c>
      <c r="H273" s="5" t="s">
        <v>2603</v>
      </c>
      <c r="I273" s="5" t="s">
        <v>2604</v>
      </c>
      <c r="J273" s="17" t="s">
        <v>121</v>
      </c>
      <c r="K273" s="17" t="s">
        <v>181</v>
      </c>
      <c r="L273" s="5" t="s">
        <v>2605</v>
      </c>
      <c r="M273" s="6" t="s">
        <v>197</v>
      </c>
      <c r="N273" s="6" t="s">
        <v>812</v>
      </c>
      <c r="O273" s="6" t="s">
        <v>121</v>
      </c>
      <c r="P273" s="5" t="s">
        <v>918</v>
      </c>
      <c r="Q273" s="17" t="s">
        <v>182</v>
      </c>
      <c r="R273" s="5"/>
      <c r="S273" s="6" t="s">
        <v>1359</v>
      </c>
      <c r="T273" s="5" t="s">
        <v>1360</v>
      </c>
      <c r="U273" s="6"/>
      <c r="V273" s="6" t="s">
        <v>982</v>
      </c>
      <c r="W273" s="6" t="s">
        <v>331</v>
      </c>
      <c r="X273" s="5" t="s">
        <v>922</v>
      </c>
      <c r="Y273" s="5" t="s">
        <v>812</v>
      </c>
      <c r="Z273" s="5" t="str">
        <f t="shared" si="8"/>
        <v>Medium</v>
      </c>
      <c r="AA273" s="5" t="s">
        <v>956</v>
      </c>
      <c r="AB273" s="6" t="s">
        <v>924</v>
      </c>
      <c r="AC273" s="6" t="s">
        <v>103</v>
      </c>
      <c r="AD273" s="5" t="s">
        <v>925</v>
      </c>
      <c r="AE273" s="5" t="s">
        <v>354</v>
      </c>
      <c r="AF273" s="5" t="s">
        <v>354</v>
      </c>
      <c r="AG273" s="5" t="s">
        <v>354</v>
      </c>
      <c r="AH273" s="5" t="s">
        <v>354</v>
      </c>
      <c r="AI273" s="6" t="str">
        <f t="shared" si="9"/>
        <v>No</v>
      </c>
      <c r="AJ273" s="6" t="s">
        <v>926</v>
      </c>
      <c r="AK273" s="6" t="s">
        <v>121</v>
      </c>
      <c r="AL273" s="6">
        <f>MATCH(AA273,{"Low","Medium","High"},0)*MATCH(AB273,{"Low","Medium","High"},0)*INDEX({3,2,2,1,1},MATCH(X273,{"Core","Vertical extension","Differentiator","Future","Adjacent"},0))</f>
        <v>6</v>
      </c>
      <c r="AM273" s="5"/>
      <c r="AN273" s="5"/>
      <c r="AO273" s="5"/>
      <c r="AP273" s="5"/>
      <c r="AQ273" s="5"/>
      <c r="AR273" s="5"/>
      <c r="AS273" s="5"/>
      <c r="AT273" s="5"/>
      <c r="AU273" s="6" t="s">
        <v>927</v>
      </c>
      <c r="AV273" s="6" t="s">
        <v>2161</v>
      </c>
      <c r="AW273" s="6" t="s">
        <v>2161</v>
      </c>
      <c r="AX273" s="6" t="s">
        <v>929</v>
      </c>
      <c r="AY273" s="6" t="s">
        <v>930</v>
      </c>
      <c r="AZ273" s="6"/>
      <c r="BA273" s="6"/>
      <c r="BB273" s="6"/>
      <c r="BC273" s="6" t="s">
        <v>97</v>
      </c>
      <c r="BD273" s="6" t="s">
        <v>97</v>
      </c>
    </row>
    <row r="274" spans="1:56" ht="32" customHeight="1" x14ac:dyDescent="0.35">
      <c r="A274" s="13" t="s">
        <v>2606</v>
      </c>
      <c r="B274" s="6" t="s">
        <v>2114</v>
      </c>
      <c r="C274" s="5" t="s">
        <v>2115</v>
      </c>
      <c r="D274" s="5" t="s">
        <v>839</v>
      </c>
      <c r="E274" s="5" t="s">
        <v>2607</v>
      </c>
      <c r="F274" s="5" t="s">
        <v>2608</v>
      </c>
      <c r="G274" s="5" t="s">
        <v>2609</v>
      </c>
      <c r="H274" s="5" t="s">
        <v>2610</v>
      </c>
      <c r="I274" s="5" t="s">
        <v>2611</v>
      </c>
      <c r="J274" s="17" t="s">
        <v>121</v>
      </c>
      <c r="K274" s="17" t="s">
        <v>181</v>
      </c>
      <c r="L274" s="5" t="s">
        <v>2612</v>
      </c>
      <c r="M274" s="6" t="s">
        <v>197</v>
      </c>
      <c r="N274" s="6" t="s">
        <v>812</v>
      </c>
      <c r="O274" s="6" t="s">
        <v>121</v>
      </c>
      <c r="P274" s="5" t="s">
        <v>918</v>
      </c>
      <c r="Q274" s="18" t="s">
        <v>186</v>
      </c>
      <c r="R274" s="5" t="s">
        <v>1358</v>
      </c>
      <c r="S274" s="6" t="s">
        <v>1359</v>
      </c>
      <c r="T274" s="5" t="s">
        <v>1360</v>
      </c>
      <c r="U274" s="6"/>
      <c r="V274" s="6" t="s">
        <v>982</v>
      </c>
      <c r="W274" s="6" t="s">
        <v>331</v>
      </c>
      <c r="X274" s="5" t="s">
        <v>922</v>
      </c>
      <c r="Y274" s="5" t="s">
        <v>812</v>
      </c>
      <c r="Z274" s="5" t="str">
        <f t="shared" si="8"/>
        <v>Medium</v>
      </c>
      <c r="AA274" s="5" t="s">
        <v>956</v>
      </c>
      <c r="AB274" s="6" t="s">
        <v>924</v>
      </c>
      <c r="AC274" s="6" t="s">
        <v>103</v>
      </c>
      <c r="AD274" s="5" t="s">
        <v>940</v>
      </c>
      <c r="AE274" s="5" t="s">
        <v>354</v>
      </c>
      <c r="AF274" s="5" t="s">
        <v>354</v>
      </c>
      <c r="AG274" s="5" t="s">
        <v>354</v>
      </c>
      <c r="AH274" s="5" t="s">
        <v>354</v>
      </c>
      <c r="AI274" s="6" t="str">
        <f t="shared" si="9"/>
        <v>No</v>
      </c>
      <c r="AJ274" s="6" t="s">
        <v>941</v>
      </c>
      <c r="AK274" s="6" t="s">
        <v>121</v>
      </c>
      <c r="AL274" s="6">
        <f>MATCH(AA274,{"Low","Medium","High"},0)*MATCH(AB274,{"Low","Medium","High"},0)*INDEX({3,2,2,1,1},MATCH(X274,{"Core","Vertical extension","Differentiator","Future","Adjacent"},0))</f>
        <v>6</v>
      </c>
      <c r="AM274" s="5"/>
      <c r="AN274" s="5"/>
      <c r="AO274" s="5"/>
      <c r="AP274" s="5"/>
      <c r="AQ274" s="5"/>
      <c r="AR274" s="5"/>
      <c r="AS274" s="5"/>
      <c r="AT274" s="5"/>
      <c r="AU274" s="6" t="s">
        <v>927</v>
      </c>
      <c r="AV274" s="6" t="s">
        <v>1296</v>
      </c>
      <c r="AW274" s="6" t="s">
        <v>1296</v>
      </c>
      <c r="AX274" s="6" t="s">
        <v>929</v>
      </c>
      <c r="AY274" s="6" t="s">
        <v>930</v>
      </c>
      <c r="AZ274" s="6"/>
      <c r="BA274" s="6" t="s">
        <v>1361</v>
      </c>
      <c r="BB274" s="6" t="s">
        <v>1362</v>
      </c>
      <c r="BC274" s="6" t="s">
        <v>97</v>
      </c>
      <c r="BD274" s="6" t="s">
        <v>97</v>
      </c>
    </row>
    <row r="275" spans="1:56" ht="32" customHeight="1" x14ac:dyDescent="0.35">
      <c r="A275" s="13" t="s">
        <v>2613</v>
      </c>
      <c r="B275" s="6" t="s">
        <v>2114</v>
      </c>
      <c r="C275" s="5" t="s">
        <v>2115</v>
      </c>
      <c r="D275" s="5" t="s">
        <v>839</v>
      </c>
      <c r="E275" s="5" t="s">
        <v>2614</v>
      </c>
      <c r="F275" s="5" t="s">
        <v>2609</v>
      </c>
      <c r="G275" s="5" t="s">
        <v>2615</v>
      </c>
      <c r="H275" s="5" t="s">
        <v>2616</v>
      </c>
      <c r="I275" s="5" t="s">
        <v>2617</v>
      </c>
      <c r="J275" s="17" t="s">
        <v>121</v>
      </c>
      <c r="K275" s="17" t="s">
        <v>181</v>
      </c>
      <c r="L275" s="5" t="s">
        <v>2618</v>
      </c>
      <c r="M275" s="6" t="s">
        <v>197</v>
      </c>
      <c r="N275" s="6" t="s">
        <v>812</v>
      </c>
      <c r="O275" s="6" t="s">
        <v>121</v>
      </c>
      <c r="P275" s="5" t="s">
        <v>918</v>
      </c>
      <c r="Q275" s="17" t="s">
        <v>182</v>
      </c>
      <c r="R275" s="5"/>
      <c r="S275" s="6" t="s">
        <v>1359</v>
      </c>
      <c r="T275" s="5" t="s">
        <v>1360</v>
      </c>
      <c r="U275" s="6"/>
      <c r="V275" s="6" t="s">
        <v>982</v>
      </c>
      <c r="W275" s="6" t="s">
        <v>331</v>
      </c>
      <c r="X275" s="5" t="s">
        <v>922</v>
      </c>
      <c r="Y275" s="5" t="s">
        <v>812</v>
      </c>
      <c r="Z275" s="5" t="str">
        <f t="shared" si="8"/>
        <v>Medium</v>
      </c>
      <c r="AA275" s="5" t="s">
        <v>956</v>
      </c>
      <c r="AB275" s="6" t="s">
        <v>924</v>
      </c>
      <c r="AC275" s="6" t="s">
        <v>103</v>
      </c>
      <c r="AD275" s="5" t="s">
        <v>925</v>
      </c>
      <c r="AE275" s="5" t="s">
        <v>354</v>
      </c>
      <c r="AF275" s="5" t="s">
        <v>354</v>
      </c>
      <c r="AG275" s="5" t="s">
        <v>354</v>
      </c>
      <c r="AH275" s="5" t="s">
        <v>354</v>
      </c>
      <c r="AI275" s="6" t="str">
        <f t="shared" si="9"/>
        <v>No</v>
      </c>
      <c r="AJ275" s="6" t="s">
        <v>926</v>
      </c>
      <c r="AK275" s="6" t="s">
        <v>121</v>
      </c>
      <c r="AL275" s="6">
        <f>MATCH(AA275,{"Low","Medium","High"},0)*MATCH(AB275,{"Low","Medium","High"},0)*INDEX({3,2,2,1,1},MATCH(X275,{"Core","Vertical extension","Differentiator","Future","Adjacent"},0))</f>
        <v>6</v>
      </c>
      <c r="AM275" s="5"/>
      <c r="AN275" s="5"/>
      <c r="AO275" s="5"/>
      <c r="AP275" s="5"/>
      <c r="AQ275" s="5"/>
      <c r="AR275" s="5"/>
      <c r="AS275" s="5"/>
      <c r="AT275" s="5"/>
      <c r="AU275" s="6" t="s">
        <v>927</v>
      </c>
      <c r="AV275" s="6" t="s">
        <v>1296</v>
      </c>
      <c r="AW275" s="6" t="s">
        <v>1296</v>
      </c>
      <c r="AX275" s="6" t="s">
        <v>929</v>
      </c>
      <c r="AY275" s="6" t="s">
        <v>930</v>
      </c>
      <c r="AZ275" s="6"/>
      <c r="BA275" s="6"/>
      <c r="BB275" s="6"/>
      <c r="BC275" s="6" t="s">
        <v>97</v>
      </c>
      <c r="BD275" s="6" t="s">
        <v>97</v>
      </c>
    </row>
    <row r="276" spans="1:56" ht="32" customHeight="1" x14ac:dyDescent="0.35">
      <c r="A276" s="13" t="s">
        <v>2619</v>
      </c>
      <c r="B276" s="6" t="s">
        <v>2114</v>
      </c>
      <c r="C276" s="5" t="s">
        <v>2115</v>
      </c>
      <c r="D276" s="5" t="s">
        <v>839</v>
      </c>
      <c r="E276" s="5" t="s">
        <v>2620</v>
      </c>
      <c r="F276" s="5" t="s">
        <v>2621</v>
      </c>
      <c r="G276" s="5" t="s">
        <v>2622</v>
      </c>
      <c r="H276" s="5" t="s">
        <v>2623</v>
      </c>
      <c r="I276" s="5" t="s">
        <v>2624</v>
      </c>
      <c r="J276" s="17" t="s">
        <v>121</v>
      </c>
      <c r="K276" s="17" t="s">
        <v>181</v>
      </c>
      <c r="L276" s="5" t="s">
        <v>2625</v>
      </c>
      <c r="M276" s="6" t="s">
        <v>197</v>
      </c>
      <c r="N276" s="6" t="s">
        <v>812</v>
      </c>
      <c r="O276" s="6" t="s">
        <v>121</v>
      </c>
      <c r="P276" s="5" t="s">
        <v>918</v>
      </c>
      <c r="Q276" s="18" t="s">
        <v>186</v>
      </c>
      <c r="R276" s="5" t="s">
        <v>1358</v>
      </c>
      <c r="S276" s="6" t="s">
        <v>1359</v>
      </c>
      <c r="T276" s="5" t="s">
        <v>1360</v>
      </c>
      <c r="U276" s="6"/>
      <c r="V276" s="6" t="s">
        <v>982</v>
      </c>
      <c r="W276" s="6" t="s">
        <v>331</v>
      </c>
      <c r="X276" s="5" t="s">
        <v>922</v>
      </c>
      <c r="Y276" s="5" t="s">
        <v>812</v>
      </c>
      <c r="Z276" s="5" t="str">
        <f t="shared" si="8"/>
        <v>Medium</v>
      </c>
      <c r="AA276" s="5" t="s">
        <v>956</v>
      </c>
      <c r="AB276" s="6" t="s">
        <v>924</v>
      </c>
      <c r="AC276" s="6" t="s">
        <v>103</v>
      </c>
      <c r="AD276" s="5" t="s">
        <v>940</v>
      </c>
      <c r="AE276" s="5" t="s">
        <v>354</v>
      </c>
      <c r="AF276" s="5" t="s">
        <v>354</v>
      </c>
      <c r="AG276" s="5" t="s">
        <v>354</v>
      </c>
      <c r="AH276" s="5" t="s">
        <v>354</v>
      </c>
      <c r="AI276" s="6" t="str">
        <f t="shared" si="9"/>
        <v>No</v>
      </c>
      <c r="AJ276" s="6" t="s">
        <v>941</v>
      </c>
      <c r="AK276" s="6" t="s">
        <v>121</v>
      </c>
      <c r="AL276" s="6">
        <f>MATCH(AA276,{"Low","Medium","High"},0)*MATCH(AB276,{"Low","Medium","High"},0)*INDEX({3,2,2,1,1},MATCH(X276,{"Core","Vertical extension","Differentiator","Future","Adjacent"},0))</f>
        <v>6</v>
      </c>
      <c r="AM276" s="5"/>
      <c r="AN276" s="5"/>
      <c r="AO276" s="5"/>
      <c r="AP276" s="5"/>
      <c r="AQ276" s="5"/>
      <c r="AR276" s="5"/>
      <c r="AS276" s="5"/>
      <c r="AT276" s="5"/>
      <c r="AU276" s="6" t="s">
        <v>927</v>
      </c>
      <c r="AV276" s="6" t="s">
        <v>1306</v>
      </c>
      <c r="AW276" s="6" t="s">
        <v>1306</v>
      </c>
      <c r="AX276" s="6" t="s">
        <v>929</v>
      </c>
      <c r="AY276" s="6" t="s">
        <v>930</v>
      </c>
      <c r="AZ276" s="6"/>
      <c r="BA276" s="6" t="s">
        <v>1361</v>
      </c>
      <c r="BB276" s="6" t="s">
        <v>1362</v>
      </c>
      <c r="BC276" s="6" t="s">
        <v>97</v>
      </c>
      <c r="BD276" s="6" t="s">
        <v>97</v>
      </c>
    </row>
    <row r="277" spans="1:56" ht="32" customHeight="1" x14ac:dyDescent="0.35">
      <c r="A277" s="13" t="s">
        <v>2626</v>
      </c>
      <c r="B277" s="6" t="s">
        <v>2114</v>
      </c>
      <c r="C277" s="5" t="s">
        <v>2115</v>
      </c>
      <c r="D277" s="5" t="s">
        <v>839</v>
      </c>
      <c r="E277" s="5" t="s">
        <v>2627</v>
      </c>
      <c r="F277" s="5" t="s">
        <v>827</v>
      </c>
      <c r="G277" s="5" t="s">
        <v>1596</v>
      </c>
      <c r="H277" s="5" t="s">
        <v>2628</v>
      </c>
      <c r="I277" s="5" t="s">
        <v>2629</v>
      </c>
      <c r="J277" s="17" t="s">
        <v>121</v>
      </c>
      <c r="K277" s="17" t="s">
        <v>181</v>
      </c>
      <c r="L277" s="5" t="s">
        <v>2630</v>
      </c>
      <c r="M277" s="6" t="s">
        <v>197</v>
      </c>
      <c r="N277" s="6" t="s">
        <v>812</v>
      </c>
      <c r="O277" s="6" t="s">
        <v>121</v>
      </c>
      <c r="P277" s="5" t="s">
        <v>918</v>
      </c>
      <c r="Q277" s="17" t="s">
        <v>182</v>
      </c>
      <c r="R277" s="5"/>
      <c r="S277" s="6" t="s">
        <v>1359</v>
      </c>
      <c r="T277" s="5" t="s">
        <v>1360</v>
      </c>
      <c r="U277" s="6"/>
      <c r="V277" s="6" t="s">
        <v>982</v>
      </c>
      <c r="W277" s="6" t="s">
        <v>331</v>
      </c>
      <c r="X277" s="5" t="s">
        <v>922</v>
      </c>
      <c r="Y277" s="5" t="s">
        <v>812</v>
      </c>
      <c r="Z277" s="5" t="str">
        <f t="shared" si="8"/>
        <v>Medium</v>
      </c>
      <c r="AA277" s="5" t="s">
        <v>956</v>
      </c>
      <c r="AB277" s="6" t="s">
        <v>924</v>
      </c>
      <c r="AC277" s="6" t="s">
        <v>103</v>
      </c>
      <c r="AD277" s="5" t="s">
        <v>925</v>
      </c>
      <c r="AE277" s="5" t="s">
        <v>354</v>
      </c>
      <c r="AF277" s="5" t="s">
        <v>354</v>
      </c>
      <c r="AG277" s="5" t="s">
        <v>354</v>
      </c>
      <c r="AH277" s="5" t="s">
        <v>354</v>
      </c>
      <c r="AI277" s="6" t="str">
        <f t="shared" si="9"/>
        <v>No</v>
      </c>
      <c r="AJ277" s="6" t="s">
        <v>926</v>
      </c>
      <c r="AK277" s="6" t="s">
        <v>121</v>
      </c>
      <c r="AL277" s="6">
        <f>MATCH(AA277,{"Low","Medium","High"},0)*MATCH(AB277,{"Low","Medium","High"},0)*INDEX({3,2,2,1,1},MATCH(X277,{"Core","Vertical extension","Differentiator","Future","Adjacent"},0))</f>
        <v>6</v>
      </c>
      <c r="AM277" s="5"/>
      <c r="AN277" s="5"/>
      <c r="AO277" s="5"/>
      <c r="AP277" s="5"/>
      <c r="AQ277" s="5"/>
      <c r="AR277" s="5"/>
      <c r="AS277" s="5"/>
      <c r="AT277" s="5"/>
      <c r="AU277" s="6" t="s">
        <v>927</v>
      </c>
      <c r="AV277" s="6" t="s">
        <v>1390</v>
      </c>
      <c r="AW277" s="6" t="s">
        <v>1390</v>
      </c>
      <c r="AX277" s="6" t="s">
        <v>929</v>
      </c>
      <c r="AY277" s="6" t="s">
        <v>930</v>
      </c>
      <c r="AZ277" s="6"/>
      <c r="BA277" s="6"/>
      <c r="BB277" s="6"/>
      <c r="BC277" s="6" t="s">
        <v>97</v>
      </c>
      <c r="BD277" s="6" t="s">
        <v>97</v>
      </c>
    </row>
    <row r="278" spans="1:56" ht="32" customHeight="1" x14ac:dyDescent="0.35">
      <c r="A278" s="13" t="s">
        <v>2631</v>
      </c>
      <c r="B278" s="6" t="s">
        <v>2114</v>
      </c>
      <c r="C278" s="5" t="s">
        <v>2115</v>
      </c>
      <c r="D278" s="5" t="s">
        <v>839</v>
      </c>
      <c r="E278" s="5" t="s">
        <v>2632</v>
      </c>
      <c r="F278" s="5" t="s">
        <v>831</v>
      </c>
      <c r="G278" s="5" t="s">
        <v>2633</v>
      </c>
      <c r="H278" s="5" t="s">
        <v>2634</v>
      </c>
      <c r="I278" s="5" t="s">
        <v>2635</v>
      </c>
      <c r="J278" s="17" t="s">
        <v>121</v>
      </c>
      <c r="K278" s="17" t="s">
        <v>181</v>
      </c>
      <c r="L278" s="5" t="s">
        <v>2636</v>
      </c>
      <c r="M278" s="6" t="s">
        <v>197</v>
      </c>
      <c r="N278" s="6" t="s">
        <v>812</v>
      </c>
      <c r="O278" s="6" t="s">
        <v>121</v>
      </c>
      <c r="P278" s="5" t="s">
        <v>918</v>
      </c>
      <c r="Q278" s="17" t="s">
        <v>182</v>
      </c>
      <c r="R278" s="5"/>
      <c r="S278" s="6" t="s">
        <v>1359</v>
      </c>
      <c r="T278" s="5" t="s">
        <v>1360</v>
      </c>
      <c r="U278" s="6"/>
      <c r="V278" s="6" t="s">
        <v>982</v>
      </c>
      <c r="W278" s="6" t="s">
        <v>331</v>
      </c>
      <c r="X278" s="5" t="s">
        <v>922</v>
      </c>
      <c r="Y278" s="5" t="s">
        <v>812</v>
      </c>
      <c r="Z278" s="5" t="str">
        <f t="shared" si="8"/>
        <v>Medium</v>
      </c>
      <c r="AA278" s="5" t="s">
        <v>956</v>
      </c>
      <c r="AB278" s="6" t="s">
        <v>924</v>
      </c>
      <c r="AC278" s="6" t="s">
        <v>103</v>
      </c>
      <c r="AD278" s="5" t="s">
        <v>925</v>
      </c>
      <c r="AE278" s="5" t="s">
        <v>354</v>
      </c>
      <c r="AF278" s="5" t="s">
        <v>354</v>
      </c>
      <c r="AG278" s="5" t="s">
        <v>354</v>
      </c>
      <c r="AH278" s="5" t="s">
        <v>354</v>
      </c>
      <c r="AI278" s="6" t="str">
        <f t="shared" si="9"/>
        <v>No</v>
      </c>
      <c r="AJ278" s="6" t="s">
        <v>926</v>
      </c>
      <c r="AK278" s="6" t="s">
        <v>121</v>
      </c>
      <c r="AL278" s="6">
        <f>MATCH(AA278,{"Low","Medium","High"},0)*MATCH(AB278,{"Low","Medium","High"},0)*INDEX({3,2,2,1,1},MATCH(X278,{"Core","Vertical extension","Differentiator","Future","Adjacent"},0))</f>
        <v>6</v>
      </c>
      <c r="AM278" s="5"/>
      <c r="AN278" s="5"/>
      <c r="AO278" s="5"/>
      <c r="AP278" s="5"/>
      <c r="AQ278" s="5"/>
      <c r="AR278" s="5"/>
      <c r="AS278" s="5"/>
      <c r="AT278" s="5"/>
      <c r="AU278" s="6" t="s">
        <v>927</v>
      </c>
      <c r="AV278" s="6" t="s">
        <v>2161</v>
      </c>
      <c r="AW278" s="6" t="s">
        <v>2161</v>
      </c>
      <c r="AX278" s="6" t="s">
        <v>929</v>
      </c>
      <c r="AY278" s="6" t="s">
        <v>930</v>
      </c>
      <c r="AZ278" s="6"/>
      <c r="BA278" s="6"/>
      <c r="BB278" s="6"/>
      <c r="BC278" s="6" t="s">
        <v>97</v>
      </c>
      <c r="BD278" s="6" t="s">
        <v>97</v>
      </c>
    </row>
    <row r="279" spans="1:56" ht="32" customHeight="1" x14ac:dyDescent="0.35">
      <c r="A279" s="13" t="s">
        <v>2637</v>
      </c>
      <c r="B279" s="6" t="s">
        <v>2114</v>
      </c>
      <c r="C279" s="5" t="s">
        <v>2115</v>
      </c>
      <c r="D279" s="5" t="s">
        <v>825</v>
      </c>
      <c r="E279" s="5" t="s">
        <v>2638</v>
      </c>
      <c r="F279" s="5" t="s">
        <v>2171</v>
      </c>
      <c r="G279" s="5" t="s">
        <v>1623</v>
      </c>
      <c r="H279" s="5" t="s">
        <v>2639</v>
      </c>
      <c r="I279" s="5" t="s">
        <v>2640</v>
      </c>
      <c r="J279" s="17" t="s">
        <v>121</v>
      </c>
      <c r="K279" s="17" t="s">
        <v>181</v>
      </c>
      <c r="L279" s="5" t="s">
        <v>2641</v>
      </c>
      <c r="M279" s="6" t="s">
        <v>197</v>
      </c>
      <c r="N279" s="6" t="s">
        <v>812</v>
      </c>
      <c r="O279" s="6" t="s">
        <v>121</v>
      </c>
      <c r="P279" s="5" t="s">
        <v>999</v>
      </c>
      <c r="Q279" s="18" t="s">
        <v>186</v>
      </c>
      <c r="R279" s="5" t="s">
        <v>2642</v>
      </c>
      <c r="S279" s="6" t="s">
        <v>1053</v>
      </c>
      <c r="T279" s="5" t="s">
        <v>1054</v>
      </c>
      <c r="U279" s="6"/>
      <c r="V279" s="6" t="s">
        <v>1055</v>
      </c>
      <c r="W279" s="6" t="s">
        <v>333</v>
      </c>
      <c r="X279" s="5" t="s">
        <v>922</v>
      </c>
      <c r="Y279" s="5" t="s">
        <v>812</v>
      </c>
      <c r="Z279" s="5" t="str">
        <f t="shared" si="8"/>
        <v>Critical</v>
      </c>
      <c r="AA279" s="5" t="s">
        <v>923</v>
      </c>
      <c r="AB279" s="6" t="s">
        <v>923</v>
      </c>
      <c r="AC279" s="6" t="s">
        <v>103</v>
      </c>
      <c r="AD279" s="5" t="s">
        <v>940</v>
      </c>
      <c r="AE279" s="5" t="s">
        <v>354</v>
      </c>
      <c r="AF279" s="5" t="s">
        <v>354</v>
      </c>
      <c r="AG279" s="5" t="s">
        <v>354</v>
      </c>
      <c r="AH279" s="5" t="s">
        <v>354</v>
      </c>
      <c r="AI279" s="6" t="str">
        <f t="shared" si="9"/>
        <v>No</v>
      </c>
      <c r="AJ279" s="6" t="s">
        <v>941</v>
      </c>
      <c r="AK279" s="6" t="s">
        <v>121</v>
      </c>
      <c r="AL279" s="6">
        <f>MATCH(AA279,{"Low","Medium","High"},0)*MATCH(AB279,{"Low","Medium","High"},0)*INDEX({3,2,2,1,1},MATCH(X279,{"Core","Vertical extension","Differentiator","Future","Adjacent"},0))</f>
        <v>27</v>
      </c>
      <c r="AM279" s="5"/>
      <c r="AN279" s="5"/>
      <c r="AO279" s="5"/>
      <c r="AP279" s="5"/>
      <c r="AQ279" s="5"/>
      <c r="AR279" s="5"/>
      <c r="AS279" s="5"/>
      <c r="AT279" s="5"/>
      <c r="AU279" s="6" t="s">
        <v>927</v>
      </c>
      <c r="AV279" s="6" t="s">
        <v>2161</v>
      </c>
      <c r="AW279" s="6" t="s">
        <v>2161</v>
      </c>
      <c r="AX279" s="6" t="s">
        <v>1003</v>
      </c>
      <c r="AY279" s="6" t="s">
        <v>930</v>
      </c>
      <c r="AZ279" s="6"/>
      <c r="BA279" s="6" t="s">
        <v>2176</v>
      </c>
      <c r="BB279" s="6"/>
      <c r="BC279" s="6" t="s">
        <v>97</v>
      </c>
      <c r="BD279" s="6" t="s">
        <v>97</v>
      </c>
    </row>
    <row r="280" spans="1:56" ht="32" customHeight="1" x14ac:dyDescent="0.35">
      <c r="A280" s="13" t="s">
        <v>2643</v>
      </c>
      <c r="B280" s="6" t="s">
        <v>2114</v>
      </c>
      <c r="C280" s="5" t="s">
        <v>2115</v>
      </c>
      <c r="D280" s="5" t="s">
        <v>825</v>
      </c>
      <c r="E280" s="5" t="s">
        <v>2644</v>
      </c>
      <c r="F280" s="5" t="s">
        <v>2171</v>
      </c>
      <c r="G280" s="5" t="s">
        <v>1452</v>
      </c>
      <c r="H280" s="5" t="s">
        <v>2645</v>
      </c>
      <c r="I280" s="5" t="s">
        <v>2646</v>
      </c>
      <c r="J280" s="17" t="s">
        <v>121</v>
      </c>
      <c r="K280" s="17" t="s">
        <v>181</v>
      </c>
      <c r="L280" s="5" t="s">
        <v>2647</v>
      </c>
      <c r="M280" s="6" t="s">
        <v>197</v>
      </c>
      <c r="N280" s="6" t="s">
        <v>812</v>
      </c>
      <c r="O280" s="6" t="s">
        <v>121</v>
      </c>
      <c r="P280" s="5" t="s">
        <v>918</v>
      </c>
      <c r="Q280" s="17" t="s">
        <v>182</v>
      </c>
      <c r="R280" s="5"/>
      <c r="S280" s="6" t="s">
        <v>1053</v>
      </c>
      <c r="T280" s="5" t="s">
        <v>1054</v>
      </c>
      <c r="U280" s="6"/>
      <c r="V280" s="6" t="s">
        <v>1055</v>
      </c>
      <c r="W280" s="6" t="s">
        <v>333</v>
      </c>
      <c r="X280" s="5" t="s">
        <v>922</v>
      </c>
      <c r="Y280" s="5" t="s">
        <v>812</v>
      </c>
      <c r="Z280" s="5" t="str">
        <f t="shared" si="8"/>
        <v>Critical</v>
      </c>
      <c r="AA280" s="5" t="s">
        <v>923</v>
      </c>
      <c r="AB280" s="6" t="s">
        <v>923</v>
      </c>
      <c r="AC280" s="6" t="s">
        <v>103</v>
      </c>
      <c r="AD280" s="5" t="s">
        <v>925</v>
      </c>
      <c r="AE280" s="5" t="s">
        <v>354</v>
      </c>
      <c r="AF280" s="5" t="s">
        <v>354</v>
      </c>
      <c r="AG280" s="5" t="s">
        <v>354</v>
      </c>
      <c r="AH280" s="5" t="s">
        <v>354</v>
      </c>
      <c r="AI280" s="6" t="str">
        <f t="shared" si="9"/>
        <v>No</v>
      </c>
      <c r="AJ280" s="6" t="s">
        <v>926</v>
      </c>
      <c r="AK280" s="6" t="s">
        <v>121</v>
      </c>
      <c r="AL280" s="6">
        <f>MATCH(AA280,{"Low","Medium","High"},0)*MATCH(AB280,{"Low","Medium","High"},0)*INDEX({3,2,2,1,1},MATCH(X280,{"Core","Vertical extension","Differentiator","Future","Adjacent"},0))</f>
        <v>27</v>
      </c>
      <c r="AM280" s="5"/>
      <c r="AN280" s="5"/>
      <c r="AO280" s="5"/>
      <c r="AP280" s="5"/>
      <c r="AQ280" s="5"/>
      <c r="AR280" s="5"/>
      <c r="AS280" s="5"/>
      <c r="AT280" s="5"/>
      <c r="AU280" s="6" t="s">
        <v>927</v>
      </c>
      <c r="AV280" s="6" t="s">
        <v>2161</v>
      </c>
      <c r="AW280" s="6" t="s">
        <v>2161</v>
      </c>
      <c r="AX280" s="6" t="s">
        <v>929</v>
      </c>
      <c r="AY280" s="6" t="s">
        <v>930</v>
      </c>
      <c r="AZ280" s="6"/>
      <c r="BA280" s="6"/>
      <c r="BB280" s="6"/>
      <c r="BC280" s="6" t="s">
        <v>97</v>
      </c>
      <c r="BD280" s="6" t="s">
        <v>97</v>
      </c>
    </row>
    <row r="281" spans="1:56" ht="32" customHeight="1" x14ac:dyDescent="0.35">
      <c r="A281" s="13" t="s">
        <v>2648</v>
      </c>
      <c r="B281" s="6" t="s">
        <v>2114</v>
      </c>
      <c r="C281" s="5" t="s">
        <v>2115</v>
      </c>
      <c r="D281" s="5" t="s">
        <v>825</v>
      </c>
      <c r="E281" s="5" t="s">
        <v>2649</v>
      </c>
      <c r="F281" s="5" t="s">
        <v>838</v>
      </c>
      <c r="G281" s="5" t="s">
        <v>1623</v>
      </c>
      <c r="H281" s="5" t="s">
        <v>2650</v>
      </c>
      <c r="I281" s="5" t="s">
        <v>2651</v>
      </c>
      <c r="J281" s="17" t="s">
        <v>121</v>
      </c>
      <c r="K281" s="17" t="s">
        <v>181</v>
      </c>
      <c r="L281" s="5" t="s">
        <v>2652</v>
      </c>
      <c r="M281" s="6" t="s">
        <v>197</v>
      </c>
      <c r="N281" s="6" t="s">
        <v>812</v>
      </c>
      <c r="O281" s="6" t="s">
        <v>121</v>
      </c>
      <c r="P281" s="5" t="s">
        <v>918</v>
      </c>
      <c r="Q281" s="17" t="s">
        <v>182</v>
      </c>
      <c r="R281" s="5"/>
      <c r="S281" s="6" t="s">
        <v>1053</v>
      </c>
      <c r="T281" s="5" t="s">
        <v>1054</v>
      </c>
      <c r="U281" s="6"/>
      <c r="V281" s="6" t="s">
        <v>1055</v>
      </c>
      <c r="W281" s="6" t="s">
        <v>333</v>
      </c>
      <c r="X281" s="5" t="s">
        <v>922</v>
      </c>
      <c r="Y281" s="5" t="s">
        <v>812</v>
      </c>
      <c r="Z281" s="5" t="str">
        <f t="shared" si="8"/>
        <v>Critical</v>
      </c>
      <c r="AA281" s="5" t="s">
        <v>923</v>
      </c>
      <c r="AB281" s="6" t="s">
        <v>923</v>
      </c>
      <c r="AC281" s="6" t="s">
        <v>103</v>
      </c>
      <c r="AD281" s="5" t="s">
        <v>925</v>
      </c>
      <c r="AE281" s="5" t="s">
        <v>354</v>
      </c>
      <c r="AF281" s="5" t="s">
        <v>354</v>
      </c>
      <c r="AG281" s="5" t="s">
        <v>354</v>
      </c>
      <c r="AH281" s="5" t="s">
        <v>354</v>
      </c>
      <c r="AI281" s="6" t="str">
        <f t="shared" si="9"/>
        <v>No</v>
      </c>
      <c r="AJ281" s="6" t="s">
        <v>926</v>
      </c>
      <c r="AK281" s="6" t="s">
        <v>121</v>
      </c>
      <c r="AL281" s="6">
        <f>MATCH(AA281,{"Low","Medium","High"},0)*MATCH(AB281,{"Low","Medium","High"},0)*INDEX({3,2,2,1,1},MATCH(X281,{"Core","Vertical extension","Differentiator","Future","Adjacent"},0))</f>
        <v>27</v>
      </c>
      <c r="AM281" s="5"/>
      <c r="AN281" s="5"/>
      <c r="AO281" s="5"/>
      <c r="AP281" s="5"/>
      <c r="AQ281" s="5"/>
      <c r="AR281" s="5"/>
      <c r="AS281" s="5"/>
      <c r="AT281" s="5"/>
      <c r="AU281" s="6" t="s">
        <v>927</v>
      </c>
      <c r="AV281" s="6" t="s">
        <v>1390</v>
      </c>
      <c r="AW281" s="6" t="s">
        <v>1390</v>
      </c>
      <c r="AX281" s="6" t="s">
        <v>929</v>
      </c>
      <c r="AY281" s="6" t="s">
        <v>930</v>
      </c>
      <c r="AZ281" s="6"/>
      <c r="BA281" s="6"/>
      <c r="BB281" s="6"/>
      <c r="BC281" s="6" t="s">
        <v>97</v>
      </c>
      <c r="BD281" s="6" t="s">
        <v>97</v>
      </c>
    </row>
    <row r="282" spans="1:56" ht="32" customHeight="1" x14ac:dyDescent="0.35">
      <c r="A282" s="13" t="s">
        <v>2653</v>
      </c>
      <c r="B282" s="6" t="s">
        <v>2114</v>
      </c>
      <c r="C282" s="5" t="s">
        <v>2115</v>
      </c>
      <c r="D282" s="5" t="s">
        <v>825</v>
      </c>
      <c r="E282" s="5" t="s">
        <v>2654</v>
      </c>
      <c r="F282" s="5" t="s">
        <v>2655</v>
      </c>
      <c r="G282" s="5" t="s">
        <v>1623</v>
      </c>
      <c r="H282" s="5" t="s">
        <v>2656</v>
      </c>
      <c r="I282" s="5" t="s">
        <v>2657</v>
      </c>
      <c r="J282" s="17" t="s">
        <v>121</v>
      </c>
      <c r="K282" s="17" t="s">
        <v>181</v>
      </c>
      <c r="L282" s="5" t="s">
        <v>2658</v>
      </c>
      <c r="M282" s="6" t="s">
        <v>197</v>
      </c>
      <c r="N282" s="6" t="s">
        <v>812</v>
      </c>
      <c r="O282" s="6" t="s">
        <v>121</v>
      </c>
      <c r="P282" s="5" t="s">
        <v>918</v>
      </c>
      <c r="Q282" s="17" t="s">
        <v>182</v>
      </c>
      <c r="R282" s="5"/>
      <c r="S282" s="6" t="s">
        <v>1053</v>
      </c>
      <c r="T282" s="5" t="s">
        <v>1054</v>
      </c>
      <c r="U282" s="6"/>
      <c r="V282" s="6" t="s">
        <v>1055</v>
      </c>
      <c r="W282" s="6" t="s">
        <v>333</v>
      </c>
      <c r="X282" s="5" t="s">
        <v>922</v>
      </c>
      <c r="Y282" s="5" t="s">
        <v>812</v>
      </c>
      <c r="Z282" s="5" t="str">
        <f t="shared" si="8"/>
        <v>Critical</v>
      </c>
      <c r="AA282" s="5" t="s">
        <v>923</v>
      </c>
      <c r="AB282" s="6" t="s">
        <v>923</v>
      </c>
      <c r="AC282" s="6" t="s">
        <v>103</v>
      </c>
      <c r="AD282" s="5" t="s">
        <v>925</v>
      </c>
      <c r="AE282" s="5" t="s">
        <v>354</v>
      </c>
      <c r="AF282" s="5" t="s">
        <v>354</v>
      </c>
      <c r="AG282" s="5" t="s">
        <v>354</v>
      </c>
      <c r="AH282" s="5" t="s">
        <v>354</v>
      </c>
      <c r="AI282" s="6" t="str">
        <f t="shared" si="9"/>
        <v>No</v>
      </c>
      <c r="AJ282" s="6" t="s">
        <v>926</v>
      </c>
      <c r="AK282" s="6" t="s">
        <v>121</v>
      </c>
      <c r="AL282" s="6">
        <f>MATCH(AA282,{"Low","Medium","High"},0)*MATCH(AB282,{"Low","Medium","High"},0)*INDEX({3,2,2,1,1},MATCH(X282,{"Core","Vertical extension","Differentiator","Future","Adjacent"},0))</f>
        <v>27</v>
      </c>
      <c r="AM282" s="5"/>
      <c r="AN282" s="5"/>
      <c r="AO282" s="5"/>
      <c r="AP282" s="5"/>
      <c r="AQ282" s="5"/>
      <c r="AR282" s="5"/>
      <c r="AS282" s="5"/>
      <c r="AT282" s="5"/>
      <c r="AU282" s="6" t="s">
        <v>927</v>
      </c>
      <c r="AV282" s="6" t="s">
        <v>2161</v>
      </c>
      <c r="AW282" s="6" t="s">
        <v>2161</v>
      </c>
      <c r="AX282" s="6" t="s">
        <v>929</v>
      </c>
      <c r="AY282" s="6" t="s">
        <v>930</v>
      </c>
      <c r="AZ282" s="6"/>
      <c r="BA282" s="6"/>
      <c r="BB282" s="6"/>
      <c r="BC282" s="6" t="s">
        <v>97</v>
      </c>
      <c r="BD282" s="6" t="s">
        <v>97</v>
      </c>
    </row>
    <row r="283" spans="1:56" ht="32" customHeight="1" x14ac:dyDescent="0.35">
      <c r="A283" s="13" t="s">
        <v>2659</v>
      </c>
      <c r="B283" s="6" t="s">
        <v>2114</v>
      </c>
      <c r="C283" s="5" t="s">
        <v>2115</v>
      </c>
      <c r="D283" s="5" t="s">
        <v>825</v>
      </c>
      <c r="E283" s="5" t="s">
        <v>2660</v>
      </c>
      <c r="F283" s="5" t="s">
        <v>2655</v>
      </c>
      <c r="G283" s="5" t="s">
        <v>1452</v>
      </c>
      <c r="H283" s="5" t="s">
        <v>2661</v>
      </c>
      <c r="I283" s="5" t="s">
        <v>2662</v>
      </c>
      <c r="J283" s="17" t="s">
        <v>121</v>
      </c>
      <c r="K283" s="17" t="s">
        <v>181</v>
      </c>
      <c r="L283" s="5" t="s">
        <v>2663</v>
      </c>
      <c r="M283" s="6" t="s">
        <v>197</v>
      </c>
      <c r="N283" s="6" t="s">
        <v>812</v>
      </c>
      <c r="O283" s="6" t="s">
        <v>121</v>
      </c>
      <c r="P283" s="5" t="s">
        <v>918</v>
      </c>
      <c r="Q283" s="17" t="s">
        <v>182</v>
      </c>
      <c r="R283" s="5"/>
      <c r="S283" s="6" t="s">
        <v>1053</v>
      </c>
      <c r="T283" s="5" t="s">
        <v>1054</v>
      </c>
      <c r="U283" s="6"/>
      <c r="V283" s="6" t="s">
        <v>1055</v>
      </c>
      <c r="W283" s="6" t="s">
        <v>333</v>
      </c>
      <c r="X283" s="5" t="s">
        <v>922</v>
      </c>
      <c r="Y283" s="5" t="s">
        <v>812</v>
      </c>
      <c r="Z283" s="5" t="str">
        <f t="shared" si="8"/>
        <v>Critical</v>
      </c>
      <c r="AA283" s="5" t="s">
        <v>923</v>
      </c>
      <c r="AB283" s="6" t="s">
        <v>923</v>
      </c>
      <c r="AC283" s="6" t="s">
        <v>103</v>
      </c>
      <c r="AD283" s="5" t="s">
        <v>925</v>
      </c>
      <c r="AE283" s="5" t="s">
        <v>354</v>
      </c>
      <c r="AF283" s="5" t="s">
        <v>354</v>
      </c>
      <c r="AG283" s="5" t="s">
        <v>354</v>
      </c>
      <c r="AH283" s="5" t="s">
        <v>354</v>
      </c>
      <c r="AI283" s="6" t="str">
        <f t="shared" si="9"/>
        <v>No</v>
      </c>
      <c r="AJ283" s="6" t="s">
        <v>926</v>
      </c>
      <c r="AK283" s="6" t="s">
        <v>121</v>
      </c>
      <c r="AL283" s="6">
        <f>MATCH(AA283,{"Low","Medium","High"},0)*MATCH(AB283,{"Low","Medium","High"},0)*INDEX({3,2,2,1,1},MATCH(X283,{"Core","Vertical extension","Differentiator","Future","Adjacent"},0))</f>
        <v>27</v>
      </c>
      <c r="AM283" s="5"/>
      <c r="AN283" s="5"/>
      <c r="AO283" s="5"/>
      <c r="AP283" s="5"/>
      <c r="AQ283" s="5"/>
      <c r="AR283" s="5"/>
      <c r="AS283" s="5"/>
      <c r="AT283" s="5"/>
      <c r="AU283" s="6" t="s">
        <v>927</v>
      </c>
      <c r="AV283" s="6" t="s">
        <v>2161</v>
      </c>
      <c r="AW283" s="6" t="s">
        <v>2161</v>
      </c>
      <c r="AX283" s="6" t="s">
        <v>929</v>
      </c>
      <c r="AY283" s="6" t="s">
        <v>930</v>
      </c>
      <c r="AZ283" s="6"/>
      <c r="BA283" s="6"/>
      <c r="BB283" s="6"/>
      <c r="BC283" s="6" t="s">
        <v>97</v>
      </c>
      <c r="BD283" s="6" t="s">
        <v>97</v>
      </c>
    </row>
    <row r="284" spans="1:56" ht="32" customHeight="1" x14ac:dyDescent="0.35">
      <c r="A284" s="13" t="s">
        <v>2664</v>
      </c>
      <c r="B284" s="6" t="s">
        <v>2114</v>
      </c>
      <c r="C284" s="5" t="s">
        <v>2115</v>
      </c>
      <c r="D284" s="5" t="s">
        <v>825</v>
      </c>
      <c r="E284" s="5" t="s">
        <v>2665</v>
      </c>
      <c r="F284" s="5" t="s">
        <v>2171</v>
      </c>
      <c r="G284" s="5" t="s">
        <v>1623</v>
      </c>
      <c r="H284" s="5" t="s">
        <v>2666</v>
      </c>
      <c r="I284" s="5" t="s">
        <v>2667</v>
      </c>
      <c r="J284" s="17" t="s">
        <v>121</v>
      </c>
      <c r="K284" s="17" t="s">
        <v>181</v>
      </c>
      <c r="L284" s="5" t="s">
        <v>2668</v>
      </c>
      <c r="M284" s="6" t="s">
        <v>197</v>
      </c>
      <c r="N284" s="6" t="s">
        <v>812</v>
      </c>
      <c r="O284" s="6" t="s">
        <v>121</v>
      </c>
      <c r="P284" s="5" t="s">
        <v>918</v>
      </c>
      <c r="Q284" s="17" t="s">
        <v>182</v>
      </c>
      <c r="R284" s="5"/>
      <c r="S284" s="6" t="s">
        <v>1053</v>
      </c>
      <c r="T284" s="5" t="s">
        <v>1054</v>
      </c>
      <c r="U284" s="6"/>
      <c r="V284" s="6" t="s">
        <v>1055</v>
      </c>
      <c r="W284" s="6" t="s">
        <v>333</v>
      </c>
      <c r="X284" s="5" t="s">
        <v>922</v>
      </c>
      <c r="Y284" s="5" t="s">
        <v>812</v>
      </c>
      <c r="Z284" s="5" t="str">
        <f t="shared" si="8"/>
        <v>Critical</v>
      </c>
      <c r="AA284" s="5" t="s">
        <v>923</v>
      </c>
      <c r="AB284" s="6" t="s">
        <v>923</v>
      </c>
      <c r="AC284" s="6" t="s">
        <v>103</v>
      </c>
      <c r="AD284" s="5" t="s">
        <v>925</v>
      </c>
      <c r="AE284" s="5" t="s">
        <v>354</v>
      </c>
      <c r="AF284" s="5" t="s">
        <v>354</v>
      </c>
      <c r="AG284" s="5" t="s">
        <v>354</v>
      </c>
      <c r="AH284" s="5" t="s">
        <v>354</v>
      </c>
      <c r="AI284" s="6" t="str">
        <f t="shared" si="9"/>
        <v>No</v>
      </c>
      <c r="AJ284" s="6" t="s">
        <v>926</v>
      </c>
      <c r="AK284" s="6" t="s">
        <v>121</v>
      </c>
      <c r="AL284" s="6">
        <f>MATCH(AA284,{"Low","Medium","High"},0)*MATCH(AB284,{"Low","Medium","High"},0)*INDEX({3,2,2,1,1},MATCH(X284,{"Core","Vertical extension","Differentiator","Future","Adjacent"},0))</f>
        <v>27</v>
      </c>
      <c r="AM284" s="5"/>
      <c r="AN284" s="5"/>
      <c r="AO284" s="5"/>
      <c r="AP284" s="5"/>
      <c r="AQ284" s="5"/>
      <c r="AR284" s="5"/>
      <c r="AS284" s="5"/>
      <c r="AT284" s="5"/>
      <c r="AU284" s="6" t="s">
        <v>927</v>
      </c>
      <c r="AV284" s="6" t="s">
        <v>2161</v>
      </c>
      <c r="AW284" s="6" t="s">
        <v>2161</v>
      </c>
      <c r="AX284" s="6" t="s">
        <v>929</v>
      </c>
      <c r="AY284" s="6" t="s">
        <v>930</v>
      </c>
      <c r="AZ284" s="6"/>
      <c r="BA284" s="6"/>
      <c r="BB284" s="6"/>
      <c r="BC284" s="6" t="s">
        <v>97</v>
      </c>
      <c r="BD284" s="6" t="s">
        <v>97</v>
      </c>
    </row>
    <row r="285" spans="1:56" ht="32" customHeight="1" x14ac:dyDescent="0.35">
      <c r="A285" s="13" t="s">
        <v>2669</v>
      </c>
      <c r="B285" s="6" t="s">
        <v>2114</v>
      </c>
      <c r="C285" s="5" t="s">
        <v>2115</v>
      </c>
      <c r="D285" s="5" t="s">
        <v>825</v>
      </c>
      <c r="E285" s="5" t="s">
        <v>2670</v>
      </c>
      <c r="F285" s="5" t="s">
        <v>2171</v>
      </c>
      <c r="G285" s="5" t="s">
        <v>1623</v>
      </c>
      <c r="H285" s="5" t="s">
        <v>2671</v>
      </c>
      <c r="I285" s="5" t="s">
        <v>2672</v>
      </c>
      <c r="J285" s="17" t="s">
        <v>121</v>
      </c>
      <c r="K285" s="17" t="s">
        <v>181</v>
      </c>
      <c r="L285" s="5" t="s">
        <v>2673</v>
      </c>
      <c r="M285" s="6" t="s">
        <v>197</v>
      </c>
      <c r="N285" s="6" t="s">
        <v>812</v>
      </c>
      <c r="O285" s="6" t="s">
        <v>121</v>
      </c>
      <c r="P285" s="5" t="s">
        <v>918</v>
      </c>
      <c r="Q285" s="17" t="s">
        <v>182</v>
      </c>
      <c r="R285" s="5"/>
      <c r="S285" s="6" t="s">
        <v>1053</v>
      </c>
      <c r="T285" s="5" t="s">
        <v>1054</v>
      </c>
      <c r="U285" s="6"/>
      <c r="V285" s="6" t="s">
        <v>1055</v>
      </c>
      <c r="W285" s="6" t="s">
        <v>333</v>
      </c>
      <c r="X285" s="5" t="s">
        <v>922</v>
      </c>
      <c r="Y285" s="5" t="s">
        <v>812</v>
      </c>
      <c r="Z285" s="5" t="str">
        <f t="shared" si="8"/>
        <v>Critical</v>
      </c>
      <c r="AA285" s="5" t="s">
        <v>923</v>
      </c>
      <c r="AB285" s="6" t="s">
        <v>923</v>
      </c>
      <c r="AC285" s="6" t="s">
        <v>103</v>
      </c>
      <c r="AD285" s="5" t="s">
        <v>925</v>
      </c>
      <c r="AE285" s="5" t="s">
        <v>354</v>
      </c>
      <c r="AF285" s="5" t="s">
        <v>354</v>
      </c>
      <c r="AG285" s="5" t="s">
        <v>354</v>
      </c>
      <c r="AH285" s="5" t="s">
        <v>354</v>
      </c>
      <c r="AI285" s="6" t="str">
        <f t="shared" si="9"/>
        <v>No</v>
      </c>
      <c r="AJ285" s="6" t="s">
        <v>926</v>
      </c>
      <c r="AK285" s="6" t="s">
        <v>121</v>
      </c>
      <c r="AL285" s="6">
        <f>MATCH(AA285,{"Low","Medium","High"},0)*MATCH(AB285,{"Low","Medium","High"},0)*INDEX({3,2,2,1,1},MATCH(X285,{"Core","Vertical extension","Differentiator","Future","Adjacent"},0))</f>
        <v>27</v>
      </c>
      <c r="AM285" s="5"/>
      <c r="AN285" s="5"/>
      <c r="AO285" s="5"/>
      <c r="AP285" s="5"/>
      <c r="AQ285" s="5"/>
      <c r="AR285" s="5"/>
      <c r="AS285" s="5"/>
      <c r="AT285" s="5"/>
      <c r="AU285" s="6" t="s">
        <v>927</v>
      </c>
      <c r="AV285" s="6" t="s">
        <v>2161</v>
      </c>
      <c r="AW285" s="6" t="s">
        <v>2161</v>
      </c>
      <c r="AX285" s="6" t="s">
        <v>929</v>
      </c>
      <c r="AY285" s="6" t="s">
        <v>930</v>
      </c>
      <c r="AZ285" s="6"/>
      <c r="BA285" s="6"/>
      <c r="BB285" s="6"/>
      <c r="BC285" s="6" t="s">
        <v>97</v>
      </c>
      <c r="BD285" s="6" t="s">
        <v>97</v>
      </c>
    </row>
    <row r="286" spans="1:56" ht="32" customHeight="1" x14ac:dyDescent="0.35">
      <c r="A286" s="13" t="s">
        <v>2674</v>
      </c>
      <c r="B286" s="6" t="s">
        <v>2114</v>
      </c>
      <c r="C286" s="5" t="s">
        <v>2115</v>
      </c>
      <c r="D286" s="5" t="s">
        <v>825</v>
      </c>
      <c r="E286" s="5" t="s">
        <v>2675</v>
      </c>
      <c r="F286" s="5" t="s">
        <v>2676</v>
      </c>
      <c r="G286" s="5" t="s">
        <v>1452</v>
      </c>
      <c r="H286" s="5" t="s">
        <v>2677</v>
      </c>
      <c r="I286" s="5" t="s">
        <v>2678</v>
      </c>
      <c r="J286" s="17" t="s">
        <v>121</v>
      </c>
      <c r="K286" s="17" t="s">
        <v>181</v>
      </c>
      <c r="L286" s="5" t="s">
        <v>2679</v>
      </c>
      <c r="M286" s="6" t="s">
        <v>197</v>
      </c>
      <c r="N286" s="6" t="s">
        <v>812</v>
      </c>
      <c r="O286" s="6" t="s">
        <v>121</v>
      </c>
      <c r="P286" s="5" t="s">
        <v>918</v>
      </c>
      <c r="Q286" s="17" t="s">
        <v>182</v>
      </c>
      <c r="R286" s="5"/>
      <c r="S286" s="6" t="s">
        <v>1053</v>
      </c>
      <c r="T286" s="5" t="s">
        <v>1054</v>
      </c>
      <c r="U286" s="6"/>
      <c r="V286" s="6" t="s">
        <v>1055</v>
      </c>
      <c r="W286" s="6" t="s">
        <v>333</v>
      </c>
      <c r="X286" s="5" t="s">
        <v>922</v>
      </c>
      <c r="Y286" s="5" t="s">
        <v>812</v>
      </c>
      <c r="Z286" s="5" t="str">
        <f t="shared" si="8"/>
        <v>Critical</v>
      </c>
      <c r="AA286" s="5" t="s">
        <v>923</v>
      </c>
      <c r="AB286" s="6" t="s">
        <v>923</v>
      </c>
      <c r="AC286" s="6" t="s">
        <v>103</v>
      </c>
      <c r="AD286" s="5" t="s">
        <v>925</v>
      </c>
      <c r="AE286" s="5" t="s">
        <v>354</v>
      </c>
      <c r="AF286" s="5" t="s">
        <v>354</v>
      </c>
      <c r="AG286" s="5" t="s">
        <v>354</v>
      </c>
      <c r="AH286" s="5" t="s">
        <v>354</v>
      </c>
      <c r="AI286" s="6" t="str">
        <f t="shared" si="9"/>
        <v>No</v>
      </c>
      <c r="AJ286" s="6" t="s">
        <v>926</v>
      </c>
      <c r="AK286" s="6" t="s">
        <v>121</v>
      </c>
      <c r="AL286" s="6">
        <f>MATCH(AA286,{"Low","Medium","High"},0)*MATCH(AB286,{"Low","Medium","High"},0)*INDEX({3,2,2,1,1},MATCH(X286,{"Core","Vertical extension","Differentiator","Future","Adjacent"},0))</f>
        <v>27</v>
      </c>
      <c r="AM286" s="5"/>
      <c r="AN286" s="5"/>
      <c r="AO286" s="5"/>
      <c r="AP286" s="5"/>
      <c r="AQ286" s="5"/>
      <c r="AR286" s="5"/>
      <c r="AS286" s="5"/>
      <c r="AT286" s="5"/>
      <c r="AU286" s="6" t="s">
        <v>927</v>
      </c>
      <c r="AV286" s="6" t="s">
        <v>2161</v>
      </c>
      <c r="AW286" s="6" t="s">
        <v>2161</v>
      </c>
      <c r="AX286" s="6" t="s">
        <v>929</v>
      </c>
      <c r="AY286" s="6" t="s">
        <v>930</v>
      </c>
      <c r="AZ286" s="6"/>
      <c r="BA286" s="6"/>
      <c r="BB286" s="6"/>
      <c r="BC286" s="6" t="s">
        <v>97</v>
      </c>
      <c r="BD286" s="6" t="s">
        <v>97</v>
      </c>
    </row>
    <row r="287" spans="1:56" ht="32" customHeight="1" x14ac:dyDescent="0.35">
      <c r="A287" s="13" t="s">
        <v>2680</v>
      </c>
      <c r="B287" s="6" t="s">
        <v>2114</v>
      </c>
      <c r="C287" s="5" t="s">
        <v>2115</v>
      </c>
      <c r="D287" s="5" t="s">
        <v>825</v>
      </c>
      <c r="E287" s="5" t="s">
        <v>2681</v>
      </c>
      <c r="F287" s="5" t="s">
        <v>2676</v>
      </c>
      <c r="G287" s="5" t="s">
        <v>1452</v>
      </c>
      <c r="H287" s="5" t="s">
        <v>2682</v>
      </c>
      <c r="I287" s="5" t="s">
        <v>2683</v>
      </c>
      <c r="J287" s="17" t="s">
        <v>121</v>
      </c>
      <c r="K287" s="17" t="s">
        <v>181</v>
      </c>
      <c r="L287" s="5" t="s">
        <v>2684</v>
      </c>
      <c r="M287" s="6" t="s">
        <v>197</v>
      </c>
      <c r="N287" s="6" t="s">
        <v>812</v>
      </c>
      <c r="O287" s="6" t="s">
        <v>121</v>
      </c>
      <c r="P287" s="5" t="s">
        <v>918</v>
      </c>
      <c r="Q287" s="18" t="s">
        <v>186</v>
      </c>
      <c r="R287" s="5" t="s">
        <v>936</v>
      </c>
      <c r="S287" s="6" t="s">
        <v>1053</v>
      </c>
      <c r="T287" s="5" t="s">
        <v>1054</v>
      </c>
      <c r="U287" s="6"/>
      <c r="V287" s="6" t="s">
        <v>1055</v>
      </c>
      <c r="W287" s="6" t="s">
        <v>333</v>
      </c>
      <c r="X287" s="5" t="s">
        <v>922</v>
      </c>
      <c r="Y287" s="5" t="s">
        <v>812</v>
      </c>
      <c r="Z287" s="5" t="str">
        <f t="shared" si="8"/>
        <v>Critical</v>
      </c>
      <c r="AA287" s="5" t="s">
        <v>923</v>
      </c>
      <c r="AB287" s="6" t="s">
        <v>923</v>
      </c>
      <c r="AC287" s="6" t="s">
        <v>103</v>
      </c>
      <c r="AD287" s="5" t="s">
        <v>940</v>
      </c>
      <c r="AE287" s="5" t="s">
        <v>354</v>
      </c>
      <c r="AF287" s="5" t="s">
        <v>354</v>
      </c>
      <c r="AG287" s="5" t="s">
        <v>354</v>
      </c>
      <c r="AH287" s="5" t="s">
        <v>354</v>
      </c>
      <c r="AI287" s="6" t="str">
        <f t="shared" si="9"/>
        <v>No</v>
      </c>
      <c r="AJ287" s="6" t="s">
        <v>941</v>
      </c>
      <c r="AK287" s="6" t="s">
        <v>121</v>
      </c>
      <c r="AL287" s="6">
        <f>MATCH(AA287,{"Low","Medium","High"},0)*MATCH(AB287,{"Low","Medium","High"},0)*INDEX({3,2,2,1,1},MATCH(X287,{"Core","Vertical extension","Differentiator","Future","Adjacent"},0))</f>
        <v>27</v>
      </c>
      <c r="AM287" s="5"/>
      <c r="AN287" s="5"/>
      <c r="AO287" s="5"/>
      <c r="AP287" s="5"/>
      <c r="AQ287" s="5"/>
      <c r="AR287" s="5"/>
      <c r="AS287" s="5"/>
      <c r="AT287" s="5"/>
      <c r="AU287" s="6" t="s">
        <v>927</v>
      </c>
      <c r="AV287" s="6" t="s">
        <v>2161</v>
      </c>
      <c r="AW287" s="6" t="s">
        <v>2161</v>
      </c>
      <c r="AX287" s="6" t="s">
        <v>929</v>
      </c>
      <c r="AY287" s="6" t="s">
        <v>930</v>
      </c>
      <c r="AZ287" s="6"/>
      <c r="BA287" s="6" t="s">
        <v>942</v>
      </c>
      <c r="BB287" s="6" t="s">
        <v>943</v>
      </c>
      <c r="BC287" s="6" t="s">
        <v>97</v>
      </c>
      <c r="BD287" s="6" t="s">
        <v>97</v>
      </c>
    </row>
    <row r="288" spans="1:56" ht="32" customHeight="1" x14ac:dyDescent="0.35">
      <c r="A288" s="13" t="s">
        <v>2685</v>
      </c>
      <c r="B288" s="6" t="s">
        <v>2114</v>
      </c>
      <c r="C288" s="5" t="s">
        <v>2115</v>
      </c>
      <c r="D288" s="5" t="s">
        <v>825</v>
      </c>
      <c r="E288" s="5" t="s">
        <v>2686</v>
      </c>
      <c r="F288" s="5" t="s">
        <v>2171</v>
      </c>
      <c r="G288" s="5" t="s">
        <v>1452</v>
      </c>
      <c r="H288" s="5" t="s">
        <v>2687</v>
      </c>
      <c r="I288" s="5" t="s">
        <v>2688</v>
      </c>
      <c r="J288" s="17" t="s">
        <v>121</v>
      </c>
      <c r="K288" s="17" t="s">
        <v>181</v>
      </c>
      <c r="L288" s="5" t="s">
        <v>2689</v>
      </c>
      <c r="M288" s="6" t="s">
        <v>197</v>
      </c>
      <c r="N288" s="6" t="s">
        <v>812</v>
      </c>
      <c r="O288" s="6" t="s">
        <v>121</v>
      </c>
      <c r="P288" s="5" t="s">
        <v>999</v>
      </c>
      <c r="Q288" s="17" t="s">
        <v>182</v>
      </c>
      <c r="R288" s="5" t="s">
        <v>999</v>
      </c>
      <c r="S288" s="6" t="s">
        <v>1053</v>
      </c>
      <c r="T288" s="5" t="s">
        <v>1054</v>
      </c>
      <c r="U288" s="6"/>
      <c r="V288" s="6" t="s">
        <v>1055</v>
      </c>
      <c r="W288" s="6" t="s">
        <v>333</v>
      </c>
      <c r="X288" s="5" t="s">
        <v>922</v>
      </c>
      <c r="Y288" s="5" t="s">
        <v>812</v>
      </c>
      <c r="Z288" s="5" t="str">
        <f t="shared" si="8"/>
        <v>Critical</v>
      </c>
      <c r="AA288" s="5" t="s">
        <v>923</v>
      </c>
      <c r="AB288" s="6" t="s">
        <v>923</v>
      </c>
      <c r="AC288" s="6" t="s">
        <v>103</v>
      </c>
      <c r="AD288" s="5" t="s">
        <v>925</v>
      </c>
      <c r="AE288" s="5" t="s">
        <v>354</v>
      </c>
      <c r="AF288" s="5" t="s">
        <v>354</v>
      </c>
      <c r="AG288" s="5" t="s">
        <v>354</v>
      </c>
      <c r="AH288" s="5" t="s">
        <v>354</v>
      </c>
      <c r="AI288" s="6" t="str">
        <f t="shared" si="9"/>
        <v>No</v>
      </c>
      <c r="AJ288" s="6" t="s">
        <v>926</v>
      </c>
      <c r="AK288" s="6" t="s">
        <v>121</v>
      </c>
      <c r="AL288" s="6">
        <f>MATCH(AA288,{"Low","Medium","High"},0)*MATCH(AB288,{"Low","Medium","High"},0)*INDEX({3,2,2,1,1},MATCH(X288,{"Core","Vertical extension","Differentiator","Future","Adjacent"},0))</f>
        <v>27</v>
      </c>
      <c r="AM288" s="5"/>
      <c r="AN288" s="5"/>
      <c r="AO288" s="5"/>
      <c r="AP288" s="5"/>
      <c r="AQ288" s="5"/>
      <c r="AR288" s="5"/>
      <c r="AS288" s="5"/>
      <c r="AT288" s="5"/>
      <c r="AU288" s="6" t="s">
        <v>927</v>
      </c>
      <c r="AV288" s="6" t="s">
        <v>2161</v>
      </c>
      <c r="AW288" s="6" t="s">
        <v>2161</v>
      </c>
      <c r="AX288" s="6" t="s">
        <v>1003</v>
      </c>
      <c r="AY288" s="6" t="s">
        <v>930</v>
      </c>
      <c r="AZ288" s="6"/>
      <c r="BA288" s="6"/>
      <c r="BB288" s="6"/>
      <c r="BC288" s="6" t="s">
        <v>97</v>
      </c>
      <c r="BD288" s="6" t="s">
        <v>97</v>
      </c>
    </row>
    <row r="289" spans="1:56" ht="32" customHeight="1" x14ac:dyDescent="0.35">
      <c r="A289" s="13" t="s">
        <v>2690</v>
      </c>
      <c r="B289" s="6" t="s">
        <v>2114</v>
      </c>
      <c r="C289" s="5" t="s">
        <v>2115</v>
      </c>
      <c r="D289" s="5" t="s">
        <v>825</v>
      </c>
      <c r="E289" s="5" t="s">
        <v>2691</v>
      </c>
      <c r="F289" s="5" t="s">
        <v>2171</v>
      </c>
      <c r="G289" s="5" t="s">
        <v>1452</v>
      </c>
      <c r="H289" s="5" t="s">
        <v>2692</v>
      </c>
      <c r="I289" s="5" t="s">
        <v>2693</v>
      </c>
      <c r="J289" s="17" t="s">
        <v>121</v>
      </c>
      <c r="K289" s="17" t="s">
        <v>181</v>
      </c>
      <c r="L289" s="5" t="s">
        <v>2694</v>
      </c>
      <c r="M289" s="6" t="s">
        <v>197</v>
      </c>
      <c r="N289" s="6" t="s">
        <v>812</v>
      </c>
      <c r="O289" s="6" t="s">
        <v>121</v>
      </c>
      <c r="P289" s="5" t="s">
        <v>918</v>
      </c>
      <c r="Q289" s="17" t="s">
        <v>182</v>
      </c>
      <c r="R289" s="5"/>
      <c r="S289" s="6" t="s">
        <v>1053</v>
      </c>
      <c r="T289" s="5" t="s">
        <v>1054</v>
      </c>
      <c r="U289" s="6"/>
      <c r="V289" s="6" t="s">
        <v>1055</v>
      </c>
      <c r="W289" s="6" t="s">
        <v>333</v>
      </c>
      <c r="X289" s="5" t="s">
        <v>922</v>
      </c>
      <c r="Y289" s="5" t="s">
        <v>812</v>
      </c>
      <c r="Z289" s="5" t="str">
        <f t="shared" si="8"/>
        <v>Critical</v>
      </c>
      <c r="AA289" s="5" t="s">
        <v>923</v>
      </c>
      <c r="AB289" s="6" t="s">
        <v>923</v>
      </c>
      <c r="AC289" s="6" t="s">
        <v>103</v>
      </c>
      <c r="AD289" s="5" t="s">
        <v>925</v>
      </c>
      <c r="AE289" s="5" t="s">
        <v>354</v>
      </c>
      <c r="AF289" s="5" t="s">
        <v>354</v>
      </c>
      <c r="AG289" s="5" t="s">
        <v>354</v>
      </c>
      <c r="AH289" s="5" t="s">
        <v>354</v>
      </c>
      <c r="AI289" s="6" t="str">
        <f t="shared" si="9"/>
        <v>No</v>
      </c>
      <c r="AJ289" s="6" t="s">
        <v>926</v>
      </c>
      <c r="AK289" s="6" t="s">
        <v>121</v>
      </c>
      <c r="AL289" s="6">
        <f>MATCH(AA289,{"Low","Medium","High"},0)*MATCH(AB289,{"Low","Medium","High"},0)*INDEX({3,2,2,1,1},MATCH(X289,{"Core","Vertical extension","Differentiator","Future","Adjacent"},0))</f>
        <v>27</v>
      </c>
      <c r="AM289" s="5"/>
      <c r="AN289" s="5"/>
      <c r="AO289" s="5"/>
      <c r="AP289" s="5"/>
      <c r="AQ289" s="5"/>
      <c r="AR289" s="5"/>
      <c r="AS289" s="5"/>
      <c r="AT289" s="5"/>
      <c r="AU289" s="6" t="s">
        <v>927</v>
      </c>
      <c r="AV289" s="6" t="s">
        <v>2161</v>
      </c>
      <c r="AW289" s="6" t="s">
        <v>2161</v>
      </c>
      <c r="AX289" s="6" t="s">
        <v>929</v>
      </c>
      <c r="AY289" s="6" t="s">
        <v>930</v>
      </c>
      <c r="AZ289" s="6"/>
      <c r="BA289" s="6"/>
      <c r="BB289" s="6"/>
      <c r="BC289" s="6" t="s">
        <v>97</v>
      </c>
      <c r="BD289" s="6" t="s">
        <v>97</v>
      </c>
    </row>
    <row r="290" spans="1:56" ht="32" customHeight="1" x14ac:dyDescent="0.35">
      <c r="A290" s="13" t="s">
        <v>2695</v>
      </c>
      <c r="B290" s="6" t="s">
        <v>2114</v>
      </c>
      <c r="C290" s="5" t="s">
        <v>2115</v>
      </c>
      <c r="D290" s="5" t="s">
        <v>825</v>
      </c>
      <c r="E290" s="5" t="s">
        <v>2696</v>
      </c>
      <c r="F290" s="5" t="s">
        <v>2171</v>
      </c>
      <c r="G290" s="5" t="s">
        <v>1452</v>
      </c>
      <c r="H290" s="5" t="s">
        <v>2697</v>
      </c>
      <c r="I290" s="5" t="s">
        <v>2698</v>
      </c>
      <c r="J290" s="17" t="s">
        <v>121</v>
      </c>
      <c r="K290" s="17" t="s">
        <v>181</v>
      </c>
      <c r="L290" s="5" t="s">
        <v>2699</v>
      </c>
      <c r="M290" s="6" t="s">
        <v>197</v>
      </c>
      <c r="N290" s="6" t="s">
        <v>812</v>
      </c>
      <c r="O290" s="6" t="s">
        <v>121</v>
      </c>
      <c r="P290" s="5" t="s">
        <v>918</v>
      </c>
      <c r="Q290" s="18" t="s">
        <v>186</v>
      </c>
      <c r="R290" s="5" t="s">
        <v>2231</v>
      </c>
      <c r="S290" s="6" t="s">
        <v>1053</v>
      </c>
      <c r="T290" s="5" t="s">
        <v>1054</v>
      </c>
      <c r="U290" s="6"/>
      <c r="V290" s="6" t="s">
        <v>1055</v>
      </c>
      <c r="W290" s="6" t="s">
        <v>333</v>
      </c>
      <c r="X290" s="5" t="s">
        <v>922</v>
      </c>
      <c r="Y290" s="5" t="s">
        <v>812</v>
      </c>
      <c r="Z290" s="5" t="str">
        <f t="shared" si="8"/>
        <v>Critical</v>
      </c>
      <c r="AA290" s="5" t="s">
        <v>923</v>
      </c>
      <c r="AB290" s="6" t="s">
        <v>923</v>
      </c>
      <c r="AC290" s="6" t="s">
        <v>103</v>
      </c>
      <c r="AD290" s="5" t="s">
        <v>940</v>
      </c>
      <c r="AE290" s="5" t="s">
        <v>354</v>
      </c>
      <c r="AF290" s="5" t="s">
        <v>354</v>
      </c>
      <c r="AG290" s="5" t="s">
        <v>354</v>
      </c>
      <c r="AH290" s="5" t="s">
        <v>354</v>
      </c>
      <c r="AI290" s="6" t="str">
        <f t="shared" si="9"/>
        <v>No</v>
      </c>
      <c r="AJ290" s="6" t="s">
        <v>941</v>
      </c>
      <c r="AK290" s="6" t="s">
        <v>121</v>
      </c>
      <c r="AL290" s="6">
        <f>MATCH(AA290,{"Low","Medium","High"},0)*MATCH(AB290,{"Low","Medium","High"},0)*INDEX({3,2,2,1,1},MATCH(X290,{"Core","Vertical extension","Differentiator","Future","Adjacent"},0))</f>
        <v>27</v>
      </c>
      <c r="AM290" s="5"/>
      <c r="AN290" s="5"/>
      <c r="AO290" s="5"/>
      <c r="AP290" s="5"/>
      <c r="AQ290" s="5"/>
      <c r="AR290" s="5"/>
      <c r="AS290" s="5"/>
      <c r="AT290" s="5"/>
      <c r="AU290" s="6" t="s">
        <v>927</v>
      </c>
      <c r="AV290" s="6" t="s">
        <v>2161</v>
      </c>
      <c r="AW290" s="6" t="s">
        <v>2161</v>
      </c>
      <c r="AX290" s="6" t="s">
        <v>929</v>
      </c>
      <c r="AY290" s="6" t="s">
        <v>930</v>
      </c>
      <c r="AZ290" s="6" t="s">
        <v>2700</v>
      </c>
      <c r="BA290" s="6" t="s">
        <v>2701</v>
      </c>
      <c r="BB290" s="6" t="s">
        <v>2233</v>
      </c>
      <c r="BC290" s="6" t="s">
        <v>97</v>
      </c>
      <c r="BD290" s="6" t="s">
        <v>97</v>
      </c>
    </row>
    <row r="291" spans="1:56" ht="32" customHeight="1" x14ac:dyDescent="0.35">
      <c r="A291" s="13" t="s">
        <v>2702</v>
      </c>
      <c r="B291" s="6" t="s">
        <v>2114</v>
      </c>
      <c r="C291" s="5" t="s">
        <v>2115</v>
      </c>
      <c r="D291" s="5" t="s">
        <v>825</v>
      </c>
      <c r="E291" s="5" t="s">
        <v>2703</v>
      </c>
      <c r="F291" s="5" t="s">
        <v>2171</v>
      </c>
      <c r="G291" s="5" t="s">
        <v>1452</v>
      </c>
      <c r="H291" s="5" t="s">
        <v>2704</v>
      </c>
      <c r="I291" s="5" t="s">
        <v>2705</v>
      </c>
      <c r="J291" s="17" t="s">
        <v>121</v>
      </c>
      <c r="K291" s="17" t="s">
        <v>181</v>
      </c>
      <c r="L291" s="5" t="s">
        <v>2706</v>
      </c>
      <c r="M291" s="6" t="s">
        <v>197</v>
      </c>
      <c r="N291" s="6" t="s">
        <v>812</v>
      </c>
      <c r="O291" s="6" t="s">
        <v>121</v>
      </c>
      <c r="P291" s="5" t="s">
        <v>918</v>
      </c>
      <c r="Q291" s="18" t="s">
        <v>186</v>
      </c>
      <c r="R291" s="5" t="s">
        <v>2707</v>
      </c>
      <c r="S291" s="6" t="s">
        <v>1053</v>
      </c>
      <c r="T291" s="5" t="s">
        <v>1054</v>
      </c>
      <c r="U291" s="6"/>
      <c r="V291" s="6" t="s">
        <v>1055</v>
      </c>
      <c r="W291" s="6" t="s">
        <v>333</v>
      </c>
      <c r="X291" s="5" t="s">
        <v>922</v>
      </c>
      <c r="Y291" s="5" t="s">
        <v>812</v>
      </c>
      <c r="Z291" s="5" t="str">
        <f t="shared" si="8"/>
        <v>Critical</v>
      </c>
      <c r="AA291" s="5" t="s">
        <v>923</v>
      </c>
      <c r="AB291" s="6" t="s">
        <v>923</v>
      </c>
      <c r="AC291" s="6" t="s">
        <v>103</v>
      </c>
      <c r="AD291" s="5" t="s">
        <v>940</v>
      </c>
      <c r="AE291" s="5" t="s">
        <v>354</v>
      </c>
      <c r="AF291" s="5" t="s">
        <v>354</v>
      </c>
      <c r="AG291" s="5" t="s">
        <v>354</v>
      </c>
      <c r="AH291" s="5" t="s">
        <v>354</v>
      </c>
      <c r="AI291" s="6" t="str">
        <f t="shared" si="9"/>
        <v>No</v>
      </c>
      <c r="AJ291" s="6" t="s">
        <v>941</v>
      </c>
      <c r="AK291" s="6" t="s">
        <v>121</v>
      </c>
      <c r="AL291" s="6">
        <f>MATCH(AA291,{"Low","Medium","High"},0)*MATCH(AB291,{"Low","Medium","High"},0)*INDEX({3,2,2,1,1},MATCH(X291,{"Core","Vertical extension","Differentiator","Future","Adjacent"},0))</f>
        <v>27</v>
      </c>
      <c r="AM291" s="5"/>
      <c r="AN291" s="5"/>
      <c r="AO291" s="5"/>
      <c r="AP291" s="5"/>
      <c r="AQ291" s="5"/>
      <c r="AR291" s="5"/>
      <c r="AS291" s="5"/>
      <c r="AT291" s="5"/>
      <c r="AU291" s="6" t="s">
        <v>927</v>
      </c>
      <c r="AV291" s="6" t="s">
        <v>2161</v>
      </c>
      <c r="AW291" s="6" t="s">
        <v>2161</v>
      </c>
      <c r="AX291" s="6" t="s">
        <v>929</v>
      </c>
      <c r="AY291" s="6" t="s">
        <v>930</v>
      </c>
      <c r="AZ291" s="6" t="s">
        <v>2708</v>
      </c>
      <c r="BA291" s="6" t="s">
        <v>2709</v>
      </c>
      <c r="BB291" s="6" t="s">
        <v>2710</v>
      </c>
      <c r="BC291" s="6" t="s">
        <v>97</v>
      </c>
      <c r="BD291" s="6" t="s">
        <v>97</v>
      </c>
    </row>
    <row r="292" spans="1:56" ht="32" customHeight="1" x14ac:dyDescent="0.35">
      <c r="A292" s="13" t="s">
        <v>2711</v>
      </c>
      <c r="B292" s="6" t="s">
        <v>2114</v>
      </c>
      <c r="C292" s="5" t="s">
        <v>2115</v>
      </c>
      <c r="D292" s="5" t="s">
        <v>825</v>
      </c>
      <c r="E292" s="5" t="s">
        <v>2712</v>
      </c>
      <c r="F292" s="5" t="s">
        <v>1452</v>
      </c>
      <c r="G292" s="5" t="s">
        <v>1453</v>
      </c>
      <c r="H292" s="5" t="s">
        <v>2713</v>
      </c>
      <c r="I292" s="5" t="s">
        <v>2714</v>
      </c>
      <c r="J292" s="17" t="s">
        <v>121</v>
      </c>
      <c r="K292" s="17" t="s">
        <v>181</v>
      </c>
      <c r="L292" s="5" t="s">
        <v>2715</v>
      </c>
      <c r="M292" s="6" t="s">
        <v>197</v>
      </c>
      <c r="N292" s="6" t="s">
        <v>812</v>
      </c>
      <c r="O292" s="6" t="s">
        <v>121</v>
      </c>
      <c r="P292" s="5" t="s">
        <v>918</v>
      </c>
      <c r="Q292" s="17" t="s">
        <v>182</v>
      </c>
      <c r="R292" s="5"/>
      <c r="S292" s="6" t="s">
        <v>1053</v>
      </c>
      <c r="T292" s="5" t="s">
        <v>1054</v>
      </c>
      <c r="U292" s="6"/>
      <c r="V292" s="6" t="s">
        <v>1055</v>
      </c>
      <c r="W292" s="6" t="s">
        <v>333</v>
      </c>
      <c r="X292" s="5" t="s">
        <v>922</v>
      </c>
      <c r="Y292" s="5" t="s">
        <v>812</v>
      </c>
      <c r="Z292" s="5" t="str">
        <f t="shared" si="8"/>
        <v>Critical</v>
      </c>
      <c r="AA292" s="5" t="s">
        <v>923</v>
      </c>
      <c r="AB292" s="6" t="s">
        <v>923</v>
      </c>
      <c r="AC292" s="6" t="s">
        <v>103</v>
      </c>
      <c r="AD292" s="5" t="s">
        <v>925</v>
      </c>
      <c r="AE292" s="5" t="s">
        <v>354</v>
      </c>
      <c r="AF292" s="5" t="s">
        <v>354</v>
      </c>
      <c r="AG292" s="5" t="s">
        <v>354</v>
      </c>
      <c r="AH292" s="5" t="s">
        <v>354</v>
      </c>
      <c r="AI292" s="6" t="str">
        <f t="shared" si="9"/>
        <v>No</v>
      </c>
      <c r="AJ292" s="6" t="s">
        <v>926</v>
      </c>
      <c r="AK292" s="6" t="s">
        <v>121</v>
      </c>
      <c r="AL292" s="6">
        <f>MATCH(AA292,{"Low","Medium","High"},0)*MATCH(AB292,{"Low","Medium","High"},0)*INDEX({3,2,2,1,1},MATCH(X292,{"Core","Vertical extension","Differentiator","Future","Adjacent"},0))</f>
        <v>27</v>
      </c>
      <c r="AM292" s="5"/>
      <c r="AN292" s="5"/>
      <c r="AO292" s="5"/>
      <c r="AP292" s="5"/>
      <c r="AQ292" s="5"/>
      <c r="AR292" s="5"/>
      <c r="AS292" s="5"/>
      <c r="AT292" s="5"/>
      <c r="AU292" s="6" t="s">
        <v>927</v>
      </c>
      <c r="AV292" s="6" t="s">
        <v>55</v>
      </c>
      <c r="AW292" s="6" t="s">
        <v>55</v>
      </c>
      <c r="AX292" s="6" t="s">
        <v>929</v>
      </c>
      <c r="AY292" s="6" t="s">
        <v>930</v>
      </c>
      <c r="AZ292" s="6"/>
      <c r="BA292" s="6"/>
      <c r="BB292" s="6"/>
      <c r="BC292" s="6" t="s">
        <v>97</v>
      </c>
      <c r="BD292" s="6" t="s">
        <v>97</v>
      </c>
    </row>
    <row r="293" spans="1:56" ht="32" customHeight="1" x14ac:dyDescent="0.35">
      <c r="A293" s="13" t="s">
        <v>2716</v>
      </c>
      <c r="B293" s="6" t="s">
        <v>2114</v>
      </c>
      <c r="C293" s="5" t="s">
        <v>2115</v>
      </c>
      <c r="D293" s="5" t="s">
        <v>825</v>
      </c>
      <c r="E293" s="5" t="s">
        <v>2717</v>
      </c>
      <c r="F293" s="5" t="s">
        <v>1452</v>
      </c>
      <c r="G293" s="5" t="s">
        <v>2718</v>
      </c>
      <c r="H293" s="5" t="s">
        <v>2719</v>
      </c>
      <c r="I293" s="5" t="s">
        <v>2720</v>
      </c>
      <c r="J293" s="17" t="s">
        <v>121</v>
      </c>
      <c r="K293" s="17" t="s">
        <v>181</v>
      </c>
      <c r="L293" s="5" t="s">
        <v>2721</v>
      </c>
      <c r="M293" s="6" t="s">
        <v>197</v>
      </c>
      <c r="N293" s="6" t="s">
        <v>812</v>
      </c>
      <c r="O293" s="6" t="s">
        <v>121</v>
      </c>
      <c r="P293" s="5" t="s">
        <v>918</v>
      </c>
      <c r="Q293" s="17" t="s">
        <v>182</v>
      </c>
      <c r="R293" s="5"/>
      <c r="S293" s="6" t="s">
        <v>1053</v>
      </c>
      <c r="T293" s="5" t="s">
        <v>1054</v>
      </c>
      <c r="U293" s="6"/>
      <c r="V293" s="6" t="s">
        <v>1055</v>
      </c>
      <c r="W293" s="6" t="s">
        <v>333</v>
      </c>
      <c r="X293" s="5" t="s">
        <v>922</v>
      </c>
      <c r="Y293" s="5" t="s">
        <v>812</v>
      </c>
      <c r="Z293" s="5" t="str">
        <f t="shared" si="8"/>
        <v>Critical</v>
      </c>
      <c r="AA293" s="5" t="s">
        <v>923</v>
      </c>
      <c r="AB293" s="6" t="s">
        <v>923</v>
      </c>
      <c r="AC293" s="6" t="s">
        <v>103</v>
      </c>
      <c r="AD293" s="5" t="s">
        <v>925</v>
      </c>
      <c r="AE293" s="5" t="s">
        <v>354</v>
      </c>
      <c r="AF293" s="5" t="s">
        <v>354</v>
      </c>
      <c r="AG293" s="5" t="s">
        <v>354</v>
      </c>
      <c r="AH293" s="5" t="s">
        <v>354</v>
      </c>
      <c r="AI293" s="6" t="str">
        <f t="shared" si="9"/>
        <v>No</v>
      </c>
      <c r="AJ293" s="6" t="s">
        <v>926</v>
      </c>
      <c r="AK293" s="6" t="s">
        <v>121</v>
      </c>
      <c r="AL293" s="6">
        <f>MATCH(AA293,{"Low","Medium","High"},0)*MATCH(AB293,{"Low","Medium","High"},0)*INDEX({3,2,2,1,1},MATCH(X293,{"Core","Vertical extension","Differentiator","Future","Adjacent"},0))</f>
        <v>27</v>
      </c>
      <c r="AM293" s="5"/>
      <c r="AN293" s="5"/>
      <c r="AO293" s="5"/>
      <c r="AP293" s="5"/>
      <c r="AQ293" s="5"/>
      <c r="AR293" s="5"/>
      <c r="AS293" s="5"/>
      <c r="AT293" s="5"/>
      <c r="AU293" s="6" t="s">
        <v>927</v>
      </c>
      <c r="AV293" s="6" t="s">
        <v>55</v>
      </c>
      <c r="AW293" s="6" t="s">
        <v>55</v>
      </c>
      <c r="AX293" s="6" t="s">
        <v>929</v>
      </c>
      <c r="AY293" s="6" t="s">
        <v>930</v>
      </c>
      <c r="AZ293" s="6"/>
      <c r="BA293" s="6"/>
      <c r="BB293" s="6"/>
      <c r="BC293" s="6" t="s">
        <v>97</v>
      </c>
      <c r="BD293" s="6" t="s">
        <v>97</v>
      </c>
    </row>
    <row r="294" spans="1:56" ht="32" customHeight="1" x14ac:dyDescent="0.35">
      <c r="A294" s="13" t="s">
        <v>2722</v>
      </c>
      <c r="B294" s="6" t="s">
        <v>2114</v>
      </c>
      <c r="C294" s="5" t="s">
        <v>2115</v>
      </c>
      <c r="D294" s="5" t="s">
        <v>825</v>
      </c>
      <c r="E294" s="5" t="s">
        <v>2723</v>
      </c>
      <c r="F294" s="5" t="s">
        <v>1452</v>
      </c>
      <c r="G294" s="5" t="s">
        <v>2718</v>
      </c>
      <c r="H294" s="5" t="s">
        <v>2724</v>
      </c>
      <c r="I294" s="5" t="s">
        <v>2725</v>
      </c>
      <c r="J294" s="17" t="s">
        <v>121</v>
      </c>
      <c r="K294" s="17" t="s">
        <v>181</v>
      </c>
      <c r="L294" s="5" t="s">
        <v>2726</v>
      </c>
      <c r="M294" s="6" t="s">
        <v>197</v>
      </c>
      <c r="N294" s="6" t="s">
        <v>812</v>
      </c>
      <c r="O294" s="6" t="s">
        <v>121</v>
      </c>
      <c r="P294" s="5" t="s">
        <v>918</v>
      </c>
      <c r="Q294" s="17" t="s">
        <v>182</v>
      </c>
      <c r="R294" s="5"/>
      <c r="S294" s="6" t="s">
        <v>1053</v>
      </c>
      <c r="T294" s="5" t="s">
        <v>1054</v>
      </c>
      <c r="U294" s="6"/>
      <c r="V294" s="6" t="s">
        <v>1055</v>
      </c>
      <c r="W294" s="6" t="s">
        <v>333</v>
      </c>
      <c r="X294" s="5" t="s">
        <v>922</v>
      </c>
      <c r="Y294" s="5" t="s">
        <v>812</v>
      </c>
      <c r="Z294" s="5" t="str">
        <f t="shared" si="8"/>
        <v>Critical</v>
      </c>
      <c r="AA294" s="5" t="s">
        <v>923</v>
      </c>
      <c r="AB294" s="6" t="s">
        <v>923</v>
      </c>
      <c r="AC294" s="6" t="s">
        <v>103</v>
      </c>
      <c r="AD294" s="5" t="s">
        <v>925</v>
      </c>
      <c r="AE294" s="5" t="s">
        <v>354</v>
      </c>
      <c r="AF294" s="5" t="s">
        <v>354</v>
      </c>
      <c r="AG294" s="5" t="s">
        <v>354</v>
      </c>
      <c r="AH294" s="5" t="s">
        <v>354</v>
      </c>
      <c r="AI294" s="6" t="str">
        <f t="shared" si="9"/>
        <v>No</v>
      </c>
      <c r="AJ294" s="6" t="s">
        <v>926</v>
      </c>
      <c r="AK294" s="6" t="s">
        <v>121</v>
      </c>
      <c r="AL294" s="6">
        <f>MATCH(AA294,{"Low","Medium","High"},0)*MATCH(AB294,{"Low","Medium","High"},0)*INDEX({3,2,2,1,1},MATCH(X294,{"Core","Vertical extension","Differentiator","Future","Adjacent"},0))</f>
        <v>27</v>
      </c>
      <c r="AM294" s="5"/>
      <c r="AN294" s="5"/>
      <c r="AO294" s="5"/>
      <c r="AP294" s="5"/>
      <c r="AQ294" s="5"/>
      <c r="AR294" s="5"/>
      <c r="AS294" s="5"/>
      <c r="AT294" s="5"/>
      <c r="AU294" s="6" t="s">
        <v>927</v>
      </c>
      <c r="AV294" s="6" t="s">
        <v>55</v>
      </c>
      <c r="AW294" s="6" t="s">
        <v>55</v>
      </c>
      <c r="AX294" s="6" t="s">
        <v>929</v>
      </c>
      <c r="AY294" s="6" t="s">
        <v>930</v>
      </c>
      <c r="AZ294" s="6"/>
      <c r="BA294" s="6"/>
      <c r="BB294" s="6"/>
      <c r="BC294" s="6" t="s">
        <v>97</v>
      </c>
      <c r="BD294" s="6" t="s">
        <v>97</v>
      </c>
    </row>
    <row r="295" spans="1:56" ht="32" customHeight="1" x14ac:dyDescent="0.35">
      <c r="A295" s="13" t="s">
        <v>2727</v>
      </c>
      <c r="B295" s="6" t="s">
        <v>2114</v>
      </c>
      <c r="C295" s="5" t="s">
        <v>2115</v>
      </c>
      <c r="D295" s="5" t="s">
        <v>825</v>
      </c>
      <c r="E295" s="5" t="s">
        <v>2728</v>
      </c>
      <c r="F295" s="5" t="s">
        <v>1452</v>
      </c>
      <c r="G295" s="5" t="s">
        <v>1101</v>
      </c>
      <c r="H295" s="5" t="s">
        <v>2729</v>
      </c>
      <c r="I295" s="5" t="s">
        <v>2730</v>
      </c>
      <c r="J295" s="17" t="s">
        <v>121</v>
      </c>
      <c r="K295" s="17" t="s">
        <v>181</v>
      </c>
      <c r="L295" s="5" t="s">
        <v>2731</v>
      </c>
      <c r="M295" s="6" t="s">
        <v>197</v>
      </c>
      <c r="N295" s="6" t="s">
        <v>812</v>
      </c>
      <c r="O295" s="6" t="s">
        <v>121</v>
      </c>
      <c r="P295" s="5" t="s">
        <v>918</v>
      </c>
      <c r="Q295" s="17" t="s">
        <v>182</v>
      </c>
      <c r="R295" s="5"/>
      <c r="S295" s="6" t="s">
        <v>1053</v>
      </c>
      <c r="T295" s="5" t="s">
        <v>1054</v>
      </c>
      <c r="U295" s="6"/>
      <c r="V295" s="6" t="s">
        <v>1055</v>
      </c>
      <c r="W295" s="6" t="s">
        <v>333</v>
      </c>
      <c r="X295" s="5" t="s">
        <v>922</v>
      </c>
      <c r="Y295" s="5" t="s">
        <v>812</v>
      </c>
      <c r="Z295" s="5" t="str">
        <f t="shared" si="8"/>
        <v>Critical</v>
      </c>
      <c r="AA295" s="5" t="s">
        <v>923</v>
      </c>
      <c r="AB295" s="6" t="s">
        <v>923</v>
      </c>
      <c r="AC295" s="6" t="s">
        <v>103</v>
      </c>
      <c r="AD295" s="5" t="s">
        <v>925</v>
      </c>
      <c r="AE295" s="5" t="s">
        <v>354</v>
      </c>
      <c r="AF295" s="5" t="s">
        <v>354</v>
      </c>
      <c r="AG295" s="5" t="s">
        <v>354</v>
      </c>
      <c r="AH295" s="5" t="s">
        <v>354</v>
      </c>
      <c r="AI295" s="6" t="str">
        <f t="shared" si="9"/>
        <v>No</v>
      </c>
      <c r="AJ295" s="6" t="s">
        <v>926</v>
      </c>
      <c r="AK295" s="6" t="s">
        <v>121</v>
      </c>
      <c r="AL295" s="6">
        <f>MATCH(AA295,{"Low","Medium","High"},0)*MATCH(AB295,{"Low","Medium","High"},0)*INDEX({3,2,2,1,1},MATCH(X295,{"Core","Vertical extension","Differentiator","Future","Adjacent"},0))</f>
        <v>27</v>
      </c>
      <c r="AM295" s="5"/>
      <c r="AN295" s="5"/>
      <c r="AO295" s="5"/>
      <c r="AP295" s="5"/>
      <c r="AQ295" s="5"/>
      <c r="AR295" s="5"/>
      <c r="AS295" s="5"/>
      <c r="AT295" s="5"/>
      <c r="AU295" s="6" t="s">
        <v>927</v>
      </c>
      <c r="AV295" s="6" t="s">
        <v>55</v>
      </c>
      <c r="AW295" s="6" t="s">
        <v>55</v>
      </c>
      <c r="AX295" s="6" t="s">
        <v>929</v>
      </c>
      <c r="AY295" s="6" t="s">
        <v>930</v>
      </c>
      <c r="AZ295" s="6"/>
      <c r="BA295" s="6"/>
      <c r="BB295" s="6"/>
      <c r="BC295" s="6" t="s">
        <v>97</v>
      </c>
      <c r="BD295" s="6" t="s">
        <v>97</v>
      </c>
    </row>
    <row r="296" spans="1:56" ht="32" customHeight="1" x14ac:dyDescent="0.35">
      <c r="A296" s="13" t="s">
        <v>2732</v>
      </c>
      <c r="B296" s="6" t="s">
        <v>2114</v>
      </c>
      <c r="C296" s="5" t="s">
        <v>2115</v>
      </c>
      <c r="D296" s="5" t="s">
        <v>825</v>
      </c>
      <c r="E296" s="5" t="s">
        <v>2733</v>
      </c>
      <c r="F296" s="5" t="s">
        <v>2171</v>
      </c>
      <c r="G296" s="5" t="s">
        <v>1452</v>
      </c>
      <c r="H296" s="5" t="s">
        <v>2734</v>
      </c>
      <c r="I296" s="5" t="s">
        <v>2735</v>
      </c>
      <c r="J296" s="17" t="s">
        <v>121</v>
      </c>
      <c r="K296" s="17" t="s">
        <v>181</v>
      </c>
      <c r="L296" s="5" t="s">
        <v>2736</v>
      </c>
      <c r="M296" s="6" t="s">
        <v>197</v>
      </c>
      <c r="N296" s="6" t="s">
        <v>812</v>
      </c>
      <c r="O296" s="6" t="s">
        <v>121</v>
      </c>
      <c r="P296" s="5" t="s">
        <v>918</v>
      </c>
      <c r="Q296" s="17" t="s">
        <v>182</v>
      </c>
      <c r="R296" s="5"/>
      <c r="S296" s="6" t="s">
        <v>1053</v>
      </c>
      <c r="T296" s="5" t="s">
        <v>1054</v>
      </c>
      <c r="U296" s="6"/>
      <c r="V296" s="6" t="s">
        <v>1055</v>
      </c>
      <c r="W296" s="6" t="s">
        <v>333</v>
      </c>
      <c r="X296" s="5" t="s">
        <v>922</v>
      </c>
      <c r="Y296" s="5" t="s">
        <v>812</v>
      </c>
      <c r="Z296" s="5" t="str">
        <f t="shared" si="8"/>
        <v>Critical</v>
      </c>
      <c r="AA296" s="5" t="s">
        <v>923</v>
      </c>
      <c r="AB296" s="6" t="s">
        <v>923</v>
      </c>
      <c r="AC296" s="6" t="s">
        <v>103</v>
      </c>
      <c r="AD296" s="5" t="s">
        <v>925</v>
      </c>
      <c r="AE296" s="5" t="s">
        <v>354</v>
      </c>
      <c r="AF296" s="5" t="s">
        <v>354</v>
      </c>
      <c r="AG296" s="5" t="s">
        <v>354</v>
      </c>
      <c r="AH296" s="5" t="s">
        <v>354</v>
      </c>
      <c r="AI296" s="6" t="str">
        <f t="shared" si="9"/>
        <v>No</v>
      </c>
      <c r="AJ296" s="6" t="s">
        <v>926</v>
      </c>
      <c r="AK296" s="6" t="s">
        <v>121</v>
      </c>
      <c r="AL296" s="6">
        <f>MATCH(AA296,{"Low","Medium","High"},0)*MATCH(AB296,{"Low","Medium","High"},0)*INDEX({3,2,2,1,1},MATCH(X296,{"Core","Vertical extension","Differentiator","Future","Adjacent"},0))</f>
        <v>27</v>
      </c>
      <c r="AM296" s="5"/>
      <c r="AN296" s="5"/>
      <c r="AO296" s="5"/>
      <c r="AP296" s="5"/>
      <c r="AQ296" s="5"/>
      <c r="AR296" s="5"/>
      <c r="AS296" s="5"/>
      <c r="AT296" s="5"/>
      <c r="AU296" s="6" t="s">
        <v>927</v>
      </c>
      <c r="AV296" s="6" t="s">
        <v>2161</v>
      </c>
      <c r="AW296" s="6" t="s">
        <v>2161</v>
      </c>
      <c r="AX296" s="6" t="s">
        <v>929</v>
      </c>
      <c r="AY296" s="6" t="s">
        <v>930</v>
      </c>
      <c r="AZ296" s="6"/>
      <c r="BA296" s="6"/>
      <c r="BB296" s="6"/>
      <c r="BC296" s="6" t="s">
        <v>97</v>
      </c>
      <c r="BD296" s="6" t="s">
        <v>97</v>
      </c>
    </row>
    <row r="297" spans="1:56" ht="32" customHeight="1" x14ac:dyDescent="0.35">
      <c r="A297" s="13" t="s">
        <v>2737</v>
      </c>
      <c r="B297" s="6" t="s">
        <v>2114</v>
      </c>
      <c r="C297" s="5" t="s">
        <v>2115</v>
      </c>
      <c r="D297" s="5" t="s">
        <v>825</v>
      </c>
      <c r="E297" s="5" t="s">
        <v>2738</v>
      </c>
      <c r="F297" s="5" t="s">
        <v>2171</v>
      </c>
      <c r="G297" s="5" t="s">
        <v>1452</v>
      </c>
      <c r="H297" s="5" t="s">
        <v>2739</v>
      </c>
      <c r="I297" s="5" t="s">
        <v>2740</v>
      </c>
      <c r="J297" s="17" t="s">
        <v>121</v>
      </c>
      <c r="K297" s="17" t="s">
        <v>181</v>
      </c>
      <c r="L297" s="5" t="s">
        <v>2741</v>
      </c>
      <c r="M297" s="6" t="s">
        <v>197</v>
      </c>
      <c r="N297" s="6" t="s">
        <v>812</v>
      </c>
      <c r="O297" s="6" t="s">
        <v>121</v>
      </c>
      <c r="P297" s="5" t="s">
        <v>918</v>
      </c>
      <c r="Q297" s="17" t="s">
        <v>182</v>
      </c>
      <c r="R297" s="5"/>
      <c r="S297" s="6" t="s">
        <v>1053</v>
      </c>
      <c r="T297" s="5" t="s">
        <v>1054</v>
      </c>
      <c r="U297" s="6"/>
      <c r="V297" s="6" t="s">
        <v>1055</v>
      </c>
      <c r="W297" s="6" t="s">
        <v>333</v>
      </c>
      <c r="X297" s="5" t="s">
        <v>922</v>
      </c>
      <c r="Y297" s="5" t="s">
        <v>812</v>
      </c>
      <c r="Z297" s="5" t="str">
        <f t="shared" si="8"/>
        <v>Critical</v>
      </c>
      <c r="AA297" s="5" t="s">
        <v>923</v>
      </c>
      <c r="AB297" s="6" t="s">
        <v>923</v>
      </c>
      <c r="AC297" s="6" t="s">
        <v>103</v>
      </c>
      <c r="AD297" s="5" t="s">
        <v>925</v>
      </c>
      <c r="AE297" s="5" t="s">
        <v>354</v>
      </c>
      <c r="AF297" s="5" t="s">
        <v>354</v>
      </c>
      <c r="AG297" s="5" t="s">
        <v>354</v>
      </c>
      <c r="AH297" s="5" t="s">
        <v>354</v>
      </c>
      <c r="AI297" s="6" t="str">
        <f t="shared" si="9"/>
        <v>No</v>
      </c>
      <c r="AJ297" s="6" t="s">
        <v>926</v>
      </c>
      <c r="AK297" s="6" t="s">
        <v>121</v>
      </c>
      <c r="AL297" s="6">
        <f>MATCH(AA297,{"Low","Medium","High"},0)*MATCH(AB297,{"Low","Medium","High"},0)*INDEX({3,2,2,1,1},MATCH(X297,{"Core","Vertical extension","Differentiator","Future","Adjacent"},0))</f>
        <v>27</v>
      </c>
      <c r="AM297" s="5"/>
      <c r="AN297" s="5"/>
      <c r="AO297" s="5"/>
      <c r="AP297" s="5"/>
      <c r="AQ297" s="5"/>
      <c r="AR297" s="5"/>
      <c r="AS297" s="5"/>
      <c r="AT297" s="5"/>
      <c r="AU297" s="6" t="s">
        <v>927</v>
      </c>
      <c r="AV297" s="6" t="s">
        <v>2161</v>
      </c>
      <c r="AW297" s="6" t="s">
        <v>2161</v>
      </c>
      <c r="AX297" s="6" t="s">
        <v>929</v>
      </c>
      <c r="AY297" s="6" t="s">
        <v>930</v>
      </c>
      <c r="AZ297" s="6"/>
      <c r="BA297" s="6"/>
      <c r="BB297" s="6"/>
      <c r="BC297" s="6" t="s">
        <v>97</v>
      </c>
      <c r="BD297" s="6" t="s">
        <v>97</v>
      </c>
    </row>
    <row r="298" spans="1:56" ht="32" customHeight="1" x14ac:dyDescent="0.35">
      <c r="A298" s="13" t="s">
        <v>2742</v>
      </c>
      <c r="B298" s="6" t="s">
        <v>2114</v>
      </c>
      <c r="C298" s="5" t="s">
        <v>2115</v>
      </c>
      <c r="D298" s="5" t="s">
        <v>825</v>
      </c>
      <c r="E298" s="5" t="s">
        <v>2743</v>
      </c>
      <c r="F298" s="5" t="s">
        <v>1452</v>
      </c>
      <c r="G298" s="5" t="s">
        <v>2292</v>
      </c>
      <c r="H298" s="5" t="s">
        <v>2744</v>
      </c>
      <c r="I298" s="5" t="s">
        <v>2745</v>
      </c>
      <c r="J298" s="17" t="s">
        <v>121</v>
      </c>
      <c r="K298" s="17" t="s">
        <v>181</v>
      </c>
      <c r="L298" s="5" t="s">
        <v>2746</v>
      </c>
      <c r="M298" s="6" t="s">
        <v>197</v>
      </c>
      <c r="N298" s="6" t="s">
        <v>812</v>
      </c>
      <c r="O298" s="6" t="s">
        <v>121</v>
      </c>
      <c r="P298" s="5" t="s">
        <v>918</v>
      </c>
      <c r="Q298" s="17" t="s">
        <v>182</v>
      </c>
      <c r="R298" s="5"/>
      <c r="S298" s="6" t="s">
        <v>1053</v>
      </c>
      <c r="T298" s="5" t="s">
        <v>1054</v>
      </c>
      <c r="U298" s="6"/>
      <c r="V298" s="6" t="s">
        <v>1055</v>
      </c>
      <c r="W298" s="6" t="s">
        <v>333</v>
      </c>
      <c r="X298" s="5" t="s">
        <v>922</v>
      </c>
      <c r="Y298" s="5" t="s">
        <v>812</v>
      </c>
      <c r="Z298" s="5" t="str">
        <f t="shared" si="8"/>
        <v>Critical</v>
      </c>
      <c r="AA298" s="5" t="s">
        <v>923</v>
      </c>
      <c r="AB298" s="6" t="s">
        <v>923</v>
      </c>
      <c r="AC298" s="6" t="s">
        <v>103</v>
      </c>
      <c r="AD298" s="5" t="s">
        <v>925</v>
      </c>
      <c r="AE298" s="5" t="s">
        <v>354</v>
      </c>
      <c r="AF298" s="5" t="s">
        <v>354</v>
      </c>
      <c r="AG298" s="5" t="s">
        <v>354</v>
      </c>
      <c r="AH298" s="5" t="s">
        <v>354</v>
      </c>
      <c r="AI298" s="6" t="str">
        <f t="shared" si="9"/>
        <v>No</v>
      </c>
      <c r="AJ298" s="6" t="s">
        <v>926</v>
      </c>
      <c r="AK298" s="6" t="s">
        <v>121</v>
      </c>
      <c r="AL298" s="6">
        <f>MATCH(AA298,{"Low","Medium","High"},0)*MATCH(AB298,{"Low","Medium","High"},0)*INDEX({3,2,2,1,1},MATCH(X298,{"Core","Vertical extension","Differentiator","Future","Adjacent"},0))</f>
        <v>27</v>
      </c>
      <c r="AM298" s="5"/>
      <c r="AN298" s="5"/>
      <c r="AO298" s="5"/>
      <c r="AP298" s="5"/>
      <c r="AQ298" s="5"/>
      <c r="AR298" s="5"/>
      <c r="AS298" s="5"/>
      <c r="AT298" s="5"/>
      <c r="AU298" s="6" t="s">
        <v>927</v>
      </c>
      <c r="AV298" s="6" t="s">
        <v>55</v>
      </c>
      <c r="AW298" s="6" t="s">
        <v>55</v>
      </c>
      <c r="AX298" s="6" t="s">
        <v>929</v>
      </c>
      <c r="AY298" s="6" t="s">
        <v>930</v>
      </c>
      <c r="AZ298" s="6"/>
      <c r="BA298" s="6"/>
      <c r="BB298" s="6"/>
      <c r="BC298" s="6" t="s">
        <v>97</v>
      </c>
      <c r="BD298" s="6" t="s">
        <v>97</v>
      </c>
    </row>
    <row r="299" spans="1:56" ht="32" customHeight="1" x14ac:dyDescent="0.35">
      <c r="A299" s="13" t="s">
        <v>2747</v>
      </c>
      <c r="B299" s="6" t="s">
        <v>2114</v>
      </c>
      <c r="C299" s="5" t="s">
        <v>2115</v>
      </c>
      <c r="D299" s="5" t="s">
        <v>825</v>
      </c>
      <c r="E299" s="5" t="s">
        <v>2748</v>
      </c>
      <c r="F299" s="5" t="s">
        <v>1452</v>
      </c>
      <c r="G299" s="5" t="s">
        <v>1101</v>
      </c>
      <c r="H299" s="5" t="s">
        <v>2749</v>
      </c>
      <c r="I299" s="5" t="s">
        <v>2750</v>
      </c>
      <c r="J299" s="17" t="s">
        <v>121</v>
      </c>
      <c r="K299" s="17" t="s">
        <v>181</v>
      </c>
      <c r="L299" s="5" t="s">
        <v>2751</v>
      </c>
      <c r="M299" s="6" t="s">
        <v>197</v>
      </c>
      <c r="N299" s="6" t="s">
        <v>812</v>
      </c>
      <c r="O299" s="6" t="s">
        <v>121</v>
      </c>
      <c r="P299" s="5" t="s">
        <v>918</v>
      </c>
      <c r="Q299" s="17" t="s">
        <v>182</v>
      </c>
      <c r="R299" s="5"/>
      <c r="S299" s="6" t="s">
        <v>1053</v>
      </c>
      <c r="T299" s="5" t="s">
        <v>1054</v>
      </c>
      <c r="U299" s="6"/>
      <c r="V299" s="6" t="s">
        <v>1055</v>
      </c>
      <c r="W299" s="6" t="s">
        <v>333</v>
      </c>
      <c r="X299" s="5" t="s">
        <v>922</v>
      </c>
      <c r="Y299" s="5" t="s">
        <v>812</v>
      </c>
      <c r="Z299" s="5" t="str">
        <f t="shared" si="8"/>
        <v>Critical</v>
      </c>
      <c r="AA299" s="5" t="s">
        <v>923</v>
      </c>
      <c r="AB299" s="6" t="s">
        <v>923</v>
      </c>
      <c r="AC299" s="6" t="s">
        <v>103</v>
      </c>
      <c r="AD299" s="5" t="s">
        <v>925</v>
      </c>
      <c r="AE299" s="5" t="s">
        <v>354</v>
      </c>
      <c r="AF299" s="5" t="s">
        <v>354</v>
      </c>
      <c r="AG299" s="5" t="s">
        <v>354</v>
      </c>
      <c r="AH299" s="5" t="s">
        <v>354</v>
      </c>
      <c r="AI299" s="6" t="str">
        <f t="shared" si="9"/>
        <v>No</v>
      </c>
      <c r="AJ299" s="6" t="s">
        <v>926</v>
      </c>
      <c r="AK299" s="6" t="s">
        <v>121</v>
      </c>
      <c r="AL299" s="6">
        <f>MATCH(AA299,{"Low","Medium","High"},0)*MATCH(AB299,{"Low","Medium","High"},0)*INDEX({3,2,2,1,1},MATCH(X299,{"Core","Vertical extension","Differentiator","Future","Adjacent"},0))</f>
        <v>27</v>
      </c>
      <c r="AM299" s="5"/>
      <c r="AN299" s="5"/>
      <c r="AO299" s="5"/>
      <c r="AP299" s="5"/>
      <c r="AQ299" s="5"/>
      <c r="AR299" s="5"/>
      <c r="AS299" s="5"/>
      <c r="AT299" s="5"/>
      <c r="AU299" s="6" t="s">
        <v>927</v>
      </c>
      <c r="AV299" s="6" t="s">
        <v>55</v>
      </c>
      <c r="AW299" s="6" t="s">
        <v>55</v>
      </c>
      <c r="AX299" s="6" t="s">
        <v>929</v>
      </c>
      <c r="AY299" s="6" t="s">
        <v>930</v>
      </c>
      <c r="AZ299" s="6"/>
      <c r="BA299" s="6"/>
      <c r="BB299" s="6"/>
      <c r="BC299" s="6" t="s">
        <v>97</v>
      </c>
      <c r="BD299" s="6" t="s">
        <v>97</v>
      </c>
    </row>
    <row r="300" spans="1:56" ht="32" customHeight="1" x14ac:dyDescent="0.35">
      <c r="A300" s="13" t="s">
        <v>2752</v>
      </c>
      <c r="B300" s="6" t="s">
        <v>2114</v>
      </c>
      <c r="C300" s="5" t="s">
        <v>2115</v>
      </c>
      <c r="D300" s="5" t="s">
        <v>825</v>
      </c>
      <c r="E300" s="5" t="s">
        <v>2753</v>
      </c>
      <c r="F300" s="5" t="s">
        <v>2754</v>
      </c>
      <c r="G300" s="5" t="s">
        <v>1452</v>
      </c>
      <c r="H300" s="5" t="s">
        <v>2755</v>
      </c>
      <c r="I300" s="5" t="s">
        <v>2756</v>
      </c>
      <c r="J300" s="17" t="s">
        <v>121</v>
      </c>
      <c r="K300" s="17" t="s">
        <v>181</v>
      </c>
      <c r="L300" s="5" t="s">
        <v>2757</v>
      </c>
      <c r="M300" s="6" t="s">
        <v>197</v>
      </c>
      <c r="N300" s="6" t="s">
        <v>812</v>
      </c>
      <c r="O300" s="6" t="s">
        <v>121</v>
      </c>
      <c r="P300" s="5" t="s">
        <v>918</v>
      </c>
      <c r="Q300" s="18" t="s">
        <v>186</v>
      </c>
      <c r="R300" s="5" t="s">
        <v>1679</v>
      </c>
      <c r="S300" s="6" t="s">
        <v>1053</v>
      </c>
      <c r="T300" s="5" t="s">
        <v>1054</v>
      </c>
      <c r="U300" s="6"/>
      <c r="V300" s="6" t="s">
        <v>1055</v>
      </c>
      <c r="W300" s="6" t="s">
        <v>333</v>
      </c>
      <c r="X300" s="5" t="s">
        <v>922</v>
      </c>
      <c r="Y300" s="5" t="s">
        <v>812</v>
      </c>
      <c r="Z300" s="5" t="str">
        <f t="shared" si="8"/>
        <v>Critical</v>
      </c>
      <c r="AA300" s="5" t="s">
        <v>923</v>
      </c>
      <c r="AB300" s="6" t="s">
        <v>923</v>
      </c>
      <c r="AC300" s="6" t="s">
        <v>103</v>
      </c>
      <c r="AD300" s="5" t="s">
        <v>940</v>
      </c>
      <c r="AE300" s="5" t="s">
        <v>354</v>
      </c>
      <c r="AF300" s="5" t="s">
        <v>354</v>
      </c>
      <c r="AG300" s="5" t="s">
        <v>354</v>
      </c>
      <c r="AH300" s="5" t="s">
        <v>354</v>
      </c>
      <c r="AI300" s="6" t="str">
        <f t="shared" si="9"/>
        <v>No</v>
      </c>
      <c r="AJ300" s="6" t="s">
        <v>941</v>
      </c>
      <c r="AK300" s="6" t="s">
        <v>121</v>
      </c>
      <c r="AL300" s="6">
        <f>MATCH(AA300,{"Low","Medium","High"},0)*MATCH(AB300,{"Low","Medium","High"},0)*INDEX({3,2,2,1,1},MATCH(X300,{"Core","Vertical extension","Differentiator","Future","Adjacent"},0))</f>
        <v>27</v>
      </c>
      <c r="AM300" s="5"/>
      <c r="AN300" s="5"/>
      <c r="AO300" s="5"/>
      <c r="AP300" s="5"/>
      <c r="AQ300" s="5"/>
      <c r="AR300" s="5"/>
      <c r="AS300" s="5"/>
      <c r="AT300" s="5"/>
      <c r="AU300" s="6" t="s">
        <v>927</v>
      </c>
      <c r="AV300" s="6" t="s">
        <v>2161</v>
      </c>
      <c r="AW300" s="6" t="s">
        <v>2161</v>
      </c>
      <c r="AX300" s="6" t="s">
        <v>929</v>
      </c>
      <c r="AY300" s="6" t="s">
        <v>930</v>
      </c>
      <c r="AZ300" s="6"/>
      <c r="BA300" s="6"/>
      <c r="BB300" s="6"/>
      <c r="BC300" s="6" t="s">
        <v>97</v>
      </c>
      <c r="BD300" s="6" t="s">
        <v>97</v>
      </c>
    </row>
    <row r="301" spans="1:56" ht="32" customHeight="1" x14ac:dyDescent="0.35">
      <c r="A301" s="13" t="s">
        <v>2758</v>
      </c>
      <c r="B301" s="6" t="s">
        <v>2114</v>
      </c>
      <c r="C301" s="5" t="s">
        <v>2115</v>
      </c>
      <c r="D301" s="5" t="s">
        <v>825</v>
      </c>
      <c r="E301" s="5" t="s">
        <v>2759</v>
      </c>
      <c r="F301" s="5" t="s">
        <v>2760</v>
      </c>
      <c r="G301" s="5" t="s">
        <v>1344</v>
      </c>
      <c r="H301" s="5" t="s">
        <v>2761</v>
      </c>
      <c r="I301" s="5" t="s">
        <v>2762</v>
      </c>
      <c r="J301" s="17" t="s">
        <v>121</v>
      </c>
      <c r="K301" s="17" t="s">
        <v>181</v>
      </c>
      <c r="L301" s="5" t="s">
        <v>2763</v>
      </c>
      <c r="M301" s="6" t="s">
        <v>197</v>
      </c>
      <c r="N301" s="6" t="s">
        <v>812</v>
      </c>
      <c r="O301" s="6" t="s">
        <v>121</v>
      </c>
      <c r="P301" s="5" t="s">
        <v>918</v>
      </c>
      <c r="Q301" s="17" t="s">
        <v>182</v>
      </c>
      <c r="R301" s="5"/>
      <c r="S301" s="6" t="s">
        <v>1053</v>
      </c>
      <c r="T301" s="5" t="s">
        <v>1054</v>
      </c>
      <c r="U301" s="6"/>
      <c r="V301" s="6" t="s">
        <v>1055</v>
      </c>
      <c r="W301" s="6" t="s">
        <v>333</v>
      </c>
      <c r="X301" s="5" t="s">
        <v>922</v>
      </c>
      <c r="Y301" s="5" t="s">
        <v>812</v>
      </c>
      <c r="Z301" s="5" t="str">
        <f t="shared" si="8"/>
        <v>Critical</v>
      </c>
      <c r="AA301" s="5" t="s">
        <v>923</v>
      </c>
      <c r="AB301" s="6" t="s">
        <v>923</v>
      </c>
      <c r="AC301" s="6" t="s">
        <v>103</v>
      </c>
      <c r="AD301" s="5" t="s">
        <v>925</v>
      </c>
      <c r="AE301" s="5" t="s">
        <v>354</v>
      </c>
      <c r="AF301" s="5" t="s">
        <v>354</v>
      </c>
      <c r="AG301" s="5" t="s">
        <v>354</v>
      </c>
      <c r="AH301" s="5" t="s">
        <v>354</v>
      </c>
      <c r="AI301" s="6" t="str">
        <f t="shared" si="9"/>
        <v>No</v>
      </c>
      <c r="AJ301" s="6" t="s">
        <v>926</v>
      </c>
      <c r="AK301" s="6" t="s">
        <v>121</v>
      </c>
      <c r="AL301" s="6">
        <f>MATCH(AA301,{"Low","Medium","High"},0)*MATCH(AB301,{"Low","Medium","High"},0)*INDEX({3,2,2,1,1},MATCH(X301,{"Core","Vertical extension","Differentiator","Future","Adjacent"},0))</f>
        <v>27</v>
      </c>
      <c r="AM301" s="5"/>
      <c r="AN301" s="5"/>
      <c r="AO301" s="5"/>
      <c r="AP301" s="5"/>
      <c r="AQ301" s="5"/>
      <c r="AR301" s="5"/>
      <c r="AS301" s="5"/>
      <c r="AT301" s="5"/>
      <c r="AU301" s="6" t="s">
        <v>927</v>
      </c>
      <c r="AV301" s="6" t="s">
        <v>2161</v>
      </c>
      <c r="AW301" s="6" t="s">
        <v>2161</v>
      </c>
      <c r="AX301" s="6" t="s">
        <v>929</v>
      </c>
      <c r="AY301" s="6" t="s">
        <v>930</v>
      </c>
      <c r="AZ301" s="6"/>
      <c r="BA301" s="6"/>
      <c r="BB301" s="6"/>
      <c r="BC301" s="6" t="s">
        <v>97</v>
      </c>
      <c r="BD301" s="6" t="s">
        <v>97</v>
      </c>
    </row>
    <row r="302" spans="1:56" ht="32" customHeight="1" x14ac:dyDescent="0.35">
      <c r="A302" s="13" t="s">
        <v>2764</v>
      </c>
      <c r="B302" s="6" t="s">
        <v>2114</v>
      </c>
      <c r="C302" s="5" t="s">
        <v>2115</v>
      </c>
      <c r="D302" s="5" t="s">
        <v>825</v>
      </c>
      <c r="E302" s="5" t="s">
        <v>2765</v>
      </c>
      <c r="F302" s="5" t="s">
        <v>2209</v>
      </c>
      <c r="G302" s="5" t="s">
        <v>2766</v>
      </c>
      <c r="H302" s="5" t="s">
        <v>2767</v>
      </c>
      <c r="I302" s="5" t="s">
        <v>2768</v>
      </c>
      <c r="J302" s="17" t="s">
        <v>121</v>
      </c>
      <c r="K302" s="17" t="s">
        <v>181</v>
      </c>
      <c r="L302" s="5" t="s">
        <v>2769</v>
      </c>
      <c r="M302" s="6" t="s">
        <v>197</v>
      </c>
      <c r="N302" s="6" t="s">
        <v>812</v>
      </c>
      <c r="O302" s="6" t="s">
        <v>121</v>
      </c>
      <c r="P302" s="5" t="s">
        <v>999</v>
      </c>
      <c r="Q302" s="17" t="s">
        <v>182</v>
      </c>
      <c r="R302" s="5" t="s">
        <v>999</v>
      </c>
      <c r="S302" s="6" t="s">
        <v>1053</v>
      </c>
      <c r="T302" s="5" t="s">
        <v>1054</v>
      </c>
      <c r="U302" s="6"/>
      <c r="V302" s="6" t="s">
        <v>1055</v>
      </c>
      <c r="W302" s="6" t="s">
        <v>333</v>
      </c>
      <c r="X302" s="5" t="s">
        <v>922</v>
      </c>
      <c r="Y302" s="5" t="s">
        <v>812</v>
      </c>
      <c r="Z302" s="5" t="str">
        <f t="shared" si="8"/>
        <v>Critical</v>
      </c>
      <c r="AA302" s="5" t="s">
        <v>923</v>
      </c>
      <c r="AB302" s="6" t="s">
        <v>923</v>
      </c>
      <c r="AC302" s="6" t="s">
        <v>103</v>
      </c>
      <c r="AD302" s="5" t="s">
        <v>925</v>
      </c>
      <c r="AE302" s="5" t="s">
        <v>354</v>
      </c>
      <c r="AF302" s="5" t="s">
        <v>354</v>
      </c>
      <c r="AG302" s="5" t="s">
        <v>354</v>
      </c>
      <c r="AH302" s="5" t="s">
        <v>354</v>
      </c>
      <c r="AI302" s="6" t="str">
        <f t="shared" si="9"/>
        <v>No</v>
      </c>
      <c r="AJ302" s="6" t="s">
        <v>926</v>
      </c>
      <c r="AK302" s="6" t="s">
        <v>121</v>
      </c>
      <c r="AL302" s="6">
        <f>MATCH(AA302,{"Low","Medium","High"},0)*MATCH(AB302,{"Low","Medium","High"},0)*INDEX({3,2,2,1,1},MATCH(X302,{"Core","Vertical extension","Differentiator","Future","Adjacent"},0))</f>
        <v>27</v>
      </c>
      <c r="AM302" s="5"/>
      <c r="AN302" s="5"/>
      <c r="AO302" s="5"/>
      <c r="AP302" s="5"/>
      <c r="AQ302" s="5"/>
      <c r="AR302" s="5"/>
      <c r="AS302" s="5"/>
      <c r="AT302" s="5"/>
      <c r="AU302" s="6" t="s">
        <v>927</v>
      </c>
      <c r="AV302" s="6" t="s">
        <v>2161</v>
      </c>
      <c r="AW302" s="6" t="s">
        <v>2161</v>
      </c>
      <c r="AX302" s="6" t="s">
        <v>1003</v>
      </c>
      <c r="AY302" s="6" t="s">
        <v>930</v>
      </c>
      <c r="AZ302" s="6"/>
      <c r="BA302" s="6"/>
      <c r="BB302" s="6"/>
      <c r="BC302" s="6" t="s">
        <v>97</v>
      </c>
      <c r="BD302" s="6" t="s">
        <v>97</v>
      </c>
    </row>
    <row r="303" spans="1:56" ht="32" customHeight="1" x14ac:dyDescent="0.35">
      <c r="A303" s="13" t="s">
        <v>2770</v>
      </c>
      <c r="B303" s="6" t="s">
        <v>2114</v>
      </c>
      <c r="C303" s="5" t="s">
        <v>2115</v>
      </c>
      <c r="D303" s="5" t="s">
        <v>825</v>
      </c>
      <c r="E303" s="5" t="s">
        <v>2771</v>
      </c>
      <c r="F303" s="5" t="s">
        <v>831</v>
      </c>
      <c r="G303" s="5" t="s">
        <v>2766</v>
      </c>
      <c r="H303" s="5" t="s">
        <v>2772</v>
      </c>
      <c r="I303" s="5" t="s">
        <v>2773</v>
      </c>
      <c r="J303" s="17" t="s">
        <v>121</v>
      </c>
      <c r="K303" s="17" t="s">
        <v>181</v>
      </c>
      <c r="L303" s="5" t="s">
        <v>2774</v>
      </c>
      <c r="M303" s="6" t="s">
        <v>197</v>
      </c>
      <c r="N303" s="6" t="s">
        <v>812</v>
      </c>
      <c r="O303" s="6" t="s">
        <v>121</v>
      </c>
      <c r="P303" s="5" t="s">
        <v>918</v>
      </c>
      <c r="Q303" s="17" t="s">
        <v>182</v>
      </c>
      <c r="R303" s="5"/>
      <c r="S303" s="6" t="s">
        <v>1053</v>
      </c>
      <c r="T303" s="5" t="s">
        <v>1054</v>
      </c>
      <c r="U303" s="6"/>
      <c r="V303" s="6" t="s">
        <v>1055</v>
      </c>
      <c r="W303" s="6" t="s">
        <v>333</v>
      </c>
      <c r="X303" s="5" t="s">
        <v>922</v>
      </c>
      <c r="Y303" s="5" t="s">
        <v>812</v>
      </c>
      <c r="Z303" s="5" t="str">
        <f t="shared" si="8"/>
        <v>Critical</v>
      </c>
      <c r="AA303" s="5" t="s">
        <v>923</v>
      </c>
      <c r="AB303" s="6" t="s">
        <v>923</v>
      </c>
      <c r="AC303" s="6" t="s">
        <v>103</v>
      </c>
      <c r="AD303" s="5" t="s">
        <v>925</v>
      </c>
      <c r="AE303" s="5" t="s">
        <v>354</v>
      </c>
      <c r="AF303" s="5" t="s">
        <v>354</v>
      </c>
      <c r="AG303" s="5" t="s">
        <v>354</v>
      </c>
      <c r="AH303" s="5" t="s">
        <v>354</v>
      </c>
      <c r="AI303" s="6" t="str">
        <f t="shared" si="9"/>
        <v>No</v>
      </c>
      <c r="AJ303" s="6" t="s">
        <v>926</v>
      </c>
      <c r="AK303" s="6" t="s">
        <v>121</v>
      </c>
      <c r="AL303" s="6">
        <f>MATCH(AA303,{"Low","Medium","High"},0)*MATCH(AB303,{"Low","Medium","High"},0)*INDEX({3,2,2,1,1},MATCH(X303,{"Core","Vertical extension","Differentiator","Future","Adjacent"},0))</f>
        <v>27</v>
      </c>
      <c r="AM303" s="5"/>
      <c r="AN303" s="5"/>
      <c r="AO303" s="5"/>
      <c r="AP303" s="5"/>
      <c r="AQ303" s="5"/>
      <c r="AR303" s="5"/>
      <c r="AS303" s="5"/>
      <c r="AT303" s="5"/>
      <c r="AU303" s="6" t="s">
        <v>927</v>
      </c>
      <c r="AV303" s="6" t="s">
        <v>2161</v>
      </c>
      <c r="AW303" s="6" t="s">
        <v>2161</v>
      </c>
      <c r="AX303" s="6" t="s">
        <v>929</v>
      </c>
      <c r="AY303" s="6" t="s">
        <v>930</v>
      </c>
      <c r="AZ303" s="6"/>
      <c r="BA303" s="6"/>
      <c r="BB303" s="6"/>
      <c r="BC303" s="6" t="s">
        <v>97</v>
      </c>
      <c r="BD303" s="6" t="s">
        <v>97</v>
      </c>
    </row>
    <row r="304" spans="1:56" ht="32" customHeight="1" x14ac:dyDescent="0.35">
      <c r="A304" s="13" t="s">
        <v>2775</v>
      </c>
      <c r="B304" s="6" t="s">
        <v>2114</v>
      </c>
      <c r="C304" s="5" t="s">
        <v>2115</v>
      </c>
      <c r="D304" s="5" t="s">
        <v>825</v>
      </c>
      <c r="E304" s="5" t="s">
        <v>2776</v>
      </c>
      <c r="F304" s="5" t="s">
        <v>827</v>
      </c>
      <c r="G304" s="5" t="s">
        <v>2094</v>
      </c>
      <c r="H304" s="5" t="s">
        <v>2777</v>
      </c>
      <c r="I304" s="5" t="s">
        <v>2778</v>
      </c>
      <c r="J304" s="17" t="s">
        <v>121</v>
      </c>
      <c r="K304" s="17" t="s">
        <v>181</v>
      </c>
      <c r="L304" s="5" t="s">
        <v>2779</v>
      </c>
      <c r="M304" s="6" t="s">
        <v>197</v>
      </c>
      <c r="N304" s="6" t="s">
        <v>812</v>
      </c>
      <c r="O304" s="6" t="s">
        <v>121</v>
      </c>
      <c r="P304" s="5" t="s">
        <v>918</v>
      </c>
      <c r="Q304" s="17" t="s">
        <v>182</v>
      </c>
      <c r="R304" s="5"/>
      <c r="S304" s="6" t="s">
        <v>1053</v>
      </c>
      <c r="T304" s="5" t="s">
        <v>1054</v>
      </c>
      <c r="U304" s="6"/>
      <c r="V304" s="6" t="s">
        <v>1055</v>
      </c>
      <c r="W304" s="6" t="s">
        <v>333</v>
      </c>
      <c r="X304" s="5" t="s">
        <v>922</v>
      </c>
      <c r="Y304" s="5" t="s">
        <v>812</v>
      </c>
      <c r="Z304" s="5" t="str">
        <f t="shared" si="8"/>
        <v>Critical</v>
      </c>
      <c r="AA304" s="5" t="s">
        <v>923</v>
      </c>
      <c r="AB304" s="6" t="s">
        <v>923</v>
      </c>
      <c r="AC304" s="6" t="s">
        <v>103</v>
      </c>
      <c r="AD304" s="5" t="s">
        <v>925</v>
      </c>
      <c r="AE304" s="5" t="s">
        <v>354</v>
      </c>
      <c r="AF304" s="5" t="s">
        <v>354</v>
      </c>
      <c r="AG304" s="5" t="s">
        <v>354</v>
      </c>
      <c r="AH304" s="5" t="s">
        <v>354</v>
      </c>
      <c r="AI304" s="6" t="str">
        <f t="shared" si="9"/>
        <v>No</v>
      </c>
      <c r="AJ304" s="6" t="s">
        <v>926</v>
      </c>
      <c r="AK304" s="6" t="s">
        <v>121</v>
      </c>
      <c r="AL304" s="6">
        <f>MATCH(AA304,{"Low","Medium","High"},0)*MATCH(AB304,{"Low","Medium","High"},0)*INDEX({3,2,2,1,1},MATCH(X304,{"Core","Vertical extension","Differentiator","Future","Adjacent"},0))</f>
        <v>27</v>
      </c>
      <c r="AM304" s="5"/>
      <c r="AN304" s="5"/>
      <c r="AO304" s="5"/>
      <c r="AP304" s="5"/>
      <c r="AQ304" s="5"/>
      <c r="AR304" s="5"/>
      <c r="AS304" s="5"/>
      <c r="AT304" s="5"/>
      <c r="AU304" s="6" t="s">
        <v>927</v>
      </c>
      <c r="AV304" s="6" t="s">
        <v>1390</v>
      </c>
      <c r="AW304" s="6" t="s">
        <v>1390</v>
      </c>
      <c r="AX304" s="6" t="s">
        <v>929</v>
      </c>
      <c r="AY304" s="6" t="s">
        <v>930</v>
      </c>
      <c r="AZ304" s="6"/>
      <c r="BA304" s="6"/>
      <c r="BB304" s="6"/>
      <c r="BC304" s="6" t="s">
        <v>97</v>
      </c>
      <c r="BD304" s="6" t="s">
        <v>97</v>
      </c>
    </row>
    <row r="305" spans="1:56" ht="32" customHeight="1" x14ac:dyDescent="0.35">
      <c r="A305" s="13" t="s">
        <v>2780</v>
      </c>
      <c r="B305" s="6" t="s">
        <v>2114</v>
      </c>
      <c r="C305" s="5" t="s">
        <v>2115</v>
      </c>
      <c r="D305" s="5" t="s">
        <v>825</v>
      </c>
      <c r="E305" s="5" t="s">
        <v>2781</v>
      </c>
      <c r="F305" s="5" t="s">
        <v>1452</v>
      </c>
      <c r="G305" s="5" t="s">
        <v>2094</v>
      </c>
      <c r="H305" s="5" t="s">
        <v>2782</v>
      </c>
      <c r="I305" s="5" t="s">
        <v>2783</v>
      </c>
      <c r="J305" s="17" t="s">
        <v>121</v>
      </c>
      <c r="K305" s="17" t="s">
        <v>181</v>
      </c>
      <c r="L305" s="5" t="s">
        <v>2784</v>
      </c>
      <c r="M305" s="6" t="s">
        <v>197</v>
      </c>
      <c r="N305" s="6" t="s">
        <v>812</v>
      </c>
      <c r="O305" s="6" t="s">
        <v>121</v>
      </c>
      <c r="P305" s="5" t="s">
        <v>918</v>
      </c>
      <c r="Q305" s="17" t="s">
        <v>182</v>
      </c>
      <c r="R305" s="5"/>
      <c r="S305" s="6" t="s">
        <v>1053</v>
      </c>
      <c r="T305" s="5" t="s">
        <v>1054</v>
      </c>
      <c r="U305" s="6"/>
      <c r="V305" s="6" t="s">
        <v>1055</v>
      </c>
      <c r="W305" s="6" t="s">
        <v>333</v>
      </c>
      <c r="X305" s="5" t="s">
        <v>922</v>
      </c>
      <c r="Y305" s="5" t="s">
        <v>812</v>
      </c>
      <c r="Z305" s="5" t="str">
        <f t="shared" si="8"/>
        <v>Critical</v>
      </c>
      <c r="AA305" s="5" t="s">
        <v>923</v>
      </c>
      <c r="AB305" s="6" t="s">
        <v>923</v>
      </c>
      <c r="AC305" s="6" t="s">
        <v>103</v>
      </c>
      <c r="AD305" s="5" t="s">
        <v>925</v>
      </c>
      <c r="AE305" s="5" t="s">
        <v>354</v>
      </c>
      <c r="AF305" s="5" t="s">
        <v>354</v>
      </c>
      <c r="AG305" s="5" t="s">
        <v>354</v>
      </c>
      <c r="AH305" s="5" t="s">
        <v>354</v>
      </c>
      <c r="AI305" s="6" t="str">
        <f t="shared" si="9"/>
        <v>No</v>
      </c>
      <c r="AJ305" s="6" t="s">
        <v>926</v>
      </c>
      <c r="AK305" s="6" t="s">
        <v>121</v>
      </c>
      <c r="AL305" s="6">
        <f>MATCH(AA305,{"Low","Medium","High"},0)*MATCH(AB305,{"Low","Medium","High"},0)*INDEX({3,2,2,1,1},MATCH(X305,{"Core","Vertical extension","Differentiator","Future","Adjacent"},0))</f>
        <v>27</v>
      </c>
      <c r="AM305" s="5"/>
      <c r="AN305" s="5"/>
      <c r="AO305" s="5"/>
      <c r="AP305" s="5"/>
      <c r="AQ305" s="5"/>
      <c r="AR305" s="5"/>
      <c r="AS305" s="5"/>
      <c r="AT305" s="5"/>
      <c r="AU305" s="6" t="s">
        <v>927</v>
      </c>
      <c r="AV305" s="6" t="s">
        <v>55</v>
      </c>
      <c r="AW305" s="6" t="s">
        <v>55</v>
      </c>
      <c r="AX305" s="6" t="s">
        <v>929</v>
      </c>
      <c r="AY305" s="6" t="s">
        <v>930</v>
      </c>
      <c r="AZ305" s="6"/>
      <c r="BA305" s="6"/>
      <c r="BB305" s="6"/>
      <c r="BC305" s="6" t="s">
        <v>97</v>
      </c>
      <c r="BD305" s="6" t="s">
        <v>97</v>
      </c>
    </row>
    <row r="306" spans="1:56" ht="32" customHeight="1" x14ac:dyDescent="0.35">
      <c r="A306" s="13" t="s">
        <v>2785</v>
      </c>
      <c r="B306" s="6" t="s">
        <v>2114</v>
      </c>
      <c r="C306" s="5" t="s">
        <v>2115</v>
      </c>
      <c r="D306" s="5" t="s">
        <v>825</v>
      </c>
      <c r="E306" s="5" t="s">
        <v>2786</v>
      </c>
      <c r="F306" s="5" t="s">
        <v>1452</v>
      </c>
      <c r="G306" s="5" t="s">
        <v>2787</v>
      </c>
      <c r="H306" s="5" t="s">
        <v>2788</v>
      </c>
      <c r="I306" s="5" t="s">
        <v>2789</v>
      </c>
      <c r="J306" s="17" t="s">
        <v>121</v>
      </c>
      <c r="K306" s="17" t="s">
        <v>181</v>
      </c>
      <c r="L306" s="5" t="s">
        <v>2790</v>
      </c>
      <c r="M306" s="6" t="s">
        <v>197</v>
      </c>
      <c r="N306" s="6" t="s">
        <v>812</v>
      </c>
      <c r="O306" s="6" t="s">
        <v>121</v>
      </c>
      <c r="P306" s="5" t="s">
        <v>918</v>
      </c>
      <c r="Q306" s="17" t="s">
        <v>182</v>
      </c>
      <c r="R306" s="5"/>
      <c r="S306" s="6" t="s">
        <v>1053</v>
      </c>
      <c r="T306" s="5" t="s">
        <v>1054</v>
      </c>
      <c r="U306" s="6"/>
      <c r="V306" s="6" t="s">
        <v>1055</v>
      </c>
      <c r="W306" s="6" t="s">
        <v>333</v>
      </c>
      <c r="X306" s="5" t="s">
        <v>922</v>
      </c>
      <c r="Y306" s="5" t="s">
        <v>812</v>
      </c>
      <c r="Z306" s="5" t="str">
        <f t="shared" si="8"/>
        <v>Critical</v>
      </c>
      <c r="AA306" s="5" t="s">
        <v>923</v>
      </c>
      <c r="AB306" s="6" t="s">
        <v>923</v>
      </c>
      <c r="AC306" s="6" t="s">
        <v>103</v>
      </c>
      <c r="AD306" s="5" t="s">
        <v>925</v>
      </c>
      <c r="AE306" s="5" t="s">
        <v>354</v>
      </c>
      <c r="AF306" s="5" t="s">
        <v>354</v>
      </c>
      <c r="AG306" s="5" t="s">
        <v>354</v>
      </c>
      <c r="AH306" s="5" t="s">
        <v>354</v>
      </c>
      <c r="AI306" s="6" t="str">
        <f t="shared" si="9"/>
        <v>No</v>
      </c>
      <c r="AJ306" s="6" t="s">
        <v>926</v>
      </c>
      <c r="AK306" s="6" t="s">
        <v>121</v>
      </c>
      <c r="AL306" s="6">
        <f>MATCH(AA306,{"Low","Medium","High"},0)*MATCH(AB306,{"Low","Medium","High"},0)*INDEX({3,2,2,1,1},MATCH(X306,{"Core","Vertical extension","Differentiator","Future","Adjacent"},0))</f>
        <v>27</v>
      </c>
      <c r="AM306" s="5"/>
      <c r="AN306" s="5"/>
      <c r="AO306" s="5"/>
      <c r="AP306" s="5"/>
      <c r="AQ306" s="5"/>
      <c r="AR306" s="5"/>
      <c r="AS306" s="5"/>
      <c r="AT306" s="5"/>
      <c r="AU306" s="6" t="s">
        <v>927</v>
      </c>
      <c r="AV306" s="6" t="s">
        <v>55</v>
      </c>
      <c r="AW306" s="6" t="s">
        <v>55</v>
      </c>
      <c r="AX306" s="6" t="s">
        <v>929</v>
      </c>
      <c r="AY306" s="6" t="s">
        <v>930</v>
      </c>
      <c r="AZ306" s="6"/>
      <c r="BA306" s="6"/>
      <c r="BB306" s="6"/>
      <c r="BC306" s="6" t="s">
        <v>97</v>
      </c>
      <c r="BD306" s="6" t="s">
        <v>97</v>
      </c>
    </row>
    <row r="307" spans="1:56" ht="32" customHeight="1" x14ac:dyDescent="0.35">
      <c r="A307" s="13" t="s">
        <v>2791</v>
      </c>
      <c r="B307" s="6" t="s">
        <v>2114</v>
      </c>
      <c r="C307" s="5" t="s">
        <v>2115</v>
      </c>
      <c r="D307" s="5" t="s">
        <v>825</v>
      </c>
      <c r="E307" s="5" t="s">
        <v>2792</v>
      </c>
      <c r="F307" s="5" t="s">
        <v>1452</v>
      </c>
      <c r="G307" s="5" t="s">
        <v>1453</v>
      </c>
      <c r="H307" s="5" t="s">
        <v>2793</v>
      </c>
      <c r="I307" s="5" t="s">
        <v>2794</v>
      </c>
      <c r="J307" s="17" t="s">
        <v>121</v>
      </c>
      <c r="K307" s="17" t="s">
        <v>181</v>
      </c>
      <c r="L307" s="5" t="s">
        <v>2795</v>
      </c>
      <c r="M307" s="6" t="s">
        <v>197</v>
      </c>
      <c r="N307" s="6" t="s">
        <v>812</v>
      </c>
      <c r="O307" s="6" t="s">
        <v>121</v>
      </c>
      <c r="P307" s="5" t="s">
        <v>918</v>
      </c>
      <c r="Q307" s="17" t="s">
        <v>182</v>
      </c>
      <c r="R307" s="5"/>
      <c r="S307" s="6" t="s">
        <v>1053</v>
      </c>
      <c r="T307" s="5" t="s">
        <v>1054</v>
      </c>
      <c r="U307" s="6"/>
      <c r="V307" s="6" t="s">
        <v>1055</v>
      </c>
      <c r="W307" s="6" t="s">
        <v>333</v>
      </c>
      <c r="X307" s="5" t="s">
        <v>922</v>
      </c>
      <c r="Y307" s="5" t="s">
        <v>812</v>
      </c>
      <c r="Z307" s="5" t="str">
        <f t="shared" si="8"/>
        <v>Critical</v>
      </c>
      <c r="AA307" s="5" t="s">
        <v>923</v>
      </c>
      <c r="AB307" s="6" t="s">
        <v>923</v>
      </c>
      <c r="AC307" s="6" t="s">
        <v>103</v>
      </c>
      <c r="AD307" s="5" t="s">
        <v>925</v>
      </c>
      <c r="AE307" s="5" t="s">
        <v>354</v>
      </c>
      <c r="AF307" s="5" t="s">
        <v>354</v>
      </c>
      <c r="AG307" s="5" t="s">
        <v>354</v>
      </c>
      <c r="AH307" s="5" t="s">
        <v>354</v>
      </c>
      <c r="AI307" s="6" t="str">
        <f t="shared" si="9"/>
        <v>No</v>
      </c>
      <c r="AJ307" s="6" t="s">
        <v>926</v>
      </c>
      <c r="AK307" s="6" t="s">
        <v>121</v>
      </c>
      <c r="AL307" s="6">
        <f>MATCH(AA307,{"Low","Medium","High"},0)*MATCH(AB307,{"Low","Medium","High"},0)*INDEX({3,2,2,1,1},MATCH(X307,{"Core","Vertical extension","Differentiator","Future","Adjacent"},0))</f>
        <v>27</v>
      </c>
      <c r="AM307" s="5"/>
      <c r="AN307" s="5"/>
      <c r="AO307" s="5"/>
      <c r="AP307" s="5"/>
      <c r="AQ307" s="5"/>
      <c r="AR307" s="5"/>
      <c r="AS307" s="5"/>
      <c r="AT307" s="5"/>
      <c r="AU307" s="6" t="s">
        <v>927</v>
      </c>
      <c r="AV307" s="6" t="s">
        <v>55</v>
      </c>
      <c r="AW307" s="6" t="s">
        <v>55</v>
      </c>
      <c r="AX307" s="6" t="s">
        <v>929</v>
      </c>
      <c r="AY307" s="6" t="s">
        <v>930</v>
      </c>
      <c r="AZ307" s="6"/>
      <c r="BA307" s="6"/>
      <c r="BB307" s="6"/>
      <c r="BC307" s="6" t="s">
        <v>97</v>
      </c>
      <c r="BD307" s="6" t="s">
        <v>97</v>
      </c>
    </row>
    <row r="308" spans="1:56" ht="32" customHeight="1" x14ac:dyDescent="0.35">
      <c r="A308" s="13" t="s">
        <v>2796</v>
      </c>
      <c r="B308" s="6" t="s">
        <v>2114</v>
      </c>
      <c r="C308" s="5" t="s">
        <v>2115</v>
      </c>
      <c r="D308" s="5" t="s">
        <v>834</v>
      </c>
      <c r="E308" s="5" t="s">
        <v>2797</v>
      </c>
      <c r="F308" s="5" t="s">
        <v>2197</v>
      </c>
      <c r="G308" s="5" t="s">
        <v>1017</v>
      </c>
      <c r="H308" s="5" t="s">
        <v>2798</v>
      </c>
      <c r="I308" s="5" t="s">
        <v>2799</v>
      </c>
      <c r="J308" s="17" t="s">
        <v>121</v>
      </c>
      <c r="K308" s="17" t="s">
        <v>181</v>
      </c>
      <c r="L308" s="5" t="s">
        <v>2800</v>
      </c>
      <c r="M308" s="6" t="s">
        <v>197</v>
      </c>
      <c r="N308" s="6" t="s">
        <v>812</v>
      </c>
      <c r="O308" s="6" t="s">
        <v>121</v>
      </c>
      <c r="P308" s="5" t="s">
        <v>918</v>
      </c>
      <c r="Q308" s="17" t="s">
        <v>182</v>
      </c>
      <c r="R308" s="5"/>
      <c r="S308" s="6" t="s">
        <v>1000</v>
      </c>
      <c r="T308" s="5" t="s">
        <v>1001</v>
      </c>
      <c r="U308" s="6"/>
      <c r="V308" s="6" t="s">
        <v>1002</v>
      </c>
      <c r="W308" s="6" t="s">
        <v>333</v>
      </c>
      <c r="X308" s="5" t="s">
        <v>922</v>
      </c>
      <c r="Y308" s="5" t="s">
        <v>812</v>
      </c>
      <c r="Z308" s="5" t="str">
        <f t="shared" si="8"/>
        <v>Critical</v>
      </c>
      <c r="AA308" s="5" t="s">
        <v>923</v>
      </c>
      <c r="AB308" s="6" t="s">
        <v>956</v>
      </c>
      <c r="AC308" s="6" t="s">
        <v>103</v>
      </c>
      <c r="AD308" s="5" t="s">
        <v>925</v>
      </c>
      <c r="AE308" s="5" t="s">
        <v>354</v>
      </c>
      <c r="AF308" s="5" t="s">
        <v>354</v>
      </c>
      <c r="AG308" s="5" t="s">
        <v>354</v>
      </c>
      <c r="AH308" s="5" t="s">
        <v>354</v>
      </c>
      <c r="AI308" s="6" t="str">
        <f t="shared" si="9"/>
        <v>No</v>
      </c>
      <c r="AJ308" s="6" t="s">
        <v>926</v>
      </c>
      <c r="AK308" s="6" t="s">
        <v>121</v>
      </c>
      <c r="AL308" s="6">
        <f>MATCH(AA308,{"Low","Medium","High"},0)*MATCH(AB308,{"Low","Medium","High"},0)*INDEX({3,2,2,1,1},MATCH(X308,{"Core","Vertical extension","Differentiator","Future","Adjacent"},0))</f>
        <v>18</v>
      </c>
      <c r="AM308" s="5"/>
      <c r="AN308" s="5"/>
      <c r="AO308" s="5"/>
      <c r="AP308" s="5"/>
      <c r="AQ308" s="5"/>
      <c r="AR308" s="5"/>
      <c r="AS308" s="5"/>
      <c r="AT308" s="5"/>
      <c r="AU308" s="6" t="s">
        <v>927</v>
      </c>
      <c r="AV308" s="6" t="s">
        <v>928</v>
      </c>
      <c r="AW308" s="6" t="s">
        <v>928</v>
      </c>
      <c r="AX308" s="6" t="s">
        <v>929</v>
      </c>
      <c r="AY308" s="6" t="s">
        <v>930</v>
      </c>
      <c r="AZ308" s="6"/>
      <c r="BA308" s="6"/>
      <c r="BB308" s="6"/>
      <c r="BC308" s="6" t="s">
        <v>97</v>
      </c>
      <c r="BD308" s="6" t="s">
        <v>97</v>
      </c>
    </row>
    <row r="309" spans="1:56" ht="32" customHeight="1" x14ac:dyDescent="0.35">
      <c r="A309" s="13" t="s">
        <v>2801</v>
      </c>
      <c r="B309" s="6" t="s">
        <v>2114</v>
      </c>
      <c r="C309" s="5" t="s">
        <v>2115</v>
      </c>
      <c r="D309" s="5" t="s">
        <v>834</v>
      </c>
      <c r="E309" s="5" t="s">
        <v>2802</v>
      </c>
      <c r="F309" s="5" t="s">
        <v>2164</v>
      </c>
      <c r="G309" s="5" t="s">
        <v>1452</v>
      </c>
      <c r="H309" s="5" t="s">
        <v>2803</v>
      </c>
      <c r="I309" s="5" t="s">
        <v>2804</v>
      </c>
      <c r="J309" s="17" t="s">
        <v>121</v>
      </c>
      <c r="K309" s="17" t="s">
        <v>181</v>
      </c>
      <c r="L309" s="5" t="s">
        <v>2805</v>
      </c>
      <c r="M309" s="6" t="s">
        <v>197</v>
      </c>
      <c r="N309" s="6" t="s">
        <v>812</v>
      </c>
      <c r="O309" s="6" t="s">
        <v>121</v>
      </c>
      <c r="P309" s="5" t="s">
        <v>999</v>
      </c>
      <c r="Q309" s="17" t="s">
        <v>182</v>
      </c>
      <c r="R309" s="5" t="s">
        <v>999</v>
      </c>
      <c r="S309" s="6" t="s">
        <v>1000</v>
      </c>
      <c r="T309" s="5" t="s">
        <v>1001</v>
      </c>
      <c r="U309" s="6"/>
      <c r="V309" s="6" t="s">
        <v>1002</v>
      </c>
      <c r="W309" s="6" t="s">
        <v>333</v>
      </c>
      <c r="X309" s="5" t="s">
        <v>922</v>
      </c>
      <c r="Y309" s="5" t="s">
        <v>812</v>
      </c>
      <c r="Z309" s="5" t="str">
        <f t="shared" si="8"/>
        <v>Critical</v>
      </c>
      <c r="AA309" s="5" t="s">
        <v>923</v>
      </c>
      <c r="AB309" s="6" t="s">
        <v>956</v>
      </c>
      <c r="AC309" s="6" t="s">
        <v>103</v>
      </c>
      <c r="AD309" s="5" t="s">
        <v>925</v>
      </c>
      <c r="AE309" s="5" t="s">
        <v>354</v>
      </c>
      <c r="AF309" s="5" t="s">
        <v>354</v>
      </c>
      <c r="AG309" s="5" t="s">
        <v>354</v>
      </c>
      <c r="AH309" s="5" t="s">
        <v>354</v>
      </c>
      <c r="AI309" s="6" t="str">
        <f t="shared" si="9"/>
        <v>No</v>
      </c>
      <c r="AJ309" s="6" t="s">
        <v>926</v>
      </c>
      <c r="AK309" s="6" t="s">
        <v>121</v>
      </c>
      <c r="AL309" s="6">
        <f>MATCH(AA309,{"Low","Medium","High"},0)*MATCH(AB309,{"Low","Medium","High"},0)*INDEX({3,2,2,1,1},MATCH(X309,{"Core","Vertical extension","Differentiator","Future","Adjacent"},0))</f>
        <v>18</v>
      </c>
      <c r="AM309" s="5"/>
      <c r="AN309" s="5"/>
      <c r="AO309" s="5"/>
      <c r="AP309" s="5"/>
      <c r="AQ309" s="5"/>
      <c r="AR309" s="5"/>
      <c r="AS309" s="5"/>
      <c r="AT309" s="5"/>
      <c r="AU309" s="6" t="s">
        <v>927</v>
      </c>
      <c r="AV309" s="6" t="s">
        <v>2161</v>
      </c>
      <c r="AW309" s="6" t="s">
        <v>2161</v>
      </c>
      <c r="AX309" s="6" t="s">
        <v>1003</v>
      </c>
      <c r="AY309" s="6" t="s">
        <v>930</v>
      </c>
      <c r="AZ309" s="6"/>
      <c r="BA309" s="6"/>
      <c r="BB309" s="6"/>
      <c r="BC309" s="6" t="s">
        <v>97</v>
      </c>
      <c r="BD309" s="6" t="s">
        <v>97</v>
      </c>
    </row>
    <row r="310" spans="1:56" ht="32" customHeight="1" x14ac:dyDescent="0.35">
      <c r="A310" s="13" t="s">
        <v>2806</v>
      </c>
      <c r="B310" s="6" t="s">
        <v>2114</v>
      </c>
      <c r="C310" s="5" t="s">
        <v>2115</v>
      </c>
      <c r="D310" s="5" t="s">
        <v>834</v>
      </c>
      <c r="E310" s="5" t="s">
        <v>2807</v>
      </c>
      <c r="F310" s="5" t="s">
        <v>2242</v>
      </c>
      <c r="G310" s="5" t="s">
        <v>1017</v>
      </c>
      <c r="H310" s="5" t="s">
        <v>2808</v>
      </c>
      <c r="I310" s="5" t="s">
        <v>2809</v>
      </c>
      <c r="J310" s="17" t="s">
        <v>121</v>
      </c>
      <c r="K310" s="17" t="s">
        <v>181</v>
      </c>
      <c r="L310" s="5" t="s">
        <v>2810</v>
      </c>
      <c r="M310" s="6" t="s">
        <v>197</v>
      </c>
      <c r="N310" s="6" t="s">
        <v>812</v>
      </c>
      <c r="O310" s="6" t="s">
        <v>121</v>
      </c>
      <c r="P310" s="5" t="s">
        <v>918</v>
      </c>
      <c r="Q310" s="17" t="s">
        <v>182</v>
      </c>
      <c r="R310" s="5"/>
      <c r="S310" s="6" t="s">
        <v>1000</v>
      </c>
      <c r="T310" s="5" t="s">
        <v>1001</v>
      </c>
      <c r="U310" s="6"/>
      <c r="V310" s="6" t="s">
        <v>1002</v>
      </c>
      <c r="W310" s="6" t="s">
        <v>333</v>
      </c>
      <c r="X310" s="5" t="s">
        <v>922</v>
      </c>
      <c r="Y310" s="5" t="s">
        <v>812</v>
      </c>
      <c r="Z310" s="5" t="str">
        <f t="shared" si="8"/>
        <v>Critical</v>
      </c>
      <c r="AA310" s="5" t="s">
        <v>923</v>
      </c>
      <c r="AB310" s="6" t="s">
        <v>956</v>
      </c>
      <c r="AC310" s="6" t="s">
        <v>103</v>
      </c>
      <c r="AD310" s="5" t="s">
        <v>925</v>
      </c>
      <c r="AE310" s="5" t="s">
        <v>354</v>
      </c>
      <c r="AF310" s="5" t="s">
        <v>354</v>
      </c>
      <c r="AG310" s="5" t="s">
        <v>354</v>
      </c>
      <c r="AH310" s="5" t="s">
        <v>354</v>
      </c>
      <c r="AI310" s="6" t="str">
        <f t="shared" si="9"/>
        <v>No</v>
      </c>
      <c r="AJ310" s="6" t="s">
        <v>926</v>
      </c>
      <c r="AK310" s="6" t="s">
        <v>121</v>
      </c>
      <c r="AL310" s="6">
        <f>MATCH(AA310,{"Low","Medium","High"},0)*MATCH(AB310,{"Low","Medium","High"},0)*INDEX({3,2,2,1,1},MATCH(X310,{"Core","Vertical extension","Differentiator","Future","Adjacent"},0))</f>
        <v>18</v>
      </c>
      <c r="AM310" s="5"/>
      <c r="AN310" s="5"/>
      <c r="AO310" s="5"/>
      <c r="AP310" s="5"/>
      <c r="AQ310" s="5"/>
      <c r="AR310" s="5"/>
      <c r="AS310" s="5"/>
      <c r="AT310" s="5"/>
      <c r="AU310" s="6" t="s">
        <v>927</v>
      </c>
      <c r="AV310" s="6" t="s">
        <v>55</v>
      </c>
      <c r="AW310" s="6" t="s">
        <v>55</v>
      </c>
      <c r="AX310" s="6" t="s">
        <v>929</v>
      </c>
      <c r="AY310" s="6" t="s">
        <v>930</v>
      </c>
      <c r="AZ310" s="6"/>
      <c r="BA310" s="6"/>
      <c r="BB310" s="6"/>
      <c r="BC310" s="6" t="s">
        <v>97</v>
      </c>
      <c r="BD310" s="6" t="s">
        <v>97</v>
      </c>
    </row>
    <row r="311" spans="1:56" ht="32" customHeight="1" x14ac:dyDescent="0.35">
      <c r="A311" s="13" t="s">
        <v>2811</v>
      </c>
      <c r="B311" s="6" t="s">
        <v>2114</v>
      </c>
      <c r="C311" s="5" t="s">
        <v>2115</v>
      </c>
      <c r="D311" s="5" t="s">
        <v>834</v>
      </c>
      <c r="E311" s="5" t="s">
        <v>2812</v>
      </c>
      <c r="F311" s="5" t="s">
        <v>2242</v>
      </c>
      <c r="G311" s="5" t="s">
        <v>1017</v>
      </c>
      <c r="H311" s="5" t="s">
        <v>2813</v>
      </c>
      <c r="I311" s="5" t="s">
        <v>2814</v>
      </c>
      <c r="J311" s="17" t="s">
        <v>121</v>
      </c>
      <c r="K311" s="17" t="s">
        <v>181</v>
      </c>
      <c r="L311" s="5" t="s">
        <v>2815</v>
      </c>
      <c r="M311" s="6" t="s">
        <v>197</v>
      </c>
      <c r="N311" s="6" t="s">
        <v>812</v>
      </c>
      <c r="O311" s="6" t="s">
        <v>121</v>
      </c>
      <c r="P311" s="5" t="s">
        <v>918</v>
      </c>
      <c r="Q311" s="18" t="s">
        <v>186</v>
      </c>
      <c r="R311" s="5" t="s">
        <v>2192</v>
      </c>
      <c r="S311" s="6" t="s">
        <v>1000</v>
      </c>
      <c r="T311" s="5" t="s">
        <v>1001</v>
      </c>
      <c r="U311" s="6"/>
      <c r="V311" s="6" t="s">
        <v>1002</v>
      </c>
      <c r="W311" s="6" t="s">
        <v>333</v>
      </c>
      <c r="X311" s="5" t="s">
        <v>922</v>
      </c>
      <c r="Y311" s="5" t="s">
        <v>812</v>
      </c>
      <c r="Z311" s="5" t="str">
        <f t="shared" si="8"/>
        <v>Critical</v>
      </c>
      <c r="AA311" s="5" t="s">
        <v>923</v>
      </c>
      <c r="AB311" s="6" t="s">
        <v>956</v>
      </c>
      <c r="AC311" s="6" t="s">
        <v>103</v>
      </c>
      <c r="AD311" s="5" t="s">
        <v>940</v>
      </c>
      <c r="AE311" s="5" t="s">
        <v>354</v>
      </c>
      <c r="AF311" s="5" t="s">
        <v>354</v>
      </c>
      <c r="AG311" s="5" t="s">
        <v>354</v>
      </c>
      <c r="AH311" s="5" t="s">
        <v>354</v>
      </c>
      <c r="AI311" s="6" t="str">
        <f t="shared" si="9"/>
        <v>No</v>
      </c>
      <c r="AJ311" s="6" t="s">
        <v>941</v>
      </c>
      <c r="AK311" s="6" t="s">
        <v>121</v>
      </c>
      <c r="AL311" s="6">
        <f>MATCH(AA311,{"Low","Medium","High"},0)*MATCH(AB311,{"Low","Medium","High"},0)*INDEX({3,2,2,1,1},MATCH(X311,{"Core","Vertical extension","Differentiator","Future","Adjacent"},0))</f>
        <v>18</v>
      </c>
      <c r="AM311" s="5"/>
      <c r="AN311" s="5"/>
      <c r="AO311" s="5"/>
      <c r="AP311" s="5"/>
      <c r="AQ311" s="5"/>
      <c r="AR311" s="5"/>
      <c r="AS311" s="5"/>
      <c r="AT311" s="5"/>
      <c r="AU311" s="6" t="s">
        <v>927</v>
      </c>
      <c r="AV311" s="6" t="s">
        <v>55</v>
      </c>
      <c r="AW311" s="6" t="s">
        <v>55</v>
      </c>
      <c r="AX311" s="6" t="s">
        <v>929</v>
      </c>
      <c r="AY311" s="6" t="s">
        <v>930</v>
      </c>
      <c r="AZ311" s="6"/>
      <c r="BA311" s="6" t="s">
        <v>2193</v>
      </c>
      <c r="BB311" s="6" t="s">
        <v>2194</v>
      </c>
      <c r="BC311" s="6" t="s">
        <v>97</v>
      </c>
      <c r="BD311" s="6" t="s">
        <v>97</v>
      </c>
    </row>
    <row r="312" spans="1:56" ht="32" customHeight="1" x14ac:dyDescent="0.35">
      <c r="A312" s="13" t="s">
        <v>2816</v>
      </c>
      <c r="B312" s="6" t="s">
        <v>2114</v>
      </c>
      <c r="C312" s="5" t="s">
        <v>2115</v>
      </c>
      <c r="D312" s="5" t="s">
        <v>834</v>
      </c>
      <c r="E312" s="5" t="s">
        <v>2817</v>
      </c>
      <c r="F312" s="5" t="s">
        <v>2242</v>
      </c>
      <c r="G312" s="5" t="s">
        <v>1017</v>
      </c>
      <c r="H312" s="5" t="s">
        <v>2818</v>
      </c>
      <c r="I312" s="5" t="s">
        <v>2819</v>
      </c>
      <c r="J312" s="17" t="s">
        <v>121</v>
      </c>
      <c r="K312" s="17" t="s">
        <v>181</v>
      </c>
      <c r="L312" s="5" t="s">
        <v>2820</v>
      </c>
      <c r="M312" s="6" t="s">
        <v>197</v>
      </c>
      <c r="N312" s="6" t="s">
        <v>812</v>
      </c>
      <c r="O312" s="6" t="s">
        <v>121</v>
      </c>
      <c r="P312" s="5" t="s">
        <v>918</v>
      </c>
      <c r="Q312" s="17" t="s">
        <v>182</v>
      </c>
      <c r="R312" s="5"/>
      <c r="S312" s="6" t="s">
        <v>1000</v>
      </c>
      <c r="T312" s="5" t="s">
        <v>1001</v>
      </c>
      <c r="U312" s="6"/>
      <c r="V312" s="6" t="s">
        <v>1002</v>
      </c>
      <c r="W312" s="6" t="s">
        <v>333</v>
      </c>
      <c r="X312" s="5" t="s">
        <v>922</v>
      </c>
      <c r="Y312" s="5" t="s">
        <v>812</v>
      </c>
      <c r="Z312" s="5" t="str">
        <f t="shared" si="8"/>
        <v>Critical</v>
      </c>
      <c r="AA312" s="5" t="s">
        <v>923</v>
      </c>
      <c r="AB312" s="6" t="s">
        <v>956</v>
      </c>
      <c r="AC312" s="6" t="s">
        <v>103</v>
      </c>
      <c r="AD312" s="5" t="s">
        <v>925</v>
      </c>
      <c r="AE312" s="5" t="s">
        <v>354</v>
      </c>
      <c r="AF312" s="5" t="s">
        <v>354</v>
      </c>
      <c r="AG312" s="5" t="s">
        <v>354</v>
      </c>
      <c r="AH312" s="5" t="s">
        <v>354</v>
      </c>
      <c r="AI312" s="6" t="str">
        <f t="shared" si="9"/>
        <v>No</v>
      </c>
      <c r="AJ312" s="6" t="s">
        <v>926</v>
      </c>
      <c r="AK312" s="6" t="s">
        <v>121</v>
      </c>
      <c r="AL312" s="6">
        <f>MATCH(AA312,{"Low","Medium","High"},0)*MATCH(AB312,{"Low","Medium","High"},0)*INDEX({3,2,2,1,1},MATCH(X312,{"Core","Vertical extension","Differentiator","Future","Adjacent"},0))</f>
        <v>18</v>
      </c>
      <c r="AM312" s="5"/>
      <c r="AN312" s="5"/>
      <c r="AO312" s="5"/>
      <c r="AP312" s="5"/>
      <c r="AQ312" s="5"/>
      <c r="AR312" s="5"/>
      <c r="AS312" s="5"/>
      <c r="AT312" s="5"/>
      <c r="AU312" s="6" t="s">
        <v>927</v>
      </c>
      <c r="AV312" s="6" t="s">
        <v>55</v>
      </c>
      <c r="AW312" s="6" t="s">
        <v>55</v>
      </c>
      <c r="AX312" s="6" t="s">
        <v>929</v>
      </c>
      <c r="AY312" s="6" t="s">
        <v>930</v>
      </c>
      <c r="AZ312" s="6"/>
      <c r="BA312" s="6"/>
      <c r="BB312" s="6"/>
      <c r="BC312" s="6" t="s">
        <v>97</v>
      </c>
      <c r="BD312" s="6" t="s">
        <v>97</v>
      </c>
    </row>
    <row r="313" spans="1:56" ht="32" customHeight="1" x14ac:dyDescent="0.35">
      <c r="A313" s="13" t="s">
        <v>2821</v>
      </c>
      <c r="B313" s="6" t="s">
        <v>2114</v>
      </c>
      <c r="C313" s="5" t="s">
        <v>2115</v>
      </c>
      <c r="D313" s="5" t="s">
        <v>834</v>
      </c>
      <c r="E313" s="5" t="s">
        <v>2822</v>
      </c>
      <c r="F313" s="5" t="s">
        <v>1452</v>
      </c>
      <c r="G313" s="5" t="s">
        <v>1017</v>
      </c>
      <c r="H313" s="5" t="s">
        <v>2823</v>
      </c>
      <c r="I313" s="5" t="s">
        <v>2824</v>
      </c>
      <c r="J313" s="17" t="s">
        <v>121</v>
      </c>
      <c r="K313" s="17" t="s">
        <v>181</v>
      </c>
      <c r="L313" s="5" t="s">
        <v>2825</v>
      </c>
      <c r="M313" s="6" t="s">
        <v>197</v>
      </c>
      <c r="N313" s="6" t="s">
        <v>812</v>
      </c>
      <c r="O313" s="6" t="s">
        <v>121</v>
      </c>
      <c r="P313" s="5" t="s">
        <v>918</v>
      </c>
      <c r="Q313" s="17" t="s">
        <v>182</v>
      </c>
      <c r="R313" s="5"/>
      <c r="S313" s="6" t="s">
        <v>1000</v>
      </c>
      <c r="T313" s="5" t="s">
        <v>1001</v>
      </c>
      <c r="U313" s="6"/>
      <c r="V313" s="6" t="s">
        <v>1002</v>
      </c>
      <c r="W313" s="6" t="s">
        <v>333</v>
      </c>
      <c r="X313" s="5" t="s">
        <v>922</v>
      </c>
      <c r="Y313" s="5" t="s">
        <v>812</v>
      </c>
      <c r="Z313" s="5" t="str">
        <f t="shared" si="8"/>
        <v>Critical</v>
      </c>
      <c r="AA313" s="5" t="s">
        <v>923</v>
      </c>
      <c r="AB313" s="6" t="s">
        <v>956</v>
      </c>
      <c r="AC313" s="6" t="s">
        <v>103</v>
      </c>
      <c r="AD313" s="5" t="s">
        <v>925</v>
      </c>
      <c r="AE313" s="5" t="s">
        <v>354</v>
      </c>
      <c r="AF313" s="5" t="s">
        <v>354</v>
      </c>
      <c r="AG313" s="5" t="s">
        <v>354</v>
      </c>
      <c r="AH313" s="5" t="s">
        <v>354</v>
      </c>
      <c r="AI313" s="6" t="str">
        <f t="shared" si="9"/>
        <v>No</v>
      </c>
      <c r="AJ313" s="6" t="s">
        <v>926</v>
      </c>
      <c r="AK313" s="6" t="s">
        <v>121</v>
      </c>
      <c r="AL313" s="6">
        <f>MATCH(AA313,{"Low","Medium","High"},0)*MATCH(AB313,{"Low","Medium","High"},0)*INDEX({3,2,2,1,1},MATCH(X313,{"Core","Vertical extension","Differentiator","Future","Adjacent"},0))</f>
        <v>18</v>
      </c>
      <c r="AM313" s="5"/>
      <c r="AN313" s="5"/>
      <c r="AO313" s="5"/>
      <c r="AP313" s="5"/>
      <c r="AQ313" s="5"/>
      <c r="AR313" s="5"/>
      <c r="AS313" s="5"/>
      <c r="AT313" s="5"/>
      <c r="AU313" s="6" t="s">
        <v>927</v>
      </c>
      <c r="AV313" s="6" t="s">
        <v>55</v>
      </c>
      <c r="AW313" s="6" t="s">
        <v>55</v>
      </c>
      <c r="AX313" s="6" t="s">
        <v>929</v>
      </c>
      <c r="AY313" s="6" t="s">
        <v>930</v>
      </c>
      <c r="AZ313" s="6"/>
      <c r="BA313" s="6" t="s">
        <v>2193</v>
      </c>
      <c r="BB313" s="6" t="s">
        <v>2194</v>
      </c>
      <c r="BC313" s="6" t="s">
        <v>97</v>
      </c>
      <c r="BD313" s="6" t="s">
        <v>97</v>
      </c>
    </row>
    <row r="314" spans="1:56" ht="32" customHeight="1" x14ac:dyDescent="0.35">
      <c r="A314" s="13" t="s">
        <v>2826</v>
      </c>
      <c r="B314" s="6" t="s">
        <v>2114</v>
      </c>
      <c r="C314" s="5" t="s">
        <v>2115</v>
      </c>
      <c r="D314" s="5" t="s">
        <v>834</v>
      </c>
      <c r="E314" s="5" t="s">
        <v>2827</v>
      </c>
      <c r="F314" s="5" t="s">
        <v>2828</v>
      </c>
      <c r="G314" s="5" t="s">
        <v>1623</v>
      </c>
      <c r="H314" s="5" t="s">
        <v>2829</v>
      </c>
      <c r="I314" s="5" t="s">
        <v>2830</v>
      </c>
      <c r="J314" s="17" t="s">
        <v>121</v>
      </c>
      <c r="K314" s="17" t="s">
        <v>181</v>
      </c>
      <c r="L314" s="5" t="s">
        <v>2831</v>
      </c>
      <c r="M314" s="6" t="s">
        <v>197</v>
      </c>
      <c r="N314" s="6" t="s">
        <v>812</v>
      </c>
      <c r="O314" s="6" t="s">
        <v>121</v>
      </c>
      <c r="P314" s="5" t="s">
        <v>918</v>
      </c>
      <c r="Q314" s="17" t="s">
        <v>182</v>
      </c>
      <c r="R314" s="5"/>
      <c r="S314" s="6" t="s">
        <v>1000</v>
      </c>
      <c r="T314" s="5" t="s">
        <v>1001</v>
      </c>
      <c r="U314" s="6"/>
      <c r="V314" s="6" t="s">
        <v>1002</v>
      </c>
      <c r="W314" s="6" t="s">
        <v>333</v>
      </c>
      <c r="X314" s="5" t="s">
        <v>922</v>
      </c>
      <c r="Y314" s="5" t="s">
        <v>812</v>
      </c>
      <c r="Z314" s="5" t="str">
        <f t="shared" si="8"/>
        <v>Critical</v>
      </c>
      <c r="AA314" s="5" t="s">
        <v>923</v>
      </c>
      <c r="AB314" s="6" t="s">
        <v>956</v>
      </c>
      <c r="AC314" s="6" t="s">
        <v>103</v>
      </c>
      <c r="AD314" s="5" t="s">
        <v>925</v>
      </c>
      <c r="AE314" s="5" t="s">
        <v>354</v>
      </c>
      <c r="AF314" s="5" t="s">
        <v>354</v>
      </c>
      <c r="AG314" s="5" t="s">
        <v>354</v>
      </c>
      <c r="AH314" s="5" t="s">
        <v>354</v>
      </c>
      <c r="AI314" s="6" t="str">
        <f t="shared" si="9"/>
        <v>No</v>
      </c>
      <c r="AJ314" s="6" t="s">
        <v>926</v>
      </c>
      <c r="AK314" s="6" t="s">
        <v>121</v>
      </c>
      <c r="AL314" s="6">
        <f>MATCH(AA314,{"Low","Medium","High"},0)*MATCH(AB314,{"Low","Medium","High"},0)*INDEX({3,2,2,1,1},MATCH(X314,{"Core","Vertical extension","Differentiator","Future","Adjacent"},0))</f>
        <v>18</v>
      </c>
      <c r="AM314" s="5"/>
      <c r="AN314" s="5"/>
      <c r="AO314" s="5"/>
      <c r="AP314" s="5"/>
      <c r="AQ314" s="5"/>
      <c r="AR314" s="5"/>
      <c r="AS314" s="5"/>
      <c r="AT314" s="5"/>
      <c r="AU314" s="6" t="s">
        <v>927</v>
      </c>
      <c r="AV314" s="6" t="s">
        <v>2161</v>
      </c>
      <c r="AW314" s="6" t="s">
        <v>2161</v>
      </c>
      <c r="AX314" s="6" t="s">
        <v>929</v>
      </c>
      <c r="AY314" s="6" t="s">
        <v>930</v>
      </c>
      <c r="AZ314" s="6"/>
      <c r="BA314" s="6" t="s">
        <v>942</v>
      </c>
      <c r="BB314" s="6" t="s">
        <v>943</v>
      </c>
      <c r="BC314" s="6" t="s">
        <v>97</v>
      </c>
      <c r="BD314" s="6" t="s">
        <v>97</v>
      </c>
    </row>
    <row r="315" spans="1:56" ht="32" customHeight="1" x14ac:dyDescent="0.35">
      <c r="A315" s="13" t="s">
        <v>2832</v>
      </c>
      <c r="B315" s="6" t="s">
        <v>2114</v>
      </c>
      <c r="C315" s="5" t="s">
        <v>2115</v>
      </c>
      <c r="D315" s="5" t="s">
        <v>834</v>
      </c>
      <c r="E315" s="5" t="s">
        <v>2833</v>
      </c>
      <c r="F315" s="5" t="s">
        <v>2203</v>
      </c>
      <c r="G315" s="5" t="s">
        <v>1710</v>
      </c>
      <c r="H315" s="5" t="s">
        <v>2834</v>
      </c>
      <c r="I315" s="5" t="s">
        <v>2835</v>
      </c>
      <c r="J315" s="17" t="s">
        <v>121</v>
      </c>
      <c r="K315" s="17" t="s">
        <v>181</v>
      </c>
      <c r="L315" s="5" t="s">
        <v>2836</v>
      </c>
      <c r="M315" s="6" t="s">
        <v>197</v>
      </c>
      <c r="N315" s="6" t="s">
        <v>812</v>
      </c>
      <c r="O315" s="6" t="s">
        <v>121</v>
      </c>
      <c r="P315" s="5" t="s">
        <v>918</v>
      </c>
      <c r="Q315" s="17" t="s">
        <v>182</v>
      </c>
      <c r="R315" s="5"/>
      <c r="S315" s="6" t="s">
        <v>1000</v>
      </c>
      <c r="T315" s="5" t="s">
        <v>1001</v>
      </c>
      <c r="U315" s="6"/>
      <c r="V315" s="6" t="s">
        <v>1002</v>
      </c>
      <c r="W315" s="6" t="s">
        <v>333</v>
      </c>
      <c r="X315" s="5" t="s">
        <v>922</v>
      </c>
      <c r="Y315" s="5" t="s">
        <v>812</v>
      </c>
      <c r="Z315" s="5" t="str">
        <f t="shared" si="8"/>
        <v>Critical</v>
      </c>
      <c r="AA315" s="5" t="s">
        <v>923</v>
      </c>
      <c r="AB315" s="6" t="s">
        <v>956</v>
      </c>
      <c r="AC315" s="6" t="s">
        <v>103</v>
      </c>
      <c r="AD315" s="5" t="s">
        <v>925</v>
      </c>
      <c r="AE315" s="5" t="s">
        <v>354</v>
      </c>
      <c r="AF315" s="5" t="s">
        <v>354</v>
      </c>
      <c r="AG315" s="5" t="s">
        <v>354</v>
      </c>
      <c r="AH315" s="5" t="s">
        <v>354</v>
      </c>
      <c r="AI315" s="6" t="str">
        <f t="shared" si="9"/>
        <v>No</v>
      </c>
      <c r="AJ315" s="6" t="s">
        <v>926</v>
      </c>
      <c r="AK315" s="6" t="s">
        <v>121</v>
      </c>
      <c r="AL315" s="6">
        <f>MATCH(AA315,{"Low","Medium","High"},0)*MATCH(AB315,{"Low","Medium","High"},0)*INDEX({3,2,2,1,1},MATCH(X315,{"Core","Vertical extension","Differentiator","Future","Adjacent"},0))</f>
        <v>18</v>
      </c>
      <c r="AM315" s="5"/>
      <c r="AN315" s="5"/>
      <c r="AO315" s="5"/>
      <c r="AP315" s="5"/>
      <c r="AQ315" s="5"/>
      <c r="AR315" s="5"/>
      <c r="AS315" s="5"/>
      <c r="AT315" s="5"/>
      <c r="AU315" s="6" t="s">
        <v>927</v>
      </c>
      <c r="AV315" s="6" t="s">
        <v>2161</v>
      </c>
      <c r="AW315" s="6" t="s">
        <v>2161</v>
      </c>
      <c r="AX315" s="6" t="s">
        <v>929</v>
      </c>
      <c r="AY315" s="6" t="s">
        <v>930</v>
      </c>
      <c r="AZ315" s="6"/>
      <c r="BA315" s="6"/>
      <c r="BB315" s="6"/>
      <c r="BC315" s="6" t="s">
        <v>97</v>
      </c>
      <c r="BD315" s="6" t="s">
        <v>97</v>
      </c>
    </row>
    <row r="316" spans="1:56" ht="32" customHeight="1" x14ac:dyDescent="0.35">
      <c r="A316" s="13" t="s">
        <v>2837</v>
      </c>
      <c r="B316" s="6" t="s">
        <v>2114</v>
      </c>
      <c r="C316" s="5" t="s">
        <v>2115</v>
      </c>
      <c r="D316" s="5" t="s">
        <v>834</v>
      </c>
      <c r="E316" s="5" t="s">
        <v>2838</v>
      </c>
      <c r="F316" s="5" t="s">
        <v>2839</v>
      </c>
      <c r="G316" s="5" t="s">
        <v>2840</v>
      </c>
      <c r="H316" s="5" t="s">
        <v>2841</v>
      </c>
      <c r="I316" s="5" t="s">
        <v>2842</v>
      </c>
      <c r="J316" s="16" t="s">
        <v>73</v>
      </c>
      <c r="K316" s="17" t="s">
        <v>181</v>
      </c>
      <c r="L316" s="5" t="s">
        <v>2843</v>
      </c>
      <c r="M316" s="6" t="s">
        <v>197</v>
      </c>
      <c r="N316" s="6" t="s">
        <v>812</v>
      </c>
      <c r="O316" s="6" t="s">
        <v>73</v>
      </c>
      <c r="P316" s="5" t="s">
        <v>918</v>
      </c>
      <c r="Q316" s="17" t="s">
        <v>182</v>
      </c>
      <c r="R316" s="5"/>
      <c r="S316" s="6" t="s">
        <v>1000</v>
      </c>
      <c r="T316" s="5" t="s">
        <v>1001</v>
      </c>
      <c r="U316" s="6"/>
      <c r="V316" s="6" t="s">
        <v>1002</v>
      </c>
      <c r="W316" s="6" t="s">
        <v>333</v>
      </c>
      <c r="X316" s="5" t="s">
        <v>922</v>
      </c>
      <c r="Y316" s="5" t="s">
        <v>812</v>
      </c>
      <c r="Z316" s="5" t="str">
        <f t="shared" si="8"/>
        <v>Critical</v>
      </c>
      <c r="AA316" s="5" t="s">
        <v>923</v>
      </c>
      <c r="AB316" s="6" t="s">
        <v>956</v>
      </c>
      <c r="AC316" s="6" t="s">
        <v>78</v>
      </c>
      <c r="AD316" s="5" t="s">
        <v>925</v>
      </c>
      <c r="AE316" s="5" t="s">
        <v>354</v>
      </c>
      <c r="AF316" s="5" t="s">
        <v>354</v>
      </c>
      <c r="AG316" s="5" t="s">
        <v>354</v>
      </c>
      <c r="AH316" s="5" t="s">
        <v>354</v>
      </c>
      <c r="AI316" s="6" t="str">
        <f t="shared" si="9"/>
        <v>No</v>
      </c>
      <c r="AJ316" s="6" t="s">
        <v>926</v>
      </c>
      <c r="AK316" s="6" t="s">
        <v>73</v>
      </c>
      <c r="AL316" s="6">
        <f>MATCH(AA316,{"Low","Medium","High"},0)*MATCH(AB316,{"Low","Medium","High"},0)*INDEX({3,2,2,1,1},MATCH(X316,{"Core","Vertical extension","Differentiator","Future","Adjacent"},0))</f>
        <v>18</v>
      </c>
      <c r="AM316" s="5"/>
      <c r="AN316" s="5"/>
      <c r="AO316" s="5"/>
      <c r="AP316" s="5"/>
      <c r="AQ316" s="5"/>
      <c r="AR316" s="5"/>
      <c r="AS316" s="5"/>
      <c r="AT316" s="5"/>
      <c r="AU316" s="6" t="s">
        <v>927</v>
      </c>
      <c r="AV316" s="6" t="s">
        <v>2161</v>
      </c>
      <c r="AW316" s="6" t="s">
        <v>2161</v>
      </c>
      <c r="AX316" s="6" t="s">
        <v>929</v>
      </c>
      <c r="AY316" s="6" t="s">
        <v>930</v>
      </c>
      <c r="AZ316" s="6"/>
      <c r="BA316" s="6"/>
      <c r="BB316" s="6"/>
      <c r="BC316" s="6" t="s">
        <v>97</v>
      </c>
      <c r="BD316" s="6" t="s">
        <v>97</v>
      </c>
    </row>
    <row r="317" spans="1:56" ht="32" customHeight="1" x14ac:dyDescent="0.35">
      <c r="A317" s="13" t="s">
        <v>2844</v>
      </c>
      <c r="B317" s="6" t="s">
        <v>2114</v>
      </c>
      <c r="C317" s="5" t="s">
        <v>2115</v>
      </c>
      <c r="D317" s="5" t="s">
        <v>834</v>
      </c>
      <c r="E317" s="5" t="s">
        <v>2845</v>
      </c>
      <c r="F317" s="5" t="s">
        <v>1318</v>
      </c>
      <c r="G317" s="5" t="s">
        <v>1017</v>
      </c>
      <c r="H317" s="5" t="s">
        <v>2846</v>
      </c>
      <c r="I317" s="5" t="s">
        <v>2847</v>
      </c>
      <c r="J317" s="17" t="s">
        <v>121</v>
      </c>
      <c r="K317" s="17" t="s">
        <v>181</v>
      </c>
      <c r="L317" s="5" t="s">
        <v>2848</v>
      </c>
      <c r="M317" s="6" t="s">
        <v>197</v>
      </c>
      <c r="N317" s="6" t="s">
        <v>812</v>
      </c>
      <c r="O317" s="6" t="s">
        <v>121</v>
      </c>
      <c r="P317" s="5" t="s">
        <v>918</v>
      </c>
      <c r="Q317" s="18" t="s">
        <v>186</v>
      </c>
      <c r="R317" s="5" t="s">
        <v>1021</v>
      </c>
      <c r="S317" s="6" t="s">
        <v>1000</v>
      </c>
      <c r="T317" s="5" t="s">
        <v>1001</v>
      </c>
      <c r="U317" s="6"/>
      <c r="V317" s="6" t="s">
        <v>1002</v>
      </c>
      <c r="W317" s="6" t="s">
        <v>333</v>
      </c>
      <c r="X317" s="5" t="s">
        <v>922</v>
      </c>
      <c r="Y317" s="5" t="s">
        <v>812</v>
      </c>
      <c r="Z317" s="5" t="str">
        <f t="shared" si="8"/>
        <v>Critical</v>
      </c>
      <c r="AA317" s="5" t="s">
        <v>923</v>
      </c>
      <c r="AB317" s="6" t="s">
        <v>956</v>
      </c>
      <c r="AC317" s="6" t="s">
        <v>103</v>
      </c>
      <c r="AD317" s="5" t="s">
        <v>940</v>
      </c>
      <c r="AE317" s="5" t="s">
        <v>354</v>
      </c>
      <c r="AF317" s="5" t="s">
        <v>354</v>
      </c>
      <c r="AG317" s="5" t="s">
        <v>354</v>
      </c>
      <c r="AH317" s="5" t="s">
        <v>354</v>
      </c>
      <c r="AI317" s="6" t="str">
        <f t="shared" si="9"/>
        <v>No</v>
      </c>
      <c r="AJ317" s="6" t="s">
        <v>941</v>
      </c>
      <c r="AK317" s="6" t="s">
        <v>121</v>
      </c>
      <c r="AL317" s="6">
        <f>MATCH(AA317,{"Low","Medium","High"},0)*MATCH(AB317,{"Low","Medium","High"},0)*INDEX({3,2,2,1,1},MATCH(X317,{"Core","Vertical extension","Differentiator","Future","Adjacent"},0))</f>
        <v>18</v>
      </c>
      <c r="AM317" s="5"/>
      <c r="AN317" s="5"/>
      <c r="AO317" s="5"/>
      <c r="AP317" s="5"/>
      <c r="AQ317" s="5"/>
      <c r="AR317" s="5"/>
      <c r="AS317" s="5"/>
      <c r="AT317" s="5"/>
      <c r="AU317" s="6" t="s">
        <v>927</v>
      </c>
      <c r="AV317" s="6" t="s">
        <v>1322</v>
      </c>
      <c r="AW317" s="6" t="s">
        <v>1322</v>
      </c>
      <c r="AX317" s="6" t="s">
        <v>929</v>
      </c>
      <c r="AY317" s="6" t="s">
        <v>930</v>
      </c>
      <c r="AZ317" s="6"/>
      <c r="BA317" s="6"/>
      <c r="BB317" s="6"/>
      <c r="BC317" s="6" t="s">
        <v>97</v>
      </c>
      <c r="BD317" s="6" t="s">
        <v>97</v>
      </c>
    </row>
    <row r="318" spans="1:56" ht="32" customHeight="1" x14ac:dyDescent="0.35">
      <c r="A318" s="13" t="s">
        <v>2849</v>
      </c>
      <c r="B318" s="6" t="s">
        <v>2114</v>
      </c>
      <c r="C318" s="5" t="s">
        <v>2115</v>
      </c>
      <c r="D318" s="5" t="s">
        <v>834</v>
      </c>
      <c r="E318" s="5" t="s">
        <v>2850</v>
      </c>
      <c r="F318" s="5" t="s">
        <v>1452</v>
      </c>
      <c r="G318" s="5" t="s">
        <v>1017</v>
      </c>
      <c r="H318" s="5" t="s">
        <v>2851</v>
      </c>
      <c r="I318" s="5" t="s">
        <v>2852</v>
      </c>
      <c r="J318" s="17" t="s">
        <v>121</v>
      </c>
      <c r="K318" s="17" t="s">
        <v>181</v>
      </c>
      <c r="L318" s="5" t="s">
        <v>2853</v>
      </c>
      <c r="M318" s="6" t="s">
        <v>197</v>
      </c>
      <c r="N318" s="6" t="s">
        <v>812</v>
      </c>
      <c r="O318" s="6" t="s">
        <v>121</v>
      </c>
      <c r="P318" s="5" t="s">
        <v>918</v>
      </c>
      <c r="Q318" s="17" t="s">
        <v>182</v>
      </c>
      <c r="R318" s="5"/>
      <c r="S318" s="6" t="s">
        <v>1000</v>
      </c>
      <c r="T318" s="5" t="s">
        <v>1001</v>
      </c>
      <c r="U318" s="6"/>
      <c r="V318" s="6" t="s">
        <v>1002</v>
      </c>
      <c r="W318" s="6" t="s">
        <v>333</v>
      </c>
      <c r="X318" s="5" t="s">
        <v>922</v>
      </c>
      <c r="Y318" s="5" t="s">
        <v>812</v>
      </c>
      <c r="Z318" s="5" t="str">
        <f t="shared" si="8"/>
        <v>Critical</v>
      </c>
      <c r="AA318" s="5" t="s">
        <v>923</v>
      </c>
      <c r="AB318" s="6" t="s">
        <v>956</v>
      </c>
      <c r="AC318" s="6" t="s">
        <v>103</v>
      </c>
      <c r="AD318" s="5" t="s">
        <v>925</v>
      </c>
      <c r="AE318" s="5" t="s">
        <v>354</v>
      </c>
      <c r="AF318" s="5" t="s">
        <v>354</v>
      </c>
      <c r="AG318" s="5" t="s">
        <v>354</v>
      </c>
      <c r="AH318" s="5" t="s">
        <v>354</v>
      </c>
      <c r="AI318" s="6" t="str">
        <f t="shared" si="9"/>
        <v>No</v>
      </c>
      <c r="AJ318" s="6" t="s">
        <v>926</v>
      </c>
      <c r="AK318" s="6" t="s">
        <v>121</v>
      </c>
      <c r="AL318" s="6">
        <f>MATCH(AA318,{"Low","Medium","High"},0)*MATCH(AB318,{"Low","Medium","High"},0)*INDEX({3,2,2,1,1},MATCH(X318,{"Core","Vertical extension","Differentiator","Future","Adjacent"},0))</f>
        <v>18</v>
      </c>
      <c r="AM318" s="5"/>
      <c r="AN318" s="5"/>
      <c r="AO318" s="5"/>
      <c r="AP318" s="5"/>
      <c r="AQ318" s="5"/>
      <c r="AR318" s="5"/>
      <c r="AS318" s="5"/>
      <c r="AT318" s="5"/>
      <c r="AU318" s="6" t="s">
        <v>927</v>
      </c>
      <c r="AV318" s="6" t="s">
        <v>55</v>
      </c>
      <c r="AW318" s="6" t="s">
        <v>55</v>
      </c>
      <c r="AX318" s="6" t="s">
        <v>929</v>
      </c>
      <c r="AY318" s="6" t="s">
        <v>930</v>
      </c>
      <c r="AZ318" s="6"/>
      <c r="BA318" s="6"/>
      <c r="BB318" s="6"/>
      <c r="BC318" s="6" t="s">
        <v>97</v>
      </c>
      <c r="BD318" s="6" t="s">
        <v>97</v>
      </c>
    </row>
    <row r="319" spans="1:56" ht="32" customHeight="1" x14ac:dyDescent="0.35">
      <c r="A319" s="13" t="s">
        <v>2854</v>
      </c>
      <c r="B319" s="6" t="s">
        <v>2114</v>
      </c>
      <c r="C319" s="5" t="s">
        <v>2115</v>
      </c>
      <c r="D319" s="5" t="s">
        <v>834</v>
      </c>
      <c r="E319" s="5" t="s">
        <v>2855</v>
      </c>
      <c r="F319" s="5" t="s">
        <v>1452</v>
      </c>
      <c r="G319" s="5" t="s">
        <v>1017</v>
      </c>
      <c r="H319" s="5" t="s">
        <v>2856</v>
      </c>
      <c r="I319" s="5" t="s">
        <v>2857</v>
      </c>
      <c r="J319" s="17" t="s">
        <v>121</v>
      </c>
      <c r="K319" s="17" t="s">
        <v>181</v>
      </c>
      <c r="L319" s="5" t="s">
        <v>2858</v>
      </c>
      <c r="M319" s="6" t="s">
        <v>197</v>
      </c>
      <c r="N319" s="6" t="s">
        <v>812</v>
      </c>
      <c r="O319" s="6" t="s">
        <v>121</v>
      </c>
      <c r="P319" s="5" t="s">
        <v>918</v>
      </c>
      <c r="Q319" s="17" t="s">
        <v>182</v>
      </c>
      <c r="R319" s="5"/>
      <c r="S319" s="6" t="s">
        <v>1000</v>
      </c>
      <c r="T319" s="5" t="s">
        <v>1001</v>
      </c>
      <c r="U319" s="6"/>
      <c r="V319" s="6" t="s">
        <v>1002</v>
      </c>
      <c r="W319" s="6" t="s">
        <v>333</v>
      </c>
      <c r="X319" s="5" t="s">
        <v>922</v>
      </c>
      <c r="Y319" s="5" t="s">
        <v>812</v>
      </c>
      <c r="Z319" s="5" t="str">
        <f t="shared" si="8"/>
        <v>Critical</v>
      </c>
      <c r="AA319" s="5" t="s">
        <v>923</v>
      </c>
      <c r="AB319" s="6" t="s">
        <v>956</v>
      </c>
      <c r="AC319" s="6" t="s">
        <v>103</v>
      </c>
      <c r="AD319" s="5" t="s">
        <v>925</v>
      </c>
      <c r="AE319" s="5" t="s">
        <v>354</v>
      </c>
      <c r="AF319" s="5" t="s">
        <v>354</v>
      </c>
      <c r="AG319" s="5" t="s">
        <v>354</v>
      </c>
      <c r="AH319" s="5" t="s">
        <v>354</v>
      </c>
      <c r="AI319" s="6" t="str">
        <f t="shared" si="9"/>
        <v>No</v>
      </c>
      <c r="AJ319" s="6" t="s">
        <v>926</v>
      </c>
      <c r="AK319" s="6" t="s">
        <v>121</v>
      </c>
      <c r="AL319" s="6">
        <f>MATCH(AA319,{"Low","Medium","High"},0)*MATCH(AB319,{"Low","Medium","High"},0)*INDEX({3,2,2,1,1},MATCH(X319,{"Core","Vertical extension","Differentiator","Future","Adjacent"},0))</f>
        <v>18</v>
      </c>
      <c r="AM319" s="5"/>
      <c r="AN319" s="5"/>
      <c r="AO319" s="5"/>
      <c r="AP319" s="5"/>
      <c r="AQ319" s="5"/>
      <c r="AR319" s="5"/>
      <c r="AS319" s="5"/>
      <c r="AT319" s="5"/>
      <c r="AU319" s="6" t="s">
        <v>927</v>
      </c>
      <c r="AV319" s="6" t="s">
        <v>55</v>
      </c>
      <c r="AW319" s="6" t="s">
        <v>55</v>
      </c>
      <c r="AX319" s="6" t="s">
        <v>929</v>
      </c>
      <c r="AY319" s="6" t="s">
        <v>930</v>
      </c>
      <c r="AZ319" s="6"/>
      <c r="BA319" s="6"/>
      <c r="BB319" s="6"/>
      <c r="BC319" s="6" t="s">
        <v>97</v>
      </c>
      <c r="BD319" s="6" t="s">
        <v>97</v>
      </c>
    </row>
    <row r="320" spans="1:56" ht="32" customHeight="1" x14ac:dyDescent="0.35">
      <c r="A320" s="13" t="s">
        <v>2859</v>
      </c>
      <c r="B320" s="6" t="s">
        <v>2114</v>
      </c>
      <c r="C320" s="5" t="s">
        <v>2115</v>
      </c>
      <c r="D320" s="5" t="s">
        <v>834</v>
      </c>
      <c r="E320" s="5" t="s">
        <v>2860</v>
      </c>
      <c r="F320" s="5" t="s">
        <v>2242</v>
      </c>
      <c r="G320" s="5" t="s">
        <v>1017</v>
      </c>
      <c r="H320" s="5" t="s">
        <v>2861</v>
      </c>
      <c r="I320" s="5" t="s">
        <v>2862</v>
      </c>
      <c r="J320" s="17" t="s">
        <v>121</v>
      </c>
      <c r="K320" s="17" t="s">
        <v>181</v>
      </c>
      <c r="L320" s="5" t="s">
        <v>2245</v>
      </c>
      <c r="M320" s="6" t="s">
        <v>197</v>
      </c>
      <c r="N320" s="6" t="s">
        <v>812</v>
      </c>
      <c r="O320" s="6" t="s">
        <v>121</v>
      </c>
      <c r="P320" s="5" t="s">
        <v>918</v>
      </c>
      <c r="Q320" s="17" t="s">
        <v>182</v>
      </c>
      <c r="R320" s="5"/>
      <c r="S320" s="6" t="s">
        <v>1000</v>
      </c>
      <c r="T320" s="5" t="s">
        <v>1001</v>
      </c>
      <c r="U320" s="6"/>
      <c r="V320" s="6" t="s">
        <v>1002</v>
      </c>
      <c r="W320" s="6" t="s">
        <v>333</v>
      </c>
      <c r="X320" s="5" t="s">
        <v>922</v>
      </c>
      <c r="Y320" s="5" t="s">
        <v>812</v>
      </c>
      <c r="Z320" s="5" t="str">
        <f t="shared" si="8"/>
        <v>Critical</v>
      </c>
      <c r="AA320" s="5" t="s">
        <v>923</v>
      </c>
      <c r="AB320" s="6" t="s">
        <v>956</v>
      </c>
      <c r="AC320" s="6" t="s">
        <v>103</v>
      </c>
      <c r="AD320" s="5" t="s">
        <v>925</v>
      </c>
      <c r="AE320" s="5" t="s">
        <v>354</v>
      </c>
      <c r="AF320" s="5" t="s">
        <v>354</v>
      </c>
      <c r="AG320" s="5" t="s">
        <v>354</v>
      </c>
      <c r="AH320" s="5" t="s">
        <v>354</v>
      </c>
      <c r="AI320" s="6" t="str">
        <f t="shared" si="9"/>
        <v>No</v>
      </c>
      <c r="AJ320" s="6" t="s">
        <v>926</v>
      </c>
      <c r="AK320" s="6" t="s">
        <v>121</v>
      </c>
      <c r="AL320" s="6">
        <f>MATCH(AA320,{"Low","Medium","High"},0)*MATCH(AB320,{"Low","Medium","High"},0)*INDEX({3,2,2,1,1},MATCH(X320,{"Core","Vertical extension","Differentiator","Future","Adjacent"},0))</f>
        <v>18</v>
      </c>
      <c r="AM320" s="5"/>
      <c r="AN320" s="5"/>
      <c r="AO320" s="5"/>
      <c r="AP320" s="5"/>
      <c r="AQ320" s="5"/>
      <c r="AR320" s="5"/>
      <c r="AS320" s="5"/>
      <c r="AT320" s="5"/>
      <c r="AU320" s="6" t="s">
        <v>927</v>
      </c>
      <c r="AV320" s="6" t="s">
        <v>55</v>
      </c>
      <c r="AW320" s="6" t="s">
        <v>55</v>
      </c>
      <c r="AX320" s="6" t="s">
        <v>929</v>
      </c>
      <c r="AY320" s="6" t="s">
        <v>930</v>
      </c>
      <c r="AZ320" s="6"/>
      <c r="BA320" s="6"/>
      <c r="BB320" s="6"/>
      <c r="BC320" s="6" t="s">
        <v>97</v>
      </c>
      <c r="BD320" s="6" t="s">
        <v>97</v>
      </c>
    </row>
    <row r="321" spans="1:56" ht="32" customHeight="1" x14ac:dyDescent="0.35">
      <c r="A321" s="13" t="s">
        <v>2863</v>
      </c>
      <c r="B321" s="6" t="s">
        <v>2114</v>
      </c>
      <c r="C321" s="5" t="s">
        <v>2115</v>
      </c>
      <c r="D321" s="5" t="s">
        <v>834</v>
      </c>
      <c r="E321" s="5" t="s">
        <v>2864</v>
      </c>
      <c r="F321" s="5" t="s">
        <v>1452</v>
      </c>
      <c r="G321" s="5" t="s">
        <v>2865</v>
      </c>
      <c r="H321" s="5" t="s">
        <v>2866</v>
      </c>
      <c r="I321" s="5" t="s">
        <v>2867</v>
      </c>
      <c r="J321" s="17" t="s">
        <v>121</v>
      </c>
      <c r="K321" s="17" t="s">
        <v>181</v>
      </c>
      <c r="L321" s="5" t="s">
        <v>2868</v>
      </c>
      <c r="M321" s="6" t="s">
        <v>197</v>
      </c>
      <c r="N321" s="6" t="s">
        <v>812</v>
      </c>
      <c r="O321" s="6" t="s">
        <v>121</v>
      </c>
      <c r="P321" s="5" t="s">
        <v>918</v>
      </c>
      <c r="Q321" s="17" t="s">
        <v>182</v>
      </c>
      <c r="R321" s="5"/>
      <c r="S321" s="6" t="s">
        <v>1000</v>
      </c>
      <c r="T321" s="5" t="s">
        <v>1001</v>
      </c>
      <c r="U321" s="6"/>
      <c r="V321" s="6" t="s">
        <v>1002</v>
      </c>
      <c r="W321" s="6" t="s">
        <v>333</v>
      </c>
      <c r="X321" s="5" t="s">
        <v>922</v>
      </c>
      <c r="Y321" s="5" t="s">
        <v>812</v>
      </c>
      <c r="Z321" s="5" t="str">
        <f t="shared" si="8"/>
        <v>Critical</v>
      </c>
      <c r="AA321" s="5" t="s">
        <v>923</v>
      </c>
      <c r="AB321" s="6" t="s">
        <v>956</v>
      </c>
      <c r="AC321" s="6" t="s">
        <v>103</v>
      </c>
      <c r="AD321" s="5" t="s">
        <v>925</v>
      </c>
      <c r="AE321" s="5" t="s">
        <v>354</v>
      </c>
      <c r="AF321" s="5" t="s">
        <v>354</v>
      </c>
      <c r="AG321" s="5" t="s">
        <v>354</v>
      </c>
      <c r="AH321" s="5" t="s">
        <v>354</v>
      </c>
      <c r="AI321" s="6" t="str">
        <f t="shared" si="9"/>
        <v>No</v>
      </c>
      <c r="AJ321" s="6" t="s">
        <v>926</v>
      </c>
      <c r="AK321" s="6" t="s">
        <v>121</v>
      </c>
      <c r="AL321" s="6">
        <f>MATCH(AA321,{"Low","Medium","High"},0)*MATCH(AB321,{"Low","Medium","High"},0)*INDEX({3,2,2,1,1},MATCH(X321,{"Core","Vertical extension","Differentiator","Future","Adjacent"},0))</f>
        <v>18</v>
      </c>
      <c r="AM321" s="5"/>
      <c r="AN321" s="5"/>
      <c r="AO321" s="5"/>
      <c r="AP321" s="5"/>
      <c r="AQ321" s="5"/>
      <c r="AR321" s="5"/>
      <c r="AS321" s="5"/>
      <c r="AT321" s="5"/>
      <c r="AU321" s="6" t="s">
        <v>927</v>
      </c>
      <c r="AV321" s="6" t="s">
        <v>55</v>
      </c>
      <c r="AW321" s="6" t="s">
        <v>55</v>
      </c>
      <c r="AX321" s="6" t="s">
        <v>929</v>
      </c>
      <c r="AY321" s="6" t="s">
        <v>930</v>
      </c>
      <c r="AZ321" s="6"/>
      <c r="BA321" s="6"/>
      <c r="BB321" s="6"/>
      <c r="BC321" s="6" t="s">
        <v>97</v>
      </c>
      <c r="BD321" s="6" t="s">
        <v>97</v>
      </c>
    </row>
    <row r="322" spans="1:56" ht="32" customHeight="1" x14ac:dyDescent="0.35">
      <c r="A322" s="13" t="s">
        <v>2869</v>
      </c>
      <c r="B322" s="6" t="s">
        <v>2114</v>
      </c>
      <c r="C322" s="5" t="s">
        <v>2115</v>
      </c>
      <c r="D322" s="5" t="s">
        <v>834</v>
      </c>
      <c r="E322" s="5" t="s">
        <v>2870</v>
      </c>
      <c r="F322" s="5" t="s">
        <v>831</v>
      </c>
      <c r="G322" s="5" t="s">
        <v>1322</v>
      </c>
      <c r="H322" s="5" t="s">
        <v>2871</v>
      </c>
      <c r="I322" s="5" t="s">
        <v>2872</v>
      </c>
      <c r="J322" s="17" t="s">
        <v>121</v>
      </c>
      <c r="K322" s="17" t="s">
        <v>181</v>
      </c>
      <c r="L322" s="5" t="s">
        <v>2873</v>
      </c>
      <c r="M322" s="6" t="s">
        <v>197</v>
      </c>
      <c r="N322" s="6" t="s">
        <v>812</v>
      </c>
      <c r="O322" s="6" t="s">
        <v>121</v>
      </c>
      <c r="P322" s="5" t="s">
        <v>918</v>
      </c>
      <c r="Q322" s="17" t="s">
        <v>182</v>
      </c>
      <c r="R322" s="5"/>
      <c r="S322" s="6" t="s">
        <v>1000</v>
      </c>
      <c r="T322" s="5" t="s">
        <v>1001</v>
      </c>
      <c r="U322" s="6"/>
      <c r="V322" s="6" t="s">
        <v>1002</v>
      </c>
      <c r="W322" s="6" t="s">
        <v>333</v>
      </c>
      <c r="X322" s="5" t="s">
        <v>922</v>
      </c>
      <c r="Y322" s="5" t="s">
        <v>812</v>
      </c>
      <c r="Z322" s="5" t="str">
        <f t="shared" ref="Z322:Z385" si="10">IF(AL322&gt;=18,"Critical",IF(AL322&gt;=9,"High",IF(AL322&gt;=4,"Medium","Low")))</f>
        <v>Critical</v>
      </c>
      <c r="AA322" s="5" t="s">
        <v>923</v>
      </c>
      <c r="AB322" s="6" t="s">
        <v>956</v>
      </c>
      <c r="AC322" s="6" t="s">
        <v>103</v>
      </c>
      <c r="AD322" s="5" t="s">
        <v>925</v>
      </c>
      <c r="AE322" s="5" t="s">
        <v>354</v>
      </c>
      <c r="AF322" s="5" t="s">
        <v>354</v>
      </c>
      <c r="AG322" s="5" t="s">
        <v>354</v>
      </c>
      <c r="AH322" s="5" t="s">
        <v>354</v>
      </c>
      <c r="AI322" s="6" t="str">
        <f t="shared" ref="AI322:AI385" si="11">IF(AND(AU322="Pass",AE322&lt;&gt;"Not verified",AF322&lt;&gt;"Not verified",AG322&lt;&gt;"Not verified",AH322&lt;&gt;"Not verified",BC322="Yes",BD322="Yes"),"Yes","No")</f>
        <v>No</v>
      </c>
      <c r="AJ322" s="6" t="s">
        <v>926</v>
      </c>
      <c r="AK322" s="6" t="s">
        <v>121</v>
      </c>
      <c r="AL322" s="6">
        <f>MATCH(AA322,{"Low","Medium","High"},0)*MATCH(AB322,{"Low","Medium","High"},0)*INDEX({3,2,2,1,1},MATCH(X322,{"Core","Vertical extension","Differentiator","Future","Adjacent"},0))</f>
        <v>18</v>
      </c>
      <c r="AM322" s="5"/>
      <c r="AN322" s="5"/>
      <c r="AO322" s="5"/>
      <c r="AP322" s="5"/>
      <c r="AQ322" s="5"/>
      <c r="AR322" s="5"/>
      <c r="AS322" s="5"/>
      <c r="AT322" s="5"/>
      <c r="AU322" s="6" t="s">
        <v>927</v>
      </c>
      <c r="AV322" s="6" t="s">
        <v>2161</v>
      </c>
      <c r="AW322" s="6" t="s">
        <v>2161</v>
      </c>
      <c r="AX322" s="6" t="s">
        <v>929</v>
      </c>
      <c r="AY322" s="6" t="s">
        <v>930</v>
      </c>
      <c r="AZ322" s="6"/>
      <c r="BA322" s="6"/>
      <c r="BB322" s="6"/>
      <c r="BC322" s="6" t="s">
        <v>97</v>
      </c>
      <c r="BD322" s="6" t="s">
        <v>97</v>
      </c>
    </row>
    <row r="323" spans="1:56" ht="32" customHeight="1" x14ac:dyDescent="0.35">
      <c r="A323" s="13" t="s">
        <v>2874</v>
      </c>
      <c r="B323" s="6" t="s">
        <v>2114</v>
      </c>
      <c r="C323" s="5" t="s">
        <v>2115</v>
      </c>
      <c r="D323" s="5" t="s">
        <v>834</v>
      </c>
      <c r="E323" s="5" t="s">
        <v>2875</v>
      </c>
      <c r="F323" s="5" t="s">
        <v>1452</v>
      </c>
      <c r="G323" s="5" t="s">
        <v>2876</v>
      </c>
      <c r="H323" s="5" t="s">
        <v>2877</v>
      </c>
      <c r="I323" s="5" t="s">
        <v>2878</v>
      </c>
      <c r="J323" s="17" t="s">
        <v>121</v>
      </c>
      <c r="K323" s="17" t="s">
        <v>181</v>
      </c>
      <c r="L323" s="5" t="s">
        <v>2879</v>
      </c>
      <c r="M323" s="6" t="s">
        <v>197</v>
      </c>
      <c r="N323" s="6" t="s">
        <v>812</v>
      </c>
      <c r="O323" s="6" t="s">
        <v>121</v>
      </c>
      <c r="P323" s="5" t="s">
        <v>918</v>
      </c>
      <c r="Q323" s="17" t="s">
        <v>182</v>
      </c>
      <c r="R323" s="5"/>
      <c r="S323" s="6" t="s">
        <v>1000</v>
      </c>
      <c r="T323" s="5" t="s">
        <v>1001</v>
      </c>
      <c r="U323" s="6"/>
      <c r="V323" s="6" t="s">
        <v>1002</v>
      </c>
      <c r="W323" s="6" t="s">
        <v>333</v>
      </c>
      <c r="X323" s="5" t="s">
        <v>922</v>
      </c>
      <c r="Y323" s="5" t="s">
        <v>812</v>
      </c>
      <c r="Z323" s="5" t="str">
        <f t="shared" si="10"/>
        <v>Critical</v>
      </c>
      <c r="AA323" s="5" t="s">
        <v>923</v>
      </c>
      <c r="AB323" s="6" t="s">
        <v>956</v>
      </c>
      <c r="AC323" s="6" t="s">
        <v>103</v>
      </c>
      <c r="AD323" s="5" t="s">
        <v>925</v>
      </c>
      <c r="AE323" s="5" t="s">
        <v>354</v>
      </c>
      <c r="AF323" s="5" t="s">
        <v>354</v>
      </c>
      <c r="AG323" s="5" t="s">
        <v>354</v>
      </c>
      <c r="AH323" s="5" t="s">
        <v>354</v>
      </c>
      <c r="AI323" s="6" t="str">
        <f t="shared" si="11"/>
        <v>No</v>
      </c>
      <c r="AJ323" s="6" t="s">
        <v>926</v>
      </c>
      <c r="AK323" s="6" t="s">
        <v>121</v>
      </c>
      <c r="AL323" s="6">
        <f>MATCH(AA323,{"Low","Medium","High"},0)*MATCH(AB323,{"Low","Medium","High"},0)*INDEX({3,2,2,1,1},MATCH(X323,{"Core","Vertical extension","Differentiator","Future","Adjacent"},0))</f>
        <v>18</v>
      </c>
      <c r="AM323" s="5"/>
      <c r="AN323" s="5"/>
      <c r="AO323" s="5"/>
      <c r="AP323" s="5"/>
      <c r="AQ323" s="5"/>
      <c r="AR323" s="5"/>
      <c r="AS323" s="5"/>
      <c r="AT323" s="5"/>
      <c r="AU323" s="6" t="s">
        <v>927</v>
      </c>
      <c r="AV323" s="6" t="s">
        <v>55</v>
      </c>
      <c r="AW323" s="6" t="s">
        <v>55</v>
      </c>
      <c r="AX323" s="6" t="s">
        <v>929</v>
      </c>
      <c r="AY323" s="6" t="s">
        <v>930</v>
      </c>
      <c r="AZ323" s="6"/>
      <c r="BA323" s="6"/>
      <c r="BB323" s="6"/>
      <c r="BC323" s="6" t="s">
        <v>97</v>
      </c>
      <c r="BD323" s="6" t="s">
        <v>97</v>
      </c>
    </row>
    <row r="324" spans="1:56" ht="32" customHeight="1" x14ac:dyDescent="0.35">
      <c r="A324" s="13" t="s">
        <v>2880</v>
      </c>
      <c r="B324" s="6" t="s">
        <v>2114</v>
      </c>
      <c r="C324" s="5" t="s">
        <v>2115</v>
      </c>
      <c r="D324" s="5" t="s">
        <v>834</v>
      </c>
      <c r="E324" s="5" t="s">
        <v>2881</v>
      </c>
      <c r="F324" s="5" t="s">
        <v>2164</v>
      </c>
      <c r="G324" s="5" t="s">
        <v>1344</v>
      </c>
      <c r="H324" s="5" t="s">
        <v>2882</v>
      </c>
      <c r="I324" s="5" t="s">
        <v>2883</v>
      </c>
      <c r="J324" s="17" t="s">
        <v>121</v>
      </c>
      <c r="K324" s="17" t="s">
        <v>181</v>
      </c>
      <c r="L324" s="5" t="s">
        <v>2884</v>
      </c>
      <c r="M324" s="6" t="s">
        <v>197</v>
      </c>
      <c r="N324" s="6" t="s">
        <v>812</v>
      </c>
      <c r="O324" s="6" t="s">
        <v>121</v>
      </c>
      <c r="P324" s="5" t="s">
        <v>999</v>
      </c>
      <c r="Q324" s="18" t="s">
        <v>186</v>
      </c>
      <c r="R324" s="5" t="s">
        <v>2327</v>
      </c>
      <c r="S324" s="6" t="s">
        <v>1000</v>
      </c>
      <c r="T324" s="5" t="s">
        <v>1001</v>
      </c>
      <c r="U324" s="6"/>
      <c r="V324" s="6" t="s">
        <v>1002</v>
      </c>
      <c r="W324" s="6" t="s">
        <v>333</v>
      </c>
      <c r="X324" s="5" t="s">
        <v>922</v>
      </c>
      <c r="Y324" s="5" t="s">
        <v>812</v>
      </c>
      <c r="Z324" s="5" t="str">
        <f t="shared" si="10"/>
        <v>Critical</v>
      </c>
      <c r="AA324" s="5" t="s">
        <v>923</v>
      </c>
      <c r="AB324" s="6" t="s">
        <v>956</v>
      </c>
      <c r="AC324" s="6" t="s">
        <v>103</v>
      </c>
      <c r="AD324" s="5" t="s">
        <v>940</v>
      </c>
      <c r="AE324" s="5" t="s">
        <v>354</v>
      </c>
      <c r="AF324" s="5" t="s">
        <v>354</v>
      </c>
      <c r="AG324" s="5" t="s">
        <v>354</v>
      </c>
      <c r="AH324" s="5" t="s">
        <v>354</v>
      </c>
      <c r="AI324" s="6" t="str">
        <f t="shared" si="11"/>
        <v>No</v>
      </c>
      <c r="AJ324" s="6" t="s">
        <v>941</v>
      </c>
      <c r="AK324" s="6" t="s">
        <v>121</v>
      </c>
      <c r="AL324" s="6">
        <f>MATCH(AA324,{"Low","Medium","High"},0)*MATCH(AB324,{"Low","Medium","High"},0)*INDEX({3,2,2,1,1},MATCH(X324,{"Core","Vertical extension","Differentiator","Future","Adjacent"},0))</f>
        <v>18</v>
      </c>
      <c r="AM324" s="5"/>
      <c r="AN324" s="5"/>
      <c r="AO324" s="5"/>
      <c r="AP324" s="5"/>
      <c r="AQ324" s="5"/>
      <c r="AR324" s="5"/>
      <c r="AS324" s="5"/>
      <c r="AT324" s="5"/>
      <c r="AU324" s="6" t="s">
        <v>927</v>
      </c>
      <c r="AV324" s="6" t="s">
        <v>2161</v>
      </c>
      <c r="AW324" s="6" t="s">
        <v>2161</v>
      </c>
      <c r="AX324" s="6" t="s">
        <v>1003</v>
      </c>
      <c r="AY324" s="6" t="s">
        <v>930</v>
      </c>
      <c r="AZ324" s="6"/>
      <c r="BA324" s="6" t="s">
        <v>1862</v>
      </c>
      <c r="BB324" s="6" t="s">
        <v>1863</v>
      </c>
      <c r="BC324" s="6" t="s">
        <v>97</v>
      </c>
      <c r="BD324" s="6" t="s">
        <v>97</v>
      </c>
    </row>
    <row r="325" spans="1:56" ht="32" customHeight="1" x14ac:dyDescent="0.35">
      <c r="A325" s="13" t="s">
        <v>2885</v>
      </c>
      <c r="B325" s="6" t="s">
        <v>2114</v>
      </c>
      <c r="C325" s="5" t="s">
        <v>2115</v>
      </c>
      <c r="D325" s="5" t="s">
        <v>834</v>
      </c>
      <c r="E325" s="5" t="s">
        <v>2886</v>
      </c>
      <c r="F325" s="5" t="s">
        <v>1452</v>
      </c>
      <c r="G325" s="5" t="s">
        <v>1101</v>
      </c>
      <c r="H325" s="5" t="s">
        <v>2887</v>
      </c>
      <c r="I325" s="5" t="s">
        <v>2888</v>
      </c>
      <c r="J325" s="17" t="s">
        <v>121</v>
      </c>
      <c r="K325" s="17" t="s">
        <v>181</v>
      </c>
      <c r="L325" s="5" t="s">
        <v>2889</v>
      </c>
      <c r="M325" s="6" t="s">
        <v>197</v>
      </c>
      <c r="N325" s="6" t="s">
        <v>812</v>
      </c>
      <c r="O325" s="6" t="s">
        <v>121</v>
      </c>
      <c r="P325" s="5" t="s">
        <v>918</v>
      </c>
      <c r="Q325" s="17" t="s">
        <v>182</v>
      </c>
      <c r="R325" s="5"/>
      <c r="S325" s="6" t="s">
        <v>1000</v>
      </c>
      <c r="T325" s="5" t="s">
        <v>1001</v>
      </c>
      <c r="U325" s="6"/>
      <c r="V325" s="6" t="s">
        <v>1002</v>
      </c>
      <c r="W325" s="6" t="s">
        <v>333</v>
      </c>
      <c r="X325" s="5" t="s">
        <v>922</v>
      </c>
      <c r="Y325" s="5" t="s">
        <v>812</v>
      </c>
      <c r="Z325" s="5" t="str">
        <f t="shared" si="10"/>
        <v>Critical</v>
      </c>
      <c r="AA325" s="5" t="s">
        <v>923</v>
      </c>
      <c r="AB325" s="6" t="s">
        <v>956</v>
      </c>
      <c r="AC325" s="6" t="s">
        <v>103</v>
      </c>
      <c r="AD325" s="5" t="s">
        <v>925</v>
      </c>
      <c r="AE325" s="5" t="s">
        <v>354</v>
      </c>
      <c r="AF325" s="5" t="s">
        <v>354</v>
      </c>
      <c r="AG325" s="5" t="s">
        <v>354</v>
      </c>
      <c r="AH325" s="5" t="s">
        <v>354</v>
      </c>
      <c r="AI325" s="6" t="str">
        <f t="shared" si="11"/>
        <v>No</v>
      </c>
      <c r="AJ325" s="6" t="s">
        <v>926</v>
      </c>
      <c r="AK325" s="6" t="s">
        <v>121</v>
      </c>
      <c r="AL325" s="6">
        <f>MATCH(AA325,{"Low","Medium","High"},0)*MATCH(AB325,{"Low","Medium","High"},0)*INDEX({3,2,2,1,1},MATCH(X325,{"Core","Vertical extension","Differentiator","Future","Adjacent"},0))</f>
        <v>18</v>
      </c>
      <c r="AM325" s="5"/>
      <c r="AN325" s="5"/>
      <c r="AO325" s="5"/>
      <c r="AP325" s="5"/>
      <c r="AQ325" s="5"/>
      <c r="AR325" s="5"/>
      <c r="AS325" s="5"/>
      <c r="AT325" s="5"/>
      <c r="AU325" s="6" t="s">
        <v>927</v>
      </c>
      <c r="AV325" s="6" t="s">
        <v>55</v>
      </c>
      <c r="AW325" s="6" t="s">
        <v>55</v>
      </c>
      <c r="AX325" s="6" t="s">
        <v>929</v>
      </c>
      <c r="AY325" s="6" t="s">
        <v>930</v>
      </c>
      <c r="AZ325" s="6"/>
      <c r="BA325" s="6"/>
      <c r="BB325" s="6"/>
      <c r="BC325" s="6" t="s">
        <v>97</v>
      </c>
      <c r="BD325" s="6" t="s">
        <v>97</v>
      </c>
    </row>
    <row r="326" spans="1:56" ht="32" customHeight="1" x14ac:dyDescent="0.35">
      <c r="A326" s="13" t="s">
        <v>2890</v>
      </c>
      <c r="B326" s="6" t="s">
        <v>2114</v>
      </c>
      <c r="C326" s="5" t="s">
        <v>2115</v>
      </c>
      <c r="D326" s="5" t="s">
        <v>834</v>
      </c>
      <c r="E326" s="5" t="s">
        <v>2891</v>
      </c>
      <c r="F326" s="5" t="s">
        <v>1333</v>
      </c>
      <c r="G326" s="5" t="s">
        <v>1101</v>
      </c>
      <c r="H326" s="5" t="s">
        <v>2892</v>
      </c>
      <c r="I326" s="5" t="s">
        <v>2893</v>
      </c>
      <c r="J326" s="17" t="s">
        <v>121</v>
      </c>
      <c r="K326" s="17" t="s">
        <v>181</v>
      </c>
      <c r="L326" s="5" t="s">
        <v>2894</v>
      </c>
      <c r="M326" s="6" t="s">
        <v>197</v>
      </c>
      <c r="N326" s="6" t="s">
        <v>812</v>
      </c>
      <c r="O326" s="6" t="s">
        <v>121</v>
      </c>
      <c r="P326" s="5" t="s">
        <v>918</v>
      </c>
      <c r="Q326" s="17" t="s">
        <v>182</v>
      </c>
      <c r="R326" s="5"/>
      <c r="S326" s="6" t="s">
        <v>1000</v>
      </c>
      <c r="T326" s="5" t="s">
        <v>1001</v>
      </c>
      <c r="U326" s="6"/>
      <c r="V326" s="6" t="s">
        <v>1002</v>
      </c>
      <c r="W326" s="6" t="s">
        <v>333</v>
      </c>
      <c r="X326" s="5" t="s">
        <v>922</v>
      </c>
      <c r="Y326" s="5" t="s">
        <v>812</v>
      </c>
      <c r="Z326" s="5" t="str">
        <f t="shared" si="10"/>
        <v>Critical</v>
      </c>
      <c r="AA326" s="5" t="s">
        <v>923</v>
      </c>
      <c r="AB326" s="6" t="s">
        <v>956</v>
      </c>
      <c r="AC326" s="6" t="s">
        <v>103</v>
      </c>
      <c r="AD326" s="5" t="s">
        <v>925</v>
      </c>
      <c r="AE326" s="5" t="s">
        <v>354</v>
      </c>
      <c r="AF326" s="5" t="s">
        <v>354</v>
      </c>
      <c r="AG326" s="5" t="s">
        <v>354</v>
      </c>
      <c r="AH326" s="5" t="s">
        <v>354</v>
      </c>
      <c r="AI326" s="6" t="str">
        <f t="shared" si="11"/>
        <v>No</v>
      </c>
      <c r="AJ326" s="6" t="s">
        <v>926</v>
      </c>
      <c r="AK326" s="6" t="s">
        <v>121</v>
      </c>
      <c r="AL326" s="6">
        <f>MATCH(AA326,{"Low","Medium","High"},0)*MATCH(AB326,{"Low","Medium","High"},0)*INDEX({3,2,2,1,1},MATCH(X326,{"Core","Vertical extension","Differentiator","Future","Adjacent"},0))</f>
        <v>18</v>
      </c>
      <c r="AM326" s="5"/>
      <c r="AN326" s="5"/>
      <c r="AO326" s="5"/>
      <c r="AP326" s="5"/>
      <c r="AQ326" s="5"/>
      <c r="AR326" s="5"/>
      <c r="AS326" s="5"/>
      <c r="AT326" s="5"/>
      <c r="AU326" s="6" t="s">
        <v>927</v>
      </c>
      <c r="AV326" s="6" t="s">
        <v>55</v>
      </c>
      <c r="AW326" s="6" t="s">
        <v>55</v>
      </c>
      <c r="AX326" s="6" t="s">
        <v>929</v>
      </c>
      <c r="AY326" s="6" t="s">
        <v>930</v>
      </c>
      <c r="AZ326" s="6"/>
      <c r="BA326" s="6"/>
      <c r="BB326" s="6"/>
      <c r="BC326" s="6" t="s">
        <v>97</v>
      </c>
      <c r="BD326" s="6" t="s">
        <v>97</v>
      </c>
    </row>
    <row r="327" spans="1:56" ht="32" customHeight="1" x14ac:dyDescent="0.35">
      <c r="A327" s="13" t="s">
        <v>2895</v>
      </c>
      <c r="B327" s="6" t="s">
        <v>2114</v>
      </c>
      <c r="C327" s="5" t="s">
        <v>2115</v>
      </c>
      <c r="D327" s="5" t="s">
        <v>834</v>
      </c>
      <c r="E327" s="5" t="s">
        <v>2896</v>
      </c>
      <c r="F327" s="5" t="s">
        <v>1452</v>
      </c>
      <c r="G327" s="5" t="s">
        <v>1101</v>
      </c>
      <c r="H327" s="5" t="s">
        <v>2897</v>
      </c>
      <c r="I327" s="5" t="s">
        <v>2898</v>
      </c>
      <c r="J327" s="17" t="s">
        <v>121</v>
      </c>
      <c r="K327" s="17" t="s">
        <v>181</v>
      </c>
      <c r="L327" s="5" t="s">
        <v>2899</v>
      </c>
      <c r="M327" s="6" t="s">
        <v>197</v>
      </c>
      <c r="N327" s="6" t="s">
        <v>812</v>
      </c>
      <c r="O327" s="6" t="s">
        <v>121</v>
      </c>
      <c r="P327" s="5" t="s">
        <v>918</v>
      </c>
      <c r="Q327" s="18" t="s">
        <v>186</v>
      </c>
      <c r="R327" s="5" t="s">
        <v>2192</v>
      </c>
      <c r="S327" s="6" t="s">
        <v>1000</v>
      </c>
      <c r="T327" s="5" t="s">
        <v>1001</v>
      </c>
      <c r="U327" s="6"/>
      <c r="V327" s="6" t="s">
        <v>1002</v>
      </c>
      <c r="W327" s="6" t="s">
        <v>333</v>
      </c>
      <c r="X327" s="5" t="s">
        <v>922</v>
      </c>
      <c r="Y327" s="5" t="s">
        <v>812</v>
      </c>
      <c r="Z327" s="5" t="str">
        <f t="shared" si="10"/>
        <v>Critical</v>
      </c>
      <c r="AA327" s="5" t="s">
        <v>923</v>
      </c>
      <c r="AB327" s="6" t="s">
        <v>956</v>
      </c>
      <c r="AC327" s="6" t="s">
        <v>103</v>
      </c>
      <c r="AD327" s="5" t="s">
        <v>940</v>
      </c>
      <c r="AE327" s="5" t="s">
        <v>354</v>
      </c>
      <c r="AF327" s="5" t="s">
        <v>354</v>
      </c>
      <c r="AG327" s="5" t="s">
        <v>354</v>
      </c>
      <c r="AH327" s="5" t="s">
        <v>354</v>
      </c>
      <c r="AI327" s="6" t="str">
        <f t="shared" si="11"/>
        <v>No</v>
      </c>
      <c r="AJ327" s="6" t="s">
        <v>941</v>
      </c>
      <c r="AK327" s="6" t="s">
        <v>121</v>
      </c>
      <c r="AL327" s="6">
        <f>MATCH(AA327,{"Low","Medium","High"},0)*MATCH(AB327,{"Low","Medium","High"},0)*INDEX({3,2,2,1,1},MATCH(X327,{"Core","Vertical extension","Differentiator","Future","Adjacent"},0))</f>
        <v>18</v>
      </c>
      <c r="AM327" s="5"/>
      <c r="AN327" s="5"/>
      <c r="AO327" s="5"/>
      <c r="AP327" s="5"/>
      <c r="AQ327" s="5"/>
      <c r="AR327" s="5"/>
      <c r="AS327" s="5"/>
      <c r="AT327" s="5"/>
      <c r="AU327" s="6" t="s">
        <v>927</v>
      </c>
      <c r="AV327" s="6" t="s">
        <v>55</v>
      </c>
      <c r="AW327" s="6" t="s">
        <v>55</v>
      </c>
      <c r="AX327" s="6" t="s">
        <v>929</v>
      </c>
      <c r="AY327" s="6" t="s">
        <v>930</v>
      </c>
      <c r="AZ327" s="6"/>
      <c r="BA327" s="6" t="s">
        <v>2193</v>
      </c>
      <c r="BB327" s="6" t="s">
        <v>2194</v>
      </c>
      <c r="BC327" s="6" t="s">
        <v>97</v>
      </c>
      <c r="BD327" s="6" t="s">
        <v>97</v>
      </c>
    </row>
    <row r="328" spans="1:56" ht="32" customHeight="1" x14ac:dyDescent="0.35">
      <c r="A328" s="13" t="s">
        <v>2900</v>
      </c>
      <c r="B328" s="6" t="s">
        <v>2114</v>
      </c>
      <c r="C328" s="5" t="s">
        <v>2115</v>
      </c>
      <c r="D328" s="5" t="s">
        <v>834</v>
      </c>
      <c r="E328" s="5" t="s">
        <v>2901</v>
      </c>
      <c r="F328" s="5" t="s">
        <v>1333</v>
      </c>
      <c r="G328" s="5" t="s">
        <v>1101</v>
      </c>
      <c r="H328" s="5" t="s">
        <v>2902</v>
      </c>
      <c r="I328" s="5" t="s">
        <v>2903</v>
      </c>
      <c r="J328" s="17" t="s">
        <v>121</v>
      </c>
      <c r="K328" s="17" t="s">
        <v>181</v>
      </c>
      <c r="L328" s="5" t="s">
        <v>2904</v>
      </c>
      <c r="M328" s="6" t="s">
        <v>197</v>
      </c>
      <c r="N328" s="6" t="s">
        <v>812</v>
      </c>
      <c r="O328" s="6" t="s">
        <v>121</v>
      </c>
      <c r="P328" s="5" t="s">
        <v>918</v>
      </c>
      <c r="Q328" s="17" t="s">
        <v>182</v>
      </c>
      <c r="R328" s="5"/>
      <c r="S328" s="6" t="s">
        <v>1000</v>
      </c>
      <c r="T328" s="5" t="s">
        <v>1001</v>
      </c>
      <c r="U328" s="6"/>
      <c r="V328" s="6" t="s">
        <v>1002</v>
      </c>
      <c r="W328" s="6" t="s">
        <v>333</v>
      </c>
      <c r="X328" s="5" t="s">
        <v>922</v>
      </c>
      <c r="Y328" s="5" t="s">
        <v>812</v>
      </c>
      <c r="Z328" s="5" t="str">
        <f t="shared" si="10"/>
        <v>Critical</v>
      </c>
      <c r="AA328" s="5" t="s">
        <v>923</v>
      </c>
      <c r="AB328" s="6" t="s">
        <v>956</v>
      </c>
      <c r="AC328" s="6" t="s">
        <v>103</v>
      </c>
      <c r="AD328" s="5" t="s">
        <v>925</v>
      </c>
      <c r="AE328" s="5" t="s">
        <v>354</v>
      </c>
      <c r="AF328" s="5" t="s">
        <v>354</v>
      </c>
      <c r="AG328" s="5" t="s">
        <v>354</v>
      </c>
      <c r="AH328" s="5" t="s">
        <v>354</v>
      </c>
      <c r="AI328" s="6" t="str">
        <f t="shared" si="11"/>
        <v>No</v>
      </c>
      <c r="AJ328" s="6" t="s">
        <v>926</v>
      </c>
      <c r="AK328" s="6" t="s">
        <v>121</v>
      </c>
      <c r="AL328" s="6">
        <f>MATCH(AA328,{"Low","Medium","High"},0)*MATCH(AB328,{"Low","Medium","High"},0)*INDEX({3,2,2,1,1},MATCH(X328,{"Core","Vertical extension","Differentiator","Future","Adjacent"},0))</f>
        <v>18</v>
      </c>
      <c r="AM328" s="5"/>
      <c r="AN328" s="5"/>
      <c r="AO328" s="5"/>
      <c r="AP328" s="5"/>
      <c r="AQ328" s="5"/>
      <c r="AR328" s="5"/>
      <c r="AS328" s="5"/>
      <c r="AT328" s="5"/>
      <c r="AU328" s="6" t="s">
        <v>927</v>
      </c>
      <c r="AV328" s="6" t="s">
        <v>55</v>
      </c>
      <c r="AW328" s="6" t="s">
        <v>55</v>
      </c>
      <c r="AX328" s="6" t="s">
        <v>929</v>
      </c>
      <c r="AY328" s="6" t="s">
        <v>930</v>
      </c>
      <c r="AZ328" s="6"/>
      <c r="BA328" s="6"/>
      <c r="BB328" s="6"/>
      <c r="BC328" s="6" t="s">
        <v>97</v>
      </c>
      <c r="BD328" s="6" t="s">
        <v>97</v>
      </c>
    </row>
    <row r="329" spans="1:56" ht="32" customHeight="1" x14ac:dyDescent="0.35">
      <c r="A329" s="13" t="s">
        <v>2905</v>
      </c>
      <c r="B329" s="6" t="s">
        <v>2114</v>
      </c>
      <c r="C329" s="5" t="s">
        <v>2115</v>
      </c>
      <c r="D329" s="5" t="s">
        <v>834</v>
      </c>
      <c r="E329" s="5" t="s">
        <v>2906</v>
      </c>
      <c r="F329" s="5" t="s">
        <v>1452</v>
      </c>
      <c r="G329" s="5" t="s">
        <v>1101</v>
      </c>
      <c r="H329" s="5" t="s">
        <v>2907</v>
      </c>
      <c r="I329" s="5" t="s">
        <v>2908</v>
      </c>
      <c r="J329" s="17" t="s">
        <v>121</v>
      </c>
      <c r="K329" s="17" t="s">
        <v>181</v>
      </c>
      <c r="L329" s="5" t="s">
        <v>2909</v>
      </c>
      <c r="M329" s="6" t="s">
        <v>197</v>
      </c>
      <c r="N329" s="6" t="s">
        <v>812</v>
      </c>
      <c r="O329" s="6" t="s">
        <v>121</v>
      </c>
      <c r="P329" s="5" t="s">
        <v>918</v>
      </c>
      <c r="Q329" s="17" t="s">
        <v>182</v>
      </c>
      <c r="R329" s="5"/>
      <c r="S329" s="6" t="s">
        <v>1000</v>
      </c>
      <c r="T329" s="5" t="s">
        <v>1001</v>
      </c>
      <c r="U329" s="6"/>
      <c r="V329" s="6" t="s">
        <v>1002</v>
      </c>
      <c r="W329" s="6" t="s">
        <v>333</v>
      </c>
      <c r="X329" s="5" t="s">
        <v>922</v>
      </c>
      <c r="Y329" s="5" t="s">
        <v>812</v>
      </c>
      <c r="Z329" s="5" t="str">
        <f t="shared" si="10"/>
        <v>Critical</v>
      </c>
      <c r="AA329" s="5" t="s">
        <v>923</v>
      </c>
      <c r="AB329" s="6" t="s">
        <v>956</v>
      </c>
      <c r="AC329" s="6" t="s">
        <v>103</v>
      </c>
      <c r="AD329" s="5" t="s">
        <v>925</v>
      </c>
      <c r="AE329" s="5" t="s">
        <v>354</v>
      </c>
      <c r="AF329" s="5" t="s">
        <v>354</v>
      </c>
      <c r="AG329" s="5" t="s">
        <v>354</v>
      </c>
      <c r="AH329" s="5" t="s">
        <v>354</v>
      </c>
      <c r="AI329" s="6" t="str">
        <f t="shared" si="11"/>
        <v>No</v>
      </c>
      <c r="AJ329" s="6" t="s">
        <v>926</v>
      </c>
      <c r="AK329" s="6" t="s">
        <v>121</v>
      </c>
      <c r="AL329" s="6">
        <f>MATCH(AA329,{"Low","Medium","High"},0)*MATCH(AB329,{"Low","Medium","High"},0)*INDEX({3,2,2,1,1},MATCH(X329,{"Core","Vertical extension","Differentiator","Future","Adjacent"},0))</f>
        <v>18</v>
      </c>
      <c r="AM329" s="5"/>
      <c r="AN329" s="5"/>
      <c r="AO329" s="5"/>
      <c r="AP329" s="5"/>
      <c r="AQ329" s="5"/>
      <c r="AR329" s="5"/>
      <c r="AS329" s="5"/>
      <c r="AT329" s="5"/>
      <c r="AU329" s="6" t="s">
        <v>927</v>
      </c>
      <c r="AV329" s="6" t="s">
        <v>55</v>
      </c>
      <c r="AW329" s="6" t="s">
        <v>55</v>
      </c>
      <c r="AX329" s="6" t="s">
        <v>929</v>
      </c>
      <c r="AY329" s="6" t="s">
        <v>930</v>
      </c>
      <c r="AZ329" s="6"/>
      <c r="BA329" s="6"/>
      <c r="BB329" s="6"/>
      <c r="BC329" s="6" t="s">
        <v>97</v>
      </c>
      <c r="BD329" s="6" t="s">
        <v>97</v>
      </c>
    </row>
    <row r="330" spans="1:56" ht="32" customHeight="1" x14ac:dyDescent="0.35">
      <c r="A330" s="13" t="s">
        <v>2910</v>
      </c>
      <c r="B330" s="6" t="s">
        <v>2114</v>
      </c>
      <c r="C330" s="5" t="s">
        <v>2115</v>
      </c>
      <c r="D330" s="5" t="s">
        <v>834</v>
      </c>
      <c r="E330" s="5" t="s">
        <v>2911</v>
      </c>
      <c r="F330" s="5" t="s">
        <v>1452</v>
      </c>
      <c r="G330" s="5" t="s">
        <v>1101</v>
      </c>
      <c r="H330" s="5" t="s">
        <v>2912</v>
      </c>
      <c r="I330" s="5" t="s">
        <v>2913</v>
      </c>
      <c r="J330" s="17" t="s">
        <v>121</v>
      </c>
      <c r="K330" s="17" t="s">
        <v>181</v>
      </c>
      <c r="L330" s="5" t="s">
        <v>2914</v>
      </c>
      <c r="M330" s="6" t="s">
        <v>197</v>
      </c>
      <c r="N330" s="6" t="s">
        <v>812</v>
      </c>
      <c r="O330" s="6" t="s">
        <v>121</v>
      </c>
      <c r="P330" s="5" t="s">
        <v>918</v>
      </c>
      <c r="Q330" s="18" t="s">
        <v>186</v>
      </c>
      <c r="R330" s="5" t="s">
        <v>2031</v>
      </c>
      <c r="S330" s="6" t="s">
        <v>1000</v>
      </c>
      <c r="T330" s="5" t="s">
        <v>1001</v>
      </c>
      <c r="U330" s="6"/>
      <c r="V330" s="6" t="s">
        <v>1002</v>
      </c>
      <c r="W330" s="6" t="s">
        <v>333</v>
      </c>
      <c r="X330" s="5" t="s">
        <v>922</v>
      </c>
      <c r="Y330" s="5" t="s">
        <v>812</v>
      </c>
      <c r="Z330" s="5" t="str">
        <f t="shared" si="10"/>
        <v>Critical</v>
      </c>
      <c r="AA330" s="5" t="s">
        <v>923</v>
      </c>
      <c r="AB330" s="6" t="s">
        <v>956</v>
      </c>
      <c r="AC330" s="6" t="s">
        <v>103</v>
      </c>
      <c r="AD330" s="5" t="s">
        <v>940</v>
      </c>
      <c r="AE330" s="5" t="s">
        <v>354</v>
      </c>
      <c r="AF330" s="5" t="s">
        <v>354</v>
      </c>
      <c r="AG330" s="5" t="s">
        <v>354</v>
      </c>
      <c r="AH330" s="5" t="s">
        <v>354</v>
      </c>
      <c r="AI330" s="6" t="str">
        <f t="shared" si="11"/>
        <v>No</v>
      </c>
      <c r="AJ330" s="6" t="s">
        <v>941</v>
      </c>
      <c r="AK330" s="6" t="s">
        <v>121</v>
      </c>
      <c r="AL330" s="6">
        <f>MATCH(AA330,{"Low","Medium","High"},0)*MATCH(AB330,{"Low","Medium","High"},0)*INDEX({3,2,2,1,1},MATCH(X330,{"Core","Vertical extension","Differentiator","Future","Adjacent"},0))</f>
        <v>18</v>
      </c>
      <c r="AM330" s="5"/>
      <c r="AN330" s="5"/>
      <c r="AO330" s="5"/>
      <c r="AP330" s="5"/>
      <c r="AQ330" s="5"/>
      <c r="AR330" s="5"/>
      <c r="AS330" s="5"/>
      <c r="AT330" s="5"/>
      <c r="AU330" s="6" t="s">
        <v>927</v>
      </c>
      <c r="AV330" s="6" t="s">
        <v>55</v>
      </c>
      <c r="AW330" s="6" t="s">
        <v>55</v>
      </c>
      <c r="AX330" s="6" t="s">
        <v>929</v>
      </c>
      <c r="AY330" s="6" t="s">
        <v>930</v>
      </c>
      <c r="AZ330" s="6"/>
      <c r="BA330" s="6" t="s">
        <v>2915</v>
      </c>
      <c r="BB330" s="6" t="s">
        <v>1148</v>
      </c>
      <c r="BC330" s="6" t="s">
        <v>97</v>
      </c>
      <c r="BD330" s="6" t="s">
        <v>97</v>
      </c>
    </row>
    <row r="331" spans="1:56" ht="32" customHeight="1" x14ac:dyDescent="0.35">
      <c r="A331" s="13" t="s">
        <v>2916</v>
      </c>
      <c r="B331" s="6" t="s">
        <v>2114</v>
      </c>
      <c r="C331" s="5" t="s">
        <v>2115</v>
      </c>
      <c r="D331" s="5" t="s">
        <v>834</v>
      </c>
      <c r="E331" s="5" t="s">
        <v>2917</v>
      </c>
      <c r="F331" s="5" t="s">
        <v>1452</v>
      </c>
      <c r="G331" s="5" t="s">
        <v>1101</v>
      </c>
      <c r="H331" s="5" t="s">
        <v>2918</v>
      </c>
      <c r="I331" s="5" t="s">
        <v>2919</v>
      </c>
      <c r="J331" s="17" t="s">
        <v>121</v>
      </c>
      <c r="K331" s="17" t="s">
        <v>181</v>
      </c>
      <c r="L331" s="5" t="s">
        <v>2920</v>
      </c>
      <c r="M331" s="6" t="s">
        <v>197</v>
      </c>
      <c r="N331" s="6" t="s">
        <v>812</v>
      </c>
      <c r="O331" s="6" t="s">
        <v>121</v>
      </c>
      <c r="P331" s="5" t="s">
        <v>918</v>
      </c>
      <c r="Q331" s="18" t="s">
        <v>186</v>
      </c>
      <c r="R331" s="5" t="s">
        <v>2353</v>
      </c>
      <c r="S331" s="6" t="s">
        <v>1000</v>
      </c>
      <c r="T331" s="5" t="s">
        <v>1001</v>
      </c>
      <c r="U331" s="6"/>
      <c r="V331" s="6" t="s">
        <v>1002</v>
      </c>
      <c r="W331" s="6" t="s">
        <v>333</v>
      </c>
      <c r="X331" s="5" t="s">
        <v>922</v>
      </c>
      <c r="Y331" s="5" t="s">
        <v>812</v>
      </c>
      <c r="Z331" s="5" t="str">
        <f t="shared" si="10"/>
        <v>Critical</v>
      </c>
      <c r="AA331" s="5" t="s">
        <v>923</v>
      </c>
      <c r="AB331" s="6" t="s">
        <v>956</v>
      </c>
      <c r="AC331" s="6" t="s">
        <v>103</v>
      </c>
      <c r="AD331" s="5" t="s">
        <v>940</v>
      </c>
      <c r="AE331" s="5" t="s">
        <v>354</v>
      </c>
      <c r="AF331" s="5" t="s">
        <v>354</v>
      </c>
      <c r="AG331" s="5" t="s">
        <v>354</v>
      </c>
      <c r="AH331" s="5" t="s">
        <v>354</v>
      </c>
      <c r="AI331" s="6" t="str">
        <f t="shared" si="11"/>
        <v>No</v>
      </c>
      <c r="AJ331" s="6" t="s">
        <v>941</v>
      </c>
      <c r="AK331" s="6" t="s">
        <v>121</v>
      </c>
      <c r="AL331" s="6">
        <f>MATCH(AA331,{"Low","Medium","High"},0)*MATCH(AB331,{"Low","Medium","High"},0)*INDEX({3,2,2,1,1},MATCH(X331,{"Core","Vertical extension","Differentiator","Future","Adjacent"},0))</f>
        <v>18</v>
      </c>
      <c r="AM331" s="5"/>
      <c r="AN331" s="5"/>
      <c r="AO331" s="5"/>
      <c r="AP331" s="5"/>
      <c r="AQ331" s="5"/>
      <c r="AR331" s="5"/>
      <c r="AS331" s="5"/>
      <c r="AT331" s="5"/>
      <c r="AU331" s="6" t="s">
        <v>927</v>
      </c>
      <c r="AV331" s="6" t="s">
        <v>55</v>
      </c>
      <c r="AW331" s="6" t="s">
        <v>55</v>
      </c>
      <c r="AX331" s="6" t="s">
        <v>929</v>
      </c>
      <c r="AY331" s="6" t="s">
        <v>930</v>
      </c>
      <c r="AZ331" s="6"/>
      <c r="BA331" s="6" t="s">
        <v>2354</v>
      </c>
      <c r="BB331" s="6" t="s">
        <v>2355</v>
      </c>
      <c r="BC331" s="6" t="s">
        <v>97</v>
      </c>
      <c r="BD331" s="6" t="s">
        <v>97</v>
      </c>
    </row>
    <row r="332" spans="1:56" ht="32" customHeight="1" x14ac:dyDescent="0.35">
      <c r="A332" s="13" t="s">
        <v>2921</v>
      </c>
      <c r="B332" s="6" t="s">
        <v>2114</v>
      </c>
      <c r="C332" s="5" t="s">
        <v>2115</v>
      </c>
      <c r="D332" s="5" t="s">
        <v>834</v>
      </c>
      <c r="E332" s="5" t="s">
        <v>2922</v>
      </c>
      <c r="F332" s="5" t="s">
        <v>1452</v>
      </c>
      <c r="G332" s="5" t="s">
        <v>2923</v>
      </c>
      <c r="H332" s="5" t="s">
        <v>2924</v>
      </c>
      <c r="I332" s="5" t="s">
        <v>2925</v>
      </c>
      <c r="J332" s="17" t="s">
        <v>121</v>
      </c>
      <c r="K332" s="17" t="s">
        <v>181</v>
      </c>
      <c r="L332" s="5" t="s">
        <v>2926</v>
      </c>
      <c r="M332" s="6" t="s">
        <v>197</v>
      </c>
      <c r="N332" s="6" t="s">
        <v>812</v>
      </c>
      <c r="O332" s="6" t="s">
        <v>121</v>
      </c>
      <c r="P332" s="5" t="s">
        <v>918</v>
      </c>
      <c r="Q332" s="17" t="s">
        <v>182</v>
      </c>
      <c r="R332" s="5"/>
      <c r="S332" s="6" t="s">
        <v>1000</v>
      </c>
      <c r="T332" s="5" t="s">
        <v>1001</v>
      </c>
      <c r="U332" s="6"/>
      <c r="V332" s="6" t="s">
        <v>1002</v>
      </c>
      <c r="W332" s="6" t="s">
        <v>333</v>
      </c>
      <c r="X332" s="5" t="s">
        <v>922</v>
      </c>
      <c r="Y332" s="5" t="s">
        <v>812</v>
      </c>
      <c r="Z332" s="5" t="str">
        <f t="shared" si="10"/>
        <v>Critical</v>
      </c>
      <c r="AA332" s="5" t="s">
        <v>923</v>
      </c>
      <c r="AB332" s="6" t="s">
        <v>956</v>
      </c>
      <c r="AC332" s="6" t="s">
        <v>103</v>
      </c>
      <c r="AD332" s="5" t="s">
        <v>925</v>
      </c>
      <c r="AE332" s="5" t="s">
        <v>354</v>
      </c>
      <c r="AF332" s="5" t="s">
        <v>354</v>
      </c>
      <c r="AG332" s="5" t="s">
        <v>354</v>
      </c>
      <c r="AH332" s="5" t="s">
        <v>354</v>
      </c>
      <c r="AI332" s="6" t="str">
        <f t="shared" si="11"/>
        <v>No</v>
      </c>
      <c r="AJ332" s="6" t="s">
        <v>926</v>
      </c>
      <c r="AK332" s="6" t="s">
        <v>121</v>
      </c>
      <c r="AL332" s="6">
        <f>MATCH(AA332,{"Low","Medium","High"},0)*MATCH(AB332,{"Low","Medium","High"},0)*INDEX({3,2,2,1,1},MATCH(X332,{"Core","Vertical extension","Differentiator","Future","Adjacent"},0))</f>
        <v>18</v>
      </c>
      <c r="AM332" s="5"/>
      <c r="AN332" s="5"/>
      <c r="AO332" s="5"/>
      <c r="AP332" s="5"/>
      <c r="AQ332" s="5"/>
      <c r="AR332" s="5"/>
      <c r="AS332" s="5"/>
      <c r="AT332" s="5"/>
      <c r="AU332" s="6" t="s">
        <v>927</v>
      </c>
      <c r="AV332" s="6" t="s">
        <v>55</v>
      </c>
      <c r="AW332" s="6" t="s">
        <v>55</v>
      </c>
      <c r="AX332" s="6" t="s">
        <v>929</v>
      </c>
      <c r="AY332" s="6" t="s">
        <v>930</v>
      </c>
      <c r="AZ332" s="6"/>
      <c r="BA332" s="6"/>
      <c r="BB332" s="6"/>
      <c r="BC332" s="6" t="s">
        <v>97</v>
      </c>
      <c r="BD332" s="6" t="s">
        <v>97</v>
      </c>
    </row>
    <row r="333" spans="1:56" ht="32" customHeight="1" x14ac:dyDescent="0.35">
      <c r="A333" s="13" t="s">
        <v>2927</v>
      </c>
      <c r="B333" s="6" t="s">
        <v>2114</v>
      </c>
      <c r="C333" s="5" t="s">
        <v>2115</v>
      </c>
      <c r="D333" s="5" t="s">
        <v>834</v>
      </c>
      <c r="E333" s="5" t="s">
        <v>2928</v>
      </c>
      <c r="F333" s="5" t="s">
        <v>2203</v>
      </c>
      <c r="G333" s="5" t="s">
        <v>1858</v>
      </c>
      <c r="H333" s="5" t="s">
        <v>2929</v>
      </c>
      <c r="I333" s="5" t="s">
        <v>2930</v>
      </c>
      <c r="J333" s="17" t="s">
        <v>121</v>
      </c>
      <c r="K333" s="17" t="s">
        <v>181</v>
      </c>
      <c r="L333" s="5" t="s">
        <v>2931</v>
      </c>
      <c r="M333" s="6" t="s">
        <v>197</v>
      </c>
      <c r="N333" s="6" t="s">
        <v>812</v>
      </c>
      <c r="O333" s="6" t="s">
        <v>121</v>
      </c>
      <c r="P333" s="5" t="s">
        <v>918</v>
      </c>
      <c r="Q333" s="17" t="s">
        <v>182</v>
      </c>
      <c r="R333" s="5"/>
      <c r="S333" s="6" t="s">
        <v>1000</v>
      </c>
      <c r="T333" s="5" t="s">
        <v>1001</v>
      </c>
      <c r="U333" s="6"/>
      <c r="V333" s="6" t="s">
        <v>1002</v>
      </c>
      <c r="W333" s="6" t="s">
        <v>333</v>
      </c>
      <c r="X333" s="5" t="s">
        <v>922</v>
      </c>
      <c r="Y333" s="5" t="s">
        <v>812</v>
      </c>
      <c r="Z333" s="5" t="str">
        <f t="shared" si="10"/>
        <v>Critical</v>
      </c>
      <c r="AA333" s="5" t="s">
        <v>923</v>
      </c>
      <c r="AB333" s="6" t="s">
        <v>956</v>
      </c>
      <c r="AC333" s="6" t="s">
        <v>103</v>
      </c>
      <c r="AD333" s="5" t="s">
        <v>925</v>
      </c>
      <c r="AE333" s="5" t="s">
        <v>354</v>
      </c>
      <c r="AF333" s="5" t="s">
        <v>354</v>
      </c>
      <c r="AG333" s="5" t="s">
        <v>354</v>
      </c>
      <c r="AH333" s="5" t="s">
        <v>354</v>
      </c>
      <c r="AI333" s="6" t="str">
        <f t="shared" si="11"/>
        <v>No</v>
      </c>
      <c r="AJ333" s="6" t="s">
        <v>926</v>
      </c>
      <c r="AK333" s="6" t="s">
        <v>121</v>
      </c>
      <c r="AL333" s="6">
        <f>MATCH(AA333,{"Low","Medium","High"},0)*MATCH(AB333,{"Low","Medium","High"},0)*INDEX({3,2,2,1,1},MATCH(X333,{"Core","Vertical extension","Differentiator","Future","Adjacent"},0))</f>
        <v>18</v>
      </c>
      <c r="AM333" s="5"/>
      <c r="AN333" s="5"/>
      <c r="AO333" s="5"/>
      <c r="AP333" s="5"/>
      <c r="AQ333" s="5"/>
      <c r="AR333" s="5"/>
      <c r="AS333" s="5"/>
      <c r="AT333" s="5"/>
      <c r="AU333" s="6" t="s">
        <v>927</v>
      </c>
      <c r="AV333" s="6" t="s">
        <v>2161</v>
      </c>
      <c r="AW333" s="6" t="s">
        <v>2161</v>
      </c>
      <c r="AX333" s="6" t="s">
        <v>929</v>
      </c>
      <c r="AY333" s="6" t="s">
        <v>930</v>
      </c>
      <c r="AZ333" s="6"/>
      <c r="BA333" s="6"/>
      <c r="BB333" s="6"/>
      <c r="BC333" s="6" t="s">
        <v>97</v>
      </c>
      <c r="BD333" s="6" t="s">
        <v>97</v>
      </c>
    </row>
    <row r="334" spans="1:56" ht="32" customHeight="1" x14ac:dyDescent="0.35">
      <c r="A334" s="13" t="s">
        <v>2932</v>
      </c>
      <c r="B334" s="6" t="s">
        <v>2114</v>
      </c>
      <c r="C334" s="5" t="s">
        <v>2115</v>
      </c>
      <c r="D334" s="5" t="s">
        <v>834</v>
      </c>
      <c r="E334" s="5" t="s">
        <v>2933</v>
      </c>
      <c r="F334" s="5" t="s">
        <v>1452</v>
      </c>
      <c r="G334" s="5" t="s">
        <v>1322</v>
      </c>
      <c r="H334" s="5" t="s">
        <v>2934</v>
      </c>
      <c r="I334" s="5" t="s">
        <v>2935</v>
      </c>
      <c r="J334" s="17" t="s">
        <v>121</v>
      </c>
      <c r="K334" s="17" t="s">
        <v>181</v>
      </c>
      <c r="L334" s="5" t="s">
        <v>2936</v>
      </c>
      <c r="M334" s="6" t="s">
        <v>197</v>
      </c>
      <c r="N334" s="6" t="s">
        <v>812</v>
      </c>
      <c r="O334" s="6" t="s">
        <v>121</v>
      </c>
      <c r="P334" s="5" t="s">
        <v>918</v>
      </c>
      <c r="Q334" s="17" t="s">
        <v>182</v>
      </c>
      <c r="R334" s="5"/>
      <c r="S334" s="6" t="s">
        <v>1000</v>
      </c>
      <c r="T334" s="5" t="s">
        <v>1001</v>
      </c>
      <c r="U334" s="6"/>
      <c r="V334" s="6" t="s">
        <v>1002</v>
      </c>
      <c r="W334" s="6" t="s">
        <v>333</v>
      </c>
      <c r="X334" s="5" t="s">
        <v>922</v>
      </c>
      <c r="Y334" s="5" t="s">
        <v>812</v>
      </c>
      <c r="Z334" s="5" t="str">
        <f t="shared" si="10"/>
        <v>Critical</v>
      </c>
      <c r="AA334" s="5" t="s">
        <v>923</v>
      </c>
      <c r="AB334" s="6" t="s">
        <v>956</v>
      </c>
      <c r="AC334" s="6" t="s">
        <v>103</v>
      </c>
      <c r="AD334" s="5" t="s">
        <v>925</v>
      </c>
      <c r="AE334" s="5" t="s">
        <v>354</v>
      </c>
      <c r="AF334" s="5" t="s">
        <v>354</v>
      </c>
      <c r="AG334" s="5" t="s">
        <v>354</v>
      </c>
      <c r="AH334" s="5" t="s">
        <v>354</v>
      </c>
      <c r="AI334" s="6" t="str">
        <f t="shared" si="11"/>
        <v>No</v>
      </c>
      <c r="AJ334" s="6" t="s">
        <v>926</v>
      </c>
      <c r="AK334" s="6" t="s">
        <v>121</v>
      </c>
      <c r="AL334" s="6">
        <f>MATCH(AA334,{"Low","Medium","High"},0)*MATCH(AB334,{"Low","Medium","High"},0)*INDEX({3,2,2,1,1},MATCH(X334,{"Core","Vertical extension","Differentiator","Future","Adjacent"},0))</f>
        <v>18</v>
      </c>
      <c r="AM334" s="5"/>
      <c r="AN334" s="5"/>
      <c r="AO334" s="5"/>
      <c r="AP334" s="5"/>
      <c r="AQ334" s="5"/>
      <c r="AR334" s="5"/>
      <c r="AS334" s="5"/>
      <c r="AT334" s="5"/>
      <c r="AU334" s="6" t="s">
        <v>927</v>
      </c>
      <c r="AV334" s="6" t="s">
        <v>55</v>
      </c>
      <c r="AW334" s="6" t="s">
        <v>55</v>
      </c>
      <c r="AX334" s="6" t="s">
        <v>929</v>
      </c>
      <c r="AY334" s="6" t="s">
        <v>930</v>
      </c>
      <c r="AZ334" s="6"/>
      <c r="BA334" s="6"/>
      <c r="BB334" s="6"/>
      <c r="BC334" s="6" t="s">
        <v>97</v>
      </c>
      <c r="BD334" s="6" t="s">
        <v>97</v>
      </c>
    </row>
    <row r="335" spans="1:56" ht="32" customHeight="1" x14ac:dyDescent="0.35">
      <c r="A335" s="13" t="s">
        <v>2937</v>
      </c>
      <c r="B335" s="6" t="s">
        <v>2114</v>
      </c>
      <c r="C335" s="5" t="s">
        <v>2115</v>
      </c>
      <c r="D335" s="5" t="s">
        <v>834</v>
      </c>
      <c r="E335" s="5" t="s">
        <v>2938</v>
      </c>
      <c r="F335" s="5" t="s">
        <v>831</v>
      </c>
      <c r="G335" s="5" t="s">
        <v>1322</v>
      </c>
      <c r="H335" s="5" t="s">
        <v>2939</v>
      </c>
      <c r="I335" s="5" t="s">
        <v>2940</v>
      </c>
      <c r="J335" s="17" t="s">
        <v>121</v>
      </c>
      <c r="K335" s="17" t="s">
        <v>181</v>
      </c>
      <c r="L335" s="5" t="s">
        <v>2941</v>
      </c>
      <c r="M335" s="6" t="s">
        <v>197</v>
      </c>
      <c r="N335" s="6" t="s">
        <v>812</v>
      </c>
      <c r="O335" s="6" t="s">
        <v>121</v>
      </c>
      <c r="P335" s="5" t="s">
        <v>918</v>
      </c>
      <c r="Q335" s="17" t="s">
        <v>182</v>
      </c>
      <c r="R335" s="5"/>
      <c r="S335" s="6" t="s">
        <v>1000</v>
      </c>
      <c r="T335" s="5" t="s">
        <v>1001</v>
      </c>
      <c r="U335" s="6"/>
      <c r="V335" s="6" t="s">
        <v>1002</v>
      </c>
      <c r="W335" s="6" t="s">
        <v>333</v>
      </c>
      <c r="X335" s="5" t="s">
        <v>922</v>
      </c>
      <c r="Y335" s="5" t="s">
        <v>812</v>
      </c>
      <c r="Z335" s="5" t="str">
        <f t="shared" si="10"/>
        <v>Critical</v>
      </c>
      <c r="AA335" s="5" t="s">
        <v>923</v>
      </c>
      <c r="AB335" s="6" t="s">
        <v>956</v>
      </c>
      <c r="AC335" s="6" t="s">
        <v>103</v>
      </c>
      <c r="AD335" s="5" t="s">
        <v>925</v>
      </c>
      <c r="AE335" s="5" t="s">
        <v>354</v>
      </c>
      <c r="AF335" s="5" t="s">
        <v>354</v>
      </c>
      <c r="AG335" s="5" t="s">
        <v>354</v>
      </c>
      <c r="AH335" s="5" t="s">
        <v>354</v>
      </c>
      <c r="AI335" s="6" t="str">
        <f t="shared" si="11"/>
        <v>No</v>
      </c>
      <c r="AJ335" s="6" t="s">
        <v>926</v>
      </c>
      <c r="AK335" s="6" t="s">
        <v>121</v>
      </c>
      <c r="AL335" s="6">
        <f>MATCH(AA335,{"Low","Medium","High"},0)*MATCH(AB335,{"Low","Medium","High"},0)*INDEX({3,2,2,1,1},MATCH(X335,{"Core","Vertical extension","Differentiator","Future","Adjacent"},0))</f>
        <v>18</v>
      </c>
      <c r="AM335" s="5"/>
      <c r="AN335" s="5"/>
      <c r="AO335" s="5"/>
      <c r="AP335" s="5"/>
      <c r="AQ335" s="5"/>
      <c r="AR335" s="5"/>
      <c r="AS335" s="5"/>
      <c r="AT335" s="5"/>
      <c r="AU335" s="6" t="s">
        <v>927</v>
      </c>
      <c r="AV335" s="6" t="s">
        <v>2161</v>
      </c>
      <c r="AW335" s="6" t="s">
        <v>2161</v>
      </c>
      <c r="AX335" s="6" t="s">
        <v>929</v>
      </c>
      <c r="AY335" s="6" t="s">
        <v>930</v>
      </c>
      <c r="AZ335" s="6"/>
      <c r="BA335" s="6"/>
      <c r="BB335" s="6"/>
      <c r="BC335" s="6" t="s">
        <v>97</v>
      </c>
      <c r="BD335" s="6" t="s">
        <v>97</v>
      </c>
    </row>
    <row r="336" spans="1:56" ht="32" customHeight="1" x14ac:dyDescent="0.35">
      <c r="A336" s="13" t="s">
        <v>2942</v>
      </c>
      <c r="B336" s="6" t="s">
        <v>2114</v>
      </c>
      <c r="C336" s="5" t="s">
        <v>2115</v>
      </c>
      <c r="D336" s="5" t="s">
        <v>834</v>
      </c>
      <c r="E336" s="5" t="s">
        <v>2943</v>
      </c>
      <c r="F336" s="5" t="s">
        <v>1452</v>
      </c>
      <c r="G336" s="5" t="s">
        <v>2944</v>
      </c>
      <c r="H336" s="5" t="s">
        <v>2945</v>
      </c>
      <c r="I336" s="5" t="s">
        <v>2946</v>
      </c>
      <c r="J336" s="17" t="s">
        <v>121</v>
      </c>
      <c r="K336" s="17" t="s">
        <v>181</v>
      </c>
      <c r="L336" s="5" t="s">
        <v>2947</v>
      </c>
      <c r="M336" s="6" t="s">
        <v>197</v>
      </c>
      <c r="N336" s="6" t="s">
        <v>812</v>
      </c>
      <c r="O336" s="6" t="s">
        <v>121</v>
      </c>
      <c r="P336" s="5" t="s">
        <v>918</v>
      </c>
      <c r="Q336" s="17" t="s">
        <v>182</v>
      </c>
      <c r="R336" s="5"/>
      <c r="S336" s="6" t="s">
        <v>1000</v>
      </c>
      <c r="T336" s="5" t="s">
        <v>1001</v>
      </c>
      <c r="U336" s="6"/>
      <c r="V336" s="6" t="s">
        <v>1002</v>
      </c>
      <c r="W336" s="6" t="s">
        <v>333</v>
      </c>
      <c r="X336" s="5" t="s">
        <v>922</v>
      </c>
      <c r="Y336" s="5" t="s">
        <v>812</v>
      </c>
      <c r="Z336" s="5" t="str">
        <f t="shared" si="10"/>
        <v>Critical</v>
      </c>
      <c r="AA336" s="5" t="s">
        <v>923</v>
      </c>
      <c r="AB336" s="6" t="s">
        <v>956</v>
      </c>
      <c r="AC336" s="6" t="s">
        <v>103</v>
      </c>
      <c r="AD336" s="5" t="s">
        <v>925</v>
      </c>
      <c r="AE336" s="5" t="s">
        <v>354</v>
      </c>
      <c r="AF336" s="5" t="s">
        <v>354</v>
      </c>
      <c r="AG336" s="5" t="s">
        <v>354</v>
      </c>
      <c r="AH336" s="5" t="s">
        <v>354</v>
      </c>
      <c r="AI336" s="6" t="str">
        <f t="shared" si="11"/>
        <v>No</v>
      </c>
      <c r="AJ336" s="6" t="s">
        <v>926</v>
      </c>
      <c r="AK336" s="6" t="s">
        <v>121</v>
      </c>
      <c r="AL336" s="6">
        <f>MATCH(AA336,{"Low","Medium","High"},0)*MATCH(AB336,{"Low","Medium","High"},0)*INDEX({3,2,2,1,1},MATCH(X336,{"Core","Vertical extension","Differentiator","Future","Adjacent"},0))</f>
        <v>18</v>
      </c>
      <c r="AM336" s="5"/>
      <c r="AN336" s="5"/>
      <c r="AO336" s="5"/>
      <c r="AP336" s="5"/>
      <c r="AQ336" s="5"/>
      <c r="AR336" s="5"/>
      <c r="AS336" s="5"/>
      <c r="AT336" s="5"/>
      <c r="AU336" s="6" t="s">
        <v>927</v>
      </c>
      <c r="AV336" s="6" t="s">
        <v>55</v>
      </c>
      <c r="AW336" s="6" t="s">
        <v>55</v>
      </c>
      <c r="AX336" s="6" t="s">
        <v>929</v>
      </c>
      <c r="AY336" s="6" t="s">
        <v>930</v>
      </c>
      <c r="AZ336" s="6"/>
      <c r="BA336" s="6"/>
      <c r="BB336" s="6"/>
      <c r="BC336" s="6" t="s">
        <v>97</v>
      </c>
      <c r="BD336" s="6" t="s">
        <v>97</v>
      </c>
    </row>
    <row r="337" spans="1:56" ht="32" customHeight="1" x14ac:dyDescent="0.35">
      <c r="A337" s="13" t="s">
        <v>2948</v>
      </c>
      <c r="B337" s="6" t="s">
        <v>2114</v>
      </c>
      <c r="C337" s="5" t="s">
        <v>2115</v>
      </c>
      <c r="D337" s="5" t="s">
        <v>834</v>
      </c>
      <c r="E337" s="5" t="s">
        <v>2949</v>
      </c>
      <c r="F337" s="5" t="s">
        <v>1452</v>
      </c>
      <c r="G337" s="5" t="s">
        <v>1459</v>
      </c>
      <c r="H337" s="5" t="s">
        <v>2950</v>
      </c>
      <c r="I337" s="5" t="s">
        <v>2951</v>
      </c>
      <c r="J337" s="17" t="s">
        <v>121</v>
      </c>
      <c r="K337" s="17" t="s">
        <v>181</v>
      </c>
      <c r="L337" s="5" t="s">
        <v>2952</v>
      </c>
      <c r="M337" s="6" t="s">
        <v>197</v>
      </c>
      <c r="N337" s="6" t="s">
        <v>812</v>
      </c>
      <c r="O337" s="6" t="s">
        <v>121</v>
      </c>
      <c r="P337" s="5" t="s">
        <v>918</v>
      </c>
      <c r="Q337" s="17" t="s">
        <v>182</v>
      </c>
      <c r="R337" s="5"/>
      <c r="S337" s="6" t="s">
        <v>1000</v>
      </c>
      <c r="T337" s="5" t="s">
        <v>1001</v>
      </c>
      <c r="U337" s="6"/>
      <c r="V337" s="6" t="s">
        <v>1002</v>
      </c>
      <c r="W337" s="6" t="s">
        <v>333</v>
      </c>
      <c r="X337" s="5" t="s">
        <v>922</v>
      </c>
      <c r="Y337" s="5" t="s">
        <v>812</v>
      </c>
      <c r="Z337" s="5" t="str">
        <f t="shared" si="10"/>
        <v>Critical</v>
      </c>
      <c r="AA337" s="5" t="s">
        <v>923</v>
      </c>
      <c r="AB337" s="6" t="s">
        <v>956</v>
      </c>
      <c r="AC337" s="6" t="s">
        <v>103</v>
      </c>
      <c r="AD337" s="5" t="s">
        <v>925</v>
      </c>
      <c r="AE337" s="5" t="s">
        <v>354</v>
      </c>
      <c r="AF337" s="5" t="s">
        <v>354</v>
      </c>
      <c r="AG337" s="5" t="s">
        <v>354</v>
      </c>
      <c r="AH337" s="5" t="s">
        <v>354</v>
      </c>
      <c r="AI337" s="6" t="str">
        <f t="shared" si="11"/>
        <v>No</v>
      </c>
      <c r="AJ337" s="6" t="s">
        <v>926</v>
      </c>
      <c r="AK337" s="6" t="s">
        <v>121</v>
      </c>
      <c r="AL337" s="6">
        <f>MATCH(AA337,{"Low","Medium","High"},0)*MATCH(AB337,{"Low","Medium","High"},0)*INDEX({3,2,2,1,1},MATCH(X337,{"Core","Vertical extension","Differentiator","Future","Adjacent"},0))</f>
        <v>18</v>
      </c>
      <c r="AM337" s="5"/>
      <c r="AN337" s="5"/>
      <c r="AO337" s="5"/>
      <c r="AP337" s="5"/>
      <c r="AQ337" s="5"/>
      <c r="AR337" s="5"/>
      <c r="AS337" s="5"/>
      <c r="AT337" s="5"/>
      <c r="AU337" s="6" t="s">
        <v>927</v>
      </c>
      <c r="AV337" s="6" t="s">
        <v>55</v>
      </c>
      <c r="AW337" s="6" t="s">
        <v>55</v>
      </c>
      <c r="AX337" s="6" t="s">
        <v>929</v>
      </c>
      <c r="AY337" s="6" t="s">
        <v>930</v>
      </c>
      <c r="AZ337" s="6"/>
      <c r="BA337" s="6"/>
      <c r="BB337" s="6"/>
      <c r="BC337" s="6" t="s">
        <v>97</v>
      </c>
      <c r="BD337" s="6" t="s">
        <v>97</v>
      </c>
    </row>
    <row r="338" spans="1:56" ht="32" customHeight="1" x14ac:dyDescent="0.35">
      <c r="A338" s="13" t="s">
        <v>2953</v>
      </c>
      <c r="B338" s="6" t="s">
        <v>2114</v>
      </c>
      <c r="C338" s="5" t="s">
        <v>2115</v>
      </c>
      <c r="D338" s="5" t="s">
        <v>837</v>
      </c>
      <c r="E338" s="5" t="s">
        <v>2954</v>
      </c>
      <c r="F338" s="5" t="s">
        <v>913</v>
      </c>
      <c r="G338" s="5" t="s">
        <v>1017</v>
      </c>
      <c r="H338" s="5" t="s">
        <v>2955</v>
      </c>
      <c r="I338" s="5" t="s">
        <v>2956</v>
      </c>
      <c r="J338" s="17" t="s">
        <v>121</v>
      </c>
      <c r="K338" s="17" t="s">
        <v>181</v>
      </c>
      <c r="L338" s="5" t="s">
        <v>2957</v>
      </c>
      <c r="M338" s="6" t="s">
        <v>197</v>
      </c>
      <c r="N338" s="6" t="s">
        <v>812</v>
      </c>
      <c r="O338" s="6" t="s">
        <v>121</v>
      </c>
      <c r="P338" s="5" t="s">
        <v>918</v>
      </c>
      <c r="Q338" s="17" t="s">
        <v>182</v>
      </c>
      <c r="R338" s="5"/>
      <c r="S338" s="6" t="s">
        <v>937</v>
      </c>
      <c r="T338" s="5" t="s">
        <v>938</v>
      </c>
      <c r="U338" s="6"/>
      <c r="V338" s="6" t="s">
        <v>939</v>
      </c>
      <c r="W338" s="6" t="s">
        <v>331</v>
      </c>
      <c r="X338" s="5" t="s">
        <v>922</v>
      </c>
      <c r="Y338" s="5" t="s">
        <v>812</v>
      </c>
      <c r="Z338" s="5" t="str">
        <f t="shared" si="10"/>
        <v>High</v>
      </c>
      <c r="AA338" s="5" t="s">
        <v>923</v>
      </c>
      <c r="AB338" s="6" t="s">
        <v>924</v>
      </c>
      <c r="AC338" s="6" t="s">
        <v>103</v>
      </c>
      <c r="AD338" s="5" t="s">
        <v>925</v>
      </c>
      <c r="AE338" s="5" t="s">
        <v>354</v>
      </c>
      <c r="AF338" s="5" t="s">
        <v>354</v>
      </c>
      <c r="AG338" s="5" t="s">
        <v>354</v>
      </c>
      <c r="AH338" s="5" t="s">
        <v>354</v>
      </c>
      <c r="AI338" s="6" t="str">
        <f t="shared" si="11"/>
        <v>No</v>
      </c>
      <c r="AJ338" s="6" t="s">
        <v>926</v>
      </c>
      <c r="AK338" s="6" t="s">
        <v>121</v>
      </c>
      <c r="AL338" s="6">
        <f>MATCH(AA338,{"Low","Medium","High"},0)*MATCH(AB338,{"Low","Medium","High"},0)*INDEX({3,2,2,1,1},MATCH(X338,{"Core","Vertical extension","Differentiator","Future","Adjacent"},0))</f>
        <v>9</v>
      </c>
      <c r="AM338" s="5"/>
      <c r="AN338" s="5"/>
      <c r="AO338" s="5"/>
      <c r="AP338" s="5"/>
      <c r="AQ338" s="5"/>
      <c r="AR338" s="5"/>
      <c r="AS338" s="5"/>
      <c r="AT338" s="5"/>
      <c r="AU338" s="6" t="s">
        <v>927</v>
      </c>
      <c r="AV338" s="6" t="s">
        <v>928</v>
      </c>
      <c r="AW338" s="6" t="s">
        <v>928</v>
      </c>
      <c r="AX338" s="6" t="s">
        <v>929</v>
      </c>
      <c r="AY338" s="6" t="s">
        <v>930</v>
      </c>
      <c r="AZ338" s="6"/>
      <c r="BA338" s="6"/>
      <c r="BB338" s="6"/>
      <c r="BC338" s="6" t="s">
        <v>97</v>
      </c>
      <c r="BD338" s="6" t="s">
        <v>97</v>
      </c>
    </row>
    <row r="339" spans="1:56" ht="32" customHeight="1" x14ac:dyDescent="0.35">
      <c r="A339" s="13" t="s">
        <v>2958</v>
      </c>
      <c r="B339" s="6" t="s">
        <v>2114</v>
      </c>
      <c r="C339" s="5" t="s">
        <v>2115</v>
      </c>
      <c r="D339" s="5" t="s">
        <v>837</v>
      </c>
      <c r="E339" s="5" t="s">
        <v>2959</v>
      </c>
      <c r="F339" s="5" t="s">
        <v>913</v>
      </c>
      <c r="G339" s="5" t="s">
        <v>1017</v>
      </c>
      <c r="H339" s="5" t="s">
        <v>2960</v>
      </c>
      <c r="I339" s="5" t="s">
        <v>2961</v>
      </c>
      <c r="J339" s="17" t="s">
        <v>121</v>
      </c>
      <c r="K339" s="17" t="s">
        <v>181</v>
      </c>
      <c r="L339" s="5" t="s">
        <v>2962</v>
      </c>
      <c r="M339" s="6" t="s">
        <v>197</v>
      </c>
      <c r="N339" s="6" t="s">
        <v>812</v>
      </c>
      <c r="O339" s="6" t="s">
        <v>121</v>
      </c>
      <c r="P339" s="5" t="s">
        <v>918</v>
      </c>
      <c r="Q339" s="17" t="s">
        <v>182</v>
      </c>
      <c r="R339" s="5"/>
      <c r="S339" s="6" t="s">
        <v>937</v>
      </c>
      <c r="T339" s="5" t="s">
        <v>938</v>
      </c>
      <c r="U339" s="6"/>
      <c r="V339" s="6" t="s">
        <v>939</v>
      </c>
      <c r="W339" s="6" t="s">
        <v>331</v>
      </c>
      <c r="X339" s="5" t="s">
        <v>922</v>
      </c>
      <c r="Y339" s="5" t="s">
        <v>812</v>
      </c>
      <c r="Z339" s="5" t="str">
        <f t="shared" si="10"/>
        <v>High</v>
      </c>
      <c r="AA339" s="5" t="s">
        <v>923</v>
      </c>
      <c r="AB339" s="6" t="s">
        <v>924</v>
      </c>
      <c r="AC339" s="6" t="s">
        <v>103</v>
      </c>
      <c r="AD339" s="5" t="s">
        <v>925</v>
      </c>
      <c r="AE339" s="5" t="s">
        <v>354</v>
      </c>
      <c r="AF339" s="5" t="s">
        <v>354</v>
      </c>
      <c r="AG339" s="5" t="s">
        <v>354</v>
      </c>
      <c r="AH339" s="5" t="s">
        <v>354</v>
      </c>
      <c r="AI339" s="6" t="str">
        <f t="shared" si="11"/>
        <v>No</v>
      </c>
      <c r="AJ339" s="6" t="s">
        <v>926</v>
      </c>
      <c r="AK339" s="6" t="s">
        <v>121</v>
      </c>
      <c r="AL339" s="6">
        <f>MATCH(AA339,{"Low","Medium","High"},0)*MATCH(AB339,{"Low","Medium","High"},0)*INDEX({3,2,2,1,1},MATCH(X339,{"Core","Vertical extension","Differentiator","Future","Adjacent"},0))</f>
        <v>9</v>
      </c>
      <c r="AM339" s="5"/>
      <c r="AN339" s="5"/>
      <c r="AO339" s="5"/>
      <c r="AP339" s="5"/>
      <c r="AQ339" s="5"/>
      <c r="AR339" s="5"/>
      <c r="AS339" s="5"/>
      <c r="AT339" s="5"/>
      <c r="AU339" s="6" t="s">
        <v>927</v>
      </c>
      <c r="AV339" s="6" t="s">
        <v>928</v>
      </c>
      <c r="AW339" s="6" t="s">
        <v>928</v>
      </c>
      <c r="AX339" s="6" t="s">
        <v>929</v>
      </c>
      <c r="AY339" s="6" t="s">
        <v>930</v>
      </c>
      <c r="AZ339" s="6"/>
      <c r="BA339" s="6"/>
      <c r="BB339" s="6"/>
      <c r="BC339" s="6" t="s">
        <v>97</v>
      </c>
      <c r="BD339" s="6" t="s">
        <v>97</v>
      </c>
    </row>
    <row r="340" spans="1:56" ht="32" customHeight="1" x14ac:dyDescent="0.35">
      <c r="A340" s="13" t="s">
        <v>2963</v>
      </c>
      <c r="B340" s="6" t="s">
        <v>2114</v>
      </c>
      <c r="C340" s="5" t="s">
        <v>2115</v>
      </c>
      <c r="D340" s="5" t="s">
        <v>837</v>
      </c>
      <c r="E340" s="5" t="s">
        <v>2964</v>
      </c>
      <c r="F340" s="5" t="s">
        <v>1333</v>
      </c>
      <c r="G340" s="5" t="s">
        <v>1452</v>
      </c>
      <c r="H340" s="5" t="s">
        <v>2965</v>
      </c>
      <c r="I340" s="5" t="s">
        <v>2966</v>
      </c>
      <c r="J340" s="17" t="s">
        <v>121</v>
      </c>
      <c r="K340" s="17" t="s">
        <v>181</v>
      </c>
      <c r="L340" s="5" t="s">
        <v>2967</v>
      </c>
      <c r="M340" s="6" t="s">
        <v>197</v>
      </c>
      <c r="N340" s="6" t="s">
        <v>812</v>
      </c>
      <c r="O340" s="6" t="s">
        <v>121</v>
      </c>
      <c r="P340" s="5" t="s">
        <v>918</v>
      </c>
      <c r="Q340" s="17" t="s">
        <v>182</v>
      </c>
      <c r="R340" s="5"/>
      <c r="S340" s="6" t="s">
        <v>937</v>
      </c>
      <c r="T340" s="5" t="s">
        <v>938</v>
      </c>
      <c r="U340" s="6"/>
      <c r="V340" s="6" t="s">
        <v>939</v>
      </c>
      <c r="W340" s="6" t="s">
        <v>331</v>
      </c>
      <c r="X340" s="5" t="s">
        <v>922</v>
      </c>
      <c r="Y340" s="5" t="s">
        <v>812</v>
      </c>
      <c r="Z340" s="5" t="str">
        <f t="shared" si="10"/>
        <v>High</v>
      </c>
      <c r="AA340" s="5" t="s">
        <v>923</v>
      </c>
      <c r="AB340" s="6" t="s">
        <v>924</v>
      </c>
      <c r="AC340" s="6" t="s">
        <v>103</v>
      </c>
      <c r="AD340" s="5" t="s">
        <v>925</v>
      </c>
      <c r="AE340" s="5" t="s">
        <v>354</v>
      </c>
      <c r="AF340" s="5" t="s">
        <v>354</v>
      </c>
      <c r="AG340" s="5" t="s">
        <v>354</v>
      </c>
      <c r="AH340" s="5" t="s">
        <v>354</v>
      </c>
      <c r="AI340" s="6" t="str">
        <f t="shared" si="11"/>
        <v>No</v>
      </c>
      <c r="AJ340" s="6" t="s">
        <v>926</v>
      </c>
      <c r="AK340" s="6" t="s">
        <v>121</v>
      </c>
      <c r="AL340" s="6">
        <f>MATCH(AA340,{"Low","Medium","High"},0)*MATCH(AB340,{"Low","Medium","High"},0)*INDEX({3,2,2,1,1},MATCH(X340,{"Core","Vertical extension","Differentiator","Future","Adjacent"},0))</f>
        <v>9</v>
      </c>
      <c r="AM340" s="5"/>
      <c r="AN340" s="5"/>
      <c r="AO340" s="5"/>
      <c r="AP340" s="5"/>
      <c r="AQ340" s="5"/>
      <c r="AR340" s="5"/>
      <c r="AS340" s="5"/>
      <c r="AT340" s="5"/>
      <c r="AU340" s="6" t="s">
        <v>927</v>
      </c>
      <c r="AV340" s="6" t="s">
        <v>55</v>
      </c>
      <c r="AW340" s="6" t="s">
        <v>55</v>
      </c>
      <c r="AX340" s="6" t="s">
        <v>929</v>
      </c>
      <c r="AY340" s="6" t="s">
        <v>930</v>
      </c>
      <c r="AZ340" s="6"/>
      <c r="BA340" s="6"/>
      <c r="BB340" s="6"/>
      <c r="BC340" s="6" t="s">
        <v>97</v>
      </c>
      <c r="BD340" s="6" t="s">
        <v>97</v>
      </c>
    </row>
    <row r="341" spans="1:56" ht="32" customHeight="1" x14ac:dyDescent="0.35">
      <c r="A341" s="13" t="s">
        <v>2968</v>
      </c>
      <c r="B341" s="6" t="s">
        <v>2114</v>
      </c>
      <c r="C341" s="5" t="s">
        <v>2115</v>
      </c>
      <c r="D341" s="5" t="s">
        <v>837</v>
      </c>
      <c r="E341" s="5" t="s">
        <v>2969</v>
      </c>
      <c r="F341" s="5" t="s">
        <v>1333</v>
      </c>
      <c r="G341" s="5" t="s">
        <v>1017</v>
      </c>
      <c r="H341" s="5" t="s">
        <v>2970</v>
      </c>
      <c r="I341" s="5" t="s">
        <v>2971</v>
      </c>
      <c r="J341" s="17" t="s">
        <v>121</v>
      </c>
      <c r="K341" s="17" t="s">
        <v>181</v>
      </c>
      <c r="L341" s="5" t="s">
        <v>2972</v>
      </c>
      <c r="M341" s="6" t="s">
        <v>197</v>
      </c>
      <c r="N341" s="6" t="s">
        <v>812</v>
      </c>
      <c r="O341" s="6" t="s">
        <v>121</v>
      </c>
      <c r="P341" s="5" t="s">
        <v>918</v>
      </c>
      <c r="Q341" s="17" t="s">
        <v>182</v>
      </c>
      <c r="R341" s="5"/>
      <c r="S341" s="6" t="s">
        <v>937</v>
      </c>
      <c r="T341" s="5" t="s">
        <v>938</v>
      </c>
      <c r="U341" s="6"/>
      <c r="V341" s="6" t="s">
        <v>939</v>
      </c>
      <c r="W341" s="6" t="s">
        <v>331</v>
      </c>
      <c r="X341" s="5" t="s">
        <v>922</v>
      </c>
      <c r="Y341" s="5" t="s">
        <v>812</v>
      </c>
      <c r="Z341" s="5" t="str">
        <f t="shared" si="10"/>
        <v>High</v>
      </c>
      <c r="AA341" s="5" t="s">
        <v>923</v>
      </c>
      <c r="AB341" s="6" t="s">
        <v>924</v>
      </c>
      <c r="AC341" s="6" t="s">
        <v>103</v>
      </c>
      <c r="AD341" s="5" t="s">
        <v>925</v>
      </c>
      <c r="AE341" s="5" t="s">
        <v>354</v>
      </c>
      <c r="AF341" s="5" t="s">
        <v>354</v>
      </c>
      <c r="AG341" s="5" t="s">
        <v>354</v>
      </c>
      <c r="AH341" s="5" t="s">
        <v>354</v>
      </c>
      <c r="AI341" s="6" t="str">
        <f t="shared" si="11"/>
        <v>No</v>
      </c>
      <c r="AJ341" s="6" t="s">
        <v>926</v>
      </c>
      <c r="AK341" s="6" t="s">
        <v>121</v>
      </c>
      <c r="AL341" s="6">
        <f>MATCH(AA341,{"Low","Medium","High"},0)*MATCH(AB341,{"Low","Medium","High"},0)*INDEX({3,2,2,1,1},MATCH(X341,{"Core","Vertical extension","Differentiator","Future","Adjacent"},0))</f>
        <v>9</v>
      </c>
      <c r="AM341" s="5"/>
      <c r="AN341" s="5"/>
      <c r="AO341" s="5"/>
      <c r="AP341" s="5"/>
      <c r="AQ341" s="5"/>
      <c r="AR341" s="5"/>
      <c r="AS341" s="5"/>
      <c r="AT341" s="5"/>
      <c r="AU341" s="6" t="s">
        <v>927</v>
      </c>
      <c r="AV341" s="6" t="s">
        <v>55</v>
      </c>
      <c r="AW341" s="6" t="s">
        <v>55</v>
      </c>
      <c r="AX341" s="6" t="s">
        <v>929</v>
      </c>
      <c r="AY341" s="6" t="s">
        <v>930</v>
      </c>
      <c r="AZ341" s="6"/>
      <c r="BA341" s="6"/>
      <c r="BB341" s="6"/>
      <c r="BC341" s="6" t="s">
        <v>97</v>
      </c>
      <c r="BD341" s="6" t="s">
        <v>97</v>
      </c>
    </row>
    <row r="342" spans="1:56" ht="32" customHeight="1" x14ac:dyDescent="0.35">
      <c r="A342" s="13" t="s">
        <v>2973</v>
      </c>
      <c r="B342" s="6" t="s">
        <v>2114</v>
      </c>
      <c r="C342" s="5" t="s">
        <v>2115</v>
      </c>
      <c r="D342" s="5" t="s">
        <v>837</v>
      </c>
      <c r="E342" s="5" t="s">
        <v>2974</v>
      </c>
      <c r="F342" s="5" t="s">
        <v>1333</v>
      </c>
      <c r="G342" s="5" t="s">
        <v>1101</v>
      </c>
      <c r="H342" s="5" t="s">
        <v>2975</v>
      </c>
      <c r="I342" s="5" t="s">
        <v>2976</v>
      </c>
      <c r="J342" s="17" t="s">
        <v>121</v>
      </c>
      <c r="K342" s="17" t="s">
        <v>181</v>
      </c>
      <c r="L342" s="5" t="s">
        <v>2977</v>
      </c>
      <c r="M342" s="6" t="s">
        <v>197</v>
      </c>
      <c r="N342" s="6" t="s">
        <v>812</v>
      </c>
      <c r="O342" s="6" t="s">
        <v>121</v>
      </c>
      <c r="P342" s="5" t="s">
        <v>918</v>
      </c>
      <c r="Q342" s="17" t="s">
        <v>182</v>
      </c>
      <c r="R342" s="5"/>
      <c r="S342" s="6" t="s">
        <v>937</v>
      </c>
      <c r="T342" s="5" t="s">
        <v>938</v>
      </c>
      <c r="U342" s="6"/>
      <c r="V342" s="6" t="s">
        <v>939</v>
      </c>
      <c r="W342" s="6" t="s">
        <v>331</v>
      </c>
      <c r="X342" s="5" t="s">
        <v>922</v>
      </c>
      <c r="Y342" s="5" t="s">
        <v>812</v>
      </c>
      <c r="Z342" s="5" t="str">
        <f t="shared" si="10"/>
        <v>High</v>
      </c>
      <c r="AA342" s="5" t="s">
        <v>923</v>
      </c>
      <c r="AB342" s="6" t="s">
        <v>924</v>
      </c>
      <c r="AC342" s="6" t="s">
        <v>103</v>
      </c>
      <c r="AD342" s="5" t="s">
        <v>925</v>
      </c>
      <c r="AE342" s="5" t="s">
        <v>354</v>
      </c>
      <c r="AF342" s="5" t="s">
        <v>354</v>
      </c>
      <c r="AG342" s="5" t="s">
        <v>354</v>
      </c>
      <c r="AH342" s="5" t="s">
        <v>354</v>
      </c>
      <c r="AI342" s="6" t="str">
        <f t="shared" si="11"/>
        <v>No</v>
      </c>
      <c r="AJ342" s="6" t="s">
        <v>926</v>
      </c>
      <c r="AK342" s="6" t="s">
        <v>121</v>
      </c>
      <c r="AL342" s="6">
        <f>MATCH(AA342,{"Low","Medium","High"},0)*MATCH(AB342,{"Low","Medium","High"},0)*INDEX({3,2,2,1,1},MATCH(X342,{"Core","Vertical extension","Differentiator","Future","Adjacent"},0))</f>
        <v>9</v>
      </c>
      <c r="AM342" s="5"/>
      <c r="AN342" s="5"/>
      <c r="AO342" s="5"/>
      <c r="AP342" s="5"/>
      <c r="AQ342" s="5"/>
      <c r="AR342" s="5"/>
      <c r="AS342" s="5"/>
      <c r="AT342" s="5"/>
      <c r="AU342" s="6" t="s">
        <v>927</v>
      </c>
      <c r="AV342" s="6" t="s">
        <v>55</v>
      </c>
      <c r="AW342" s="6" t="s">
        <v>55</v>
      </c>
      <c r="AX342" s="6" t="s">
        <v>929</v>
      </c>
      <c r="AY342" s="6" t="s">
        <v>930</v>
      </c>
      <c r="AZ342" s="6"/>
      <c r="BA342" s="6"/>
      <c r="BB342" s="6"/>
      <c r="BC342" s="6" t="s">
        <v>97</v>
      </c>
      <c r="BD342" s="6" t="s">
        <v>97</v>
      </c>
    </row>
    <row r="343" spans="1:56" ht="32" customHeight="1" x14ac:dyDescent="0.35">
      <c r="A343" s="13" t="s">
        <v>2978</v>
      </c>
      <c r="B343" s="6" t="s">
        <v>2114</v>
      </c>
      <c r="C343" s="5" t="s">
        <v>2115</v>
      </c>
      <c r="D343" s="5" t="s">
        <v>837</v>
      </c>
      <c r="E343" s="5" t="s">
        <v>2979</v>
      </c>
      <c r="F343" s="5" t="s">
        <v>1452</v>
      </c>
      <c r="G343" s="5" t="s">
        <v>2980</v>
      </c>
      <c r="H343" s="5" t="s">
        <v>2981</v>
      </c>
      <c r="I343" s="5" t="s">
        <v>2982</v>
      </c>
      <c r="J343" s="17" t="s">
        <v>121</v>
      </c>
      <c r="K343" s="17" t="s">
        <v>181</v>
      </c>
      <c r="L343" s="5" t="s">
        <v>2983</v>
      </c>
      <c r="M343" s="6" t="s">
        <v>197</v>
      </c>
      <c r="N343" s="6" t="s">
        <v>812</v>
      </c>
      <c r="O343" s="6" t="s">
        <v>121</v>
      </c>
      <c r="P343" s="5" t="s">
        <v>918</v>
      </c>
      <c r="Q343" s="17" t="s">
        <v>182</v>
      </c>
      <c r="R343" s="5"/>
      <c r="S343" s="6" t="s">
        <v>937</v>
      </c>
      <c r="T343" s="5" t="s">
        <v>938</v>
      </c>
      <c r="U343" s="6"/>
      <c r="V343" s="6" t="s">
        <v>939</v>
      </c>
      <c r="W343" s="6" t="s">
        <v>331</v>
      </c>
      <c r="X343" s="5" t="s">
        <v>922</v>
      </c>
      <c r="Y343" s="5" t="s">
        <v>812</v>
      </c>
      <c r="Z343" s="5" t="str">
        <f t="shared" si="10"/>
        <v>High</v>
      </c>
      <c r="AA343" s="5" t="s">
        <v>923</v>
      </c>
      <c r="AB343" s="6" t="s">
        <v>924</v>
      </c>
      <c r="AC343" s="6" t="s">
        <v>103</v>
      </c>
      <c r="AD343" s="5" t="s">
        <v>925</v>
      </c>
      <c r="AE343" s="5" t="s">
        <v>354</v>
      </c>
      <c r="AF343" s="5" t="s">
        <v>354</v>
      </c>
      <c r="AG343" s="5" t="s">
        <v>354</v>
      </c>
      <c r="AH343" s="5" t="s">
        <v>354</v>
      </c>
      <c r="AI343" s="6" t="str">
        <f t="shared" si="11"/>
        <v>No</v>
      </c>
      <c r="AJ343" s="6" t="s">
        <v>926</v>
      </c>
      <c r="AK343" s="6" t="s">
        <v>121</v>
      </c>
      <c r="AL343" s="6">
        <f>MATCH(AA343,{"Low","Medium","High"},0)*MATCH(AB343,{"Low","Medium","High"},0)*INDEX({3,2,2,1,1},MATCH(X343,{"Core","Vertical extension","Differentiator","Future","Adjacent"},0))</f>
        <v>9</v>
      </c>
      <c r="AM343" s="5"/>
      <c r="AN343" s="5"/>
      <c r="AO343" s="5"/>
      <c r="AP343" s="5"/>
      <c r="AQ343" s="5"/>
      <c r="AR343" s="5"/>
      <c r="AS343" s="5"/>
      <c r="AT343" s="5"/>
      <c r="AU343" s="6" t="s">
        <v>927</v>
      </c>
      <c r="AV343" s="6" t="s">
        <v>55</v>
      </c>
      <c r="AW343" s="6" t="s">
        <v>55</v>
      </c>
      <c r="AX343" s="6" t="s">
        <v>929</v>
      </c>
      <c r="AY343" s="6" t="s">
        <v>930</v>
      </c>
      <c r="AZ343" s="6"/>
      <c r="BA343" s="6"/>
      <c r="BB343" s="6"/>
      <c r="BC343" s="6" t="s">
        <v>97</v>
      </c>
      <c r="BD343" s="6" t="s">
        <v>97</v>
      </c>
    </row>
    <row r="344" spans="1:56" ht="32" customHeight="1" x14ac:dyDescent="0.35">
      <c r="A344" s="13" t="s">
        <v>2984</v>
      </c>
      <c r="B344" s="6" t="s">
        <v>2114</v>
      </c>
      <c r="C344" s="5" t="s">
        <v>2115</v>
      </c>
      <c r="D344" s="5" t="s">
        <v>837</v>
      </c>
      <c r="E344" s="5" t="s">
        <v>2985</v>
      </c>
      <c r="F344" s="5" t="s">
        <v>1452</v>
      </c>
      <c r="G344" s="5" t="s">
        <v>1459</v>
      </c>
      <c r="H344" s="5" t="s">
        <v>2986</v>
      </c>
      <c r="I344" s="5" t="s">
        <v>2987</v>
      </c>
      <c r="J344" s="17" t="s">
        <v>121</v>
      </c>
      <c r="K344" s="17" t="s">
        <v>181</v>
      </c>
      <c r="L344" s="5" t="s">
        <v>2988</v>
      </c>
      <c r="M344" s="6" t="s">
        <v>197</v>
      </c>
      <c r="N344" s="6" t="s">
        <v>812</v>
      </c>
      <c r="O344" s="6" t="s">
        <v>121</v>
      </c>
      <c r="P344" s="5" t="s">
        <v>999</v>
      </c>
      <c r="Q344" s="17" t="s">
        <v>182</v>
      </c>
      <c r="R344" s="5" t="s">
        <v>999</v>
      </c>
      <c r="S344" s="6" t="s">
        <v>937</v>
      </c>
      <c r="T344" s="5" t="s">
        <v>938</v>
      </c>
      <c r="U344" s="6"/>
      <c r="V344" s="6" t="s">
        <v>939</v>
      </c>
      <c r="W344" s="6" t="s">
        <v>331</v>
      </c>
      <c r="X344" s="5" t="s">
        <v>922</v>
      </c>
      <c r="Y344" s="5" t="s">
        <v>812</v>
      </c>
      <c r="Z344" s="5" t="str">
        <f t="shared" si="10"/>
        <v>High</v>
      </c>
      <c r="AA344" s="5" t="s">
        <v>923</v>
      </c>
      <c r="AB344" s="6" t="s">
        <v>924</v>
      </c>
      <c r="AC344" s="6" t="s">
        <v>103</v>
      </c>
      <c r="AD344" s="5" t="s">
        <v>925</v>
      </c>
      <c r="AE344" s="5" t="s">
        <v>354</v>
      </c>
      <c r="AF344" s="5" t="s">
        <v>354</v>
      </c>
      <c r="AG344" s="5" t="s">
        <v>354</v>
      </c>
      <c r="AH344" s="5" t="s">
        <v>354</v>
      </c>
      <c r="AI344" s="6" t="str">
        <f t="shared" si="11"/>
        <v>No</v>
      </c>
      <c r="AJ344" s="6" t="s">
        <v>926</v>
      </c>
      <c r="AK344" s="6" t="s">
        <v>121</v>
      </c>
      <c r="AL344" s="6">
        <f>MATCH(AA344,{"Low","Medium","High"},0)*MATCH(AB344,{"Low","Medium","High"},0)*INDEX({3,2,2,1,1},MATCH(X344,{"Core","Vertical extension","Differentiator","Future","Adjacent"},0))</f>
        <v>9</v>
      </c>
      <c r="AM344" s="5"/>
      <c r="AN344" s="5"/>
      <c r="AO344" s="5"/>
      <c r="AP344" s="5"/>
      <c r="AQ344" s="5"/>
      <c r="AR344" s="5"/>
      <c r="AS344" s="5"/>
      <c r="AT344" s="5"/>
      <c r="AU344" s="6" t="s">
        <v>927</v>
      </c>
      <c r="AV344" s="6" t="s">
        <v>55</v>
      </c>
      <c r="AW344" s="6" t="s">
        <v>55</v>
      </c>
      <c r="AX344" s="6" t="s">
        <v>1003</v>
      </c>
      <c r="AY344" s="6" t="s">
        <v>930</v>
      </c>
      <c r="AZ344" s="6"/>
      <c r="BA344" s="6"/>
      <c r="BB344" s="6"/>
      <c r="BC344" s="6" t="s">
        <v>97</v>
      </c>
      <c r="BD344" s="6" t="s">
        <v>97</v>
      </c>
    </row>
    <row r="345" spans="1:56" ht="32" customHeight="1" x14ac:dyDescent="0.35">
      <c r="A345" s="13" t="s">
        <v>2989</v>
      </c>
      <c r="B345" s="6" t="s">
        <v>2114</v>
      </c>
      <c r="C345" s="5" t="s">
        <v>2115</v>
      </c>
      <c r="D345" s="5" t="s">
        <v>837</v>
      </c>
      <c r="E345" s="5" t="s">
        <v>2990</v>
      </c>
      <c r="F345" s="5" t="s">
        <v>2991</v>
      </c>
      <c r="G345" s="5" t="s">
        <v>1810</v>
      </c>
      <c r="H345" s="5" t="s">
        <v>2992</v>
      </c>
      <c r="I345" s="5" t="s">
        <v>2993</v>
      </c>
      <c r="J345" s="17" t="s">
        <v>121</v>
      </c>
      <c r="K345" s="17" t="s">
        <v>181</v>
      </c>
      <c r="L345" s="5" t="s">
        <v>2994</v>
      </c>
      <c r="M345" s="6" t="s">
        <v>197</v>
      </c>
      <c r="N345" s="6" t="s">
        <v>812</v>
      </c>
      <c r="O345" s="6" t="s">
        <v>121</v>
      </c>
      <c r="P345" s="5" t="s">
        <v>918</v>
      </c>
      <c r="Q345" s="17" t="s">
        <v>182</v>
      </c>
      <c r="R345" s="5"/>
      <c r="S345" s="6" t="s">
        <v>937</v>
      </c>
      <c r="T345" s="5" t="s">
        <v>938</v>
      </c>
      <c r="U345" s="6"/>
      <c r="V345" s="6" t="s">
        <v>939</v>
      </c>
      <c r="W345" s="6" t="s">
        <v>331</v>
      </c>
      <c r="X345" s="5" t="s">
        <v>922</v>
      </c>
      <c r="Y345" s="5" t="s">
        <v>812</v>
      </c>
      <c r="Z345" s="5" t="str">
        <f t="shared" si="10"/>
        <v>High</v>
      </c>
      <c r="AA345" s="5" t="s">
        <v>923</v>
      </c>
      <c r="AB345" s="6" t="s">
        <v>924</v>
      </c>
      <c r="AC345" s="6" t="s">
        <v>103</v>
      </c>
      <c r="AD345" s="5" t="s">
        <v>925</v>
      </c>
      <c r="AE345" s="5" t="s">
        <v>354</v>
      </c>
      <c r="AF345" s="5" t="s">
        <v>354</v>
      </c>
      <c r="AG345" s="5" t="s">
        <v>354</v>
      </c>
      <c r="AH345" s="5" t="s">
        <v>354</v>
      </c>
      <c r="AI345" s="6" t="str">
        <f t="shared" si="11"/>
        <v>No</v>
      </c>
      <c r="AJ345" s="6" t="s">
        <v>926</v>
      </c>
      <c r="AK345" s="6" t="s">
        <v>121</v>
      </c>
      <c r="AL345" s="6">
        <f>MATCH(AA345,{"Low","Medium","High"},0)*MATCH(AB345,{"Low","Medium","High"},0)*INDEX({3,2,2,1,1},MATCH(X345,{"Core","Vertical extension","Differentiator","Future","Adjacent"},0))</f>
        <v>9</v>
      </c>
      <c r="AM345" s="5"/>
      <c r="AN345" s="5"/>
      <c r="AO345" s="5"/>
      <c r="AP345" s="5"/>
      <c r="AQ345" s="5"/>
      <c r="AR345" s="5"/>
      <c r="AS345" s="5"/>
      <c r="AT345" s="5"/>
      <c r="AU345" s="6" t="s">
        <v>927</v>
      </c>
      <c r="AV345" s="6" t="s">
        <v>2161</v>
      </c>
      <c r="AW345" s="6" t="s">
        <v>2161</v>
      </c>
      <c r="AX345" s="6" t="s">
        <v>929</v>
      </c>
      <c r="AY345" s="6" t="s">
        <v>930</v>
      </c>
      <c r="AZ345" s="6"/>
      <c r="BA345" s="6"/>
      <c r="BB345" s="6"/>
      <c r="BC345" s="6" t="s">
        <v>97</v>
      </c>
      <c r="BD345" s="6" t="s">
        <v>97</v>
      </c>
    </row>
    <row r="346" spans="1:56" ht="32" customHeight="1" x14ac:dyDescent="0.35">
      <c r="A346" s="13" t="s">
        <v>2995</v>
      </c>
      <c r="B346" s="6" t="s">
        <v>2114</v>
      </c>
      <c r="C346" s="5" t="s">
        <v>2115</v>
      </c>
      <c r="D346" s="5" t="s">
        <v>837</v>
      </c>
      <c r="E346" s="5" t="s">
        <v>2996</v>
      </c>
      <c r="F346" s="5" t="s">
        <v>2242</v>
      </c>
      <c r="G346" s="5" t="s">
        <v>1017</v>
      </c>
      <c r="H346" s="5" t="s">
        <v>2997</v>
      </c>
      <c r="I346" s="5" t="s">
        <v>2998</v>
      </c>
      <c r="J346" s="17" t="s">
        <v>121</v>
      </c>
      <c r="K346" s="17" t="s">
        <v>181</v>
      </c>
      <c r="L346" s="5" t="s">
        <v>2999</v>
      </c>
      <c r="M346" s="6" t="s">
        <v>197</v>
      </c>
      <c r="N346" s="6" t="s">
        <v>812</v>
      </c>
      <c r="O346" s="6" t="s">
        <v>121</v>
      </c>
      <c r="P346" s="5" t="s">
        <v>918</v>
      </c>
      <c r="Q346" s="18" t="s">
        <v>186</v>
      </c>
      <c r="R346" s="5" t="s">
        <v>2192</v>
      </c>
      <c r="S346" s="6" t="s">
        <v>937</v>
      </c>
      <c r="T346" s="5" t="s">
        <v>938</v>
      </c>
      <c r="U346" s="6"/>
      <c r="V346" s="6" t="s">
        <v>939</v>
      </c>
      <c r="W346" s="6" t="s">
        <v>331</v>
      </c>
      <c r="X346" s="5" t="s">
        <v>922</v>
      </c>
      <c r="Y346" s="5" t="s">
        <v>812</v>
      </c>
      <c r="Z346" s="5" t="str">
        <f t="shared" si="10"/>
        <v>High</v>
      </c>
      <c r="AA346" s="5" t="s">
        <v>923</v>
      </c>
      <c r="AB346" s="6" t="s">
        <v>924</v>
      </c>
      <c r="AC346" s="6" t="s">
        <v>103</v>
      </c>
      <c r="AD346" s="5" t="s">
        <v>940</v>
      </c>
      <c r="AE346" s="5" t="s">
        <v>354</v>
      </c>
      <c r="AF346" s="5" t="s">
        <v>354</v>
      </c>
      <c r="AG346" s="5" t="s">
        <v>354</v>
      </c>
      <c r="AH346" s="5" t="s">
        <v>354</v>
      </c>
      <c r="AI346" s="6" t="str">
        <f t="shared" si="11"/>
        <v>No</v>
      </c>
      <c r="AJ346" s="6" t="s">
        <v>941</v>
      </c>
      <c r="AK346" s="6" t="s">
        <v>121</v>
      </c>
      <c r="AL346" s="6">
        <f>MATCH(AA346,{"Low","Medium","High"},0)*MATCH(AB346,{"Low","Medium","High"},0)*INDEX({3,2,2,1,1},MATCH(X346,{"Core","Vertical extension","Differentiator","Future","Adjacent"},0))</f>
        <v>9</v>
      </c>
      <c r="AM346" s="5"/>
      <c r="AN346" s="5"/>
      <c r="AO346" s="5"/>
      <c r="AP346" s="5"/>
      <c r="AQ346" s="5"/>
      <c r="AR346" s="5"/>
      <c r="AS346" s="5"/>
      <c r="AT346" s="5"/>
      <c r="AU346" s="6" t="s">
        <v>927</v>
      </c>
      <c r="AV346" s="6" t="s">
        <v>55</v>
      </c>
      <c r="AW346" s="6" t="s">
        <v>55</v>
      </c>
      <c r="AX346" s="6" t="s">
        <v>929</v>
      </c>
      <c r="AY346" s="6" t="s">
        <v>930</v>
      </c>
      <c r="AZ346" s="6"/>
      <c r="BA346" s="6" t="s">
        <v>2193</v>
      </c>
      <c r="BB346" s="6" t="s">
        <v>2194</v>
      </c>
      <c r="BC346" s="6" t="s">
        <v>97</v>
      </c>
      <c r="BD346" s="6" t="s">
        <v>97</v>
      </c>
    </row>
    <row r="347" spans="1:56" ht="32" customHeight="1" x14ac:dyDescent="0.35">
      <c r="A347" s="13" t="s">
        <v>3000</v>
      </c>
      <c r="B347" s="6" t="s">
        <v>2114</v>
      </c>
      <c r="C347" s="5" t="s">
        <v>2115</v>
      </c>
      <c r="D347" s="5" t="s">
        <v>837</v>
      </c>
      <c r="E347" s="5" t="s">
        <v>3001</v>
      </c>
      <c r="F347" s="5" t="s">
        <v>2242</v>
      </c>
      <c r="G347" s="5" t="s">
        <v>1017</v>
      </c>
      <c r="H347" s="5" t="s">
        <v>3002</v>
      </c>
      <c r="I347" s="5" t="s">
        <v>3003</v>
      </c>
      <c r="J347" s="17" t="s">
        <v>121</v>
      </c>
      <c r="K347" s="17" t="s">
        <v>181</v>
      </c>
      <c r="L347" s="5" t="s">
        <v>3004</v>
      </c>
      <c r="M347" s="6" t="s">
        <v>197</v>
      </c>
      <c r="N347" s="6" t="s">
        <v>812</v>
      </c>
      <c r="O347" s="6" t="s">
        <v>121</v>
      </c>
      <c r="P347" s="5" t="s">
        <v>918</v>
      </c>
      <c r="Q347" s="17" t="s">
        <v>182</v>
      </c>
      <c r="R347" s="5"/>
      <c r="S347" s="6" t="s">
        <v>937</v>
      </c>
      <c r="T347" s="5" t="s">
        <v>938</v>
      </c>
      <c r="U347" s="6"/>
      <c r="V347" s="6" t="s">
        <v>939</v>
      </c>
      <c r="W347" s="6" t="s">
        <v>331</v>
      </c>
      <c r="X347" s="5" t="s">
        <v>922</v>
      </c>
      <c r="Y347" s="5" t="s">
        <v>812</v>
      </c>
      <c r="Z347" s="5" t="str">
        <f t="shared" si="10"/>
        <v>High</v>
      </c>
      <c r="AA347" s="5" t="s">
        <v>923</v>
      </c>
      <c r="AB347" s="6" t="s">
        <v>924</v>
      </c>
      <c r="AC347" s="6" t="s">
        <v>103</v>
      </c>
      <c r="AD347" s="5" t="s">
        <v>925</v>
      </c>
      <c r="AE347" s="5" t="s">
        <v>354</v>
      </c>
      <c r="AF347" s="5" t="s">
        <v>354</v>
      </c>
      <c r="AG347" s="5" t="s">
        <v>354</v>
      </c>
      <c r="AH347" s="5" t="s">
        <v>354</v>
      </c>
      <c r="AI347" s="6" t="str">
        <f t="shared" si="11"/>
        <v>No</v>
      </c>
      <c r="AJ347" s="6" t="s">
        <v>926</v>
      </c>
      <c r="AK347" s="6" t="s">
        <v>121</v>
      </c>
      <c r="AL347" s="6">
        <f>MATCH(AA347,{"Low","Medium","High"},0)*MATCH(AB347,{"Low","Medium","High"},0)*INDEX({3,2,2,1,1},MATCH(X347,{"Core","Vertical extension","Differentiator","Future","Adjacent"},0))</f>
        <v>9</v>
      </c>
      <c r="AM347" s="5"/>
      <c r="AN347" s="5"/>
      <c r="AO347" s="5"/>
      <c r="AP347" s="5"/>
      <c r="AQ347" s="5"/>
      <c r="AR347" s="5"/>
      <c r="AS347" s="5"/>
      <c r="AT347" s="5"/>
      <c r="AU347" s="6" t="s">
        <v>927</v>
      </c>
      <c r="AV347" s="6" t="s">
        <v>55</v>
      </c>
      <c r="AW347" s="6" t="s">
        <v>55</v>
      </c>
      <c r="AX347" s="6" t="s">
        <v>929</v>
      </c>
      <c r="AY347" s="6" t="s">
        <v>930</v>
      </c>
      <c r="AZ347" s="6"/>
      <c r="BA347" s="6"/>
      <c r="BB347" s="6"/>
      <c r="BC347" s="6" t="s">
        <v>97</v>
      </c>
      <c r="BD347" s="6" t="s">
        <v>97</v>
      </c>
    </row>
    <row r="348" spans="1:56" ht="32" customHeight="1" x14ac:dyDescent="0.35">
      <c r="A348" s="13" t="s">
        <v>3005</v>
      </c>
      <c r="B348" s="6" t="s">
        <v>2114</v>
      </c>
      <c r="C348" s="5" t="s">
        <v>2115</v>
      </c>
      <c r="D348" s="5" t="s">
        <v>837</v>
      </c>
      <c r="E348" s="5" t="s">
        <v>3006</v>
      </c>
      <c r="F348" s="5" t="s">
        <v>3007</v>
      </c>
      <c r="G348" s="5" t="s">
        <v>2528</v>
      </c>
      <c r="H348" s="5" t="s">
        <v>3008</v>
      </c>
      <c r="I348" s="5" t="s">
        <v>3009</v>
      </c>
      <c r="J348" s="17" t="s">
        <v>121</v>
      </c>
      <c r="K348" s="17" t="s">
        <v>181</v>
      </c>
      <c r="L348" s="5" t="s">
        <v>3010</v>
      </c>
      <c r="M348" s="6" t="s">
        <v>197</v>
      </c>
      <c r="N348" s="6" t="s">
        <v>812</v>
      </c>
      <c r="O348" s="6" t="s">
        <v>121</v>
      </c>
      <c r="P348" s="5" t="s">
        <v>918</v>
      </c>
      <c r="Q348" s="17" t="s">
        <v>182</v>
      </c>
      <c r="R348" s="5"/>
      <c r="S348" s="6" t="s">
        <v>937</v>
      </c>
      <c r="T348" s="5" t="s">
        <v>938</v>
      </c>
      <c r="U348" s="6"/>
      <c r="V348" s="6" t="s">
        <v>939</v>
      </c>
      <c r="W348" s="6" t="s">
        <v>331</v>
      </c>
      <c r="X348" s="5" t="s">
        <v>922</v>
      </c>
      <c r="Y348" s="5" t="s">
        <v>812</v>
      </c>
      <c r="Z348" s="5" t="str">
        <f t="shared" si="10"/>
        <v>High</v>
      </c>
      <c r="AA348" s="5" t="s">
        <v>923</v>
      </c>
      <c r="AB348" s="6" t="s">
        <v>924</v>
      </c>
      <c r="AC348" s="6" t="s">
        <v>103</v>
      </c>
      <c r="AD348" s="5" t="s">
        <v>925</v>
      </c>
      <c r="AE348" s="5" t="s">
        <v>354</v>
      </c>
      <c r="AF348" s="5" t="s">
        <v>354</v>
      </c>
      <c r="AG348" s="5" t="s">
        <v>354</v>
      </c>
      <c r="AH348" s="5" t="s">
        <v>354</v>
      </c>
      <c r="AI348" s="6" t="str">
        <f t="shared" si="11"/>
        <v>No</v>
      </c>
      <c r="AJ348" s="6" t="s">
        <v>926</v>
      </c>
      <c r="AK348" s="6" t="s">
        <v>121</v>
      </c>
      <c r="AL348" s="6">
        <f>MATCH(AA348,{"Low","Medium","High"},0)*MATCH(AB348,{"Low","Medium","High"},0)*INDEX({3,2,2,1,1},MATCH(X348,{"Core","Vertical extension","Differentiator","Future","Adjacent"},0))</f>
        <v>9</v>
      </c>
      <c r="AM348" s="5"/>
      <c r="AN348" s="5"/>
      <c r="AO348" s="5"/>
      <c r="AP348" s="5"/>
      <c r="AQ348" s="5"/>
      <c r="AR348" s="5"/>
      <c r="AS348" s="5"/>
      <c r="AT348" s="5"/>
      <c r="AU348" s="6" t="s">
        <v>927</v>
      </c>
      <c r="AV348" s="6" t="s">
        <v>1322</v>
      </c>
      <c r="AW348" s="6" t="s">
        <v>1322</v>
      </c>
      <c r="AX348" s="6" t="s">
        <v>929</v>
      </c>
      <c r="AY348" s="6" t="s">
        <v>930</v>
      </c>
      <c r="AZ348" s="6"/>
      <c r="BA348" s="6"/>
      <c r="BB348" s="6"/>
      <c r="BC348" s="6" t="s">
        <v>97</v>
      </c>
      <c r="BD348" s="6" t="s">
        <v>97</v>
      </c>
    </row>
    <row r="349" spans="1:56" ht="32" customHeight="1" x14ac:dyDescent="0.35">
      <c r="A349" s="13" t="s">
        <v>3011</v>
      </c>
      <c r="B349" s="6" t="s">
        <v>2114</v>
      </c>
      <c r="C349" s="5" t="s">
        <v>2115</v>
      </c>
      <c r="D349" s="5" t="s">
        <v>837</v>
      </c>
      <c r="E349" s="5" t="s">
        <v>3012</v>
      </c>
      <c r="F349" s="5" t="s">
        <v>3013</v>
      </c>
      <c r="G349" s="5" t="s">
        <v>457</v>
      </c>
      <c r="H349" s="5" t="s">
        <v>3014</v>
      </c>
      <c r="I349" s="5" t="s">
        <v>3015</v>
      </c>
      <c r="J349" s="17" t="s">
        <v>121</v>
      </c>
      <c r="K349" s="17" t="s">
        <v>181</v>
      </c>
      <c r="L349" s="5" t="s">
        <v>3016</v>
      </c>
      <c r="M349" s="6" t="s">
        <v>197</v>
      </c>
      <c r="N349" s="6" t="s">
        <v>812</v>
      </c>
      <c r="O349" s="6" t="s">
        <v>121</v>
      </c>
      <c r="P349" s="5" t="s">
        <v>918</v>
      </c>
      <c r="Q349" s="17" t="s">
        <v>182</v>
      </c>
      <c r="R349" s="5"/>
      <c r="S349" s="6" t="s">
        <v>937</v>
      </c>
      <c r="T349" s="5" t="s">
        <v>938</v>
      </c>
      <c r="U349" s="6"/>
      <c r="V349" s="6" t="s">
        <v>939</v>
      </c>
      <c r="W349" s="6" t="s">
        <v>331</v>
      </c>
      <c r="X349" s="5" t="s">
        <v>922</v>
      </c>
      <c r="Y349" s="5" t="s">
        <v>812</v>
      </c>
      <c r="Z349" s="5" t="str">
        <f t="shared" si="10"/>
        <v>High</v>
      </c>
      <c r="AA349" s="5" t="s">
        <v>923</v>
      </c>
      <c r="AB349" s="6" t="s">
        <v>924</v>
      </c>
      <c r="AC349" s="6" t="s">
        <v>103</v>
      </c>
      <c r="AD349" s="5" t="s">
        <v>925</v>
      </c>
      <c r="AE349" s="5" t="s">
        <v>354</v>
      </c>
      <c r="AF349" s="5" t="s">
        <v>354</v>
      </c>
      <c r="AG349" s="5" t="s">
        <v>354</v>
      </c>
      <c r="AH349" s="5" t="s">
        <v>354</v>
      </c>
      <c r="AI349" s="6" t="str">
        <f t="shared" si="11"/>
        <v>No</v>
      </c>
      <c r="AJ349" s="6" t="s">
        <v>926</v>
      </c>
      <c r="AK349" s="6" t="s">
        <v>121</v>
      </c>
      <c r="AL349" s="6">
        <f>MATCH(AA349,{"Low","Medium","High"},0)*MATCH(AB349,{"Low","Medium","High"},0)*INDEX({3,2,2,1,1},MATCH(X349,{"Core","Vertical extension","Differentiator","Future","Adjacent"},0))</f>
        <v>9</v>
      </c>
      <c r="AM349" s="5"/>
      <c r="AN349" s="5"/>
      <c r="AO349" s="5"/>
      <c r="AP349" s="5"/>
      <c r="AQ349" s="5"/>
      <c r="AR349" s="5"/>
      <c r="AS349" s="5"/>
      <c r="AT349" s="5"/>
      <c r="AU349" s="6" t="s">
        <v>927</v>
      </c>
      <c r="AV349" s="6" t="s">
        <v>1322</v>
      </c>
      <c r="AW349" s="6" t="s">
        <v>1322</v>
      </c>
      <c r="AX349" s="6" t="s">
        <v>929</v>
      </c>
      <c r="AY349" s="6" t="s">
        <v>930</v>
      </c>
      <c r="AZ349" s="6"/>
      <c r="BA349" s="6"/>
      <c r="BB349" s="6"/>
      <c r="BC349" s="6" t="s">
        <v>97</v>
      </c>
      <c r="BD349" s="6" t="s">
        <v>97</v>
      </c>
    </row>
    <row r="350" spans="1:56" ht="32" customHeight="1" x14ac:dyDescent="0.35">
      <c r="A350" s="13" t="s">
        <v>3017</v>
      </c>
      <c r="B350" s="6" t="s">
        <v>2114</v>
      </c>
      <c r="C350" s="5" t="s">
        <v>2115</v>
      </c>
      <c r="D350" s="5" t="s">
        <v>837</v>
      </c>
      <c r="E350" s="5" t="s">
        <v>3018</v>
      </c>
      <c r="F350" s="5" t="s">
        <v>1452</v>
      </c>
      <c r="G350" s="5" t="s">
        <v>3019</v>
      </c>
      <c r="H350" s="5" t="s">
        <v>3020</v>
      </c>
      <c r="I350" s="5" t="s">
        <v>3021</v>
      </c>
      <c r="J350" s="17" t="s">
        <v>121</v>
      </c>
      <c r="K350" s="17" t="s">
        <v>181</v>
      </c>
      <c r="L350" s="5" t="s">
        <v>3022</v>
      </c>
      <c r="M350" s="6" t="s">
        <v>197</v>
      </c>
      <c r="N350" s="6" t="s">
        <v>812</v>
      </c>
      <c r="O350" s="6" t="s">
        <v>121</v>
      </c>
      <c r="P350" s="5" t="s">
        <v>918</v>
      </c>
      <c r="Q350" s="17" t="s">
        <v>182</v>
      </c>
      <c r="R350" s="5"/>
      <c r="S350" s="6" t="s">
        <v>937</v>
      </c>
      <c r="T350" s="5" t="s">
        <v>938</v>
      </c>
      <c r="U350" s="6"/>
      <c r="V350" s="6" t="s">
        <v>939</v>
      </c>
      <c r="W350" s="6" t="s">
        <v>331</v>
      </c>
      <c r="X350" s="5" t="s">
        <v>922</v>
      </c>
      <c r="Y350" s="5" t="s">
        <v>812</v>
      </c>
      <c r="Z350" s="5" t="str">
        <f t="shared" si="10"/>
        <v>High</v>
      </c>
      <c r="AA350" s="5" t="s">
        <v>923</v>
      </c>
      <c r="AB350" s="6" t="s">
        <v>924</v>
      </c>
      <c r="AC350" s="6" t="s">
        <v>103</v>
      </c>
      <c r="AD350" s="5" t="s">
        <v>925</v>
      </c>
      <c r="AE350" s="5" t="s">
        <v>354</v>
      </c>
      <c r="AF350" s="5" t="s">
        <v>354</v>
      </c>
      <c r="AG350" s="5" t="s">
        <v>354</v>
      </c>
      <c r="AH350" s="5" t="s">
        <v>354</v>
      </c>
      <c r="AI350" s="6" t="str">
        <f t="shared" si="11"/>
        <v>No</v>
      </c>
      <c r="AJ350" s="6" t="s">
        <v>926</v>
      </c>
      <c r="AK350" s="6" t="s">
        <v>121</v>
      </c>
      <c r="AL350" s="6">
        <f>MATCH(AA350,{"Low","Medium","High"},0)*MATCH(AB350,{"Low","Medium","High"},0)*INDEX({3,2,2,1,1},MATCH(X350,{"Core","Vertical extension","Differentiator","Future","Adjacent"},0))</f>
        <v>9</v>
      </c>
      <c r="AM350" s="5"/>
      <c r="AN350" s="5"/>
      <c r="AO350" s="5"/>
      <c r="AP350" s="5"/>
      <c r="AQ350" s="5"/>
      <c r="AR350" s="5"/>
      <c r="AS350" s="5"/>
      <c r="AT350" s="5"/>
      <c r="AU350" s="6" t="s">
        <v>927</v>
      </c>
      <c r="AV350" s="6" t="s">
        <v>55</v>
      </c>
      <c r="AW350" s="6" t="s">
        <v>55</v>
      </c>
      <c r="AX350" s="6" t="s">
        <v>929</v>
      </c>
      <c r="AY350" s="6" t="s">
        <v>930</v>
      </c>
      <c r="AZ350" s="6"/>
      <c r="BA350" s="6"/>
      <c r="BB350" s="6"/>
      <c r="BC350" s="6" t="s">
        <v>97</v>
      </c>
      <c r="BD350" s="6" t="s">
        <v>97</v>
      </c>
    </row>
    <row r="351" spans="1:56" ht="32" customHeight="1" x14ac:dyDescent="0.35">
      <c r="A351" s="13" t="s">
        <v>3023</v>
      </c>
      <c r="B351" s="6" t="s">
        <v>2114</v>
      </c>
      <c r="C351" s="5" t="s">
        <v>2115</v>
      </c>
      <c r="D351" s="5" t="s">
        <v>837</v>
      </c>
      <c r="E351" s="5" t="s">
        <v>3024</v>
      </c>
      <c r="F351" s="5" t="s">
        <v>1452</v>
      </c>
      <c r="G351" s="5" t="s">
        <v>1459</v>
      </c>
      <c r="H351" s="5" t="s">
        <v>3025</v>
      </c>
      <c r="I351" s="5" t="s">
        <v>3026</v>
      </c>
      <c r="J351" s="17" t="s">
        <v>121</v>
      </c>
      <c r="K351" s="17" t="s">
        <v>181</v>
      </c>
      <c r="L351" s="5" t="s">
        <v>3027</v>
      </c>
      <c r="M351" s="6" t="s">
        <v>197</v>
      </c>
      <c r="N351" s="6" t="s">
        <v>812</v>
      </c>
      <c r="O351" s="6" t="s">
        <v>121</v>
      </c>
      <c r="P351" s="5" t="s">
        <v>918</v>
      </c>
      <c r="Q351" s="17" t="s">
        <v>182</v>
      </c>
      <c r="R351" s="5"/>
      <c r="S351" s="6" t="s">
        <v>937</v>
      </c>
      <c r="T351" s="5" t="s">
        <v>938</v>
      </c>
      <c r="U351" s="6"/>
      <c r="V351" s="6" t="s">
        <v>939</v>
      </c>
      <c r="W351" s="6" t="s">
        <v>331</v>
      </c>
      <c r="X351" s="5" t="s">
        <v>922</v>
      </c>
      <c r="Y351" s="5" t="s">
        <v>812</v>
      </c>
      <c r="Z351" s="5" t="str">
        <f t="shared" si="10"/>
        <v>High</v>
      </c>
      <c r="AA351" s="5" t="s">
        <v>923</v>
      </c>
      <c r="AB351" s="6" t="s">
        <v>924</v>
      </c>
      <c r="AC351" s="6" t="s">
        <v>103</v>
      </c>
      <c r="AD351" s="5" t="s">
        <v>925</v>
      </c>
      <c r="AE351" s="5" t="s">
        <v>354</v>
      </c>
      <c r="AF351" s="5" t="s">
        <v>354</v>
      </c>
      <c r="AG351" s="5" t="s">
        <v>354</v>
      </c>
      <c r="AH351" s="5" t="s">
        <v>354</v>
      </c>
      <c r="AI351" s="6" t="str">
        <f t="shared" si="11"/>
        <v>No</v>
      </c>
      <c r="AJ351" s="6" t="s">
        <v>926</v>
      </c>
      <c r="AK351" s="6" t="s">
        <v>121</v>
      </c>
      <c r="AL351" s="6">
        <f>MATCH(AA351,{"Low","Medium","High"},0)*MATCH(AB351,{"Low","Medium","High"},0)*INDEX({3,2,2,1,1},MATCH(X351,{"Core","Vertical extension","Differentiator","Future","Adjacent"},0))</f>
        <v>9</v>
      </c>
      <c r="AM351" s="5"/>
      <c r="AN351" s="5"/>
      <c r="AO351" s="5"/>
      <c r="AP351" s="5"/>
      <c r="AQ351" s="5"/>
      <c r="AR351" s="5"/>
      <c r="AS351" s="5"/>
      <c r="AT351" s="5"/>
      <c r="AU351" s="6" t="s">
        <v>927</v>
      </c>
      <c r="AV351" s="6" t="s">
        <v>55</v>
      </c>
      <c r="AW351" s="6" t="s">
        <v>55</v>
      </c>
      <c r="AX351" s="6" t="s">
        <v>929</v>
      </c>
      <c r="AY351" s="6" t="s">
        <v>930</v>
      </c>
      <c r="AZ351" s="6"/>
      <c r="BA351" s="6"/>
      <c r="BB351" s="6"/>
      <c r="BC351" s="6" t="s">
        <v>97</v>
      </c>
      <c r="BD351" s="6" t="s">
        <v>97</v>
      </c>
    </row>
    <row r="352" spans="1:56" ht="32" customHeight="1" x14ac:dyDescent="0.35">
      <c r="A352" s="13" t="s">
        <v>3028</v>
      </c>
      <c r="B352" s="6" t="s">
        <v>2114</v>
      </c>
      <c r="C352" s="5" t="s">
        <v>2115</v>
      </c>
      <c r="D352" s="5" t="s">
        <v>837</v>
      </c>
      <c r="E352" s="5" t="s">
        <v>3029</v>
      </c>
      <c r="F352" s="5" t="s">
        <v>831</v>
      </c>
      <c r="G352" s="5" t="s">
        <v>1322</v>
      </c>
      <c r="H352" s="5" t="s">
        <v>3030</v>
      </c>
      <c r="I352" s="5" t="s">
        <v>3031</v>
      </c>
      <c r="J352" s="17" t="s">
        <v>121</v>
      </c>
      <c r="K352" s="17" t="s">
        <v>181</v>
      </c>
      <c r="L352" s="5" t="s">
        <v>3032</v>
      </c>
      <c r="M352" s="6" t="s">
        <v>197</v>
      </c>
      <c r="N352" s="6" t="s">
        <v>812</v>
      </c>
      <c r="O352" s="6" t="s">
        <v>121</v>
      </c>
      <c r="P352" s="5" t="s">
        <v>918</v>
      </c>
      <c r="Q352" s="17" t="s">
        <v>182</v>
      </c>
      <c r="R352" s="5"/>
      <c r="S352" s="6" t="s">
        <v>937</v>
      </c>
      <c r="T352" s="5" t="s">
        <v>938</v>
      </c>
      <c r="U352" s="6"/>
      <c r="V352" s="6" t="s">
        <v>939</v>
      </c>
      <c r="W352" s="6" t="s">
        <v>331</v>
      </c>
      <c r="X352" s="5" t="s">
        <v>922</v>
      </c>
      <c r="Y352" s="5" t="s">
        <v>812</v>
      </c>
      <c r="Z352" s="5" t="str">
        <f t="shared" si="10"/>
        <v>High</v>
      </c>
      <c r="AA352" s="5" t="s">
        <v>923</v>
      </c>
      <c r="AB352" s="6" t="s">
        <v>924</v>
      </c>
      <c r="AC352" s="6" t="s">
        <v>103</v>
      </c>
      <c r="AD352" s="5" t="s">
        <v>925</v>
      </c>
      <c r="AE352" s="5" t="s">
        <v>354</v>
      </c>
      <c r="AF352" s="5" t="s">
        <v>354</v>
      </c>
      <c r="AG352" s="5" t="s">
        <v>354</v>
      </c>
      <c r="AH352" s="5" t="s">
        <v>354</v>
      </c>
      <c r="AI352" s="6" t="str">
        <f t="shared" si="11"/>
        <v>No</v>
      </c>
      <c r="AJ352" s="6" t="s">
        <v>926</v>
      </c>
      <c r="AK352" s="6" t="s">
        <v>121</v>
      </c>
      <c r="AL352" s="6">
        <f>MATCH(AA352,{"Low","Medium","High"},0)*MATCH(AB352,{"Low","Medium","High"},0)*INDEX({3,2,2,1,1},MATCH(X352,{"Core","Vertical extension","Differentiator","Future","Adjacent"},0))</f>
        <v>9</v>
      </c>
      <c r="AM352" s="5"/>
      <c r="AN352" s="5"/>
      <c r="AO352" s="5"/>
      <c r="AP352" s="5"/>
      <c r="AQ352" s="5"/>
      <c r="AR352" s="5"/>
      <c r="AS352" s="5"/>
      <c r="AT352" s="5"/>
      <c r="AU352" s="6" t="s">
        <v>927</v>
      </c>
      <c r="AV352" s="6" t="s">
        <v>2161</v>
      </c>
      <c r="AW352" s="6" t="s">
        <v>2161</v>
      </c>
      <c r="AX352" s="6" t="s">
        <v>929</v>
      </c>
      <c r="AY352" s="6" t="s">
        <v>930</v>
      </c>
      <c r="AZ352" s="6"/>
      <c r="BA352" s="6"/>
      <c r="BB352" s="6"/>
      <c r="BC352" s="6" t="s">
        <v>97</v>
      </c>
      <c r="BD352" s="6" t="s">
        <v>97</v>
      </c>
    </row>
    <row r="353" spans="1:56" ht="32" customHeight="1" x14ac:dyDescent="0.35">
      <c r="A353" s="13" t="s">
        <v>3033</v>
      </c>
      <c r="B353" s="6" t="s">
        <v>2114</v>
      </c>
      <c r="C353" s="5" t="s">
        <v>2115</v>
      </c>
      <c r="D353" s="5" t="s">
        <v>837</v>
      </c>
      <c r="E353" s="5" t="s">
        <v>3034</v>
      </c>
      <c r="F353" s="5" t="s">
        <v>831</v>
      </c>
      <c r="G353" s="5" t="s">
        <v>1322</v>
      </c>
      <c r="H353" s="5" t="s">
        <v>3035</v>
      </c>
      <c r="I353" s="5" t="s">
        <v>3036</v>
      </c>
      <c r="J353" s="17" t="s">
        <v>121</v>
      </c>
      <c r="K353" s="17" t="s">
        <v>181</v>
      </c>
      <c r="L353" s="5" t="s">
        <v>3037</v>
      </c>
      <c r="M353" s="6" t="s">
        <v>197</v>
      </c>
      <c r="N353" s="6" t="s">
        <v>812</v>
      </c>
      <c r="O353" s="6" t="s">
        <v>121</v>
      </c>
      <c r="P353" s="5" t="s">
        <v>918</v>
      </c>
      <c r="Q353" s="17" t="s">
        <v>182</v>
      </c>
      <c r="R353" s="5"/>
      <c r="S353" s="6" t="s">
        <v>937</v>
      </c>
      <c r="T353" s="5" t="s">
        <v>938</v>
      </c>
      <c r="U353" s="6"/>
      <c r="V353" s="6" t="s">
        <v>939</v>
      </c>
      <c r="W353" s="6" t="s">
        <v>331</v>
      </c>
      <c r="X353" s="5" t="s">
        <v>922</v>
      </c>
      <c r="Y353" s="5" t="s">
        <v>812</v>
      </c>
      <c r="Z353" s="5" t="str">
        <f t="shared" si="10"/>
        <v>High</v>
      </c>
      <c r="AA353" s="5" t="s">
        <v>923</v>
      </c>
      <c r="AB353" s="6" t="s">
        <v>924</v>
      </c>
      <c r="AC353" s="6" t="s">
        <v>103</v>
      </c>
      <c r="AD353" s="5" t="s">
        <v>925</v>
      </c>
      <c r="AE353" s="5" t="s">
        <v>354</v>
      </c>
      <c r="AF353" s="5" t="s">
        <v>354</v>
      </c>
      <c r="AG353" s="5" t="s">
        <v>354</v>
      </c>
      <c r="AH353" s="5" t="s">
        <v>354</v>
      </c>
      <c r="AI353" s="6" t="str">
        <f t="shared" si="11"/>
        <v>No</v>
      </c>
      <c r="AJ353" s="6" t="s">
        <v>926</v>
      </c>
      <c r="AK353" s="6" t="s">
        <v>121</v>
      </c>
      <c r="AL353" s="6">
        <f>MATCH(AA353,{"Low","Medium","High"},0)*MATCH(AB353,{"Low","Medium","High"},0)*INDEX({3,2,2,1,1},MATCH(X353,{"Core","Vertical extension","Differentiator","Future","Adjacent"},0))</f>
        <v>9</v>
      </c>
      <c r="AM353" s="5"/>
      <c r="AN353" s="5"/>
      <c r="AO353" s="5"/>
      <c r="AP353" s="5"/>
      <c r="AQ353" s="5"/>
      <c r="AR353" s="5"/>
      <c r="AS353" s="5"/>
      <c r="AT353" s="5"/>
      <c r="AU353" s="6" t="s">
        <v>927</v>
      </c>
      <c r="AV353" s="6" t="s">
        <v>2161</v>
      </c>
      <c r="AW353" s="6" t="s">
        <v>2161</v>
      </c>
      <c r="AX353" s="6" t="s">
        <v>929</v>
      </c>
      <c r="AY353" s="6" t="s">
        <v>930</v>
      </c>
      <c r="AZ353" s="6"/>
      <c r="BA353" s="6"/>
      <c r="BB353" s="6"/>
      <c r="BC353" s="6" t="s">
        <v>97</v>
      </c>
      <c r="BD353" s="6" t="s">
        <v>97</v>
      </c>
    </row>
    <row r="354" spans="1:56" ht="32" customHeight="1" x14ac:dyDescent="0.35">
      <c r="A354" s="13" t="s">
        <v>3038</v>
      </c>
      <c r="B354" s="6" t="s">
        <v>2114</v>
      </c>
      <c r="C354" s="5" t="s">
        <v>2115</v>
      </c>
      <c r="D354" s="5" t="s">
        <v>842</v>
      </c>
      <c r="E354" s="5" t="s">
        <v>3039</v>
      </c>
      <c r="F354" s="5" t="s">
        <v>3040</v>
      </c>
      <c r="G354" s="5" t="s">
        <v>1017</v>
      </c>
      <c r="H354" s="5" t="s">
        <v>3041</v>
      </c>
      <c r="I354" s="5" t="s">
        <v>3042</v>
      </c>
      <c r="J354" s="17" t="s">
        <v>121</v>
      </c>
      <c r="K354" s="17" t="s">
        <v>181</v>
      </c>
      <c r="L354" s="5" t="s">
        <v>3043</v>
      </c>
      <c r="M354" s="6" t="s">
        <v>197</v>
      </c>
      <c r="N354" s="6" t="s">
        <v>812</v>
      </c>
      <c r="O354" s="6" t="s">
        <v>121</v>
      </c>
      <c r="P354" s="5" t="s">
        <v>918</v>
      </c>
      <c r="Q354" s="17" t="s">
        <v>182</v>
      </c>
      <c r="R354" s="5"/>
      <c r="S354" s="6" t="s">
        <v>1772</v>
      </c>
      <c r="T354" s="5" t="s">
        <v>1773</v>
      </c>
      <c r="U354" s="6"/>
      <c r="V354" s="6" t="s">
        <v>1774</v>
      </c>
      <c r="W354" s="6" t="s">
        <v>335</v>
      </c>
      <c r="X354" s="5" t="s">
        <v>922</v>
      </c>
      <c r="Y354" s="5" t="s">
        <v>812</v>
      </c>
      <c r="Z354" s="5" t="str">
        <f t="shared" si="10"/>
        <v>Medium</v>
      </c>
      <c r="AA354" s="5" t="s">
        <v>956</v>
      </c>
      <c r="AB354" s="6" t="s">
        <v>924</v>
      </c>
      <c r="AC354" s="6" t="s">
        <v>11</v>
      </c>
      <c r="AD354" s="5" t="s">
        <v>925</v>
      </c>
      <c r="AE354" s="5" t="s">
        <v>354</v>
      </c>
      <c r="AF354" s="5" t="s">
        <v>354</v>
      </c>
      <c r="AG354" s="5" t="s">
        <v>354</v>
      </c>
      <c r="AH354" s="5" t="s">
        <v>354</v>
      </c>
      <c r="AI354" s="6" t="str">
        <f t="shared" si="11"/>
        <v>No</v>
      </c>
      <c r="AJ354" s="6" t="s">
        <v>926</v>
      </c>
      <c r="AK354" s="6" t="s">
        <v>151</v>
      </c>
      <c r="AL354" s="6">
        <f>MATCH(AA354,{"Low","Medium","High"},0)*MATCH(AB354,{"Low","Medium","High"},0)*INDEX({3,2,2,1,1},MATCH(X354,{"Core","Vertical extension","Differentiator","Future","Adjacent"},0))</f>
        <v>6</v>
      </c>
      <c r="AM354" s="5"/>
      <c r="AN354" s="5"/>
      <c r="AO354" s="5"/>
      <c r="AP354" s="5"/>
      <c r="AQ354" s="5"/>
      <c r="AR354" s="5"/>
      <c r="AS354" s="5"/>
      <c r="AT354" s="5"/>
      <c r="AU354" s="6" t="s">
        <v>927</v>
      </c>
      <c r="AV354" s="6" t="s">
        <v>928</v>
      </c>
      <c r="AW354" s="6" t="s">
        <v>928</v>
      </c>
      <c r="AX354" s="6" t="s">
        <v>929</v>
      </c>
      <c r="AY354" s="6" t="s">
        <v>930</v>
      </c>
      <c r="AZ354" s="6"/>
      <c r="BA354" s="6"/>
      <c r="BB354" s="6"/>
      <c r="BC354" s="6" t="s">
        <v>97</v>
      </c>
      <c r="BD354" s="6" t="s">
        <v>97</v>
      </c>
    </row>
    <row r="355" spans="1:56" ht="32" customHeight="1" x14ac:dyDescent="0.35">
      <c r="A355" s="13" t="s">
        <v>3044</v>
      </c>
      <c r="B355" s="6" t="s">
        <v>2114</v>
      </c>
      <c r="C355" s="5" t="s">
        <v>2115</v>
      </c>
      <c r="D355" s="5" t="s">
        <v>842</v>
      </c>
      <c r="E355" s="5" t="s">
        <v>3045</v>
      </c>
      <c r="F355" s="5" t="s">
        <v>3046</v>
      </c>
      <c r="G355" s="5" t="s">
        <v>1017</v>
      </c>
      <c r="H355" s="5" t="s">
        <v>3047</v>
      </c>
      <c r="I355" s="5" t="s">
        <v>3048</v>
      </c>
      <c r="J355" s="17" t="s">
        <v>121</v>
      </c>
      <c r="K355" s="17" t="s">
        <v>181</v>
      </c>
      <c r="L355" s="5" t="s">
        <v>3049</v>
      </c>
      <c r="M355" s="6" t="s">
        <v>197</v>
      </c>
      <c r="N355" s="6" t="s">
        <v>812</v>
      </c>
      <c r="O355" s="6" t="s">
        <v>121</v>
      </c>
      <c r="P355" s="5" t="s">
        <v>999</v>
      </c>
      <c r="Q355" s="17" t="s">
        <v>182</v>
      </c>
      <c r="R355" s="5" t="s">
        <v>999</v>
      </c>
      <c r="S355" s="6" t="s">
        <v>1772</v>
      </c>
      <c r="T355" s="5" t="s">
        <v>1773</v>
      </c>
      <c r="U355" s="6"/>
      <c r="V355" s="6" t="s">
        <v>1774</v>
      </c>
      <c r="W355" s="6" t="s">
        <v>335</v>
      </c>
      <c r="X355" s="5" t="s">
        <v>922</v>
      </c>
      <c r="Y355" s="5" t="s">
        <v>812</v>
      </c>
      <c r="Z355" s="5" t="str">
        <f t="shared" si="10"/>
        <v>Medium</v>
      </c>
      <c r="AA355" s="5" t="s">
        <v>956</v>
      </c>
      <c r="AB355" s="6" t="s">
        <v>924</v>
      </c>
      <c r="AC355" s="6" t="s">
        <v>11</v>
      </c>
      <c r="AD355" s="5" t="s">
        <v>925</v>
      </c>
      <c r="AE355" s="5" t="s">
        <v>354</v>
      </c>
      <c r="AF355" s="5" t="s">
        <v>354</v>
      </c>
      <c r="AG355" s="5" t="s">
        <v>354</v>
      </c>
      <c r="AH355" s="5" t="s">
        <v>354</v>
      </c>
      <c r="AI355" s="6" t="str">
        <f t="shared" si="11"/>
        <v>No</v>
      </c>
      <c r="AJ355" s="6" t="s">
        <v>926</v>
      </c>
      <c r="AK355" s="6" t="s">
        <v>151</v>
      </c>
      <c r="AL355" s="6">
        <f>MATCH(AA355,{"Low","Medium","High"},0)*MATCH(AB355,{"Low","Medium","High"},0)*INDEX({3,2,2,1,1},MATCH(X355,{"Core","Vertical extension","Differentiator","Future","Adjacent"},0))</f>
        <v>6</v>
      </c>
      <c r="AM355" s="5"/>
      <c r="AN355" s="5"/>
      <c r="AO355" s="5"/>
      <c r="AP355" s="5"/>
      <c r="AQ355" s="5"/>
      <c r="AR355" s="5"/>
      <c r="AS355" s="5"/>
      <c r="AT355" s="5"/>
      <c r="AU355" s="6" t="s">
        <v>927</v>
      </c>
      <c r="AV355" s="6" t="s">
        <v>1390</v>
      </c>
      <c r="AW355" s="6" t="s">
        <v>1390</v>
      </c>
      <c r="AX355" s="6" t="s">
        <v>1003</v>
      </c>
      <c r="AY355" s="6" t="s">
        <v>930</v>
      </c>
      <c r="AZ355" s="6"/>
      <c r="BA355" s="6"/>
      <c r="BB355" s="6"/>
      <c r="BC355" s="6" t="s">
        <v>97</v>
      </c>
      <c r="BD355" s="6" t="s">
        <v>97</v>
      </c>
    </row>
    <row r="356" spans="1:56" ht="32" customHeight="1" x14ac:dyDescent="0.35">
      <c r="A356" s="13" t="s">
        <v>3050</v>
      </c>
      <c r="B356" s="6" t="s">
        <v>2114</v>
      </c>
      <c r="C356" s="5" t="s">
        <v>2115</v>
      </c>
      <c r="D356" s="5" t="s">
        <v>842</v>
      </c>
      <c r="E356" s="5" t="s">
        <v>3051</v>
      </c>
      <c r="F356" s="5" t="s">
        <v>3052</v>
      </c>
      <c r="G356" s="5" t="s">
        <v>3053</v>
      </c>
      <c r="H356" s="5" t="s">
        <v>3054</v>
      </c>
      <c r="I356" s="5" t="s">
        <v>3055</v>
      </c>
      <c r="J356" s="17" t="s">
        <v>121</v>
      </c>
      <c r="K356" s="17" t="s">
        <v>181</v>
      </c>
      <c r="L356" s="5" t="s">
        <v>3056</v>
      </c>
      <c r="M356" s="6" t="s">
        <v>197</v>
      </c>
      <c r="N356" s="6" t="s">
        <v>812</v>
      </c>
      <c r="O356" s="6" t="s">
        <v>121</v>
      </c>
      <c r="P356" s="5" t="s">
        <v>918</v>
      </c>
      <c r="Q356" s="17" t="s">
        <v>182</v>
      </c>
      <c r="R356" s="5"/>
      <c r="S356" s="6" t="s">
        <v>1772</v>
      </c>
      <c r="T356" s="5" t="s">
        <v>1773</v>
      </c>
      <c r="U356" s="6"/>
      <c r="V356" s="6" t="s">
        <v>1774</v>
      </c>
      <c r="W356" s="6" t="s">
        <v>335</v>
      </c>
      <c r="X356" s="5" t="s">
        <v>922</v>
      </c>
      <c r="Y356" s="5" t="s">
        <v>812</v>
      </c>
      <c r="Z356" s="5" t="str">
        <f t="shared" si="10"/>
        <v>Medium</v>
      </c>
      <c r="AA356" s="5" t="s">
        <v>956</v>
      </c>
      <c r="AB356" s="6" t="s">
        <v>924</v>
      </c>
      <c r="AC356" s="6" t="s">
        <v>11</v>
      </c>
      <c r="AD356" s="5" t="s">
        <v>925</v>
      </c>
      <c r="AE356" s="5" t="s">
        <v>354</v>
      </c>
      <c r="AF356" s="5" t="s">
        <v>354</v>
      </c>
      <c r="AG356" s="5" t="s">
        <v>354</v>
      </c>
      <c r="AH356" s="5" t="s">
        <v>354</v>
      </c>
      <c r="AI356" s="6" t="str">
        <f t="shared" si="11"/>
        <v>No</v>
      </c>
      <c r="AJ356" s="6" t="s">
        <v>926</v>
      </c>
      <c r="AK356" s="6" t="s">
        <v>151</v>
      </c>
      <c r="AL356" s="6">
        <f>MATCH(AA356,{"Low","Medium","High"},0)*MATCH(AB356,{"Low","Medium","High"},0)*INDEX({3,2,2,1,1},MATCH(X356,{"Core","Vertical extension","Differentiator","Future","Adjacent"},0))</f>
        <v>6</v>
      </c>
      <c r="AM356" s="5"/>
      <c r="AN356" s="5"/>
      <c r="AO356" s="5"/>
      <c r="AP356" s="5"/>
      <c r="AQ356" s="5"/>
      <c r="AR356" s="5"/>
      <c r="AS356" s="5"/>
      <c r="AT356" s="5"/>
      <c r="AU356" s="6" t="s">
        <v>927</v>
      </c>
      <c r="AV356" s="6" t="s">
        <v>2161</v>
      </c>
      <c r="AW356" s="6" t="s">
        <v>2161</v>
      </c>
      <c r="AX356" s="6" t="s">
        <v>929</v>
      </c>
      <c r="AY356" s="6" t="s">
        <v>930</v>
      </c>
      <c r="AZ356" s="6"/>
      <c r="BA356" s="6"/>
      <c r="BB356" s="6"/>
      <c r="BC356" s="6" t="s">
        <v>97</v>
      </c>
      <c r="BD356" s="6" t="s">
        <v>97</v>
      </c>
    </row>
    <row r="357" spans="1:56" ht="32" customHeight="1" x14ac:dyDescent="0.35">
      <c r="A357" s="13" t="s">
        <v>3057</v>
      </c>
      <c r="B357" s="6" t="s">
        <v>2114</v>
      </c>
      <c r="C357" s="5" t="s">
        <v>2115</v>
      </c>
      <c r="D357" s="5" t="s">
        <v>842</v>
      </c>
      <c r="E357" s="5" t="s">
        <v>3058</v>
      </c>
      <c r="F357" s="5" t="s">
        <v>3059</v>
      </c>
      <c r="G357" s="5" t="s">
        <v>3060</v>
      </c>
      <c r="H357" s="5" t="s">
        <v>3061</v>
      </c>
      <c r="I357" s="5" t="s">
        <v>3062</v>
      </c>
      <c r="J357" s="17" t="s">
        <v>121</v>
      </c>
      <c r="K357" s="17" t="s">
        <v>181</v>
      </c>
      <c r="L357" s="5" t="s">
        <v>3063</v>
      </c>
      <c r="M357" s="6" t="s">
        <v>197</v>
      </c>
      <c r="N357" s="6" t="s">
        <v>812</v>
      </c>
      <c r="O357" s="6" t="s">
        <v>121</v>
      </c>
      <c r="P357" s="5" t="s">
        <v>918</v>
      </c>
      <c r="Q357" s="17" t="s">
        <v>182</v>
      </c>
      <c r="R357" s="5"/>
      <c r="S357" s="6" t="s">
        <v>1772</v>
      </c>
      <c r="T357" s="5" t="s">
        <v>1773</v>
      </c>
      <c r="U357" s="6"/>
      <c r="V357" s="6" t="s">
        <v>1774</v>
      </c>
      <c r="W357" s="6" t="s">
        <v>335</v>
      </c>
      <c r="X357" s="5" t="s">
        <v>922</v>
      </c>
      <c r="Y357" s="5" t="s">
        <v>812</v>
      </c>
      <c r="Z357" s="5" t="str">
        <f t="shared" si="10"/>
        <v>Medium</v>
      </c>
      <c r="AA357" s="5" t="s">
        <v>956</v>
      </c>
      <c r="AB357" s="6" t="s">
        <v>924</v>
      </c>
      <c r="AC357" s="6" t="s">
        <v>11</v>
      </c>
      <c r="AD357" s="5" t="s">
        <v>925</v>
      </c>
      <c r="AE357" s="5" t="s">
        <v>354</v>
      </c>
      <c r="AF357" s="5" t="s">
        <v>354</v>
      </c>
      <c r="AG357" s="5" t="s">
        <v>354</v>
      </c>
      <c r="AH357" s="5" t="s">
        <v>354</v>
      </c>
      <c r="AI357" s="6" t="str">
        <f t="shared" si="11"/>
        <v>No</v>
      </c>
      <c r="AJ357" s="6" t="s">
        <v>926</v>
      </c>
      <c r="AK357" s="6" t="s">
        <v>151</v>
      </c>
      <c r="AL357" s="6">
        <f>MATCH(AA357,{"Low","Medium","High"},0)*MATCH(AB357,{"Low","Medium","High"},0)*INDEX({3,2,2,1,1},MATCH(X357,{"Core","Vertical extension","Differentiator","Future","Adjacent"},0))</f>
        <v>6</v>
      </c>
      <c r="AM357" s="5"/>
      <c r="AN357" s="5"/>
      <c r="AO357" s="5"/>
      <c r="AP357" s="5"/>
      <c r="AQ357" s="5"/>
      <c r="AR357" s="5"/>
      <c r="AS357" s="5"/>
      <c r="AT357" s="5"/>
      <c r="AU357" s="6" t="s">
        <v>927</v>
      </c>
      <c r="AV357" s="6" t="s">
        <v>1315</v>
      </c>
      <c r="AW357" s="6" t="s">
        <v>1315</v>
      </c>
      <c r="AX357" s="6" t="s">
        <v>929</v>
      </c>
      <c r="AY357" s="6" t="s">
        <v>930</v>
      </c>
      <c r="AZ357" s="6"/>
      <c r="BA357" s="6"/>
      <c r="BB357" s="6"/>
      <c r="BC357" s="6" t="s">
        <v>97</v>
      </c>
      <c r="BD357" s="6" t="s">
        <v>97</v>
      </c>
    </row>
    <row r="358" spans="1:56" ht="32" customHeight="1" x14ac:dyDescent="0.35">
      <c r="A358" s="13" t="s">
        <v>3064</v>
      </c>
      <c r="B358" s="6" t="s">
        <v>2114</v>
      </c>
      <c r="C358" s="5" t="s">
        <v>2115</v>
      </c>
      <c r="D358" s="5" t="s">
        <v>842</v>
      </c>
      <c r="E358" s="5" t="s">
        <v>3065</v>
      </c>
      <c r="F358" s="5" t="s">
        <v>3059</v>
      </c>
      <c r="G358" s="5" t="s">
        <v>1310</v>
      </c>
      <c r="H358" s="5" t="s">
        <v>3066</v>
      </c>
      <c r="I358" s="5" t="s">
        <v>3067</v>
      </c>
      <c r="J358" s="17" t="s">
        <v>121</v>
      </c>
      <c r="K358" s="17" t="s">
        <v>181</v>
      </c>
      <c r="L358" s="5" t="s">
        <v>3068</v>
      </c>
      <c r="M358" s="6" t="s">
        <v>197</v>
      </c>
      <c r="N358" s="6" t="s">
        <v>812</v>
      </c>
      <c r="O358" s="6" t="s">
        <v>121</v>
      </c>
      <c r="P358" s="5" t="s">
        <v>918</v>
      </c>
      <c r="Q358" s="17" t="s">
        <v>182</v>
      </c>
      <c r="R358" s="5"/>
      <c r="S358" s="6" t="s">
        <v>1772</v>
      </c>
      <c r="T358" s="5" t="s">
        <v>1773</v>
      </c>
      <c r="U358" s="6"/>
      <c r="V358" s="6" t="s">
        <v>1774</v>
      </c>
      <c r="W358" s="6" t="s">
        <v>335</v>
      </c>
      <c r="X358" s="5" t="s">
        <v>922</v>
      </c>
      <c r="Y358" s="5" t="s">
        <v>812</v>
      </c>
      <c r="Z358" s="5" t="str">
        <f t="shared" si="10"/>
        <v>Medium</v>
      </c>
      <c r="AA358" s="5" t="s">
        <v>956</v>
      </c>
      <c r="AB358" s="6" t="s">
        <v>924</v>
      </c>
      <c r="AC358" s="6" t="s">
        <v>11</v>
      </c>
      <c r="AD358" s="5" t="s">
        <v>925</v>
      </c>
      <c r="AE358" s="5" t="s">
        <v>354</v>
      </c>
      <c r="AF358" s="5" t="s">
        <v>354</v>
      </c>
      <c r="AG358" s="5" t="s">
        <v>354</v>
      </c>
      <c r="AH358" s="5" t="s">
        <v>354</v>
      </c>
      <c r="AI358" s="6" t="str">
        <f t="shared" si="11"/>
        <v>No</v>
      </c>
      <c r="AJ358" s="6" t="s">
        <v>926</v>
      </c>
      <c r="AK358" s="6" t="s">
        <v>151</v>
      </c>
      <c r="AL358" s="6">
        <f>MATCH(AA358,{"Low","Medium","High"},0)*MATCH(AB358,{"Low","Medium","High"},0)*INDEX({3,2,2,1,1},MATCH(X358,{"Core","Vertical extension","Differentiator","Future","Adjacent"},0))</f>
        <v>6</v>
      </c>
      <c r="AM358" s="5"/>
      <c r="AN358" s="5"/>
      <c r="AO358" s="5"/>
      <c r="AP358" s="5"/>
      <c r="AQ358" s="5"/>
      <c r="AR358" s="5"/>
      <c r="AS358" s="5"/>
      <c r="AT358" s="5"/>
      <c r="AU358" s="6" t="s">
        <v>927</v>
      </c>
      <c r="AV358" s="6" t="s">
        <v>1315</v>
      </c>
      <c r="AW358" s="6" t="s">
        <v>1315</v>
      </c>
      <c r="AX358" s="6" t="s">
        <v>929</v>
      </c>
      <c r="AY358" s="6" t="s">
        <v>930</v>
      </c>
      <c r="AZ358" s="6"/>
      <c r="BA358" s="6"/>
      <c r="BB358" s="6"/>
      <c r="BC358" s="6" t="s">
        <v>97</v>
      </c>
      <c r="BD358" s="6" t="s">
        <v>97</v>
      </c>
    </row>
    <row r="359" spans="1:56" ht="32" customHeight="1" x14ac:dyDescent="0.35">
      <c r="A359" s="13" t="s">
        <v>3069</v>
      </c>
      <c r="B359" s="6" t="s">
        <v>2114</v>
      </c>
      <c r="C359" s="5" t="s">
        <v>2115</v>
      </c>
      <c r="D359" s="5" t="s">
        <v>842</v>
      </c>
      <c r="E359" s="5" t="s">
        <v>3070</v>
      </c>
      <c r="F359" s="5" t="s">
        <v>3059</v>
      </c>
      <c r="G359" s="5" t="s">
        <v>3060</v>
      </c>
      <c r="H359" s="5" t="s">
        <v>3071</v>
      </c>
      <c r="I359" s="5" t="s">
        <v>3072</v>
      </c>
      <c r="J359" s="17" t="s">
        <v>121</v>
      </c>
      <c r="K359" s="17" t="s">
        <v>181</v>
      </c>
      <c r="L359" s="5" t="s">
        <v>3073</v>
      </c>
      <c r="M359" s="6" t="s">
        <v>197</v>
      </c>
      <c r="N359" s="6" t="s">
        <v>812</v>
      </c>
      <c r="O359" s="6" t="s">
        <v>121</v>
      </c>
      <c r="P359" s="5" t="s">
        <v>918</v>
      </c>
      <c r="Q359" s="17" t="s">
        <v>182</v>
      </c>
      <c r="R359" s="5"/>
      <c r="S359" s="6" t="s">
        <v>1772</v>
      </c>
      <c r="T359" s="5" t="s">
        <v>1773</v>
      </c>
      <c r="U359" s="6"/>
      <c r="V359" s="6" t="s">
        <v>1774</v>
      </c>
      <c r="W359" s="6" t="s">
        <v>335</v>
      </c>
      <c r="X359" s="5" t="s">
        <v>922</v>
      </c>
      <c r="Y359" s="5" t="s">
        <v>812</v>
      </c>
      <c r="Z359" s="5" t="str">
        <f t="shared" si="10"/>
        <v>Medium</v>
      </c>
      <c r="AA359" s="5" t="s">
        <v>956</v>
      </c>
      <c r="AB359" s="6" t="s">
        <v>924</v>
      </c>
      <c r="AC359" s="6" t="s">
        <v>11</v>
      </c>
      <c r="AD359" s="5" t="s">
        <v>925</v>
      </c>
      <c r="AE359" s="5" t="s">
        <v>354</v>
      </c>
      <c r="AF359" s="5" t="s">
        <v>354</v>
      </c>
      <c r="AG359" s="5" t="s">
        <v>354</v>
      </c>
      <c r="AH359" s="5" t="s">
        <v>354</v>
      </c>
      <c r="AI359" s="6" t="str">
        <f t="shared" si="11"/>
        <v>No</v>
      </c>
      <c r="AJ359" s="6" t="s">
        <v>926</v>
      </c>
      <c r="AK359" s="6" t="s">
        <v>151</v>
      </c>
      <c r="AL359" s="6">
        <f>MATCH(AA359,{"Low","Medium","High"},0)*MATCH(AB359,{"Low","Medium","High"},0)*INDEX({3,2,2,1,1},MATCH(X359,{"Core","Vertical extension","Differentiator","Future","Adjacent"},0))</f>
        <v>6</v>
      </c>
      <c r="AM359" s="5"/>
      <c r="AN359" s="5"/>
      <c r="AO359" s="5"/>
      <c r="AP359" s="5"/>
      <c r="AQ359" s="5"/>
      <c r="AR359" s="5"/>
      <c r="AS359" s="5"/>
      <c r="AT359" s="5"/>
      <c r="AU359" s="6" t="s">
        <v>927</v>
      </c>
      <c r="AV359" s="6" t="s">
        <v>1315</v>
      </c>
      <c r="AW359" s="6" t="s">
        <v>1315</v>
      </c>
      <c r="AX359" s="6" t="s">
        <v>929</v>
      </c>
      <c r="AY359" s="6" t="s">
        <v>930</v>
      </c>
      <c r="AZ359" s="6"/>
      <c r="BA359" s="6"/>
      <c r="BB359" s="6"/>
      <c r="BC359" s="6" t="s">
        <v>97</v>
      </c>
      <c r="BD359" s="6" t="s">
        <v>97</v>
      </c>
    </row>
    <row r="360" spans="1:56" ht="32" customHeight="1" x14ac:dyDescent="0.35">
      <c r="A360" s="13" t="s">
        <v>3074</v>
      </c>
      <c r="B360" s="6" t="s">
        <v>2114</v>
      </c>
      <c r="C360" s="5" t="s">
        <v>2115</v>
      </c>
      <c r="D360" s="5" t="s">
        <v>842</v>
      </c>
      <c r="E360" s="5" t="s">
        <v>3075</v>
      </c>
      <c r="F360" s="5" t="s">
        <v>451</v>
      </c>
      <c r="G360" s="5" t="s">
        <v>1017</v>
      </c>
      <c r="H360" s="5" t="s">
        <v>3076</v>
      </c>
      <c r="I360" s="5" t="s">
        <v>3077</v>
      </c>
      <c r="J360" s="17" t="s">
        <v>121</v>
      </c>
      <c r="K360" s="17" t="s">
        <v>181</v>
      </c>
      <c r="L360" s="5" t="s">
        <v>1791</v>
      </c>
      <c r="M360" s="6" t="s">
        <v>197</v>
      </c>
      <c r="N360" s="6" t="s">
        <v>812</v>
      </c>
      <c r="O360" s="6" t="s">
        <v>121</v>
      </c>
      <c r="P360" s="5" t="s">
        <v>918</v>
      </c>
      <c r="Q360" s="17" t="s">
        <v>182</v>
      </c>
      <c r="R360" s="5"/>
      <c r="S360" s="6" t="s">
        <v>1772</v>
      </c>
      <c r="T360" s="5" t="s">
        <v>1773</v>
      </c>
      <c r="U360" s="6"/>
      <c r="V360" s="6" t="s">
        <v>1774</v>
      </c>
      <c r="W360" s="6" t="s">
        <v>335</v>
      </c>
      <c r="X360" s="5" t="s">
        <v>922</v>
      </c>
      <c r="Y360" s="5" t="s">
        <v>812</v>
      </c>
      <c r="Z360" s="5" t="str">
        <f t="shared" si="10"/>
        <v>Medium</v>
      </c>
      <c r="AA360" s="5" t="s">
        <v>956</v>
      </c>
      <c r="AB360" s="6" t="s">
        <v>924</v>
      </c>
      <c r="AC360" s="6" t="s">
        <v>11</v>
      </c>
      <c r="AD360" s="5" t="s">
        <v>925</v>
      </c>
      <c r="AE360" s="5" t="s">
        <v>354</v>
      </c>
      <c r="AF360" s="5" t="s">
        <v>354</v>
      </c>
      <c r="AG360" s="5" t="s">
        <v>354</v>
      </c>
      <c r="AH360" s="5" t="s">
        <v>354</v>
      </c>
      <c r="AI360" s="6" t="str">
        <f t="shared" si="11"/>
        <v>No</v>
      </c>
      <c r="AJ360" s="6" t="s">
        <v>926</v>
      </c>
      <c r="AK360" s="6" t="s">
        <v>151</v>
      </c>
      <c r="AL360" s="6">
        <f>MATCH(AA360,{"Low","Medium","High"},0)*MATCH(AB360,{"Low","Medium","High"},0)*INDEX({3,2,2,1,1},MATCH(X360,{"Core","Vertical extension","Differentiator","Future","Adjacent"},0))</f>
        <v>6</v>
      </c>
      <c r="AM360" s="5"/>
      <c r="AN360" s="5"/>
      <c r="AO360" s="5"/>
      <c r="AP360" s="5"/>
      <c r="AQ360" s="5"/>
      <c r="AR360" s="5"/>
      <c r="AS360" s="5"/>
      <c r="AT360" s="5"/>
      <c r="AU360" s="6" t="s">
        <v>927</v>
      </c>
      <c r="AV360" s="6" t="s">
        <v>1315</v>
      </c>
      <c r="AW360" s="6" t="s">
        <v>1315</v>
      </c>
      <c r="AX360" s="6" t="s">
        <v>929</v>
      </c>
      <c r="AY360" s="6" t="s">
        <v>930</v>
      </c>
      <c r="AZ360" s="6"/>
      <c r="BA360" s="6" t="s">
        <v>1286</v>
      </c>
      <c r="BB360" s="6" t="s">
        <v>1287</v>
      </c>
      <c r="BC360" s="6" t="s">
        <v>97</v>
      </c>
      <c r="BD360" s="6" t="s">
        <v>97</v>
      </c>
    </row>
    <row r="361" spans="1:56" ht="32" customHeight="1" x14ac:dyDescent="0.35">
      <c r="A361" s="13" t="s">
        <v>3078</v>
      </c>
      <c r="B361" s="6" t="s">
        <v>2114</v>
      </c>
      <c r="C361" s="5" t="s">
        <v>2115</v>
      </c>
      <c r="D361" s="5" t="s">
        <v>842</v>
      </c>
      <c r="E361" s="5" t="s">
        <v>3079</v>
      </c>
      <c r="F361" s="5" t="s">
        <v>1623</v>
      </c>
      <c r="G361" s="5" t="s">
        <v>1017</v>
      </c>
      <c r="H361" s="5" t="s">
        <v>3080</v>
      </c>
      <c r="I361" s="5" t="s">
        <v>3081</v>
      </c>
      <c r="J361" s="17" t="s">
        <v>121</v>
      </c>
      <c r="K361" s="17" t="s">
        <v>181</v>
      </c>
      <c r="L361" s="5" t="s">
        <v>3082</v>
      </c>
      <c r="M361" s="6" t="s">
        <v>197</v>
      </c>
      <c r="N361" s="6" t="s">
        <v>812</v>
      </c>
      <c r="O361" s="6" t="s">
        <v>121</v>
      </c>
      <c r="P361" s="5" t="s">
        <v>918</v>
      </c>
      <c r="Q361" s="18" t="s">
        <v>186</v>
      </c>
      <c r="R361" s="5" t="s">
        <v>1295</v>
      </c>
      <c r="S361" s="6" t="s">
        <v>1772</v>
      </c>
      <c r="T361" s="5" t="s">
        <v>1773</v>
      </c>
      <c r="U361" s="6"/>
      <c r="V361" s="6" t="s">
        <v>1774</v>
      </c>
      <c r="W361" s="6" t="s">
        <v>335</v>
      </c>
      <c r="X361" s="5" t="s">
        <v>922</v>
      </c>
      <c r="Y361" s="5" t="s">
        <v>812</v>
      </c>
      <c r="Z361" s="5" t="str">
        <f t="shared" si="10"/>
        <v>Medium</v>
      </c>
      <c r="AA361" s="5" t="s">
        <v>956</v>
      </c>
      <c r="AB361" s="6" t="s">
        <v>924</v>
      </c>
      <c r="AC361" s="6" t="s">
        <v>11</v>
      </c>
      <c r="AD361" s="5" t="s">
        <v>940</v>
      </c>
      <c r="AE361" s="5" t="s">
        <v>354</v>
      </c>
      <c r="AF361" s="5" t="s">
        <v>354</v>
      </c>
      <c r="AG361" s="5" t="s">
        <v>354</v>
      </c>
      <c r="AH361" s="5" t="s">
        <v>354</v>
      </c>
      <c r="AI361" s="6" t="str">
        <f t="shared" si="11"/>
        <v>No</v>
      </c>
      <c r="AJ361" s="6" t="s">
        <v>941</v>
      </c>
      <c r="AK361" s="6" t="s">
        <v>151</v>
      </c>
      <c r="AL361" s="6">
        <f>MATCH(AA361,{"Low","Medium","High"},0)*MATCH(AB361,{"Low","Medium","High"},0)*INDEX({3,2,2,1,1},MATCH(X361,{"Core","Vertical extension","Differentiator","Future","Adjacent"},0))</f>
        <v>6</v>
      </c>
      <c r="AM361" s="5"/>
      <c r="AN361" s="5"/>
      <c r="AO361" s="5"/>
      <c r="AP361" s="5"/>
      <c r="AQ361" s="5"/>
      <c r="AR361" s="5"/>
      <c r="AS361" s="5"/>
      <c r="AT361" s="5"/>
      <c r="AU361" s="6" t="s">
        <v>927</v>
      </c>
      <c r="AV361" s="6" t="s">
        <v>928</v>
      </c>
      <c r="AW361" s="6" t="s">
        <v>928</v>
      </c>
      <c r="AX361" s="6" t="s">
        <v>929</v>
      </c>
      <c r="AY361" s="6" t="s">
        <v>930</v>
      </c>
      <c r="AZ361" s="6"/>
      <c r="BA361" s="6" t="s">
        <v>3083</v>
      </c>
      <c r="BB361" s="6" t="s">
        <v>943</v>
      </c>
      <c r="BC361" s="6" t="s">
        <v>97</v>
      </c>
      <c r="BD361" s="6" t="s">
        <v>97</v>
      </c>
    </row>
    <row r="362" spans="1:56" ht="32" customHeight="1" x14ac:dyDescent="0.35">
      <c r="A362" s="13" t="s">
        <v>3084</v>
      </c>
      <c r="B362" s="6" t="s">
        <v>2114</v>
      </c>
      <c r="C362" s="5" t="s">
        <v>2115</v>
      </c>
      <c r="D362" s="5" t="s">
        <v>842</v>
      </c>
      <c r="E362" s="5" t="s">
        <v>3085</v>
      </c>
      <c r="F362" s="5" t="s">
        <v>3086</v>
      </c>
      <c r="G362" s="5" t="s">
        <v>451</v>
      </c>
      <c r="H362" s="5" t="s">
        <v>3087</v>
      </c>
      <c r="I362" s="5" t="s">
        <v>3088</v>
      </c>
      <c r="J362" s="17" t="s">
        <v>121</v>
      </c>
      <c r="K362" s="17" t="s">
        <v>181</v>
      </c>
      <c r="L362" s="5" t="s">
        <v>3089</v>
      </c>
      <c r="M362" s="6" t="s">
        <v>197</v>
      </c>
      <c r="N362" s="6" t="s">
        <v>812</v>
      </c>
      <c r="O362" s="6" t="s">
        <v>121</v>
      </c>
      <c r="P362" s="5" t="s">
        <v>918</v>
      </c>
      <c r="Q362" s="17" t="s">
        <v>182</v>
      </c>
      <c r="R362" s="5"/>
      <c r="S362" s="6" t="s">
        <v>1772</v>
      </c>
      <c r="T362" s="5" t="s">
        <v>1773</v>
      </c>
      <c r="U362" s="6"/>
      <c r="V362" s="6" t="s">
        <v>1774</v>
      </c>
      <c r="W362" s="6" t="s">
        <v>335</v>
      </c>
      <c r="X362" s="5" t="s">
        <v>922</v>
      </c>
      <c r="Y362" s="5" t="s">
        <v>812</v>
      </c>
      <c r="Z362" s="5" t="str">
        <f t="shared" si="10"/>
        <v>Medium</v>
      </c>
      <c r="AA362" s="5" t="s">
        <v>956</v>
      </c>
      <c r="AB362" s="6" t="s">
        <v>924</v>
      </c>
      <c r="AC362" s="6" t="s">
        <v>11</v>
      </c>
      <c r="AD362" s="5" t="s">
        <v>925</v>
      </c>
      <c r="AE362" s="5" t="s">
        <v>354</v>
      </c>
      <c r="AF362" s="5" t="s">
        <v>354</v>
      </c>
      <c r="AG362" s="5" t="s">
        <v>354</v>
      </c>
      <c r="AH362" s="5" t="s">
        <v>354</v>
      </c>
      <c r="AI362" s="6" t="str">
        <f t="shared" si="11"/>
        <v>No</v>
      </c>
      <c r="AJ362" s="6" t="s">
        <v>926</v>
      </c>
      <c r="AK362" s="6" t="s">
        <v>151</v>
      </c>
      <c r="AL362" s="6">
        <f>MATCH(AA362,{"Low","Medium","High"},0)*MATCH(AB362,{"Low","Medium","High"},0)*INDEX({3,2,2,1,1},MATCH(X362,{"Core","Vertical extension","Differentiator","Future","Adjacent"},0))</f>
        <v>6</v>
      </c>
      <c r="AM362" s="5"/>
      <c r="AN362" s="5"/>
      <c r="AO362" s="5"/>
      <c r="AP362" s="5"/>
      <c r="AQ362" s="5"/>
      <c r="AR362" s="5"/>
      <c r="AS362" s="5"/>
      <c r="AT362" s="5"/>
      <c r="AU362" s="6" t="s">
        <v>927</v>
      </c>
      <c r="AV362" s="6" t="s">
        <v>2161</v>
      </c>
      <c r="AW362" s="6" t="s">
        <v>2161</v>
      </c>
      <c r="AX362" s="6" t="s">
        <v>929</v>
      </c>
      <c r="AY362" s="6" t="s">
        <v>930</v>
      </c>
      <c r="AZ362" s="6"/>
      <c r="BA362" s="6"/>
      <c r="BB362" s="6"/>
      <c r="BC362" s="6" t="s">
        <v>97</v>
      </c>
      <c r="BD362" s="6" t="s">
        <v>97</v>
      </c>
    </row>
    <row r="363" spans="1:56" ht="32" customHeight="1" x14ac:dyDescent="0.35">
      <c r="A363" s="13" t="s">
        <v>3090</v>
      </c>
      <c r="B363" s="6" t="s">
        <v>2114</v>
      </c>
      <c r="C363" s="5" t="s">
        <v>2115</v>
      </c>
      <c r="D363" s="5" t="s">
        <v>842</v>
      </c>
      <c r="E363" s="5" t="s">
        <v>3091</v>
      </c>
      <c r="F363" s="5" t="s">
        <v>451</v>
      </c>
      <c r="G363" s="5" t="s">
        <v>1017</v>
      </c>
      <c r="H363" s="5" t="s">
        <v>3092</v>
      </c>
      <c r="I363" s="5" t="s">
        <v>3093</v>
      </c>
      <c r="J363" s="17" t="s">
        <v>121</v>
      </c>
      <c r="K363" s="17" t="s">
        <v>181</v>
      </c>
      <c r="L363" s="5" t="s">
        <v>3094</v>
      </c>
      <c r="M363" s="6" t="s">
        <v>197</v>
      </c>
      <c r="N363" s="6" t="s">
        <v>812</v>
      </c>
      <c r="O363" s="6" t="s">
        <v>121</v>
      </c>
      <c r="P363" s="5" t="s">
        <v>918</v>
      </c>
      <c r="Q363" s="17" t="s">
        <v>182</v>
      </c>
      <c r="R363" s="5"/>
      <c r="S363" s="6" t="s">
        <v>1772</v>
      </c>
      <c r="T363" s="5" t="s">
        <v>1773</v>
      </c>
      <c r="U363" s="6"/>
      <c r="V363" s="6" t="s">
        <v>1774</v>
      </c>
      <c r="W363" s="6" t="s">
        <v>335</v>
      </c>
      <c r="X363" s="5" t="s">
        <v>922</v>
      </c>
      <c r="Y363" s="5" t="s">
        <v>812</v>
      </c>
      <c r="Z363" s="5" t="str">
        <f t="shared" si="10"/>
        <v>Medium</v>
      </c>
      <c r="AA363" s="5" t="s">
        <v>956</v>
      </c>
      <c r="AB363" s="6" t="s">
        <v>924</v>
      </c>
      <c r="AC363" s="6" t="s">
        <v>11</v>
      </c>
      <c r="AD363" s="5" t="s">
        <v>925</v>
      </c>
      <c r="AE363" s="5" t="s">
        <v>354</v>
      </c>
      <c r="AF363" s="5" t="s">
        <v>354</v>
      </c>
      <c r="AG363" s="5" t="s">
        <v>354</v>
      </c>
      <c r="AH363" s="5" t="s">
        <v>354</v>
      </c>
      <c r="AI363" s="6" t="str">
        <f t="shared" si="11"/>
        <v>No</v>
      </c>
      <c r="AJ363" s="6" t="s">
        <v>926</v>
      </c>
      <c r="AK363" s="6" t="s">
        <v>151</v>
      </c>
      <c r="AL363" s="6">
        <f>MATCH(AA363,{"Low","Medium","High"},0)*MATCH(AB363,{"Low","Medium","High"},0)*INDEX({3,2,2,1,1},MATCH(X363,{"Core","Vertical extension","Differentiator","Future","Adjacent"},0))</f>
        <v>6</v>
      </c>
      <c r="AM363" s="5"/>
      <c r="AN363" s="5"/>
      <c r="AO363" s="5"/>
      <c r="AP363" s="5"/>
      <c r="AQ363" s="5"/>
      <c r="AR363" s="5"/>
      <c r="AS363" s="5"/>
      <c r="AT363" s="5"/>
      <c r="AU363" s="6" t="s">
        <v>927</v>
      </c>
      <c r="AV363" s="6" t="s">
        <v>1315</v>
      </c>
      <c r="AW363" s="6" t="s">
        <v>1315</v>
      </c>
      <c r="AX363" s="6" t="s">
        <v>929</v>
      </c>
      <c r="AY363" s="6" t="s">
        <v>930</v>
      </c>
      <c r="AZ363" s="6"/>
      <c r="BA363" s="6"/>
      <c r="BB363" s="6"/>
      <c r="BC363" s="6" t="s">
        <v>97</v>
      </c>
      <c r="BD363" s="6" t="s">
        <v>97</v>
      </c>
    </row>
    <row r="364" spans="1:56" ht="32" customHeight="1" x14ac:dyDescent="0.35">
      <c r="A364" s="13" t="s">
        <v>3095</v>
      </c>
      <c r="B364" s="6" t="s">
        <v>2114</v>
      </c>
      <c r="C364" s="5" t="s">
        <v>2115</v>
      </c>
      <c r="D364" s="5" t="s">
        <v>842</v>
      </c>
      <c r="E364" s="5" t="s">
        <v>3096</v>
      </c>
      <c r="F364" s="5" t="s">
        <v>3097</v>
      </c>
      <c r="G364" s="5" t="s">
        <v>1017</v>
      </c>
      <c r="H364" s="5" t="s">
        <v>3098</v>
      </c>
      <c r="I364" s="5" t="s">
        <v>3099</v>
      </c>
      <c r="J364" s="17" t="s">
        <v>121</v>
      </c>
      <c r="K364" s="17" t="s">
        <v>181</v>
      </c>
      <c r="L364" s="5" t="s">
        <v>3100</v>
      </c>
      <c r="M364" s="6" t="s">
        <v>197</v>
      </c>
      <c r="N364" s="6" t="s">
        <v>812</v>
      </c>
      <c r="O364" s="6" t="s">
        <v>121</v>
      </c>
      <c r="P364" s="5" t="s">
        <v>918</v>
      </c>
      <c r="Q364" s="17" t="s">
        <v>182</v>
      </c>
      <c r="R364" s="5"/>
      <c r="S364" s="6" t="s">
        <v>1772</v>
      </c>
      <c r="T364" s="5" t="s">
        <v>1773</v>
      </c>
      <c r="U364" s="6"/>
      <c r="V364" s="6" t="s">
        <v>1774</v>
      </c>
      <c r="W364" s="6" t="s">
        <v>335</v>
      </c>
      <c r="X364" s="5" t="s">
        <v>922</v>
      </c>
      <c r="Y364" s="5" t="s">
        <v>812</v>
      </c>
      <c r="Z364" s="5" t="str">
        <f t="shared" si="10"/>
        <v>Medium</v>
      </c>
      <c r="AA364" s="5" t="s">
        <v>956</v>
      </c>
      <c r="AB364" s="6" t="s">
        <v>924</v>
      </c>
      <c r="AC364" s="6" t="s">
        <v>11</v>
      </c>
      <c r="AD364" s="5" t="s">
        <v>925</v>
      </c>
      <c r="AE364" s="5" t="s">
        <v>354</v>
      </c>
      <c r="AF364" s="5" t="s">
        <v>354</v>
      </c>
      <c r="AG364" s="5" t="s">
        <v>354</v>
      </c>
      <c r="AH364" s="5" t="s">
        <v>354</v>
      </c>
      <c r="AI364" s="6" t="str">
        <f t="shared" si="11"/>
        <v>No</v>
      </c>
      <c r="AJ364" s="6" t="s">
        <v>926</v>
      </c>
      <c r="AK364" s="6" t="s">
        <v>151</v>
      </c>
      <c r="AL364" s="6">
        <f>MATCH(AA364,{"Low","Medium","High"},0)*MATCH(AB364,{"Low","Medium","High"},0)*INDEX({3,2,2,1,1},MATCH(X364,{"Core","Vertical extension","Differentiator","Future","Adjacent"},0))</f>
        <v>6</v>
      </c>
      <c r="AM364" s="5"/>
      <c r="AN364" s="5"/>
      <c r="AO364" s="5"/>
      <c r="AP364" s="5"/>
      <c r="AQ364" s="5"/>
      <c r="AR364" s="5"/>
      <c r="AS364" s="5"/>
      <c r="AT364" s="5"/>
      <c r="AU364" s="6" t="s">
        <v>927</v>
      </c>
      <c r="AV364" s="6" t="s">
        <v>3101</v>
      </c>
      <c r="AW364" s="6" t="s">
        <v>3101</v>
      </c>
      <c r="AX364" s="6" t="s">
        <v>929</v>
      </c>
      <c r="AY364" s="6" t="s">
        <v>930</v>
      </c>
      <c r="AZ364" s="6"/>
      <c r="BA364" s="6"/>
      <c r="BB364" s="6"/>
      <c r="BC364" s="6" t="s">
        <v>97</v>
      </c>
      <c r="BD364" s="6" t="s">
        <v>97</v>
      </c>
    </row>
    <row r="365" spans="1:56" ht="32" customHeight="1" x14ac:dyDescent="0.35">
      <c r="A365" s="13" t="s">
        <v>3102</v>
      </c>
      <c r="B365" s="6" t="s">
        <v>2114</v>
      </c>
      <c r="C365" s="5" t="s">
        <v>2115</v>
      </c>
      <c r="D365" s="5" t="s">
        <v>842</v>
      </c>
      <c r="E365" s="5" t="s">
        <v>3103</v>
      </c>
      <c r="F365" s="5" t="s">
        <v>3104</v>
      </c>
      <c r="G365" s="5" t="s">
        <v>3105</v>
      </c>
      <c r="H365" s="5" t="s">
        <v>3106</v>
      </c>
      <c r="I365" s="5" t="s">
        <v>3107</v>
      </c>
      <c r="J365" s="17" t="s">
        <v>121</v>
      </c>
      <c r="K365" s="17" t="s">
        <v>181</v>
      </c>
      <c r="L365" s="5" t="s">
        <v>3108</v>
      </c>
      <c r="M365" s="6" t="s">
        <v>197</v>
      </c>
      <c r="N365" s="6" t="s">
        <v>812</v>
      </c>
      <c r="O365" s="6" t="s">
        <v>121</v>
      </c>
      <c r="P365" s="5" t="s">
        <v>918</v>
      </c>
      <c r="Q365" s="17" t="s">
        <v>182</v>
      </c>
      <c r="R365" s="5"/>
      <c r="S365" s="6" t="s">
        <v>1772</v>
      </c>
      <c r="T365" s="5" t="s">
        <v>1773</v>
      </c>
      <c r="U365" s="6"/>
      <c r="V365" s="6" t="s">
        <v>1774</v>
      </c>
      <c r="W365" s="6" t="s">
        <v>335</v>
      </c>
      <c r="X365" s="5" t="s">
        <v>922</v>
      </c>
      <c r="Y365" s="5" t="s">
        <v>812</v>
      </c>
      <c r="Z365" s="5" t="str">
        <f t="shared" si="10"/>
        <v>Medium</v>
      </c>
      <c r="AA365" s="5" t="s">
        <v>956</v>
      </c>
      <c r="AB365" s="6" t="s">
        <v>924</v>
      </c>
      <c r="AC365" s="6" t="s">
        <v>11</v>
      </c>
      <c r="AD365" s="5" t="s">
        <v>925</v>
      </c>
      <c r="AE365" s="5" t="s">
        <v>354</v>
      </c>
      <c r="AF365" s="5" t="s">
        <v>354</v>
      </c>
      <c r="AG365" s="5" t="s">
        <v>354</v>
      </c>
      <c r="AH365" s="5" t="s">
        <v>354</v>
      </c>
      <c r="AI365" s="6" t="str">
        <f t="shared" si="11"/>
        <v>No</v>
      </c>
      <c r="AJ365" s="6" t="s">
        <v>926</v>
      </c>
      <c r="AK365" s="6" t="s">
        <v>151</v>
      </c>
      <c r="AL365" s="6">
        <f>MATCH(AA365,{"Low","Medium","High"},0)*MATCH(AB365,{"Low","Medium","High"},0)*INDEX({3,2,2,1,1},MATCH(X365,{"Core","Vertical extension","Differentiator","Future","Adjacent"},0))</f>
        <v>6</v>
      </c>
      <c r="AM365" s="5"/>
      <c r="AN365" s="5"/>
      <c r="AO365" s="5"/>
      <c r="AP365" s="5"/>
      <c r="AQ365" s="5"/>
      <c r="AR365" s="5"/>
      <c r="AS365" s="5"/>
      <c r="AT365" s="5"/>
      <c r="AU365" s="6" t="s">
        <v>927</v>
      </c>
      <c r="AV365" s="6" t="s">
        <v>1315</v>
      </c>
      <c r="AW365" s="6" t="s">
        <v>1315</v>
      </c>
      <c r="AX365" s="6" t="s">
        <v>929</v>
      </c>
      <c r="AY365" s="6" t="s">
        <v>930</v>
      </c>
      <c r="AZ365" s="6"/>
      <c r="BA365" s="6"/>
      <c r="BB365" s="6"/>
      <c r="BC365" s="6" t="s">
        <v>97</v>
      </c>
      <c r="BD365" s="6" t="s">
        <v>97</v>
      </c>
    </row>
    <row r="366" spans="1:56" ht="32" customHeight="1" x14ac:dyDescent="0.35">
      <c r="A366" s="13" t="s">
        <v>3109</v>
      </c>
      <c r="B366" s="6" t="s">
        <v>2114</v>
      </c>
      <c r="C366" s="5" t="s">
        <v>2115</v>
      </c>
      <c r="D366" s="5" t="s">
        <v>842</v>
      </c>
      <c r="E366" s="5" t="s">
        <v>3110</v>
      </c>
      <c r="F366" s="5" t="s">
        <v>3111</v>
      </c>
      <c r="G366" s="5" t="s">
        <v>1017</v>
      </c>
      <c r="H366" s="5" t="s">
        <v>3112</v>
      </c>
      <c r="I366" s="5" t="s">
        <v>3113</v>
      </c>
      <c r="J366" s="17" t="s">
        <v>121</v>
      </c>
      <c r="K366" s="17" t="s">
        <v>181</v>
      </c>
      <c r="L366" s="5" t="s">
        <v>3114</v>
      </c>
      <c r="M366" s="6" t="s">
        <v>197</v>
      </c>
      <c r="N366" s="6" t="s">
        <v>812</v>
      </c>
      <c r="O366" s="6" t="s">
        <v>121</v>
      </c>
      <c r="P366" s="5" t="s">
        <v>918</v>
      </c>
      <c r="Q366" s="17" t="s">
        <v>182</v>
      </c>
      <c r="R366" s="5"/>
      <c r="S366" s="6" t="s">
        <v>1772</v>
      </c>
      <c r="T366" s="5" t="s">
        <v>1773</v>
      </c>
      <c r="U366" s="6"/>
      <c r="V366" s="6" t="s">
        <v>1774</v>
      </c>
      <c r="W366" s="6" t="s">
        <v>335</v>
      </c>
      <c r="X366" s="5" t="s">
        <v>922</v>
      </c>
      <c r="Y366" s="5" t="s">
        <v>812</v>
      </c>
      <c r="Z366" s="5" t="str">
        <f t="shared" si="10"/>
        <v>Medium</v>
      </c>
      <c r="AA366" s="5" t="s">
        <v>956</v>
      </c>
      <c r="AB366" s="6" t="s">
        <v>924</v>
      </c>
      <c r="AC366" s="6" t="s">
        <v>11</v>
      </c>
      <c r="AD366" s="5" t="s">
        <v>925</v>
      </c>
      <c r="AE366" s="5" t="s">
        <v>354</v>
      </c>
      <c r="AF366" s="5" t="s">
        <v>354</v>
      </c>
      <c r="AG366" s="5" t="s">
        <v>354</v>
      </c>
      <c r="AH366" s="5" t="s">
        <v>354</v>
      </c>
      <c r="AI366" s="6" t="str">
        <f t="shared" si="11"/>
        <v>No</v>
      </c>
      <c r="AJ366" s="6" t="s">
        <v>926</v>
      </c>
      <c r="AK366" s="6" t="s">
        <v>151</v>
      </c>
      <c r="AL366" s="6">
        <f>MATCH(AA366,{"Low","Medium","High"},0)*MATCH(AB366,{"Low","Medium","High"},0)*INDEX({3,2,2,1,1},MATCH(X366,{"Core","Vertical extension","Differentiator","Future","Adjacent"},0))</f>
        <v>6</v>
      </c>
      <c r="AM366" s="5"/>
      <c r="AN366" s="5"/>
      <c r="AO366" s="5"/>
      <c r="AP366" s="5"/>
      <c r="AQ366" s="5"/>
      <c r="AR366" s="5"/>
      <c r="AS366" s="5"/>
      <c r="AT366" s="5"/>
      <c r="AU366" s="6" t="s">
        <v>927</v>
      </c>
      <c r="AV366" s="6" t="s">
        <v>3101</v>
      </c>
      <c r="AW366" s="6" t="s">
        <v>3101</v>
      </c>
      <c r="AX366" s="6" t="s">
        <v>929</v>
      </c>
      <c r="AY366" s="6" t="s">
        <v>930</v>
      </c>
      <c r="AZ366" s="6"/>
      <c r="BA366" s="6"/>
      <c r="BB366" s="6"/>
      <c r="BC366" s="6" t="s">
        <v>97</v>
      </c>
      <c r="BD366" s="6" t="s">
        <v>97</v>
      </c>
    </row>
    <row r="367" spans="1:56" ht="32" customHeight="1" x14ac:dyDescent="0.35">
      <c r="A367" s="13" t="s">
        <v>3115</v>
      </c>
      <c r="B367" s="6" t="s">
        <v>2114</v>
      </c>
      <c r="C367" s="5" t="s">
        <v>2115</v>
      </c>
      <c r="D367" s="5" t="s">
        <v>842</v>
      </c>
      <c r="E367" s="5" t="s">
        <v>3116</v>
      </c>
      <c r="F367" s="5" t="s">
        <v>3059</v>
      </c>
      <c r="G367" s="5" t="s">
        <v>3117</v>
      </c>
      <c r="H367" s="5" t="s">
        <v>3118</v>
      </c>
      <c r="I367" s="5" t="s">
        <v>3119</v>
      </c>
      <c r="J367" s="17" t="s">
        <v>121</v>
      </c>
      <c r="K367" s="17" t="s">
        <v>181</v>
      </c>
      <c r="L367" s="5" t="s">
        <v>3120</v>
      </c>
      <c r="M367" s="6" t="s">
        <v>197</v>
      </c>
      <c r="N367" s="6" t="s">
        <v>812</v>
      </c>
      <c r="O367" s="6" t="s">
        <v>121</v>
      </c>
      <c r="P367" s="5" t="s">
        <v>918</v>
      </c>
      <c r="Q367" s="17" t="s">
        <v>182</v>
      </c>
      <c r="R367" s="5"/>
      <c r="S367" s="6" t="s">
        <v>1772</v>
      </c>
      <c r="T367" s="5" t="s">
        <v>1773</v>
      </c>
      <c r="U367" s="6"/>
      <c r="V367" s="6" t="s">
        <v>1774</v>
      </c>
      <c r="W367" s="6" t="s">
        <v>335</v>
      </c>
      <c r="X367" s="5" t="s">
        <v>922</v>
      </c>
      <c r="Y367" s="5" t="s">
        <v>812</v>
      </c>
      <c r="Z367" s="5" t="str">
        <f t="shared" si="10"/>
        <v>Medium</v>
      </c>
      <c r="AA367" s="5" t="s">
        <v>956</v>
      </c>
      <c r="AB367" s="6" t="s">
        <v>924</v>
      </c>
      <c r="AC367" s="6" t="s">
        <v>11</v>
      </c>
      <c r="AD367" s="5" t="s">
        <v>925</v>
      </c>
      <c r="AE367" s="5" t="s">
        <v>354</v>
      </c>
      <c r="AF367" s="5" t="s">
        <v>354</v>
      </c>
      <c r="AG367" s="5" t="s">
        <v>354</v>
      </c>
      <c r="AH367" s="5" t="s">
        <v>354</v>
      </c>
      <c r="AI367" s="6" t="str">
        <f t="shared" si="11"/>
        <v>No</v>
      </c>
      <c r="AJ367" s="6" t="s">
        <v>926</v>
      </c>
      <c r="AK367" s="6" t="s">
        <v>151</v>
      </c>
      <c r="AL367" s="6">
        <f>MATCH(AA367,{"Low","Medium","High"},0)*MATCH(AB367,{"Low","Medium","High"},0)*INDEX({3,2,2,1,1},MATCH(X367,{"Core","Vertical extension","Differentiator","Future","Adjacent"},0))</f>
        <v>6</v>
      </c>
      <c r="AM367" s="5"/>
      <c r="AN367" s="5"/>
      <c r="AO367" s="5"/>
      <c r="AP367" s="5"/>
      <c r="AQ367" s="5"/>
      <c r="AR367" s="5"/>
      <c r="AS367" s="5"/>
      <c r="AT367" s="5"/>
      <c r="AU367" s="6" t="s">
        <v>927</v>
      </c>
      <c r="AV367" s="6" t="s">
        <v>1315</v>
      </c>
      <c r="AW367" s="6" t="s">
        <v>1315</v>
      </c>
      <c r="AX367" s="6" t="s">
        <v>929</v>
      </c>
      <c r="AY367" s="6" t="s">
        <v>930</v>
      </c>
      <c r="AZ367" s="6"/>
      <c r="BA367" s="6"/>
      <c r="BB367" s="6"/>
      <c r="BC367" s="6" t="s">
        <v>97</v>
      </c>
      <c r="BD367" s="6" t="s">
        <v>97</v>
      </c>
    </row>
    <row r="368" spans="1:56" ht="32" customHeight="1" x14ac:dyDescent="0.35">
      <c r="A368" s="13" t="s">
        <v>3121</v>
      </c>
      <c r="B368" s="6" t="s">
        <v>2114</v>
      </c>
      <c r="C368" s="5" t="s">
        <v>2115</v>
      </c>
      <c r="D368" s="5" t="s">
        <v>842</v>
      </c>
      <c r="E368" s="5" t="s">
        <v>3122</v>
      </c>
      <c r="F368" s="5" t="s">
        <v>3123</v>
      </c>
      <c r="G368" s="5" t="s">
        <v>3059</v>
      </c>
      <c r="H368" s="5" t="s">
        <v>3124</v>
      </c>
      <c r="I368" s="5" t="s">
        <v>3125</v>
      </c>
      <c r="J368" s="17" t="s">
        <v>121</v>
      </c>
      <c r="K368" s="17" t="s">
        <v>181</v>
      </c>
      <c r="L368" s="5" t="s">
        <v>3126</v>
      </c>
      <c r="M368" s="6" t="s">
        <v>197</v>
      </c>
      <c r="N368" s="6" t="s">
        <v>812</v>
      </c>
      <c r="O368" s="6" t="s">
        <v>121</v>
      </c>
      <c r="P368" s="5" t="s">
        <v>918</v>
      </c>
      <c r="Q368" s="17" t="s">
        <v>182</v>
      </c>
      <c r="R368" s="5"/>
      <c r="S368" s="6" t="s">
        <v>1772</v>
      </c>
      <c r="T368" s="5" t="s">
        <v>1773</v>
      </c>
      <c r="U368" s="6"/>
      <c r="V368" s="6" t="s">
        <v>1774</v>
      </c>
      <c r="W368" s="6" t="s">
        <v>335</v>
      </c>
      <c r="X368" s="5" t="s">
        <v>922</v>
      </c>
      <c r="Y368" s="5" t="s">
        <v>812</v>
      </c>
      <c r="Z368" s="5" t="str">
        <f t="shared" si="10"/>
        <v>Medium</v>
      </c>
      <c r="AA368" s="5" t="s">
        <v>956</v>
      </c>
      <c r="AB368" s="6" t="s">
        <v>924</v>
      </c>
      <c r="AC368" s="6" t="s">
        <v>11</v>
      </c>
      <c r="AD368" s="5" t="s">
        <v>925</v>
      </c>
      <c r="AE368" s="5" t="s">
        <v>354</v>
      </c>
      <c r="AF368" s="5" t="s">
        <v>354</v>
      </c>
      <c r="AG368" s="5" t="s">
        <v>354</v>
      </c>
      <c r="AH368" s="5" t="s">
        <v>354</v>
      </c>
      <c r="AI368" s="6" t="str">
        <f t="shared" si="11"/>
        <v>No</v>
      </c>
      <c r="AJ368" s="6" t="s">
        <v>926</v>
      </c>
      <c r="AK368" s="6" t="s">
        <v>151</v>
      </c>
      <c r="AL368" s="6">
        <f>MATCH(AA368,{"Low","Medium","High"},0)*MATCH(AB368,{"Low","Medium","High"},0)*INDEX({3,2,2,1,1},MATCH(X368,{"Core","Vertical extension","Differentiator","Future","Adjacent"},0))</f>
        <v>6</v>
      </c>
      <c r="AM368" s="5"/>
      <c r="AN368" s="5"/>
      <c r="AO368" s="5"/>
      <c r="AP368" s="5"/>
      <c r="AQ368" s="5"/>
      <c r="AR368" s="5"/>
      <c r="AS368" s="5"/>
      <c r="AT368" s="5"/>
      <c r="AU368" s="6" t="s">
        <v>927</v>
      </c>
      <c r="AV368" s="6" t="s">
        <v>1315</v>
      </c>
      <c r="AW368" s="6" t="s">
        <v>1315</v>
      </c>
      <c r="AX368" s="6" t="s">
        <v>929</v>
      </c>
      <c r="AY368" s="6" t="s">
        <v>930</v>
      </c>
      <c r="AZ368" s="6"/>
      <c r="BA368" s="6"/>
      <c r="BB368" s="6"/>
      <c r="BC368" s="6" t="s">
        <v>97</v>
      </c>
      <c r="BD368" s="6" t="s">
        <v>97</v>
      </c>
    </row>
    <row r="369" spans="1:56" ht="32" customHeight="1" x14ac:dyDescent="0.35">
      <c r="A369" s="13" t="s">
        <v>3127</v>
      </c>
      <c r="B369" s="6" t="s">
        <v>2114</v>
      </c>
      <c r="C369" s="5" t="s">
        <v>2115</v>
      </c>
      <c r="D369" s="5" t="s">
        <v>842</v>
      </c>
      <c r="E369" s="5" t="s">
        <v>3128</v>
      </c>
      <c r="F369" s="5" t="s">
        <v>3129</v>
      </c>
      <c r="G369" s="5" t="s">
        <v>1017</v>
      </c>
      <c r="H369" s="5" t="s">
        <v>3130</v>
      </c>
      <c r="I369" s="5" t="s">
        <v>3131</v>
      </c>
      <c r="J369" s="17" t="s">
        <v>121</v>
      </c>
      <c r="K369" s="17" t="s">
        <v>181</v>
      </c>
      <c r="L369" s="5" t="s">
        <v>3132</v>
      </c>
      <c r="M369" s="6" t="s">
        <v>197</v>
      </c>
      <c r="N369" s="6" t="s">
        <v>812</v>
      </c>
      <c r="O369" s="6" t="s">
        <v>121</v>
      </c>
      <c r="P369" s="5" t="s">
        <v>918</v>
      </c>
      <c r="Q369" s="17" t="s">
        <v>182</v>
      </c>
      <c r="R369" s="5"/>
      <c r="S369" s="6" t="s">
        <v>1772</v>
      </c>
      <c r="T369" s="5" t="s">
        <v>1773</v>
      </c>
      <c r="U369" s="6"/>
      <c r="V369" s="6" t="s">
        <v>1774</v>
      </c>
      <c r="W369" s="6" t="s">
        <v>335</v>
      </c>
      <c r="X369" s="5" t="s">
        <v>922</v>
      </c>
      <c r="Y369" s="5" t="s">
        <v>812</v>
      </c>
      <c r="Z369" s="5" t="str">
        <f t="shared" si="10"/>
        <v>Medium</v>
      </c>
      <c r="AA369" s="5" t="s">
        <v>956</v>
      </c>
      <c r="AB369" s="6" t="s">
        <v>924</v>
      </c>
      <c r="AC369" s="6" t="s">
        <v>11</v>
      </c>
      <c r="AD369" s="5" t="s">
        <v>925</v>
      </c>
      <c r="AE369" s="5" t="s">
        <v>354</v>
      </c>
      <c r="AF369" s="5" t="s">
        <v>354</v>
      </c>
      <c r="AG369" s="5" t="s">
        <v>354</v>
      </c>
      <c r="AH369" s="5" t="s">
        <v>354</v>
      </c>
      <c r="AI369" s="6" t="str">
        <f t="shared" si="11"/>
        <v>No</v>
      </c>
      <c r="AJ369" s="6" t="s">
        <v>926</v>
      </c>
      <c r="AK369" s="6" t="s">
        <v>151</v>
      </c>
      <c r="AL369" s="6">
        <f>MATCH(AA369,{"Low","Medium","High"},0)*MATCH(AB369,{"Low","Medium","High"},0)*INDEX({3,2,2,1,1},MATCH(X369,{"Core","Vertical extension","Differentiator","Future","Adjacent"},0))</f>
        <v>6</v>
      </c>
      <c r="AM369" s="5"/>
      <c r="AN369" s="5"/>
      <c r="AO369" s="5"/>
      <c r="AP369" s="5"/>
      <c r="AQ369" s="5"/>
      <c r="AR369" s="5"/>
      <c r="AS369" s="5"/>
      <c r="AT369" s="5"/>
      <c r="AU369" s="6" t="s">
        <v>927</v>
      </c>
      <c r="AV369" s="6" t="s">
        <v>3133</v>
      </c>
      <c r="AW369" s="6" t="s">
        <v>3133</v>
      </c>
      <c r="AX369" s="6" t="s">
        <v>929</v>
      </c>
      <c r="AY369" s="6" t="s">
        <v>930</v>
      </c>
      <c r="AZ369" s="6"/>
      <c r="BA369" s="6"/>
      <c r="BB369" s="6"/>
      <c r="BC369" s="6" t="s">
        <v>97</v>
      </c>
      <c r="BD369" s="6" t="s">
        <v>97</v>
      </c>
    </row>
    <row r="370" spans="1:56" ht="32" customHeight="1" x14ac:dyDescent="0.35">
      <c r="A370" s="13" t="s">
        <v>3134</v>
      </c>
      <c r="B370" s="6" t="s">
        <v>2114</v>
      </c>
      <c r="C370" s="5" t="s">
        <v>2115</v>
      </c>
      <c r="D370" s="5" t="s">
        <v>841</v>
      </c>
      <c r="E370" s="5" t="s">
        <v>3135</v>
      </c>
      <c r="F370" s="5" t="s">
        <v>3136</v>
      </c>
      <c r="G370" s="5" t="s">
        <v>1017</v>
      </c>
      <c r="H370" s="5" t="s">
        <v>3137</v>
      </c>
      <c r="I370" s="5" t="s">
        <v>3138</v>
      </c>
      <c r="J370" s="17" t="s">
        <v>121</v>
      </c>
      <c r="K370" s="17" t="s">
        <v>181</v>
      </c>
      <c r="L370" s="5" t="s">
        <v>3139</v>
      </c>
      <c r="M370" s="6" t="s">
        <v>197</v>
      </c>
      <c r="N370" s="6" t="s">
        <v>812</v>
      </c>
      <c r="O370" s="6" t="s">
        <v>121</v>
      </c>
      <c r="P370" s="5" t="s">
        <v>918</v>
      </c>
      <c r="Q370" s="17" t="s">
        <v>182</v>
      </c>
      <c r="R370" s="5"/>
      <c r="S370" s="6" t="s">
        <v>1038</v>
      </c>
      <c r="T370" s="5" t="s">
        <v>1039</v>
      </c>
      <c r="U370" s="6"/>
      <c r="V370" s="6" t="s">
        <v>921</v>
      </c>
      <c r="W370" s="6" t="s">
        <v>331</v>
      </c>
      <c r="X370" s="5" t="s">
        <v>922</v>
      </c>
      <c r="Y370" s="5" t="s">
        <v>812</v>
      </c>
      <c r="Z370" s="5" t="str">
        <f t="shared" si="10"/>
        <v>Medium</v>
      </c>
      <c r="AA370" s="5" t="s">
        <v>956</v>
      </c>
      <c r="AB370" s="6" t="s">
        <v>924</v>
      </c>
      <c r="AC370" s="6" t="s">
        <v>103</v>
      </c>
      <c r="AD370" s="5" t="s">
        <v>925</v>
      </c>
      <c r="AE370" s="5" t="s">
        <v>354</v>
      </c>
      <c r="AF370" s="5" t="s">
        <v>354</v>
      </c>
      <c r="AG370" s="5" t="s">
        <v>354</v>
      </c>
      <c r="AH370" s="5" t="s">
        <v>354</v>
      </c>
      <c r="AI370" s="6" t="str">
        <f t="shared" si="11"/>
        <v>No</v>
      </c>
      <c r="AJ370" s="6" t="s">
        <v>926</v>
      </c>
      <c r="AK370" s="6" t="s">
        <v>121</v>
      </c>
      <c r="AL370" s="6">
        <f>MATCH(AA370,{"Low","Medium","High"},0)*MATCH(AB370,{"Low","Medium","High"},0)*INDEX({3,2,2,1,1},MATCH(X370,{"Core","Vertical extension","Differentiator","Future","Adjacent"},0))</f>
        <v>6</v>
      </c>
      <c r="AM370" s="5"/>
      <c r="AN370" s="5"/>
      <c r="AO370" s="5"/>
      <c r="AP370" s="5"/>
      <c r="AQ370" s="5"/>
      <c r="AR370" s="5"/>
      <c r="AS370" s="5"/>
      <c r="AT370" s="5"/>
      <c r="AU370" s="6" t="s">
        <v>927</v>
      </c>
      <c r="AV370" s="6" t="s">
        <v>1315</v>
      </c>
      <c r="AW370" s="6" t="s">
        <v>1315</v>
      </c>
      <c r="AX370" s="6" t="s">
        <v>929</v>
      </c>
      <c r="AY370" s="6" t="s">
        <v>930</v>
      </c>
      <c r="AZ370" s="6"/>
      <c r="BA370" s="6" t="s">
        <v>1040</v>
      </c>
      <c r="BB370" s="6" t="s">
        <v>1041</v>
      </c>
      <c r="BC370" s="6" t="s">
        <v>97</v>
      </c>
      <c r="BD370" s="6" t="s">
        <v>97</v>
      </c>
    </row>
    <row r="371" spans="1:56" ht="32" customHeight="1" x14ac:dyDescent="0.35">
      <c r="A371" s="13" t="s">
        <v>3140</v>
      </c>
      <c r="B371" s="6" t="s">
        <v>2114</v>
      </c>
      <c r="C371" s="5" t="s">
        <v>2115</v>
      </c>
      <c r="D371" s="5" t="s">
        <v>841</v>
      </c>
      <c r="E371" s="5" t="s">
        <v>3141</v>
      </c>
      <c r="F371" s="5" t="s">
        <v>1767</v>
      </c>
      <c r="G371" s="5" t="s">
        <v>3142</v>
      </c>
      <c r="H371" s="5" t="s">
        <v>3143</v>
      </c>
      <c r="I371" s="5" t="s">
        <v>3144</v>
      </c>
      <c r="J371" s="17" t="s">
        <v>121</v>
      </c>
      <c r="K371" s="17" t="s">
        <v>181</v>
      </c>
      <c r="L371" s="5" t="s">
        <v>3145</v>
      </c>
      <c r="M371" s="6" t="s">
        <v>197</v>
      </c>
      <c r="N371" s="6" t="s">
        <v>812</v>
      </c>
      <c r="O371" s="6" t="s">
        <v>121</v>
      </c>
      <c r="P371" s="5" t="s">
        <v>918</v>
      </c>
      <c r="Q371" s="17" t="s">
        <v>182</v>
      </c>
      <c r="R371" s="5"/>
      <c r="S371" s="6" t="s">
        <v>1038</v>
      </c>
      <c r="T371" s="5" t="s">
        <v>1039</v>
      </c>
      <c r="U371" s="6"/>
      <c r="V371" s="6" t="s">
        <v>921</v>
      </c>
      <c r="W371" s="6" t="s">
        <v>331</v>
      </c>
      <c r="X371" s="5" t="s">
        <v>922</v>
      </c>
      <c r="Y371" s="5" t="s">
        <v>812</v>
      </c>
      <c r="Z371" s="5" t="str">
        <f t="shared" si="10"/>
        <v>Medium</v>
      </c>
      <c r="AA371" s="5" t="s">
        <v>956</v>
      </c>
      <c r="AB371" s="6" t="s">
        <v>924</v>
      </c>
      <c r="AC371" s="6" t="s">
        <v>103</v>
      </c>
      <c r="AD371" s="5" t="s">
        <v>925</v>
      </c>
      <c r="AE371" s="5" t="s">
        <v>354</v>
      </c>
      <c r="AF371" s="5" t="s">
        <v>354</v>
      </c>
      <c r="AG371" s="5" t="s">
        <v>354</v>
      </c>
      <c r="AH371" s="5" t="s">
        <v>354</v>
      </c>
      <c r="AI371" s="6" t="str">
        <f t="shared" si="11"/>
        <v>No</v>
      </c>
      <c r="AJ371" s="6" t="s">
        <v>926</v>
      </c>
      <c r="AK371" s="6" t="s">
        <v>121</v>
      </c>
      <c r="AL371" s="6">
        <f>MATCH(AA371,{"Low","Medium","High"},0)*MATCH(AB371,{"Low","Medium","High"},0)*INDEX({3,2,2,1,1},MATCH(X371,{"Core","Vertical extension","Differentiator","Future","Adjacent"},0))</f>
        <v>6</v>
      </c>
      <c r="AM371" s="5"/>
      <c r="AN371" s="5"/>
      <c r="AO371" s="5"/>
      <c r="AP371" s="5"/>
      <c r="AQ371" s="5"/>
      <c r="AR371" s="5"/>
      <c r="AS371" s="5"/>
      <c r="AT371" s="5"/>
      <c r="AU371" s="6" t="s">
        <v>927</v>
      </c>
      <c r="AV371" s="6" t="s">
        <v>1315</v>
      </c>
      <c r="AW371" s="6" t="s">
        <v>1315</v>
      </c>
      <c r="AX371" s="6" t="s">
        <v>929</v>
      </c>
      <c r="AY371" s="6" t="s">
        <v>930</v>
      </c>
      <c r="AZ371" s="6"/>
      <c r="BA371" s="6"/>
      <c r="BB371" s="6"/>
      <c r="BC371" s="6" t="s">
        <v>97</v>
      </c>
      <c r="BD371" s="6" t="s">
        <v>97</v>
      </c>
    </row>
    <row r="372" spans="1:56" ht="32" customHeight="1" x14ac:dyDescent="0.35">
      <c r="A372" s="13" t="s">
        <v>3146</v>
      </c>
      <c r="B372" s="6" t="s">
        <v>2114</v>
      </c>
      <c r="C372" s="5" t="s">
        <v>2115</v>
      </c>
      <c r="D372" s="5" t="s">
        <v>841</v>
      </c>
      <c r="E372" s="5" t="s">
        <v>3147</v>
      </c>
      <c r="F372" s="5" t="s">
        <v>3148</v>
      </c>
      <c r="G372" s="5" t="s">
        <v>1623</v>
      </c>
      <c r="H372" s="5" t="s">
        <v>3149</v>
      </c>
      <c r="I372" s="5" t="s">
        <v>3150</v>
      </c>
      <c r="J372" s="17" t="s">
        <v>121</v>
      </c>
      <c r="K372" s="17" t="s">
        <v>181</v>
      </c>
      <c r="L372" s="5" t="s">
        <v>3151</v>
      </c>
      <c r="M372" s="6" t="s">
        <v>197</v>
      </c>
      <c r="N372" s="6" t="s">
        <v>812</v>
      </c>
      <c r="O372" s="6" t="s">
        <v>121</v>
      </c>
      <c r="P372" s="5" t="s">
        <v>918</v>
      </c>
      <c r="Q372" s="17" t="s">
        <v>182</v>
      </c>
      <c r="R372" s="5"/>
      <c r="S372" s="6" t="s">
        <v>1038</v>
      </c>
      <c r="T372" s="5" t="s">
        <v>1039</v>
      </c>
      <c r="U372" s="6"/>
      <c r="V372" s="6" t="s">
        <v>921</v>
      </c>
      <c r="W372" s="6" t="s">
        <v>331</v>
      </c>
      <c r="X372" s="5" t="s">
        <v>922</v>
      </c>
      <c r="Y372" s="5" t="s">
        <v>812</v>
      </c>
      <c r="Z372" s="5" t="str">
        <f t="shared" si="10"/>
        <v>Medium</v>
      </c>
      <c r="AA372" s="5" t="s">
        <v>956</v>
      </c>
      <c r="AB372" s="6" t="s">
        <v>924</v>
      </c>
      <c r="AC372" s="6" t="s">
        <v>103</v>
      </c>
      <c r="AD372" s="5" t="s">
        <v>925</v>
      </c>
      <c r="AE372" s="5" t="s">
        <v>354</v>
      </c>
      <c r="AF372" s="5" t="s">
        <v>354</v>
      </c>
      <c r="AG372" s="5" t="s">
        <v>354</v>
      </c>
      <c r="AH372" s="5" t="s">
        <v>354</v>
      </c>
      <c r="AI372" s="6" t="str">
        <f t="shared" si="11"/>
        <v>No</v>
      </c>
      <c r="AJ372" s="6" t="s">
        <v>926</v>
      </c>
      <c r="AK372" s="6" t="s">
        <v>121</v>
      </c>
      <c r="AL372" s="6">
        <f>MATCH(AA372,{"Low","Medium","High"},0)*MATCH(AB372,{"Low","Medium","High"},0)*INDEX({3,2,2,1,1},MATCH(X372,{"Core","Vertical extension","Differentiator","Future","Adjacent"},0))</f>
        <v>6</v>
      </c>
      <c r="AM372" s="5"/>
      <c r="AN372" s="5"/>
      <c r="AO372" s="5"/>
      <c r="AP372" s="5"/>
      <c r="AQ372" s="5"/>
      <c r="AR372" s="5"/>
      <c r="AS372" s="5"/>
      <c r="AT372" s="5"/>
      <c r="AU372" s="6" t="s">
        <v>927</v>
      </c>
      <c r="AV372" s="6" t="s">
        <v>1296</v>
      </c>
      <c r="AW372" s="6" t="s">
        <v>1296</v>
      </c>
      <c r="AX372" s="6" t="s">
        <v>929</v>
      </c>
      <c r="AY372" s="6" t="s">
        <v>930</v>
      </c>
      <c r="AZ372" s="6"/>
      <c r="BA372" s="6" t="s">
        <v>1040</v>
      </c>
      <c r="BB372" s="6" t="s">
        <v>1041</v>
      </c>
      <c r="BC372" s="6" t="s">
        <v>97</v>
      </c>
      <c r="BD372" s="6" t="s">
        <v>97</v>
      </c>
    </row>
    <row r="373" spans="1:56" ht="32" customHeight="1" x14ac:dyDescent="0.35">
      <c r="A373" s="13" t="s">
        <v>3152</v>
      </c>
      <c r="B373" s="6" t="s">
        <v>2114</v>
      </c>
      <c r="C373" s="5" t="s">
        <v>2115</v>
      </c>
      <c r="D373" s="5" t="s">
        <v>841</v>
      </c>
      <c r="E373" s="5" t="s">
        <v>3153</v>
      </c>
      <c r="F373" s="5" t="s">
        <v>1400</v>
      </c>
      <c r="G373" s="5" t="s">
        <v>3154</v>
      </c>
      <c r="H373" s="5" t="s">
        <v>3155</v>
      </c>
      <c r="I373" s="5" t="s">
        <v>3156</v>
      </c>
      <c r="J373" s="17" t="s">
        <v>121</v>
      </c>
      <c r="K373" s="17" t="s">
        <v>181</v>
      </c>
      <c r="L373" s="5" t="s">
        <v>3157</v>
      </c>
      <c r="M373" s="6" t="s">
        <v>197</v>
      </c>
      <c r="N373" s="6" t="s">
        <v>812</v>
      </c>
      <c r="O373" s="6" t="s">
        <v>121</v>
      </c>
      <c r="P373" s="5" t="s">
        <v>918</v>
      </c>
      <c r="Q373" s="17" t="s">
        <v>182</v>
      </c>
      <c r="R373" s="5"/>
      <c r="S373" s="6" t="s">
        <v>1038</v>
      </c>
      <c r="T373" s="5" t="s">
        <v>1039</v>
      </c>
      <c r="U373" s="6"/>
      <c r="V373" s="6" t="s">
        <v>921</v>
      </c>
      <c r="W373" s="6" t="s">
        <v>331</v>
      </c>
      <c r="X373" s="5" t="s">
        <v>922</v>
      </c>
      <c r="Y373" s="5" t="s">
        <v>812</v>
      </c>
      <c r="Z373" s="5" t="str">
        <f t="shared" si="10"/>
        <v>Medium</v>
      </c>
      <c r="AA373" s="5" t="s">
        <v>956</v>
      </c>
      <c r="AB373" s="6" t="s">
        <v>924</v>
      </c>
      <c r="AC373" s="6" t="s">
        <v>103</v>
      </c>
      <c r="AD373" s="5" t="s">
        <v>925</v>
      </c>
      <c r="AE373" s="5" t="s">
        <v>354</v>
      </c>
      <c r="AF373" s="5" t="s">
        <v>354</v>
      </c>
      <c r="AG373" s="5" t="s">
        <v>354</v>
      </c>
      <c r="AH373" s="5" t="s">
        <v>354</v>
      </c>
      <c r="AI373" s="6" t="str">
        <f t="shared" si="11"/>
        <v>No</v>
      </c>
      <c r="AJ373" s="6" t="s">
        <v>926</v>
      </c>
      <c r="AK373" s="6" t="s">
        <v>121</v>
      </c>
      <c r="AL373" s="6">
        <f>MATCH(AA373,{"Low","Medium","High"},0)*MATCH(AB373,{"Low","Medium","High"},0)*INDEX({3,2,2,1,1},MATCH(X373,{"Core","Vertical extension","Differentiator","Future","Adjacent"},0))</f>
        <v>6</v>
      </c>
      <c r="AM373" s="5"/>
      <c r="AN373" s="5"/>
      <c r="AO373" s="5"/>
      <c r="AP373" s="5"/>
      <c r="AQ373" s="5"/>
      <c r="AR373" s="5"/>
      <c r="AS373" s="5"/>
      <c r="AT373" s="5"/>
      <c r="AU373" s="6" t="s">
        <v>927</v>
      </c>
      <c r="AV373" s="6" t="s">
        <v>1296</v>
      </c>
      <c r="AW373" s="6" t="s">
        <v>1296</v>
      </c>
      <c r="AX373" s="6" t="s">
        <v>929</v>
      </c>
      <c r="AY373" s="6" t="s">
        <v>930</v>
      </c>
      <c r="AZ373" s="6"/>
      <c r="BA373" s="6"/>
      <c r="BB373" s="6"/>
      <c r="BC373" s="6" t="s">
        <v>97</v>
      </c>
      <c r="BD373" s="6" t="s">
        <v>97</v>
      </c>
    </row>
    <row r="374" spans="1:56" ht="32" customHeight="1" x14ac:dyDescent="0.35">
      <c r="A374" s="13" t="s">
        <v>3158</v>
      </c>
      <c r="B374" s="6" t="s">
        <v>2114</v>
      </c>
      <c r="C374" s="5" t="s">
        <v>2115</v>
      </c>
      <c r="D374" s="5" t="s">
        <v>841</v>
      </c>
      <c r="E374" s="5" t="s">
        <v>3159</v>
      </c>
      <c r="F374" s="5" t="s">
        <v>3160</v>
      </c>
      <c r="G374" s="5" t="s">
        <v>1373</v>
      </c>
      <c r="H374" s="5" t="s">
        <v>3161</v>
      </c>
      <c r="I374" s="5" t="s">
        <v>3162</v>
      </c>
      <c r="J374" s="17" t="s">
        <v>121</v>
      </c>
      <c r="K374" s="17" t="s">
        <v>181</v>
      </c>
      <c r="L374" s="5" t="s">
        <v>3163</v>
      </c>
      <c r="M374" s="6" t="s">
        <v>197</v>
      </c>
      <c r="N374" s="6" t="s">
        <v>812</v>
      </c>
      <c r="O374" s="6" t="s">
        <v>121</v>
      </c>
      <c r="P374" s="5" t="s">
        <v>918</v>
      </c>
      <c r="Q374" s="17" t="s">
        <v>182</v>
      </c>
      <c r="R374" s="5"/>
      <c r="S374" s="6" t="s">
        <v>1038</v>
      </c>
      <c r="T374" s="5" t="s">
        <v>1039</v>
      </c>
      <c r="U374" s="6"/>
      <c r="V374" s="6" t="s">
        <v>921</v>
      </c>
      <c r="W374" s="6" t="s">
        <v>331</v>
      </c>
      <c r="X374" s="5" t="s">
        <v>922</v>
      </c>
      <c r="Y374" s="5" t="s">
        <v>812</v>
      </c>
      <c r="Z374" s="5" t="str">
        <f t="shared" si="10"/>
        <v>Medium</v>
      </c>
      <c r="AA374" s="5" t="s">
        <v>956</v>
      </c>
      <c r="AB374" s="6" t="s">
        <v>924</v>
      </c>
      <c r="AC374" s="6" t="s">
        <v>103</v>
      </c>
      <c r="AD374" s="5" t="s">
        <v>925</v>
      </c>
      <c r="AE374" s="5" t="s">
        <v>354</v>
      </c>
      <c r="AF374" s="5" t="s">
        <v>354</v>
      </c>
      <c r="AG374" s="5" t="s">
        <v>354</v>
      </c>
      <c r="AH374" s="5" t="s">
        <v>354</v>
      </c>
      <c r="AI374" s="6" t="str">
        <f t="shared" si="11"/>
        <v>No</v>
      </c>
      <c r="AJ374" s="6" t="s">
        <v>926</v>
      </c>
      <c r="AK374" s="6" t="s">
        <v>121</v>
      </c>
      <c r="AL374" s="6">
        <f>MATCH(AA374,{"Low","Medium","High"},0)*MATCH(AB374,{"Low","Medium","High"},0)*INDEX({3,2,2,1,1},MATCH(X374,{"Core","Vertical extension","Differentiator","Future","Adjacent"},0))</f>
        <v>6</v>
      </c>
      <c r="AM374" s="5"/>
      <c r="AN374" s="5"/>
      <c r="AO374" s="5"/>
      <c r="AP374" s="5"/>
      <c r="AQ374" s="5"/>
      <c r="AR374" s="5"/>
      <c r="AS374" s="5"/>
      <c r="AT374" s="5"/>
      <c r="AU374" s="6" t="s">
        <v>927</v>
      </c>
      <c r="AV374" s="6" t="s">
        <v>1296</v>
      </c>
      <c r="AW374" s="6" t="s">
        <v>1296</v>
      </c>
      <c r="AX374" s="6" t="s">
        <v>929</v>
      </c>
      <c r="AY374" s="6" t="s">
        <v>930</v>
      </c>
      <c r="AZ374" s="6"/>
      <c r="BA374" s="6"/>
      <c r="BB374" s="6"/>
      <c r="BC374" s="6" t="s">
        <v>97</v>
      </c>
      <c r="BD374" s="6" t="s">
        <v>97</v>
      </c>
    </row>
    <row r="375" spans="1:56" ht="32" customHeight="1" x14ac:dyDescent="0.35">
      <c r="A375" s="13" t="s">
        <v>3164</v>
      </c>
      <c r="B375" s="6" t="s">
        <v>2114</v>
      </c>
      <c r="C375" s="5" t="s">
        <v>2115</v>
      </c>
      <c r="D375" s="5" t="s">
        <v>841</v>
      </c>
      <c r="E375" s="5" t="s">
        <v>3165</v>
      </c>
      <c r="F375" s="5" t="s">
        <v>2280</v>
      </c>
      <c r="G375" s="5" t="s">
        <v>1400</v>
      </c>
      <c r="H375" s="5" t="s">
        <v>3166</v>
      </c>
      <c r="I375" s="5" t="s">
        <v>3167</v>
      </c>
      <c r="J375" s="17" t="s">
        <v>121</v>
      </c>
      <c r="K375" s="17" t="s">
        <v>181</v>
      </c>
      <c r="L375" s="5" t="s">
        <v>3168</v>
      </c>
      <c r="M375" s="6" t="s">
        <v>197</v>
      </c>
      <c r="N375" s="6" t="s">
        <v>812</v>
      </c>
      <c r="O375" s="6" t="s">
        <v>121</v>
      </c>
      <c r="P375" s="5" t="s">
        <v>999</v>
      </c>
      <c r="Q375" s="17" t="s">
        <v>182</v>
      </c>
      <c r="R375" s="5" t="s">
        <v>999</v>
      </c>
      <c r="S375" s="6" t="s">
        <v>1038</v>
      </c>
      <c r="T375" s="5" t="s">
        <v>1039</v>
      </c>
      <c r="U375" s="6"/>
      <c r="V375" s="6" t="s">
        <v>921</v>
      </c>
      <c r="W375" s="6" t="s">
        <v>331</v>
      </c>
      <c r="X375" s="5" t="s">
        <v>922</v>
      </c>
      <c r="Y375" s="5" t="s">
        <v>812</v>
      </c>
      <c r="Z375" s="5" t="str">
        <f t="shared" si="10"/>
        <v>Medium</v>
      </c>
      <c r="AA375" s="5" t="s">
        <v>956</v>
      </c>
      <c r="AB375" s="6" t="s">
        <v>924</v>
      </c>
      <c r="AC375" s="6" t="s">
        <v>103</v>
      </c>
      <c r="AD375" s="5" t="s">
        <v>925</v>
      </c>
      <c r="AE375" s="5" t="s">
        <v>354</v>
      </c>
      <c r="AF375" s="5" t="s">
        <v>354</v>
      </c>
      <c r="AG375" s="5" t="s">
        <v>354</v>
      </c>
      <c r="AH375" s="5" t="s">
        <v>354</v>
      </c>
      <c r="AI375" s="6" t="str">
        <f t="shared" si="11"/>
        <v>No</v>
      </c>
      <c r="AJ375" s="6" t="s">
        <v>926</v>
      </c>
      <c r="AK375" s="6" t="s">
        <v>121</v>
      </c>
      <c r="AL375" s="6">
        <f>MATCH(AA375,{"Low","Medium","High"},0)*MATCH(AB375,{"Low","Medium","High"},0)*INDEX({3,2,2,1,1},MATCH(X375,{"Core","Vertical extension","Differentiator","Future","Adjacent"},0))</f>
        <v>6</v>
      </c>
      <c r="AM375" s="5"/>
      <c r="AN375" s="5"/>
      <c r="AO375" s="5"/>
      <c r="AP375" s="5"/>
      <c r="AQ375" s="5"/>
      <c r="AR375" s="5"/>
      <c r="AS375" s="5"/>
      <c r="AT375" s="5"/>
      <c r="AU375" s="6" t="s">
        <v>927</v>
      </c>
      <c r="AV375" s="6" t="s">
        <v>2161</v>
      </c>
      <c r="AW375" s="6" t="s">
        <v>2161</v>
      </c>
      <c r="AX375" s="6" t="s">
        <v>1003</v>
      </c>
      <c r="AY375" s="6" t="s">
        <v>930</v>
      </c>
      <c r="AZ375" s="6"/>
      <c r="BA375" s="6" t="s">
        <v>1098</v>
      </c>
      <c r="BB375" s="6" t="s">
        <v>1080</v>
      </c>
      <c r="BC375" s="6" t="s">
        <v>97</v>
      </c>
      <c r="BD375" s="6" t="s">
        <v>97</v>
      </c>
    </row>
    <row r="376" spans="1:56" ht="32" customHeight="1" x14ac:dyDescent="0.35">
      <c r="A376" s="13" t="s">
        <v>3169</v>
      </c>
      <c r="B376" s="6" t="s">
        <v>2114</v>
      </c>
      <c r="C376" s="5" t="s">
        <v>2115</v>
      </c>
      <c r="D376" s="5" t="s">
        <v>841</v>
      </c>
      <c r="E376" s="5" t="s">
        <v>3170</v>
      </c>
      <c r="F376" s="5" t="s">
        <v>1400</v>
      </c>
      <c r="G376" s="5" t="s">
        <v>3171</v>
      </c>
      <c r="H376" s="5" t="s">
        <v>3172</v>
      </c>
      <c r="I376" s="5" t="s">
        <v>3173</v>
      </c>
      <c r="J376" s="17" t="s">
        <v>121</v>
      </c>
      <c r="K376" s="17" t="s">
        <v>181</v>
      </c>
      <c r="L376" s="5" t="s">
        <v>3174</v>
      </c>
      <c r="M376" s="6" t="s">
        <v>197</v>
      </c>
      <c r="N376" s="6" t="s">
        <v>812</v>
      </c>
      <c r="O376" s="6" t="s">
        <v>121</v>
      </c>
      <c r="P376" s="5" t="s">
        <v>918</v>
      </c>
      <c r="Q376" s="17" t="s">
        <v>182</v>
      </c>
      <c r="R376" s="5"/>
      <c r="S376" s="6" t="s">
        <v>1038</v>
      </c>
      <c r="T376" s="5" t="s">
        <v>1039</v>
      </c>
      <c r="U376" s="6"/>
      <c r="V376" s="6" t="s">
        <v>921</v>
      </c>
      <c r="W376" s="6" t="s">
        <v>331</v>
      </c>
      <c r="X376" s="5" t="s">
        <v>922</v>
      </c>
      <c r="Y376" s="5" t="s">
        <v>812</v>
      </c>
      <c r="Z376" s="5" t="str">
        <f t="shared" si="10"/>
        <v>Medium</v>
      </c>
      <c r="AA376" s="5" t="s">
        <v>956</v>
      </c>
      <c r="AB376" s="6" t="s">
        <v>924</v>
      </c>
      <c r="AC376" s="6" t="s">
        <v>103</v>
      </c>
      <c r="AD376" s="5" t="s">
        <v>925</v>
      </c>
      <c r="AE376" s="5" t="s">
        <v>354</v>
      </c>
      <c r="AF376" s="5" t="s">
        <v>354</v>
      </c>
      <c r="AG376" s="5" t="s">
        <v>354</v>
      </c>
      <c r="AH376" s="5" t="s">
        <v>354</v>
      </c>
      <c r="AI376" s="6" t="str">
        <f t="shared" si="11"/>
        <v>No</v>
      </c>
      <c r="AJ376" s="6" t="s">
        <v>926</v>
      </c>
      <c r="AK376" s="6" t="s">
        <v>121</v>
      </c>
      <c r="AL376" s="6">
        <f>MATCH(AA376,{"Low","Medium","High"},0)*MATCH(AB376,{"Low","Medium","High"},0)*INDEX({3,2,2,1,1},MATCH(X376,{"Core","Vertical extension","Differentiator","Future","Adjacent"},0))</f>
        <v>6</v>
      </c>
      <c r="AM376" s="5"/>
      <c r="AN376" s="5"/>
      <c r="AO376" s="5"/>
      <c r="AP376" s="5"/>
      <c r="AQ376" s="5"/>
      <c r="AR376" s="5"/>
      <c r="AS376" s="5"/>
      <c r="AT376" s="5"/>
      <c r="AU376" s="6" t="s">
        <v>927</v>
      </c>
      <c r="AV376" s="6" t="s">
        <v>1296</v>
      </c>
      <c r="AW376" s="6" t="s">
        <v>1296</v>
      </c>
      <c r="AX376" s="6" t="s">
        <v>929</v>
      </c>
      <c r="AY376" s="6" t="s">
        <v>930</v>
      </c>
      <c r="AZ376" s="6"/>
      <c r="BA376" s="6"/>
      <c r="BB376" s="6"/>
      <c r="BC376" s="6" t="s">
        <v>97</v>
      </c>
      <c r="BD376" s="6" t="s">
        <v>97</v>
      </c>
    </row>
    <row r="377" spans="1:56" ht="32" customHeight="1" x14ac:dyDescent="0.35">
      <c r="A377" s="13" t="s">
        <v>3175</v>
      </c>
      <c r="B377" s="6" t="s">
        <v>2114</v>
      </c>
      <c r="C377" s="5" t="s">
        <v>2115</v>
      </c>
      <c r="D377" s="5" t="s">
        <v>841</v>
      </c>
      <c r="E377" s="5" t="s">
        <v>3176</v>
      </c>
      <c r="F377" s="5" t="s">
        <v>1452</v>
      </c>
      <c r="G377" s="5" t="s">
        <v>1017</v>
      </c>
      <c r="H377" s="5" t="s">
        <v>3177</v>
      </c>
      <c r="I377" s="5" t="s">
        <v>3178</v>
      </c>
      <c r="J377" s="17" t="s">
        <v>121</v>
      </c>
      <c r="K377" s="17" t="s">
        <v>181</v>
      </c>
      <c r="L377" s="5" t="s">
        <v>3179</v>
      </c>
      <c r="M377" s="6" t="s">
        <v>197</v>
      </c>
      <c r="N377" s="6" t="s">
        <v>812</v>
      </c>
      <c r="O377" s="6" t="s">
        <v>121</v>
      </c>
      <c r="P377" s="5" t="s">
        <v>918</v>
      </c>
      <c r="Q377" s="18" t="s">
        <v>186</v>
      </c>
      <c r="R377" s="5" t="s">
        <v>2231</v>
      </c>
      <c r="S377" s="6" t="s">
        <v>1038</v>
      </c>
      <c r="T377" s="5" t="s">
        <v>1039</v>
      </c>
      <c r="U377" s="6"/>
      <c r="V377" s="6" t="s">
        <v>921</v>
      </c>
      <c r="W377" s="6" t="s">
        <v>331</v>
      </c>
      <c r="X377" s="5" t="s">
        <v>922</v>
      </c>
      <c r="Y377" s="5" t="s">
        <v>812</v>
      </c>
      <c r="Z377" s="5" t="str">
        <f t="shared" si="10"/>
        <v>Medium</v>
      </c>
      <c r="AA377" s="5" t="s">
        <v>956</v>
      </c>
      <c r="AB377" s="6" t="s">
        <v>924</v>
      </c>
      <c r="AC377" s="6" t="s">
        <v>103</v>
      </c>
      <c r="AD377" s="5" t="s">
        <v>940</v>
      </c>
      <c r="AE377" s="5" t="s">
        <v>354</v>
      </c>
      <c r="AF377" s="5" t="s">
        <v>354</v>
      </c>
      <c r="AG377" s="5" t="s">
        <v>354</v>
      </c>
      <c r="AH377" s="5" t="s">
        <v>354</v>
      </c>
      <c r="AI377" s="6" t="str">
        <f t="shared" si="11"/>
        <v>No</v>
      </c>
      <c r="AJ377" s="6" t="s">
        <v>941</v>
      </c>
      <c r="AK377" s="6" t="s">
        <v>121</v>
      </c>
      <c r="AL377" s="6">
        <f>MATCH(AA377,{"Low","Medium","High"},0)*MATCH(AB377,{"Low","Medium","High"},0)*INDEX({3,2,2,1,1},MATCH(X377,{"Core","Vertical extension","Differentiator","Future","Adjacent"},0))</f>
        <v>6</v>
      </c>
      <c r="AM377" s="5"/>
      <c r="AN377" s="5"/>
      <c r="AO377" s="5"/>
      <c r="AP377" s="5"/>
      <c r="AQ377" s="5"/>
      <c r="AR377" s="5"/>
      <c r="AS377" s="5"/>
      <c r="AT377" s="5"/>
      <c r="AU377" s="6" t="s">
        <v>927</v>
      </c>
      <c r="AV377" s="6" t="s">
        <v>55</v>
      </c>
      <c r="AW377" s="6" t="s">
        <v>55</v>
      </c>
      <c r="AX377" s="6" t="s">
        <v>929</v>
      </c>
      <c r="AY377" s="6" t="s">
        <v>930</v>
      </c>
      <c r="AZ377" s="6"/>
      <c r="BA377" s="6" t="s">
        <v>2232</v>
      </c>
      <c r="BB377" s="6" t="s">
        <v>2233</v>
      </c>
      <c r="BC377" s="6" t="s">
        <v>97</v>
      </c>
      <c r="BD377" s="6" t="s">
        <v>97</v>
      </c>
    </row>
    <row r="378" spans="1:56" ht="32" customHeight="1" x14ac:dyDescent="0.35">
      <c r="A378" s="13" t="s">
        <v>3180</v>
      </c>
      <c r="B378" s="6" t="s">
        <v>2114</v>
      </c>
      <c r="C378" s="5" t="s">
        <v>2115</v>
      </c>
      <c r="D378" s="5" t="s">
        <v>841</v>
      </c>
      <c r="E378" s="5" t="s">
        <v>3181</v>
      </c>
      <c r="F378" s="5" t="s">
        <v>2242</v>
      </c>
      <c r="G378" s="5" t="s">
        <v>1017</v>
      </c>
      <c r="H378" s="5" t="s">
        <v>3182</v>
      </c>
      <c r="I378" s="5" t="s">
        <v>3183</v>
      </c>
      <c r="J378" s="17" t="s">
        <v>121</v>
      </c>
      <c r="K378" s="17" t="s">
        <v>181</v>
      </c>
      <c r="L378" s="5" t="s">
        <v>3184</v>
      </c>
      <c r="M378" s="6" t="s">
        <v>197</v>
      </c>
      <c r="N378" s="6" t="s">
        <v>812</v>
      </c>
      <c r="O378" s="6" t="s">
        <v>121</v>
      </c>
      <c r="P378" s="5" t="s">
        <v>918</v>
      </c>
      <c r="Q378" s="18" t="s">
        <v>186</v>
      </c>
      <c r="R378" s="5" t="s">
        <v>2231</v>
      </c>
      <c r="S378" s="6" t="s">
        <v>1038</v>
      </c>
      <c r="T378" s="5" t="s">
        <v>1039</v>
      </c>
      <c r="U378" s="6"/>
      <c r="V378" s="6" t="s">
        <v>921</v>
      </c>
      <c r="W378" s="6" t="s">
        <v>331</v>
      </c>
      <c r="X378" s="5" t="s">
        <v>922</v>
      </c>
      <c r="Y378" s="5" t="s">
        <v>812</v>
      </c>
      <c r="Z378" s="5" t="str">
        <f t="shared" si="10"/>
        <v>Medium</v>
      </c>
      <c r="AA378" s="5" t="s">
        <v>956</v>
      </c>
      <c r="AB378" s="6" t="s">
        <v>924</v>
      </c>
      <c r="AC378" s="6" t="s">
        <v>103</v>
      </c>
      <c r="AD378" s="5" t="s">
        <v>940</v>
      </c>
      <c r="AE378" s="5" t="s">
        <v>354</v>
      </c>
      <c r="AF378" s="5" t="s">
        <v>354</v>
      </c>
      <c r="AG378" s="5" t="s">
        <v>354</v>
      </c>
      <c r="AH378" s="5" t="s">
        <v>354</v>
      </c>
      <c r="AI378" s="6" t="str">
        <f t="shared" si="11"/>
        <v>No</v>
      </c>
      <c r="AJ378" s="6" t="s">
        <v>941</v>
      </c>
      <c r="AK378" s="6" t="s">
        <v>121</v>
      </c>
      <c r="AL378" s="6">
        <f>MATCH(AA378,{"Low","Medium","High"},0)*MATCH(AB378,{"Low","Medium","High"},0)*INDEX({3,2,2,1,1},MATCH(X378,{"Core","Vertical extension","Differentiator","Future","Adjacent"},0))</f>
        <v>6</v>
      </c>
      <c r="AM378" s="5"/>
      <c r="AN378" s="5"/>
      <c r="AO378" s="5"/>
      <c r="AP378" s="5"/>
      <c r="AQ378" s="5"/>
      <c r="AR378" s="5"/>
      <c r="AS378" s="5"/>
      <c r="AT378" s="5"/>
      <c r="AU378" s="6" t="s">
        <v>927</v>
      </c>
      <c r="AV378" s="6" t="s">
        <v>55</v>
      </c>
      <c r="AW378" s="6" t="s">
        <v>55</v>
      </c>
      <c r="AX378" s="6" t="s">
        <v>929</v>
      </c>
      <c r="AY378" s="6" t="s">
        <v>930</v>
      </c>
      <c r="AZ378" s="6"/>
      <c r="BA378" s="6" t="s">
        <v>2701</v>
      </c>
      <c r="BB378" s="6" t="s">
        <v>2233</v>
      </c>
      <c r="BC378" s="6" t="s">
        <v>97</v>
      </c>
      <c r="BD378" s="6" t="s">
        <v>97</v>
      </c>
    </row>
    <row r="379" spans="1:56" ht="32" customHeight="1" x14ac:dyDescent="0.35">
      <c r="A379" s="13" t="s">
        <v>3185</v>
      </c>
      <c r="B379" s="6" t="s">
        <v>2114</v>
      </c>
      <c r="C379" s="5" t="s">
        <v>2115</v>
      </c>
      <c r="D379" s="5" t="s">
        <v>841</v>
      </c>
      <c r="E379" s="5" t="s">
        <v>3186</v>
      </c>
      <c r="F379" s="5" t="s">
        <v>2171</v>
      </c>
      <c r="G379" s="5" t="s">
        <v>1452</v>
      </c>
      <c r="H379" s="5" t="s">
        <v>3187</v>
      </c>
      <c r="I379" s="5" t="s">
        <v>3188</v>
      </c>
      <c r="J379" s="17" t="s">
        <v>121</v>
      </c>
      <c r="K379" s="17" t="s">
        <v>181</v>
      </c>
      <c r="L379" s="5" t="s">
        <v>3189</v>
      </c>
      <c r="M379" s="6" t="s">
        <v>197</v>
      </c>
      <c r="N379" s="6" t="s">
        <v>812</v>
      </c>
      <c r="O379" s="6" t="s">
        <v>121</v>
      </c>
      <c r="P379" s="5" t="s">
        <v>918</v>
      </c>
      <c r="Q379" s="17" t="s">
        <v>182</v>
      </c>
      <c r="R379" s="5"/>
      <c r="S379" s="6" t="s">
        <v>1038</v>
      </c>
      <c r="T379" s="5" t="s">
        <v>1039</v>
      </c>
      <c r="U379" s="6"/>
      <c r="V379" s="6" t="s">
        <v>921</v>
      </c>
      <c r="W379" s="6" t="s">
        <v>331</v>
      </c>
      <c r="X379" s="5" t="s">
        <v>922</v>
      </c>
      <c r="Y379" s="5" t="s">
        <v>812</v>
      </c>
      <c r="Z379" s="5" t="str">
        <f t="shared" si="10"/>
        <v>Medium</v>
      </c>
      <c r="AA379" s="5" t="s">
        <v>956</v>
      </c>
      <c r="AB379" s="6" t="s">
        <v>924</v>
      </c>
      <c r="AC379" s="6" t="s">
        <v>103</v>
      </c>
      <c r="AD379" s="5" t="s">
        <v>925</v>
      </c>
      <c r="AE379" s="5" t="s">
        <v>354</v>
      </c>
      <c r="AF379" s="5" t="s">
        <v>354</v>
      </c>
      <c r="AG379" s="5" t="s">
        <v>354</v>
      </c>
      <c r="AH379" s="5" t="s">
        <v>354</v>
      </c>
      <c r="AI379" s="6" t="str">
        <f t="shared" si="11"/>
        <v>No</v>
      </c>
      <c r="AJ379" s="6" t="s">
        <v>926</v>
      </c>
      <c r="AK379" s="6" t="s">
        <v>121</v>
      </c>
      <c r="AL379" s="6">
        <f>MATCH(AA379,{"Low","Medium","High"},0)*MATCH(AB379,{"Low","Medium","High"},0)*INDEX({3,2,2,1,1},MATCH(X379,{"Core","Vertical extension","Differentiator","Future","Adjacent"},0))</f>
        <v>6</v>
      </c>
      <c r="AM379" s="5"/>
      <c r="AN379" s="5"/>
      <c r="AO379" s="5"/>
      <c r="AP379" s="5"/>
      <c r="AQ379" s="5"/>
      <c r="AR379" s="5"/>
      <c r="AS379" s="5"/>
      <c r="AT379" s="5"/>
      <c r="AU379" s="6" t="s">
        <v>927</v>
      </c>
      <c r="AV379" s="6" t="s">
        <v>2161</v>
      </c>
      <c r="AW379" s="6" t="s">
        <v>2161</v>
      </c>
      <c r="AX379" s="6" t="s">
        <v>929</v>
      </c>
      <c r="AY379" s="6" t="s">
        <v>930</v>
      </c>
      <c r="AZ379" s="6"/>
      <c r="BA379" s="6"/>
      <c r="BB379" s="6"/>
      <c r="BC379" s="6" t="s">
        <v>97</v>
      </c>
      <c r="BD379" s="6" t="s">
        <v>97</v>
      </c>
    </row>
    <row r="380" spans="1:56" ht="32" customHeight="1" x14ac:dyDescent="0.35">
      <c r="A380" s="13" t="s">
        <v>3190</v>
      </c>
      <c r="B380" s="6" t="s">
        <v>2114</v>
      </c>
      <c r="C380" s="5" t="s">
        <v>2115</v>
      </c>
      <c r="D380" s="5" t="s">
        <v>841</v>
      </c>
      <c r="E380" s="5" t="s">
        <v>3191</v>
      </c>
      <c r="F380" s="5" t="s">
        <v>3097</v>
      </c>
      <c r="G380" s="5" t="s">
        <v>1017</v>
      </c>
      <c r="H380" s="5" t="s">
        <v>3192</v>
      </c>
      <c r="I380" s="5" t="s">
        <v>3193</v>
      </c>
      <c r="J380" s="17" t="s">
        <v>121</v>
      </c>
      <c r="K380" s="17" t="s">
        <v>181</v>
      </c>
      <c r="L380" s="5" t="s">
        <v>3194</v>
      </c>
      <c r="M380" s="6" t="s">
        <v>197</v>
      </c>
      <c r="N380" s="6" t="s">
        <v>812</v>
      </c>
      <c r="O380" s="6" t="s">
        <v>121</v>
      </c>
      <c r="P380" s="5" t="s">
        <v>918</v>
      </c>
      <c r="Q380" s="17" t="s">
        <v>182</v>
      </c>
      <c r="R380" s="5"/>
      <c r="S380" s="6" t="s">
        <v>1038</v>
      </c>
      <c r="T380" s="5" t="s">
        <v>1039</v>
      </c>
      <c r="U380" s="6"/>
      <c r="V380" s="6" t="s">
        <v>921</v>
      </c>
      <c r="W380" s="6" t="s">
        <v>331</v>
      </c>
      <c r="X380" s="5" t="s">
        <v>922</v>
      </c>
      <c r="Y380" s="5" t="s">
        <v>812</v>
      </c>
      <c r="Z380" s="5" t="str">
        <f t="shared" si="10"/>
        <v>Medium</v>
      </c>
      <c r="AA380" s="5" t="s">
        <v>956</v>
      </c>
      <c r="AB380" s="6" t="s">
        <v>924</v>
      </c>
      <c r="AC380" s="6" t="s">
        <v>103</v>
      </c>
      <c r="AD380" s="5" t="s">
        <v>925</v>
      </c>
      <c r="AE380" s="5" t="s">
        <v>354</v>
      </c>
      <c r="AF380" s="5" t="s">
        <v>354</v>
      </c>
      <c r="AG380" s="5" t="s">
        <v>354</v>
      </c>
      <c r="AH380" s="5" t="s">
        <v>354</v>
      </c>
      <c r="AI380" s="6" t="str">
        <f t="shared" si="11"/>
        <v>No</v>
      </c>
      <c r="AJ380" s="6" t="s">
        <v>926</v>
      </c>
      <c r="AK380" s="6" t="s">
        <v>121</v>
      </c>
      <c r="AL380" s="6">
        <f>MATCH(AA380,{"Low","Medium","High"},0)*MATCH(AB380,{"Low","Medium","High"},0)*INDEX({3,2,2,1,1},MATCH(X380,{"Core","Vertical extension","Differentiator","Future","Adjacent"},0))</f>
        <v>6</v>
      </c>
      <c r="AM380" s="5"/>
      <c r="AN380" s="5"/>
      <c r="AO380" s="5"/>
      <c r="AP380" s="5"/>
      <c r="AQ380" s="5"/>
      <c r="AR380" s="5"/>
      <c r="AS380" s="5"/>
      <c r="AT380" s="5"/>
      <c r="AU380" s="6" t="s">
        <v>927</v>
      </c>
      <c r="AV380" s="6" t="s">
        <v>3101</v>
      </c>
      <c r="AW380" s="6" t="s">
        <v>3101</v>
      </c>
      <c r="AX380" s="6" t="s">
        <v>929</v>
      </c>
      <c r="AY380" s="6" t="s">
        <v>930</v>
      </c>
      <c r="AZ380" s="6"/>
      <c r="BA380" s="6"/>
      <c r="BB380" s="6"/>
      <c r="BC380" s="6" t="s">
        <v>97</v>
      </c>
      <c r="BD380" s="6" t="s">
        <v>97</v>
      </c>
    </row>
    <row r="381" spans="1:56" ht="32" customHeight="1" x14ac:dyDescent="0.35">
      <c r="A381" s="13" t="s">
        <v>3195</v>
      </c>
      <c r="B381" s="6" t="s">
        <v>2114</v>
      </c>
      <c r="C381" s="5" t="s">
        <v>2115</v>
      </c>
      <c r="D381" s="5" t="s">
        <v>841</v>
      </c>
      <c r="E381" s="5" t="s">
        <v>3196</v>
      </c>
      <c r="F381" s="5" t="s">
        <v>3197</v>
      </c>
      <c r="G381" s="5" t="s">
        <v>3198</v>
      </c>
      <c r="H381" s="5" t="s">
        <v>3199</v>
      </c>
      <c r="I381" s="5" t="s">
        <v>3200</v>
      </c>
      <c r="J381" s="17" t="s">
        <v>121</v>
      </c>
      <c r="K381" s="17" t="s">
        <v>181</v>
      </c>
      <c r="L381" s="5" t="s">
        <v>3201</v>
      </c>
      <c r="M381" s="6" t="s">
        <v>197</v>
      </c>
      <c r="N381" s="6" t="s">
        <v>812</v>
      </c>
      <c r="O381" s="6" t="s">
        <v>121</v>
      </c>
      <c r="P381" s="5" t="s">
        <v>918</v>
      </c>
      <c r="Q381" s="17" t="s">
        <v>182</v>
      </c>
      <c r="R381" s="5"/>
      <c r="S381" s="6" t="s">
        <v>1038</v>
      </c>
      <c r="T381" s="5" t="s">
        <v>1039</v>
      </c>
      <c r="U381" s="6"/>
      <c r="V381" s="6" t="s">
        <v>921</v>
      </c>
      <c r="W381" s="6" t="s">
        <v>331</v>
      </c>
      <c r="X381" s="5" t="s">
        <v>922</v>
      </c>
      <c r="Y381" s="5" t="s">
        <v>812</v>
      </c>
      <c r="Z381" s="5" t="str">
        <f t="shared" si="10"/>
        <v>Medium</v>
      </c>
      <c r="AA381" s="5" t="s">
        <v>956</v>
      </c>
      <c r="AB381" s="6" t="s">
        <v>924</v>
      </c>
      <c r="AC381" s="6" t="s">
        <v>103</v>
      </c>
      <c r="AD381" s="5" t="s">
        <v>925</v>
      </c>
      <c r="AE381" s="5" t="s">
        <v>354</v>
      </c>
      <c r="AF381" s="5" t="s">
        <v>354</v>
      </c>
      <c r="AG381" s="5" t="s">
        <v>354</v>
      </c>
      <c r="AH381" s="5" t="s">
        <v>354</v>
      </c>
      <c r="AI381" s="6" t="str">
        <f t="shared" si="11"/>
        <v>No</v>
      </c>
      <c r="AJ381" s="6" t="s">
        <v>926</v>
      </c>
      <c r="AK381" s="6" t="s">
        <v>121</v>
      </c>
      <c r="AL381" s="6">
        <f>MATCH(AA381,{"Low","Medium","High"},0)*MATCH(AB381,{"Low","Medium","High"},0)*INDEX({3,2,2,1,1},MATCH(X381,{"Core","Vertical extension","Differentiator","Future","Adjacent"},0))</f>
        <v>6</v>
      </c>
      <c r="AM381" s="5"/>
      <c r="AN381" s="5"/>
      <c r="AO381" s="5"/>
      <c r="AP381" s="5"/>
      <c r="AQ381" s="5"/>
      <c r="AR381" s="5"/>
      <c r="AS381" s="5"/>
      <c r="AT381" s="5"/>
      <c r="AU381" s="6" t="s">
        <v>927</v>
      </c>
      <c r="AV381" s="6" t="s">
        <v>1315</v>
      </c>
      <c r="AW381" s="6" t="s">
        <v>1315</v>
      </c>
      <c r="AX381" s="6" t="s">
        <v>929</v>
      </c>
      <c r="AY381" s="6" t="s">
        <v>930</v>
      </c>
      <c r="AZ381" s="6"/>
      <c r="BA381" s="6"/>
      <c r="BB381" s="6"/>
      <c r="BC381" s="6" t="s">
        <v>97</v>
      </c>
      <c r="BD381" s="6" t="s">
        <v>97</v>
      </c>
    </row>
    <row r="382" spans="1:56" ht="32" customHeight="1" x14ac:dyDescent="0.35">
      <c r="A382" s="13" t="s">
        <v>3202</v>
      </c>
      <c r="B382" s="6" t="s">
        <v>2114</v>
      </c>
      <c r="C382" s="5" t="s">
        <v>2115</v>
      </c>
      <c r="D382" s="5" t="s">
        <v>841</v>
      </c>
      <c r="E382" s="5" t="s">
        <v>3203</v>
      </c>
      <c r="F382" s="5" t="s">
        <v>3097</v>
      </c>
      <c r="G382" s="5" t="s">
        <v>1017</v>
      </c>
      <c r="H382" s="5" t="s">
        <v>3204</v>
      </c>
      <c r="I382" s="5" t="s">
        <v>3205</v>
      </c>
      <c r="J382" s="17" t="s">
        <v>121</v>
      </c>
      <c r="K382" s="17" t="s">
        <v>181</v>
      </c>
      <c r="L382" s="5" t="s">
        <v>3206</v>
      </c>
      <c r="M382" s="6" t="s">
        <v>197</v>
      </c>
      <c r="N382" s="6" t="s">
        <v>812</v>
      </c>
      <c r="O382" s="6" t="s">
        <v>121</v>
      </c>
      <c r="P382" s="5" t="s">
        <v>918</v>
      </c>
      <c r="Q382" s="18" t="s">
        <v>186</v>
      </c>
      <c r="R382" s="5" t="s">
        <v>1021</v>
      </c>
      <c r="S382" s="6" t="s">
        <v>1038</v>
      </c>
      <c r="T382" s="5" t="s">
        <v>1039</v>
      </c>
      <c r="U382" s="6"/>
      <c r="V382" s="6" t="s">
        <v>921</v>
      </c>
      <c r="W382" s="6" t="s">
        <v>331</v>
      </c>
      <c r="X382" s="5" t="s">
        <v>922</v>
      </c>
      <c r="Y382" s="5" t="s">
        <v>812</v>
      </c>
      <c r="Z382" s="5" t="str">
        <f t="shared" si="10"/>
        <v>Medium</v>
      </c>
      <c r="AA382" s="5" t="s">
        <v>956</v>
      </c>
      <c r="AB382" s="6" t="s">
        <v>924</v>
      </c>
      <c r="AC382" s="6" t="s">
        <v>103</v>
      </c>
      <c r="AD382" s="5" t="s">
        <v>940</v>
      </c>
      <c r="AE382" s="5" t="s">
        <v>354</v>
      </c>
      <c r="AF382" s="5" t="s">
        <v>354</v>
      </c>
      <c r="AG382" s="5" t="s">
        <v>354</v>
      </c>
      <c r="AH382" s="5" t="s">
        <v>354</v>
      </c>
      <c r="AI382" s="6" t="str">
        <f t="shared" si="11"/>
        <v>No</v>
      </c>
      <c r="AJ382" s="6" t="s">
        <v>941</v>
      </c>
      <c r="AK382" s="6" t="s">
        <v>121</v>
      </c>
      <c r="AL382" s="6">
        <f>MATCH(AA382,{"Low","Medium","High"},0)*MATCH(AB382,{"Low","Medium","High"},0)*INDEX({3,2,2,1,1},MATCH(X382,{"Core","Vertical extension","Differentiator","Future","Adjacent"},0))</f>
        <v>6</v>
      </c>
      <c r="AM382" s="5"/>
      <c r="AN382" s="5"/>
      <c r="AO382" s="5"/>
      <c r="AP382" s="5"/>
      <c r="AQ382" s="5"/>
      <c r="AR382" s="5"/>
      <c r="AS382" s="5"/>
      <c r="AT382" s="5"/>
      <c r="AU382" s="6" t="s">
        <v>927</v>
      </c>
      <c r="AV382" s="6" t="s">
        <v>3101</v>
      </c>
      <c r="AW382" s="6" t="s">
        <v>3101</v>
      </c>
      <c r="AX382" s="6" t="s">
        <v>929</v>
      </c>
      <c r="AY382" s="6" t="s">
        <v>930</v>
      </c>
      <c r="AZ382" s="6"/>
      <c r="BA382" s="6"/>
      <c r="BB382" s="6"/>
      <c r="BC382" s="6" t="s">
        <v>97</v>
      </c>
      <c r="BD382" s="6" t="s">
        <v>97</v>
      </c>
    </row>
    <row r="383" spans="1:56" ht="32" customHeight="1" x14ac:dyDescent="0.35">
      <c r="A383" s="13" t="s">
        <v>3207</v>
      </c>
      <c r="B383" s="6" t="s">
        <v>2114</v>
      </c>
      <c r="C383" s="5" t="s">
        <v>2115</v>
      </c>
      <c r="D383" s="5" t="s">
        <v>841</v>
      </c>
      <c r="E383" s="5" t="s">
        <v>3208</v>
      </c>
      <c r="F383" s="5" t="s">
        <v>3209</v>
      </c>
      <c r="G383" s="5" t="s">
        <v>1017</v>
      </c>
      <c r="H383" s="5" t="s">
        <v>3210</v>
      </c>
      <c r="I383" s="5" t="s">
        <v>3211</v>
      </c>
      <c r="J383" s="17" t="s">
        <v>121</v>
      </c>
      <c r="K383" s="17" t="s">
        <v>181</v>
      </c>
      <c r="L383" s="5" t="s">
        <v>3212</v>
      </c>
      <c r="M383" s="6" t="s">
        <v>197</v>
      </c>
      <c r="N383" s="6" t="s">
        <v>812</v>
      </c>
      <c r="O383" s="6" t="s">
        <v>121</v>
      </c>
      <c r="P383" s="5" t="s">
        <v>918</v>
      </c>
      <c r="Q383" s="17" t="s">
        <v>182</v>
      </c>
      <c r="R383" s="5"/>
      <c r="S383" s="6" t="s">
        <v>1038</v>
      </c>
      <c r="T383" s="5" t="s">
        <v>1039</v>
      </c>
      <c r="U383" s="6"/>
      <c r="V383" s="6" t="s">
        <v>921</v>
      </c>
      <c r="W383" s="6" t="s">
        <v>331</v>
      </c>
      <c r="X383" s="5" t="s">
        <v>922</v>
      </c>
      <c r="Y383" s="5" t="s">
        <v>812</v>
      </c>
      <c r="Z383" s="5" t="str">
        <f t="shared" si="10"/>
        <v>Medium</v>
      </c>
      <c r="AA383" s="5" t="s">
        <v>956</v>
      </c>
      <c r="AB383" s="6" t="s">
        <v>924</v>
      </c>
      <c r="AC383" s="6" t="s">
        <v>103</v>
      </c>
      <c r="AD383" s="5" t="s">
        <v>925</v>
      </c>
      <c r="AE383" s="5" t="s">
        <v>354</v>
      </c>
      <c r="AF383" s="5" t="s">
        <v>354</v>
      </c>
      <c r="AG383" s="5" t="s">
        <v>354</v>
      </c>
      <c r="AH383" s="5" t="s">
        <v>354</v>
      </c>
      <c r="AI383" s="6" t="str">
        <f t="shared" si="11"/>
        <v>No</v>
      </c>
      <c r="AJ383" s="6" t="s">
        <v>926</v>
      </c>
      <c r="AK383" s="6" t="s">
        <v>121</v>
      </c>
      <c r="AL383" s="6">
        <f>MATCH(AA383,{"Low","Medium","High"},0)*MATCH(AB383,{"Low","Medium","High"},0)*INDEX({3,2,2,1,1},MATCH(X383,{"Core","Vertical extension","Differentiator","Future","Adjacent"},0))</f>
        <v>6</v>
      </c>
      <c r="AM383" s="5"/>
      <c r="AN383" s="5"/>
      <c r="AO383" s="5"/>
      <c r="AP383" s="5"/>
      <c r="AQ383" s="5"/>
      <c r="AR383" s="5"/>
      <c r="AS383" s="5"/>
      <c r="AT383" s="5"/>
      <c r="AU383" s="6" t="s">
        <v>927</v>
      </c>
      <c r="AV383" s="6" t="s">
        <v>3133</v>
      </c>
      <c r="AW383" s="6" t="s">
        <v>3133</v>
      </c>
      <c r="AX383" s="6" t="s">
        <v>929</v>
      </c>
      <c r="AY383" s="6" t="s">
        <v>930</v>
      </c>
      <c r="AZ383" s="6"/>
      <c r="BA383" s="6"/>
      <c r="BB383" s="6"/>
      <c r="BC383" s="6" t="s">
        <v>97</v>
      </c>
      <c r="BD383" s="6" t="s">
        <v>97</v>
      </c>
    </row>
    <row r="384" spans="1:56" ht="32" customHeight="1" x14ac:dyDescent="0.35">
      <c r="A384" s="13" t="s">
        <v>3213</v>
      </c>
      <c r="B384" s="6" t="s">
        <v>2114</v>
      </c>
      <c r="C384" s="5" t="s">
        <v>2115</v>
      </c>
      <c r="D384" s="5" t="s">
        <v>841</v>
      </c>
      <c r="E384" s="5" t="s">
        <v>3214</v>
      </c>
      <c r="F384" s="5" t="s">
        <v>3209</v>
      </c>
      <c r="G384" s="5" t="s">
        <v>1017</v>
      </c>
      <c r="H384" s="5" t="s">
        <v>3215</v>
      </c>
      <c r="I384" s="5" t="s">
        <v>3216</v>
      </c>
      <c r="J384" s="17" t="s">
        <v>121</v>
      </c>
      <c r="K384" s="17" t="s">
        <v>181</v>
      </c>
      <c r="L384" s="5" t="s">
        <v>3217</v>
      </c>
      <c r="M384" s="6" t="s">
        <v>197</v>
      </c>
      <c r="N384" s="6" t="s">
        <v>812</v>
      </c>
      <c r="O384" s="6" t="s">
        <v>121</v>
      </c>
      <c r="P384" s="5" t="s">
        <v>918</v>
      </c>
      <c r="Q384" s="17" t="s">
        <v>182</v>
      </c>
      <c r="R384" s="5"/>
      <c r="S384" s="6" t="s">
        <v>1038</v>
      </c>
      <c r="T384" s="5" t="s">
        <v>1039</v>
      </c>
      <c r="U384" s="6"/>
      <c r="V384" s="6" t="s">
        <v>921</v>
      </c>
      <c r="W384" s="6" t="s">
        <v>331</v>
      </c>
      <c r="X384" s="5" t="s">
        <v>922</v>
      </c>
      <c r="Y384" s="5" t="s">
        <v>812</v>
      </c>
      <c r="Z384" s="5" t="str">
        <f t="shared" si="10"/>
        <v>Medium</v>
      </c>
      <c r="AA384" s="5" t="s">
        <v>956</v>
      </c>
      <c r="AB384" s="6" t="s">
        <v>924</v>
      </c>
      <c r="AC384" s="6" t="s">
        <v>103</v>
      </c>
      <c r="AD384" s="5" t="s">
        <v>925</v>
      </c>
      <c r="AE384" s="5" t="s">
        <v>354</v>
      </c>
      <c r="AF384" s="5" t="s">
        <v>354</v>
      </c>
      <c r="AG384" s="5" t="s">
        <v>354</v>
      </c>
      <c r="AH384" s="5" t="s">
        <v>354</v>
      </c>
      <c r="AI384" s="6" t="str">
        <f t="shared" si="11"/>
        <v>No</v>
      </c>
      <c r="AJ384" s="6" t="s">
        <v>926</v>
      </c>
      <c r="AK384" s="6" t="s">
        <v>121</v>
      </c>
      <c r="AL384" s="6">
        <f>MATCH(AA384,{"Low","Medium","High"},0)*MATCH(AB384,{"Low","Medium","High"},0)*INDEX({3,2,2,1,1},MATCH(X384,{"Core","Vertical extension","Differentiator","Future","Adjacent"},0))</f>
        <v>6</v>
      </c>
      <c r="AM384" s="5"/>
      <c r="AN384" s="5"/>
      <c r="AO384" s="5"/>
      <c r="AP384" s="5"/>
      <c r="AQ384" s="5"/>
      <c r="AR384" s="5"/>
      <c r="AS384" s="5"/>
      <c r="AT384" s="5"/>
      <c r="AU384" s="6" t="s">
        <v>927</v>
      </c>
      <c r="AV384" s="6" t="s">
        <v>3133</v>
      </c>
      <c r="AW384" s="6" t="s">
        <v>3133</v>
      </c>
      <c r="AX384" s="6" t="s">
        <v>929</v>
      </c>
      <c r="AY384" s="6" t="s">
        <v>930</v>
      </c>
      <c r="AZ384" s="6"/>
      <c r="BA384" s="6" t="s">
        <v>3218</v>
      </c>
      <c r="BB384" s="6" t="s">
        <v>3219</v>
      </c>
      <c r="BC384" s="6" t="s">
        <v>97</v>
      </c>
      <c r="BD384" s="6" t="s">
        <v>97</v>
      </c>
    </row>
    <row r="385" spans="1:56" ht="32" customHeight="1" x14ac:dyDescent="0.35">
      <c r="A385" s="13" t="s">
        <v>3220</v>
      </c>
      <c r="B385" s="6" t="s">
        <v>2114</v>
      </c>
      <c r="C385" s="5" t="s">
        <v>2115</v>
      </c>
      <c r="D385" s="5" t="s">
        <v>841</v>
      </c>
      <c r="E385" s="5" t="s">
        <v>3221</v>
      </c>
      <c r="F385" s="5" t="s">
        <v>3222</v>
      </c>
      <c r="G385" s="5" t="s">
        <v>1017</v>
      </c>
      <c r="H385" s="5" t="s">
        <v>3223</v>
      </c>
      <c r="I385" s="5" t="s">
        <v>3224</v>
      </c>
      <c r="J385" s="17" t="s">
        <v>121</v>
      </c>
      <c r="K385" s="17" t="s">
        <v>181</v>
      </c>
      <c r="L385" s="5" t="s">
        <v>3225</v>
      </c>
      <c r="M385" s="6" t="s">
        <v>197</v>
      </c>
      <c r="N385" s="6" t="s">
        <v>812</v>
      </c>
      <c r="O385" s="6" t="s">
        <v>121</v>
      </c>
      <c r="P385" s="5" t="s">
        <v>918</v>
      </c>
      <c r="Q385" s="17" t="s">
        <v>182</v>
      </c>
      <c r="R385" s="5"/>
      <c r="S385" s="6" t="s">
        <v>1038</v>
      </c>
      <c r="T385" s="5" t="s">
        <v>1039</v>
      </c>
      <c r="U385" s="6"/>
      <c r="V385" s="6" t="s">
        <v>921</v>
      </c>
      <c r="W385" s="6" t="s">
        <v>331</v>
      </c>
      <c r="X385" s="5" t="s">
        <v>922</v>
      </c>
      <c r="Y385" s="5" t="s">
        <v>812</v>
      </c>
      <c r="Z385" s="5" t="str">
        <f t="shared" si="10"/>
        <v>Medium</v>
      </c>
      <c r="AA385" s="5" t="s">
        <v>956</v>
      </c>
      <c r="AB385" s="6" t="s">
        <v>924</v>
      </c>
      <c r="AC385" s="6" t="s">
        <v>103</v>
      </c>
      <c r="AD385" s="5" t="s">
        <v>925</v>
      </c>
      <c r="AE385" s="5" t="s">
        <v>354</v>
      </c>
      <c r="AF385" s="5" t="s">
        <v>354</v>
      </c>
      <c r="AG385" s="5" t="s">
        <v>354</v>
      </c>
      <c r="AH385" s="5" t="s">
        <v>354</v>
      </c>
      <c r="AI385" s="6" t="str">
        <f t="shared" si="11"/>
        <v>No</v>
      </c>
      <c r="AJ385" s="6" t="s">
        <v>926</v>
      </c>
      <c r="AK385" s="6" t="s">
        <v>121</v>
      </c>
      <c r="AL385" s="6">
        <f>MATCH(AA385,{"Low","Medium","High"},0)*MATCH(AB385,{"Low","Medium","High"},0)*INDEX({3,2,2,1,1},MATCH(X385,{"Core","Vertical extension","Differentiator","Future","Adjacent"},0))</f>
        <v>6</v>
      </c>
      <c r="AM385" s="5"/>
      <c r="AN385" s="5"/>
      <c r="AO385" s="5"/>
      <c r="AP385" s="5"/>
      <c r="AQ385" s="5"/>
      <c r="AR385" s="5"/>
      <c r="AS385" s="5"/>
      <c r="AT385" s="5"/>
      <c r="AU385" s="6" t="s">
        <v>927</v>
      </c>
      <c r="AV385" s="6" t="s">
        <v>1315</v>
      </c>
      <c r="AW385" s="6" t="s">
        <v>1315</v>
      </c>
      <c r="AX385" s="6" t="s">
        <v>929</v>
      </c>
      <c r="AY385" s="6" t="s">
        <v>930</v>
      </c>
      <c r="AZ385" s="6"/>
      <c r="BA385" s="6"/>
      <c r="BB385" s="6"/>
      <c r="BC385" s="6" t="s">
        <v>97</v>
      </c>
      <c r="BD385" s="6" t="s">
        <v>97</v>
      </c>
    </row>
    <row r="386" spans="1:56" ht="32" customHeight="1" x14ac:dyDescent="0.35">
      <c r="A386" s="13" t="s">
        <v>3226</v>
      </c>
      <c r="B386" s="6" t="s">
        <v>2114</v>
      </c>
      <c r="C386" s="5" t="s">
        <v>2115</v>
      </c>
      <c r="D386" s="5" t="s">
        <v>831</v>
      </c>
      <c r="E386" s="5" t="s">
        <v>3227</v>
      </c>
      <c r="F386" s="5" t="s">
        <v>3228</v>
      </c>
      <c r="G386" s="5" t="s">
        <v>3229</v>
      </c>
      <c r="H386" s="5" t="s">
        <v>3230</v>
      </c>
      <c r="I386" s="5" t="s">
        <v>3231</v>
      </c>
      <c r="J386" s="17" t="s">
        <v>121</v>
      </c>
      <c r="K386" s="17" t="s">
        <v>181</v>
      </c>
      <c r="L386" s="5" t="s">
        <v>3232</v>
      </c>
      <c r="M386" s="6" t="s">
        <v>197</v>
      </c>
      <c r="N386" s="6" t="s">
        <v>812</v>
      </c>
      <c r="O386" s="6" t="s">
        <v>121</v>
      </c>
      <c r="P386" s="5" t="s">
        <v>918</v>
      </c>
      <c r="Q386" s="17" t="s">
        <v>182</v>
      </c>
      <c r="R386" s="5"/>
      <c r="S386" s="6" t="s">
        <v>964</v>
      </c>
      <c r="T386" s="5" t="s">
        <v>965</v>
      </c>
      <c r="U386" s="6"/>
      <c r="V386" s="6" t="s">
        <v>966</v>
      </c>
      <c r="W386" s="6" t="s">
        <v>333</v>
      </c>
      <c r="X386" s="5" t="s">
        <v>922</v>
      </c>
      <c r="Y386" s="5" t="s">
        <v>812</v>
      </c>
      <c r="Z386" s="5" t="str">
        <f t="shared" ref="Z386:Z449" si="12">IF(AL386&gt;=18,"Critical",IF(AL386&gt;=9,"High",IF(AL386&gt;=4,"Medium","Low")))</f>
        <v>Medium</v>
      </c>
      <c r="AA386" s="5" t="s">
        <v>956</v>
      </c>
      <c r="AB386" s="6" t="s">
        <v>924</v>
      </c>
      <c r="AC386" s="6" t="s">
        <v>103</v>
      </c>
      <c r="AD386" s="5" t="s">
        <v>925</v>
      </c>
      <c r="AE386" s="5" t="s">
        <v>354</v>
      </c>
      <c r="AF386" s="5" t="s">
        <v>354</v>
      </c>
      <c r="AG386" s="5" t="s">
        <v>354</v>
      </c>
      <c r="AH386" s="5" t="s">
        <v>354</v>
      </c>
      <c r="AI386" s="6" t="str">
        <f t="shared" ref="AI386:AI449" si="13">IF(AND(AU386="Pass",AE386&lt;&gt;"Not verified",AF386&lt;&gt;"Not verified",AG386&lt;&gt;"Not verified",AH386&lt;&gt;"Not verified",BC386="Yes",BD386="Yes"),"Yes","No")</f>
        <v>No</v>
      </c>
      <c r="AJ386" s="6" t="s">
        <v>926</v>
      </c>
      <c r="AK386" s="6" t="s">
        <v>121</v>
      </c>
      <c r="AL386" s="6">
        <f>MATCH(AA386,{"Low","Medium","High"},0)*MATCH(AB386,{"Low","Medium","High"},0)*INDEX({3,2,2,1,1},MATCH(X386,{"Core","Vertical extension","Differentiator","Future","Adjacent"},0))</f>
        <v>6</v>
      </c>
      <c r="AM386" s="5"/>
      <c r="AN386" s="5"/>
      <c r="AO386" s="5"/>
      <c r="AP386" s="5"/>
      <c r="AQ386" s="5"/>
      <c r="AR386" s="5"/>
      <c r="AS386" s="5"/>
      <c r="AT386" s="5"/>
      <c r="AU386" s="6" t="s">
        <v>927</v>
      </c>
      <c r="AV386" s="6" t="s">
        <v>2161</v>
      </c>
      <c r="AW386" s="6" t="s">
        <v>2161</v>
      </c>
      <c r="AX386" s="6" t="s">
        <v>929</v>
      </c>
      <c r="AY386" s="6" t="s">
        <v>930</v>
      </c>
      <c r="AZ386" s="6"/>
      <c r="BA386" s="6"/>
      <c r="BB386" s="6"/>
      <c r="BC386" s="6" t="s">
        <v>97</v>
      </c>
      <c r="BD386" s="6" t="s">
        <v>97</v>
      </c>
    </row>
    <row r="387" spans="1:56" ht="32" customHeight="1" x14ac:dyDescent="0.35">
      <c r="A387" s="13" t="s">
        <v>3233</v>
      </c>
      <c r="B387" s="6" t="s">
        <v>2114</v>
      </c>
      <c r="C387" s="5" t="s">
        <v>2115</v>
      </c>
      <c r="D387" s="5" t="s">
        <v>831</v>
      </c>
      <c r="E387" s="5" t="s">
        <v>3234</v>
      </c>
      <c r="F387" s="5" t="s">
        <v>3228</v>
      </c>
      <c r="G387" s="5" t="s">
        <v>1344</v>
      </c>
      <c r="H387" s="5" t="s">
        <v>3235</v>
      </c>
      <c r="I387" s="5" t="s">
        <v>3236</v>
      </c>
      <c r="J387" s="17" t="s">
        <v>121</v>
      </c>
      <c r="K387" s="17" t="s">
        <v>181</v>
      </c>
      <c r="L387" s="5" t="s">
        <v>3237</v>
      </c>
      <c r="M387" s="6" t="s">
        <v>197</v>
      </c>
      <c r="N387" s="6" t="s">
        <v>812</v>
      </c>
      <c r="O387" s="6" t="s">
        <v>121</v>
      </c>
      <c r="P387" s="5" t="s">
        <v>918</v>
      </c>
      <c r="Q387" s="17" t="s">
        <v>182</v>
      </c>
      <c r="R387" s="5"/>
      <c r="S387" s="6" t="s">
        <v>964</v>
      </c>
      <c r="T387" s="5" t="s">
        <v>965</v>
      </c>
      <c r="U387" s="6"/>
      <c r="V387" s="6" t="s">
        <v>966</v>
      </c>
      <c r="W387" s="6" t="s">
        <v>333</v>
      </c>
      <c r="X387" s="5" t="s">
        <v>922</v>
      </c>
      <c r="Y387" s="5" t="s">
        <v>812</v>
      </c>
      <c r="Z387" s="5" t="str">
        <f t="shared" si="12"/>
        <v>Medium</v>
      </c>
      <c r="AA387" s="5" t="s">
        <v>956</v>
      </c>
      <c r="AB387" s="6" t="s">
        <v>924</v>
      </c>
      <c r="AC387" s="6" t="s">
        <v>103</v>
      </c>
      <c r="AD387" s="5" t="s">
        <v>925</v>
      </c>
      <c r="AE387" s="5" t="s">
        <v>354</v>
      </c>
      <c r="AF387" s="5" t="s">
        <v>354</v>
      </c>
      <c r="AG387" s="5" t="s">
        <v>354</v>
      </c>
      <c r="AH387" s="5" t="s">
        <v>354</v>
      </c>
      <c r="AI387" s="6" t="str">
        <f t="shared" si="13"/>
        <v>No</v>
      </c>
      <c r="AJ387" s="6" t="s">
        <v>926</v>
      </c>
      <c r="AK387" s="6" t="s">
        <v>121</v>
      </c>
      <c r="AL387" s="6">
        <f>MATCH(AA387,{"Low","Medium","High"},0)*MATCH(AB387,{"Low","Medium","High"},0)*INDEX({3,2,2,1,1},MATCH(X387,{"Core","Vertical extension","Differentiator","Future","Adjacent"},0))</f>
        <v>6</v>
      </c>
      <c r="AM387" s="5"/>
      <c r="AN387" s="5"/>
      <c r="AO387" s="5"/>
      <c r="AP387" s="5"/>
      <c r="AQ387" s="5"/>
      <c r="AR387" s="5"/>
      <c r="AS387" s="5"/>
      <c r="AT387" s="5"/>
      <c r="AU387" s="6" t="s">
        <v>927</v>
      </c>
      <c r="AV387" s="6" t="s">
        <v>2161</v>
      </c>
      <c r="AW387" s="6" t="s">
        <v>2161</v>
      </c>
      <c r="AX387" s="6" t="s">
        <v>929</v>
      </c>
      <c r="AY387" s="6" t="s">
        <v>930</v>
      </c>
      <c r="AZ387" s="6"/>
      <c r="BA387" s="6"/>
      <c r="BB387" s="6"/>
      <c r="BC387" s="6" t="s">
        <v>97</v>
      </c>
      <c r="BD387" s="6" t="s">
        <v>97</v>
      </c>
    </row>
    <row r="388" spans="1:56" ht="32" customHeight="1" x14ac:dyDescent="0.35">
      <c r="A388" s="13" t="s">
        <v>3238</v>
      </c>
      <c r="B388" s="6" t="s">
        <v>2114</v>
      </c>
      <c r="C388" s="5" t="s">
        <v>2115</v>
      </c>
      <c r="D388" s="5" t="s">
        <v>831</v>
      </c>
      <c r="E388" s="5" t="s">
        <v>3239</v>
      </c>
      <c r="F388" s="5" t="s">
        <v>3228</v>
      </c>
      <c r="G388" s="5" t="s">
        <v>1881</v>
      </c>
      <c r="H388" s="5" t="s">
        <v>3240</v>
      </c>
      <c r="I388" s="5" t="s">
        <v>3241</v>
      </c>
      <c r="J388" s="17" t="s">
        <v>121</v>
      </c>
      <c r="K388" s="17" t="s">
        <v>181</v>
      </c>
      <c r="L388" s="5" t="s">
        <v>3242</v>
      </c>
      <c r="M388" s="6" t="s">
        <v>197</v>
      </c>
      <c r="N388" s="6" t="s">
        <v>812</v>
      </c>
      <c r="O388" s="6" t="s">
        <v>121</v>
      </c>
      <c r="P388" s="5" t="s">
        <v>918</v>
      </c>
      <c r="Q388" s="17" t="s">
        <v>182</v>
      </c>
      <c r="R388" s="5"/>
      <c r="S388" s="6" t="s">
        <v>964</v>
      </c>
      <c r="T388" s="5" t="s">
        <v>965</v>
      </c>
      <c r="U388" s="6"/>
      <c r="V388" s="6" t="s">
        <v>966</v>
      </c>
      <c r="W388" s="6" t="s">
        <v>333</v>
      </c>
      <c r="X388" s="5" t="s">
        <v>922</v>
      </c>
      <c r="Y388" s="5" t="s">
        <v>812</v>
      </c>
      <c r="Z388" s="5" t="str">
        <f t="shared" si="12"/>
        <v>Medium</v>
      </c>
      <c r="AA388" s="5" t="s">
        <v>956</v>
      </c>
      <c r="AB388" s="6" t="s">
        <v>924</v>
      </c>
      <c r="AC388" s="6" t="s">
        <v>103</v>
      </c>
      <c r="AD388" s="5" t="s">
        <v>925</v>
      </c>
      <c r="AE388" s="5" t="s">
        <v>354</v>
      </c>
      <c r="AF388" s="5" t="s">
        <v>354</v>
      </c>
      <c r="AG388" s="5" t="s">
        <v>354</v>
      </c>
      <c r="AH388" s="5" t="s">
        <v>354</v>
      </c>
      <c r="AI388" s="6" t="str">
        <f t="shared" si="13"/>
        <v>No</v>
      </c>
      <c r="AJ388" s="6" t="s">
        <v>926</v>
      </c>
      <c r="AK388" s="6" t="s">
        <v>121</v>
      </c>
      <c r="AL388" s="6">
        <f>MATCH(AA388,{"Low","Medium","High"},0)*MATCH(AB388,{"Low","Medium","High"},0)*INDEX({3,2,2,1,1},MATCH(X388,{"Core","Vertical extension","Differentiator","Future","Adjacent"},0))</f>
        <v>6</v>
      </c>
      <c r="AM388" s="5"/>
      <c r="AN388" s="5"/>
      <c r="AO388" s="5"/>
      <c r="AP388" s="5"/>
      <c r="AQ388" s="5"/>
      <c r="AR388" s="5"/>
      <c r="AS388" s="5"/>
      <c r="AT388" s="5"/>
      <c r="AU388" s="6" t="s">
        <v>927</v>
      </c>
      <c r="AV388" s="6" t="s">
        <v>2161</v>
      </c>
      <c r="AW388" s="6" t="s">
        <v>2161</v>
      </c>
      <c r="AX388" s="6" t="s">
        <v>929</v>
      </c>
      <c r="AY388" s="6" t="s">
        <v>930</v>
      </c>
      <c r="AZ388" s="6"/>
      <c r="BA388" s="6"/>
      <c r="BB388" s="6"/>
      <c r="BC388" s="6" t="s">
        <v>97</v>
      </c>
      <c r="BD388" s="6" t="s">
        <v>97</v>
      </c>
    </row>
    <row r="389" spans="1:56" ht="32" customHeight="1" x14ac:dyDescent="0.35">
      <c r="A389" s="13" t="s">
        <v>3243</v>
      </c>
      <c r="B389" s="6" t="s">
        <v>2114</v>
      </c>
      <c r="C389" s="5" t="s">
        <v>2115</v>
      </c>
      <c r="D389" s="5" t="s">
        <v>831</v>
      </c>
      <c r="E389" s="5" t="s">
        <v>3244</v>
      </c>
      <c r="F389" s="5" t="s">
        <v>3228</v>
      </c>
      <c r="G389" s="5" t="s">
        <v>1452</v>
      </c>
      <c r="H389" s="5" t="s">
        <v>3245</v>
      </c>
      <c r="I389" s="5" t="s">
        <v>3246</v>
      </c>
      <c r="J389" s="17" t="s">
        <v>121</v>
      </c>
      <c r="K389" s="17" t="s">
        <v>181</v>
      </c>
      <c r="L389" s="5" t="s">
        <v>3247</v>
      </c>
      <c r="M389" s="6" t="s">
        <v>197</v>
      </c>
      <c r="N389" s="6" t="s">
        <v>812</v>
      </c>
      <c r="O389" s="6" t="s">
        <v>121</v>
      </c>
      <c r="P389" s="5" t="s">
        <v>918</v>
      </c>
      <c r="Q389" s="17" t="s">
        <v>182</v>
      </c>
      <c r="R389" s="5"/>
      <c r="S389" s="6" t="s">
        <v>964</v>
      </c>
      <c r="T389" s="5" t="s">
        <v>965</v>
      </c>
      <c r="U389" s="6"/>
      <c r="V389" s="6" t="s">
        <v>966</v>
      </c>
      <c r="W389" s="6" t="s">
        <v>333</v>
      </c>
      <c r="X389" s="5" t="s">
        <v>922</v>
      </c>
      <c r="Y389" s="5" t="s">
        <v>812</v>
      </c>
      <c r="Z389" s="5" t="str">
        <f t="shared" si="12"/>
        <v>Medium</v>
      </c>
      <c r="AA389" s="5" t="s">
        <v>956</v>
      </c>
      <c r="AB389" s="6" t="s">
        <v>924</v>
      </c>
      <c r="AC389" s="6" t="s">
        <v>103</v>
      </c>
      <c r="AD389" s="5" t="s">
        <v>925</v>
      </c>
      <c r="AE389" s="5" t="s">
        <v>354</v>
      </c>
      <c r="AF389" s="5" t="s">
        <v>354</v>
      </c>
      <c r="AG389" s="5" t="s">
        <v>354</v>
      </c>
      <c r="AH389" s="5" t="s">
        <v>354</v>
      </c>
      <c r="AI389" s="6" t="str">
        <f t="shared" si="13"/>
        <v>No</v>
      </c>
      <c r="AJ389" s="6" t="s">
        <v>926</v>
      </c>
      <c r="AK389" s="6" t="s">
        <v>121</v>
      </c>
      <c r="AL389" s="6">
        <f>MATCH(AA389,{"Low","Medium","High"},0)*MATCH(AB389,{"Low","Medium","High"},0)*INDEX({3,2,2,1,1},MATCH(X389,{"Core","Vertical extension","Differentiator","Future","Adjacent"},0))</f>
        <v>6</v>
      </c>
      <c r="AM389" s="5"/>
      <c r="AN389" s="5"/>
      <c r="AO389" s="5"/>
      <c r="AP389" s="5"/>
      <c r="AQ389" s="5"/>
      <c r="AR389" s="5"/>
      <c r="AS389" s="5"/>
      <c r="AT389" s="5"/>
      <c r="AU389" s="6" t="s">
        <v>927</v>
      </c>
      <c r="AV389" s="6" t="s">
        <v>2161</v>
      </c>
      <c r="AW389" s="6" t="s">
        <v>2161</v>
      </c>
      <c r="AX389" s="6" t="s">
        <v>929</v>
      </c>
      <c r="AY389" s="6" t="s">
        <v>930</v>
      </c>
      <c r="AZ389" s="6"/>
      <c r="BA389" s="6"/>
      <c r="BB389" s="6"/>
      <c r="BC389" s="6" t="s">
        <v>97</v>
      </c>
      <c r="BD389" s="6" t="s">
        <v>97</v>
      </c>
    </row>
    <row r="390" spans="1:56" ht="32" customHeight="1" x14ac:dyDescent="0.35">
      <c r="A390" s="13" t="s">
        <v>3248</v>
      </c>
      <c r="B390" s="6" t="s">
        <v>2114</v>
      </c>
      <c r="C390" s="5" t="s">
        <v>2115</v>
      </c>
      <c r="D390" s="5" t="s">
        <v>831</v>
      </c>
      <c r="E390" s="5" t="s">
        <v>3249</v>
      </c>
      <c r="F390" s="5" t="s">
        <v>3228</v>
      </c>
      <c r="G390" s="5" t="s">
        <v>1318</v>
      </c>
      <c r="H390" s="5" t="s">
        <v>3250</v>
      </c>
      <c r="I390" s="5" t="s">
        <v>3251</v>
      </c>
      <c r="J390" s="17" t="s">
        <v>121</v>
      </c>
      <c r="K390" s="17" t="s">
        <v>181</v>
      </c>
      <c r="L390" s="5" t="s">
        <v>3252</v>
      </c>
      <c r="M390" s="6" t="s">
        <v>197</v>
      </c>
      <c r="N390" s="6" t="s">
        <v>812</v>
      </c>
      <c r="O390" s="6" t="s">
        <v>121</v>
      </c>
      <c r="P390" s="5" t="s">
        <v>918</v>
      </c>
      <c r="Q390" s="17" t="s">
        <v>182</v>
      </c>
      <c r="R390" s="5"/>
      <c r="S390" s="6" t="s">
        <v>964</v>
      </c>
      <c r="T390" s="5" t="s">
        <v>965</v>
      </c>
      <c r="U390" s="6"/>
      <c r="V390" s="6" t="s">
        <v>966</v>
      </c>
      <c r="W390" s="6" t="s">
        <v>333</v>
      </c>
      <c r="X390" s="5" t="s">
        <v>922</v>
      </c>
      <c r="Y390" s="5" t="s">
        <v>812</v>
      </c>
      <c r="Z390" s="5" t="str">
        <f t="shared" si="12"/>
        <v>Medium</v>
      </c>
      <c r="AA390" s="5" t="s">
        <v>956</v>
      </c>
      <c r="AB390" s="6" t="s">
        <v>924</v>
      </c>
      <c r="AC390" s="6" t="s">
        <v>103</v>
      </c>
      <c r="AD390" s="5" t="s">
        <v>925</v>
      </c>
      <c r="AE390" s="5" t="s">
        <v>354</v>
      </c>
      <c r="AF390" s="5" t="s">
        <v>354</v>
      </c>
      <c r="AG390" s="5" t="s">
        <v>354</v>
      </c>
      <c r="AH390" s="5" t="s">
        <v>354</v>
      </c>
      <c r="AI390" s="6" t="str">
        <f t="shared" si="13"/>
        <v>No</v>
      </c>
      <c r="AJ390" s="6" t="s">
        <v>926</v>
      </c>
      <c r="AK390" s="6" t="s">
        <v>121</v>
      </c>
      <c r="AL390" s="6">
        <f>MATCH(AA390,{"Low","Medium","High"},0)*MATCH(AB390,{"Low","Medium","High"},0)*INDEX({3,2,2,1,1},MATCH(X390,{"Core","Vertical extension","Differentiator","Future","Adjacent"},0))</f>
        <v>6</v>
      </c>
      <c r="AM390" s="5"/>
      <c r="AN390" s="5"/>
      <c r="AO390" s="5"/>
      <c r="AP390" s="5"/>
      <c r="AQ390" s="5"/>
      <c r="AR390" s="5"/>
      <c r="AS390" s="5"/>
      <c r="AT390" s="5"/>
      <c r="AU390" s="6" t="s">
        <v>927</v>
      </c>
      <c r="AV390" s="6" t="s">
        <v>2161</v>
      </c>
      <c r="AW390" s="6" t="s">
        <v>2161</v>
      </c>
      <c r="AX390" s="6" t="s">
        <v>929</v>
      </c>
      <c r="AY390" s="6" t="s">
        <v>930</v>
      </c>
      <c r="AZ390" s="6"/>
      <c r="BA390" s="6"/>
      <c r="BB390" s="6"/>
      <c r="BC390" s="6" t="s">
        <v>97</v>
      </c>
      <c r="BD390" s="6" t="s">
        <v>97</v>
      </c>
    </row>
    <row r="391" spans="1:56" ht="32" customHeight="1" x14ac:dyDescent="0.35">
      <c r="A391" s="13" t="s">
        <v>3253</v>
      </c>
      <c r="B391" s="6" t="s">
        <v>2114</v>
      </c>
      <c r="C391" s="5" t="s">
        <v>2115</v>
      </c>
      <c r="D391" s="5" t="s">
        <v>831</v>
      </c>
      <c r="E391" s="5" t="s">
        <v>3254</v>
      </c>
      <c r="F391" s="5" t="s">
        <v>3228</v>
      </c>
      <c r="G391" s="5" t="s">
        <v>1858</v>
      </c>
      <c r="H391" s="5" t="s">
        <v>3255</v>
      </c>
      <c r="I391" s="5" t="s">
        <v>3256</v>
      </c>
      <c r="J391" s="17" t="s">
        <v>121</v>
      </c>
      <c r="K391" s="17" t="s">
        <v>181</v>
      </c>
      <c r="L391" s="5" t="s">
        <v>3257</v>
      </c>
      <c r="M391" s="6" t="s">
        <v>197</v>
      </c>
      <c r="N391" s="6" t="s">
        <v>812</v>
      </c>
      <c r="O391" s="6" t="s">
        <v>121</v>
      </c>
      <c r="P391" s="5" t="s">
        <v>918</v>
      </c>
      <c r="Q391" s="17" t="s">
        <v>182</v>
      </c>
      <c r="R391" s="5"/>
      <c r="S391" s="6" t="s">
        <v>964</v>
      </c>
      <c r="T391" s="5" t="s">
        <v>965</v>
      </c>
      <c r="U391" s="6"/>
      <c r="V391" s="6" t="s">
        <v>966</v>
      </c>
      <c r="W391" s="6" t="s">
        <v>333</v>
      </c>
      <c r="X391" s="5" t="s">
        <v>922</v>
      </c>
      <c r="Y391" s="5" t="s">
        <v>812</v>
      </c>
      <c r="Z391" s="5" t="str">
        <f t="shared" si="12"/>
        <v>Medium</v>
      </c>
      <c r="AA391" s="5" t="s">
        <v>956</v>
      </c>
      <c r="AB391" s="6" t="s">
        <v>924</v>
      </c>
      <c r="AC391" s="6" t="s">
        <v>103</v>
      </c>
      <c r="AD391" s="5" t="s">
        <v>925</v>
      </c>
      <c r="AE391" s="5" t="s">
        <v>354</v>
      </c>
      <c r="AF391" s="5" t="s">
        <v>354</v>
      </c>
      <c r="AG391" s="5" t="s">
        <v>354</v>
      </c>
      <c r="AH391" s="5" t="s">
        <v>354</v>
      </c>
      <c r="AI391" s="6" t="str">
        <f t="shared" si="13"/>
        <v>No</v>
      </c>
      <c r="AJ391" s="6" t="s">
        <v>926</v>
      </c>
      <c r="AK391" s="6" t="s">
        <v>121</v>
      </c>
      <c r="AL391" s="6">
        <f>MATCH(AA391,{"Low","Medium","High"},0)*MATCH(AB391,{"Low","Medium","High"},0)*INDEX({3,2,2,1,1},MATCH(X391,{"Core","Vertical extension","Differentiator","Future","Adjacent"},0))</f>
        <v>6</v>
      </c>
      <c r="AM391" s="5"/>
      <c r="AN391" s="5"/>
      <c r="AO391" s="5"/>
      <c r="AP391" s="5"/>
      <c r="AQ391" s="5"/>
      <c r="AR391" s="5"/>
      <c r="AS391" s="5"/>
      <c r="AT391" s="5"/>
      <c r="AU391" s="6" t="s">
        <v>927</v>
      </c>
      <c r="AV391" s="6" t="s">
        <v>2161</v>
      </c>
      <c r="AW391" s="6" t="s">
        <v>2161</v>
      </c>
      <c r="AX391" s="6" t="s">
        <v>929</v>
      </c>
      <c r="AY391" s="6" t="s">
        <v>930</v>
      </c>
      <c r="AZ391" s="6"/>
      <c r="BA391" s="6"/>
      <c r="BB391" s="6"/>
      <c r="BC391" s="6" t="s">
        <v>97</v>
      </c>
      <c r="BD391" s="6" t="s">
        <v>97</v>
      </c>
    </row>
    <row r="392" spans="1:56" ht="32" customHeight="1" x14ac:dyDescent="0.35">
      <c r="A392" s="13" t="s">
        <v>3258</v>
      </c>
      <c r="B392" s="6" t="s">
        <v>2114</v>
      </c>
      <c r="C392" s="5" t="s">
        <v>2115</v>
      </c>
      <c r="D392" s="5" t="s">
        <v>831</v>
      </c>
      <c r="E392" s="5" t="s">
        <v>3259</v>
      </c>
      <c r="F392" s="5" t="s">
        <v>3228</v>
      </c>
      <c r="G392" s="5" t="s">
        <v>1322</v>
      </c>
      <c r="H392" s="5" t="s">
        <v>3260</v>
      </c>
      <c r="I392" s="5" t="s">
        <v>3261</v>
      </c>
      <c r="J392" s="17" t="s">
        <v>121</v>
      </c>
      <c r="K392" s="17" t="s">
        <v>181</v>
      </c>
      <c r="L392" s="5" t="s">
        <v>3262</v>
      </c>
      <c r="M392" s="6" t="s">
        <v>197</v>
      </c>
      <c r="N392" s="6" t="s">
        <v>812</v>
      </c>
      <c r="O392" s="6" t="s">
        <v>121</v>
      </c>
      <c r="P392" s="5" t="s">
        <v>918</v>
      </c>
      <c r="Q392" s="17" t="s">
        <v>182</v>
      </c>
      <c r="R392" s="5"/>
      <c r="S392" s="6" t="s">
        <v>964</v>
      </c>
      <c r="T392" s="5" t="s">
        <v>965</v>
      </c>
      <c r="U392" s="6"/>
      <c r="V392" s="6" t="s">
        <v>966</v>
      </c>
      <c r="W392" s="6" t="s">
        <v>333</v>
      </c>
      <c r="X392" s="5" t="s">
        <v>922</v>
      </c>
      <c r="Y392" s="5" t="s">
        <v>812</v>
      </c>
      <c r="Z392" s="5" t="str">
        <f t="shared" si="12"/>
        <v>Medium</v>
      </c>
      <c r="AA392" s="5" t="s">
        <v>956</v>
      </c>
      <c r="AB392" s="6" t="s">
        <v>924</v>
      </c>
      <c r="AC392" s="6" t="s">
        <v>103</v>
      </c>
      <c r="AD392" s="5" t="s">
        <v>925</v>
      </c>
      <c r="AE392" s="5" t="s">
        <v>354</v>
      </c>
      <c r="AF392" s="5" t="s">
        <v>354</v>
      </c>
      <c r="AG392" s="5" t="s">
        <v>354</v>
      </c>
      <c r="AH392" s="5" t="s">
        <v>354</v>
      </c>
      <c r="AI392" s="6" t="str">
        <f t="shared" si="13"/>
        <v>No</v>
      </c>
      <c r="AJ392" s="6" t="s">
        <v>926</v>
      </c>
      <c r="AK392" s="6" t="s">
        <v>121</v>
      </c>
      <c r="AL392" s="6">
        <f>MATCH(AA392,{"Low","Medium","High"},0)*MATCH(AB392,{"Low","Medium","High"},0)*INDEX({3,2,2,1,1},MATCH(X392,{"Core","Vertical extension","Differentiator","Future","Adjacent"},0))</f>
        <v>6</v>
      </c>
      <c r="AM392" s="5"/>
      <c r="AN392" s="5"/>
      <c r="AO392" s="5"/>
      <c r="AP392" s="5"/>
      <c r="AQ392" s="5"/>
      <c r="AR392" s="5"/>
      <c r="AS392" s="5"/>
      <c r="AT392" s="5"/>
      <c r="AU392" s="6" t="s">
        <v>927</v>
      </c>
      <c r="AV392" s="6" t="s">
        <v>2161</v>
      </c>
      <c r="AW392" s="6" t="s">
        <v>2161</v>
      </c>
      <c r="AX392" s="6" t="s">
        <v>929</v>
      </c>
      <c r="AY392" s="6" t="s">
        <v>930</v>
      </c>
      <c r="AZ392" s="6"/>
      <c r="BA392" s="6"/>
      <c r="BB392" s="6"/>
      <c r="BC392" s="6" t="s">
        <v>97</v>
      </c>
      <c r="BD392" s="6" t="s">
        <v>97</v>
      </c>
    </row>
    <row r="393" spans="1:56" ht="32" customHeight="1" x14ac:dyDescent="0.35">
      <c r="A393" s="13" t="s">
        <v>3263</v>
      </c>
      <c r="B393" s="6" t="s">
        <v>2114</v>
      </c>
      <c r="C393" s="5" t="s">
        <v>2115</v>
      </c>
      <c r="D393" s="5" t="s">
        <v>831</v>
      </c>
      <c r="E393" s="5" t="s">
        <v>3264</v>
      </c>
      <c r="F393" s="5" t="s">
        <v>3265</v>
      </c>
      <c r="G393" s="5" t="s">
        <v>951</v>
      </c>
      <c r="H393" s="5" t="s">
        <v>3266</v>
      </c>
      <c r="I393" s="5" t="s">
        <v>3267</v>
      </c>
      <c r="J393" s="17" t="s">
        <v>121</v>
      </c>
      <c r="K393" s="17" t="s">
        <v>181</v>
      </c>
      <c r="L393" s="5" t="s">
        <v>3268</v>
      </c>
      <c r="M393" s="6" t="s">
        <v>197</v>
      </c>
      <c r="N393" s="6" t="s">
        <v>812</v>
      </c>
      <c r="O393" s="6" t="s">
        <v>121</v>
      </c>
      <c r="P393" s="5" t="s">
        <v>918</v>
      </c>
      <c r="Q393" s="17" t="s">
        <v>182</v>
      </c>
      <c r="R393" s="5"/>
      <c r="S393" s="6" t="s">
        <v>964</v>
      </c>
      <c r="T393" s="5" t="s">
        <v>965</v>
      </c>
      <c r="U393" s="6"/>
      <c r="V393" s="6" t="s">
        <v>966</v>
      </c>
      <c r="W393" s="6" t="s">
        <v>333</v>
      </c>
      <c r="X393" s="5" t="s">
        <v>922</v>
      </c>
      <c r="Y393" s="5" t="s">
        <v>812</v>
      </c>
      <c r="Z393" s="5" t="str">
        <f t="shared" si="12"/>
        <v>Medium</v>
      </c>
      <c r="AA393" s="5" t="s">
        <v>956</v>
      </c>
      <c r="AB393" s="6" t="s">
        <v>924</v>
      </c>
      <c r="AC393" s="6" t="s">
        <v>103</v>
      </c>
      <c r="AD393" s="5" t="s">
        <v>925</v>
      </c>
      <c r="AE393" s="5" t="s">
        <v>354</v>
      </c>
      <c r="AF393" s="5" t="s">
        <v>354</v>
      </c>
      <c r="AG393" s="5" t="s">
        <v>354</v>
      </c>
      <c r="AH393" s="5" t="s">
        <v>354</v>
      </c>
      <c r="AI393" s="6" t="str">
        <f t="shared" si="13"/>
        <v>No</v>
      </c>
      <c r="AJ393" s="6" t="s">
        <v>926</v>
      </c>
      <c r="AK393" s="6" t="s">
        <v>121</v>
      </c>
      <c r="AL393" s="6">
        <f>MATCH(AA393,{"Low","Medium","High"},0)*MATCH(AB393,{"Low","Medium","High"},0)*INDEX({3,2,2,1,1},MATCH(X393,{"Core","Vertical extension","Differentiator","Future","Adjacent"},0))</f>
        <v>6</v>
      </c>
      <c r="AM393" s="5"/>
      <c r="AN393" s="5"/>
      <c r="AO393" s="5"/>
      <c r="AP393" s="5"/>
      <c r="AQ393" s="5"/>
      <c r="AR393" s="5"/>
      <c r="AS393" s="5"/>
      <c r="AT393" s="5"/>
      <c r="AU393" s="6" t="s">
        <v>927</v>
      </c>
      <c r="AV393" s="6" t="s">
        <v>1322</v>
      </c>
      <c r="AW393" s="6" t="s">
        <v>1322</v>
      </c>
      <c r="AX393" s="6" t="s">
        <v>929</v>
      </c>
      <c r="AY393" s="6" t="s">
        <v>930</v>
      </c>
      <c r="AZ393" s="6"/>
      <c r="BA393" s="6"/>
      <c r="BB393" s="6"/>
      <c r="BC393" s="6" t="s">
        <v>97</v>
      </c>
      <c r="BD393" s="6" t="s">
        <v>97</v>
      </c>
    </row>
    <row r="394" spans="1:56" ht="32" customHeight="1" x14ac:dyDescent="0.35">
      <c r="A394" s="13" t="s">
        <v>3269</v>
      </c>
      <c r="B394" s="6" t="s">
        <v>2114</v>
      </c>
      <c r="C394" s="5" t="s">
        <v>2115</v>
      </c>
      <c r="D394" s="5" t="s">
        <v>831</v>
      </c>
      <c r="E394" s="5" t="s">
        <v>3270</v>
      </c>
      <c r="F394" s="5" t="s">
        <v>2766</v>
      </c>
      <c r="G394" s="5" t="s">
        <v>951</v>
      </c>
      <c r="H394" s="5" t="s">
        <v>3271</v>
      </c>
      <c r="I394" s="5" t="s">
        <v>3272</v>
      </c>
      <c r="J394" s="17" t="s">
        <v>121</v>
      </c>
      <c r="K394" s="17" t="s">
        <v>181</v>
      </c>
      <c r="L394" s="5" t="s">
        <v>3273</v>
      </c>
      <c r="M394" s="6" t="s">
        <v>197</v>
      </c>
      <c r="N394" s="6" t="s">
        <v>812</v>
      </c>
      <c r="O394" s="6" t="s">
        <v>121</v>
      </c>
      <c r="P394" s="5" t="s">
        <v>918</v>
      </c>
      <c r="Q394" s="17" t="s">
        <v>182</v>
      </c>
      <c r="R394" s="5"/>
      <c r="S394" s="6" t="s">
        <v>964</v>
      </c>
      <c r="T394" s="5" t="s">
        <v>965</v>
      </c>
      <c r="U394" s="6"/>
      <c r="V394" s="6" t="s">
        <v>966</v>
      </c>
      <c r="W394" s="6" t="s">
        <v>333</v>
      </c>
      <c r="X394" s="5" t="s">
        <v>922</v>
      </c>
      <c r="Y394" s="5" t="s">
        <v>812</v>
      </c>
      <c r="Z394" s="5" t="str">
        <f t="shared" si="12"/>
        <v>Medium</v>
      </c>
      <c r="AA394" s="5" t="s">
        <v>956</v>
      </c>
      <c r="AB394" s="6" t="s">
        <v>924</v>
      </c>
      <c r="AC394" s="6" t="s">
        <v>103</v>
      </c>
      <c r="AD394" s="5" t="s">
        <v>925</v>
      </c>
      <c r="AE394" s="5" t="s">
        <v>354</v>
      </c>
      <c r="AF394" s="5" t="s">
        <v>354</v>
      </c>
      <c r="AG394" s="5" t="s">
        <v>354</v>
      </c>
      <c r="AH394" s="5" t="s">
        <v>354</v>
      </c>
      <c r="AI394" s="6" t="str">
        <f t="shared" si="13"/>
        <v>No</v>
      </c>
      <c r="AJ394" s="6" t="s">
        <v>926</v>
      </c>
      <c r="AK394" s="6" t="s">
        <v>121</v>
      </c>
      <c r="AL394" s="6">
        <f>MATCH(AA394,{"Low","Medium","High"},0)*MATCH(AB394,{"Low","Medium","High"},0)*INDEX({3,2,2,1,1},MATCH(X394,{"Core","Vertical extension","Differentiator","Future","Adjacent"},0))</f>
        <v>6</v>
      </c>
      <c r="AM394" s="5"/>
      <c r="AN394" s="5"/>
      <c r="AO394" s="5"/>
      <c r="AP394" s="5"/>
      <c r="AQ394" s="5"/>
      <c r="AR394" s="5"/>
      <c r="AS394" s="5"/>
      <c r="AT394" s="5"/>
      <c r="AU394" s="6" t="s">
        <v>927</v>
      </c>
      <c r="AV394" s="6" t="s">
        <v>1322</v>
      </c>
      <c r="AW394" s="6" t="s">
        <v>1322</v>
      </c>
      <c r="AX394" s="6" t="s">
        <v>929</v>
      </c>
      <c r="AY394" s="6" t="s">
        <v>930</v>
      </c>
      <c r="AZ394" s="6"/>
      <c r="BA394" s="6"/>
      <c r="BB394" s="6"/>
      <c r="BC394" s="6" t="s">
        <v>97</v>
      </c>
      <c r="BD394" s="6" t="s">
        <v>97</v>
      </c>
    </row>
    <row r="395" spans="1:56" ht="32" customHeight="1" x14ac:dyDescent="0.35">
      <c r="A395" s="13" t="s">
        <v>3274</v>
      </c>
      <c r="B395" s="6" t="s">
        <v>2114</v>
      </c>
      <c r="C395" s="5" t="s">
        <v>2115</v>
      </c>
      <c r="D395" s="5" t="s">
        <v>831</v>
      </c>
      <c r="E395" s="5" t="s">
        <v>3275</v>
      </c>
      <c r="F395" s="5" t="s">
        <v>1767</v>
      </c>
      <c r="G395" s="5" t="s">
        <v>1310</v>
      </c>
      <c r="H395" s="5" t="s">
        <v>3276</v>
      </c>
      <c r="I395" s="5" t="s">
        <v>3277</v>
      </c>
      <c r="J395" s="17" t="s">
        <v>121</v>
      </c>
      <c r="K395" s="17" t="s">
        <v>181</v>
      </c>
      <c r="L395" s="5" t="s">
        <v>3278</v>
      </c>
      <c r="M395" s="6" t="s">
        <v>197</v>
      </c>
      <c r="N395" s="6" t="s">
        <v>812</v>
      </c>
      <c r="O395" s="6" t="s">
        <v>121</v>
      </c>
      <c r="P395" s="5" t="s">
        <v>918</v>
      </c>
      <c r="Q395" s="17" t="s">
        <v>182</v>
      </c>
      <c r="R395" s="5"/>
      <c r="S395" s="6" t="s">
        <v>964</v>
      </c>
      <c r="T395" s="5" t="s">
        <v>965</v>
      </c>
      <c r="U395" s="6"/>
      <c r="V395" s="6" t="s">
        <v>966</v>
      </c>
      <c r="W395" s="6" t="s">
        <v>333</v>
      </c>
      <c r="X395" s="5" t="s">
        <v>922</v>
      </c>
      <c r="Y395" s="5" t="s">
        <v>812</v>
      </c>
      <c r="Z395" s="5" t="str">
        <f t="shared" si="12"/>
        <v>Medium</v>
      </c>
      <c r="AA395" s="5" t="s">
        <v>956</v>
      </c>
      <c r="AB395" s="6" t="s">
        <v>924</v>
      </c>
      <c r="AC395" s="6" t="s">
        <v>103</v>
      </c>
      <c r="AD395" s="5" t="s">
        <v>925</v>
      </c>
      <c r="AE395" s="5" t="s">
        <v>354</v>
      </c>
      <c r="AF395" s="5" t="s">
        <v>354</v>
      </c>
      <c r="AG395" s="5" t="s">
        <v>354</v>
      </c>
      <c r="AH395" s="5" t="s">
        <v>354</v>
      </c>
      <c r="AI395" s="6" t="str">
        <f t="shared" si="13"/>
        <v>No</v>
      </c>
      <c r="AJ395" s="6" t="s">
        <v>926</v>
      </c>
      <c r="AK395" s="6" t="s">
        <v>121</v>
      </c>
      <c r="AL395" s="6">
        <f>MATCH(AA395,{"Low","Medium","High"},0)*MATCH(AB395,{"Low","Medium","High"},0)*INDEX({3,2,2,1,1},MATCH(X395,{"Core","Vertical extension","Differentiator","Future","Adjacent"},0))</f>
        <v>6</v>
      </c>
      <c r="AM395" s="5"/>
      <c r="AN395" s="5"/>
      <c r="AO395" s="5"/>
      <c r="AP395" s="5"/>
      <c r="AQ395" s="5"/>
      <c r="AR395" s="5"/>
      <c r="AS395" s="5"/>
      <c r="AT395" s="5"/>
      <c r="AU395" s="6" t="s">
        <v>927</v>
      </c>
      <c r="AV395" s="6" t="s">
        <v>1315</v>
      </c>
      <c r="AW395" s="6" t="s">
        <v>1315</v>
      </c>
      <c r="AX395" s="6" t="s">
        <v>929</v>
      </c>
      <c r="AY395" s="6" t="s">
        <v>930</v>
      </c>
      <c r="AZ395" s="6"/>
      <c r="BA395" s="6"/>
      <c r="BB395" s="6"/>
      <c r="BC395" s="6" t="s">
        <v>97</v>
      </c>
      <c r="BD395" s="6" t="s">
        <v>97</v>
      </c>
    </row>
    <row r="396" spans="1:56" ht="32" customHeight="1" x14ac:dyDescent="0.35">
      <c r="A396" s="13" t="s">
        <v>3279</v>
      </c>
      <c r="B396" s="6" t="s">
        <v>2114</v>
      </c>
      <c r="C396" s="5" t="s">
        <v>2115</v>
      </c>
      <c r="D396" s="5" t="s">
        <v>831</v>
      </c>
      <c r="E396" s="5" t="s">
        <v>3280</v>
      </c>
      <c r="F396" s="5" t="s">
        <v>1310</v>
      </c>
      <c r="G396" s="5" t="s">
        <v>1419</v>
      </c>
      <c r="H396" s="5" t="s">
        <v>3281</v>
      </c>
      <c r="I396" s="5" t="s">
        <v>3282</v>
      </c>
      <c r="J396" s="17" t="s">
        <v>121</v>
      </c>
      <c r="K396" s="17" t="s">
        <v>181</v>
      </c>
      <c r="L396" s="5" t="s">
        <v>3283</v>
      </c>
      <c r="M396" s="6" t="s">
        <v>197</v>
      </c>
      <c r="N396" s="6" t="s">
        <v>812</v>
      </c>
      <c r="O396" s="6" t="s">
        <v>121</v>
      </c>
      <c r="P396" s="5" t="s">
        <v>918</v>
      </c>
      <c r="Q396" s="17" t="s">
        <v>182</v>
      </c>
      <c r="R396" s="5"/>
      <c r="S396" s="6" t="s">
        <v>964</v>
      </c>
      <c r="T396" s="5" t="s">
        <v>965</v>
      </c>
      <c r="U396" s="6"/>
      <c r="V396" s="6" t="s">
        <v>966</v>
      </c>
      <c r="W396" s="6" t="s">
        <v>333</v>
      </c>
      <c r="X396" s="5" t="s">
        <v>922</v>
      </c>
      <c r="Y396" s="5" t="s">
        <v>812</v>
      </c>
      <c r="Z396" s="5" t="str">
        <f t="shared" si="12"/>
        <v>Medium</v>
      </c>
      <c r="AA396" s="5" t="s">
        <v>956</v>
      </c>
      <c r="AB396" s="6" t="s">
        <v>924</v>
      </c>
      <c r="AC396" s="6" t="s">
        <v>103</v>
      </c>
      <c r="AD396" s="5" t="s">
        <v>925</v>
      </c>
      <c r="AE396" s="5" t="s">
        <v>354</v>
      </c>
      <c r="AF396" s="5" t="s">
        <v>354</v>
      </c>
      <c r="AG396" s="5" t="s">
        <v>354</v>
      </c>
      <c r="AH396" s="5" t="s">
        <v>354</v>
      </c>
      <c r="AI396" s="6" t="str">
        <f t="shared" si="13"/>
        <v>No</v>
      </c>
      <c r="AJ396" s="6" t="s">
        <v>926</v>
      </c>
      <c r="AK396" s="6" t="s">
        <v>121</v>
      </c>
      <c r="AL396" s="6">
        <f>MATCH(AA396,{"Low","Medium","High"},0)*MATCH(AB396,{"Low","Medium","High"},0)*INDEX({3,2,2,1,1},MATCH(X396,{"Core","Vertical extension","Differentiator","Future","Adjacent"},0))</f>
        <v>6</v>
      </c>
      <c r="AM396" s="5"/>
      <c r="AN396" s="5"/>
      <c r="AO396" s="5"/>
      <c r="AP396" s="5"/>
      <c r="AQ396" s="5"/>
      <c r="AR396" s="5"/>
      <c r="AS396" s="5"/>
      <c r="AT396" s="5"/>
      <c r="AU396" s="6" t="s">
        <v>927</v>
      </c>
      <c r="AV396" s="6" t="s">
        <v>1315</v>
      </c>
      <c r="AW396" s="6" t="s">
        <v>1315</v>
      </c>
      <c r="AX396" s="6" t="s">
        <v>929</v>
      </c>
      <c r="AY396" s="6" t="s">
        <v>930</v>
      </c>
      <c r="AZ396" s="6"/>
      <c r="BA396" s="6"/>
      <c r="BB396" s="6"/>
      <c r="BC396" s="6" t="s">
        <v>97</v>
      </c>
      <c r="BD396" s="6" t="s">
        <v>97</v>
      </c>
    </row>
    <row r="397" spans="1:56" ht="32" customHeight="1" x14ac:dyDescent="0.35">
      <c r="A397" s="13" t="s">
        <v>3284</v>
      </c>
      <c r="B397" s="6" t="s">
        <v>2114</v>
      </c>
      <c r="C397" s="5" t="s">
        <v>2115</v>
      </c>
      <c r="D397" s="5" t="s">
        <v>831</v>
      </c>
      <c r="E397" s="5" t="s">
        <v>3285</v>
      </c>
      <c r="F397" s="5" t="s">
        <v>1322</v>
      </c>
      <c r="G397" s="5" t="s">
        <v>3286</v>
      </c>
      <c r="H397" s="5" t="s">
        <v>3287</v>
      </c>
      <c r="I397" s="5" t="s">
        <v>3288</v>
      </c>
      <c r="J397" s="17" t="s">
        <v>121</v>
      </c>
      <c r="K397" s="17" t="s">
        <v>181</v>
      </c>
      <c r="L397" s="5" t="s">
        <v>3289</v>
      </c>
      <c r="M397" s="6" t="s">
        <v>197</v>
      </c>
      <c r="N397" s="6" t="s">
        <v>812</v>
      </c>
      <c r="O397" s="6" t="s">
        <v>121</v>
      </c>
      <c r="P397" s="5" t="s">
        <v>918</v>
      </c>
      <c r="Q397" s="17" t="s">
        <v>182</v>
      </c>
      <c r="R397" s="5"/>
      <c r="S397" s="6" t="s">
        <v>964</v>
      </c>
      <c r="T397" s="5" t="s">
        <v>965</v>
      </c>
      <c r="U397" s="6"/>
      <c r="V397" s="6" t="s">
        <v>966</v>
      </c>
      <c r="W397" s="6" t="s">
        <v>333</v>
      </c>
      <c r="X397" s="5" t="s">
        <v>922</v>
      </c>
      <c r="Y397" s="5" t="s">
        <v>812</v>
      </c>
      <c r="Z397" s="5" t="str">
        <f t="shared" si="12"/>
        <v>Medium</v>
      </c>
      <c r="AA397" s="5" t="s">
        <v>956</v>
      </c>
      <c r="AB397" s="6" t="s">
        <v>924</v>
      </c>
      <c r="AC397" s="6" t="s">
        <v>103</v>
      </c>
      <c r="AD397" s="5" t="s">
        <v>925</v>
      </c>
      <c r="AE397" s="5" t="s">
        <v>354</v>
      </c>
      <c r="AF397" s="5" t="s">
        <v>354</v>
      </c>
      <c r="AG397" s="5" t="s">
        <v>354</v>
      </c>
      <c r="AH397" s="5" t="s">
        <v>354</v>
      </c>
      <c r="AI397" s="6" t="str">
        <f t="shared" si="13"/>
        <v>No</v>
      </c>
      <c r="AJ397" s="6" t="s">
        <v>926</v>
      </c>
      <c r="AK397" s="6" t="s">
        <v>121</v>
      </c>
      <c r="AL397" s="6">
        <f>MATCH(AA397,{"Low","Medium","High"},0)*MATCH(AB397,{"Low","Medium","High"},0)*INDEX({3,2,2,1,1},MATCH(X397,{"Core","Vertical extension","Differentiator","Future","Adjacent"},0))</f>
        <v>6</v>
      </c>
      <c r="AM397" s="5"/>
      <c r="AN397" s="5"/>
      <c r="AO397" s="5"/>
      <c r="AP397" s="5"/>
      <c r="AQ397" s="5"/>
      <c r="AR397" s="5"/>
      <c r="AS397" s="5"/>
      <c r="AT397" s="5"/>
      <c r="AU397" s="6" t="s">
        <v>927</v>
      </c>
      <c r="AV397" s="6" t="s">
        <v>1322</v>
      </c>
      <c r="AW397" s="6" t="s">
        <v>1322</v>
      </c>
      <c r="AX397" s="6" t="s">
        <v>929</v>
      </c>
      <c r="AY397" s="6" t="s">
        <v>930</v>
      </c>
      <c r="AZ397" s="6"/>
      <c r="BA397" s="6"/>
      <c r="BB397" s="6"/>
      <c r="BC397" s="6" t="s">
        <v>97</v>
      </c>
      <c r="BD397" s="6" t="s">
        <v>97</v>
      </c>
    </row>
    <row r="398" spans="1:56" ht="32" customHeight="1" x14ac:dyDescent="0.35">
      <c r="A398" s="13" t="s">
        <v>3290</v>
      </c>
      <c r="B398" s="6" t="s">
        <v>2114</v>
      </c>
      <c r="C398" s="5" t="s">
        <v>2115</v>
      </c>
      <c r="D398" s="5" t="s">
        <v>831</v>
      </c>
      <c r="E398" s="5" t="s">
        <v>3291</v>
      </c>
      <c r="F398" s="5" t="s">
        <v>1534</v>
      </c>
      <c r="G398" s="5" t="s">
        <v>1505</v>
      </c>
      <c r="H398" s="5" t="s">
        <v>3292</v>
      </c>
      <c r="I398" s="5" t="s">
        <v>3293</v>
      </c>
      <c r="J398" s="17" t="s">
        <v>121</v>
      </c>
      <c r="K398" s="17" t="s">
        <v>181</v>
      </c>
      <c r="L398" s="5" t="s">
        <v>3294</v>
      </c>
      <c r="M398" s="6" t="s">
        <v>197</v>
      </c>
      <c r="N398" s="6" t="s">
        <v>812</v>
      </c>
      <c r="O398" s="6" t="s">
        <v>121</v>
      </c>
      <c r="P398" s="5" t="s">
        <v>918</v>
      </c>
      <c r="Q398" s="17" t="s">
        <v>182</v>
      </c>
      <c r="R398" s="5"/>
      <c r="S398" s="6" t="s">
        <v>964</v>
      </c>
      <c r="T398" s="5" t="s">
        <v>965</v>
      </c>
      <c r="U398" s="6"/>
      <c r="V398" s="6" t="s">
        <v>966</v>
      </c>
      <c r="W398" s="6" t="s">
        <v>333</v>
      </c>
      <c r="X398" s="5" t="s">
        <v>922</v>
      </c>
      <c r="Y398" s="5" t="s">
        <v>812</v>
      </c>
      <c r="Z398" s="5" t="str">
        <f t="shared" si="12"/>
        <v>Medium</v>
      </c>
      <c r="AA398" s="5" t="s">
        <v>956</v>
      </c>
      <c r="AB398" s="6" t="s">
        <v>924</v>
      </c>
      <c r="AC398" s="6" t="s">
        <v>103</v>
      </c>
      <c r="AD398" s="5" t="s">
        <v>925</v>
      </c>
      <c r="AE398" s="5" t="s">
        <v>354</v>
      </c>
      <c r="AF398" s="5" t="s">
        <v>354</v>
      </c>
      <c r="AG398" s="5" t="s">
        <v>354</v>
      </c>
      <c r="AH398" s="5" t="s">
        <v>354</v>
      </c>
      <c r="AI398" s="6" t="str">
        <f t="shared" si="13"/>
        <v>No</v>
      </c>
      <c r="AJ398" s="6" t="s">
        <v>926</v>
      </c>
      <c r="AK398" s="6" t="s">
        <v>121</v>
      </c>
      <c r="AL398" s="6">
        <f>MATCH(AA398,{"Low","Medium","High"},0)*MATCH(AB398,{"Low","Medium","High"},0)*INDEX({3,2,2,1,1},MATCH(X398,{"Core","Vertical extension","Differentiator","Future","Adjacent"},0))</f>
        <v>6</v>
      </c>
      <c r="AM398" s="5"/>
      <c r="AN398" s="5"/>
      <c r="AO398" s="5"/>
      <c r="AP398" s="5"/>
      <c r="AQ398" s="5"/>
      <c r="AR398" s="5"/>
      <c r="AS398" s="5"/>
      <c r="AT398" s="5"/>
      <c r="AU398" s="6" t="s">
        <v>927</v>
      </c>
      <c r="AV398" s="6" t="s">
        <v>1534</v>
      </c>
      <c r="AW398" s="6" t="s">
        <v>1534</v>
      </c>
      <c r="AX398" s="6" t="s">
        <v>929</v>
      </c>
      <c r="AY398" s="6" t="s">
        <v>930</v>
      </c>
      <c r="AZ398" s="6"/>
      <c r="BA398" s="6"/>
      <c r="BB398" s="6"/>
      <c r="BC398" s="6" t="s">
        <v>97</v>
      </c>
      <c r="BD398" s="6" t="s">
        <v>97</v>
      </c>
    </row>
    <row r="399" spans="1:56" ht="32" customHeight="1" x14ac:dyDescent="0.35">
      <c r="A399" s="13" t="s">
        <v>3295</v>
      </c>
      <c r="B399" s="6" t="s">
        <v>2114</v>
      </c>
      <c r="C399" s="5" t="s">
        <v>2115</v>
      </c>
      <c r="D399" s="5" t="s">
        <v>831</v>
      </c>
      <c r="E399" s="5" t="s">
        <v>3296</v>
      </c>
      <c r="F399" s="5" t="s">
        <v>1380</v>
      </c>
      <c r="G399" s="5" t="s">
        <v>1768</v>
      </c>
      <c r="H399" s="5" t="s">
        <v>3297</v>
      </c>
      <c r="I399" s="5" t="s">
        <v>3298</v>
      </c>
      <c r="J399" s="17" t="s">
        <v>121</v>
      </c>
      <c r="K399" s="17" t="s">
        <v>181</v>
      </c>
      <c r="L399" s="5" t="s">
        <v>3299</v>
      </c>
      <c r="M399" s="6" t="s">
        <v>197</v>
      </c>
      <c r="N399" s="6" t="s">
        <v>812</v>
      </c>
      <c r="O399" s="6" t="s">
        <v>121</v>
      </c>
      <c r="P399" s="5" t="s">
        <v>918</v>
      </c>
      <c r="Q399" s="17" t="s">
        <v>182</v>
      </c>
      <c r="R399" s="5"/>
      <c r="S399" s="6" t="s">
        <v>964</v>
      </c>
      <c r="T399" s="5" t="s">
        <v>965</v>
      </c>
      <c r="U399" s="6"/>
      <c r="V399" s="6" t="s">
        <v>966</v>
      </c>
      <c r="W399" s="6" t="s">
        <v>333</v>
      </c>
      <c r="X399" s="5" t="s">
        <v>922</v>
      </c>
      <c r="Y399" s="5" t="s">
        <v>812</v>
      </c>
      <c r="Z399" s="5" t="str">
        <f t="shared" si="12"/>
        <v>Medium</v>
      </c>
      <c r="AA399" s="5" t="s">
        <v>956</v>
      </c>
      <c r="AB399" s="6" t="s">
        <v>924</v>
      </c>
      <c r="AC399" s="6" t="s">
        <v>103</v>
      </c>
      <c r="AD399" s="5" t="s">
        <v>925</v>
      </c>
      <c r="AE399" s="5" t="s">
        <v>354</v>
      </c>
      <c r="AF399" s="5" t="s">
        <v>354</v>
      </c>
      <c r="AG399" s="5" t="s">
        <v>354</v>
      </c>
      <c r="AH399" s="5" t="s">
        <v>354</v>
      </c>
      <c r="AI399" s="6" t="str">
        <f t="shared" si="13"/>
        <v>No</v>
      </c>
      <c r="AJ399" s="6" t="s">
        <v>926</v>
      </c>
      <c r="AK399" s="6" t="s">
        <v>121</v>
      </c>
      <c r="AL399" s="6">
        <f>MATCH(AA399,{"Low","Medium","High"},0)*MATCH(AB399,{"Low","Medium","High"},0)*INDEX({3,2,2,1,1},MATCH(X399,{"Core","Vertical extension","Differentiator","Future","Adjacent"},0))</f>
        <v>6</v>
      </c>
      <c r="AM399" s="5"/>
      <c r="AN399" s="5"/>
      <c r="AO399" s="5"/>
      <c r="AP399" s="5"/>
      <c r="AQ399" s="5"/>
      <c r="AR399" s="5"/>
      <c r="AS399" s="5"/>
      <c r="AT399" s="5"/>
      <c r="AU399" s="6" t="s">
        <v>927</v>
      </c>
      <c r="AV399" s="6" t="s">
        <v>1322</v>
      </c>
      <c r="AW399" s="6" t="s">
        <v>1322</v>
      </c>
      <c r="AX399" s="6" t="s">
        <v>929</v>
      </c>
      <c r="AY399" s="6" t="s">
        <v>930</v>
      </c>
      <c r="AZ399" s="6"/>
      <c r="BA399" s="6"/>
      <c r="BB399" s="6"/>
      <c r="BC399" s="6" t="s">
        <v>97</v>
      </c>
      <c r="BD399" s="6" t="s">
        <v>97</v>
      </c>
    </row>
    <row r="400" spans="1:56" ht="32" customHeight="1" x14ac:dyDescent="0.35">
      <c r="A400" s="13" t="s">
        <v>3300</v>
      </c>
      <c r="B400" s="6" t="s">
        <v>2114</v>
      </c>
      <c r="C400" s="5" t="s">
        <v>2115</v>
      </c>
      <c r="D400" s="5" t="s">
        <v>831</v>
      </c>
      <c r="E400" s="5" t="s">
        <v>3301</v>
      </c>
      <c r="F400" s="5" t="s">
        <v>1386</v>
      </c>
      <c r="G400" s="5" t="s">
        <v>951</v>
      </c>
      <c r="H400" s="5" t="s">
        <v>3302</v>
      </c>
      <c r="I400" s="5" t="s">
        <v>3303</v>
      </c>
      <c r="J400" s="17" t="s">
        <v>121</v>
      </c>
      <c r="K400" s="17" t="s">
        <v>181</v>
      </c>
      <c r="L400" s="5" t="s">
        <v>3304</v>
      </c>
      <c r="M400" s="6" t="s">
        <v>197</v>
      </c>
      <c r="N400" s="6" t="s">
        <v>812</v>
      </c>
      <c r="O400" s="6" t="s">
        <v>121</v>
      </c>
      <c r="P400" s="5" t="s">
        <v>918</v>
      </c>
      <c r="Q400" s="17" t="s">
        <v>182</v>
      </c>
      <c r="R400" s="5"/>
      <c r="S400" s="6" t="s">
        <v>964</v>
      </c>
      <c r="T400" s="5" t="s">
        <v>965</v>
      </c>
      <c r="U400" s="6"/>
      <c r="V400" s="6" t="s">
        <v>966</v>
      </c>
      <c r="W400" s="6" t="s">
        <v>333</v>
      </c>
      <c r="X400" s="5" t="s">
        <v>922</v>
      </c>
      <c r="Y400" s="5" t="s">
        <v>812</v>
      </c>
      <c r="Z400" s="5" t="str">
        <f t="shared" si="12"/>
        <v>Medium</v>
      </c>
      <c r="AA400" s="5" t="s">
        <v>956</v>
      </c>
      <c r="AB400" s="6" t="s">
        <v>924</v>
      </c>
      <c r="AC400" s="6" t="s">
        <v>103</v>
      </c>
      <c r="AD400" s="5" t="s">
        <v>925</v>
      </c>
      <c r="AE400" s="5" t="s">
        <v>354</v>
      </c>
      <c r="AF400" s="5" t="s">
        <v>354</v>
      </c>
      <c r="AG400" s="5" t="s">
        <v>354</v>
      </c>
      <c r="AH400" s="5" t="s">
        <v>354</v>
      </c>
      <c r="AI400" s="6" t="str">
        <f t="shared" si="13"/>
        <v>No</v>
      </c>
      <c r="AJ400" s="6" t="s">
        <v>926</v>
      </c>
      <c r="AK400" s="6" t="s">
        <v>121</v>
      </c>
      <c r="AL400" s="6">
        <f>MATCH(AA400,{"Low","Medium","High"},0)*MATCH(AB400,{"Low","Medium","High"},0)*INDEX({3,2,2,1,1},MATCH(X400,{"Core","Vertical extension","Differentiator","Future","Adjacent"},0))</f>
        <v>6</v>
      </c>
      <c r="AM400" s="5"/>
      <c r="AN400" s="5"/>
      <c r="AO400" s="5"/>
      <c r="AP400" s="5"/>
      <c r="AQ400" s="5"/>
      <c r="AR400" s="5"/>
      <c r="AS400" s="5"/>
      <c r="AT400" s="5"/>
      <c r="AU400" s="6" t="s">
        <v>927</v>
      </c>
      <c r="AV400" s="6" t="s">
        <v>1390</v>
      </c>
      <c r="AW400" s="6" t="s">
        <v>1390</v>
      </c>
      <c r="AX400" s="6" t="s">
        <v>929</v>
      </c>
      <c r="AY400" s="6" t="s">
        <v>930</v>
      </c>
      <c r="AZ400" s="6"/>
      <c r="BA400" s="6"/>
      <c r="BB400" s="6"/>
      <c r="BC400" s="6" t="s">
        <v>97</v>
      </c>
      <c r="BD400" s="6" t="s">
        <v>97</v>
      </c>
    </row>
    <row r="401" spans="1:56" ht="32" customHeight="1" x14ac:dyDescent="0.35">
      <c r="A401" s="13" t="s">
        <v>3305</v>
      </c>
      <c r="B401" s="6" t="s">
        <v>2114</v>
      </c>
      <c r="C401" s="5" t="s">
        <v>2115</v>
      </c>
      <c r="D401" s="5" t="s">
        <v>831</v>
      </c>
      <c r="E401" s="5" t="s">
        <v>3306</v>
      </c>
      <c r="F401" s="5" t="s">
        <v>3307</v>
      </c>
      <c r="G401" s="5" t="s">
        <v>3308</v>
      </c>
      <c r="H401" s="5" t="s">
        <v>3309</v>
      </c>
      <c r="I401" s="5" t="s">
        <v>3310</v>
      </c>
      <c r="J401" s="17" t="s">
        <v>121</v>
      </c>
      <c r="K401" s="17" t="s">
        <v>181</v>
      </c>
      <c r="L401" s="5" t="s">
        <v>3311</v>
      </c>
      <c r="M401" s="6" t="s">
        <v>197</v>
      </c>
      <c r="N401" s="6" t="s">
        <v>812</v>
      </c>
      <c r="O401" s="6" t="s">
        <v>121</v>
      </c>
      <c r="P401" s="5" t="s">
        <v>918</v>
      </c>
      <c r="Q401" s="17" t="s">
        <v>182</v>
      </c>
      <c r="R401" s="5"/>
      <c r="S401" s="6" t="s">
        <v>964</v>
      </c>
      <c r="T401" s="5" t="s">
        <v>965</v>
      </c>
      <c r="U401" s="6"/>
      <c r="V401" s="6" t="s">
        <v>966</v>
      </c>
      <c r="W401" s="6" t="s">
        <v>333</v>
      </c>
      <c r="X401" s="5" t="s">
        <v>922</v>
      </c>
      <c r="Y401" s="5" t="s">
        <v>812</v>
      </c>
      <c r="Z401" s="5" t="str">
        <f t="shared" si="12"/>
        <v>Medium</v>
      </c>
      <c r="AA401" s="5" t="s">
        <v>956</v>
      </c>
      <c r="AB401" s="6" t="s">
        <v>924</v>
      </c>
      <c r="AC401" s="6" t="s">
        <v>103</v>
      </c>
      <c r="AD401" s="5" t="s">
        <v>925</v>
      </c>
      <c r="AE401" s="5" t="s">
        <v>354</v>
      </c>
      <c r="AF401" s="5" t="s">
        <v>354</v>
      </c>
      <c r="AG401" s="5" t="s">
        <v>354</v>
      </c>
      <c r="AH401" s="5" t="s">
        <v>354</v>
      </c>
      <c r="AI401" s="6" t="str">
        <f t="shared" si="13"/>
        <v>No</v>
      </c>
      <c r="AJ401" s="6" t="s">
        <v>926</v>
      </c>
      <c r="AK401" s="6" t="s">
        <v>121</v>
      </c>
      <c r="AL401" s="6">
        <f>MATCH(AA401,{"Low","Medium","High"},0)*MATCH(AB401,{"Low","Medium","High"},0)*INDEX({3,2,2,1,1},MATCH(X401,{"Core","Vertical extension","Differentiator","Future","Adjacent"},0))</f>
        <v>6</v>
      </c>
      <c r="AM401" s="5"/>
      <c r="AN401" s="5"/>
      <c r="AO401" s="5"/>
      <c r="AP401" s="5"/>
      <c r="AQ401" s="5"/>
      <c r="AR401" s="5"/>
      <c r="AS401" s="5"/>
      <c r="AT401" s="5"/>
      <c r="AU401" s="6" t="s">
        <v>927</v>
      </c>
      <c r="AV401" s="6" t="s">
        <v>1322</v>
      </c>
      <c r="AW401" s="6" t="s">
        <v>1322</v>
      </c>
      <c r="AX401" s="6" t="s">
        <v>929</v>
      </c>
      <c r="AY401" s="6" t="s">
        <v>930</v>
      </c>
      <c r="AZ401" s="6"/>
      <c r="BA401" s="6"/>
      <c r="BB401" s="6"/>
      <c r="BC401" s="6" t="s">
        <v>97</v>
      </c>
      <c r="BD401" s="6" t="s">
        <v>97</v>
      </c>
    </row>
    <row r="402" spans="1:56" ht="32" customHeight="1" x14ac:dyDescent="0.35">
      <c r="A402" s="13" t="s">
        <v>3312</v>
      </c>
      <c r="B402" s="6" t="s">
        <v>2114</v>
      </c>
      <c r="C402" s="5" t="s">
        <v>2115</v>
      </c>
      <c r="D402" s="5" t="s">
        <v>831</v>
      </c>
      <c r="E402" s="5" t="s">
        <v>3313</v>
      </c>
      <c r="F402" s="5" t="s">
        <v>3314</v>
      </c>
      <c r="G402" s="5" t="s">
        <v>3053</v>
      </c>
      <c r="H402" s="5" t="s">
        <v>3315</v>
      </c>
      <c r="I402" s="5" t="s">
        <v>3316</v>
      </c>
      <c r="J402" s="17" t="s">
        <v>121</v>
      </c>
      <c r="K402" s="17" t="s">
        <v>181</v>
      </c>
      <c r="L402" s="5" t="s">
        <v>3317</v>
      </c>
      <c r="M402" s="6" t="s">
        <v>197</v>
      </c>
      <c r="N402" s="6" t="s">
        <v>812</v>
      </c>
      <c r="O402" s="6" t="s">
        <v>121</v>
      </c>
      <c r="P402" s="5" t="s">
        <v>918</v>
      </c>
      <c r="Q402" s="17" t="s">
        <v>182</v>
      </c>
      <c r="R402" s="5"/>
      <c r="S402" s="6" t="s">
        <v>964</v>
      </c>
      <c r="T402" s="5" t="s">
        <v>965</v>
      </c>
      <c r="U402" s="6"/>
      <c r="V402" s="6" t="s">
        <v>966</v>
      </c>
      <c r="W402" s="6" t="s">
        <v>333</v>
      </c>
      <c r="X402" s="5" t="s">
        <v>922</v>
      </c>
      <c r="Y402" s="5" t="s">
        <v>812</v>
      </c>
      <c r="Z402" s="5" t="str">
        <f t="shared" si="12"/>
        <v>Medium</v>
      </c>
      <c r="AA402" s="5" t="s">
        <v>956</v>
      </c>
      <c r="AB402" s="6" t="s">
        <v>924</v>
      </c>
      <c r="AC402" s="6" t="s">
        <v>103</v>
      </c>
      <c r="AD402" s="5" t="s">
        <v>925</v>
      </c>
      <c r="AE402" s="5" t="s">
        <v>354</v>
      </c>
      <c r="AF402" s="5" t="s">
        <v>354</v>
      </c>
      <c r="AG402" s="5" t="s">
        <v>354</v>
      </c>
      <c r="AH402" s="5" t="s">
        <v>354</v>
      </c>
      <c r="AI402" s="6" t="str">
        <f t="shared" si="13"/>
        <v>No</v>
      </c>
      <c r="AJ402" s="6" t="s">
        <v>926</v>
      </c>
      <c r="AK402" s="6" t="s">
        <v>121</v>
      </c>
      <c r="AL402" s="6">
        <f>MATCH(AA402,{"Low","Medium","High"},0)*MATCH(AB402,{"Low","Medium","High"},0)*INDEX({3,2,2,1,1},MATCH(X402,{"Core","Vertical extension","Differentiator","Future","Adjacent"},0))</f>
        <v>6</v>
      </c>
      <c r="AM402" s="5"/>
      <c r="AN402" s="5"/>
      <c r="AO402" s="5"/>
      <c r="AP402" s="5"/>
      <c r="AQ402" s="5"/>
      <c r="AR402" s="5"/>
      <c r="AS402" s="5"/>
      <c r="AT402" s="5"/>
      <c r="AU402" s="6" t="s">
        <v>927</v>
      </c>
      <c r="AV402" s="6" t="s">
        <v>1322</v>
      </c>
      <c r="AW402" s="6" t="s">
        <v>1322</v>
      </c>
      <c r="AX402" s="6" t="s">
        <v>929</v>
      </c>
      <c r="AY402" s="6" t="s">
        <v>930</v>
      </c>
      <c r="AZ402" s="6"/>
      <c r="BA402" s="6"/>
      <c r="BB402" s="6"/>
      <c r="BC402" s="6" t="s">
        <v>97</v>
      </c>
      <c r="BD402" s="6" t="s">
        <v>97</v>
      </c>
    </row>
    <row r="403" spans="1:56" ht="32" customHeight="1" x14ac:dyDescent="0.35">
      <c r="A403" s="13" t="s">
        <v>3318</v>
      </c>
      <c r="B403" s="6" t="s">
        <v>2114</v>
      </c>
      <c r="C403" s="5" t="s">
        <v>2115</v>
      </c>
      <c r="D403" s="5" t="s">
        <v>831</v>
      </c>
      <c r="E403" s="5" t="s">
        <v>3319</v>
      </c>
      <c r="F403" s="5" t="s">
        <v>3320</v>
      </c>
      <c r="G403" s="5" t="s">
        <v>3321</v>
      </c>
      <c r="H403" s="5" t="s">
        <v>3322</v>
      </c>
      <c r="I403" s="5" t="s">
        <v>3323</v>
      </c>
      <c r="J403" s="17" t="s">
        <v>121</v>
      </c>
      <c r="K403" s="17" t="s">
        <v>181</v>
      </c>
      <c r="L403" s="5" t="s">
        <v>3324</v>
      </c>
      <c r="M403" s="6" t="s">
        <v>197</v>
      </c>
      <c r="N403" s="6" t="s">
        <v>812</v>
      </c>
      <c r="O403" s="6" t="s">
        <v>121</v>
      </c>
      <c r="P403" s="5" t="s">
        <v>918</v>
      </c>
      <c r="Q403" s="17" t="s">
        <v>182</v>
      </c>
      <c r="R403" s="5"/>
      <c r="S403" s="6" t="s">
        <v>964</v>
      </c>
      <c r="T403" s="5" t="s">
        <v>965</v>
      </c>
      <c r="U403" s="6"/>
      <c r="V403" s="6" t="s">
        <v>966</v>
      </c>
      <c r="W403" s="6" t="s">
        <v>333</v>
      </c>
      <c r="X403" s="5" t="s">
        <v>922</v>
      </c>
      <c r="Y403" s="5" t="s">
        <v>812</v>
      </c>
      <c r="Z403" s="5" t="str">
        <f t="shared" si="12"/>
        <v>Medium</v>
      </c>
      <c r="AA403" s="5" t="s">
        <v>956</v>
      </c>
      <c r="AB403" s="6" t="s">
        <v>924</v>
      </c>
      <c r="AC403" s="6" t="s">
        <v>103</v>
      </c>
      <c r="AD403" s="5" t="s">
        <v>925</v>
      </c>
      <c r="AE403" s="5" t="s">
        <v>354</v>
      </c>
      <c r="AF403" s="5" t="s">
        <v>354</v>
      </c>
      <c r="AG403" s="5" t="s">
        <v>354</v>
      </c>
      <c r="AH403" s="5" t="s">
        <v>354</v>
      </c>
      <c r="AI403" s="6" t="str">
        <f t="shared" si="13"/>
        <v>No</v>
      </c>
      <c r="AJ403" s="6" t="s">
        <v>926</v>
      </c>
      <c r="AK403" s="6" t="s">
        <v>121</v>
      </c>
      <c r="AL403" s="6">
        <f>MATCH(AA403,{"Low","Medium","High"},0)*MATCH(AB403,{"Low","Medium","High"},0)*INDEX({3,2,2,1,1},MATCH(X403,{"Core","Vertical extension","Differentiator","Future","Adjacent"},0))</f>
        <v>6</v>
      </c>
      <c r="AM403" s="5"/>
      <c r="AN403" s="5"/>
      <c r="AO403" s="5"/>
      <c r="AP403" s="5"/>
      <c r="AQ403" s="5"/>
      <c r="AR403" s="5"/>
      <c r="AS403" s="5"/>
      <c r="AT403" s="5"/>
      <c r="AU403" s="6" t="s">
        <v>927</v>
      </c>
      <c r="AV403" s="6" t="s">
        <v>1322</v>
      </c>
      <c r="AW403" s="6" t="s">
        <v>1322</v>
      </c>
      <c r="AX403" s="6" t="s">
        <v>929</v>
      </c>
      <c r="AY403" s="6" t="s">
        <v>930</v>
      </c>
      <c r="AZ403" s="6"/>
      <c r="BA403" s="6"/>
      <c r="BB403" s="6"/>
      <c r="BC403" s="6" t="s">
        <v>97</v>
      </c>
      <c r="BD403" s="6" t="s">
        <v>97</v>
      </c>
    </row>
    <row r="404" spans="1:56" ht="32" customHeight="1" x14ac:dyDescent="0.35">
      <c r="A404" s="13" t="s">
        <v>3325</v>
      </c>
      <c r="B404" s="6" t="s">
        <v>2114</v>
      </c>
      <c r="C404" s="5" t="s">
        <v>2115</v>
      </c>
      <c r="D404" s="5" t="s">
        <v>831</v>
      </c>
      <c r="E404" s="5" t="s">
        <v>3326</v>
      </c>
      <c r="F404" s="5" t="s">
        <v>3327</v>
      </c>
      <c r="G404" s="5" t="s">
        <v>3321</v>
      </c>
      <c r="H404" s="5" t="s">
        <v>3328</v>
      </c>
      <c r="I404" s="5" t="s">
        <v>3329</v>
      </c>
      <c r="J404" s="17" t="s">
        <v>121</v>
      </c>
      <c r="K404" s="17" t="s">
        <v>181</v>
      </c>
      <c r="L404" s="5" t="s">
        <v>3330</v>
      </c>
      <c r="M404" s="6" t="s">
        <v>197</v>
      </c>
      <c r="N404" s="6" t="s">
        <v>812</v>
      </c>
      <c r="O404" s="6" t="s">
        <v>121</v>
      </c>
      <c r="P404" s="5" t="s">
        <v>918</v>
      </c>
      <c r="Q404" s="17" t="s">
        <v>182</v>
      </c>
      <c r="R404" s="5"/>
      <c r="S404" s="6" t="s">
        <v>964</v>
      </c>
      <c r="T404" s="5" t="s">
        <v>965</v>
      </c>
      <c r="U404" s="6"/>
      <c r="V404" s="6" t="s">
        <v>966</v>
      </c>
      <c r="W404" s="6" t="s">
        <v>333</v>
      </c>
      <c r="X404" s="5" t="s">
        <v>922</v>
      </c>
      <c r="Y404" s="5" t="s">
        <v>812</v>
      </c>
      <c r="Z404" s="5" t="str">
        <f t="shared" si="12"/>
        <v>Medium</v>
      </c>
      <c r="AA404" s="5" t="s">
        <v>956</v>
      </c>
      <c r="AB404" s="6" t="s">
        <v>924</v>
      </c>
      <c r="AC404" s="6" t="s">
        <v>103</v>
      </c>
      <c r="AD404" s="5" t="s">
        <v>925</v>
      </c>
      <c r="AE404" s="5" t="s">
        <v>354</v>
      </c>
      <c r="AF404" s="5" t="s">
        <v>354</v>
      </c>
      <c r="AG404" s="5" t="s">
        <v>354</v>
      </c>
      <c r="AH404" s="5" t="s">
        <v>354</v>
      </c>
      <c r="AI404" s="6" t="str">
        <f t="shared" si="13"/>
        <v>No</v>
      </c>
      <c r="AJ404" s="6" t="s">
        <v>926</v>
      </c>
      <c r="AK404" s="6" t="s">
        <v>121</v>
      </c>
      <c r="AL404" s="6">
        <f>MATCH(AA404,{"Low","Medium","High"},0)*MATCH(AB404,{"Low","Medium","High"},0)*INDEX({3,2,2,1,1},MATCH(X404,{"Core","Vertical extension","Differentiator","Future","Adjacent"},0))</f>
        <v>6</v>
      </c>
      <c r="AM404" s="5"/>
      <c r="AN404" s="5"/>
      <c r="AO404" s="5"/>
      <c r="AP404" s="5"/>
      <c r="AQ404" s="5"/>
      <c r="AR404" s="5"/>
      <c r="AS404" s="5"/>
      <c r="AT404" s="5"/>
      <c r="AU404" s="6" t="s">
        <v>927</v>
      </c>
      <c r="AV404" s="6" t="s">
        <v>1322</v>
      </c>
      <c r="AW404" s="6" t="s">
        <v>1322</v>
      </c>
      <c r="AX404" s="6" t="s">
        <v>929</v>
      </c>
      <c r="AY404" s="6" t="s">
        <v>930</v>
      </c>
      <c r="AZ404" s="6"/>
      <c r="BA404" s="6"/>
      <c r="BB404" s="6"/>
      <c r="BC404" s="6" t="s">
        <v>97</v>
      </c>
      <c r="BD404" s="6" t="s">
        <v>97</v>
      </c>
    </row>
    <row r="405" spans="1:56" ht="32" customHeight="1" x14ac:dyDescent="0.35">
      <c r="A405" s="13" t="s">
        <v>3331</v>
      </c>
      <c r="B405" s="6" t="s">
        <v>2114</v>
      </c>
      <c r="C405" s="5" t="s">
        <v>2115</v>
      </c>
      <c r="D405" s="5" t="s">
        <v>831</v>
      </c>
      <c r="E405" s="5" t="s">
        <v>3332</v>
      </c>
      <c r="F405" s="5" t="s">
        <v>3333</v>
      </c>
      <c r="G405" s="5" t="s">
        <v>3334</v>
      </c>
      <c r="H405" s="5" t="s">
        <v>3335</v>
      </c>
      <c r="I405" s="5" t="s">
        <v>3336</v>
      </c>
      <c r="J405" s="17" t="s">
        <v>121</v>
      </c>
      <c r="K405" s="17" t="s">
        <v>181</v>
      </c>
      <c r="L405" s="5" t="s">
        <v>3337</v>
      </c>
      <c r="M405" s="6" t="s">
        <v>197</v>
      </c>
      <c r="N405" s="6" t="s">
        <v>812</v>
      </c>
      <c r="O405" s="6" t="s">
        <v>121</v>
      </c>
      <c r="P405" s="5" t="s">
        <v>918</v>
      </c>
      <c r="Q405" s="17" t="s">
        <v>182</v>
      </c>
      <c r="R405" s="5"/>
      <c r="S405" s="6" t="s">
        <v>964</v>
      </c>
      <c r="T405" s="5" t="s">
        <v>965</v>
      </c>
      <c r="U405" s="6"/>
      <c r="V405" s="6" t="s">
        <v>966</v>
      </c>
      <c r="W405" s="6" t="s">
        <v>333</v>
      </c>
      <c r="X405" s="5" t="s">
        <v>922</v>
      </c>
      <c r="Y405" s="5" t="s">
        <v>812</v>
      </c>
      <c r="Z405" s="5" t="str">
        <f t="shared" si="12"/>
        <v>Medium</v>
      </c>
      <c r="AA405" s="5" t="s">
        <v>956</v>
      </c>
      <c r="AB405" s="6" t="s">
        <v>924</v>
      </c>
      <c r="AC405" s="6" t="s">
        <v>103</v>
      </c>
      <c r="AD405" s="5" t="s">
        <v>925</v>
      </c>
      <c r="AE405" s="5" t="s">
        <v>354</v>
      </c>
      <c r="AF405" s="5" t="s">
        <v>354</v>
      </c>
      <c r="AG405" s="5" t="s">
        <v>354</v>
      </c>
      <c r="AH405" s="5" t="s">
        <v>354</v>
      </c>
      <c r="AI405" s="6" t="str">
        <f t="shared" si="13"/>
        <v>No</v>
      </c>
      <c r="AJ405" s="6" t="s">
        <v>926</v>
      </c>
      <c r="AK405" s="6" t="s">
        <v>121</v>
      </c>
      <c r="AL405" s="6">
        <f>MATCH(AA405,{"Low","Medium","High"},0)*MATCH(AB405,{"Low","Medium","High"},0)*INDEX({3,2,2,1,1},MATCH(X405,{"Core","Vertical extension","Differentiator","Future","Adjacent"},0))</f>
        <v>6</v>
      </c>
      <c r="AM405" s="5"/>
      <c r="AN405" s="5"/>
      <c r="AO405" s="5"/>
      <c r="AP405" s="5"/>
      <c r="AQ405" s="5"/>
      <c r="AR405" s="5"/>
      <c r="AS405" s="5"/>
      <c r="AT405" s="5"/>
      <c r="AU405" s="6" t="s">
        <v>927</v>
      </c>
      <c r="AV405" s="6" t="s">
        <v>1322</v>
      </c>
      <c r="AW405" s="6" t="s">
        <v>1322</v>
      </c>
      <c r="AX405" s="6" t="s">
        <v>929</v>
      </c>
      <c r="AY405" s="6" t="s">
        <v>930</v>
      </c>
      <c r="AZ405" s="6"/>
      <c r="BA405" s="6"/>
      <c r="BB405" s="6"/>
      <c r="BC405" s="6" t="s">
        <v>97</v>
      </c>
      <c r="BD405" s="6" t="s">
        <v>97</v>
      </c>
    </row>
    <row r="406" spans="1:56" ht="32" customHeight="1" x14ac:dyDescent="0.35">
      <c r="A406" s="13" t="s">
        <v>3338</v>
      </c>
      <c r="B406" s="6" t="s">
        <v>2114</v>
      </c>
      <c r="C406" s="5" t="s">
        <v>2115</v>
      </c>
      <c r="D406" s="5" t="s">
        <v>831</v>
      </c>
      <c r="E406" s="5" t="s">
        <v>3339</v>
      </c>
      <c r="F406" s="5" t="s">
        <v>3327</v>
      </c>
      <c r="G406" s="5" t="s">
        <v>3321</v>
      </c>
      <c r="H406" s="5" t="s">
        <v>3340</v>
      </c>
      <c r="I406" s="5" t="s">
        <v>3341</v>
      </c>
      <c r="J406" s="17" t="s">
        <v>121</v>
      </c>
      <c r="K406" s="17" t="s">
        <v>181</v>
      </c>
      <c r="L406" s="5" t="s">
        <v>3342</v>
      </c>
      <c r="M406" s="6" t="s">
        <v>197</v>
      </c>
      <c r="N406" s="6" t="s">
        <v>812</v>
      </c>
      <c r="O406" s="6" t="s">
        <v>121</v>
      </c>
      <c r="P406" s="5" t="s">
        <v>918</v>
      </c>
      <c r="Q406" s="17" t="s">
        <v>182</v>
      </c>
      <c r="R406" s="5"/>
      <c r="S406" s="6" t="s">
        <v>964</v>
      </c>
      <c r="T406" s="5" t="s">
        <v>965</v>
      </c>
      <c r="U406" s="6"/>
      <c r="V406" s="6" t="s">
        <v>966</v>
      </c>
      <c r="W406" s="6" t="s">
        <v>333</v>
      </c>
      <c r="X406" s="5" t="s">
        <v>922</v>
      </c>
      <c r="Y406" s="5" t="s">
        <v>812</v>
      </c>
      <c r="Z406" s="5" t="str">
        <f t="shared" si="12"/>
        <v>Medium</v>
      </c>
      <c r="AA406" s="5" t="s">
        <v>956</v>
      </c>
      <c r="AB406" s="6" t="s">
        <v>924</v>
      </c>
      <c r="AC406" s="6" t="s">
        <v>103</v>
      </c>
      <c r="AD406" s="5" t="s">
        <v>925</v>
      </c>
      <c r="AE406" s="5" t="s">
        <v>354</v>
      </c>
      <c r="AF406" s="5" t="s">
        <v>354</v>
      </c>
      <c r="AG406" s="5" t="s">
        <v>354</v>
      </c>
      <c r="AH406" s="5" t="s">
        <v>354</v>
      </c>
      <c r="AI406" s="6" t="str">
        <f t="shared" si="13"/>
        <v>No</v>
      </c>
      <c r="AJ406" s="6" t="s">
        <v>926</v>
      </c>
      <c r="AK406" s="6" t="s">
        <v>121</v>
      </c>
      <c r="AL406" s="6">
        <f>MATCH(AA406,{"Low","Medium","High"},0)*MATCH(AB406,{"Low","Medium","High"},0)*INDEX({3,2,2,1,1},MATCH(X406,{"Core","Vertical extension","Differentiator","Future","Adjacent"},0))</f>
        <v>6</v>
      </c>
      <c r="AM406" s="5"/>
      <c r="AN406" s="5"/>
      <c r="AO406" s="5"/>
      <c r="AP406" s="5"/>
      <c r="AQ406" s="5"/>
      <c r="AR406" s="5"/>
      <c r="AS406" s="5"/>
      <c r="AT406" s="5"/>
      <c r="AU406" s="6" t="s">
        <v>927</v>
      </c>
      <c r="AV406" s="6" t="s">
        <v>1322</v>
      </c>
      <c r="AW406" s="6" t="s">
        <v>1322</v>
      </c>
      <c r="AX406" s="6" t="s">
        <v>929</v>
      </c>
      <c r="AY406" s="6" t="s">
        <v>930</v>
      </c>
      <c r="AZ406" s="6"/>
      <c r="BA406" s="6"/>
      <c r="BB406" s="6"/>
      <c r="BC406" s="6" t="s">
        <v>97</v>
      </c>
      <c r="BD406" s="6" t="s">
        <v>97</v>
      </c>
    </row>
    <row r="407" spans="1:56" ht="32" customHeight="1" x14ac:dyDescent="0.35">
      <c r="A407" s="13" t="s">
        <v>3343</v>
      </c>
      <c r="B407" s="6" t="s">
        <v>2114</v>
      </c>
      <c r="C407" s="5" t="s">
        <v>2115</v>
      </c>
      <c r="D407" s="5" t="s">
        <v>831</v>
      </c>
      <c r="E407" s="5" t="s">
        <v>3344</v>
      </c>
      <c r="F407" s="5" t="s">
        <v>1322</v>
      </c>
      <c r="G407" s="5" t="s">
        <v>459</v>
      </c>
      <c r="H407" s="5" t="s">
        <v>3345</v>
      </c>
      <c r="I407" s="5" t="s">
        <v>3346</v>
      </c>
      <c r="J407" s="17" t="s">
        <v>121</v>
      </c>
      <c r="K407" s="17" t="s">
        <v>181</v>
      </c>
      <c r="L407" s="5" t="s">
        <v>3347</v>
      </c>
      <c r="M407" s="6" t="s">
        <v>197</v>
      </c>
      <c r="N407" s="6" t="s">
        <v>812</v>
      </c>
      <c r="O407" s="6" t="s">
        <v>121</v>
      </c>
      <c r="P407" s="5" t="s">
        <v>918</v>
      </c>
      <c r="Q407" s="17" t="s">
        <v>182</v>
      </c>
      <c r="R407" s="5"/>
      <c r="S407" s="6" t="s">
        <v>964</v>
      </c>
      <c r="T407" s="5" t="s">
        <v>965</v>
      </c>
      <c r="U407" s="6"/>
      <c r="V407" s="6" t="s">
        <v>966</v>
      </c>
      <c r="W407" s="6" t="s">
        <v>333</v>
      </c>
      <c r="X407" s="5" t="s">
        <v>922</v>
      </c>
      <c r="Y407" s="5" t="s">
        <v>812</v>
      </c>
      <c r="Z407" s="5" t="str">
        <f t="shared" si="12"/>
        <v>Medium</v>
      </c>
      <c r="AA407" s="5" t="s">
        <v>956</v>
      </c>
      <c r="AB407" s="6" t="s">
        <v>924</v>
      </c>
      <c r="AC407" s="6" t="s">
        <v>103</v>
      </c>
      <c r="AD407" s="5" t="s">
        <v>925</v>
      </c>
      <c r="AE407" s="5" t="s">
        <v>354</v>
      </c>
      <c r="AF407" s="5" t="s">
        <v>354</v>
      </c>
      <c r="AG407" s="5" t="s">
        <v>354</v>
      </c>
      <c r="AH407" s="5" t="s">
        <v>354</v>
      </c>
      <c r="AI407" s="6" t="str">
        <f t="shared" si="13"/>
        <v>No</v>
      </c>
      <c r="AJ407" s="6" t="s">
        <v>926</v>
      </c>
      <c r="AK407" s="6" t="s">
        <v>121</v>
      </c>
      <c r="AL407" s="6">
        <f>MATCH(AA407,{"Low","Medium","High"},0)*MATCH(AB407,{"Low","Medium","High"},0)*INDEX({3,2,2,1,1},MATCH(X407,{"Core","Vertical extension","Differentiator","Future","Adjacent"},0))</f>
        <v>6</v>
      </c>
      <c r="AM407" s="5"/>
      <c r="AN407" s="5"/>
      <c r="AO407" s="5"/>
      <c r="AP407" s="5"/>
      <c r="AQ407" s="5"/>
      <c r="AR407" s="5"/>
      <c r="AS407" s="5"/>
      <c r="AT407" s="5"/>
      <c r="AU407" s="6" t="s">
        <v>927</v>
      </c>
      <c r="AV407" s="6" t="s">
        <v>1322</v>
      </c>
      <c r="AW407" s="6" t="s">
        <v>1322</v>
      </c>
      <c r="AX407" s="6" t="s">
        <v>929</v>
      </c>
      <c r="AY407" s="6" t="s">
        <v>930</v>
      </c>
      <c r="AZ407" s="6"/>
      <c r="BA407" s="6"/>
      <c r="BB407" s="6"/>
      <c r="BC407" s="6" t="s">
        <v>97</v>
      </c>
      <c r="BD407" s="6" t="s">
        <v>97</v>
      </c>
    </row>
    <row r="408" spans="1:56" ht="32" customHeight="1" x14ac:dyDescent="0.35">
      <c r="A408" s="13" t="s">
        <v>3348</v>
      </c>
      <c r="B408" s="6" t="s">
        <v>2114</v>
      </c>
      <c r="C408" s="5" t="s">
        <v>2115</v>
      </c>
      <c r="D408" s="5" t="s">
        <v>838</v>
      </c>
      <c r="E408" s="5" t="s">
        <v>3349</v>
      </c>
      <c r="F408" s="5" t="s">
        <v>3350</v>
      </c>
      <c r="G408" s="5" t="s">
        <v>3351</v>
      </c>
      <c r="H408" s="5" t="s">
        <v>3352</v>
      </c>
      <c r="I408" s="5" t="s">
        <v>3353</v>
      </c>
      <c r="J408" s="17" t="s">
        <v>121</v>
      </c>
      <c r="K408" s="17" t="s">
        <v>181</v>
      </c>
      <c r="L408" s="5" t="s">
        <v>3354</v>
      </c>
      <c r="M408" s="6" t="s">
        <v>197</v>
      </c>
      <c r="N408" s="6" t="s">
        <v>812</v>
      </c>
      <c r="O408" s="6" t="s">
        <v>121</v>
      </c>
      <c r="P408" s="5" t="s">
        <v>918</v>
      </c>
      <c r="Q408" s="17" t="s">
        <v>182</v>
      </c>
      <c r="R408" s="5"/>
      <c r="S408" s="6" t="s">
        <v>990</v>
      </c>
      <c r="T408" s="5" t="s">
        <v>991</v>
      </c>
      <c r="U408" s="6"/>
      <c r="V408" s="6" t="s">
        <v>992</v>
      </c>
      <c r="W408" s="6" t="s">
        <v>337</v>
      </c>
      <c r="X408" s="5" t="s">
        <v>922</v>
      </c>
      <c r="Y408" s="5" t="s">
        <v>812</v>
      </c>
      <c r="Z408" s="5" t="str">
        <f t="shared" si="12"/>
        <v>Medium</v>
      </c>
      <c r="AA408" s="5" t="s">
        <v>956</v>
      </c>
      <c r="AB408" s="6" t="s">
        <v>924</v>
      </c>
      <c r="AC408" s="6" t="s">
        <v>11</v>
      </c>
      <c r="AD408" s="5" t="s">
        <v>925</v>
      </c>
      <c r="AE408" s="5" t="s">
        <v>354</v>
      </c>
      <c r="AF408" s="5" t="s">
        <v>354</v>
      </c>
      <c r="AG408" s="5" t="s">
        <v>354</v>
      </c>
      <c r="AH408" s="5" t="s">
        <v>354</v>
      </c>
      <c r="AI408" s="6" t="str">
        <f t="shared" si="13"/>
        <v>No</v>
      </c>
      <c r="AJ408" s="6" t="s">
        <v>926</v>
      </c>
      <c r="AK408" s="6" t="s">
        <v>151</v>
      </c>
      <c r="AL408" s="6">
        <f>MATCH(AA408,{"Low","Medium","High"},0)*MATCH(AB408,{"Low","Medium","High"},0)*INDEX({3,2,2,1,1},MATCH(X408,{"Core","Vertical extension","Differentiator","Future","Adjacent"},0))</f>
        <v>6</v>
      </c>
      <c r="AM408" s="5"/>
      <c r="AN408" s="5"/>
      <c r="AO408" s="5"/>
      <c r="AP408" s="5"/>
      <c r="AQ408" s="5"/>
      <c r="AR408" s="5"/>
      <c r="AS408" s="5"/>
      <c r="AT408" s="5"/>
      <c r="AU408" s="6" t="s">
        <v>927</v>
      </c>
      <c r="AV408" s="6" t="s">
        <v>1390</v>
      </c>
      <c r="AW408" s="6" t="s">
        <v>1390</v>
      </c>
      <c r="AX408" s="6" t="s">
        <v>929</v>
      </c>
      <c r="AY408" s="6" t="s">
        <v>930</v>
      </c>
      <c r="AZ408" s="6"/>
      <c r="BA408" s="6"/>
      <c r="BB408" s="6"/>
      <c r="BC408" s="6" t="s">
        <v>97</v>
      </c>
      <c r="BD408" s="6" t="s">
        <v>97</v>
      </c>
    </row>
    <row r="409" spans="1:56" ht="32" customHeight="1" x14ac:dyDescent="0.35">
      <c r="A409" s="13" t="s">
        <v>3355</v>
      </c>
      <c r="B409" s="6" t="s">
        <v>2114</v>
      </c>
      <c r="C409" s="5" t="s">
        <v>2115</v>
      </c>
      <c r="D409" s="5" t="s">
        <v>838</v>
      </c>
      <c r="E409" s="5" t="s">
        <v>3356</v>
      </c>
      <c r="F409" s="5" t="s">
        <v>1596</v>
      </c>
      <c r="G409" s="5" t="s">
        <v>1344</v>
      </c>
      <c r="H409" s="5" t="s">
        <v>3357</v>
      </c>
      <c r="I409" s="5" t="s">
        <v>3358</v>
      </c>
      <c r="J409" s="17" t="s">
        <v>121</v>
      </c>
      <c r="K409" s="17" t="s">
        <v>181</v>
      </c>
      <c r="L409" s="5" t="s">
        <v>3359</v>
      </c>
      <c r="M409" s="6" t="s">
        <v>197</v>
      </c>
      <c r="N409" s="6" t="s">
        <v>812</v>
      </c>
      <c r="O409" s="6" t="s">
        <v>121</v>
      </c>
      <c r="P409" s="5" t="s">
        <v>918</v>
      </c>
      <c r="Q409" s="17" t="s">
        <v>182</v>
      </c>
      <c r="R409" s="5"/>
      <c r="S409" s="6" t="s">
        <v>990</v>
      </c>
      <c r="T409" s="5" t="s">
        <v>991</v>
      </c>
      <c r="U409" s="6"/>
      <c r="V409" s="6" t="s">
        <v>992</v>
      </c>
      <c r="W409" s="6" t="s">
        <v>337</v>
      </c>
      <c r="X409" s="5" t="s">
        <v>922</v>
      </c>
      <c r="Y409" s="5" t="s">
        <v>812</v>
      </c>
      <c r="Z409" s="5" t="str">
        <f t="shared" si="12"/>
        <v>Medium</v>
      </c>
      <c r="AA409" s="5" t="s">
        <v>956</v>
      </c>
      <c r="AB409" s="6" t="s">
        <v>924</v>
      </c>
      <c r="AC409" s="6" t="s">
        <v>11</v>
      </c>
      <c r="AD409" s="5" t="s">
        <v>925</v>
      </c>
      <c r="AE409" s="5" t="s">
        <v>354</v>
      </c>
      <c r="AF409" s="5" t="s">
        <v>354</v>
      </c>
      <c r="AG409" s="5" t="s">
        <v>354</v>
      </c>
      <c r="AH409" s="5" t="s">
        <v>354</v>
      </c>
      <c r="AI409" s="6" t="str">
        <f t="shared" si="13"/>
        <v>No</v>
      </c>
      <c r="AJ409" s="6" t="s">
        <v>926</v>
      </c>
      <c r="AK409" s="6" t="s">
        <v>151</v>
      </c>
      <c r="AL409" s="6">
        <f>MATCH(AA409,{"Low","Medium","High"},0)*MATCH(AB409,{"Low","Medium","High"},0)*INDEX({3,2,2,1,1},MATCH(X409,{"Core","Vertical extension","Differentiator","Future","Adjacent"},0))</f>
        <v>6</v>
      </c>
      <c r="AM409" s="5"/>
      <c r="AN409" s="5"/>
      <c r="AO409" s="5"/>
      <c r="AP409" s="5"/>
      <c r="AQ409" s="5"/>
      <c r="AR409" s="5"/>
      <c r="AS409" s="5"/>
      <c r="AT409" s="5"/>
      <c r="AU409" s="6" t="s">
        <v>927</v>
      </c>
      <c r="AV409" s="6" t="s">
        <v>1390</v>
      </c>
      <c r="AW409" s="6" t="s">
        <v>1390</v>
      </c>
      <c r="AX409" s="6" t="s">
        <v>929</v>
      </c>
      <c r="AY409" s="6" t="s">
        <v>930</v>
      </c>
      <c r="AZ409" s="6"/>
      <c r="BA409" s="6"/>
      <c r="BB409" s="6"/>
      <c r="BC409" s="6" t="s">
        <v>97</v>
      </c>
      <c r="BD409" s="6" t="s">
        <v>97</v>
      </c>
    </row>
    <row r="410" spans="1:56" ht="32" customHeight="1" x14ac:dyDescent="0.35">
      <c r="A410" s="13" t="s">
        <v>3360</v>
      </c>
      <c r="B410" s="6" t="s">
        <v>2114</v>
      </c>
      <c r="C410" s="5" t="s">
        <v>2115</v>
      </c>
      <c r="D410" s="5" t="s">
        <v>838</v>
      </c>
      <c r="E410" s="5" t="s">
        <v>3361</v>
      </c>
      <c r="F410" s="5" t="s">
        <v>2236</v>
      </c>
      <c r="G410" s="5" t="s">
        <v>1623</v>
      </c>
      <c r="H410" s="5" t="s">
        <v>3362</v>
      </c>
      <c r="I410" s="5" t="s">
        <v>3363</v>
      </c>
      <c r="J410" s="17" t="s">
        <v>121</v>
      </c>
      <c r="K410" s="17" t="s">
        <v>181</v>
      </c>
      <c r="L410" s="5" t="s">
        <v>3364</v>
      </c>
      <c r="M410" s="6" t="s">
        <v>197</v>
      </c>
      <c r="N410" s="6" t="s">
        <v>812</v>
      </c>
      <c r="O410" s="6" t="s">
        <v>121</v>
      </c>
      <c r="P410" s="5" t="s">
        <v>918</v>
      </c>
      <c r="Q410" s="17" t="s">
        <v>182</v>
      </c>
      <c r="R410" s="5"/>
      <c r="S410" s="6" t="s">
        <v>990</v>
      </c>
      <c r="T410" s="5" t="s">
        <v>991</v>
      </c>
      <c r="U410" s="6"/>
      <c r="V410" s="6" t="s">
        <v>992</v>
      </c>
      <c r="W410" s="6" t="s">
        <v>337</v>
      </c>
      <c r="X410" s="5" t="s">
        <v>922</v>
      </c>
      <c r="Y410" s="5" t="s">
        <v>812</v>
      </c>
      <c r="Z410" s="5" t="str">
        <f t="shared" si="12"/>
        <v>Medium</v>
      </c>
      <c r="AA410" s="5" t="s">
        <v>956</v>
      </c>
      <c r="AB410" s="6" t="s">
        <v>924</v>
      </c>
      <c r="AC410" s="6" t="s">
        <v>11</v>
      </c>
      <c r="AD410" s="5" t="s">
        <v>925</v>
      </c>
      <c r="AE410" s="5" t="s">
        <v>354</v>
      </c>
      <c r="AF410" s="5" t="s">
        <v>354</v>
      </c>
      <c r="AG410" s="5" t="s">
        <v>354</v>
      </c>
      <c r="AH410" s="5" t="s">
        <v>354</v>
      </c>
      <c r="AI410" s="6" t="str">
        <f t="shared" si="13"/>
        <v>No</v>
      </c>
      <c r="AJ410" s="6" t="s">
        <v>926</v>
      </c>
      <c r="AK410" s="6" t="s">
        <v>151</v>
      </c>
      <c r="AL410" s="6">
        <f>MATCH(AA410,{"Low","Medium","High"},0)*MATCH(AB410,{"Low","Medium","High"},0)*INDEX({3,2,2,1,1},MATCH(X410,{"Core","Vertical extension","Differentiator","Future","Adjacent"},0))</f>
        <v>6</v>
      </c>
      <c r="AM410" s="5"/>
      <c r="AN410" s="5"/>
      <c r="AO410" s="5"/>
      <c r="AP410" s="5"/>
      <c r="AQ410" s="5"/>
      <c r="AR410" s="5"/>
      <c r="AS410" s="5"/>
      <c r="AT410" s="5"/>
      <c r="AU410" s="6" t="s">
        <v>927</v>
      </c>
      <c r="AV410" s="6" t="s">
        <v>2161</v>
      </c>
      <c r="AW410" s="6" t="s">
        <v>2161</v>
      </c>
      <c r="AX410" s="6" t="s">
        <v>929</v>
      </c>
      <c r="AY410" s="6" t="s">
        <v>930</v>
      </c>
      <c r="AZ410" s="6"/>
      <c r="BA410" s="6" t="s">
        <v>3365</v>
      </c>
      <c r="BB410" s="6" t="s">
        <v>3366</v>
      </c>
      <c r="BC410" s="6" t="s">
        <v>97</v>
      </c>
      <c r="BD410" s="6" t="s">
        <v>97</v>
      </c>
    </row>
    <row r="411" spans="1:56" ht="32" customHeight="1" x14ac:dyDescent="0.35">
      <c r="A411" s="13" t="s">
        <v>3367</v>
      </c>
      <c r="B411" s="6" t="s">
        <v>2114</v>
      </c>
      <c r="C411" s="5" t="s">
        <v>2115</v>
      </c>
      <c r="D411" s="5" t="s">
        <v>838</v>
      </c>
      <c r="E411" s="5" t="s">
        <v>3368</v>
      </c>
      <c r="F411" s="5" t="s">
        <v>2236</v>
      </c>
      <c r="G411" s="5" t="s">
        <v>1623</v>
      </c>
      <c r="H411" s="5" t="s">
        <v>3369</v>
      </c>
      <c r="I411" s="5" t="s">
        <v>3370</v>
      </c>
      <c r="J411" s="17" t="s">
        <v>121</v>
      </c>
      <c r="K411" s="17" t="s">
        <v>181</v>
      </c>
      <c r="L411" s="5" t="s">
        <v>3371</v>
      </c>
      <c r="M411" s="6" t="s">
        <v>197</v>
      </c>
      <c r="N411" s="6" t="s">
        <v>812</v>
      </c>
      <c r="O411" s="6" t="s">
        <v>121</v>
      </c>
      <c r="P411" s="5" t="s">
        <v>918</v>
      </c>
      <c r="Q411" s="17" t="s">
        <v>182</v>
      </c>
      <c r="R411" s="5"/>
      <c r="S411" s="6" t="s">
        <v>990</v>
      </c>
      <c r="T411" s="5" t="s">
        <v>991</v>
      </c>
      <c r="U411" s="6"/>
      <c r="V411" s="6" t="s">
        <v>992</v>
      </c>
      <c r="W411" s="6" t="s">
        <v>337</v>
      </c>
      <c r="X411" s="5" t="s">
        <v>922</v>
      </c>
      <c r="Y411" s="5" t="s">
        <v>812</v>
      </c>
      <c r="Z411" s="5" t="str">
        <f t="shared" si="12"/>
        <v>Medium</v>
      </c>
      <c r="AA411" s="5" t="s">
        <v>956</v>
      </c>
      <c r="AB411" s="6" t="s">
        <v>924</v>
      </c>
      <c r="AC411" s="6" t="s">
        <v>11</v>
      </c>
      <c r="AD411" s="5" t="s">
        <v>925</v>
      </c>
      <c r="AE411" s="5" t="s">
        <v>354</v>
      </c>
      <c r="AF411" s="5" t="s">
        <v>354</v>
      </c>
      <c r="AG411" s="5" t="s">
        <v>354</v>
      </c>
      <c r="AH411" s="5" t="s">
        <v>354</v>
      </c>
      <c r="AI411" s="6" t="str">
        <f t="shared" si="13"/>
        <v>No</v>
      </c>
      <c r="AJ411" s="6" t="s">
        <v>926</v>
      </c>
      <c r="AK411" s="6" t="s">
        <v>151</v>
      </c>
      <c r="AL411" s="6">
        <f>MATCH(AA411,{"Low","Medium","High"},0)*MATCH(AB411,{"Low","Medium","High"},0)*INDEX({3,2,2,1,1},MATCH(X411,{"Core","Vertical extension","Differentiator","Future","Adjacent"},0))</f>
        <v>6</v>
      </c>
      <c r="AM411" s="5"/>
      <c r="AN411" s="5"/>
      <c r="AO411" s="5"/>
      <c r="AP411" s="5"/>
      <c r="AQ411" s="5"/>
      <c r="AR411" s="5"/>
      <c r="AS411" s="5"/>
      <c r="AT411" s="5"/>
      <c r="AU411" s="6" t="s">
        <v>927</v>
      </c>
      <c r="AV411" s="6" t="s">
        <v>2161</v>
      </c>
      <c r="AW411" s="6" t="s">
        <v>2161</v>
      </c>
      <c r="AX411" s="6" t="s">
        <v>929</v>
      </c>
      <c r="AY411" s="6" t="s">
        <v>930</v>
      </c>
      <c r="AZ411" s="6"/>
      <c r="BA411" s="6"/>
      <c r="BB411" s="6"/>
      <c r="BC411" s="6" t="s">
        <v>97</v>
      </c>
      <c r="BD411" s="6" t="s">
        <v>97</v>
      </c>
    </row>
    <row r="412" spans="1:56" ht="32" customHeight="1" x14ac:dyDescent="0.35">
      <c r="A412" s="13" t="s">
        <v>3372</v>
      </c>
      <c r="B412" s="6" t="s">
        <v>2114</v>
      </c>
      <c r="C412" s="5" t="s">
        <v>2115</v>
      </c>
      <c r="D412" s="5" t="s">
        <v>838</v>
      </c>
      <c r="E412" s="5" t="s">
        <v>3373</v>
      </c>
      <c r="F412" s="5" t="s">
        <v>3374</v>
      </c>
      <c r="G412" s="5" t="s">
        <v>1400</v>
      </c>
      <c r="H412" s="5" t="s">
        <v>3375</v>
      </c>
      <c r="I412" s="5" t="s">
        <v>3376</v>
      </c>
      <c r="J412" s="17" t="s">
        <v>121</v>
      </c>
      <c r="K412" s="17" t="s">
        <v>181</v>
      </c>
      <c r="L412" s="5" t="s">
        <v>3377</v>
      </c>
      <c r="M412" s="6" t="s">
        <v>197</v>
      </c>
      <c r="N412" s="6" t="s">
        <v>812</v>
      </c>
      <c r="O412" s="6" t="s">
        <v>121</v>
      </c>
      <c r="P412" s="5" t="s">
        <v>918</v>
      </c>
      <c r="Q412" s="17" t="s">
        <v>182</v>
      </c>
      <c r="R412" s="5"/>
      <c r="S412" s="6" t="s">
        <v>990</v>
      </c>
      <c r="T412" s="5" t="s">
        <v>991</v>
      </c>
      <c r="U412" s="6"/>
      <c r="V412" s="6" t="s">
        <v>992</v>
      </c>
      <c r="W412" s="6" t="s">
        <v>337</v>
      </c>
      <c r="X412" s="5" t="s">
        <v>922</v>
      </c>
      <c r="Y412" s="5" t="s">
        <v>812</v>
      </c>
      <c r="Z412" s="5" t="str">
        <f t="shared" si="12"/>
        <v>Medium</v>
      </c>
      <c r="AA412" s="5" t="s">
        <v>956</v>
      </c>
      <c r="AB412" s="6" t="s">
        <v>924</v>
      </c>
      <c r="AC412" s="6" t="s">
        <v>11</v>
      </c>
      <c r="AD412" s="5" t="s">
        <v>925</v>
      </c>
      <c r="AE412" s="5" t="s">
        <v>354</v>
      </c>
      <c r="AF412" s="5" t="s">
        <v>354</v>
      </c>
      <c r="AG412" s="5" t="s">
        <v>354</v>
      </c>
      <c r="AH412" s="5" t="s">
        <v>354</v>
      </c>
      <c r="AI412" s="6" t="str">
        <f t="shared" si="13"/>
        <v>No</v>
      </c>
      <c r="AJ412" s="6" t="s">
        <v>926</v>
      </c>
      <c r="AK412" s="6" t="s">
        <v>151</v>
      </c>
      <c r="AL412" s="6">
        <f>MATCH(AA412,{"Low","Medium","High"},0)*MATCH(AB412,{"Low","Medium","High"},0)*INDEX({3,2,2,1,1},MATCH(X412,{"Core","Vertical extension","Differentiator","Future","Adjacent"},0))</f>
        <v>6</v>
      </c>
      <c r="AM412" s="5"/>
      <c r="AN412" s="5"/>
      <c r="AO412" s="5"/>
      <c r="AP412" s="5"/>
      <c r="AQ412" s="5"/>
      <c r="AR412" s="5"/>
      <c r="AS412" s="5"/>
      <c r="AT412" s="5"/>
      <c r="AU412" s="6" t="s">
        <v>927</v>
      </c>
      <c r="AV412" s="6" t="s">
        <v>2161</v>
      </c>
      <c r="AW412" s="6" t="s">
        <v>2161</v>
      </c>
      <c r="AX412" s="6" t="s">
        <v>929</v>
      </c>
      <c r="AY412" s="6" t="s">
        <v>930</v>
      </c>
      <c r="AZ412" s="6"/>
      <c r="BA412" s="6"/>
      <c r="BB412" s="6"/>
      <c r="BC412" s="6" t="s">
        <v>97</v>
      </c>
      <c r="BD412" s="6" t="s">
        <v>97</v>
      </c>
    </row>
    <row r="413" spans="1:56" ht="32" customHeight="1" x14ac:dyDescent="0.35">
      <c r="A413" s="13" t="s">
        <v>3378</v>
      </c>
      <c r="B413" s="6" t="s">
        <v>2114</v>
      </c>
      <c r="C413" s="5" t="s">
        <v>2115</v>
      </c>
      <c r="D413" s="5" t="s">
        <v>838</v>
      </c>
      <c r="E413" s="5" t="s">
        <v>3379</v>
      </c>
      <c r="F413" s="5" t="s">
        <v>3380</v>
      </c>
      <c r="G413" s="5" t="s">
        <v>1400</v>
      </c>
      <c r="H413" s="5" t="s">
        <v>3381</v>
      </c>
      <c r="I413" s="5" t="s">
        <v>3382</v>
      </c>
      <c r="J413" s="17" t="s">
        <v>121</v>
      </c>
      <c r="K413" s="17" t="s">
        <v>181</v>
      </c>
      <c r="L413" s="5" t="s">
        <v>3383</v>
      </c>
      <c r="M413" s="6" t="s">
        <v>197</v>
      </c>
      <c r="N413" s="6" t="s">
        <v>812</v>
      </c>
      <c r="O413" s="6" t="s">
        <v>121</v>
      </c>
      <c r="P413" s="5" t="s">
        <v>918</v>
      </c>
      <c r="Q413" s="17" t="s">
        <v>182</v>
      </c>
      <c r="R413" s="5"/>
      <c r="S413" s="6" t="s">
        <v>990</v>
      </c>
      <c r="T413" s="5" t="s">
        <v>991</v>
      </c>
      <c r="U413" s="6"/>
      <c r="V413" s="6" t="s">
        <v>992</v>
      </c>
      <c r="W413" s="6" t="s">
        <v>337</v>
      </c>
      <c r="X413" s="5" t="s">
        <v>922</v>
      </c>
      <c r="Y413" s="5" t="s">
        <v>812</v>
      </c>
      <c r="Z413" s="5" t="str">
        <f t="shared" si="12"/>
        <v>Medium</v>
      </c>
      <c r="AA413" s="5" t="s">
        <v>956</v>
      </c>
      <c r="AB413" s="6" t="s">
        <v>924</v>
      </c>
      <c r="AC413" s="6" t="s">
        <v>11</v>
      </c>
      <c r="AD413" s="5" t="s">
        <v>925</v>
      </c>
      <c r="AE413" s="5" t="s">
        <v>354</v>
      </c>
      <c r="AF413" s="5" t="s">
        <v>354</v>
      </c>
      <c r="AG413" s="5" t="s">
        <v>354</v>
      </c>
      <c r="AH413" s="5" t="s">
        <v>354</v>
      </c>
      <c r="AI413" s="6" t="str">
        <f t="shared" si="13"/>
        <v>No</v>
      </c>
      <c r="AJ413" s="6" t="s">
        <v>926</v>
      </c>
      <c r="AK413" s="6" t="s">
        <v>151</v>
      </c>
      <c r="AL413" s="6">
        <f>MATCH(AA413,{"Low","Medium","High"},0)*MATCH(AB413,{"Low","Medium","High"},0)*INDEX({3,2,2,1,1},MATCH(X413,{"Core","Vertical extension","Differentiator","Future","Adjacent"},0))</f>
        <v>6</v>
      </c>
      <c r="AM413" s="5"/>
      <c r="AN413" s="5"/>
      <c r="AO413" s="5"/>
      <c r="AP413" s="5"/>
      <c r="AQ413" s="5"/>
      <c r="AR413" s="5"/>
      <c r="AS413" s="5"/>
      <c r="AT413" s="5"/>
      <c r="AU413" s="6" t="s">
        <v>927</v>
      </c>
      <c r="AV413" s="6" t="s">
        <v>2161</v>
      </c>
      <c r="AW413" s="6" t="s">
        <v>2161</v>
      </c>
      <c r="AX413" s="6" t="s">
        <v>929</v>
      </c>
      <c r="AY413" s="6" t="s">
        <v>930</v>
      </c>
      <c r="AZ413" s="6"/>
      <c r="BA413" s="6"/>
      <c r="BB413" s="6"/>
      <c r="BC413" s="6" t="s">
        <v>97</v>
      </c>
      <c r="BD413" s="6" t="s">
        <v>97</v>
      </c>
    </row>
    <row r="414" spans="1:56" ht="32" customHeight="1" x14ac:dyDescent="0.35">
      <c r="A414" s="13" t="s">
        <v>3384</v>
      </c>
      <c r="B414" s="6" t="s">
        <v>2114</v>
      </c>
      <c r="C414" s="5" t="s">
        <v>2115</v>
      </c>
      <c r="D414" s="5" t="s">
        <v>838</v>
      </c>
      <c r="E414" s="5" t="s">
        <v>3385</v>
      </c>
      <c r="F414" s="5" t="s">
        <v>3386</v>
      </c>
      <c r="G414" s="5" t="s">
        <v>1094</v>
      </c>
      <c r="H414" s="5" t="s">
        <v>3387</v>
      </c>
      <c r="I414" s="5" t="s">
        <v>3388</v>
      </c>
      <c r="J414" s="17" t="s">
        <v>121</v>
      </c>
      <c r="K414" s="17" t="s">
        <v>181</v>
      </c>
      <c r="L414" s="5" t="s">
        <v>3389</v>
      </c>
      <c r="M414" s="6" t="s">
        <v>197</v>
      </c>
      <c r="N414" s="6" t="s">
        <v>812</v>
      </c>
      <c r="O414" s="6" t="s">
        <v>121</v>
      </c>
      <c r="P414" s="5" t="s">
        <v>918</v>
      </c>
      <c r="Q414" s="17" t="s">
        <v>182</v>
      </c>
      <c r="R414" s="5"/>
      <c r="S414" s="6" t="s">
        <v>990</v>
      </c>
      <c r="T414" s="5" t="s">
        <v>991</v>
      </c>
      <c r="U414" s="6"/>
      <c r="V414" s="6" t="s">
        <v>992</v>
      </c>
      <c r="W414" s="6" t="s">
        <v>337</v>
      </c>
      <c r="X414" s="5" t="s">
        <v>922</v>
      </c>
      <c r="Y414" s="5" t="s">
        <v>812</v>
      </c>
      <c r="Z414" s="5" t="str">
        <f t="shared" si="12"/>
        <v>Medium</v>
      </c>
      <c r="AA414" s="5" t="s">
        <v>956</v>
      </c>
      <c r="AB414" s="6" t="s">
        <v>924</v>
      </c>
      <c r="AC414" s="6" t="s">
        <v>11</v>
      </c>
      <c r="AD414" s="5" t="s">
        <v>925</v>
      </c>
      <c r="AE414" s="5" t="s">
        <v>354</v>
      </c>
      <c r="AF414" s="5" t="s">
        <v>354</v>
      </c>
      <c r="AG414" s="5" t="s">
        <v>354</v>
      </c>
      <c r="AH414" s="5" t="s">
        <v>354</v>
      </c>
      <c r="AI414" s="6" t="str">
        <f t="shared" si="13"/>
        <v>No</v>
      </c>
      <c r="AJ414" s="6" t="s">
        <v>926</v>
      </c>
      <c r="AK414" s="6" t="s">
        <v>151</v>
      </c>
      <c r="AL414" s="6">
        <f>MATCH(AA414,{"Low","Medium","High"},0)*MATCH(AB414,{"Low","Medium","High"},0)*INDEX({3,2,2,1,1},MATCH(X414,{"Core","Vertical extension","Differentiator","Future","Adjacent"},0))</f>
        <v>6</v>
      </c>
      <c r="AM414" s="5"/>
      <c r="AN414" s="5"/>
      <c r="AO414" s="5"/>
      <c r="AP414" s="5"/>
      <c r="AQ414" s="5"/>
      <c r="AR414" s="5"/>
      <c r="AS414" s="5"/>
      <c r="AT414" s="5"/>
      <c r="AU414" s="6" t="s">
        <v>927</v>
      </c>
      <c r="AV414" s="6" t="s">
        <v>2161</v>
      </c>
      <c r="AW414" s="6" t="s">
        <v>2161</v>
      </c>
      <c r="AX414" s="6" t="s">
        <v>929</v>
      </c>
      <c r="AY414" s="6" t="s">
        <v>930</v>
      </c>
      <c r="AZ414" s="6"/>
      <c r="BA414" s="6"/>
      <c r="BB414" s="6"/>
      <c r="BC414" s="6" t="s">
        <v>97</v>
      </c>
      <c r="BD414" s="6" t="s">
        <v>97</v>
      </c>
    </row>
    <row r="415" spans="1:56" ht="32" customHeight="1" x14ac:dyDescent="0.35">
      <c r="A415" s="13" t="s">
        <v>3390</v>
      </c>
      <c r="B415" s="6" t="s">
        <v>2114</v>
      </c>
      <c r="C415" s="5" t="s">
        <v>2115</v>
      </c>
      <c r="D415" s="5" t="s">
        <v>838</v>
      </c>
      <c r="E415" s="5" t="s">
        <v>3391</v>
      </c>
      <c r="F415" s="5" t="s">
        <v>3386</v>
      </c>
      <c r="G415" s="5" t="s">
        <v>1017</v>
      </c>
      <c r="H415" s="5" t="s">
        <v>3392</v>
      </c>
      <c r="I415" s="5" t="s">
        <v>3393</v>
      </c>
      <c r="J415" s="17" t="s">
        <v>121</v>
      </c>
      <c r="K415" s="17" t="s">
        <v>181</v>
      </c>
      <c r="L415" s="5" t="s">
        <v>3394</v>
      </c>
      <c r="M415" s="6" t="s">
        <v>197</v>
      </c>
      <c r="N415" s="6" t="s">
        <v>812</v>
      </c>
      <c r="O415" s="6" t="s">
        <v>121</v>
      </c>
      <c r="P415" s="5" t="s">
        <v>918</v>
      </c>
      <c r="Q415" s="17" t="s">
        <v>182</v>
      </c>
      <c r="R415" s="5"/>
      <c r="S415" s="6" t="s">
        <v>990</v>
      </c>
      <c r="T415" s="5" t="s">
        <v>991</v>
      </c>
      <c r="U415" s="6"/>
      <c r="V415" s="6" t="s">
        <v>992</v>
      </c>
      <c r="W415" s="6" t="s">
        <v>337</v>
      </c>
      <c r="X415" s="5" t="s">
        <v>922</v>
      </c>
      <c r="Y415" s="5" t="s">
        <v>812</v>
      </c>
      <c r="Z415" s="5" t="str">
        <f t="shared" si="12"/>
        <v>Medium</v>
      </c>
      <c r="AA415" s="5" t="s">
        <v>956</v>
      </c>
      <c r="AB415" s="6" t="s">
        <v>924</v>
      </c>
      <c r="AC415" s="6" t="s">
        <v>11</v>
      </c>
      <c r="AD415" s="5" t="s">
        <v>925</v>
      </c>
      <c r="AE415" s="5" t="s">
        <v>354</v>
      </c>
      <c r="AF415" s="5" t="s">
        <v>354</v>
      </c>
      <c r="AG415" s="5" t="s">
        <v>354</v>
      </c>
      <c r="AH415" s="5" t="s">
        <v>354</v>
      </c>
      <c r="AI415" s="6" t="str">
        <f t="shared" si="13"/>
        <v>No</v>
      </c>
      <c r="AJ415" s="6" t="s">
        <v>926</v>
      </c>
      <c r="AK415" s="6" t="s">
        <v>151</v>
      </c>
      <c r="AL415" s="6">
        <f>MATCH(AA415,{"Low","Medium","High"},0)*MATCH(AB415,{"Low","Medium","High"},0)*INDEX({3,2,2,1,1},MATCH(X415,{"Core","Vertical extension","Differentiator","Future","Adjacent"},0))</f>
        <v>6</v>
      </c>
      <c r="AM415" s="5"/>
      <c r="AN415" s="5"/>
      <c r="AO415" s="5"/>
      <c r="AP415" s="5"/>
      <c r="AQ415" s="5"/>
      <c r="AR415" s="5"/>
      <c r="AS415" s="5"/>
      <c r="AT415" s="5"/>
      <c r="AU415" s="6" t="s">
        <v>927</v>
      </c>
      <c r="AV415" s="6" t="s">
        <v>2161</v>
      </c>
      <c r="AW415" s="6" t="s">
        <v>2161</v>
      </c>
      <c r="AX415" s="6" t="s">
        <v>929</v>
      </c>
      <c r="AY415" s="6" t="s">
        <v>930</v>
      </c>
      <c r="AZ415" s="6"/>
      <c r="BA415" s="6"/>
      <c r="BB415" s="6"/>
      <c r="BC415" s="6" t="s">
        <v>97</v>
      </c>
      <c r="BD415" s="6" t="s">
        <v>97</v>
      </c>
    </row>
    <row r="416" spans="1:56" ht="32" customHeight="1" x14ac:dyDescent="0.35">
      <c r="A416" s="13" t="s">
        <v>3395</v>
      </c>
      <c r="B416" s="6" t="s">
        <v>2114</v>
      </c>
      <c r="C416" s="5" t="s">
        <v>2115</v>
      </c>
      <c r="D416" s="5" t="s">
        <v>838</v>
      </c>
      <c r="E416" s="5" t="s">
        <v>3396</v>
      </c>
      <c r="F416" s="5" t="s">
        <v>3397</v>
      </c>
      <c r="G416" s="5" t="s">
        <v>1452</v>
      </c>
      <c r="H416" s="5" t="s">
        <v>3398</v>
      </c>
      <c r="I416" s="5" t="s">
        <v>3399</v>
      </c>
      <c r="J416" s="17" t="s">
        <v>121</v>
      </c>
      <c r="K416" s="17" t="s">
        <v>181</v>
      </c>
      <c r="L416" s="5" t="s">
        <v>3400</v>
      </c>
      <c r="M416" s="6" t="s">
        <v>197</v>
      </c>
      <c r="N416" s="6" t="s">
        <v>812</v>
      </c>
      <c r="O416" s="6" t="s">
        <v>121</v>
      </c>
      <c r="P416" s="5" t="s">
        <v>918</v>
      </c>
      <c r="Q416" s="17" t="s">
        <v>182</v>
      </c>
      <c r="R416" s="5"/>
      <c r="S416" s="6" t="s">
        <v>990</v>
      </c>
      <c r="T416" s="5" t="s">
        <v>991</v>
      </c>
      <c r="U416" s="6"/>
      <c r="V416" s="6" t="s">
        <v>992</v>
      </c>
      <c r="W416" s="6" t="s">
        <v>337</v>
      </c>
      <c r="X416" s="5" t="s">
        <v>922</v>
      </c>
      <c r="Y416" s="5" t="s">
        <v>812</v>
      </c>
      <c r="Z416" s="5" t="str">
        <f t="shared" si="12"/>
        <v>Medium</v>
      </c>
      <c r="AA416" s="5" t="s">
        <v>956</v>
      </c>
      <c r="AB416" s="6" t="s">
        <v>924</v>
      </c>
      <c r="AC416" s="6" t="s">
        <v>11</v>
      </c>
      <c r="AD416" s="5" t="s">
        <v>925</v>
      </c>
      <c r="AE416" s="5" t="s">
        <v>354</v>
      </c>
      <c r="AF416" s="5" t="s">
        <v>354</v>
      </c>
      <c r="AG416" s="5" t="s">
        <v>354</v>
      </c>
      <c r="AH416" s="5" t="s">
        <v>354</v>
      </c>
      <c r="AI416" s="6" t="str">
        <f t="shared" si="13"/>
        <v>No</v>
      </c>
      <c r="AJ416" s="6" t="s">
        <v>926</v>
      </c>
      <c r="AK416" s="6" t="s">
        <v>151</v>
      </c>
      <c r="AL416" s="6">
        <f>MATCH(AA416,{"Low","Medium","High"},0)*MATCH(AB416,{"Low","Medium","High"},0)*INDEX({3,2,2,1,1},MATCH(X416,{"Core","Vertical extension","Differentiator","Future","Adjacent"},0))</f>
        <v>6</v>
      </c>
      <c r="AM416" s="5"/>
      <c r="AN416" s="5"/>
      <c r="AO416" s="5"/>
      <c r="AP416" s="5"/>
      <c r="AQ416" s="5"/>
      <c r="AR416" s="5"/>
      <c r="AS416" s="5"/>
      <c r="AT416" s="5"/>
      <c r="AU416" s="6" t="s">
        <v>927</v>
      </c>
      <c r="AV416" s="6" t="s">
        <v>2161</v>
      </c>
      <c r="AW416" s="6" t="s">
        <v>2161</v>
      </c>
      <c r="AX416" s="6" t="s">
        <v>929</v>
      </c>
      <c r="AY416" s="6" t="s">
        <v>930</v>
      </c>
      <c r="AZ416" s="6"/>
      <c r="BA416" s="6"/>
      <c r="BB416" s="6"/>
      <c r="BC416" s="6" t="s">
        <v>97</v>
      </c>
      <c r="BD416" s="6" t="s">
        <v>97</v>
      </c>
    </row>
    <row r="417" spans="1:56" ht="32" customHeight="1" x14ac:dyDescent="0.35">
      <c r="A417" s="13" t="s">
        <v>3401</v>
      </c>
      <c r="B417" s="6" t="s">
        <v>2114</v>
      </c>
      <c r="C417" s="5" t="s">
        <v>2115</v>
      </c>
      <c r="D417" s="5" t="s">
        <v>838</v>
      </c>
      <c r="E417" s="5" t="s">
        <v>3402</v>
      </c>
      <c r="F417" s="5" t="s">
        <v>2171</v>
      </c>
      <c r="G417" s="5" t="s">
        <v>1623</v>
      </c>
      <c r="H417" s="5" t="s">
        <v>3403</v>
      </c>
      <c r="I417" s="5" t="s">
        <v>3404</v>
      </c>
      <c r="J417" s="17" t="s">
        <v>121</v>
      </c>
      <c r="K417" s="17" t="s">
        <v>181</v>
      </c>
      <c r="L417" s="5" t="s">
        <v>3405</v>
      </c>
      <c r="M417" s="6" t="s">
        <v>197</v>
      </c>
      <c r="N417" s="6" t="s">
        <v>812</v>
      </c>
      <c r="O417" s="6" t="s">
        <v>121</v>
      </c>
      <c r="P417" s="5" t="s">
        <v>918</v>
      </c>
      <c r="Q417" s="17" t="s">
        <v>182</v>
      </c>
      <c r="R417" s="5"/>
      <c r="S417" s="6" t="s">
        <v>990</v>
      </c>
      <c r="T417" s="5" t="s">
        <v>991</v>
      </c>
      <c r="U417" s="6"/>
      <c r="V417" s="6" t="s">
        <v>992</v>
      </c>
      <c r="W417" s="6" t="s">
        <v>337</v>
      </c>
      <c r="X417" s="5" t="s">
        <v>922</v>
      </c>
      <c r="Y417" s="5" t="s">
        <v>812</v>
      </c>
      <c r="Z417" s="5" t="str">
        <f t="shared" si="12"/>
        <v>Medium</v>
      </c>
      <c r="AA417" s="5" t="s">
        <v>956</v>
      </c>
      <c r="AB417" s="6" t="s">
        <v>924</v>
      </c>
      <c r="AC417" s="6" t="s">
        <v>11</v>
      </c>
      <c r="AD417" s="5" t="s">
        <v>925</v>
      </c>
      <c r="AE417" s="5" t="s">
        <v>354</v>
      </c>
      <c r="AF417" s="5" t="s">
        <v>354</v>
      </c>
      <c r="AG417" s="5" t="s">
        <v>354</v>
      </c>
      <c r="AH417" s="5" t="s">
        <v>354</v>
      </c>
      <c r="AI417" s="6" t="str">
        <f t="shared" si="13"/>
        <v>No</v>
      </c>
      <c r="AJ417" s="6" t="s">
        <v>926</v>
      </c>
      <c r="AK417" s="6" t="s">
        <v>151</v>
      </c>
      <c r="AL417" s="6">
        <f>MATCH(AA417,{"Low","Medium","High"},0)*MATCH(AB417,{"Low","Medium","High"},0)*INDEX({3,2,2,1,1},MATCH(X417,{"Core","Vertical extension","Differentiator","Future","Adjacent"},0))</f>
        <v>6</v>
      </c>
      <c r="AM417" s="5"/>
      <c r="AN417" s="5"/>
      <c r="AO417" s="5"/>
      <c r="AP417" s="5"/>
      <c r="AQ417" s="5"/>
      <c r="AR417" s="5"/>
      <c r="AS417" s="5"/>
      <c r="AT417" s="5"/>
      <c r="AU417" s="6" t="s">
        <v>927</v>
      </c>
      <c r="AV417" s="6" t="s">
        <v>2161</v>
      </c>
      <c r="AW417" s="6" t="s">
        <v>2161</v>
      </c>
      <c r="AX417" s="6" t="s">
        <v>929</v>
      </c>
      <c r="AY417" s="6" t="s">
        <v>930</v>
      </c>
      <c r="AZ417" s="6"/>
      <c r="BA417" s="6"/>
      <c r="BB417" s="6"/>
      <c r="BC417" s="6" t="s">
        <v>97</v>
      </c>
      <c r="BD417" s="6" t="s">
        <v>97</v>
      </c>
    </row>
    <row r="418" spans="1:56" ht="32" customHeight="1" x14ac:dyDescent="0.35">
      <c r="A418" s="13" t="s">
        <v>3406</v>
      </c>
      <c r="B418" s="6" t="s">
        <v>2114</v>
      </c>
      <c r="C418" s="5" t="s">
        <v>2115</v>
      </c>
      <c r="D418" s="5" t="s">
        <v>838</v>
      </c>
      <c r="E418" s="5" t="s">
        <v>3407</v>
      </c>
      <c r="F418" s="5" t="s">
        <v>2171</v>
      </c>
      <c r="G418" s="5" t="s">
        <v>1452</v>
      </c>
      <c r="H418" s="5" t="s">
        <v>3408</v>
      </c>
      <c r="I418" s="5" t="s">
        <v>3409</v>
      </c>
      <c r="J418" s="17" t="s">
        <v>121</v>
      </c>
      <c r="K418" s="17" t="s">
        <v>181</v>
      </c>
      <c r="L418" s="5" t="s">
        <v>3410</v>
      </c>
      <c r="M418" s="6" t="s">
        <v>197</v>
      </c>
      <c r="N418" s="6" t="s">
        <v>812</v>
      </c>
      <c r="O418" s="6" t="s">
        <v>121</v>
      </c>
      <c r="P418" s="5" t="s">
        <v>918</v>
      </c>
      <c r="Q418" s="17" t="s">
        <v>182</v>
      </c>
      <c r="R418" s="5"/>
      <c r="S418" s="6" t="s">
        <v>990</v>
      </c>
      <c r="T418" s="5" t="s">
        <v>991</v>
      </c>
      <c r="U418" s="6"/>
      <c r="V418" s="6" t="s">
        <v>992</v>
      </c>
      <c r="W418" s="6" t="s">
        <v>337</v>
      </c>
      <c r="X418" s="5" t="s">
        <v>922</v>
      </c>
      <c r="Y418" s="5" t="s">
        <v>812</v>
      </c>
      <c r="Z418" s="5" t="str">
        <f t="shared" si="12"/>
        <v>Medium</v>
      </c>
      <c r="AA418" s="5" t="s">
        <v>956</v>
      </c>
      <c r="AB418" s="6" t="s">
        <v>924</v>
      </c>
      <c r="AC418" s="6" t="s">
        <v>11</v>
      </c>
      <c r="AD418" s="5" t="s">
        <v>925</v>
      </c>
      <c r="AE418" s="5" t="s">
        <v>354</v>
      </c>
      <c r="AF418" s="5" t="s">
        <v>354</v>
      </c>
      <c r="AG418" s="5" t="s">
        <v>354</v>
      </c>
      <c r="AH418" s="5" t="s">
        <v>354</v>
      </c>
      <c r="AI418" s="6" t="str">
        <f t="shared" si="13"/>
        <v>No</v>
      </c>
      <c r="AJ418" s="6" t="s">
        <v>926</v>
      </c>
      <c r="AK418" s="6" t="s">
        <v>151</v>
      </c>
      <c r="AL418" s="6">
        <f>MATCH(AA418,{"Low","Medium","High"},0)*MATCH(AB418,{"Low","Medium","High"},0)*INDEX({3,2,2,1,1},MATCH(X418,{"Core","Vertical extension","Differentiator","Future","Adjacent"},0))</f>
        <v>6</v>
      </c>
      <c r="AM418" s="5"/>
      <c r="AN418" s="5"/>
      <c r="AO418" s="5"/>
      <c r="AP418" s="5"/>
      <c r="AQ418" s="5"/>
      <c r="AR418" s="5"/>
      <c r="AS418" s="5"/>
      <c r="AT418" s="5"/>
      <c r="AU418" s="6" t="s">
        <v>927</v>
      </c>
      <c r="AV418" s="6" t="s">
        <v>2161</v>
      </c>
      <c r="AW418" s="6" t="s">
        <v>2161</v>
      </c>
      <c r="AX418" s="6" t="s">
        <v>929</v>
      </c>
      <c r="AY418" s="6" t="s">
        <v>930</v>
      </c>
      <c r="AZ418" s="6"/>
      <c r="BA418" s="6"/>
      <c r="BB418" s="6"/>
      <c r="BC418" s="6" t="s">
        <v>97</v>
      </c>
      <c r="BD418" s="6" t="s">
        <v>97</v>
      </c>
    </row>
    <row r="419" spans="1:56" ht="32" customHeight="1" x14ac:dyDescent="0.35">
      <c r="A419" s="13" t="s">
        <v>3411</v>
      </c>
      <c r="B419" s="6" t="s">
        <v>2114</v>
      </c>
      <c r="C419" s="5" t="s">
        <v>2115</v>
      </c>
      <c r="D419" s="5" t="s">
        <v>838</v>
      </c>
      <c r="E419" s="5" t="s">
        <v>3412</v>
      </c>
      <c r="F419" s="5" t="s">
        <v>3413</v>
      </c>
      <c r="G419" s="5" t="s">
        <v>3414</v>
      </c>
      <c r="H419" s="5" t="s">
        <v>3415</v>
      </c>
      <c r="I419" s="5" t="s">
        <v>3416</v>
      </c>
      <c r="J419" s="17" t="s">
        <v>121</v>
      </c>
      <c r="K419" s="17" t="s">
        <v>181</v>
      </c>
      <c r="L419" s="5" t="s">
        <v>3417</v>
      </c>
      <c r="M419" s="6" t="s">
        <v>197</v>
      </c>
      <c r="N419" s="6" t="s">
        <v>812</v>
      </c>
      <c r="O419" s="6" t="s">
        <v>121</v>
      </c>
      <c r="P419" s="5" t="s">
        <v>918</v>
      </c>
      <c r="Q419" s="18" t="s">
        <v>186</v>
      </c>
      <c r="R419" s="5" t="s">
        <v>3418</v>
      </c>
      <c r="S419" s="6" t="s">
        <v>990</v>
      </c>
      <c r="T419" s="5" t="s">
        <v>991</v>
      </c>
      <c r="U419" s="6"/>
      <c r="V419" s="6" t="s">
        <v>992</v>
      </c>
      <c r="W419" s="6" t="s">
        <v>337</v>
      </c>
      <c r="X419" s="5" t="s">
        <v>922</v>
      </c>
      <c r="Y419" s="5" t="s">
        <v>812</v>
      </c>
      <c r="Z419" s="5" t="str">
        <f t="shared" si="12"/>
        <v>Medium</v>
      </c>
      <c r="AA419" s="5" t="s">
        <v>956</v>
      </c>
      <c r="AB419" s="6" t="s">
        <v>924</v>
      </c>
      <c r="AC419" s="6" t="s">
        <v>11</v>
      </c>
      <c r="AD419" s="5" t="s">
        <v>940</v>
      </c>
      <c r="AE419" s="5" t="s">
        <v>354</v>
      </c>
      <c r="AF419" s="5" t="s">
        <v>354</v>
      </c>
      <c r="AG419" s="5" t="s">
        <v>354</v>
      </c>
      <c r="AH419" s="5" t="s">
        <v>354</v>
      </c>
      <c r="AI419" s="6" t="str">
        <f t="shared" si="13"/>
        <v>No</v>
      </c>
      <c r="AJ419" s="6" t="s">
        <v>941</v>
      </c>
      <c r="AK419" s="6" t="s">
        <v>151</v>
      </c>
      <c r="AL419" s="6">
        <f>MATCH(AA419,{"Low","Medium","High"},0)*MATCH(AB419,{"Low","Medium","High"},0)*INDEX({3,2,2,1,1},MATCH(X419,{"Core","Vertical extension","Differentiator","Future","Adjacent"},0))</f>
        <v>6</v>
      </c>
      <c r="AM419" s="5"/>
      <c r="AN419" s="5"/>
      <c r="AO419" s="5"/>
      <c r="AP419" s="5"/>
      <c r="AQ419" s="5"/>
      <c r="AR419" s="5"/>
      <c r="AS419" s="5"/>
      <c r="AT419" s="5"/>
      <c r="AU419" s="6" t="s">
        <v>927</v>
      </c>
      <c r="AV419" s="6" t="s">
        <v>2161</v>
      </c>
      <c r="AW419" s="6" t="s">
        <v>2161</v>
      </c>
      <c r="AX419" s="6" t="s">
        <v>929</v>
      </c>
      <c r="AY419" s="6" t="s">
        <v>930</v>
      </c>
      <c r="AZ419" s="6"/>
      <c r="BA419" s="6" t="s">
        <v>3419</v>
      </c>
      <c r="BB419" s="6" t="s">
        <v>3420</v>
      </c>
      <c r="BC419" s="6" t="s">
        <v>97</v>
      </c>
      <c r="BD419" s="6" t="s">
        <v>97</v>
      </c>
    </row>
    <row r="420" spans="1:56" ht="32" customHeight="1" x14ac:dyDescent="0.35">
      <c r="A420" s="13" t="s">
        <v>3421</v>
      </c>
      <c r="B420" s="6" t="s">
        <v>2114</v>
      </c>
      <c r="C420" s="5" t="s">
        <v>2115</v>
      </c>
      <c r="D420" s="5" t="s">
        <v>838</v>
      </c>
      <c r="E420" s="5" t="s">
        <v>3422</v>
      </c>
      <c r="F420" s="5" t="s">
        <v>3413</v>
      </c>
      <c r="G420" s="5" t="s">
        <v>451</v>
      </c>
      <c r="H420" s="5" t="s">
        <v>3423</v>
      </c>
      <c r="I420" s="5" t="s">
        <v>3424</v>
      </c>
      <c r="J420" s="17" t="s">
        <v>121</v>
      </c>
      <c r="K420" s="17" t="s">
        <v>181</v>
      </c>
      <c r="L420" s="5" t="s">
        <v>3425</v>
      </c>
      <c r="M420" s="6" t="s">
        <v>197</v>
      </c>
      <c r="N420" s="6" t="s">
        <v>812</v>
      </c>
      <c r="O420" s="6" t="s">
        <v>121</v>
      </c>
      <c r="P420" s="5" t="s">
        <v>918</v>
      </c>
      <c r="Q420" s="17" t="s">
        <v>182</v>
      </c>
      <c r="R420" s="5"/>
      <c r="S420" s="6" t="s">
        <v>990</v>
      </c>
      <c r="T420" s="5" t="s">
        <v>991</v>
      </c>
      <c r="U420" s="6"/>
      <c r="V420" s="6" t="s">
        <v>992</v>
      </c>
      <c r="W420" s="6" t="s">
        <v>337</v>
      </c>
      <c r="X420" s="5" t="s">
        <v>922</v>
      </c>
      <c r="Y420" s="5" t="s">
        <v>812</v>
      </c>
      <c r="Z420" s="5" t="str">
        <f t="shared" si="12"/>
        <v>Medium</v>
      </c>
      <c r="AA420" s="5" t="s">
        <v>956</v>
      </c>
      <c r="AB420" s="6" t="s">
        <v>924</v>
      </c>
      <c r="AC420" s="6" t="s">
        <v>11</v>
      </c>
      <c r="AD420" s="5" t="s">
        <v>925</v>
      </c>
      <c r="AE420" s="5" t="s">
        <v>354</v>
      </c>
      <c r="AF420" s="5" t="s">
        <v>354</v>
      </c>
      <c r="AG420" s="5" t="s">
        <v>354</v>
      </c>
      <c r="AH420" s="5" t="s">
        <v>354</v>
      </c>
      <c r="AI420" s="6" t="str">
        <f t="shared" si="13"/>
        <v>No</v>
      </c>
      <c r="AJ420" s="6" t="s">
        <v>926</v>
      </c>
      <c r="AK420" s="6" t="s">
        <v>151</v>
      </c>
      <c r="AL420" s="6">
        <f>MATCH(AA420,{"Low","Medium","High"},0)*MATCH(AB420,{"Low","Medium","High"},0)*INDEX({3,2,2,1,1},MATCH(X420,{"Core","Vertical extension","Differentiator","Future","Adjacent"},0))</f>
        <v>6</v>
      </c>
      <c r="AM420" s="5"/>
      <c r="AN420" s="5"/>
      <c r="AO420" s="5"/>
      <c r="AP420" s="5"/>
      <c r="AQ420" s="5"/>
      <c r="AR420" s="5"/>
      <c r="AS420" s="5"/>
      <c r="AT420" s="5"/>
      <c r="AU420" s="6" t="s">
        <v>927</v>
      </c>
      <c r="AV420" s="6" t="s">
        <v>2161</v>
      </c>
      <c r="AW420" s="6" t="s">
        <v>2161</v>
      </c>
      <c r="AX420" s="6" t="s">
        <v>929</v>
      </c>
      <c r="AY420" s="6" t="s">
        <v>930</v>
      </c>
      <c r="AZ420" s="6"/>
      <c r="BA420" s="6"/>
      <c r="BB420" s="6"/>
      <c r="BC420" s="6" t="s">
        <v>97</v>
      </c>
      <c r="BD420" s="6" t="s">
        <v>97</v>
      </c>
    </row>
    <row r="421" spans="1:56" ht="32" customHeight="1" x14ac:dyDescent="0.35">
      <c r="A421" s="13" t="s">
        <v>3426</v>
      </c>
      <c r="B421" s="6" t="s">
        <v>2114</v>
      </c>
      <c r="C421" s="5" t="s">
        <v>2115</v>
      </c>
      <c r="D421" s="5" t="s">
        <v>838</v>
      </c>
      <c r="E421" s="5" t="s">
        <v>3427</v>
      </c>
      <c r="F421" s="5" t="s">
        <v>3428</v>
      </c>
      <c r="G421" s="5" t="s">
        <v>3429</v>
      </c>
      <c r="H421" s="5" t="s">
        <v>3430</v>
      </c>
      <c r="I421" s="5" t="s">
        <v>3431</v>
      </c>
      <c r="J421" s="17" t="s">
        <v>121</v>
      </c>
      <c r="K421" s="17" t="s">
        <v>181</v>
      </c>
      <c r="L421" s="5" t="s">
        <v>3432</v>
      </c>
      <c r="M421" s="6" t="s">
        <v>197</v>
      </c>
      <c r="N421" s="6" t="s">
        <v>812</v>
      </c>
      <c r="O421" s="6" t="s">
        <v>121</v>
      </c>
      <c r="P421" s="5" t="s">
        <v>918</v>
      </c>
      <c r="Q421" s="17" t="s">
        <v>182</v>
      </c>
      <c r="R421" s="5"/>
      <c r="S421" s="6" t="s">
        <v>990</v>
      </c>
      <c r="T421" s="5" t="s">
        <v>991</v>
      </c>
      <c r="U421" s="6"/>
      <c r="V421" s="6" t="s">
        <v>992</v>
      </c>
      <c r="W421" s="6" t="s">
        <v>337</v>
      </c>
      <c r="X421" s="5" t="s">
        <v>922</v>
      </c>
      <c r="Y421" s="5" t="s">
        <v>812</v>
      </c>
      <c r="Z421" s="5" t="str">
        <f t="shared" si="12"/>
        <v>Medium</v>
      </c>
      <c r="AA421" s="5" t="s">
        <v>956</v>
      </c>
      <c r="AB421" s="6" t="s">
        <v>924</v>
      </c>
      <c r="AC421" s="6" t="s">
        <v>11</v>
      </c>
      <c r="AD421" s="5" t="s">
        <v>925</v>
      </c>
      <c r="AE421" s="5" t="s">
        <v>354</v>
      </c>
      <c r="AF421" s="5" t="s">
        <v>354</v>
      </c>
      <c r="AG421" s="5" t="s">
        <v>354</v>
      </c>
      <c r="AH421" s="5" t="s">
        <v>354</v>
      </c>
      <c r="AI421" s="6" t="str">
        <f t="shared" si="13"/>
        <v>No</v>
      </c>
      <c r="AJ421" s="6" t="s">
        <v>926</v>
      </c>
      <c r="AK421" s="6" t="s">
        <v>151</v>
      </c>
      <c r="AL421" s="6">
        <f>MATCH(AA421,{"Low","Medium","High"},0)*MATCH(AB421,{"Low","Medium","High"},0)*INDEX({3,2,2,1,1},MATCH(X421,{"Core","Vertical extension","Differentiator","Future","Adjacent"},0))</f>
        <v>6</v>
      </c>
      <c r="AM421" s="5"/>
      <c r="AN421" s="5"/>
      <c r="AO421" s="5"/>
      <c r="AP421" s="5"/>
      <c r="AQ421" s="5"/>
      <c r="AR421" s="5"/>
      <c r="AS421" s="5"/>
      <c r="AT421" s="5"/>
      <c r="AU421" s="6" t="s">
        <v>927</v>
      </c>
      <c r="AV421" s="6" t="s">
        <v>1390</v>
      </c>
      <c r="AW421" s="6" t="s">
        <v>1390</v>
      </c>
      <c r="AX421" s="6" t="s">
        <v>929</v>
      </c>
      <c r="AY421" s="6" t="s">
        <v>930</v>
      </c>
      <c r="AZ421" s="6"/>
      <c r="BA421" s="6"/>
      <c r="BB421" s="6"/>
      <c r="BC421" s="6" t="s">
        <v>97</v>
      </c>
      <c r="BD421" s="6" t="s">
        <v>97</v>
      </c>
    </row>
    <row r="422" spans="1:56" ht="32" customHeight="1" x14ac:dyDescent="0.35">
      <c r="A422" s="13" t="s">
        <v>3433</v>
      </c>
      <c r="B422" s="6" t="s">
        <v>2114</v>
      </c>
      <c r="C422" s="5" t="s">
        <v>2115</v>
      </c>
      <c r="D422" s="5" t="s">
        <v>838</v>
      </c>
      <c r="E422" s="5" t="s">
        <v>3434</v>
      </c>
      <c r="F422" s="5" t="s">
        <v>3428</v>
      </c>
      <c r="G422" s="5" t="s">
        <v>3435</v>
      </c>
      <c r="H422" s="5" t="s">
        <v>3436</v>
      </c>
      <c r="I422" s="5" t="s">
        <v>3437</v>
      </c>
      <c r="J422" s="17" t="s">
        <v>121</v>
      </c>
      <c r="K422" s="17" t="s">
        <v>181</v>
      </c>
      <c r="L422" s="5" t="s">
        <v>3438</v>
      </c>
      <c r="M422" s="6" t="s">
        <v>197</v>
      </c>
      <c r="N422" s="6" t="s">
        <v>812</v>
      </c>
      <c r="O422" s="6" t="s">
        <v>121</v>
      </c>
      <c r="P422" s="5" t="s">
        <v>918</v>
      </c>
      <c r="Q422" s="17" t="s">
        <v>182</v>
      </c>
      <c r="R422" s="5"/>
      <c r="S422" s="6" t="s">
        <v>990</v>
      </c>
      <c r="T422" s="5" t="s">
        <v>991</v>
      </c>
      <c r="U422" s="6"/>
      <c r="V422" s="6" t="s">
        <v>992</v>
      </c>
      <c r="W422" s="6" t="s">
        <v>337</v>
      </c>
      <c r="X422" s="5" t="s">
        <v>922</v>
      </c>
      <c r="Y422" s="5" t="s">
        <v>812</v>
      </c>
      <c r="Z422" s="5" t="str">
        <f t="shared" si="12"/>
        <v>Medium</v>
      </c>
      <c r="AA422" s="5" t="s">
        <v>956</v>
      </c>
      <c r="AB422" s="6" t="s">
        <v>924</v>
      </c>
      <c r="AC422" s="6" t="s">
        <v>11</v>
      </c>
      <c r="AD422" s="5" t="s">
        <v>925</v>
      </c>
      <c r="AE422" s="5" t="s">
        <v>354</v>
      </c>
      <c r="AF422" s="5" t="s">
        <v>354</v>
      </c>
      <c r="AG422" s="5" t="s">
        <v>354</v>
      </c>
      <c r="AH422" s="5" t="s">
        <v>354</v>
      </c>
      <c r="AI422" s="6" t="str">
        <f t="shared" si="13"/>
        <v>No</v>
      </c>
      <c r="AJ422" s="6" t="s">
        <v>926</v>
      </c>
      <c r="AK422" s="6" t="s">
        <v>151</v>
      </c>
      <c r="AL422" s="6">
        <f>MATCH(AA422,{"Low","Medium","High"},0)*MATCH(AB422,{"Low","Medium","High"},0)*INDEX({3,2,2,1,1},MATCH(X422,{"Core","Vertical extension","Differentiator","Future","Adjacent"},0))</f>
        <v>6</v>
      </c>
      <c r="AM422" s="5"/>
      <c r="AN422" s="5"/>
      <c r="AO422" s="5"/>
      <c r="AP422" s="5"/>
      <c r="AQ422" s="5"/>
      <c r="AR422" s="5"/>
      <c r="AS422" s="5"/>
      <c r="AT422" s="5"/>
      <c r="AU422" s="6" t="s">
        <v>927</v>
      </c>
      <c r="AV422" s="6" t="s">
        <v>1390</v>
      </c>
      <c r="AW422" s="6" t="s">
        <v>1390</v>
      </c>
      <c r="AX422" s="6" t="s">
        <v>929</v>
      </c>
      <c r="AY422" s="6" t="s">
        <v>930</v>
      </c>
      <c r="AZ422" s="6"/>
      <c r="BA422" s="6"/>
      <c r="BB422" s="6"/>
      <c r="BC422" s="6" t="s">
        <v>97</v>
      </c>
      <c r="BD422" s="6" t="s">
        <v>97</v>
      </c>
    </row>
    <row r="423" spans="1:56" ht="32" customHeight="1" x14ac:dyDescent="0.35">
      <c r="A423" s="13" t="s">
        <v>3439</v>
      </c>
      <c r="B423" s="6" t="s">
        <v>2114</v>
      </c>
      <c r="C423" s="5" t="s">
        <v>2115</v>
      </c>
      <c r="D423" s="5" t="s">
        <v>827</v>
      </c>
      <c r="E423" s="5" t="s">
        <v>3440</v>
      </c>
      <c r="F423" s="5" t="s">
        <v>3428</v>
      </c>
      <c r="G423" s="5" t="s">
        <v>1623</v>
      </c>
      <c r="H423" s="5" t="s">
        <v>3441</v>
      </c>
      <c r="I423" s="5" t="s">
        <v>3442</v>
      </c>
      <c r="J423" s="17" t="s">
        <v>121</v>
      </c>
      <c r="K423" s="17" t="s">
        <v>181</v>
      </c>
      <c r="L423" s="5" t="s">
        <v>3443</v>
      </c>
      <c r="M423" s="6" t="s">
        <v>197</v>
      </c>
      <c r="N423" s="6" t="s">
        <v>812</v>
      </c>
      <c r="O423" s="6" t="s">
        <v>121</v>
      </c>
      <c r="P423" s="5" t="s">
        <v>918</v>
      </c>
      <c r="Q423" s="17" t="s">
        <v>182</v>
      </c>
      <c r="R423" s="5"/>
      <c r="S423" s="6" t="s">
        <v>1030</v>
      </c>
      <c r="T423" s="5" t="s">
        <v>827</v>
      </c>
      <c r="U423" s="6"/>
      <c r="V423" s="6" t="s">
        <v>1031</v>
      </c>
      <c r="W423" s="6" t="s">
        <v>333</v>
      </c>
      <c r="X423" s="5" t="s">
        <v>922</v>
      </c>
      <c r="Y423" s="5" t="s">
        <v>812</v>
      </c>
      <c r="Z423" s="5" t="str">
        <f t="shared" si="12"/>
        <v>High</v>
      </c>
      <c r="AA423" s="5" t="s">
        <v>956</v>
      </c>
      <c r="AB423" s="6" t="s">
        <v>956</v>
      </c>
      <c r="AC423" s="6" t="s">
        <v>103</v>
      </c>
      <c r="AD423" s="5" t="s">
        <v>925</v>
      </c>
      <c r="AE423" s="5" t="s">
        <v>354</v>
      </c>
      <c r="AF423" s="5" t="s">
        <v>354</v>
      </c>
      <c r="AG423" s="5" t="s">
        <v>354</v>
      </c>
      <c r="AH423" s="5" t="s">
        <v>354</v>
      </c>
      <c r="AI423" s="6" t="str">
        <f t="shared" si="13"/>
        <v>No</v>
      </c>
      <c r="AJ423" s="6" t="s">
        <v>926</v>
      </c>
      <c r="AK423" s="6" t="s">
        <v>121</v>
      </c>
      <c r="AL423" s="6">
        <f>MATCH(AA423,{"Low","Medium","High"},0)*MATCH(AB423,{"Low","Medium","High"},0)*INDEX({3,2,2,1,1},MATCH(X423,{"Core","Vertical extension","Differentiator","Future","Adjacent"},0))</f>
        <v>12</v>
      </c>
      <c r="AM423" s="5"/>
      <c r="AN423" s="5"/>
      <c r="AO423" s="5"/>
      <c r="AP423" s="5"/>
      <c r="AQ423" s="5"/>
      <c r="AR423" s="5"/>
      <c r="AS423" s="5"/>
      <c r="AT423" s="5"/>
      <c r="AU423" s="6" t="s">
        <v>927</v>
      </c>
      <c r="AV423" s="6" t="s">
        <v>1390</v>
      </c>
      <c r="AW423" s="6" t="s">
        <v>1390</v>
      </c>
      <c r="AX423" s="6" t="s">
        <v>929</v>
      </c>
      <c r="AY423" s="6" t="s">
        <v>1032</v>
      </c>
      <c r="AZ423" s="6"/>
      <c r="BA423" s="6"/>
      <c r="BB423" s="6"/>
      <c r="BC423" s="6" t="s">
        <v>97</v>
      </c>
      <c r="BD423" s="6" t="s">
        <v>97</v>
      </c>
    </row>
    <row r="424" spans="1:56" ht="32" customHeight="1" x14ac:dyDescent="0.35">
      <c r="A424" s="13" t="s">
        <v>3444</v>
      </c>
      <c r="B424" s="6" t="s">
        <v>2114</v>
      </c>
      <c r="C424" s="5" t="s">
        <v>2115</v>
      </c>
      <c r="D424" s="5" t="s">
        <v>827</v>
      </c>
      <c r="E424" s="5" t="s">
        <v>3445</v>
      </c>
      <c r="F424" s="5" t="s">
        <v>3428</v>
      </c>
      <c r="G424" s="5" t="s">
        <v>2433</v>
      </c>
      <c r="H424" s="5" t="s">
        <v>3446</v>
      </c>
      <c r="I424" s="5" t="s">
        <v>3447</v>
      </c>
      <c r="J424" s="17" t="s">
        <v>121</v>
      </c>
      <c r="K424" s="17" t="s">
        <v>181</v>
      </c>
      <c r="L424" s="5" t="s">
        <v>3448</v>
      </c>
      <c r="M424" s="6" t="s">
        <v>197</v>
      </c>
      <c r="N424" s="6" t="s">
        <v>812</v>
      </c>
      <c r="O424" s="6" t="s">
        <v>121</v>
      </c>
      <c r="P424" s="5" t="s">
        <v>918</v>
      </c>
      <c r="Q424" s="18" t="s">
        <v>186</v>
      </c>
      <c r="R424" s="5" t="s">
        <v>1429</v>
      </c>
      <c r="S424" s="6" t="s">
        <v>1030</v>
      </c>
      <c r="T424" s="5" t="s">
        <v>827</v>
      </c>
      <c r="U424" s="6"/>
      <c r="V424" s="6" t="s">
        <v>1031</v>
      </c>
      <c r="W424" s="6" t="s">
        <v>333</v>
      </c>
      <c r="X424" s="5" t="s">
        <v>922</v>
      </c>
      <c r="Y424" s="5" t="s">
        <v>812</v>
      </c>
      <c r="Z424" s="5" t="str">
        <f t="shared" si="12"/>
        <v>High</v>
      </c>
      <c r="AA424" s="5" t="s">
        <v>956</v>
      </c>
      <c r="AB424" s="6" t="s">
        <v>956</v>
      </c>
      <c r="AC424" s="6" t="s">
        <v>103</v>
      </c>
      <c r="AD424" s="5" t="s">
        <v>940</v>
      </c>
      <c r="AE424" s="5" t="s">
        <v>354</v>
      </c>
      <c r="AF424" s="5" t="s">
        <v>354</v>
      </c>
      <c r="AG424" s="5" t="s">
        <v>354</v>
      </c>
      <c r="AH424" s="5" t="s">
        <v>354</v>
      </c>
      <c r="AI424" s="6" t="str">
        <f t="shared" si="13"/>
        <v>No</v>
      </c>
      <c r="AJ424" s="6" t="s">
        <v>941</v>
      </c>
      <c r="AK424" s="6" t="s">
        <v>121</v>
      </c>
      <c r="AL424" s="6">
        <f>MATCH(AA424,{"Low","Medium","High"},0)*MATCH(AB424,{"Low","Medium","High"},0)*INDEX({3,2,2,1,1},MATCH(X424,{"Core","Vertical extension","Differentiator","Future","Adjacent"},0))</f>
        <v>12</v>
      </c>
      <c r="AM424" s="5"/>
      <c r="AN424" s="5"/>
      <c r="AO424" s="5"/>
      <c r="AP424" s="5"/>
      <c r="AQ424" s="5"/>
      <c r="AR424" s="5"/>
      <c r="AS424" s="5"/>
      <c r="AT424" s="5"/>
      <c r="AU424" s="6" t="s">
        <v>927</v>
      </c>
      <c r="AV424" s="6" t="s">
        <v>1390</v>
      </c>
      <c r="AW424" s="6" t="s">
        <v>1390</v>
      </c>
      <c r="AX424" s="6" t="s">
        <v>929</v>
      </c>
      <c r="AY424" s="6" t="s">
        <v>1032</v>
      </c>
      <c r="AZ424" s="6"/>
      <c r="BA424" s="6"/>
      <c r="BB424" s="6"/>
      <c r="BC424" s="6" t="s">
        <v>97</v>
      </c>
      <c r="BD424" s="6" t="s">
        <v>97</v>
      </c>
    </row>
    <row r="425" spans="1:56" ht="32" customHeight="1" x14ac:dyDescent="0.35">
      <c r="A425" s="13" t="s">
        <v>3449</v>
      </c>
      <c r="B425" s="6" t="s">
        <v>2114</v>
      </c>
      <c r="C425" s="5" t="s">
        <v>2115</v>
      </c>
      <c r="D425" s="5" t="s">
        <v>827</v>
      </c>
      <c r="E425" s="5" t="s">
        <v>3450</v>
      </c>
      <c r="F425" s="5" t="s">
        <v>3428</v>
      </c>
      <c r="G425" s="5" t="s">
        <v>3451</v>
      </c>
      <c r="H425" s="5" t="s">
        <v>3452</v>
      </c>
      <c r="I425" s="5" t="s">
        <v>3453</v>
      </c>
      <c r="J425" s="17" t="s">
        <v>121</v>
      </c>
      <c r="K425" s="17" t="s">
        <v>181</v>
      </c>
      <c r="L425" s="5" t="s">
        <v>3454</v>
      </c>
      <c r="M425" s="6" t="s">
        <v>197</v>
      </c>
      <c r="N425" s="6" t="s">
        <v>812</v>
      </c>
      <c r="O425" s="6" t="s">
        <v>121</v>
      </c>
      <c r="P425" s="5" t="s">
        <v>918</v>
      </c>
      <c r="Q425" s="17" t="s">
        <v>182</v>
      </c>
      <c r="R425" s="5"/>
      <c r="S425" s="6" t="s">
        <v>1030</v>
      </c>
      <c r="T425" s="5" t="s">
        <v>827</v>
      </c>
      <c r="U425" s="6"/>
      <c r="V425" s="6" t="s">
        <v>1055</v>
      </c>
      <c r="W425" s="6" t="s">
        <v>333</v>
      </c>
      <c r="X425" s="5" t="s">
        <v>922</v>
      </c>
      <c r="Y425" s="5" t="s">
        <v>812</v>
      </c>
      <c r="Z425" s="5" t="str">
        <f t="shared" si="12"/>
        <v>High</v>
      </c>
      <c r="AA425" s="5" t="s">
        <v>956</v>
      </c>
      <c r="AB425" s="6" t="s">
        <v>956</v>
      </c>
      <c r="AC425" s="6" t="s">
        <v>103</v>
      </c>
      <c r="AD425" s="5" t="s">
        <v>925</v>
      </c>
      <c r="AE425" s="5" t="s">
        <v>354</v>
      </c>
      <c r="AF425" s="5" t="s">
        <v>354</v>
      </c>
      <c r="AG425" s="5" t="s">
        <v>354</v>
      </c>
      <c r="AH425" s="5" t="s">
        <v>354</v>
      </c>
      <c r="AI425" s="6" t="str">
        <f t="shared" si="13"/>
        <v>No</v>
      </c>
      <c r="AJ425" s="6" t="s">
        <v>926</v>
      </c>
      <c r="AK425" s="6" t="s">
        <v>121</v>
      </c>
      <c r="AL425" s="6">
        <f>MATCH(AA425,{"Low","Medium","High"},0)*MATCH(AB425,{"Low","Medium","High"},0)*INDEX({3,2,2,1,1},MATCH(X425,{"Core","Vertical extension","Differentiator","Future","Adjacent"},0))</f>
        <v>12</v>
      </c>
      <c r="AM425" s="5"/>
      <c r="AN425" s="5"/>
      <c r="AO425" s="5"/>
      <c r="AP425" s="5"/>
      <c r="AQ425" s="5"/>
      <c r="AR425" s="5"/>
      <c r="AS425" s="5"/>
      <c r="AT425" s="5"/>
      <c r="AU425" s="6" t="s">
        <v>927</v>
      </c>
      <c r="AV425" s="6" t="s">
        <v>1390</v>
      </c>
      <c r="AW425" s="6" t="s">
        <v>1390</v>
      </c>
      <c r="AX425" s="6" t="s">
        <v>929</v>
      </c>
      <c r="AY425" s="6" t="s">
        <v>1032</v>
      </c>
      <c r="AZ425" s="6"/>
      <c r="BA425" s="6"/>
      <c r="BB425" s="6"/>
      <c r="BC425" s="6" t="s">
        <v>97</v>
      </c>
      <c r="BD425" s="6" t="s">
        <v>97</v>
      </c>
    </row>
    <row r="426" spans="1:56" ht="32" customHeight="1" x14ac:dyDescent="0.35">
      <c r="A426" s="13" t="s">
        <v>3455</v>
      </c>
      <c r="B426" s="6" t="s">
        <v>2114</v>
      </c>
      <c r="C426" s="5" t="s">
        <v>2115</v>
      </c>
      <c r="D426" s="5" t="s">
        <v>827</v>
      </c>
      <c r="E426" s="5" t="s">
        <v>3456</v>
      </c>
      <c r="F426" s="5" t="s">
        <v>3428</v>
      </c>
      <c r="G426" s="5" t="s">
        <v>3457</v>
      </c>
      <c r="H426" s="5" t="s">
        <v>3458</v>
      </c>
      <c r="I426" s="5" t="s">
        <v>3459</v>
      </c>
      <c r="J426" s="17" t="s">
        <v>121</v>
      </c>
      <c r="K426" s="17" t="s">
        <v>181</v>
      </c>
      <c r="L426" s="5" t="s">
        <v>3460</v>
      </c>
      <c r="M426" s="6" t="s">
        <v>197</v>
      </c>
      <c r="N426" s="6" t="s">
        <v>812</v>
      </c>
      <c r="O426" s="6" t="s">
        <v>121</v>
      </c>
      <c r="P426" s="5" t="s">
        <v>918</v>
      </c>
      <c r="Q426" s="17" t="s">
        <v>182</v>
      </c>
      <c r="R426" s="5"/>
      <c r="S426" s="6" t="s">
        <v>1030</v>
      </c>
      <c r="T426" s="5" t="s">
        <v>827</v>
      </c>
      <c r="U426" s="6"/>
      <c r="V426" s="6" t="s">
        <v>1031</v>
      </c>
      <c r="W426" s="6" t="s">
        <v>333</v>
      </c>
      <c r="X426" s="5" t="s">
        <v>922</v>
      </c>
      <c r="Y426" s="5" t="s">
        <v>812</v>
      </c>
      <c r="Z426" s="5" t="str">
        <f t="shared" si="12"/>
        <v>High</v>
      </c>
      <c r="AA426" s="5" t="s">
        <v>956</v>
      </c>
      <c r="AB426" s="6" t="s">
        <v>956</v>
      </c>
      <c r="AC426" s="6" t="s">
        <v>103</v>
      </c>
      <c r="AD426" s="5" t="s">
        <v>925</v>
      </c>
      <c r="AE426" s="5" t="s">
        <v>354</v>
      </c>
      <c r="AF426" s="5" t="s">
        <v>354</v>
      </c>
      <c r="AG426" s="5" t="s">
        <v>354</v>
      </c>
      <c r="AH426" s="5" t="s">
        <v>354</v>
      </c>
      <c r="AI426" s="6" t="str">
        <f t="shared" si="13"/>
        <v>No</v>
      </c>
      <c r="AJ426" s="6" t="s">
        <v>926</v>
      </c>
      <c r="AK426" s="6" t="s">
        <v>121</v>
      </c>
      <c r="AL426" s="6">
        <f>MATCH(AA426,{"Low","Medium","High"},0)*MATCH(AB426,{"Low","Medium","High"},0)*INDEX({3,2,2,1,1},MATCH(X426,{"Core","Vertical extension","Differentiator","Future","Adjacent"},0))</f>
        <v>12</v>
      </c>
      <c r="AM426" s="5"/>
      <c r="AN426" s="5"/>
      <c r="AO426" s="5"/>
      <c r="AP426" s="5"/>
      <c r="AQ426" s="5"/>
      <c r="AR426" s="5"/>
      <c r="AS426" s="5"/>
      <c r="AT426" s="5"/>
      <c r="AU426" s="6" t="s">
        <v>927</v>
      </c>
      <c r="AV426" s="6" t="s">
        <v>1390</v>
      </c>
      <c r="AW426" s="6" t="s">
        <v>1390</v>
      </c>
      <c r="AX426" s="6" t="s">
        <v>929</v>
      </c>
      <c r="AY426" s="6" t="s">
        <v>1032</v>
      </c>
      <c r="AZ426" s="6"/>
      <c r="BA426" s="6"/>
      <c r="BB426" s="6"/>
      <c r="BC426" s="6" t="s">
        <v>97</v>
      </c>
      <c r="BD426" s="6" t="s">
        <v>97</v>
      </c>
    </row>
    <row r="427" spans="1:56" ht="32" customHeight="1" x14ac:dyDescent="0.35">
      <c r="A427" s="13" t="s">
        <v>3461</v>
      </c>
      <c r="B427" s="6" t="s">
        <v>2114</v>
      </c>
      <c r="C427" s="5" t="s">
        <v>2115</v>
      </c>
      <c r="D427" s="5" t="s">
        <v>827</v>
      </c>
      <c r="E427" s="5" t="s">
        <v>3462</v>
      </c>
      <c r="F427" s="5" t="s">
        <v>3428</v>
      </c>
      <c r="G427" s="5" t="s">
        <v>3463</v>
      </c>
      <c r="H427" s="5" t="s">
        <v>3464</v>
      </c>
      <c r="I427" s="5" t="s">
        <v>3465</v>
      </c>
      <c r="J427" s="17" t="s">
        <v>121</v>
      </c>
      <c r="K427" s="17" t="s">
        <v>181</v>
      </c>
      <c r="L427" s="5" t="s">
        <v>3466</v>
      </c>
      <c r="M427" s="6" t="s">
        <v>197</v>
      </c>
      <c r="N427" s="6" t="s">
        <v>812</v>
      </c>
      <c r="O427" s="6" t="s">
        <v>121</v>
      </c>
      <c r="P427" s="5" t="s">
        <v>918</v>
      </c>
      <c r="Q427" s="17" t="s">
        <v>182</v>
      </c>
      <c r="R427" s="5"/>
      <c r="S427" s="6" t="s">
        <v>1030</v>
      </c>
      <c r="T427" s="5" t="s">
        <v>827</v>
      </c>
      <c r="U427" s="6"/>
      <c r="V427" s="6" t="s">
        <v>1031</v>
      </c>
      <c r="W427" s="6" t="s">
        <v>333</v>
      </c>
      <c r="X427" s="5" t="s">
        <v>922</v>
      </c>
      <c r="Y427" s="5" t="s">
        <v>812</v>
      </c>
      <c r="Z427" s="5" t="str">
        <f t="shared" si="12"/>
        <v>High</v>
      </c>
      <c r="AA427" s="5" t="s">
        <v>956</v>
      </c>
      <c r="AB427" s="6" t="s">
        <v>956</v>
      </c>
      <c r="AC427" s="6" t="s">
        <v>103</v>
      </c>
      <c r="AD427" s="5" t="s">
        <v>925</v>
      </c>
      <c r="AE427" s="5" t="s">
        <v>354</v>
      </c>
      <c r="AF427" s="5" t="s">
        <v>354</v>
      </c>
      <c r="AG427" s="5" t="s">
        <v>354</v>
      </c>
      <c r="AH427" s="5" t="s">
        <v>354</v>
      </c>
      <c r="AI427" s="6" t="str">
        <f t="shared" si="13"/>
        <v>No</v>
      </c>
      <c r="AJ427" s="6" t="s">
        <v>926</v>
      </c>
      <c r="AK427" s="6" t="s">
        <v>121</v>
      </c>
      <c r="AL427" s="6">
        <f>MATCH(AA427,{"Low","Medium","High"},0)*MATCH(AB427,{"Low","Medium","High"},0)*INDEX({3,2,2,1,1},MATCH(X427,{"Core","Vertical extension","Differentiator","Future","Adjacent"},0))</f>
        <v>12</v>
      </c>
      <c r="AM427" s="5"/>
      <c r="AN427" s="5"/>
      <c r="AO427" s="5"/>
      <c r="AP427" s="5"/>
      <c r="AQ427" s="5"/>
      <c r="AR427" s="5"/>
      <c r="AS427" s="5"/>
      <c r="AT427" s="5"/>
      <c r="AU427" s="6" t="s">
        <v>927</v>
      </c>
      <c r="AV427" s="6" t="s">
        <v>1390</v>
      </c>
      <c r="AW427" s="6" t="s">
        <v>1390</v>
      </c>
      <c r="AX427" s="6" t="s">
        <v>929</v>
      </c>
      <c r="AY427" s="6" t="s">
        <v>1032</v>
      </c>
      <c r="AZ427" s="6"/>
      <c r="BA427" s="6"/>
      <c r="BB427" s="6"/>
      <c r="BC427" s="6" t="s">
        <v>97</v>
      </c>
      <c r="BD427" s="6" t="s">
        <v>97</v>
      </c>
    </row>
    <row r="428" spans="1:56" ht="32" customHeight="1" x14ac:dyDescent="0.35">
      <c r="A428" s="13" t="s">
        <v>3467</v>
      </c>
      <c r="B428" s="6" t="s">
        <v>2114</v>
      </c>
      <c r="C428" s="5" t="s">
        <v>2115</v>
      </c>
      <c r="D428" s="5" t="s">
        <v>827</v>
      </c>
      <c r="E428" s="5" t="s">
        <v>3468</v>
      </c>
      <c r="F428" s="5" t="s">
        <v>3428</v>
      </c>
      <c r="G428" s="5" t="s">
        <v>1596</v>
      </c>
      <c r="H428" s="5" t="s">
        <v>3469</v>
      </c>
      <c r="I428" s="5" t="s">
        <v>3470</v>
      </c>
      <c r="J428" s="17" t="s">
        <v>121</v>
      </c>
      <c r="K428" s="17" t="s">
        <v>181</v>
      </c>
      <c r="L428" s="5" t="s">
        <v>3471</v>
      </c>
      <c r="M428" s="6" t="s">
        <v>197</v>
      </c>
      <c r="N428" s="6" t="s">
        <v>812</v>
      </c>
      <c r="O428" s="6" t="s">
        <v>121</v>
      </c>
      <c r="P428" s="5" t="s">
        <v>918</v>
      </c>
      <c r="Q428" s="17" t="s">
        <v>182</v>
      </c>
      <c r="R428" s="5"/>
      <c r="S428" s="6" t="s">
        <v>1030</v>
      </c>
      <c r="T428" s="5" t="s">
        <v>827</v>
      </c>
      <c r="U428" s="6"/>
      <c r="V428" s="6" t="s">
        <v>1031</v>
      </c>
      <c r="W428" s="6" t="s">
        <v>333</v>
      </c>
      <c r="X428" s="5" t="s">
        <v>922</v>
      </c>
      <c r="Y428" s="5" t="s">
        <v>812</v>
      </c>
      <c r="Z428" s="5" t="str">
        <f t="shared" si="12"/>
        <v>High</v>
      </c>
      <c r="AA428" s="5" t="s">
        <v>956</v>
      </c>
      <c r="AB428" s="6" t="s">
        <v>956</v>
      </c>
      <c r="AC428" s="6" t="s">
        <v>103</v>
      </c>
      <c r="AD428" s="5" t="s">
        <v>925</v>
      </c>
      <c r="AE428" s="5" t="s">
        <v>354</v>
      </c>
      <c r="AF428" s="5" t="s">
        <v>354</v>
      </c>
      <c r="AG428" s="5" t="s">
        <v>354</v>
      </c>
      <c r="AH428" s="5" t="s">
        <v>354</v>
      </c>
      <c r="AI428" s="6" t="str">
        <f t="shared" si="13"/>
        <v>No</v>
      </c>
      <c r="AJ428" s="6" t="s">
        <v>926</v>
      </c>
      <c r="AK428" s="6" t="s">
        <v>121</v>
      </c>
      <c r="AL428" s="6">
        <f>MATCH(AA428,{"Low","Medium","High"},0)*MATCH(AB428,{"Low","Medium","High"},0)*INDEX({3,2,2,1,1},MATCH(X428,{"Core","Vertical extension","Differentiator","Future","Adjacent"},0))</f>
        <v>12</v>
      </c>
      <c r="AM428" s="5"/>
      <c r="AN428" s="5"/>
      <c r="AO428" s="5"/>
      <c r="AP428" s="5"/>
      <c r="AQ428" s="5"/>
      <c r="AR428" s="5"/>
      <c r="AS428" s="5"/>
      <c r="AT428" s="5"/>
      <c r="AU428" s="6" t="s">
        <v>927</v>
      </c>
      <c r="AV428" s="6" t="s">
        <v>1390</v>
      </c>
      <c r="AW428" s="6" t="s">
        <v>1390</v>
      </c>
      <c r="AX428" s="6" t="s">
        <v>929</v>
      </c>
      <c r="AY428" s="6" t="s">
        <v>1032</v>
      </c>
      <c r="AZ428" s="6"/>
      <c r="BA428" s="6" t="s">
        <v>1602</v>
      </c>
      <c r="BB428" s="6" t="s">
        <v>1603</v>
      </c>
      <c r="BC428" s="6" t="s">
        <v>97</v>
      </c>
      <c r="BD428" s="6" t="s">
        <v>97</v>
      </c>
    </row>
    <row r="429" spans="1:56" ht="32" customHeight="1" x14ac:dyDescent="0.35">
      <c r="A429" s="13" t="s">
        <v>3472</v>
      </c>
      <c r="B429" s="6" t="s">
        <v>2114</v>
      </c>
      <c r="C429" s="5" t="s">
        <v>2115</v>
      </c>
      <c r="D429" s="5" t="s">
        <v>827</v>
      </c>
      <c r="E429" s="5" t="s">
        <v>3473</v>
      </c>
      <c r="F429" s="5" t="s">
        <v>3428</v>
      </c>
      <c r="G429" s="5" t="s">
        <v>1597</v>
      </c>
      <c r="H429" s="5" t="s">
        <v>3474</v>
      </c>
      <c r="I429" s="5" t="s">
        <v>3475</v>
      </c>
      <c r="J429" s="17" t="s">
        <v>121</v>
      </c>
      <c r="K429" s="17" t="s">
        <v>181</v>
      </c>
      <c r="L429" s="5" t="s">
        <v>3476</v>
      </c>
      <c r="M429" s="6" t="s">
        <v>197</v>
      </c>
      <c r="N429" s="6" t="s">
        <v>812</v>
      </c>
      <c r="O429" s="6" t="s">
        <v>121</v>
      </c>
      <c r="P429" s="5" t="s">
        <v>918</v>
      </c>
      <c r="Q429" s="17" t="s">
        <v>182</v>
      </c>
      <c r="R429" s="5"/>
      <c r="S429" s="6" t="s">
        <v>1030</v>
      </c>
      <c r="T429" s="5" t="s">
        <v>827</v>
      </c>
      <c r="U429" s="6"/>
      <c r="V429" s="6" t="s">
        <v>1031</v>
      </c>
      <c r="W429" s="6" t="s">
        <v>333</v>
      </c>
      <c r="X429" s="5" t="s">
        <v>922</v>
      </c>
      <c r="Y429" s="5" t="s">
        <v>812</v>
      </c>
      <c r="Z429" s="5" t="str">
        <f t="shared" si="12"/>
        <v>High</v>
      </c>
      <c r="AA429" s="5" t="s">
        <v>956</v>
      </c>
      <c r="AB429" s="6" t="s">
        <v>956</v>
      </c>
      <c r="AC429" s="6" t="s">
        <v>103</v>
      </c>
      <c r="AD429" s="5" t="s">
        <v>925</v>
      </c>
      <c r="AE429" s="5" t="s">
        <v>354</v>
      </c>
      <c r="AF429" s="5" t="s">
        <v>354</v>
      </c>
      <c r="AG429" s="5" t="s">
        <v>354</v>
      </c>
      <c r="AH429" s="5" t="s">
        <v>354</v>
      </c>
      <c r="AI429" s="6" t="str">
        <f t="shared" si="13"/>
        <v>No</v>
      </c>
      <c r="AJ429" s="6" t="s">
        <v>926</v>
      </c>
      <c r="AK429" s="6" t="s">
        <v>121</v>
      </c>
      <c r="AL429" s="6">
        <f>MATCH(AA429,{"Low","Medium","High"},0)*MATCH(AB429,{"Low","Medium","High"},0)*INDEX({3,2,2,1,1},MATCH(X429,{"Core","Vertical extension","Differentiator","Future","Adjacent"},0))</f>
        <v>12</v>
      </c>
      <c r="AM429" s="5"/>
      <c r="AN429" s="5"/>
      <c r="AO429" s="5"/>
      <c r="AP429" s="5"/>
      <c r="AQ429" s="5"/>
      <c r="AR429" s="5"/>
      <c r="AS429" s="5"/>
      <c r="AT429" s="5"/>
      <c r="AU429" s="6" t="s">
        <v>927</v>
      </c>
      <c r="AV429" s="6" t="s">
        <v>1390</v>
      </c>
      <c r="AW429" s="6" t="s">
        <v>1390</v>
      </c>
      <c r="AX429" s="6" t="s">
        <v>929</v>
      </c>
      <c r="AY429" s="6" t="s">
        <v>1032</v>
      </c>
      <c r="AZ429" s="6"/>
      <c r="BA429" s="6"/>
      <c r="BB429" s="6"/>
      <c r="BC429" s="6" t="s">
        <v>97</v>
      </c>
      <c r="BD429" s="6" t="s">
        <v>97</v>
      </c>
    </row>
    <row r="430" spans="1:56" ht="32" customHeight="1" x14ac:dyDescent="0.35">
      <c r="A430" s="13" t="s">
        <v>3477</v>
      </c>
      <c r="B430" s="6" t="s">
        <v>2114</v>
      </c>
      <c r="C430" s="5" t="s">
        <v>2115</v>
      </c>
      <c r="D430" s="5" t="s">
        <v>827</v>
      </c>
      <c r="E430" s="5" t="s">
        <v>3478</v>
      </c>
      <c r="F430" s="5" t="s">
        <v>3428</v>
      </c>
      <c r="G430" s="5" t="s">
        <v>1596</v>
      </c>
      <c r="H430" s="5" t="s">
        <v>3479</v>
      </c>
      <c r="I430" s="5" t="s">
        <v>3480</v>
      </c>
      <c r="J430" s="17" t="s">
        <v>121</v>
      </c>
      <c r="K430" s="17" t="s">
        <v>181</v>
      </c>
      <c r="L430" s="5" t="s">
        <v>3481</v>
      </c>
      <c r="M430" s="6" t="s">
        <v>197</v>
      </c>
      <c r="N430" s="6" t="s">
        <v>812</v>
      </c>
      <c r="O430" s="6" t="s">
        <v>121</v>
      </c>
      <c r="P430" s="5" t="s">
        <v>918</v>
      </c>
      <c r="Q430" s="17" t="s">
        <v>182</v>
      </c>
      <c r="R430" s="5"/>
      <c r="S430" s="6" t="s">
        <v>1030</v>
      </c>
      <c r="T430" s="5" t="s">
        <v>827</v>
      </c>
      <c r="U430" s="6"/>
      <c r="V430" s="6" t="s">
        <v>1031</v>
      </c>
      <c r="W430" s="6" t="s">
        <v>333</v>
      </c>
      <c r="X430" s="5" t="s">
        <v>922</v>
      </c>
      <c r="Y430" s="5" t="s">
        <v>812</v>
      </c>
      <c r="Z430" s="5" t="str">
        <f t="shared" si="12"/>
        <v>High</v>
      </c>
      <c r="AA430" s="5" t="s">
        <v>956</v>
      </c>
      <c r="AB430" s="6" t="s">
        <v>956</v>
      </c>
      <c r="AC430" s="6" t="s">
        <v>103</v>
      </c>
      <c r="AD430" s="5" t="s">
        <v>925</v>
      </c>
      <c r="AE430" s="5" t="s">
        <v>354</v>
      </c>
      <c r="AF430" s="5" t="s">
        <v>354</v>
      </c>
      <c r="AG430" s="5" t="s">
        <v>354</v>
      </c>
      <c r="AH430" s="5" t="s">
        <v>354</v>
      </c>
      <c r="AI430" s="6" t="str">
        <f t="shared" si="13"/>
        <v>No</v>
      </c>
      <c r="AJ430" s="6" t="s">
        <v>926</v>
      </c>
      <c r="AK430" s="6" t="s">
        <v>121</v>
      </c>
      <c r="AL430" s="6">
        <f>MATCH(AA430,{"Low","Medium","High"},0)*MATCH(AB430,{"Low","Medium","High"},0)*INDEX({3,2,2,1,1},MATCH(X430,{"Core","Vertical extension","Differentiator","Future","Adjacent"},0))</f>
        <v>12</v>
      </c>
      <c r="AM430" s="5"/>
      <c r="AN430" s="5"/>
      <c r="AO430" s="5"/>
      <c r="AP430" s="5"/>
      <c r="AQ430" s="5"/>
      <c r="AR430" s="5"/>
      <c r="AS430" s="5"/>
      <c r="AT430" s="5"/>
      <c r="AU430" s="6" t="s">
        <v>927</v>
      </c>
      <c r="AV430" s="6" t="s">
        <v>1390</v>
      </c>
      <c r="AW430" s="6" t="s">
        <v>1390</v>
      </c>
      <c r="AX430" s="6" t="s">
        <v>929</v>
      </c>
      <c r="AY430" s="6" t="s">
        <v>1032</v>
      </c>
      <c r="AZ430" s="6"/>
      <c r="BA430" s="6"/>
      <c r="BB430" s="6"/>
      <c r="BC430" s="6" t="s">
        <v>97</v>
      </c>
      <c r="BD430" s="6" t="s">
        <v>97</v>
      </c>
    </row>
    <row r="431" spans="1:56" ht="32" customHeight="1" x14ac:dyDescent="0.35">
      <c r="A431" s="13" t="s">
        <v>3482</v>
      </c>
      <c r="B431" s="6" t="s">
        <v>2114</v>
      </c>
      <c r="C431" s="5" t="s">
        <v>2115</v>
      </c>
      <c r="D431" s="5" t="s">
        <v>827</v>
      </c>
      <c r="E431" s="5" t="s">
        <v>3483</v>
      </c>
      <c r="F431" s="5" t="s">
        <v>3428</v>
      </c>
      <c r="G431" s="5" t="s">
        <v>3484</v>
      </c>
      <c r="H431" s="5" t="s">
        <v>3485</v>
      </c>
      <c r="I431" s="5" t="s">
        <v>3486</v>
      </c>
      <c r="J431" s="17" t="s">
        <v>121</v>
      </c>
      <c r="K431" s="17" t="s">
        <v>181</v>
      </c>
      <c r="L431" s="5" t="s">
        <v>3487</v>
      </c>
      <c r="M431" s="6" t="s">
        <v>197</v>
      </c>
      <c r="N431" s="6" t="s">
        <v>812</v>
      </c>
      <c r="O431" s="6" t="s">
        <v>121</v>
      </c>
      <c r="P431" s="5" t="s">
        <v>918</v>
      </c>
      <c r="Q431" s="17" t="s">
        <v>182</v>
      </c>
      <c r="R431" s="5"/>
      <c r="S431" s="6" t="s">
        <v>1030</v>
      </c>
      <c r="T431" s="5" t="s">
        <v>827</v>
      </c>
      <c r="U431" s="6"/>
      <c r="V431" s="6" t="s">
        <v>1031</v>
      </c>
      <c r="W431" s="6" t="s">
        <v>333</v>
      </c>
      <c r="X431" s="5" t="s">
        <v>922</v>
      </c>
      <c r="Y431" s="5" t="s">
        <v>812</v>
      </c>
      <c r="Z431" s="5" t="str">
        <f t="shared" si="12"/>
        <v>High</v>
      </c>
      <c r="AA431" s="5" t="s">
        <v>956</v>
      </c>
      <c r="AB431" s="6" t="s">
        <v>956</v>
      </c>
      <c r="AC431" s="6" t="s">
        <v>103</v>
      </c>
      <c r="AD431" s="5" t="s">
        <v>925</v>
      </c>
      <c r="AE431" s="5" t="s">
        <v>354</v>
      </c>
      <c r="AF431" s="5" t="s">
        <v>354</v>
      </c>
      <c r="AG431" s="5" t="s">
        <v>354</v>
      </c>
      <c r="AH431" s="5" t="s">
        <v>354</v>
      </c>
      <c r="AI431" s="6" t="str">
        <f t="shared" si="13"/>
        <v>No</v>
      </c>
      <c r="AJ431" s="6" t="s">
        <v>926</v>
      </c>
      <c r="AK431" s="6" t="s">
        <v>121</v>
      </c>
      <c r="AL431" s="6">
        <f>MATCH(AA431,{"Low","Medium","High"},0)*MATCH(AB431,{"Low","Medium","High"},0)*INDEX({3,2,2,1,1},MATCH(X431,{"Core","Vertical extension","Differentiator","Future","Adjacent"},0))</f>
        <v>12</v>
      </c>
      <c r="AM431" s="5"/>
      <c r="AN431" s="5"/>
      <c r="AO431" s="5"/>
      <c r="AP431" s="5"/>
      <c r="AQ431" s="5"/>
      <c r="AR431" s="5"/>
      <c r="AS431" s="5"/>
      <c r="AT431" s="5"/>
      <c r="AU431" s="6" t="s">
        <v>927</v>
      </c>
      <c r="AV431" s="6" t="s">
        <v>1390</v>
      </c>
      <c r="AW431" s="6" t="s">
        <v>1390</v>
      </c>
      <c r="AX431" s="6" t="s">
        <v>929</v>
      </c>
      <c r="AY431" s="6" t="s">
        <v>1032</v>
      </c>
      <c r="AZ431" s="6"/>
      <c r="BA431" s="6"/>
      <c r="BB431" s="6"/>
      <c r="BC431" s="6" t="s">
        <v>97</v>
      </c>
      <c r="BD431" s="6" t="s">
        <v>97</v>
      </c>
    </row>
    <row r="432" spans="1:56" ht="32" customHeight="1" x14ac:dyDescent="0.35">
      <c r="A432" s="13" t="s">
        <v>3488</v>
      </c>
      <c r="B432" s="6" t="s">
        <v>2114</v>
      </c>
      <c r="C432" s="5" t="s">
        <v>2115</v>
      </c>
      <c r="D432" s="5" t="s">
        <v>827</v>
      </c>
      <c r="E432" s="5" t="s">
        <v>3489</v>
      </c>
      <c r="F432" s="5" t="s">
        <v>3428</v>
      </c>
      <c r="G432" s="5" t="s">
        <v>3429</v>
      </c>
      <c r="H432" s="5" t="s">
        <v>3490</v>
      </c>
      <c r="I432" s="5" t="s">
        <v>3491</v>
      </c>
      <c r="J432" s="17" t="s">
        <v>121</v>
      </c>
      <c r="K432" s="17" t="s">
        <v>181</v>
      </c>
      <c r="L432" s="5" t="s">
        <v>3492</v>
      </c>
      <c r="M432" s="6" t="s">
        <v>197</v>
      </c>
      <c r="N432" s="6" t="s">
        <v>812</v>
      </c>
      <c r="O432" s="6" t="s">
        <v>121</v>
      </c>
      <c r="P432" s="5" t="s">
        <v>918</v>
      </c>
      <c r="Q432" s="17" t="s">
        <v>182</v>
      </c>
      <c r="R432" s="5"/>
      <c r="S432" s="6" t="s">
        <v>1030</v>
      </c>
      <c r="T432" s="5" t="s">
        <v>827</v>
      </c>
      <c r="U432" s="6"/>
      <c r="V432" s="6" t="s">
        <v>1031</v>
      </c>
      <c r="W432" s="6" t="s">
        <v>333</v>
      </c>
      <c r="X432" s="5" t="s">
        <v>922</v>
      </c>
      <c r="Y432" s="5" t="s">
        <v>812</v>
      </c>
      <c r="Z432" s="5" t="str">
        <f t="shared" si="12"/>
        <v>High</v>
      </c>
      <c r="AA432" s="5" t="s">
        <v>956</v>
      </c>
      <c r="AB432" s="6" t="s">
        <v>956</v>
      </c>
      <c r="AC432" s="6" t="s">
        <v>103</v>
      </c>
      <c r="AD432" s="5" t="s">
        <v>925</v>
      </c>
      <c r="AE432" s="5" t="s">
        <v>354</v>
      </c>
      <c r="AF432" s="5" t="s">
        <v>354</v>
      </c>
      <c r="AG432" s="5" t="s">
        <v>354</v>
      </c>
      <c r="AH432" s="5" t="s">
        <v>354</v>
      </c>
      <c r="AI432" s="6" t="str">
        <f t="shared" si="13"/>
        <v>No</v>
      </c>
      <c r="AJ432" s="6" t="s">
        <v>926</v>
      </c>
      <c r="AK432" s="6" t="s">
        <v>121</v>
      </c>
      <c r="AL432" s="6">
        <f>MATCH(AA432,{"Low","Medium","High"},0)*MATCH(AB432,{"Low","Medium","High"},0)*INDEX({3,2,2,1,1},MATCH(X432,{"Core","Vertical extension","Differentiator","Future","Adjacent"},0))</f>
        <v>12</v>
      </c>
      <c r="AM432" s="5"/>
      <c r="AN432" s="5"/>
      <c r="AO432" s="5"/>
      <c r="AP432" s="5"/>
      <c r="AQ432" s="5"/>
      <c r="AR432" s="5"/>
      <c r="AS432" s="5"/>
      <c r="AT432" s="5"/>
      <c r="AU432" s="6" t="s">
        <v>927</v>
      </c>
      <c r="AV432" s="6" t="s">
        <v>1390</v>
      </c>
      <c r="AW432" s="6" t="s">
        <v>1390</v>
      </c>
      <c r="AX432" s="6" t="s">
        <v>929</v>
      </c>
      <c r="AY432" s="6" t="s">
        <v>1032</v>
      </c>
      <c r="AZ432" s="6"/>
      <c r="BA432" s="6"/>
      <c r="BB432" s="6"/>
      <c r="BC432" s="6" t="s">
        <v>97</v>
      </c>
      <c r="BD432" s="6" t="s">
        <v>97</v>
      </c>
    </row>
    <row r="433" spans="1:56" ht="32" customHeight="1" x14ac:dyDescent="0.35">
      <c r="A433" s="13" t="s">
        <v>79</v>
      </c>
      <c r="B433" s="6" t="s">
        <v>2114</v>
      </c>
      <c r="C433" s="5" t="s">
        <v>2115</v>
      </c>
      <c r="D433" s="5" t="s">
        <v>827</v>
      </c>
      <c r="E433" s="5" t="s">
        <v>787</v>
      </c>
      <c r="F433" s="5" t="s">
        <v>3428</v>
      </c>
      <c r="G433" s="5" t="s">
        <v>2094</v>
      </c>
      <c r="H433" s="5" t="s">
        <v>3493</v>
      </c>
      <c r="I433" s="5" t="s">
        <v>3494</v>
      </c>
      <c r="J433" s="16" t="s">
        <v>73</v>
      </c>
      <c r="K433" s="20" t="s">
        <v>74</v>
      </c>
      <c r="L433" s="5" t="s">
        <v>3495</v>
      </c>
      <c r="M433" s="6" t="s">
        <v>197</v>
      </c>
      <c r="N433" s="6" t="s">
        <v>812</v>
      </c>
      <c r="O433" s="6" t="s">
        <v>73</v>
      </c>
      <c r="P433" s="5" t="s">
        <v>918</v>
      </c>
      <c r="Q433" s="20" t="s">
        <v>74</v>
      </c>
      <c r="R433" s="5" t="s">
        <v>3496</v>
      </c>
      <c r="S433" s="6" t="s">
        <v>1030</v>
      </c>
      <c r="T433" s="5" t="s">
        <v>827</v>
      </c>
      <c r="U433" s="6"/>
      <c r="V433" s="6" t="s">
        <v>1055</v>
      </c>
      <c r="W433" s="6" t="s">
        <v>333</v>
      </c>
      <c r="X433" s="5" t="s">
        <v>922</v>
      </c>
      <c r="Y433" s="5" t="s">
        <v>812</v>
      </c>
      <c r="Z433" s="5" t="str">
        <f t="shared" si="12"/>
        <v>Critical</v>
      </c>
      <c r="AA433" s="5" t="s">
        <v>923</v>
      </c>
      <c r="AB433" s="6" t="s">
        <v>956</v>
      </c>
      <c r="AC433" s="6" t="s">
        <v>78</v>
      </c>
      <c r="AD433" s="5" t="s">
        <v>74</v>
      </c>
      <c r="AE433" s="5" t="s">
        <v>354</v>
      </c>
      <c r="AF433" s="5" t="s">
        <v>354</v>
      </c>
      <c r="AG433" s="5" t="s">
        <v>354</v>
      </c>
      <c r="AH433" s="5" t="s">
        <v>354</v>
      </c>
      <c r="AI433" s="6" t="str">
        <f t="shared" si="13"/>
        <v>No</v>
      </c>
      <c r="AJ433" s="6" t="s">
        <v>1691</v>
      </c>
      <c r="AK433" s="6" t="s">
        <v>73</v>
      </c>
      <c r="AL433" s="6">
        <f>MATCH(AA433,{"Low","Medium","High"},0)*MATCH(AB433,{"Low","Medium","High"},0)*INDEX({3,2,2,1,1},MATCH(X433,{"Core","Vertical extension","Differentiator","Future","Adjacent"},0))</f>
        <v>18</v>
      </c>
      <c r="AM433" s="5"/>
      <c r="AN433" s="5"/>
      <c r="AO433" s="5"/>
      <c r="AP433" s="5"/>
      <c r="AQ433" s="5"/>
      <c r="AR433" s="5"/>
      <c r="AS433" s="5"/>
      <c r="AT433" s="5"/>
      <c r="AU433" s="6" t="s">
        <v>927</v>
      </c>
      <c r="AV433" s="6" t="s">
        <v>1390</v>
      </c>
      <c r="AW433" s="6" t="s">
        <v>1390</v>
      </c>
      <c r="AX433" s="6" t="s">
        <v>929</v>
      </c>
      <c r="AY433" s="6" t="s">
        <v>1032</v>
      </c>
      <c r="AZ433" s="6"/>
      <c r="BA433" s="6"/>
      <c r="BB433" s="6"/>
      <c r="BC433" s="6" t="s">
        <v>97</v>
      </c>
      <c r="BD433" s="6" t="s">
        <v>97</v>
      </c>
    </row>
    <row r="434" spans="1:56" ht="32" customHeight="1" x14ac:dyDescent="0.35">
      <c r="A434" s="13" t="s">
        <v>3497</v>
      </c>
      <c r="B434" s="6" t="s">
        <v>2114</v>
      </c>
      <c r="C434" s="5" t="s">
        <v>2115</v>
      </c>
      <c r="D434" s="5" t="s">
        <v>827</v>
      </c>
      <c r="E434" s="5" t="s">
        <v>3498</v>
      </c>
      <c r="F434" s="5" t="s">
        <v>2754</v>
      </c>
      <c r="G434" s="5" t="s">
        <v>1623</v>
      </c>
      <c r="H434" s="5" t="s">
        <v>3499</v>
      </c>
      <c r="I434" s="5" t="s">
        <v>3500</v>
      </c>
      <c r="J434" s="17" t="s">
        <v>121</v>
      </c>
      <c r="K434" s="17" t="s">
        <v>181</v>
      </c>
      <c r="L434" s="5" t="s">
        <v>3501</v>
      </c>
      <c r="M434" s="6" t="s">
        <v>197</v>
      </c>
      <c r="N434" s="6" t="s">
        <v>812</v>
      </c>
      <c r="O434" s="6" t="s">
        <v>121</v>
      </c>
      <c r="P434" s="5" t="s">
        <v>918</v>
      </c>
      <c r="Q434" s="17" t="s">
        <v>182</v>
      </c>
      <c r="R434" s="5"/>
      <c r="S434" s="6" t="s">
        <v>1030</v>
      </c>
      <c r="T434" s="5" t="s">
        <v>827</v>
      </c>
      <c r="U434" s="6"/>
      <c r="V434" s="6" t="s">
        <v>921</v>
      </c>
      <c r="W434" s="6" t="s">
        <v>333</v>
      </c>
      <c r="X434" s="5" t="s">
        <v>922</v>
      </c>
      <c r="Y434" s="5" t="s">
        <v>812</v>
      </c>
      <c r="Z434" s="5" t="str">
        <f t="shared" si="12"/>
        <v>High</v>
      </c>
      <c r="AA434" s="5" t="s">
        <v>956</v>
      </c>
      <c r="AB434" s="6" t="s">
        <v>956</v>
      </c>
      <c r="AC434" s="6" t="s">
        <v>103</v>
      </c>
      <c r="AD434" s="5" t="s">
        <v>925</v>
      </c>
      <c r="AE434" s="5" t="s">
        <v>354</v>
      </c>
      <c r="AF434" s="5" t="s">
        <v>354</v>
      </c>
      <c r="AG434" s="5" t="s">
        <v>354</v>
      </c>
      <c r="AH434" s="5" t="s">
        <v>354</v>
      </c>
      <c r="AI434" s="6" t="str">
        <f t="shared" si="13"/>
        <v>No</v>
      </c>
      <c r="AJ434" s="6" t="s">
        <v>926</v>
      </c>
      <c r="AK434" s="6" t="s">
        <v>121</v>
      </c>
      <c r="AL434" s="6">
        <f>MATCH(AA434,{"Low","Medium","High"},0)*MATCH(AB434,{"Low","Medium","High"},0)*INDEX({3,2,2,1,1},MATCH(X434,{"Core","Vertical extension","Differentiator","Future","Adjacent"},0))</f>
        <v>12</v>
      </c>
      <c r="AM434" s="5"/>
      <c r="AN434" s="5"/>
      <c r="AO434" s="5"/>
      <c r="AP434" s="5"/>
      <c r="AQ434" s="5"/>
      <c r="AR434" s="5"/>
      <c r="AS434" s="5"/>
      <c r="AT434" s="5"/>
      <c r="AU434" s="6" t="s">
        <v>927</v>
      </c>
      <c r="AV434" s="6" t="s">
        <v>2161</v>
      </c>
      <c r="AW434" s="6" t="s">
        <v>2161</v>
      </c>
      <c r="AX434" s="6" t="s">
        <v>929</v>
      </c>
      <c r="AY434" s="6" t="s">
        <v>1032</v>
      </c>
      <c r="AZ434" s="6"/>
      <c r="BA434" s="6"/>
      <c r="BB434" s="6"/>
      <c r="BC434" s="6" t="s">
        <v>97</v>
      </c>
      <c r="BD434" s="6" t="s">
        <v>97</v>
      </c>
    </row>
    <row r="435" spans="1:56" ht="32" customHeight="1" x14ac:dyDescent="0.35">
      <c r="A435" s="13" t="s">
        <v>3502</v>
      </c>
      <c r="B435" s="6" t="s">
        <v>2114</v>
      </c>
      <c r="C435" s="5" t="s">
        <v>2115</v>
      </c>
      <c r="D435" s="5" t="s">
        <v>827</v>
      </c>
      <c r="E435" s="5" t="s">
        <v>3503</v>
      </c>
      <c r="F435" s="5" t="s">
        <v>3504</v>
      </c>
      <c r="G435" s="5" t="s">
        <v>1623</v>
      </c>
      <c r="H435" s="5" t="s">
        <v>3505</v>
      </c>
      <c r="I435" s="5" t="s">
        <v>3506</v>
      </c>
      <c r="J435" s="17" t="s">
        <v>121</v>
      </c>
      <c r="K435" s="17" t="s">
        <v>181</v>
      </c>
      <c r="L435" s="5" t="s">
        <v>3507</v>
      </c>
      <c r="M435" s="6" t="s">
        <v>197</v>
      </c>
      <c r="N435" s="6" t="s">
        <v>812</v>
      </c>
      <c r="O435" s="6" t="s">
        <v>121</v>
      </c>
      <c r="P435" s="5" t="s">
        <v>918</v>
      </c>
      <c r="Q435" s="17" t="s">
        <v>182</v>
      </c>
      <c r="R435" s="5"/>
      <c r="S435" s="6" t="s">
        <v>1030</v>
      </c>
      <c r="T435" s="5" t="s">
        <v>827</v>
      </c>
      <c r="U435" s="6"/>
      <c r="V435" s="6" t="s">
        <v>1031</v>
      </c>
      <c r="W435" s="6" t="s">
        <v>333</v>
      </c>
      <c r="X435" s="5" t="s">
        <v>922</v>
      </c>
      <c r="Y435" s="5" t="s">
        <v>812</v>
      </c>
      <c r="Z435" s="5" t="str">
        <f t="shared" si="12"/>
        <v>High</v>
      </c>
      <c r="AA435" s="5" t="s">
        <v>956</v>
      </c>
      <c r="AB435" s="6" t="s">
        <v>956</v>
      </c>
      <c r="AC435" s="6" t="s">
        <v>103</v>
      </c>
      <c r="AD435" s="5" t="s">
        <v>925</v>
      </c>
      <c r="AE435" s="5" t="s">
        <v>354</v>
      </c>
      <c r="AF435" s="5" t="s">
        <v>354</v>
      </c>
      <c r="AG435" s="5" t="s">
        <v>354</v>
      </c>
      <c r="AH435" s="5" t="s">
        <v>354</v>
      </c>
      <c r="AI435" s="6" t="str">
        <f t="shared" si="13"/>
        <v>No</v>
      </c>
      <c r="AJ435" s="6" t="s">
        <v>926</v>
      </c>
      <c r="AK435" s="6" t="s">
        <v>121</v>
      </c>
      <c r="AL435" s="6">
        <f>MATCH(AA435,{"Low","Medium","High"},0)*MATCH(AB435,{"Low","Medium","High"},0)*INDEX({3,2,2,1,1},MATCH(X435,{"Core","Vertical extension","Differentiator","Future","Adjacent"},0))</f>
        <v>12</v>
      </c>
      <c r="AM435" s="5"/>
      <c r="AN435" s="5"/>
      <c r="AO435" s="5"/>
      <c r="AP435" s="5"/>
      <c r="AQ435" s="5"/>
      <c r="AR435" s="5"/>
      <c r="AS435" s="5"/>
      <c r="AT435" s="5"/>
      <c r="AU435" s="6" t="s">
        <v>927</v>
      </c>
      <c r="AV435" s="6" t="s">
        <v>2161</v>
      </c>
      <c r="AW435" s="6" t="s">
        <v>2161</v>
      </c>
      <c r="AX435" s="6" t="s">
        <v>929</v>
      </c>
      <c r="AY435" s="6" t="s">
        <v>1032</v>
      </c>
      <c r="AZ435" s="6"/>
      <c r="BA435" s="6"/>
      <c r="BB435" s="6"/>
      <c r="BC435" s="6" t="s">
        <v>97</v>
      </c>
      <c r="BD435" s="6" t="s">
        <v>97</v>
      </c>
    </row>
    <row r="436" spans="1:56" ht="32" customHeight="1" x14ac:dyDescent="0.35">
      <c r="A436" s="13" t="s">
        <v>3508</v>
      </c>
      <c r="B436" s="6" t="s">
        <v>2114</v>
      </c>
      <c r="C436" s="5" t="s">
        <v>2115</v>
      </c>
      <c r="D436" s="5" t="s">
        <v>827</v>
      </c>
      <c r="E436" s="5" t="s">
        <v>3509</v>
      </c>
      <c r="F436" s="5" t="s">
        <v>3510</v>
      </c>
      <c r="G436" s="5" t="s">
        <v>1623</v>
      </c>
      <c r="H436" s="5" t="s">
        <v>3511</v>
      </c>
      <c r="I436" s="5" t="s">
        <v>3512</v>
      </c>
      <c r="J436" s="17" t="s">
        <v>121</v>
      </c>
      <c r="K436" s="17" t="s">
        <v>181</v>
      </c>
      <c r="L436" s="5" t="s">
        <v>3513</v>
      </c>
      <c r="M436" s="6" t="s">
        <v>197</v>
      </c>
      <c r="N436" s="6" t="s">
        <v>812</v>
      </c>
      <c r="O436" s="6" t="s">
        <v>121</v>
      </c>
      <c r="P436" s="5" t="s">
        <v>918</v>
      </c>
      <c r="Q436" s="17" t="s">
        <v>182</v>
      </c>
      <c r="R436" s="5"/>
      <c r="S436" s="6" t="s">
        <v>1030</v>
      </c>
      <c r="T436" s="5" t="s">
        <v>827</v>
      </c>
      <c r="U436" s="6"/>
      <c r="V436" s="6" t="s">
        <v>921</v>
      </c>
      <c r="W436" s="6" t="s">
        <v>333</v>
      </c>
      <c r="X436" s="5" t="s">
        <v>922</v>
      </c>
      <c r="Y436" s="5" t="s">
        <v>812</v>
      </c>
      <c r="Z436" s="5" t="str">
        <f t="shared" si="12"/>
        <v>High</v>
      </c>
      <c r="AA436" s="5" t="s">
        <v>956</v>
      </c>
      <c r="AB436" s="6" t="s">
        <v>956</v>
      </c>
      <c r="AC436" s="6" t="s">
        <v>103</v>
      </c>
      <c r="AD436" s="5" t="s">
        <v>925</v>
      </c>
      <c r="AE436" s="5" t="s">
        <v>354</v>
      </c>
      <c r="AF436" s="5" t="s">
        <v>354</v>
      </c>
      <c r="AG436" s="5" t="s">
        <v>354</v>
      </c>
      <c r="AH436" s="5" t="s">
        <v>354</v>
      </c>
      <c r="AI436" s="6" t="str">
        <f t="shared" si="13"/>
        <v>No</v>
      </c>
      <c r="AJ436" s="6" t="s">
        <v>926</v>
      </c>
      <c r="AK436" s="6" t="s">
        <v>121</v>
      </c>
      <c r="AL436" s="6">
        <f>MATCH(AA436,{"Low","Medium","High"},0)*MATCH(AB436,{"Low","Medium","High"},0)*INDEX({3,2,2,1,1},MATCH(X436,{"Core","Vertical extension","Differentiator","Future","Adjacent"},0))</f>
        <v>12</v>
      </c>
      <c r="AM436" s="5"/>
      <c r="AN436" s="5"/>
      <c r="AO436" s="5"/>
      <c r="AP436" s="5"/>
      <c r="AQ436" s="5"/>
      <c r="AR436" s="5"/>
      <c r="AS436" s="5"/>
      <c r="AT436" s="5"/>
      <c r="AU436" s="6" t="s">
        <v>927</v>
      </c>
      <c r="AV436" s="6" t="s">
        <v>2161</v>
      </c>
      <c r="AW436" s="6" t="s">
        <v>2161</v>
      </c>
      <c r="AX436" s="6" t="s">
        <v>929</v>
      </c>
      <c r="AY436" s="6" t="s">
        <v>1032</v>
      </c>
      <c r="AZ436" s="6"/>
      <c r="BA436" s="6"/>
      <c r="BB436" s="6"/>
      <c r="BC436" s="6" t="s">
        <v>97</v>
      </c>
      <c r="BD436" s="6" t="s">
        <v>97</v>
      </c>
    </row>
    <row r="437" spans="1:56" ht="32" customHeight="1" x14ac:dyDescent="0.35">
      <c r="A437" s="13" t="s">
        <v>3514</v>
      </c>
      <c r="B437" s="6" t="s">
        <v>2114</v>
      </c>
      <c r="C437" s="5" t="s">
        <v>2115</v>
      </c>
      <c r="D437" s="5" t="s">
        <v>827</v>
      </c>
      <c r="E437" s="5" t="s">
        <v>2753</v>
      </c>
      <c r="F437" s="5" t="s">
        <v>2754</v>
      </c>
      <c r="G437" s="5" t="s">
        <v>1452</v>
      </c>
      <c r="H437" s="5" t="s">
        <v>3515</v>
      </c>
      <c r="I437" s="5" t="s">
        <v>3516</v>
      </c>
      <c r="J437" s="17" t="s">
        <v>121</v>
      </c>
      <c r="K437" s="17" t="s">
        <v>181</v>
      </c>
      <c r="L437" s="5" t="s">
        <v>3517</v>
      </c>
      <c r="M437" s="6" t="s">
        <v>197</v>
      </c>
      <c r="N437" s="6" t="s">
        <v>812</v>
      </c>
      <c r="O437" s="6" t="s">
        <v>121</v>
      </c>
      <c r="P437" s="5" t="s">
        <v>918</v>
      </c>
      <c r="Q437" s="18" t="s">
        <v>186</v>
      </c>
      <c r="R437" s="5" t="s">
        <v>1679</v>
      </c>
      <c r="S437" s="6" t="s">
        <v>1030</v>
      </c>
      <c r="T437" s="5" t="s">
        <v>827</v>
      </c>
      <c r="U437" s="6"/>
      <c r="V437" s="6" t="s">
        <v>1031</v>
      </c>
      <c r="W437" s="6" t="s">
        <v>333</v>
      </c>
      <c r="X437" s="5" t="s">
        <v>922</v>
      </c>
      <c r="Y437" s="5" t="s">
        <v>812</v>
      </c>
      <c r="Z437" s="5" t="str">
        <f t="shared" si="12"/>
        <v>High</v>
      </c>
      <c r="AA437" s="5" t="s">
        <v>956</v>
      </c>
      <c r="AB437" s="6" t="s">
        <v>956</v>
      </c>
      <c r="AC437" s="6" t="s">
        <v>103</v>
      </c>
      <c r="AD437" s="5" t="s">
        <v>940</v>
      </c>
      <c r="AE437" s="5" t="s">
        <v>354</v>
      </c>
      <c r="AF437" s="5" t="s">
        <v>354</v>
      </c>
      <c r="AG437" s="5" t="s">
        <v>354</v>
      </c>
      <c r="AH437" s="5" t="s">
        <v>354</v>
      </c>
      <c r="AI437" s="6" t="str">
        <f t="shared" si="13"/>
        <v>No</v>
      </c>
      <c r="AJ437" s="6" t="s">
        <v>941</v>
      </c>
      <c r="AK437" s="6" t="s">
        <v>121</v>
      </c>
      <c r="AL437" s="6">
        <f>MATCH(AA437,{"Low","Medium","High"},0)*MATCH(AB437,{"Low","Medium","High"},0)*INDEX({3,2,2,1,1},MATCH(X437,{"Core","Vertical extension","Differentiator","Future","Adjacent"},0))</f>
        <v>12</v>
      </c>
      <c r="AM437" s="5"/>
      <c r="AN437" s="5"/>
      <c r="AO437" s="5"/>
      <c r="AP437" s="5"/>
      <c r="AQ437" s="5"/>
      <c r="AR437" s="5"/>
      <c r="AS437" s="5"/>
      <c r="AT437" s="5"/>
      <c r="AU437" s="6" t="s">
        <v>927</v>
      </c>
      <c r="AV437" s="6" t="s">
        <v>2161</v>
      </c>
      <c r="AW437" s="6" t="s">
        <v>2161</v>
      </c>
      <c r="AX437" s="6" t="s">
        <v>929</v>
      </c>
      <c r="AY437" s="6" t="s">
        <v>1032</v>
      </c>
      <c r="AZ437" s="6" t="s">
        <v>3518</v>
      </c>
      <c r="BA437" s="6"/>
      <c r="BB437" s="6"/>
      <c r="BC437" s="6" t="s">
        <v>97</v>
      </c>
      <c r="BD437" s="6" t="s">
        <v>97</v>
      </c>
    </row>
    <row r="438" spans="1:56" ht="32" customHeight="1" x14ac:dyDescent="0.35">
      <c r="A438" s="13" t="s">
        <v>3519</v>
      </c>
      <c r="B438" s="6" t="s">
        <v>2114</v>
      </c>
      <c r="C438" s="5" t="s">
        <v>2115</v>
      </c>
      <c r="D438" s="5" t="s">
        <v>827</v>
      </c>
      <c r="E438" s="5" t="s">
        <v>3520</v>
      </c>
      <c r="F438" s="5" t="s">
        <v>3521</v>
      </c>
      <c r="G438" s="5" t="s">
        <v>3522</v>
      </c>
      <c r="H438" s="5" t="s">
        <v>3523</v>
      </c>
      <c r="I438" s="5" t="s">
        <v>3524</v>
      </c>
      <c r="J438" s="17" t="s">
        <v>121</v>
      </c>
      <c r="K438" s="17" t="s">
        <v>181</v>
      </c>
      <c r="L438" s="5" t="s">
        <v>3525</v>
      </c>
      <c r="M438" s="6" t="s">
        <v>197</v>
      </c>
      <c r="N438" s="6" t="s">
        <v>812</v>
      </c>
      <c r="O438" s="6" t="s">
        <v>121</v>
      </c>
      <c r="P438" s="5" t="s">
        <v>918</v>
      </c>
      <c r="Q438" s="17" t="s">
        <v>182</v>
      </c>
      <c r="R438" s="5"/>
      <c r="S438" s="6" t="s">
        <v>1030</v>
      </c>
      <c r="T438" s="5" t="s">
        <v>827</v>
      </c>
      <c r="U438" s="6"/>
      <c r="V438" s="6" t="s">
        <v>921</v>
      </c>
      <c r="W438" s="6" t="s">
        <v>333</v>
      </c>
      <c r="X438" s="5" t="s">
        <v>922</v>
      </c>
      <c r="Y438" s="5" t="s">
        <v>812</v>
      </c>
      <c r="Z438" s="5" t="str">
        <f t="shared" si="12"/>
        <v>High</v>
      </c>
      <c r="AA438" s="5" t="s">
        <v>956</v>
      </c>
      <c r="AB438" s="6" t="s">
        <v>956</v>
      </c>
      <c r="AC438" s="6" t="s">
        <v>103</v>
      </c>
      <c r="AD438" s="5" t="s">
        <v>925</v>
      </c>
      <c r="AE438" s="5" t="s">
        <v>354</v>
      </c>
      <c r="AF438" s="5" t="s">
        <v>354</v>
      </c>
      <c r="AG438" s="5" t="s">
        <v>354</v>
      </c>
      <c r="AH438" s="5" t="s">
        <v>354</v>
      </c>
      <c r="AI438" s="6" t="str">
        <f t="shared" si="13"/>
        <v>No</v>
      </c>
      <c r="AJ438" s="6" t="s">
        <v>926</v>
      </c>
      <c r="AK438" s="6" t="s">
        <v>121</v>
      </c>
      <c r="AL438" s="6">
        <f>MATCH(AA438,{"Low","Medium","High"},0)*MATCH(AB438,{"Low","Medium","High"},0)*INDEX({3,2,2,1,1},MATCH(X438,{"Core","Vertical extension","Differentiator","Future","Adjacent"},0))</f>
        <v>12</v>
      </c>
      <c r="AM438" s="5"/>
      <c r="AN438" s="5"/>
      <c r="AO438" s="5"/>
      <c r="AP438" s="5"/>
      <c r="AQ438" s="5"/>
      <c r="AR438" s="5"/>
      <c r="AS438" s="5"/>
      <c r="AT438" s="5"/>
      <c r="AU438" s="6" t="s">
        <v>927</v>
      </c>
      <c r="AV438" s="6" t="s">
        <v>2161</v>
      </c>
      <c r="AW438" s="6" t="s">
        <v>2161</v>
      </c>
      <c r="AX438" s="6" t="s">
        <v>929</v>
      </c>
      <c r="AY438" s="6" t="s">
        <v>1032</v>
      </c>
      <c r="AZ438" s="6"/>
      <c r="BA438" s="6"/>
      <c r="BB438" s="6"/>
      <c r="BC438" s="6" t="s">
        <v>97</v>
      </c>
      <c r="BD438" s="6" t="s">
        <v>97</v>
      </c>
    </row>
    <row r="439" spans="1:56" ht="32" customHeight="1" x14ac:dyDescent="0.35">
      <c r="A439" s="13" t="s">
        <v>3526</v>
      </c>
      <c r="B439" s="6" t="s">
        <v>2114</v>
      </c>
      <c r="C439" s="5" t="s">
        <v>2115</v>
      </c>
      <c r="D439" s="5" t="s">
        <v>827</v>
      </c>
      <c r="E439" s="5" t="s">
        <v>3527</v>
      </c>
      <c r="F439" s="5" t="s">
        <v>3528</v>
      </c>
      <c r="G439" s="5" t="s">
        <v>3529</v>
      </c>
      <c r="H439" s="5" t="s">
        <v>3530</v>
      </c>
      <c r="I439" s="5" t="s">
        <v>3531</v>
      </c>
      <c r="J439" s="17" t="s">
        <v>121</v>
      </c>
      <c r="K439" s="17" t="s">
        <v>181</v>
      </c>
      <c r="L439" s="5" t="s">
        <v>3532</v>
      </c>
      <c r="M439" s="6" t="s">
        <v>197</v>
      </c>
      <c r="N439" s="6" t="s">
        <v>812</v>
      </c>
      <c r="O439" s="6" t="s">
        <v>121</v>
      </c>
      <c r="P439" s="5" t="s">
        <v>918</v>
      </c>
      <c r="Q439" s="17" t="s">
        <v>182</v>
      </c>
      <c r="R439" s="5"/>
      <c r="S439" s="6" t="s">
        <v>1030</v>
      </c>
      <c r="T439" s="5" t="s">
        <v>827</v>
      </c>
      <c r="U439" s="6"/>
      <c r="V439" s="6" t="s">
        <v>1031</v>
      </c>
      <c r="W439" s="6" t="s">
        <v>333</v>
      </c>
      <c r="X439" s="5" t="s">
        <v>922</v>
      </c>
      <c r="Y439" s="5" t="s">
        <v>812</v>
      </c>
      <c r="Z439" s="5" t="str">
        <f t="shared" si="12"/>
        <v>High</v>
      </c>
      <c r="AA439" s="5" t="s">
        <v>956</v>
      </c>
      <c r="AB439" s="6" t="s">
        <v>956</v>
      </c>
      <c r="AC439" s="6" t="s">
        <v>103</v>
      </c>
      <c r="AD439" s="5" t="s">
        <v>925</v>
      </c>
      <c r="AE439" s="5" t="s">
        <v>354</v>
      </c>
      <c r="AF439" s="5" t="s">
        <v>354</v>
      </c>
      <c r="AG439" s="5" t="s">
        <v>354</v>
      </c>
      <c r="AH439" s="5" t="s">
        <v>354</v>
      </c>
      <c r="AI439" s="6" t="str">
        <f t="shared" si="13"/>
        <v>No</v>
      </c>
      <c r="AJ439" s="6" t="s">
        <v>926</v>
      </c>
      <c r="AK439" s="6" t="s">
        <v>121</v>
      </c>
      <c r="AL439" s="6">
        <f>MATCH(AA439,{"Low","Medium","High"},0)*MATCH(AB439,{"Low","Medium","High"},0)*INDEX({3,2,2,1,1},MATCH(X439,{"Core","Vertical extension","Differentiator","Future","Adjacent"},0))</f>
        <v>12</v>
      </c>
      <c r="AM439" s="5"/>
      <c r="AN439" s="5"/>
      <c r="AO439" s="5"/>
      <c r="AP439" s="5"/>
      <c r="AQ439" s="5"/>
      <c r="AR439" s="5"/>
      <c r="AS439" s="5"/>
      <c r="AT439" s="5"/>
      <c r="AU439" s="6" t="s">
        <v>927</v>
      </c>
      <c r="AV439" s="6" t="s">
        <v>2161</v>
      </c>
      <c r="AW439" s="6" t="s">
        <v>2161</v>
      </c>
      <c r="AX439" s="6" t="s">
        <v>929</v>
      </c>
      <c r="AY439" s="6" t="s">
        <v>1032</v>
      </c>
      <c r="AZ439" s="6"/>
      <c r="BA439" s="6"/>
      <c r="BB439" s="6"/>
      <c r="BC439" s="6" t="s">
        <v>97</v>
      </c>
      <c r="BD439" s="6" t="s">
        <v>97</v>
      </c>
    </row>
    <row r="440" spans="1:56" ht="32" customHeight="1" x14ac:dyDescent="0.35">
      <c r="A440" s="13" t="s">
        <v>3533</v>
      </c>
      <c r="B440" s="6" t="s">
        <v>2114</v>
      </c>
      <c r="C440" s="5" t="s">
        <v>2115</v>
      </c>
      <c r="D440" s="5" t="s">
        <v>827</v>
      </c>
      <c r="E440" s="5" t="s">
        <v>3534</v>
      </c>
      <c r="F440" s="5" t="s">
        <v>3535</v>
      </c>
      <c r="G440" s="5" t="s">
        <v>1596</v>
      </c>
      <c r="H440" s="5" t="s">
        <v>3536</v>
      </c>
      <c r="I440" s="5" t="s">
        <v>3537</v>
      </c>
      <c r="J440" s="17" t="s">
        <v>121</v>
      </c>
      <c r="K440" s="17" t="s">
        <v>181</v>
      </c>
      <c r="L440" s="5" t="s">
        <v>3538</v>
      </c>
      <c r="M440" s="6" t="s">
        <v>197</v>
      </c>
      <c r="N440" s="6" t="s">
        <v>812</v>
      </c>
      <c r="O440" s="6" t="s">
        <v>121</v>
      </c>
      <c r="P440" s="5" t="s">
        <v>918</v>
      </c>
      <c r="Q440" s="17" t="s">
        <v>182</v>
      </c>
      <c r="R440" s="5"/>
      <c r="S440" s="6" t="s">
        <v>1030</v>
      </c>
      <c r="T440" s="5" t="s">
        <v>827</v>
      </c>
      <c r="U440" s="6"/>
      <c r="V440" s="6" t="s">
        <v>1024</v>
      </c>
      <c r="W440" s="6" t="s">
        <v>333</v>
      </c>
      <c r="X440" s="5" t="s">
        <v>922</v>
      </c>
      <c r="Y440" s="5" t="s">
        <v>812</v>
      </c>
      <c r="Z440" s="5" t="str">
        <f t="shared" si="12"/>
        <v>High</v>
      </c>
      <c r="AA440" s="5" t="s">
        <v>956</v>
      </c>
      <c r="AB440" s="6" t="s">
        <v>956</v>
      </c>
      <c r="AC440" s="6" t="s">
        <v>103</v>
      </c>
      <c r="AD440" s="5" t="s">
        <v>925</v>
      </c>
      <c r="AE440" s="5" t="s">
        <v>354</v>
      </c>
      <c r="AF440" s="5" t="s">
        <v>354</v>
      </c>
      <c r="AG440" s="5" t="s">
        <v>354</v>
      </c>
      <c r="AH440" s="5" t="s">
        <v>354</v>
      </c>
      <c r="AI440" s="6" t="str">
        <f t="shared" si="13"/>
        <v>No</v>
      </c>
      <c r="AJ440" s="6" t="s">
        <v>926</v>
      </c>
      <c r="AK440" s="6" t="s">
        <v>121</v>
      </c>
      <c r="AL440" s="6">
        <f>MATCH(AA440,{"Low","Medium","High"},0)*MATCH(AB440,{"Low","Medium","High"},0)*INDEX({3,2,2,1,1},MATCH(X440,{"Core","Vertical extension","Differentiator","Future","Adjacent"},0))</f>
        <v>12</v>
      </c>
      <c r="AM440" s="5"/>
      <c r="AN440" s="5"/>
      <c r="AO440" s="5"/>
      <c r="AP440" s="5"/>
      <c r="AQ440" s="5"/>
      <c r="AR440" s="5"/>
      <c r="AS440" s="5"/>
      <c r="AT440" s="5"/>
      <c r="AU440" s="6" t="s">
        <v>927</v>
      </c>
      <c r="AV440" s="6" t="s">
        <v>2161</v>
      </c>
      <c r="AW440" s="6" t="s">
        <v>2161</v>
      </c>
      <c r="AX440" s="6" t="s">
        <v>929</v>
      </c>
      <c r="AY440" s="6" t="s">
        <v>1032</v>
      </c>
      <c r="AZ440" s="6"/>
      <c r="BA440" s="6"/>
      <c r="BB440" s="6"/>
      <c r="BC440" s="6" t="s">
        <v>97</v>
      </c>
      <c r="BD440" s="6" t="s">
        <v>97</v>
      </c>
    </row>
    <row r="441" spans="1:56" ht="32" customHeight="1" x14ac:dyDescent="0.35">
      <c r="A441" s="13" t="s">
        <v>3539</v>
      </c>
      <c r="B441" s="6" t="s">
        <v>2114</v>
      </c>
      <c r="C441" s="5" t="s">
        <v>2115</v>
      </c>
      <c r="D441" s="5" t="s">
        <v>827</v>
      </c>
      <c r="E441" s="5" t="s">
        <v>3540</v>
      </c>
      <c r="F441" s="5" t="s">
        <v>3541</v>
      </c>
      <c r="G441" s="5" t="s">
        <v>1452</v>
      </c>
      <c r="H441" s="5" t="s">
        <v>3542</v>
      </c>
      <c r="I441" s="5" t="s">
        <v>3543</v>
      </c>
      <c r="J441" s="17" t="s">
        <v>121</v>
      </c>
      <c r="K441" s="17" t="s">
        <v>181</v>
      </c>
      <c r="L441" s="5" t="s">
        <v>3544</v>
      </c>
      <c r="M441" s="6" t="s">
        <v>197</v>
      </c>
      <c r="N441" s="6" t="s">
        <v>812</v>
      </c>
      <c r="O441" s="6" t="s">
        <v>121</v>
      </c>
      <c r="P441" s="5" t="s">
        <v>918</v>
      </c>
      <c r="Q441" s="17" t="s">
        <v>182</v>
      </c>
      <c r="R441" s="5"/>
      <c r="S441" s="6" t="s">
        <v>1030</v>
      </c>
      <c r="T441" s="5" t="s">
        <v>827</v>
      </c>
      <c r="U441" s="6"/>
      <c r="V441" s="6" t="s">
        <v>1031</v>
      </c>
      <c r="W441" s="6" t="s">
        <v>333</v>
      </c>
      <c r="X441" s="5" t="s">
        <v>922</v>
      </c>
      <c r="Y441" s="5" t="s">
        <v>812</v>
      </c>
      <c r="Z441" s="5" t="str">
        <f t="shared" si="12"/>
        <v>High</v>
      </c>
      <c r="AA441" s="5" t="s">
        <v>956</v>
      </c>
      <c r="AB441" s="6" t="s">
        <v>956</v>
      </c>
      <c r="AC441" s="6" t="s">
        <v>103</v>
      </c>
      <c r="AD441" s="5" t="s">
        <v>925</v>
      </c>
      <c r="AE441" s="5" t="s">
        <v>354</v>
      </c>
      <c r="AF441" s="5" t="s">
        <v>354</v>
      </c>
      <c r="AG441" s="5" t="s">
        <v>354</v>
      </c>
      <c r="AH441" s="5" t="s">
        <v>354</v>
      </c>
      <c r="AI441" s="6" t="str">
        <f t="shared" si="13"/>
        <v>No</v>
      </c>
      <c r="AJ441" s="6" t="s">
        <v>926</v>
      </c>
      <c r="AK441" s="6" t="s">
        <v>121</v>
      </c>
      <c r="AL441" s="6">
        <f>MATCH(AA441,{"Low","Medium","High"},0)*MATCH(AB441,{"Low","Medium","High"},0)*INDEX({3,2,2,1,1},MATCH(X441,{"Core","Vertical extension","Differentiator","Future","Adjacent"},0))</f>
        <v>12</v>
      </c>
      <c r="AM441" s="5"/>
      <c r="AN441" s="5"/>
      <c r="AO441" s="5"/>
      <c r="AP441" s="5"/>
      <c r="AQ441" s="5"/>
      <c r="AR441" s="5"/>
      <c r="AS441" s="5"/>
      <c r="AT441" s="5"/>
      <c r="AU441" s="6" t="s">
        <v>927</v>
      </c>
      <c r="AV441" s="6" t="s">
        <v>2161</v>
      </c>
      <c r="AW441" s="6" t="s">
        <v>2161</v>
      </c>
      <c r="AX441" s="6" t="s">
        <v>929</v>
      </c>
      <c r="AY441" s="6" t="s">
        <v>1032</v>
      </c>
      <c r="AZ441" s="6"/>
      <c r="BA441" s="6"/>
      <c r="BB441" s="6"/>
      <c r="BC441" s="6" t="s">
        <v>97</v>
      </c>
      <c r="BD441" s="6" t="s">
        <v>97</v>
      </c>
    </row>
    <row r="442" spans="1:56" ht="32" customHeight="1" x14ac:dyDescent="0.35">
      <c r="A442" s="13" t="s">
        <v>3545</v>
      </c>
      <c r="B442" s="6" t="s">
        <v>2114</v>
      </c>
      <c r="C442" s="5" t="s">
        <v>2115</v>
      </c>
      <c r="D442" s="5" t="s">
        <v>827</v>
      </c>
      <c r="E442" s="5" t="s">
        <v>3546</v>
      </c>
      <c r="F442" s="5" t="s">
        <v>3547</v>
      </c>
      <c r="G442" s="5" t="s">
        <v>1452</v>
      </c>
      <c r="H442" s="5" t="s">
        <v>3548</v>
      </c>
      <c r="I442" s="5" t="s">
        <v>3549</v>
      </c>
      <c r="J442" s="17" t="s">
        <v>121</v>
      </c>
      <c r="K442" s="17" t="s">
        <v>181</v>
      </c>
      <c r="L442" s="5" t="s">
        <v>3550</v>
      </c>
      <c r="M442" s="6" t="s">
        <v>197</v>
      </c>
      <c r="N442" s="6" t="s">
        <v>812</v>
      </c>
      <c r="O442" s="6" t="s">
        <v>121</v>
      </c>
      <c r="P442" s="5" t="s">
        <v>918</v>
      </c>
      <c r="Q442" s="17" t="s">
        <v>182</v>
      </c>
      <c r="R442" s="5"/>
      <c r="S442" s="6" t="s">
        <v>1030</v>
      </c>
      <c r="T442" s="5" t="s">
        <v>827</v>
      </c>
      <c r="U442" s="6"/>
      <c r="V442" s="6" t="s">
        <v>1764</v>
      </c>
      <c r="W442" s="6" t="s">
        <v>333</v>
      </c>
      <c r="X442" s="5" t="s">
        <v>922</v>
      </c>
      <c r="Y442" s="5" t="s">
        <v>812</v>
      </c>
      <c r="Z442" s="5" t="str">
        <f t="shared" si="12"/>
        <v>High</v>
      </c>
      <c r="AA442" s="5" t="s">
        <v>956</v>
      </c>
      <c r="AB442" s="6" t="s">
        <v>956</v>
      </c>
      <c r="AC442" s="6" t="s">
        <v>103</v>
      </c>
      <c r="AD442" s="5" t="s">
        <v>925</v>
      </c>
      <c r="AE442" s="5" t="s">
        <v>354</v>
      </c>
      <c r="AF442" s="5" t="s">
        <v>354</v>
      </c>
      <c r="AG442" s="5" t="s">
        <v>354</v>
      </c>
      <c r="AH442" s="5" t="s">
        <v>354</v>
      </c>
      <c r="AI442" s="6" t="str">
        <f t="shared" si="13"/>
        <v>No</v>
      </c>
      <c r="AJ442" s="6" t="s">
        <v>926</v>
      </c>
      <c r="AK442" s="6" t="s">
        <v>121</v>
      </c>
      <c r="AL442" s="6">
        <f>MATCH(AA442,{"Low","Medium","High"},0)*MATCH(AB442,{"Low","Medium","High"},0)*INDEX({3,2,2,1,1},MATCH(X442,{"Core","Vertical extension","Differentiator","Future","Adjacent"},0))</f>
        <v>12</v>
      </c>
      <c r="AM442" s="5"/>
      <c r="AN442" s="5"/>
      <c r="AO442" s="5"/>
      <c r="AP442" s="5"/>
      <c r="AQ442" s="5"/>
      <c r="AR442" s="5"/>
      <c r="AS442" s="5"/>
      <c r="AT442" s="5"/>
      <c r="AU442" s="6" t="s">
        <v>927</v>
      </c>
      <c r="AV442" s="6" t="s">
        <v>2161</v>
      </c>
      <c r="AW442" s="6" t="s">
        <v>2161</v>
      </c>
      <c r="AX442" s="6" t="s">
        <v>929</v>
      </c>
      <c r="AY442" s="6" t="s">
        <v>1032</v>
      </c>
      <c r="AZ442" s="6"/>
      <c r="BA442" s="6"/>
      <c r="BB442" s="6"/>
      <c r="BC442" s="6" t="s">
        <v>97</v>
      </c>
      <c r="BD442" s="6" t="s">
        <v>97</v>
      </c>
    </row>
    <row r="443" spans="1:56" ht="32" customHeight="1" x14ac:dyDescent="0.35">
      <c r="A443" s="13" t="s">
        <v>3551</v>
      </c>
      <c r="B443" s="6" t="s">
        <v>2114</v>
      </c>
      <c r="C443" s="5" t="s">
        <v>2115</v>
      </c>
      <c r="D443" s="5" t="s">
        <v>827</v>
      </c>
      <c r="E443" s="5" t="s">
        <v>3552</v>
      </c>
      <c r="F443" s="5" t="s">
        <v>1452</v>
      </c>
      <c r="G443" s="5" t="s">
        <v>1322</v>
      </c>
      <c r="H443" s="5" t="s">
        <v>3553</v>
      </c>
      <c r="I443" s="5" t="s">
        <v>3554</v>
      </c>
      <c r="J443" s="17" t="s">
        <v>121</v>
      </c>
      <c r="K443" s="17" t="s">
        <v>181</v>
      </c>
      <c r="L443" s="5" t="s">
        <v>3555</v>
      </c>
      <c r="M443" s="6" t="s">
        <v>197</v>
      </c>
      <c r="N443" s="6" t="s">
        <v>812</v>
      </c>
      <c r="O443" s="6" t="s">
        <v>121</v>
      </c>
      <c r="P443" s="5" t="s">
        <v>918</v>
      </c>
      <c r="Q443" s="17" t="s">
        <v>182</v>
      </c>
      <c r="R443" s="5"/>
      <c r="S443" s="6" t="s">
        <v>1030</v>
      </c>
      <c r="T443" s="5" t="s">
        <v>827</v>
      </c>
      <c r="U443" s="6"/>
      <c r="V443" s="6" t="s">
        <v>1031</v>
      </c>
      <c r="W443" s="6" t="s">
        <v>333</v>
      </c>
      <c r="X443" s="5" t="s">
        <v>922</v>
      </c>
      <c r="Y443" s="5" t="s">
        <v>812</v>
      </c>
      <c r="Z443" s="5" t="str">
        <f t="shared" si="12"/>
        <v>High</v>
      </c>
      <c r="AA443" s="5" t="s">
        <v>956</v>
      </c>
      <c r="AB443" s="6" t="s">
        <v>956</v>
      </c>
      <c r="AC443" s="6" t="s">
        <v>103</v>
      </c>
      <c r="AD443" s="5" t="s">
        <v>925</v>
      </c>
      <c r="AE443" s="5" t="s">
        <v>354</v>
      </c>
      <c r="AF443" s="5" t="s">
        <v>354</v>
      </c>
      <c r="AG443" s="5" t="s">
        <v>354</v>
      </c>
      <c r="AH443" s="5" t="s">
        <v>354</v>
      </c>
      <c r="AI443" s="6" t="str">
        <f t="shared" si="13"/>
        <v>No</v>
      </c>
      <c r="AJ443" s="6" t="s">
        <v>926</v>
      </c>
      <c r="AK443" s="6" t="s">
        <v>121</v>
      </c>
      <c r="AL443" s="6">
        <f>MATCH(AA443,{"Low","Medium","High"},0)*MATCH(AB443,{"Low","Medium","High"},0)*INDEX({3,2,2,1,1},MATCH(X443,{"Core","Vertical extension","Differentiator","Future","Adjacent"},0))</f>
        <v>12</v>
      </c>
      <c r="AM443" s="5"/>
      <c r="AN443" s="5"/>
      <c r="AO443" s="5"/>
      <c r="AP443" s="5"/>
      <c r="AQ443" s="5"/>
      <c r="AR443" s="5"/>
      <c r="AS443" s="5"/>
      <c r="AT443" s="5"/>
      <c r="AU443" s="6" t="s">
        <v>927</v>
      </c>
      <c r="AV443" s="6" t="s">
        <v>55</v>
      </c>
      <c r="AW443" s="6" t="s">
        <v>55</v>
      </c>
      <c r="AX443" s="6" t="s">
        <v>929</v>
      </c>
      <c r="AY443" s="6" t="s">
        <v>1032</v>
      </c>
      <c r="AZ443" s="6"/>
      <c r="BA443" s="6"/>
      <c r="BB443" s="6"/>
      <c r="BC443" s="6" t="s">
        <v>97</v>
      </c>
      <c r="BD443" s="6" t="s">
        <v>97</v>
      </c>
    </row>
    <row r="444" spans="1:56" ht="32" customHeight="1" x14ac:dyDescent="0.35">
      <c r="A444" s="13" t="s">
        <v>3556</v>
      </c>
      <c r="B444" s="6" t="s">
        <v>2114</v>
      </c>
      <c r="C444" s="5" t="s">
        <v>2115</v>
      </c>
      <c r="D444" s="5" t="s">
        <v>827</v>
      </c>
      <c r="E444" s="5" t="s">
        <v>3557</v>
      </c>
      <c r="F444" s="5" t="s">
        <v>2164</v>
      </c>
      <c r="G444" s="5" t="s">
        <v>1452</v>
      </c>
      <c r="H444" s="5" t="s">
        <v>3558</v>
      </c>
      <c r="I444" s="5" t="s">
        <v>3559</v>
      </c>
      <c r="J444" s="17" t="s">
        <v>121</v>
      </c>
      <c r="K444" s="17" t="s">
        <v>181</v>
      </c>
      <c r="L444" s="5" t="s">
        <v>3560</v>
      </c>
      <c r="M444" s="6" t="s">
        <v>197</v>
      </c>
      <c r="N444" s="6" t="s">
        <v>812</v>
      </c>
      <c r="O444" s="6" t="s">
        <v>121</v>
      </c>
      <c r="P444" s="5" t="s">
        <v>999</v>
      </c>
      <c r="Q444" s="17" t="s">
        <v>182</v>
      </c>
      <c r="R444" s="5" t="s">
        <v>999</v>
      </c>
      <c r="S444" s="6" t="s">
        <v>1030</v>
      </c>
      <c r="T444" s="5" t="s">
        <v>827</v>
      </c>
      <c r="U444" s="6"/>
      <c r="V444" s="6" t="s">
        <v>982</v>
      </c>
      <c r="W444" s="6" t="s">
        <v>333</v>
      </c>
      <c r="X444" s="5" t="s">
        <v>922</v>
      </c>
      <c r="Y444" s="5" t="s">
        <v>812</v>
      </c>
      <c r="Z444" s="5" t="str">
        <f t="shared" si="12"/>
        <v>High</v>
      </c>
      <c r="AA444" s="5" t="s">
        <v>956</v>
      </c>
      <c r="AB444" s="6" t="s">
        <v>956</v>
      </c>
      <c r="AC444" s="6" t="s">
        <v>103</v>
      </c>
      <c r="AD444" s="5" t="s">
        <v>925</v>
      </c>
      <c r="AE444" s="5" t="s">
        <v>354</v>
      </c>
      <c r="AF444" s="5" t="s">
        <v>354</v>
      </c>
      <c r="AG444" s="5" t="s">
        <v>354</v>
      </c>
      <c r="AH444" s="5" t="s">
        <v>354</v>
      </c>
      <c r="AI444" s="6" t="str">
        <f t="shared" si="13"/>
        <v>No</v>
      </c>
      <c r="AJ444" s="6" t="s">
        <v>926</v>
      </c>
      <c r="AK444" s="6" t="s">
        <v>121</v>
      </c>
      <c r="AL444" s="6">
        <f>MATCH(AA444,{"Low","Medium","High"},0)*MATCH(AB444,{"Low","Medium","High"},0)*INDEX({3,2,2,1,1},MATCH(X444,{"Core","Vertical extension","Differentiator","Future","Adjacent"},0))</f>
        <v>12</v>
      </c>
      <c r="AM444" s="5"/>
      <c r="AN444" s="5"/>
      <c r="AO444" s="5"/>
      <c r="AP444" s="5"/>
      <c r="AQ444" s="5"/>
      <c r="AR444" s="5"/>
      <c r="AS444" s="5"/>
      <c r="AT444" s="5"/>
      <c r="AU444" s="6" t="s">
        <v>927</v>
      </c>
      <c r="AV444" s="6" t="s">
        <v>2161</v>
      </c>
      <c r="AW444" s="6" t="s">
        <v>2161</v>
      </c>
      <c r="AX444" s="6" t="s">
        <v>1003</v>
      </c>
      <c r="AY444" s="6" t="s">
        <v>1032</v>
      </c>
      <c r="AZ444" s="6"/>
      <c r="BA444" s="6"/>
      <c r="BB444" s="6"/>
      <c r="BC444" s="6" t="s">
        <v>97</v>
      </c>
      <c r="BD444" s="6" t="s">
        <v>97</v>
      </c>
    </row>
    <row r="445" spans="1:56" ht="32" customHeight="1" x14ac:dyDescent="0.35">
      <c r="A445" s="13" t="s">
        <v>3561</v>
      </c>
      <c r="B445" s="6" t="s">
        <v>2114</v>
      </c>
      <c r="C445" s="5" t="s">
        <v>2115</v>
      </c>
      <c r="D445" s="5" t="s">
        <v>827</v>
      </c>
      <c r="E445" s="5" t="s">
        <v>3562</v>
      </c>
      <c r="F445" s="5" t="s">
        <v>1596</v>
      </c>
      <c r="G445" s="5" t="s">
        <v>2094</v>
      </c>
      <c r="H445" s="5" t="s">
        <v>3563</v>
      </c>
      <c r="I445" s="5" t="s">
        <v>3564</v>
      </c>
      <c r="J445" s="17" t="s">
        <v>121</v>
      </c>
      <c r="K445" s="17" t="s">
        <v>181</v>
      </c>
      <c r="L445" s="5" t="s">
        <v>3565</v>
      </c>
      <c r="M445" s="6" t="s">
        <v>197</v>
      </c>
      <c r="N445" s="6" t="s">
        <v>812</v>
      </c>
      <c r="O445" s="6" t="s">
        <v>121</v>
      </c>
      <c r="P445" s="5" t="s">
        <v>999</v>
      </c>
      <c r="Q445" s="17" t="s">
        <v>182</v>
      </c>
      <c r="R445" s="5" t="s">
        <v>999</v>
      </c>
      <c r="S445" s="6" t="s">
        <v>1030</v>
      </c>
      <c r="T445" s="5" t="s">
        <v>827</v>
      </c>
      <c r="U445" s="6"/>
      <c r="V445" s="6" t="s">
        <v>982</v>
      </c>
      <c r="W445" s="6" t="s">
        <v>333</v>
      </c>
      <c r="X445" s="5" t="s">
        <v>922</v>
      </c>
      <c r="Y445" s="5" t="s">
        <v>812</v>
      </c>
      <c r="Z445" s="5" t="str">
        <f t="shared" si="12"/>
        <v>High</v>
      </c>
      <c r="AA445" s="5" t="s">
        <v>956</v>
      </c>
      <c r="AB445" s="6" t="s">
        <v>956</v>
      </c>
      <c r="AC445" s="6" t="s">
        <v>103</v>
      </c>
      <c r="AD445" s="5" t="s">
        <v>925</v>
      </c>
      <c r="AE445" s="5" t="s">
        <v>354</v>
      </c>
      <c r="AF445" s="5" t="s">
        <v>354</v>
      </c>
      <c r="AG445" s="5" t="s">
        <v>354</v>
      </c>
      <c r="AH445" s="5" t="s">
        <v>354</v>
      </c>
      <c r="AI445" s="6" t="str">
        <f t="shared" si="13"/>
        <v>No</v>
      </c>
      <c r="AJ445" s="6" t="s">
        <v>926</v>
      </c>
      <c r="AK445" s="6" t="s">
        <v>121</v>
      </c>
      <c r="AL445" s="6">
        <f>MATCH(AA445,{"Low","Medium","High"},0)*MATCH(AB445,{"Low","Medium","High"},0)*INDEX({3,2,2,1,1},MATCH(X445,{"Core","Vertical extension","Differentiator","Future","Adjacent"},0))</f>
        <v>12</v>
      </c>
      <c r="AM445" s="5"/>
      <c r="AN445" s="5"/>
      <c r="AO445" s="5"/>
      <c r="AP445" s="5"/>
      <c r="AQ445" s="5"/>
      <c r="AR445" s="5"/>
      <c r="AS445" s="5"/>
      <c r="AT445" s="5"/>
      <c r="AU445" s="6" t="s">
        <v>927</v>
      </c>
      <c r="AV445" s="6" t="s">
        <v>1390</v>
      </c>
      <c r="AW445" s="6" t="s">
        <v>1390</v>
      </c>
      <c r="AX445" s="6" t="s">
        <v>1003</v>
      </c>
      <c r="AY445" s="6" t="s">
        <v>1032</v>
      </c>
      <c r="AZ445" s="6"/>
      <c r="BA445" s="6"/>
      <c r="BB445" s="6"/>
      <c r="BC445" s="6" t="s">
        <v>97</v>
      </c>
      <c r="BD445" s="6" t="s">
        <v>97</v>
      </c>
    </row>
    <row r="446" spans="1:56" ht="32" customHeight="1" x14ac:dyDescent="0.35">
      <c r="A446" s="13" t="s">
        <v>3566</v>
      </c>
      <c r="B446" s="6" t="s">
        <v>2114</v>
      </c>
      <c r="C446" s="5" t="s">
        <v>2115</v>
      </c>
      <c r="D446" s="5" t="s">
        <v>840</v>
      </c>
      <c r="E446" s="5" t="s">
        <v>3567</v>
      </c>
      <c r="F446" s="5" t="s">
        <v>3568</v>
      </c>
      <c r="G446" s="5" t="s">
        <v>1017</v>
      </c>
      <c r="H446" s="5" t="s">
        <v>3569</v>
      </c>
      <c r="I446" s="5" t="s">
        <v>3570</v>
      </c>
      <c r="J446" s="17" t="s">
        <v>121</v>
      </c>
      <c r="K446" s="17" t="s">
        <v>181</v>
      </c>
      <c r="L446" s="5" t="s">
        <v>3571</v>
      </c>
      <c r="M446" s="6" t="s">
        <v>197</v>
      </c>
      <c r="N446" s="6" t="s">
        <v>812</v>
      </c>
      <c r="O446" s="6" t="s">
        <v>121</v>
      </c>
      <c r="P446" s="5" t="s">
        <v>918</v>
      </c>
      <c r="Q446" s="18" t="s">
        <v>186</v>
      </c>
      <c r="R446" s="5" t="s">
        <v>1021</v>
      </c>
      <c r="S446" s="6" t="s">
        <v>1022</v>
      </c>
      <c r="T446" s="5" t="s">
        <v>1023</v>
      </c>
      <c r="U446" s="6"/>
      <c r="V446" s="6" t="s">
        <v>1024</v>
      </c>
      <c r="W446" s="6" t="s">
        <v>337</v>
      </c>
      <c r="X446" s="5" t="s">
        <v>922</v>
      </c>
      <c r="Y446" s="5" t="s">
        <v>812</v>
      </c>
      <c r="Z446" s="5" t="str">
        <f t="shared" si="12"/>
        <v>Medium</v>
      </c>
      <c r="AA446" s="5" t="s">
        <v>956</v>
      </c>
      <c r="AB446" s="6" t="s">
        <v>924</v>
      </c>
      <c r="AC446" s="6" t="s">
        <v>11</v>
      </c>
      <c r="AD446" s="5" t="s">
        <v>940</v>
      </c>
      <c r="AE446" s="5" t="s">
        <v>354</v>
      </c>
      <c r="AF446" s="5" t="s">
        <v>354</v>
      </c>
      <c r="AG446" s="5" t="s">
        <v>354</v>
      </c>
      <c r="AH446" s="5" t="s">
        <v>354</v>
      </c>
      <c r="AI446" s="6" t="str">
        <f t="shared" si="13"/>
        <v>No</v>
      </c>
      <c r="AJ446" s="6" t="s">
        <v>941</v>
      </c>
      <c r="AK446" s="6" t="s">
        <v>151</v>
      </c>
      <c r="AL446" s="6">
        <f>MATCH(AA446,{"Low","Medium","High"},0)*MATCH(AB446,{"Low","Medium","High"},0)*INDEX({3,2,2,1,1},MATCH(X446,{"Core","Vertical extension","Differentiator","Future","Adjacent"},0))</f>
        <v>6</v>
      </c>
      <c r="AM446" s="5"/>
      <c r="AN446" s="5"/>
      <c r="AO446" s="5"/>
      <c r="AP446" s="5"/>
      <c r="AQ446" s="5"/>
      <c r="AR446" s="5"/>
      <c r="AS446" s="5"/>
      <c r="AT446" s="5"/>
      <c r="AU446" s="6" t="s">
        <v>927</v>
      </c>
      <c r="AV446" s="6" t="s">
        <v>928</v>
      </c>
      <c r="AW446" s="6" t="s">
        <v>928</v>
      </c>
      <c r="AX446" s="6" t="s">
        <v>929</v>
      </c>
      <c r="AY446" s="6" t="s">
        <v>930</v>
      </c>
      <c r="AZ446" s="6"/>
      <c r="BA446" s="6"/>
      <c r="BB446" s="6"/>
      <c r="BC446" s="6" t="s">
        <v>97</v>
      </c>
      <c r="BD446" s="6" t="s">
        <v>97</v>
      </c>
    </row>
    <row r="447" spans="1:56" ht="32" customHeight="1" x14ac:dyDescent="0.35">
      <c r="A447" s="13" t="s">
        <v>3572</v>
      </c>
      <c r="B447" s="6" t="s">
        <v>2114</v>
      </c>
      <c r="C447" s="5" t="s">
        <v>2115</v>
      </c>
      <c r="D447" s="5" t="s">
        <v>840</v>
      </c>
      <c r="E447" s="5" t="s">
        <v>3573</v>
      </c>
      <c r="F447" s="5" t="s">
        <v>1710</v>
      </c>
      <c r="G447" s="5" t="s">
        <v>1017</v>
      </c>
      <c r="H447" s="5" t="s">
        <v>3574</v>
      </c>
      <c r="I447" s="5" t="s">
        <v>3575</v>
      </c>
      <c r="J447" s="17" t="s">
        <v>121</v>
      </c>
      <c r="K447" s="17" t="s">
        <v>181</v>
      </c>
      <c r="L447" s="5" t="s">
        <v>3576</v>
      </c>
      <c r="M447" s="6" t="s">
        <v>197</v>
      </c>
      <c r="N447" s="6" t="s">
        <v>812</v>
      </c>
      <c r="O447" s="6" t="s">
        <v>121</v>
      </c>
      <c r="P447" s="5" t="s">
        <v>918</v>
      </c>
      <c r="Q447" s="18" t="s">
        <v>186</v>
      </c>
      <c r="R447" s="5" t="s">
        <v>1021</v>
      </c>
      <c r="S447" s="6" t="s">
        <v>1022</v>
      </c>
      <c r="T447" s="5" t="s">
        <v>1023</v>
      </c>
      <c r="U447" s="6"/>
      <c r="V447" s="6" t="s">
        <v>1024</v>
      </c>
      <c r="W447" s="6" t="s">
        <v>337</v>
      </c>
      <c r="X447" s="5" t="s">
        <v>922</v>
      </c>
      <c r="Y447" s="5" t="s">
        <v>812</v>
      </c>
      <c r="Z447" s="5" t="str">
        <f t="shared" si="12"/>
        <v>Medium</v>
      </c>
      <c r="AA447" s="5" t="s">
        <v>956</v>
      </c>
      <c r="AB447" s="6" t="s">
        <v>924</v>
      </c>
      <c r="AC447" s="6" t="s">
        <v>11</v>
      </c>
      <c r="AD447" s="5" t="s">
        <v>940</v>
      </c>
      <c r="AE447" s="5" t="s">
        <v>354</v>
      </c>
      <c r="AF447" s="5" t="s">
        <v>354</v>
      </c>
      <c r="AG447" s="5" t="s">
        <v>354</v>
      </c>
      <c r="AH447" s="5" t="s">
        <v>354</v>
      </c>
      <c r="AI447" s="6" t="str">
        <f t="shared" si="13"/>
        <v>No</v>
      </c>
      <c r="AJ447" s="6" t="s">
        <v>941</v>
      </c>
      <c r="AK447" s="6" t="s">
        <v>151</v>
      </c>
      <c r="AL447" s="6">
        <f>MATCH(AA447,{"Low","Medium","High"},0)*MATCH(AB447,{"Low","Medium","High"},0)*INDEX({3,2,2,1,1},MATCH(X447,{"Core","Vertical extension","Differentiator","Future","Adjacent"},0))</f>
        <v>6</v>
      </c>
      <c r="AM447" s="5"/>
      <c r="AN447" s="5"/>
      <c r="AO447" s="5"/>
      <c r="AP447" s="5"/>
      <c r="AQ447" s="5"/>
      <c r="AR447" s="5"/>
      <c r="AS447" s="5"/>
      <c r="AT447" s="5"/>
      <c r="AU447" s="6" t="s">
        <v>927</v>
      </c>
      <c r="AV447" s="6" t="s">
        <v>55</v>
      </c>
      <c r="AW447" s="6" t="s">
        <v>55</v>
      </c>
      <c r="AX447" s="6" t="s">
        <v>929</v>
      </c>
      <c r="AY447" s="6" t="s">
        <v>930</v>
      </c>
      <c r="AZ447" s="6"/>
      <c r="BA447" s="6"/>
      <c r="BB447" s="6"/>
      <c r="BC447" s="6" t="s">
        <v>97</v>
      </c>
      <c r="BD447" s="6" t="s">
        <v>97</v>
      </c>
    </row>
    <row r="448" spans="1:56" ht="32" customHeight="1" x14ac:dyDescent="0.35">
      <c r="A448" s="13" t="s">
        <v>3577</v>
      </c>
      <c r="B448" s="6" t="s">
        <v>2114</v>
      </c>
      <c r="C448" s="5" t="s">
        <v>2115</v>
      </c>
      <c r="D448" s="5" t="s">
        <v>840</v>
      </c>
      <c r="E448" s="5" t="s">
        <v>3578</v>
      </c>
      <c r="F448" s="5" t="s">
        <v>1291</v>
      </c>
      <c r="G448" s="5" t="s">
        <v>1017</v>
      </c>
      <c r="H448" s="5" t="s">
        <v>3579</v>
      </c>
      <c r="I448" s="5" t="s">
        <v>3580</v>
      </c>
      <c r="J448" s="17" t="s">
        <v>121</v>
      </c>
      <c r="K448" s="17" t="s">
        <v>181</v>
      </c>
      <c r="L448" s="5" t="s">
        <v>3581</v>
      </c>
      <c r="M448" s="6" t="s">
        <v>197</v>
      </c>
      <c r="N448" s="6" t="s">
        <v>812</v>
      </c>
      <c r="O448" s="6" t="s">
        <v>121</v>
      </c>
      <c r="P448" s="5" t="s">
        <v>918</v>
      </c>
      <c r="Q448" s="17" t="s">
        <v>182</v>
      </c>
      <c r="R448" s="5"/>
      <c r="S448" s="6" t="s">
        <v>1022</v>
      </c>
      <c r="T448" s="5" t="s">
        <v>1023</v>
      </c>
      <c r="U448" s="6"/>
      <c r="V448" s="6" t="s">
        <v>1024</v>
      </c>
      <c r="W448" s="6" t="s">
        <v>337</v>
      </c>
      <c r="X448" s="5" t="s">
        <v>922</v>
      </c>
      <c r="Y448" s="5" t="s">
        <v>812</v>
      </c>
      <c r="Z448" s="5" t="str">
        <f t="shared" si="12"/>
        <v>Medium</v>
      </c>
      <c r="AA448" s="5" t="s">
        <v>956</v>
      </c>
      <c r="AB448" s="6" t="s">
        <v>924</v>
      </c>
      <c r="AC448" s="6" t="s">
        <v>11</v>
      </c>
      <c r="AD448" s="5" t="s">
        <v>925</v>
      </c>
      <c r="AE448" s="5" t="s">
        <v>354</v>
      </c>
      <c r="AF448" s="5" t="s">
        <v>354</v>
      </c>
      <c r="AG448" s="5" t="s">
        <v>354</v>
      </c>
      <c r="AH448" s="5" t="s">
        <v>354</v>
      </c>
      <c r="AI448" s="6" t="str">
        <f t="shared" si="13"/>
        <v>No</v>
      </c>
      <c r="AJ448" s="6" t="s">
        <v>926</v>
      </c>
      <c r="AK448" s="6" t="s">
        <v>151</v>
      </c>
      <c r="AL448" s="6">
        <f>MATCH(AA448,{"Low","Medium","High"},0)*MATCH(AB448,{"Low","Medium","High"},0)*INDEX({3,2,2,1,1},MATCH(X448,{"Core","Vertical extension","Differentiator","Future","Adjacent"},0))</f>
        <v>6</v>
      </c>
      <c r="AM448" s="5"/>
      <c r="AN448" s="5"/>
      <c r="AO448" s="5"/>
      <c r="AP448" s="5"/>
      <c r="AQ448" s="5"/>
      <c r="AR448" s="5"/>
      <c r="AS448" s="5"/>
      <c r="AT448" s="5"/>
      <c r="AU448" s="6" t="s">
        <v>927</v>
      </c>
      <c r="AV448" s="6" t="s">
        <v>1315</v>
      </c>
      <c r="AW448" s="6" t="s">
        <v>1315</v>
      </c>
      <c r="AX448" s="6" t="s">
        <v>929</v>
      </c>
      <c r="AY448" s="6" t="s">
        <v>930</v>
      </c>
      <c r="AZ448" s="6" t="s">
        <v>3582</v>
      </c>
      <c r="BA448" s="6"/>
      <c r="BB448" s="6"/>
      <c r="BC448" s="6" t="s">
        <v>97</v>
      </c>
      <c r="BD448" s="6" t="s">
        <v>97</v>
      </c>
    </row>
    <row r="449" spans="1:56" ht="32" customHeight="1" x14ac:dyDescent="0.35">
      <c r="A449" s="13" t="s">
        <v>3583</v>
      </c>
      <c r="B449" s="6" t="s">
        <v>2114</v>
      </c>
      <c r="C449" s="5" t="s">
        <v>2115</v>
      </c>
      <c r="D449" s="5" t="s">
        <v>840</v>
      </c>
      <c r="E449" s="5" t="s">
        <v>3584</v>
      </c>
      <c r="F449" s="5" t="s">
        <v>1300</v>
      </c>
      <c r="G449" s="5" t="s">
        <v>1017</v>
      </c>
      <c r="H449" s="5" t="s">
        <v>3585</v>
      </c>
      <c r="I449" s="5" t="s">
        <v>3586</v>
      </c>
      <c r="J449" s="17" t="s">
        <v>121</v>
      </c>
      <c r="K449" s="17" t="s">
        <v>181</v>
      </c>
      <c r="L449" s="5" t="s">
        <v>3587</v>
      </c>
      <c r="M449" s="6" t="s">
        <v>197</v>
      </c>
      <c r="N449" s="6" t="s">
        <v>812</v>
      </c>
      <c r="O449" s="6" t="s">
        <v>121</v>
      </c>
      <c r="P449" s="5" t="s">
        <v>918</v>
      </c>
      <c r="Q449" s="17" t="s">
        <v>182</v>
      </c>
      <c r="R449" s="5"/>
      <c r="S449" s="6" t="s">
        <v>1022</v>
      </c>
      <c r="T449" s="5" t="s">
        <v>1023</v>
      </c>
      <c r="U449" s="6"/>
      <c r="V449" s="6" t="s">
        <v>1024</v>
      </c>
      <c r="W449" s="6" t="s">
        <v>337</v>
      </c>
      <c r="X449" s="5" t="s">
        <v>922</v>
      </c>
      <c r="Y449" s="5" t="s">
        <v>812</v>
      </c>
      <c r="Z449" s="5" t="str">
        <f t="shared" si="12"/>
        <v>Medium</v>
      </c>
      <c r="AA449" s="5" t="s">
        <v>956</v>
      </c>
      <c r="AB449" s="6" t="s">
        <v>924</v>
      </c>
      <c r="AC449" s="6" t="s">
        <v>11</v>
      </c>
      <c r="AD449" s="5" t="s">
        <v>925</v>
      </c>
      <c r="AE449" s="5" t="s">
        <v>354</v>
      </c>
      <c r="AF449" s="5" t="s">
        <v>354</v>
      </c>
      <c r="AG449" s="5" t="s">
        <v>354</v>
      </c>
      <c r="AH449" s="5" t="s">
        <v>354</v>
      </c>
      <c r="AI449" s="6" t="str">
        <f t="shared" si="13"/>
        <v>No</v>
      </c>
      <c r="AJ449" s="6" t="s">
        <v>926</v>
      </c>
      <c r="AK449" s="6" t="s">
        <v>151</v>
      </c>
      <c r="AL449" s="6">
        <f>MATCH(AA449,{"Low","Medium","High"},0)*MATCH(AB449,{"Low","Medium","High"},0)*INDEX({3,2,2,1,1},MATCH(X449,{"Core","Vertical extension","Differentiator","Future","Adjacent"},0))</f>
        <v>6</v>
      </c>
      <c r="AM449" s="5"/>
      <c r="AN449" s="5"/>
      <c r="AO449" s="5"/>
      <c r="AP449" s="5"/>
      <c r="AQ449" s="5"/>
      <c r="AR449" s="5"/>
      <c r="AS449" s="5"/>
      <c r="AT449" s="5"/>
      <c r="AU449" s="6" t="s">
        <v>927</v>
      </c>
      <c r="AV449" s="6" t="s">
        <v>1306</v>
      </c>
      <c r="AW449" s="6" t="s">
        <v>1306</v>
      </c>
      <c r="AX449" s="6" t="s">
        <v>929</v>
      </c>
      <c r="AY449" s="6" t="s">
        <v>930</v>
      </c>
      <c r="AZ449" s="6"/>
      <c r="BA449" s="6"/>
      <c r="BB449" s="6"/>
      <c r="BC449" s="6" t="s">
        <v>97</v>
      </c>
      <c r="BD449" s="6" t="s">
        <v>97</v>
      </c>
    </row>
    <row r="450" spans="1:56" ht="32" customHeight="1" x14ac:dyDescent="0.35">
      <c r="A450" s="13" t="s">
        <v>3588</v>
      </c>
      <c r="B450" s="6" t="s">
        <v>2114</v>
      </c>
      <c r="C450" s="5" t="s">
        <v>2115</v>
      </c>
      <c r="D450" s="5" t="s">
        <v>840</v>
      </c>
      <c r="E450" s="5" t="s">
        <v>3589</v>
      </c>
      <c r="F450" s="5" t="s">
        <v>3101</v>
      </c>
      <c r="G450" s="5" t="s">
        <v>1017</v>
      </c>
      <c r="H450" s="5" t="s">
        <v>3590</v>
      </c>
      <c r="I450" s="5" t="s">
        <v>3591</v>
      </c>
      <c r="J450" s="17" t="s">
        <v>121</v>
      </c>
      <c r="K450" s="17" t="s">
        <v>181</v>
      </c>
      <c r="L450" s="5" t="s">
        <v>3592</v>
      </c>
      <c r="M450" s="6" t="s">
        <v>197</v>
      </c>
      <c r="N450" s="6" t="s">
        <v>812</v>
      </c>
      <c r="O450" s="6" t="s">
        <v>121</v>
      </c>
      <c r="P450" s="5" t="s">
        <v>918</v>
      </c>
      <c r="Q450" s="18" t="s">
        <v>186</v>
      </c>
      <c r="R450" s="5" t="s">
        <v>1236</v>
      </c>
      <c r="S450" s="6" t="s">
        <v>1022</v>
      </c>
      <c r="T450" s="5" t="s">
        <v>1023</v>
      </c>
      <c r="U450" s="6"/>
      <c r="V450" s="6" t="s">
        <v>1024</v>
      </c>
      <c r="W450" s="6" t="s">
        <v>337</v>
      </c>
      <c r="X450" s="5" t="s">
        <v>922</v>
      </c>
      <c r="Y450" s="5" t="s">
        <v>812</v>
      </c>
      <c r="Z450" s="5" t="str">
        <f t="shared" ref="Z450:Z513" si="14">IF(AL450&gt;=18,"Critical",IF(AL450&gt;=9,"High",IF(AL450&gt;=4,"Medium","Low")))</f>
        <v>Medium</v>
      </c>
      <c r="AA450" s="5" t="s">
        <v>956</v>
      </c>
      <c r="AB450" s="6" t="s">
        <v>924</v>
      </c>
      <c r="AC450" s="6" t="s">
        <v>11</v>
      </c>
      <c r="AD450" s="5" t="s">
        <v>940</v>
      </c>
      <c r="AE450" s="5" t="s">
        <v>354</v>
      </c>
      <c r="AF450" s="5" t="s">
        <v>354</v>
      </c>
      <c r="AG450" s="5" t="s">
        <v>354</v>
      </c>
      <c r="AH450" s="5" t="s">
        <v>354</v>
      </c>
      <c r="AI450" s="6" t="str">
        <f t="shared" ref="AI450:AI513" si="15">IF(AND(AU450="Pass",AE450&lt;&gt;"Not verified",AF450&lt;&gt;"Not verified",AG450&lt;&gt;"Not verified",AH450&lt;&gt;"Not verified",BC450="Yes",BD450="Yes"),"Yes","No")</f>
        <v>No</v>
      </c>
      <c r="AJ450" s="6" t="s">
        <v>941</v>
      </c>
      <c r="AK450" s="6" t="s">
        <v>151</v>
      </c>
      <c r="AL450" s="6">
        <f>MATCH(AA450,{"Low","Medium","High"},0)*MATCH(AB450,{"Low","Medium","High"},0)*INDEX({3,2,2,1,1},MATCH(X450,{"Core","Vertical extension","Differentiator","Future","Adjacent"},0))</f>
        <v>6</v>
      </c>
      <c r="AM450" s="5"/>
      <c r="AN450" s="5"/>
      <c r="AO450" s="5"/>
      <c r="AP450" s="5"/>
      <c r="AQ450" s="5"/>
      <c r="AR450" s="5"/>
      <c r="AS450" s="5"/>
      <c r="AT450" s="5"/>
      <c r="AU450" s="6" t="s">
        <v>927</v>
      </c>
      <c r="AV450" s="6" t="s">
        <v>3101</v>
      </c>
      <c r="AW450" s="6" t="s">
        <v>3101</v>
      </c>
      <c r="AX450" s="6" t="s">
        <v>929</v>
      </c>
      <c r="AY450" s="6" t="s">
        <v>930</v>
      </c>
      <c r="AZ450" s="6" t="s">
        <v>3593</v>
      </c>
      <c r="BA450" s="6" t="s">
        <v>1040</v>
      </c>
      <c r="BB450" s="6" t="s">
        <v>1041</v>
      </c>
      <c r="BC450" s="6" t="s">
        <v>97</v>
      </c>
      <c r="BD450" s="6" t="s">
        <v>97</v>
      </c>
    </row>
    <row r="451" spans="1:56" ht="32" customHeight="1" x14ac:dyDescent="0.35">
      <c r="A451" s="13" t="s">
        <v>3594</v>
      </c>
      <c r="B451" s="6" t="s">
        <v>2114</v>
      </c>
      <c r="C451" s="5" t="s">
        <v>2115</v>
      </c>
      <c r="D451" s="5" t="s">
        <v>840</v>
      </c>
      <c r="E451" s="5" t="s">
        <v>3595</v>
      </c>
      <c r="F451" s="5" t="s">
        <v>457</v>
      </c>
      <c r="G451" s="5" t="s">
        <v>1017</v>
      </c>
      <c r="H451" s="5" t="s">
        <v>3596</v>
      </c>
      <c r="I451" s="5" t="s">
        <v>3597</v>
      </c>
      <c r="J451" s="17" t="s">
        <v>121</v>
      </c>
      <c r="K451" s="17" t="s">
        <v>181</v>
      </c>
      <c r="L451" s="5" t="s">
        <v>3598</v>
      </c>
      <c r="M451" s="6" t="s">
        <v>197</v>
      </c>
      <c r="N451" s="6" t="s">
        <v>812</v>
      </c>
      <c r="O451" s="6" t="s">
        <v>121</v>
      </c>
      <c r="P451" s="5" t="s">
        <v>918</v>
      </c>
      <c r="Q451" s="17" t="s">
        <v>182</v>
      </c>
      <c r="R451" s="5"/>
      <c r="S451" s="6" t="s">
        <v>1022</v>
      </c>
      <c r="T451" s="5" t="s">
        <v>1023</v>
      </c>
      <c r="U451" s="6"/>
      <c r="V451" s="6" t="s">
        <v>1024</v>
      </c>
      <c r="W451" s="6" t="s">
        <v>337</v>
      </c>
      <c r="X451" s="5" t="s">
        <v>922</v>
      </c>
      <c r="Y451" s="5" t="s">
        <v>812</v>
      </c>
      <c r="Z451" s="5" t="str">
        <f t="shared" si="14"/>
        <v>Medium</v>
      </c>
      <c r="AA451" s="5" t="s">
        <v>956</v>
      </c>
      <c r="AB451" s="6" t="s">
        <v>924</v>
      </c>
      <c r="AC451" s="6" t="s">
        <v>11</v>
      </c>
      <c r="AD451" s="5" t="s">
        <v>925</v>
      </c>
      <c r="AE451" s="5" t="s">
        <v>354</v>
      </c>
      <c r="AF451" s="5" t="s">
        <v>354</v>
      </c>
      <c r="AG451" s="5" t="s">
        <v>354</v>
      </c>
      <c r="AH451" s="5" t="s">
        <v>354</v>
      </c>
      <c r="AI451" s="6" t="str">
        <f t="shared" si="15"/>
        <v>No</v>
      </c>
      <c r="AJ451" s="6" t="s">
        <v>926</v>
      </c>
      <c r="AK451" s="6" t="s">
        <v>151</v>
      </c>
      <c r="AL451" s="6">
        <f>MATCH(AA451,{"Low","Medium","High"},0)*MATCH(AB451,{"Low","Medium","High"},0)*INDEX({3,2,2,1,1},MATCH(X451,{"Core","Vertical extension","Differentiator","Future","Adjacent"},0))</f>
        <v>6</v>
      </c>
      <c r="AM451" s="5"/>
      <c r="AN451" s="5"/>
      <c r="AO451" s="5"/>
      <c r="AP451" s="5"/>
      <c r="AQ451" s="5"/>
      <c r="AR451" s="5"/>
      <c r="AS451" s="5"/>
      <c r="AT451" s="5"/>
      <c r="AU451" s="6" t="s">
        <v>927</v>
      </c>
      <c r="AV451" s="6" t="s">
        <v>55</v>
      </c>
      <c r="AW451" s="6" t="s">
        <v>55</v>
      </c>
      <c r="AX451" s="6" t="s">
        <v>929</v>
      </c>
      <c r="AY451" s="6" t="s">
        <v>930</v>
      </c>
      <c r="AZ451" s="6"/>
      <c r="BA451" s="6"/>
      <c r="BB451" s="6"/>
      <c r="BC451" s="6" t="s">
        <v>97</v>
      </c>
      <c r="BD451" s="6" t="s">
        <v>97</v>
      </c>
    </row>
    <row r="452" spans="1:56" ht="32" customHeight="1" x14ac:dyDescent="0.35">
      <c r="A452" s="13" t="s">
        <v>3599</v>
      </c>
      <c r="B452" s="6" t="s">
        <v>2114</v>
      </c>
      <c r="C452" s="5" t="s">
        <v>2115</v>
      </c>
      <c r="D452" s="5" t="s">
        <v>840</v>
      </c>
      <c r="E452" s="5" t="s">
        <v>3600</v>
      </c>
      <c r="F452" s="5" t="s">
        <v>1596</v>
      </c>
      <c r="G452" s="5" t="s">
        <v>3601</v>
      </c>
      <c r="H452" s="5" t="s">
        <v>3602</v>
      </c>
      <c r="I452" s="5" t="s">
        <v>3603</v>
      </c>
      <c r="J452" s="17" t="s">
        <v>121</v>
      </c>
      <c r="K452" s="17" t="s">
        <v>181</v>
      </c>
      <c r="L452" s="5" t="s">
        <v>3604</v>
      </c>
      <c r="M452" s="6" t="s">
        <v>197</v>
      </c>
      <c r="N452" s="6" t="s">
        <v>812</v>
      </c>
      <c r="O452" s="6" t="s">
        <v>121</v>
      </c>
      <c r="P452" s="5" t="s">
        <v>918</v>
      </c>
      <c r="Q452" s="17" t="s">
        <v>182</v>
      </c>
      <c r="R452" s="5"/>
      <c r="S452" s="6" t="s">
        <v>1022</v>
      </c>
      <c r="T452" s="5" t="s">
        <v>1023</v>
      </c>
      <c r="U452" s="6"/>
      <c r="V452" s="6" t="s">
        <v>1024</v>
      </c>
      <c r="W452" s="6" t="s">
        <v>337</v>
      </c>
      <c r="X452" s="5" t="s">
        <v>922</v>
      </c>
      <c r="Y452" s="5" t="s">
        <v>812</v>
      </c>
      <c r="Z452" s="5" t="str">
        <f t="shared" si="14"/>
        <v>Medium</v>
      </c>
      <c r="AA452" s="5" t="s">
        <v>956</v>
      </c>
      <c r="AB452" s="6" t="s">
        <v>924</v>
      </c>
      <c r="AC452" s="6" t="s">
        <v>11</v>
      </c>
      <c r="AD452" s="5" t="s">
        <v>925</v>
      </c>
      <c r="AE452" s="5" t="s">
        <v>354</v>
      </c>
      <c r="AF452" s="5" t="s">
        <v>354</v>
      </c>
      <c r="AG452" s="5" t="s">
        <v>354</v>
      </c>
      <c r="AH452" s="5" t="s">
        <v>354</v>
      </c>
      <c r="AI452" s="6" t="str">
        <f t="shared" si="15"/>
        <v>No</v>
      </c>
      <c r="AJ452" s="6" t="s">
        <v>926</v>
      </c>
      <c r="AK452" s="6" t="s">
        <v>151</v>
      </c>
      <c r="AL452" s="6">
        <f>MATCH(AA452,{"Low","Medium","High"},0)*MATCH(AB452,{"Low","Medium","High"},0)*INDEX({3,2,2,1,1},MATCH(X452,{"Core","Vertical extension","Differentiator","Future","Adjacent"},0))</f>
        <v>6</v>
      </c>
      <c r="AM452" s="5"/>
      <c r="AN452" s="5"/>
      <c r="AO452" s="5"/>
      <c r="AP452" s="5"/>
      <c r="AQ452" s="5"/>
      <c r="AR452" s="5"/>
      <c r="AS452" s="5"/>
      <c r="AT452" s="5"/>
      <c r="AU452" s="6" t="s">
        <v>927</v>
      </c>
      <c r="AV452" s="6" t="s">
        <v>1390</v>
      </c>
      <c r="AW452" s="6" t="s">
        <v>1390</v>
      </c>
      <c r="AX452" s="6" t="s">
        <v>929</v>
      </c>
      <c r="AY452" s="6" t="s">
        <v>930</v>
      </c>
      <c r="AZ452" s="6"/>
      <c r="BA452" s="6"/>
      <c r="BB452" s="6"/>
      <c r="BC452" s="6" t="s">
        <v>97</v>
      </c>
      <c r="BD452" s="6" t="s">
        <v>97</v>
      </c>
    </row>
    <row r="453" spans="1:56" ht="32" customHeight="1" x14ac:dyDescent="0.35">
      <c r="A453" s="13" t="s">
        <v>3605</v>
      </c>
      <c r="B453" s="6" t="s">
        <v>2114</v>
      </c>
      <c r="C453" s="5" t="s">
        <v>2115</v>
      </c>
      <c r="D453" s="5" t="s">
        <v>840</v>
      </c>
      <c r="E453" s="5" t="s">
        <v>3606</v>
      </c>
      <c r="F453" s="5" t="s">
        <v>1623</v>
      </c>
      <c r="G453" s="5" t="s">
        <v>1017</v>
      </c>
      <c r="H453" s="5" t="s">
        <v>3607</v>
      </c>
      <c r="I453" s="5" t="s">
        <v>3608</v>
      </c>
      <c r="J453" s="17" t="s">
        <v>121</v>
      </c>
      <c r="K453" s="17" t="s">
        <v>181</v>
      </c>
      <c r="L453" s="5" t="s">
        <v>3609</v>
      </c>
      <c r="M453" s="6" t="s">
        <v>197</v>
      </c>
      <c r="N453" s="6" t="s">
        <v>812</v>
      </c>
      <c r="O453" s="6" t="s">
        <v>121</v>
      </c>
      <c r="P453" s="5" t="s">
        <v>918</v>
      </c>
      <c r="Q453" s="17" t="s">
        <v>182</v>
      </c>
      <c r="R453" s="5"/>
      <c r="S453" s="6" t="s">
        <v>1022</v>
      </c>
      <c r="T453" s="5" t="s">
        <v>1023</v>
      </c>
      <c r="U453" s="6"/>
      <c r="V453" s="6" t="s">
        <v>1024</v>
      </c>
      <c r="W453" s="6" t="s">
        <v>337</v>
      </c>
      <c r="X453" s="5" t="s">
        <v>922</v>
      </c>
      <c r="Y453" s="5" t="s">
        <v>812</v>
      </c>
      <c r="Z453" s="5" t="str">
        <f t="shared" si="14"/>
        <v>Medium</v>
      </c>
      <c r="AA453" s="5" t="s">
        <v>956</v>
      </c>
      <c r="AB453" s="6" t="s">
        <v>924</v>
      </c>
      <c r="AC453" s="6" t="s">
        <v>11</v>
      </c>
      <c r="AD453" s="5" t="s">
        <v>925</v>
      </c>
      <c r="AE453" s="5" t="s">
        <v>354</v>
      </c>
      <c r="AF453" s="5" t="s">
        <v>354</v>
      </c>
      <c r="AG453" s="5" t="s">
        <v>354</v>
      </c>
      <c r="AH453" s="5" t="s">
        <v>354</v>
      </c>
      <c r="AI453" s="6" t="str">
        <f t="shared" si="15"/>
        <v>No</v>
      </c>
      <c r="AJ453" s="6" t="s">
        <v>926</v>
      </c>
      <c r="AK453" s="6" t="s">
        <v>151</v>
      </c>
      <c r="AL453" s="6">
        <f>MATCH(AA453,{"Low","Medium","High"},0)*MATCH(AB453,{"Low","Medium","High"},0)*INDEX({3,2,2,1,1},MATCH(X453,{"Core","Vertical extension","Differentiator","Future","Adjacent"},0))</f>
        <v>6</v>
      </c>
      <c r="AM453" s="5"/>
      <c r="AN453" s="5"/>
      <c r="AO453" s="5"/>
      <c r="AP453" s="5"/>
      <c r="AQ453" s="5"/>
      <c r="AR453" s="5"/>
      <c r="AS453" s="5"/>
      <c r="AT453" s="5"/>
      <c r="AU453" s="6" t="s">
        <v>927</v>
      </c>
      <c r="AV453" s="6" t="s">
        <v>928</v>
      </c>
      <c r="AW453" s="6" t="s">
        <v>928</v>
      </c>
      <c r="AX453" s="6" t="s">
        <v>929</v>
      </c>
      <c r="AY453" s="6" t="s">
        <v>930</v>
      </c>
      <c r="AZ453" s="6"/>
      <c r="BA453" s="6"/>
      <c r="BB453" s="6"/>
      <c r="BC453" s="6" t="s">
        <v>97</v>
      </c>
      <c r="BD453" s="6" t="s">
        <v>97</v>
      </c>
    </row>
    <row r="454" spans="1:56" ht="32" customHeight="1" x14ac:dyDescent="0.35">
      <c r="A454" s="13" t="s">
        <v>3610</v>
      </c>
      <c r="B454" s="6" t="s">
        <v>2114</v>
      </c>
      <c r="C454" s="5" t="s">
        <v>2115</v>
      </c>
      <c r="D454" s="5" t="s">
        <v>840</v>
      </c>
      <c r="E454" s="5" t="s">
        <v>3611</v>
      </c>
      <c r="F454" s="5" t="s">
        <v>3612</v>
      </c>
      <c r="G454" s="5" t="s">
        <v>1459</v>
      </c>
      <c r="H454" s="5" t="s">
        <v>3613</v>
      </c>
      <c r="I454" s="5" t="s">
        <v>3614</v>
      </c>
      <c r="J454" s="17" t="s">
        <v>121</v>
      </c>
      <c r="K454" s="17" t="s">
        <v>181</v>
      </c>
      <c r="L454" s="5" t="s">
        <v>3615</v>
      </c>
      <c r="M454" s="6" t="s">
        <v>197</v>
      </c>
      <c r="N454" s="6" t="s">
        <v>812</v>
      </c>
      <c r="O454" s="6" t="s">
        <v>121</v>
      </c>
      <c r="P454" s="5" t="s">
        <v>918</v>
      </c>
      <c r="Q454" s="17" t="s">
        <v>182</v>
      </c>
      <c r="R454" s="5"/>
      <c r="S454" s="6" t="s">
        <v>1022</v>
      </c>
      <c r="T454" s="5" t="s">
        <v>1023</v>
      </c>
      <c r="U454" s="6"/>
      <c r="V454" s="6" t="s">
        <v>1024</v>
      </c>
      <c r="W454" s="6" t="s">
        <v>337</v>
      </c>
      <c r="X454" s="5" t="s">
        <v>922</v>
      </c>
      <c r="Y454" s="5" t="s">
        <v>812</v>
      </c>
      <c r="Z454" s="5" t="str">
        <f t="shared" si="14"/>
        <v>Medium</v>
      </c>
      <c r="AA454" s="5" t="s">
        <v>956</v>
      </c>
      <c r="AB454" s="6" t="s">
        <v>924</v>
      </c>
      <c r="AC454" s="6" t="s">
        <v>11</v>
      </c>
      <c r="AD454" s="5" t="s">
        <v>925</v>
      </c>
      <c r="AE454" s="5" t="s">
        <v>354</v>
      </c>
      <c r="AF454" s="5" t="s">
        <v>354</v>
      </c>
      <c r="AG454" s="5" t="s">
        <v>354</v>
      </c>
      <c r="AH454" s="5" t="s">
        <v>354</v>
      </c>
      <c r="AI454" s="6" t="str">
        <f t="shared" si="15"/>
        <v>No</v>
      </c>
      <c r="AJ454" s="6" t="s">
        <v>926</v>
      </c>
      <c r="AK454" s="6" t="s">
        <v>151</v>
      </c>
      <c r="AL454" s="6">
        <f>MATCH(AA454,{"Low","Medium","High"},0)*MATCH(AB454,{"Low","Medium","High"},0)*INDEX({3,2,2,1,1},MATCH(X454,{"Core","Vertical extension","Differentiator","Future","Adjacent"},0))</f>
        <v>6</v>
      </c>
      <c r="AM454" s="5"/>
      <c r="AN454" s="5"/>
      <c r="AO454" s="5"/>
      <c r="AP454" s="5"/>
      <c r="AQ454" s="5"/>
      <c r="AR454" s="5"/>
      <c r="AS454" s="5"/>
      <c r="AT454" s="5"/>
      <c r="AU454" s="6" t="s">
        <v>927</v>
      </c>
      <c r="AV454" s="6" t="s">
        <v>928</v>
      </c>
      <c r="AW454" s="6" t="s">
        <v>928</v>
      </c>
      <c r="AX454" s="6" t="s">
        <v>929</v>
      </c>
      <c r="AY454" s="6" t="s">
        <v>930</v>
      </c>
      <c r="AZ454" s="6"/>
      <c r="BA454" s="6"/>
      <c r="BB454" s="6"/>
      <c r="BC454" s="6" t="s">
        <v>97</v>
      </c>
      <c r="BD454" s="6" t="s">
        <v>97</v>
      </c>
    </row>
    <row r="455" spans="1:56" ht="32" customHeight="1" x14ac:dyDescent="0.35">
      <c r="A455" s="13" t="s">
        <v>3616</v>
      </c>
      <c r="B455" s="6" t="s">
        <v>2114</v>
      </c>
      <c r="C455" s="5" t="s">
        <v>2115</v>
      </c>
      <c r="D455" s="5" t="s">
        <v>840</v>
      </c>
      <c r="E455" s="5" t="s">
        <v>3617</v>
      </c>
      <c r="F455" s="5" t="s">
        <v>3618</v>
      </c>
      <c r="G455" s="5" t="s">
        <v>1452</v>
      </c>
      <c r="H455" s="5" t="s">
        <v>3619</v>
      </c>
      <c r="I455" s="5" t="s">
        <v>3620</v>
      </c>
      <c r="J455" s="17" t="s">
        <v>121</v>
      </c>
      <c r="K455" s="17" t="s">
        <v>181</v>
      </c>
      <c r="L455" s="5" t="s">
        <v>3621</v>
      </c>
      <c r="M455" s="6" t="s">
        <v>197</v>
      </c>
      <c r="N455" s="6" t="s">
        <v>812</v>
      </c>
      <c r="O455" s="6" t="s">
        <v>121</v>
      </c>
      <c r="P455" s="5" t="s">
        <v>918</v>
      </c>
      <c r="Q455" s="17" t="s">
        <v>182</v>
      </c>
      <c r="R455" s="5"/>
      <c r="S455" s="6" t="s">
        <v>1022</v>
      </c>
      <c r="T455" s="5" t="s">
        <v>1023</v>
      </c>
      <c r="U455" s="6"/>
      <c r="V455" s="6" t="s">
        <v>1024</v>
      </c>
      <c r="W455" s="6" t="s">
        <v>337</v>
      </c>
      <c r="X455" s="5" t="s">
        <v>922</v>
      </c>
      <c r="Y455" s="5" t="s">
        <v>812</v>
      </c>
      <c r="Z455" s="5" t="str">
        <f t="shared" si="14"/>
        <v>Medium</v>
      </c>
      <c r="AA455" s="5" t="s">
        <v>956</v>
      </c>
      <c r="AB455" s="6" t="s">
        <v>924</v>
      </c>
      <c r="AC455" s="6" t="s">
        <v>11</v>
      </c>
      <c r="AD455" s="5" t="s">
        <v>925</v>
      </c>
      <c r="AE455" s="5" t="s">
        <v>354</v>
      </c>
      <c r="AF455" s="5" t="s">
        <v>354</v>
      </c>
      <c r="AG455" s="5" t="s">
        <v>354</v>
      </c>
      <c r="AH455" s="5" t="s">
        <v>354</v>
      </c>
      <c r="AI455" s="6" t="str">
        <f t="shared" si="15"/>
        <v>No</v>
      </c>
      <c r="AJ455" s="6" t="s">
        <v>926</v>
      </c>
      <c r="AK455" s="6" t="s">
        <v>151</v>
      </c>
      <c r="AL455" s="6">
        <f>MATCH(AA455,{"Low","Medium","High"},0)*MATCH(AB455,{"Low","Medium","High"},0)*INDEX({3,2,2,1,1},MATCH(X455,{"Core","Vertical extension","Differentiator","Future","Adjacent"},0))</f>
        <v>6</v>
      </c>
      <c r="AM455" s="5"/>
      <c r="AN455" s="5"/>
      <c r="AO455" s="5"/>
      <c r="AP455" s="5"/>
      <c r="AQ455" s="5"/>
      <c r="AR455" s="5"/>
      <c r="AS455" s="5"/>
      <c r="AT455" s="5"/>
      <c r="AU455" s="6" t="s">
        <v>927</v>
      </c>
      <c r="AV455" s="6" t="s">
        <v>2161</v>
      </c>
      <c r="AW455" s="6" t="s">
        <v>2161</v>
      </c>
      <c r="AX455" s="6" t="s">
        <v>929</v>
      </c>
      <c r="AY455" s="6" t="s">
        <v>930</v>
      </c>
      <c r="AZ455" s="6"/>
      <c r="BA455" s="6"/>
      <c r="BB455" s="6"/>
      <c r="BC455" s="6" t="s">
        <v>97</v>
      </c>
      <c r="BD455" s="6" t="s">
        <v>97</v>
      </c>
    </row>
    <row r="456" spans="1:56" ht="32" customHeight="1" x14ac:dyDescent="0.35">
      <c r="A456" s="13" t="s">
        <v>3622</v>
      </c>
      <c r="B456" s="6" t="s">
        <v>2114</v>
      </c>
      <c r="C456" s="5" t="s">
        <v>2115</v>
      </c>
      <c r="D456" s="5" t="s">
        <v>840</v>
      </c>
      <c r="E456" s="5" t="s">
        <v>3623</v>
      </c>
      <c r="F456" s="5" t="s">
        <v>2164</v>
      </c>
      <c r="G456" s="5" t="s">
        <v>1452</v>
      </c>
      <c r="H456" s="5" t="s">
        <v>3624</v>
      </c>
      <c r="I456" s="5" t="s">
        <v>3625</v>
      </c>
      <c r="J456" s="17" t="s">
        <v>121</v>
      </c>
      <c r="K456" s="17" t="s">
        <v>181</v>
      </c>
      <c r="L456" s="5" t="s">
        <v>3626</v>
      </c>
      <c r="M456" s="6" t="s">
        <v>197</v>
      </c>
      <c r="N456" s="6" t="s">
        <v>812</v>
      </c>
      <c r="O456" s="6" t="s">
        <v>121</v>
      </c>
      <c r="P456" s="5" t="s">
        <v>999</v>
      </c>
      <c r="Q456" s="17" t="s">
        <v>182</v>
      </c>
      <c r="R456" s="5" t="s">
        <v>999</v>
      </c>
      <c r="S456" s="6" t="s">
        <v>1022</v>
      </c>
      <c r="T456" s="5" t="s">
        <v>1023</v>
      </c>
      <c r="U456" s="6"/>
      <c r="V456" s="6" t="s">
        <v>1024</v>
      </c>
      <c r="W456" s="6" t="s">
        <v>337</v>
      </c>
      <c r="X456" s="5" t="s">
        <v>922</v>
      </c>
      <c r="Y456" s="5" t="s">
        <v>812</v>
      </c>
      <c r="Z456" s="5" t="str">
        <f t="shared" si="14"/>
        <v>Medium</v>
      </c>
      <c r="AA456" s="5" t="s">
        <v>956</v>
      </c>
      <c r="AB456" s="6" t="s">
        <v>924</v>
      </c>
      <c r="AC456" s="6" t="s">
        <v>11</v>
      </c>
      <c r="AD456" s="5" t="s">
        <v>925</v>
      </c>
      <c r="AE456" s="5" t="s">
        <v>354</v>
      </c>
      <c r="AF456" s="5" t="s">
        <v>354</v>
      </c>
      <c r="AG456" s="5" t="s">
        <v>354</v>
      </c>
      <c r="AH456" s="5" t="s">
        <v>354</v>
      </c>
      <c r="AI456" s="6" t="str">
        <f t="shared" si="15"/>
        <v>No</v>
      </c>
      <c r="AJ456" s="6" t="s">
        <v>926</v>
      </c>
      <c r="AK456" s="6" t="s">
        <v>151</v>
      </c>
      <c r="AL456" s="6">
        <f>MATCH(AA456,{"Low","Medium","High"},0)*MATCH(AB456,{"Low","Medium","High"},0)*INDEX({3,2,2,1,1},MATCH(X456,{"Core","Vertical extension","Differentiator","Future","Adjacent"},0))</f>
        <v>6</v>
      </c>
      <c r="AM456" s="5"/>
      <c r="AN456" s="5"/>
      <c r="AO456" s="5"/>
      <c r="AP456" s="5"/>
      <c r="AQ456" s="5"/>
      <c r="AR456" s="5"/>
      <c r="AS456" s="5"/>
      <c r="AT456" s="5"/>
      <c r="AU456" s="6" t="s">
        <v>927</v>
      </c>
      <c r="AV456" s="6" t="s">
        <v>2161</v>
      </c>
      <c r="AW456" s="6" t="s">
        <v>2161</v>
      </c>
      <c r="AX456" s="6" t="s">
        <v>1003</v>
      </c>
      <c r="AY456" s="6" t="s">
        <v>930</v>
      </c>
      <c r="AZ456" s="6"/>
      <c r="BA456" s="6"/>
      <c r="BB456" s="6"/>
      <c r="BC456" s="6" t="s">
        <v>97</v>
      </c>
      <c r="BD456" s="6" t="s">
        <v>97</v>
      </c>
    </row>
    <row r="457" spans="1:56" ht="32" customHeight="1" x14ac:dyDescent="0.35">
      <c r="A457" s="13" t="s">
        <v>3627</v>
      </c>
      <c r="B457" s="6" t="s">
        <v>2114</v>
      </c>
      <c r="C457" s="5" t="s">
        <v>2115</v>
      </c>
      <c r="D457" s="5" t="s">
        <v>840</v>
      </c>
      <c r="E457" s="5" t="s">
        <v>3628</v>
      </c>
      <c r="F457" s="5" t="s">
        <v>2828</v>
      </c>
      <c r="G457" s="5" t="s">
        <v>1623</v>
      </c>
      <c r="H457" s="5" t="s">
        <v>3629</v>
      </c>
      <c r="I457" s="5" t="s">
        <v>3630</v>
      </c>
      <c r="J457" s="17" t="s">
        <v>121</v>
      </c>
      <c r="K457" s="17" t="s">
        <v>181</v>
      </c>
      <c r="L457" s="5" t="s">
        <v>3631</v>
      </c>
      <c r="M457" s="6" t="s">
        <v>197</v>
      </c>
      <c r="N457" s="6" t="s">
        <v>812</v>
      </c>
      <c r="O457" s="6" t="s">
        <v>121</v>
      </c>
      <c r="P457" s="5" t="s">
        <v>918</v>
      </c>
      <c r="Q457" s="17" t="s">
        <v>182</v>
      </c>
      <c r="R457" s="5"/>
      <c r="S457" s="6" t="s">
        <v>1022</v>
      </c>
      <c r="T457" s="5" t="s">
        <v>1023</v>
      </c>
      <c r="U457" s="6"/>
      <c r="V457" s="6" t="s">
        <v>1024</v>
      </c>
      <c r="W457" s="6" t="s">
        <v>337</v>
      </c>
      <c r="X457" s="5" t="s">
        <v>922</v>
      </c>
      <c r="Y457" s="5" t="s">
        <v>812</v>
      </c>
      <c r="Z457" s="5" t="str">
        <f t="shared" si="14"/>
        <v>Medium</v>
      </c>
      <c r="AA457" s="5" t="s">
        <v>956</v>
      </c>
      <c r="AB457" s="6" t="s">
        <v>924</v>
      </c>
      <c r="AC457" s="6" t="s">
        <v>11</v>
      </c>
      <c r="AD457" s="5" t="s">
        <v>925</v>
      </c>
      <c r="AE457" s="5" t="s">
        <v>354</v>
      </c>
      <c r="AF457" s="5" t="s">
        <v>354</v>
      </c>
      <c r="AG457" s="5" t="s">
        <v>354</v>
      </c>
      <c r="AH457" s="5" t="s">
        <v>354</v>
      </c>
      <c r="AI457" s="6" t="str">
        <f t="shared" si="15"/>
        <v>No</v>
      </c>
      <c r="AJ457" s="6" t="s">
        <v>926</v>
      </c>
      <c r="AK457" s="6" t="s">
        <v>151</v>
      </c>
      <c r="AL457" s="6">
        <f>MATCH(AA457,{"Low","Medium","High"},0)*MATCH(AB457,{"Low","Medium","High"},0)*INDEX({3,2,2,1,1},MATCH(X457,{"Core","Vertical extension","Differentiator","Future","Adjacent"},0))</f>
        <v>6</v>
      </c>
      <c r="AM457" s="5"/>
      <c r="AN457" s="5"/>
      <c r="AO457" s="5"/>
      <c r="AP457" s="5"/>
      <c r="AQ457" s="5"/>
      <c r="AR457" s="5"/>
      <c r="AS457" s="5"/>
      <c r="AT457" s="5"/>
      <c r="AU457" s="6" t="s">
        <v>927</v>
      </c>
      <c r="AV457" s="6" t="s">
        <v>2161</v>
      </c>
      <c r="AW457" s="6" t="s">
        <v>2161</v>
      </c>
      <c r="AX457" s="6" t="s">
        <v>929</v>
      </c>
      <c r="AY457" s="6" t="s">
        <v>930</v>
      </c>
      <c r="AZ457" s="6"/>
      <c r="BA457" s="6" t="s">
        <v>2193</v>
      </c>
      <c r="BB457" s="6" t="s">
        <v>2194</v>
      </c>
      <c r="BC457" s="6" t="s">
        <v>97</v>
      </c>
      <c r="BD457" s="6" t="s">
        <v>97</v>
      </c>
    </row>
    <row r="458" spans="1:56" ht="32" customHeight="1" x14ac:dyDescent="0.35">
      <c r="A458" s="13" t="s">
        <v>3632</v>
      </c>
      <c r="B458" s="6" t="s">
        <v>2114</v>
      </c>
      <c r="C458" s="5" t="s">
        <v>2115</v>
      </c>
      <c r="D458" s="5" t="s">
        <v>840</v>
      </c>
      <c r="E458" s="5" t="s">
        <v>3633</v>
      </c>
      <c r="F458" s="5" t="s">
        <v>1452</v>
      </c>
      <c r="G458" s="5" t="s">
        <v>1453</v>
      </c>
      <c r="H458" s="5" t="s">
        <v>3634</v>
      </c>
      <c r="I458" s="5" t="s">
        <v>3635</v>
      </c>
      <c r="J458" s="17" t="s">
        <v>121</v>
      </c>
      <c r="K458" s="17" t="s">
        <v>181</v>
      </c>
      <c r="L458" s="5" t="s">
        <v>3636</v>
      </c>
      <c r="M458" s="6" t="s">
        <v>197</v>
      </c>
      <c r="N458" s="6" t="s">
        <v>812</v>
      </c>
      <c r="O458" s="6" t="s">
        <v>121</v>
      </c>
      <c r="P458" s="5" t="s">
        <v>918</v>
      </c>
      <c r="Q458" s="17" t="s">
        <v>182</v>
      </c>
      <c r="R458" s="5"/>
      <c r="S458" s="6" t="s">
        <v>1022</v>
      </c>
      <c r="T458" s="5" t="s">
        <v>1023</v>
      </c>
      <c r="U458" s="6"/>
      <c r="V458" s="6" t="s">
        <v>1024</v>
      </c>
      <c r="W458" s="6" t="s">
        <v>337</v>
      </c>
      <c r="X458" s="5" t="s">
        <v>922</v>
      </c>
      <c r="Y458" s="5" t="s">
        <v>812</v>
      </c>
      <c r="Z458" s="5" t="str">
        <f t="shared" si="14"/>
        <v>Medium</v>
      </c>
      <c r="AA458" s="5" t="s">
        <v>956</v>
      </c>
      <c r="AB458" s="6" t="s">
        <v>924</v>
      </c>
      <c r="AC458" s="6" t="s">
        <v>11</v>
      </c>
      <c r="AD458" s="5" t="s">
        <v>925</v>
      </c>
      <c r="AE458" s="5" t="s">
        <v>354</v>
      </c>
      <c r="AF458" s="5" t="s">
        <v>354</v>
      </c>
      <c r="AG458" s="5" t="s">
        <v>354</v>
      </c>
      <c r="AH458" s="5" t="s">
        <v>354</v>
      </c>
      <c r="AI458" s="6" t="str">
        <f t="shared" si="15"/>
        <v>No</v>
      </c>
      <c r="AJ458" s="6" t="s">
        <v>926</v>
      </c>
      <c r="AK458" s="6" t="s">
        <v>151</v>
      </c>
      <c r="AL458" s="6">
        <f>MATCH(AA458,{"Low","Medium","High"},0)*MATCH(AB458,{"Low","Medium","High"},0)*INDEX({3,2,2,1,1},MATCH(X458,{"Core","Vertical extension","Differentiator","Future","Adjacent"},0))</f>
        <v>6</v>
      </c>
      <c r="AM458" s="5"/>
      <c r="AN458" s="5"/>
      <c r="AO458" s="5"/>
      <c r="AP458" s="5"/>
      <c r="AQ458" s="5"/>
      <c r="AR458" s="5"/>
      <c r="AS458" s="5"/>
      <c r="AT458" s="5"/>
      <c r="AU458" s="6" t="s">
        <v>927</v>
      </c>
      <c r="AV458" s="6" t="s">
        <v>55</v>
      </c>
      <c r="AW458" s="6" t="s">
        <v>55</v>
      </c>
      <c r="AX458" s="6" t="s">
        <v>929</v>
      </c>
      <c r="AY458" s="6" t="s">
        <v>930</v>
      </c>
      <c r="AZ458" s="6"/>
      <c r="BA458" s="6"/>
      <c r="BB458" s="6"/>
      <c r="BC458" s="6" t="s">
        <v>97</v>
      </c>
      <c r="BD458" s="6" t="s">
        <v>97</v>
      </c>
    </row>
    <row r="459" spans="1:56" ht="32" customHeight="1" x14ac:dyDescent="0.35">
      <c r="A459" s="13" t="s">
        <v>3637</v>
      </c>
      <c r="B459" s="6" t="s">
        <v>2114</v>
      </c>
      <c r="C459" s="5" t="s">
        <v>2115</v>
      </c>
      <c r="D459" s="5" t="s">
        <v>840</v>
      </c>
      <c r="E459" s="5" t="s">
        <v>3638</v>
      </c>
      <c r="F459" s="5" t="s">
        <v>1452</v>
      </c>
      <c r="G459" s="5" t="s">
        <v>1453</v>
      </c>
      <c r="H459" s="5" t="s">
        <v>3639</v>
      </c>
      <c r="I459" s="5" t="s">
        <v>3640</v>
      </c>
      <c r="J459" s="17" t="s">
        <v>121</v>
      </c>
      <c r="K459" s="17" t="s">
        <v>181</v>
      </c>
      <c r="L459" s="5" t="s">
        <v>3641</v>
      </c>
      <c r="M459" s="6" t="s">
        <v>197</v>
      </c>
      <c r="N459" s="6" t="s">
        <v>812</v>
      </c>
      <c r="O459" s="6" t="s">
        <v>121</v>
      </c>
      <c r="P459" s="5" t="s">
        <v>918</v>
      </c>
      <c r="Q459" s="17" t="s">
        <v>182</v>
      </c>
      <c r="R459" s="5"/>
      <c r="S459" s="6" t="s">
        <v>1022</v>
      </c>
      <c r="T459" s="5" t="s">
        <v>1023</v>
      </c>
      <c r="U459" s="6"/>
      <c r="V459" s="6" t="s">
        <v>1024</v>
      </c>
      <c r="W459" s="6" t="s">
        <v>337</v>
      </c>
      <c r="X459" s="5" t="s">
        <v>922</v>
      </c>
      <c r="Y459" s="5" t="s">
        <v>812</v>
      </c>
      <c r="Z459" s="5" t="str">
        <f t="shared" si="14"/>
        <v>Medium</v>
      </c>
      <c r="AA459" s="5" t="s">
        <v>956</v>
      </c>
      <c r="AB459" s="6" t="s">
        <v>924</v>
      </c>
      <c r="AC459" s="6" t="s">
        <v>11</v>
      </c>
      <c r="AD459" s="5" t="s">
        <v>925</v>
      </c>
      <c r="AE459" s="5" t="s">
        <v>354</v>
      </c>
      <c r="AF459" s="5" t="s">
        <v>354</v>
      </c>
      <c r="AG459" s="5" t="s">
        <v>354</v>
      </c>
      <c r="AH459" s="5" t="s">
        <v>354</v>
      </c>
      <c r="AI459" s="6" t="str">
        <f t="shared" si="15"/>
        <v>No</v>
      </c>
      <c r="AJ459" s="6" t="s">
        <v>926</v>
      </c>
      <c r="AK459" s="6" t="s">
        <v>151</v>
      </c>
      <c r="AL459" s="6">
        <f>MATCH(AA459,{"Low","Medium","High"},0)*MATCH(AB459,{"Low","Medium","High"},0)*INDEX({3,2,2,1,1},MATCH(X459,{"Core","Vertical extension","Differentiator","Future","Adjacent"},0))</f>
        <v>6</v>
      </c>
      <c r="AM459" s="5"/>
      <c r="AN459" s="5"/>
      <c r="AO459" s="5"/>
      <c r="AP459" s="5"/>
      <c r="AQ459" s="5"/>
      <c r="AR459" s="5"/>
      <c r="AS459" s="5"/>
      <c r="AT459" s="5"/>
      <c r="AU459" s="6" t="s">
        <v>927</v>
      </c>
      <c r="AV459" s="6" t="s">
        <v>55</v>
      </c>
      <c r="AW459" s="6" t="s">
        <v>55</v>
      </c>
      <c r="AX459" s="6" t="s">
        <v>929</v>
      </c>
      <c r="AY459" s="6" t="s">
        <v>930</v>
      </c>
      <c r="AZ459" s="6"/>
      <c r="BA459" s="6"/>
      <c r="BB459" s="6"/>
      <c r="BC459" s="6" t="s">
        <v>97</v>
      </c>
      <c r="BD459" s="6" t="s">
        <v>97</v>
      </c>
    </row>
    <row r="460" spans="1:56" ht="32" customHeight="1" x14ac:dyDescent="0.35">
      <c r="A460" s="13" t="s">
        <v>3642</v>
      </c>
      <c r="B460" s="6" t="s">
        <v>2114</v>
      </c>
      <c r="C460" s="5" t="s">
        <v>2115</v>
      </c>
      <c r="D460" s="5" t="s">
        <v>840</v>
      </c>
      <c r="E460" s="5" t="s">
        <v>3643</v>
      </c>
      <c r="F460" s="5" t="s">
        <v>3644</v>
      </c>
      <c r="G460" s="5" t="s">
        <v>1596</v>
      </c>
      <c r="H460" s="5" t="s">
        <v>3645</v>
      </c>
      <c r="I460" s="5" t="s">
        <v>3646</v>
      </c>
      <c r="J460" s="17" t="s">
        <v>121</v>
      </c>
      <c r="K460" s="17" t="s">
        <v>181</v>
      </c>
      <c r="L460" s="5" t="s">
        <v>3647</v>
      </c>
      <c r="M460" s="6" t="s">
        <v>197</v>
      </c>
      <c r="N460" s="6" t="s">
        <v>812</v>
      </c>
      <c r="O460" s="6" t="s">
        <v>121</v>
      </c>
      <c r="P460" s="5" t="s">
        <v>918</v>
      </c>
      <c r="Q460" s="17" t="s">
        <v>182</v>
      </c>
      <c r="R460" s="5"/>
      <c r="S460" s="6" t="s">
        <v>1022</v>
      </c>
      <c r="T460" s="5" t="s">
        <v>1023</v>
      </c>
      <c r="U460" s="6"/>
      <c r="V460" s="6" t="s">
        <v>1024</v>
      </c>
      <c r="W460" s="6" t="s">
        <v>337</v>
      </c>
      <c r="X460" s="5" t="s">
        <v>922</v>
      </c>
      <c r="Y460" s="5" t="s">
        <v>812</v>
      </c>
      <c r="Z460" s="5" t="str">
        <f t="shared" si="14"/>
        <v>Medium</v>
      </c>
      <c r="AA460" s="5" t="s">
        <v>956</v>
      </c>
      <c r="AB460" s="6" t="s">
        <v>924</v>
      </c>
      <c r="AC460" s="6" t="s">
        <v>11</v>
      </c>
      <c r="AD460" s="5" t="s">
        <v>925</v>
      </c>
      <c r="AE460" s="5" t="s">
        <v>354</v>
      </c>
      <c r="AF460" s="5" t="s">
        <v>354</v>
      </c>
      <c r="AG460" s="5" t="s">
        <v>354</v>
      </c>
      <c r="AH460" s="5" t="s">
        <v>354</v>
      </c>
      <c r="AI460" s="6" t="str">
        <f t="shared" si="15"/>
        <v>No</v>
      </c>
      <c r="AJ460" s="6" t="s">
        <v>926</v>
      </c>
      <c r="AK460" s="6" t="s">
        <v>151</v>
      </c>
      <c r="AL460" s="6">
        <f>MATCH(AA460,{"Low","Medium","High"},0)*MATCH(AB460,{"Low","Medium","High"},0)*INDEX({3,2,2,1,1},MATCH(X460,{"Core","Vertical extension","Differentiator","Future","Adjacent"},0))</f>
        <v>6</v>
      </c>
      <c r="AM460" s="5"/>
      <c r="AN460" s="5"/>
      <c r="AO460" s="5"/>
      <c r="AP460" s="5"/>
      <c r="AQ460" s="5"/>
      <c r="AR460" s="5"/>
      <c r="AS460" s="5"/>
      <c r="AT460" s="5"/>
      <c r="AU460" s="6" t="s">
        <v>927</v>
      </c>
      <c r="AV460" s="6" t="s">
        <v>2161</v>
      </c>
      <c r="AW460" s="6" t="s">
        <v>2161</v>
      </c>
      <c r="AX460" s="6" t="s">
        <v>929</v>
      </c>
      <c r="AY460" s="6" t="s">
        <v>930</v>
      </c>
      <c r="AZ460" s="6"/>
      <c r="BA460" s="6"/>
      <c r="BB460" s="6"/>
      <c r="BC460" s="6" t="s">
        <v>97</v>
      </c>
      <c r="BD460" s="6" t="s">
        <v>97</v>
      </c>
    </row>
    <row r="461" spans="1:56" ht="32" customHeight="1" x14ac:dyDescent="0.35">
      <c r="A461" s="13" t="s">
        <v>3648</v>
      </c>
      <c r="B461" s="6" t="s">
        <v>2114</v>
      </c>
      <c r="C461" s="5" t="s">
        <v>2115</v>
      </c>
      <c r="D461" s="5" t="s">
        <v>840</v>
      </c>
      <c r="E461" s="5" t="s">
        <v>3649</v>
      </c>
      <c r="F461" s="5" t="s">
        <v>3650</v>
      </c>
      <c r="G461" s="5" t="s">
        <v>3651</v>
      </c>
      <c r="H461" s="5" t="s">
        <v>3652</v>
      </c>
      <c r="I461" s="5" t="s">
        <v>3653</v>
      </c>
      <c r="J461" s="17" t="s">
        <v>121</v>
      </c>
      <c r="K461" s="17" t="s">
        <v>181</v>
      </c>
      <c r="L461" s="5" t="s">
        <v>3654</v>
      </c>
      <c r="M461" s="6" t="s">
        <v>197</v>
      </c>
      <c r="N461" s="6" t="s">
        <v>812</v>
      </c>
      <c r="O461" s="6" t="s">
        <v>121</v>
      </c>
      <c r="P461" s="5" t="s">
        <v>999</v>
      </c>
      <c r="Q461" s="17" t="s">
        <v>182</v>
      </c>
      <c r="R461" s="5" t="s">
        <v>999</v>
      </c>
      <c r="S461" s="6" t="s">
        <v>1022</v>
      </c>
      <c r="T461" s="5" t="s">
        <v>1023</v>
      </c>
      <c r="U461" s="6"/>
      <c r="V461" s="6" t="s">
        <v>1024</v>
      </c>
      <c r="W461" s="6" t="s">
        <v>337</v>
      </c>
      <c r="X461" s="5" t="s">
        <v>922</v>
      </c>
      <c r="Y461" s="5" t="s">
        <v>812</v>
      </c>
      <c r="Z461" s="5" t="str">
        <f t="shared" si="14"/>
        <v>Medium</v>
      </c>
      <c r="AA461" s="5" t="s">
        <v>956</v>
      </c>
      <c r="AB461" s="6" t="s">
        <v>924</v>
      </c>
      <c r="AC461" s="6" t="s">
        <v>11</v>
      </c>
      <c r="AD461" s="5" t="s">
        <v>925</v>
      </c>
      <c r="AE461" s="5" t="s">
        <v>354</v>
      </c>
      <c r="AF461" s="5" t="s">
        <v>354</v>
      </c>
      <c r="AG461" s="5" t="s">
        <v>354</v>
      </c>
      <c r="AH461" s="5" t="s">
        <v>354</v>
      </c>
      <c r="AI461" s="6" t="str">
        <f t="shared" si="15"/>
        <v>No</v>
      </c>
      <c r="AJ461" s="6" t="s">
        <v>926</v>
      </c>
      <c r="AK461" s="6" t="s">
        <v>151</v>
      </c>
      <c r="AL461" s="6">
        <f>MATCH(AA461,{"Low","Medium","High"},0)*MATCH(AB461,{"Low","Medium","High"},0)*INDEX({3,2,2,1,1},MATCH(X461,{"Core","Vertical extension","Differentiator","Future","Adjacent"},0))</f>
        <v>6</v>
      </c>
      <c r="AM461" s="5"/>
      <c r="AN461" s="5"/>
      <c r="AO461" s="5"/>
      <c r="AP461" s="5"/>
      <c r="AQ461" s="5"/>
      <c r="AR461" s="5"/>
      <c r="AS461" s="5"/>
      <c r="AT461" s="5"/>
      <c r="AU461" s="6" t="s">
        <v>927</v>
      </c>
      <c r="AV461" s="6" t="s">
        <v>2161</v>
      </c>
      <c r="AW461" s="6" t="s">
        <v>2161</v>
      </c>
      <c r="AX461" s="6" t="s">
        <v>1003</v>
      </c>
      <c r="AY461" s="6" t="s">
        <v>930</v>
      </c>
      <c r="AZ461" s="6"/>
      <c r="BA461" s="6"/>
      <c r="BB461" s="6"/>
      <c r="BC461" s="6" t="s">
        <v>97</v>
      </c>
      <c r="BD461" s="6" t="s">
        <v>97</v>
      </c>
    </row>
    <row r="462" spans="1:56" ht="32" customHeight="1" x14ac:dyDescent="0.35">
      <c r="A462" s="13" t="s">
        <v>3655</v>
      </c>
      <c r="B462" s="6" t="s">
        <v>2114</v>
      </c>
      <c r="C462" s="5" t="s">
        <v>2115</v>
      </c>
      <c r="D462" s="5" t="s">
        <v>840</v>
      </c>
      <c r="E462" s="5" t="s">
        <v>3656</v>
      </c>
      <c r="F462" s="5" t="s">
        <v>1452</v>
      </c>
      <c r="G462" s="5" t="s">
        <v>1459</v>
      </c>
      <c r="H462" s="5" t="s">
        <v>3657</v>
      </c>
      <c r="I462" s="5" t="s">
        <v>3658</v>
      </c>
      <c r="J462" s="17" t="s">
        <v>121</v>
      </c>
      <c r="K462" s="17" t="s">
        <v>181</v>
      </c>
      <c r="L462" s="5" t="s">
        <v>3659</v>
      </c>
      <c r="M462" s="6" t="s">
        <v>197</v>
      </c>
      <c r="N462" s="6" t="s">
        <v>812</v>
      </c>
      <c r="O462" s="6" t="s">
        <v>121</v>
      </c>
      <c r="P462" s="5" t="s">
        <v>999</v>
      </c>
      <c r="Q462" s="17" t="s">
        <v>182</v>
      </c>
      <c r="R462" s="5" t="s">
        <v>999</v>
      </c>
      <c r="S462" s="6" t="s">
        <v>1022</v>
      </c>
      <c r="T462" s="5" t="s">
        <v>1023</v>
      </c>
      <c r="U462" s="6"/>
      <c r="V462" s="6" t="s">
        <v>1024</v>
      </c>
      <c r="W462" s="6" t="s">
        <v>337</v>
      </c>
      <c r="X462" s="5" t="s">
        <v>922</v>
      </c>
      <c r="Y462" s="5" t="s">
        <v>812</v>
      </c>
      <c r="Z462" s="5" t="str">
        <f t="shared" si="14"/>
        <v>Medium</v>
      </c>
      <c r="AA462" s="5" t="s">
        <v>956</v>
      </c>
      <c r="AB462" s="6" t="s">
        <v>924</v>
      </c>
      <c r="AC462" s="6" t="s">
        <v>11</v>
      </c>
      <c r="AD462" s="5" t="s">
        <v>925</v>
      </c>
      <c r="AE462" s="5" t="s">
        <v>354</v>
      </c>
      <c r="AF462" s="5" t="s">
        <v>354</v>
      </c>
      <c r="AG462" s="5" t="s">
        <v>354</v>
      </c>
      <c r="AH462" s="5" t="s">
        <v>354</v>
      </c>
      <c r="AI462" s="6" t="str">
        <f t="shared" si="15"/>
        <v>No</v>
      </c>
      <c r="AJ462" s="6" t="s">
        <v>926</v>
      </c>
      <c r="AK462" s="6" t="s">
        <v>151</v>
      </c>
      <c r="AL462" s="6">
        <f>MATCH(AA462,{"Low","Medium","High"},0)*MATCH(AB462,{"Low","Medium","High"},0)*INDEX({3,2,2,1,1},MATCH(X462,{"Core","Vertical extension","Differentiator","Future","Adjacent"},0))</f>
        <v>6</v>
      </c>
      <c r="AM462" s="5"/>
      <c r="AN462" s="5"/>
      <c r="AO462" s="5"/>
      <c r="AP462" s="5"/>
      <c r="AQ462" s="5"/>
      <c r="AR462" s="5"/>
      <c r="AS462" s="5"/>
      <c r="AT462" s="5"/>
      <c r="AU462" s="6" t="s">
        <v>927</v>
      </c>
      <c r="AV462" s="6" t="s">
        <v>55</v>
      </c>
      <c r="AW462" s="6" t="s">
        <v>55</v>
      </c>
      <c r="AX462" s="6" t="s">
        <v>1003</v>
      </c>
      <c r="AY462" s="6" t="s">
        <v>930</v>
      </c>
      <c r="AZ462" s="6"/>
      <c r="BA462" s="6"/>
      <c r="BB462" s="6"/>
      <c r="BC462" s="6" t="s">
        <v>97</v>
      </c>
      <c r="BD462" s="6" t="s">
        <v>97</v>
      </c>
    </row>
    <row r="463" spans="1:56" ht="32" customHeight="1" x14ac:dyDescent="0.35">
      <c r="A463" s="13" t="s">
        <v>3660</v>
      </c>
      <c r="B463" s="6" t="s">
        <v>2114</v>
      </c>
      <c r="C463" s="5" t="s">
        <v>2115</v>
      </c>
      <c r="D463" s="5" t="s">
        <v>836</v>
      </c>
      <c r="E463" s="5" t="s">
        <v>3661</v>
      </c>
      <c r="F463" s="5" t="s">
        <v>3662</v>
      </c>
      <c r="G463" s="5" t="s">
        <v>1419</v>
      </c>
      <c r="H463" s="5" t="s">
        <v>3663</v>
      </c>
      <c r="I463" s="5" t="s">
        <v>3664</v>
      </c>
      <c r="J463" s="17" t="s">
        <v>121</v>
      </c>
      <c r="K463" s="17" t="s">
        <v>181</v>
      </c>
      <c r="L463" s="5" t="s">
        <v>3665</v>
      </c>
      <c r="M463" s="6" t="s">
        <v>197</v>
      </c>
      <c r="N463" s="6" t="s">
        <v>812</v>
      </c>
      <c r="O463" s="6" t="s">
        <v>121</v>
      </c>
      <c r="P463" s="5" t="s">
        <v>999</v>
      </c>
      <c r="Q463" s="17" t="s">
        <v>182</v>
      </c>
      <c r="R463" s="5" t="s">
        <v>999</v>
      </c>
      <c r="S463" s="6" t="s">
        <v>1061</v>
      </c>
      <c r="T463" s="5" t="s">
        <v>1062</v>
      </c>
      <c r="U463" s="6"/>
      <c r="V463" s="6" t="s">
        <v>1055</v>
      </c>
      <c r="W463" s="6" t="s">
        <v>333</v>
      </c>
      <c r="X463" s="5" t="s">
        <v>922</v>
      </c>
      <c r="Y463" s="5" t="s">
        <v>812</v>
      </c>
      <c r="Z463" s="5" t="str">
        <f t="shared" si="14"/>
        <v>Medium</v>
      </c>
      <c r="AA463" s="5" t="s">
        <v>956</v>
      </c>
      <c r="AB463" s="6" t="s">
        <v>924</v>
      </c>
      <c r="AC463" s="6" t="s">
        <v>103</v>
      </c>
      <c r="AD463" s="5" t="s">
        <v>925</v>
      </c>
      <c r="AE463" s="5" t="s">
        <v>354</v>
      </c>
      <c r="AF463" s="5" t="s">
        <v>354</v>
      </c>
      <c r="AG463" s="5" t="s">
        <v>354</v>
      </c>
      <c r="AH463" s="5" t="s">
        <v>354</v>
      </c>
      <c r="AI463" s="6" t="str">
        <f t="shared" si="15"/>
        <v>No</v>
      </c>
      <c r="AJ463" s="6" t="s">
        <v>926</v>
      </c>
      <c r="AK463" s="6" t="s">
        <v>121</v>
      </c>
      <c r="AL463" s="6">
        <f>MATCH(AA463,{"Low","Medium","High"},0)*MATCH(AB463,{"Low","Medium","High"},0)*INDEX({3,2,2,1,1},MATCH(X463,{"Core","Vertical extension","Differentiator","Future","Adjacent"},0))</f>
        <v>6</v>
      </c>
      <c r="AM463" s="5"/>
      <c r="AN463" s="5"/>
      <c r="AO463" s="5"/>
      <c r="AP463" s="5"/>
      <c r="AQ463" s="5"/>
      <c r="AR463" s="5"/>
      <c r="AS463" s="5"/>
      <c r="AT463" s="5"/>
      <c r="AU463" s="6" t="s">
        <v>927</v>
      </c>
      <c r="AV463" s="6" t="s">
        <v>1390</v>
      </c>
      <c r="AW463" s="6" t="s">
        <v>1390</v>
      </c>
      <c r="AX463" s="6" t="s">
        <v>1003</v>
      </c>
      <c r="AY463" s="6" t="s">
        <v>930</v>
      </c>
      <c r="AZ463" s="6"/>
      <c r="BA463" s="6"/>
      <c r="BB463" s="6"/>
      <c r="BC463" s="6" t="s">
        <v>97</v>
      </c>
      <c r="BD463" s="6" t="s">
        <v>97</v>
      </c>
    </row>
    <row r="464" spans="1:56" ht="32" customHeight="1" x14ac:dyDescent="0.35">
      <c r="A464" s="13" t="s">
        <v>3666</v>
      </c>
      <c r="B464" s="6" t="s">
        <v>2114</v>
      </c>
      <c r="C464" s="5" t="s">
        <v>2115</v>
      </c>
      <c r="D464" s="5" t="s">
        <v>836</v>
      </c>
      <c r="E464" s="5" t="s">
        <v>3667</v>
      </c>
      <c r="F464" s="5" t="s">
        <v>3662</v>
      </c>
      <c r="G464" s="5" t="s">
        <v>3668</v>
      </c>
      <c r="H464" s="5" t="s">
        <v>3669</v>
      </c>
      <c r="I464" s="5" t="s">
        <v>3670</v>
      </c>
      <c r="J464" s="17" t="s">
        <v>121</v>
      </c>
      <c r="K464" s="17" t="s">
        <v>181</v>
      </c>
      <c r="L464" s="5" t="s">
        <v>3671</v>
      </c>
      <c r="M464" s="6" t="s">
        <v>197</v>
      </c>
      <c r="N464" s="6" t="s">
        <v>812</v>
      </c>
      <c r="O464" s="6" t="s">
        <v>121</v>
      </c>
      <c r="P464" s="5" t="s">
        <v>918</v>
      </c>
      <c r="Q464" s="17" t="s">
        <v>182</v>
      </c>
      <c r="R464" s="5"/>
      <c r="S464" s="6" t="s">
        <v>1061</v>
      </c>
      <c r="T464" s="5" t="s">
        <v>1062</v>
      </c>
      <c r="U464" s="6"/>
      <c r="V464" s="6" t="s">
        <v>1055</v>
      </c>
      <c r="W464" s="6" t="s">
        <v>333</v>
      </c>
      <c r="X464" s="5" t="s">
        <v>922</v>
      </c>
      <c r="Y464" s="5" t="s">
        <v>812</v>
      </c>
      <c r="Z464" s="5" t="str">
        <f t="shared" si="14"/>
        <v>Medium</v>
      </c>
      <c r="AA464" s="5" t="s">
        <v>956</v>
      </c>
      <c r="AB464" s="6" t="s">
        <v>924</v>
      </c>
      <c r="AC464" s="6" t="s">
        <v>103</v>
      </c>
      <c r="AD464" s="5" t="s">
        <v>925</v>
      </c>
      <c r="AE464" s="5" t="s">
        <v>354</v>
      </c>
      <c r="AF464" s="5" t="s">
        <v>354</v>
      </c>
      <c r="AG464" s="5" t="s">
        <v>354</v>
      </c>
      <c r="AH464" s="5" t="s">
        <v>354</v>
      </c>
      <c r="AI464" s="6" t="str">
        <f t="shared" si="15"/>
        <v>No</v>
      </c>
      <c r="AJ464" s="6" t="s">
        <v>926</v>
      </c>
      <c r="AK464" s="6" t="s">
        <v>121</v>
      </c>
      <c r="AL464" s="6">
        <f>MATCH(AA464,{"Low","Medium","High"},0)*MATCH(AB464,{"Low","Medium","High"},0)*INDEX({3,2,2,1,1},MATCH(X464,{"Core","Vertical extension","Differentiator","Future","Adjacent"},0))</f>
        <v>6</v>
      </c>
      <c r="AM464" s="5"/>
      <c r="AN464" s="5"/>
      <c r="AO464" s="5"/>
      <c r="AP464" s="5"/>
      <c r="AQ464" s="5"/>
      <c r="AR464" s="5"/>
      <c r="AS464" s="5"/>
      <c r="AT464" s="5"/>
      <c r="AU464" s="6" t="s">
        <v>927</v>
      </c>
      <c r="AV464" s="6" t="s">
        <v>1390</v>
      </c>
      <c r="AW464" s="6" t="s">
        <v>1390</v>
      </c>
      <c r="AX464" s="6" t="s">
        <v>929</v>
      </c>
      <c r="AY464" s="6" t="s">
        <v>930</v>
      </c>
      <c r="AZ464" s="6"/>
      <c r="BA464" s="6"/>
      <c r="BB464" s="6"/>
      <c r="BC464" s="6" t="s">
        <v>97</v>
      </c>
      <c r="BD464" s="6" t="s">
        <v>97</v>
      </c>
    </row>
    <row r="465" spans="1:56" ht="32" customHeight="1" x14ac:dyDescent="0.35">
      <c r="A465" s="13" t="s">
        <v>3672</v>
      </c>
      <c r="B465" s="6" t="s">
        <v>2114</v>
      </c>
      <c r="C465" s="5" t="s">
        <v>2115</v>
      </c>
      <c r="D465" s="5" t="s">
        <v>836</v>
      </c>
      <c r="E465" s="5" t="s">
        <v>3673</v>
      </c>
      <c r="F465" s="5" t="s">
        <v>3674</v>
      </c>
      <c r="G465" s="5" t="s">
        <v>3675</v>
      </c>
      <c r="H465" s="5" t="s">
        <v>3676</v>
      </c>
      <c r="I465" s="5" t="s">
        <v>3677</v>
      </c>
      <c r="J465" s="17" t="s">
        <v>121</v>
      </c>
      <c r="K465" s="17" t="s">
        <v>181</v>
      </c>
      <c r="L465" s="5" t="s">
        <v>3678</v>
      </c>
      <c r="M465" s="6" t="s">
        <v>197</v>
      </c>
      <c r="N465" s="6" t="s">
        <v>812</v>
      </c>
      <c r="O465" s="6" t="s">
        <v>121</v>
      </c>
      <c r="P465" s="5" t="s">
        <v>918</v>
      </c>
      <c r="Q465" s="17" t="s">
        <v>182</v>
      </c>
      <c r="R465" s="5"/>
      <c r="S465" s="6" t="s">
        <v>1061</v>
      </c>
      <c r="T465" s="5" t="s">
        <v>1062</v>
      </c>
      <c r="U465" s="6"/>
      <c r="V465" s="6" t="s">
        <v>1055</v>
      </c>
      <c r="W465" s="6" t="s">
        <v>333</v>
      </c>
      <c r="X465" s="5" t="s">
        <v>922</v>
      </c>
      <c r="Y465" s="5" t="s">
        <v>812</v>
      </c>
      <c r="Z465" s="5" t="str">
        <f t="shared" si="14"/>
        <v>Medium</v>
      </c>
      <c r="AA465" s="5" t="s">
        <v>956</v>
      </c>
      <c r="AB465" s="6" t="s">
        <v>924</v>
      </c>
      <c r="AC465" s="6" t="s">
        <v>103</v>
      </c>
      <c r="AD465" s="5" t="s">
        <v>925</v>
      </c>
      <c r="AE465" s="5" t="s">
        <v>354</v>
      </c>
      <c r="AF465" s="5" t="s">
        <v>354</v>
      </c>
      <c r="AG465" s="5" t="s">
        <v>354</v>
      </c>
      <c r="AH465" s="5" t="s">
        <v>354</v>
      </c>
      <c r="AI465" s="6" t="str">
        <f t="shared" si="15"/>
        <v>No</v>
      </c>
      <c r="AJ465" s="6" t="s">
        <v>926</v>
      </c>
      <c r="AK465" s="6" t="s">
        <v>121</v>
      </c>
      <c r="AL465" s="6">
        <f>MATCH(AA465,{"Low","Medium","High"},0)*MATCH(AB465,{"Low","Medium","High"},0)*INDEX({3,2,2,1,1},MATCH(X465,{"Core","Vertical extension","Differentiator","Future","Adjacent"},0))</f>
        <v>6</v>
      </c>
      <c r="AM465" s="5"/>
      <c r="AN465" s="5"/>
      <c r="AO465" s="5"/>
      <c r="AP465" s="5"/>
      <c r="AQ465" s="5"/>
      <c r="AR465" s="5"/>
      <c r="AS465" s="5"/>
      <c r="AT465" s="5"/>
      <c r="AU465" s="6" t="s">
        <v>927</v>
      </c>
      <c r="AV465" s="6" t="s">
        <v>1390</v>
      </c>
      <c r="AW465" s="6" t="s">
        <v>1390</v>
      </c>
      <c r="AX465" s="6" t="s">
        <v>929</v>
      </c>
      <c r="AY465" s="6" t="s">
        <v>930</v>
      </c>
      <c r="AZ465" s="6"/>
      <c r="BA465" s="6"/>
      <c r="BB465" s="6"/>
      <c r="BC465" s="6" t="s">
        <v>97</v>
      </c>
      <c r="BD465" s="6" t="s">
        <v>97</v>
      </c>
    </row>
    <row r="466" spans="1:56" ht="32" customHeight="1" x14ac:dyDescent="0.35">
      <c r="A466" s="13" t="s">
        <v>3679</v>
      </c>
      <c r="B466" s="6" t="s">
        <v>2114</v>
      </c>
      <c r="C466" s="5" t="s">
        <v>2115</v>
      </c>
      <c r="D466" s="5" t="s">
        <v>836</v>
      </c>
      <c r="E466" s="5" t="s">
        <v>3680</v>
      </c>
      <c r="F466" s="5" t="s">
        <v>3681</v>
      </c>
      <c r="G466" s="5" t="s">
        <v>1459</v>
      </c>
      <c r="H466" s="5" t="s">
        <v>3682</v>
      </c>
      <c r="I466" s="5" t="s">
        <v>3683</v>
      </c>
      <c r="J466" s="17" t="s">
        <v>121</v>
      </c>
      <c r="K466" s="17" t="s">
        <v>181</v>
      </c>
      <c r="L466" s="5" t="s">
        <v>3684</v>
      </c>
      <c r="M466" s="6" t="s">
        <v>197</v>
      </c>
      <c r="N466" s="6" t="s">
        <v>812</v>
      </c>
      <c r="O466" s="6" t="s">
        <v>121</v>
      </c>
      <c r="P466" s="5" t="s">
        <v>918</v>
      </c>
      <c r="Q466" s="17" t="s">
        <v>182</v>
      </c>
      <c r="R466" s="5"/>
      <c r="S466" s="6" t="s">
        <v>1061</v>
      </c>
      <c r="T466" s="5" t="s">
        <v>1062</v>
      </c>
      <c r="U466" s="6"/>
      <c r="V466" s="6" t="s">
        <v>1055</v>
      </c>
      <c r="W466" s="6" t="s">
        <v>333</v>
      </c>
      <c r="X466" s="5" t="s">
        <v>922</v>
      </c>
      <c r="Y466" s="5" t="s">
        <v>812</v>
      </c>
      <c r="Z466" s="5" t="str">
        <f t="shared" si="14"/>
        <v>Medium</v>
      </c>
      <c r="AA466" s="5" t="s">
        <v>956</v>
      </c>
      <c r="AB466" s="6" t="s">
        <v>924</v>
      </c>
      <c r="AC466" s="6" t="s">
        <v>103</v>
      </c>
      <c r="AD466" s="5" t="s">
        <v>925</v>
      </c>
      <c r="AE466" s="5" t="s">
        <v>354</v>
      </c>
      <c r="AF466" s="5" t="s">
        <v>354</v>
      </c>
      <c r="AG466" s="5" t="s">
        <v>354</v>
      </c>
      <c r="AH466" s="5" t="s">
        <v>354</v>
      </c>
      <c r="AI466" s="6" t="str">
        <f t="shared" si="15"/>
        <v>No</v>
      </c>
      <c r="AJ466" s="6" t="s">
        <v>926</v>
      </c>
      <c r="AK466" s="6" t="s">
        <v>121</v>
      </c>
      <c r="AL466" s="6">
        <f>MATCH(AA466,{"Low","Medium","High"},0)*MATCH(AB466,{"Low","Medium","High"},0)*INDEX({3,2,2,1,1},MATCH(X466,{"Core","Vertical extension","Differentiator","Future","Adjacent"},0))</f>
        <v>6</v>
      </c>
      <c r="AM466" s="5"/>
      <c r="AN466" s="5"/>
      <c r="AO466" s="5"/>
      <c r="AP466" s="5"/>
      <c r="AQ466" s="5"/>
      <c r="AR466" s="5"/>
      <c r="AS466" s="5"/>
      <c r="AT466" s="5"/>
      <c r="AU466" s="6" t="s">
        <v>927</v>
      </c>
      <c r="AV466" s="6" t="s">
        <v>1390</v>
      </c>
      <c r="AW466" s="6" t="s">
        <v>1390</v>
      </c>
      <c r="AX466" s="6" t="s">
        <v>929</v>
      </c>
      <c r="AY466" s="6" t="s">
        <v>930</v>
      </c>
      <c r="AZ466" s="6"/>
      <c r="BA466" s="6" t="s">
        <v>3685</v>
      </c>
      <c r="BB466" s="6" t="s">
        <v>984</v>
      </c>
      <c r="BC466" s="6" t="s">
        <v>97</v>
      </c>
      <c r="BD466" s="6" t="s">
        <v>97</v>
      </c>
    </row>
    <row r="467" spans="1:56" ht="32" customHeight="1" x14ac:dyDescent="0.35">
      <c r="A467" s="13" t="s">
        <v>3686</v>
      </c>
      <c r="B467" s="6" t="s">
        <v>2114</v>
      </c>
      <c r="C467" s="5" t="s">
        <v>2115</v>
      </c>
      <c r="D467" s="5" t="s">
        <v>836</v>
      </c>
      <c r="E467" s="5" t="s">
        <v>3687</v>
      </c>
      <c r="F467" s="5" t="s">
        <v>1452</v>
      </c>
      <c r="G467" s="5" t="s">
        <v>1710</v>
      </c>
      <c r="H467" s="5" t="s">
        <v>3688</v>
      </c>
      <c r="I467" s="5" t="s">
        <v>3689</v>
      </c>
      <c r="J467" s="17" t="s">
        <v>121</v>
      </c>
      <c r="K467" s="17" t="s">
        <v>181</v>
      </c>
      <c r="L467" s="5" t="s">
        <v>3690</v>
      </c>
      <c r="M467" s="6" t="s">
        <v>197</v>
      </c>
      <c r="N467" s="6" t="s">
        <v>812</v>
      </c>
      <c r="O467" s="6" t="s">
        <v>121</v>
      </c>
      <c r="P467" s="5" t="s">
        <v>918</v>
      </c>
      <c r="Q467" s="17" t="s">
        <v>182</v>
      </c>
      <c r="R467" s="5"/>
      <c r="S467" s="6" t="s">
        <v>1061</v>
      </c>
      <c r="T467" s="5" t="s">
        <v>1062</v>
      </c>
      <c r="U467" s="6"/>
      <c r="V467" s="6" t="s">
        <v>1055</v>
      </c>
      <c r="W467" s="6" t="s">
        <v>333</v>
      </c>
      <c r="X467" s="5" t="s">
        <v>922</v>
      </c>
      <c r="Y467" s="5" t="s">
        <v>812</v>
      </c>
      <c r="Z467" s="5" t="str">
        <f t="shared" si="14"/>
        <v>Medium</v>
      </c>
      <c r="AA467" s="5" t="s">
        <v>956</v>
      </c>
      <c r="AB467" s="6" t="s">
        <v>924</v>
      </c>
      <c r="AC467" s="6" t="s">
        <v>103</v>
      </c>
      <c r="AD467" s="5" t="s">
        <v>925</v>
      </c>
      <c r="AE467" s="5" t="s">
        <v>354</v>
      </c>
      <c r="AF467" s="5" t="s">
        <v>354</v>
      </c>
      <c r="AG467" s="5" t="s">
        <v>354</v>
      </c>
      <c r="AH467" s="5" t="s">
        <v>354</v>
      </c>
      <c r="AI467" s="6" t="str">
        <f t="shared" si="15"/>
        <v>No</v>
      </c>
      <c r="AJ467" s="6" t="s">
        <v>926</v>
      </c>
      <c r="AK467" s="6" t="s">
        <v>121</v>
      </c>
      <c r="AL467" s="6">
        <f>MATCH(AA467,{"Low","Medium","High"},0)*MATCH(AB467,{"Low","Medium","High"},0)*INDEX({3,2,2,1,1},MATCH(X467,{"Core","Vertical extension","Differentiator","Future","Adjacent"},0))</f>
        <v>6</v>
      </c>
      <c r="AM467" s="5"/>
      <c r="AN467" s="5"/>
      <c r="AO467" s="5"/>
      <c r="AP467" s="5"/>
      <c r="AQ467" s="5"/>
      <c r="AR467" s="5"/>
      <c r="AS467" s="5"/>
      <c r="AT467" s="5"/>
      <c r="AU467" s="6" t="s">
        <v>927</v>
      </c>
      <c r="AV467" s="6" t="s">
        <v>55</v>
      </c>
      <c r="AW467" s="6" t="s">
        <v>55</v>
      </c>
      <c r="AX467" s="6" t="s">
        <v>929</v>
      </c>
      <c r="AY467" s="6" t="s">
        <v>930</v>
      </c>
      <c r="AZ467" s="6"/>
      <c r="BA467" s="6"/>
      <c r="BB467" s="6"/>
      <c r="BC467" s="6" t="s">
        <v>97</v>
      </c>
      <c r="BD467" s="6" t="s">
        <v>97</v>
      </c>
    </row>
    <row r="468" spans="1:56" ht="32" customHeight="1" x14ac:dyDescent="0.35">
      <c r="A468" s="13" t="s">
        <v>3691</v>
      </c>
      <c r="B468" s="6" t="s">
        <v>2114</v>
      </c>
      <c r="C468" s="5" t="s">
        <v>2115</v>
      </c>
      <c r="D468" s="5" t="s">
        <v>836</v>
      </c>
      <c r="E468" s="5" t="s">
        <v>3692</v>
      </c>
      <c r="F468" s="5" t="s">
        <v>1452</v>
      </c>
      <c r="G468" s="5" t="s">
        <v>1344</v>
      </c>
      <c r="H468" s="5" t="s">
        <v>3693</v>
      </c>
      <c r="I468" s="5" t="s">
        <v>3694</v>
      </c>
      <c r="J468" s="17" t="s">
        <v>121</v>
      </c>
      <c r="K468" s="17" t="s">
        <v>181</v>
      </c>
      <c r="L468" s="5" t="s">
        <v>3695</v>
      </c>
      <c r="M468" s="6" t="s">
        <v>197</v>
      </c>
      <c r="N468" s="6" t="s">
        <v>812</v>
      </c>
      <c r="O468" s="6" t="s">
        <v>121</v>
      </c>
      <c r="P468" s="5" t="s">
        <v>918</v>
      </c>
      <c r="Q468" s="17" t="s">
        <v>182</v>
      </c>
      <c r="R468" s="5"/>
      <c r="S468" s="6" t="s">
        <v>1061</v>
      </c>
      <c r="T468" s="5" t="s">
        <v>1062</v>
      </c>
      <c r="U468" s="6"/>
      <c r="V468" s="6" t="s">
        <v>1055</v>
      </c>
      <c r="W468" s="6" t="s">
        <v>333</v>
      </c>
      <c r="X468" s="5" t="s">
        <v>922</v>
      </c>
      <c r="Y468" s="5" t="s">
        <v>812</v>
      </c>
      <c r="Z468" s="5" t="str">
        <f t="shared" si="14"/>
        <v>Medium</v>
      </c>
      <c r="AA468" s="5" t="s">
        <v>956</v>
      </c>
      <c r="AB468" s="6" t="s">
        <v>924</v>
      </c>
      <c r="AC468" s="6" t="s">
        <v>103</v>
      </c>
      <c r="AD468" s="5" t="s">
        <v>925</v>
      </c>
      <c r="AE468" s="5" t="s">
        <v>354</v>
      </c>
      <c r="AF468" s="5" t="s">
        <v>354</v>
      </c>
      <c r="AG468" s="5" t="s">
        <v>354</v>
      </c>
      <c r="AH468" s="5" t="s">
        <v>354</v>
      </c>
      <c r="AI468" s="6" t="str">
        <f t="shared" si="15"/>
        <v>No</v>
      </c>
      <c r="AJ468" s="6" t="s">
        <v>926</v>
      </c>
      <c r="AK468" s="6" t="s">
        <v>121</v>
      </c>
      <c r="AL468" s="6">
        <f>MATCH(AA468,{"Low","Medium","High"},0)*MATCH(AB468,{"Low","Medium","High"},0)*INDEX({3,2,2,1,1},MATCH(X468,{"Core","Vertical extension","Differentiator","Future","Adjacent"},0))</f>
        <v>6</v>
      </c>
      <c r="AM468" s="5"/>
      <c r="AN468" s="5"/>
      <c r="AO468" s="5"/>
      <c r="AP468" s="5"/>
      <c r="AQ468" s="5"/>
      <c r="AR468" s="5"/>
      <c r="AS468" s="5"/>
      <c r="AT468" s="5"/>
      <c r="AU468" s="6" t="s">
        <v>927</v>
      </c>
      <c r="AV468" s="6" t="s">
        <v>55</v>
      </c>
      <c r="AW468" s="6" t="s">
        <v>55</v>
      </c>
      <c r="AX468" s="6" t="s">
        <v>929</v>
      </c>
      <c r="AY468" s="6" t="s">
        <v>930</v>
      </c>
      <c r="AZ468" s="6"/>
      <c r="BA468" s="6"/>
      <c r="BB468" s="6"/>
      <c r="BC468" s="6" t="s">
        <v>97</v>
      </c>
      <c r="BD468" s="6" t="s">
        <v>97</v>
      </c>
    </row>
    <row r="469" spans="1:56" ht="32" customHeight="1" x14ac:dyDescent="0.35">
      <c r="A469" s="13" t="s">
        <v>3696</v>
      </c>
      <c r="B469" s="6" t="s">
        <v>2114</v>
      </c>
      <c r="C469" s="5" t="s">
        <v>2115</v>
      </c>
      <c r="D469" s="5" t="s">
        <v>836</v>
      </c>
      <c r="E469" s="5" t="s">
        <v>3697</v>
      </c>
      <c r="F469" s="5" t="s">
        <v>3662</v>
      </c>
      <c r="G469" s="5" t="s">
        <v>1459</v>
      </c>
      <c r="H469" s="5" t="s">
        <v>3698</v>
      </c>
      <c r="I469" s="5" t="s">
        <v>3699</v>
      </c>
      <c r="J469" s="17" t="s">
        <v>121</v>
      </c>
      <c r="K469" s="17" t="s">
        <v>181</v>
      </c>
      <c r="L469" s="5" t="s">
        <v>3700</v>
      </c>
      <c r="M469" s="6" t="s">
        <v>197</v>
      </c>
      <c r="N469" s="6" t="s">
        <v>812</v>
      </c>
      <c r="O469" s="6" t="s">
        <v>121</v>
      </c>
      <c r="P469" s="5" t="s">
        <v>918</v>
      </c>
      <c r="Q469" s="17" t="s">
        <v>182</v>
      </c>
      <c r="R469" s="5"/>
      <c r="S469" s="6" t="s">
        <v>1061</v>
      </c>
      <c r="T469" s="5" t="s">
        <v>1062</v>
      </c>
      <c r="U469" s="6"/>
      <c r="V469" s="6" t="s">
        <v>1055</v>
      </c>
      <c r="W469" s="6" t="s">
        <v>333</v>
      </c>
      <c r="X469" s="5" t="s">
        <v>922</v>
      </c>
      <c r="Y469" s="5" t="s">
        <v>812</v>
      </c>
      <c r="Z469" s="5" t="str">
        <f t="shared" si="14"/>
        <v>Medium</v>
      </c>
      <c r="AA469" s="5" t="s">
        <v>956</v>
      </c>
      <c r="AB469" s="6" t="s">
        <v>924</v>
      </c>
      <c r="AC469" s="6" t="s">
        <v>103</v>
      </c>
      <c r="AD469" s="5" t="s">
        <v>925</v>
      </c>
      <c r="AE469" s="5" t="s">
        <v>354</v>
      </c>
      <c r="AF469" s="5" t="s">
        <v>354</v>
      </c>
      <c r="AG469" s="5" t="s">
        <v>354</v>
      </c>
      <c r="AH469" s="5" t="s">
        <v>354</v>
      </c>
      <c r="AI469" s="6" t="str">
        <f t="shared" si="15"/>
        <v>No</v>
      </c>
      <c r="AJ469" s="6" t="s">
        <v>926</v>
      </c>
      <c r="AK469" s="6" t="s">
        <v>121</v>
      </c>
      <c r="AL469" s="6">
        <f>MATCH(AA469,{"Low","Medium","High"},0)*MATCH(AB469,{"Low","Medium","High"},0)*INDEX({3,2,2,1,1},MATCH(X469,{"Core","Vertical extension","Differentiator","Future","Adjacent"},0))</f>
        <v>6</v>
      </c>
      <c r="AM469" s="5"/>
      <c r="AN469" s="5"/>
      <c r="AO469" s="5"/>
      <c r="AP469" s="5"/>
      <c r="AQ469" s="5"/>
      <c r="AR469" s="5"/>
      <c r="AS469" s="5"/>
      <c r="AT469" s="5"/>
      <c r="AU469" s="6" t="s">
        <v>927</v>
      </c>
      <c r="AV469" s="6" t="s">
        <v>1390</v>
      </c>
      <c r="AW469" s="6" t="s">
        <v>1390</v>
      </c>
      <c r="AX469" s="6" t="s">
        <v>929</v>
      </c>
      <c r="AY469" s="6" t="s">
        <v>930</v>
      </c>
      <c r="AZ469" s="6"/>
      <c r="BA469" s="6"/>
      <c r="BB469" s="6"/>
      <c r="BC469" s="6" t="s">
        <v>97</v>
      </c>
      <c r="BD469" s="6" t="s">
        <v>97</v>
      </c>
    </row>
    <row r="470" spans="1:56" ht="32" customHeight="1" x14ac:dyDescent="0.35">
      <c r="A470" s="13" t="s">
        <v>3701</v>
      </c>
      <c r="B470" s="6" t="s">
        <v>2114</v>
      </c>
      <c r="C470" s="5" t="s">
        <v>2115</v>
      </c>
      <c r="D470" s="5" t="s">
        <v>836</v>
      </c>
      <c r="E470" s="5" t="s">
        <v>3702</v>
      </c>
      <c r="F470" s="5" t="s">
        <v>1452</v>
      </c>
      <c r="G470" s="5" t="s">
        <v>1453</v>
      </c>
      <c r="H470" s="5" t="s">
        <v>3703</v>
      </c>
      <c r="I470" s="5" t="s">
        <v>3704</v>
      </c>
      <c r="J470" s="17" t="s">
        <v>121</v>
      </c>
      <c r="K470" s="17" t="s">
        <v>181</v>
      </c>
      <c r="L470" s="5" t="s">
        <v>3705</v>
      </c>
      <c r="M470" s="6" t="s">
        <v>197</v>
      </c>
      <c r="N470" s="6" t="s">
        <v>812</v>
      </c>
      <c r="O470" s="6" t="s">
        <v>121</v>
      </c>
      <c r="P470" s="5" t="s">
        <v>918</v>
      </c>
      <c r="Q470" s="17" t="s">
        <v>182</v>
      </c>
      <c r="R470" s="5"/>
      <c r="S470" s="6" t="s">
        <v>1061</v>
      </c>
      <c r="T470" s="5" t="s">
        <v>1062</v>
      </c>
      <c r="U470" s="6"/>
      <c r="V470" s="6" t="s">
        <v>1055</v>
      </c>
      <c r="W470" s="6" t="s">
        <v>333</v>
      </c>
      <c r="X470" s="5" t="s">
        <v>922</v>
      </c>
      <c r="Y470" s="5" t="s">
        <v>812</v>
      </c>
      <c r="Z470" s="5" t="str">
        <f t="shared" si="14"/>
        <v>Medium</v>
      </c>
      <c r="AA470" s="5" t="s">
        <v>956</v>
      </c>
      <c r="AB470" s="6" t="s">
        <v>924</v>
      </c>
      <c r="AC470" s="6" t="s">
        <v>103</v>
      </c>
      <c r="AD470" s="5" t="s">
        <v>925</v>
      </c>
      <c r="AE470" s="5" t="s">
        <v>354</v>
      </c>
      <c r="AF470" s="5" t="s">
        <v>354</v>
      </c>
      <c r="AG470" s="5" t="s">
        <v>354</v>
      </c>
      <c r="AH470" s="5" t="s">
        <v>354</v>
      </c>
      <c r="AI470" s="6" t="str">
        <f t="shared" si="15"/>
        <v>No</v>
      </c>
      <c r="AJ470" s="6" t="s">
        <v>926</v>
      </c>
      <c r="AK470" s="6" t="s">
        <v>121</v>
      </c>
      <c r="AL470" s="6">
        <f>MATCH(AA470,{"Low","Medium","High"},0)*MATCH(AB470,{"Low","Medium","High"},0)*INDEX({3,2,2,1,1},MATCH(X470,{"Core","Vertical extension","Differentiator","Future","Adjacent"},0))</f>
        <v>6</v>
      </c>
      <c r="AM470" s="5"/>
      <c r="AN470" s="5"/>
      <c r="AO470" s="5"/>
      <c r="AP470" s="5"/>
      <c r="AQ470" s="5"/>
      <c r="AR470" s="5"/>
      <c r="AS470" s="5"/>
      <c r="AT470" s="5"/>
      <c r="AU470" s="6" t="s">
        <v>927</v>
      </c>
      <c r="AV470" s="6" t="s">
        <v>55</v>
      </c>
      <c r="AW470" s="6" t="s">
        <v>55</v>
      </c>
      <c r="AX470" s="6" t="s">
        <v>929</v>
      </c>
      <c r="AY470" s="6" t="s">
        <v>930</v>
      </c>
      <c r="AZ470" s="6"/>
      <c r="BA470" s="6"/>
      <c r="BB470" s="6"/>
      <c r="BC470" s="6" t="s">
        <v>97</v>
      </c>
      <c r="BD470" s="6" t="s">
        <v>97</v>
      </c>
    </row>
    <row r="471" spans="1:56" ht="32" customHeight="1" x14ac:dyDescent="0.35">
      <c r="A471" s="13" t="s">
        <v>3706</v>
      </c>
      <c r="B471" s="6" t="s">
        <v>2114</v>
      </c>
      <c r="C471" s="5" t="s">
        <v>2115</v>
      </c>
      <c r="D471" s="5" t="s">
        <v>836</v>
      </c>
      <c r="E471" s="5" t="s">
        <v>3707</v>
      </c>
      <c r="F471" s="5" t="s">
        <v>3547</v>
      </c>
      <c r="G471" s="5" t="s">
        <v>459</v>
      </c>
      <c r="H471" s="5" t="s">
        <v>3708</v>
      </c>
      <c r="I471" s="5" t="s">
        <v>3709</v>
      </c>
      <c r="J471" s="17" t="s">
        <v>121</v>
      </c>
      <c r="K471" s="17" t="s">
        <v>181</v>
      </c>
      <c r="L471" s="5" t="s">
        <v>3710</v>
      </c>
      <c r="M471" s="6" t="s">
        <v>197</v>
      </c>
      <c r="N471" s="6" t="s">
        <v>812</v>
      </c>
      <c r="O471" s="6" t="s">
        <v>121</v>
      </c>
      <c r="P471" s="5" t="s">
        <v>918</v>
      </c>
      <c r="Q471" s="17" t="s">
        <v>182</v>
      </c>
      <c r="R471" s="5"/>
      <c r="S471" s="6" t="s">
        <v>1061</v>
      </c>
      <c r="T471" s="5" t="s">
        <v>1062</v>
      </c>
      <c r="U471" s="6"/>
      <c r="V471" s="6" t="s">
        <v>1055</v>
      </c>
      <c r="W471" s="6" t="s">
        <v>333</v>
      </c>
      <c r="X471" s="5" t="s">
        <v>922</v>
      </c>
      <c r="Y471" s="5" t="s">
        <v>812</v>
      </c>
      <c r="Z471" s="5" t="str">
        <f t="shared" si="14"/>
        <v>Medium</v>
      </c>
      <c r="AA471" s="5" t="s">
        <v>956</v>
      </c>
      <c r="AB471" s="6" t="s">
        <v>924</v>
      </c>
      <c r="AC471" s="6" t="s">
        <v>103</v>
      </c>
      <c r="AD471" s="5" t="s">
        <v>925</v>
      </c>
      <c r="AE471" s="5" t="s">
        <v>354</v>
      </c>
      <c r="AF471" s="5" t="s">
        <v>354</v>
      </c>
      <c r="AG471" s="5" t="s">
        <v>354</v>
      </c>
      <c r="AH471" s="5" t="s">
        <v>354</v>
      </c>
      <c r="AI471" s="6" t="str">
        <f t="shared" si="15"/>
        <v>No</v>
      </c>
      <c r="AJ471" s="6" t="s">
        <v>926</v>
      </c>
      <c r="AK471" s="6" t="s">
        <v>121</v>
      </c>
      <c r="AL471" s="6">
        <f>MATCH(AA471,{"Low","Medium","High"},0)*MATCH(AB471,{"Low","Medium","High"},0)*INDEX({3,2,2,1,1},MATCH(X471,{"Core","Vertical extension","Differentiator","Future","Adjacent"},0))</f>
        <v>6</v>
      </c>
      <c r="AM471" s="5"/>
      <c r="AN471" s="5"/>
      <c r="AO471" s="5"/>
      <c r="AP471" s="5"/>
      <c r="AQ471" s="5"/>
      <c r="AR471" s="5"/>
      <c r="AS471" s="5"/>
      <c r="AT471" s="5"/>
      <c r="AU471" s="6" t="s">
        <v>927</v>
      </c>
      <c r="AV471" s="6" t="s">
        <v>2161</v>
      </c>
      <c r="AW471" s="6" t="s">
        <v>2161</v>
      </c>
      <c r="AX471" s="6" t="s">
        <v>929</v>
      </c>
      <c r="AY471" s="6" t="s">
        <v>930</v>
      </c>
      <c r="AZ471" s="6"/>
      <c r="BA471" s="6"/>
      <c r="BB471" s="6"/>
      <c r="BC471" s="6" t="s">
        <v>97</v>
      </c>
      <c r="BD471" s="6" t="s">
        <v>97</v>
      </c>
    </row>
    <row r="472" spans="1:56" ht="32" customHeight="1" x14ac:dyDescent="0.35">
      <c r="A472" s="13" t="s">
        <v>3711</v>
      </c>
      <c r="B472" s="6" t="s">
        <v>2114</v>
      </c>
      <c r="C472" s="5" t="s">
        <v>2115</v>
      </c>
      <c r="D472" s="5" t="s">
        <v>836</v>
      </c>
      <c r="E472" s="5" t="s">
        <v>3712</v>
      </c>
      <c r="F472" s="5" t="s">
        <v>3547</v>
      </c>
      <c r="G472" s="5" t="s">
        <v>459</v>
      </c>
      <c r="H472" s="5" t="s">
        <v>3713</v>
      </c>
      <c r="I472" s="5" t="s">
        <v>3714</v>
      </c>
      <c r="J472" s="17" t="s">
        <v>121</v>
      </c>
      <c r="K472" s="17" t="s">
        <v>181</v>
      </c>
      <c r="L472" s="5" t="s">
        <v>3715</v>
      </c>
      <c r="M472" s="6" t="s">
        <v>197</v>
      </c>
      <c r="N472" s="6" t="s">
        <v>812</v>
      </c>
      <c r="O472" s="6" t="s">
        <v>121</v>
      </c>
      <c r="P472" s="5" t="s">
        <v>918</v>
      </c>
      <c r="Q472" s="17" t="s">
        <v>182</v>
      </c>
      <c r="R472" s="5"/>
      <c r="S472" s="6" t="s">
        <v>1061</v>
      </c>
      <c r="T472" s="5" t="s">
        <v>1062</v>
      </c>
      <c r="U472" s="6"/>
      <c r="V472" s="6" t="s">
        <v>1055</v>
      </c>
      <c r="W472" s="6" t="s">
        <v>333</v>
      </c>
      <c r="X472" s="5" t="s">
        <v>922</v>
      </c>
      <c r="Y472" s="5" t="s">
        <v>812</v>
      </c>
      <c r="Z472" s="5" t="str">
        <f t="shared" si="14"/>
        <v>Medium</v>
      </c>
      <c r="AA472" s="5" t="s">
        <v>956</v>
      </c>
      <c r="AB472" s="6" t="s">
        <v>924</v>
      </c>
      <c r="AC472" s="6" t="s">
        <v>103</v>
      </c>
      <c r="AD472" s="5" t="s">
        <v>925</v>
      </c>
      <c r="AE472" s="5" t="s">
        <v>354</v>
      </c>
      <c r="AF472" s="5" t="s">
        <v>354</v>
      </c>
      <c r="AG472" s="5" t="s">
        <v>354</v>
      </c>
      <c r="AH472" s="5" t="s">
        <v>354</v>
      </c>
      <c r="AI472" s="6" t="str">
        <f t="shared" si="15"/>
        <v>No</v>
      </c>
      <c r="AJ472" s="6" t="s">
        <v>926</v>
      </c>
      <c r="AK472" s="6" t="s">
        <v>121</v>
      </c>
      <c r="AL472" s="6">
        <f>MATCH(AA472,{"Low","Medium","High"},0)*MATCH(AB472,{"Low","Medium","High"},0)*INDEX({3,2,2,1,1},MATCH(X472,{"Core","Vertical extension","Differentiator","Future","Adjacent"},0))</f>
        <v>6</v>
      </c>
      <c r="AM472" s="5"/>
      <c r="AN472" s="5"/>
      <c r="AO472" s="5"/>
      <c r="AP472" s="5"/>
      <c r="AQ472" s="5"/>
      <c r="AR472" s="5"/>
      <c r="AS472" s="5"/>
      <c r="AT472" s="5"/>
      <c r="AU472" s="6" t="s">
        <v>927</v>
      </c>
      <c r="AV472" s="6" t="s">
        <v>2161</v>
      </c>
      <c r="AW472" s="6" t="s">
        <v>2161</v>
      </c>
      <c r="AX472" s="6" t="s">
        <v>929</v>
      </c>
      <c r="AY472" s="6" t="s">
        <v>930</v>
      </c>
      <c r="AZ472" s="6"/>
      <c r="BA472" s="6"/>
      <c r="BB472" s="6"/>
      <c r="BC472" s="6" t="s">
        <v>97</v>
      </c>
      <c r="BD472" s="6" t="s">
        <v>97</v>
      </c>
    </row>
    <row r="473" spans="1:56" ht="32" customHeight="1" x14ac:dyDescent="0.35">
      <c r="A473" s="13" t="s">
        <v>3716</v>
      </c>
      <c r="B473" s="6" t="s">
        <v>2114</v>
      </c>
      <c r="C473" s="5" t="s">
        <v>2115</v>
      </c>
      <c r="D473" s="5" t="s">
        <v>836</v>
      </c>
      <c r="E473" s="5" t="s">
        <v>3717</v>
      </c>
      <c r="F473" s="5" t="s">
        <v>3547</v>
      </c>
      <c r="G473" s="5" t="s">
        <v>459</v>
      </c>
      <c r="H473" s="5" t="s">
        <v>3718</v>
      </c>
      <c r="I473" s="5" t="s">
        <v>3719</v>
      </c>
      <c r="J473" s="17" t="s">
        <v>121</v>
      </c>
      <c r="K473" s="17" t="s">
        <v>181</v>
      </c>
      <c r="L473" s="5" t="s">
        <v>3720</v>
      </c>
      <c r="M473" s="6" t="s">
        <v>197</v>
      </c>
      <c r="N473" s="6" t="s">
        <v>812</v>
      </c>
      <c r="O473" s="6" t="s">
        <v>121</v>
      </c>
      <c r="P473" s="5" t="s">
        <v>918</v>
      </c>
      <c r="Q473" s="17" t="s">
        <v>182</v>
      </c>
      <c r="R473" s="5"/>
      <c r="S473" s="6" t="s">
        <v>1061</v>
      </c>
      <c r="T473" s="5" t="s">
        <v>1062</v>
      </c>
      <c r="U473" s="6"/>
      <c r="V473" s="6" t="s">
        <v>1055</v>
      </c>
      <c r="W473" s="6" t="s">
        <v>333</v>
      </c>
      <c r="X473" s="5" t="s">
        <v>922</v>
      </c>
      <c r="Y473" s="5" t="s">
        <v>812</v>
      </c>
      <c r="Z473" s="5" t="str">
        <f t="shared" si="14"/>
        <v>Medium</v>
      </c>
      <c r="AA473" s="5" t="s">
        <v>956</v>
      </c>
      <c r="AB473" s="6" t="s">
        <v>924</v>
      </c>
      <c r="AC473" s="6" t="s">
        <v>103</v>
      </c>
      <c r="AD473" s="5" t="s">
        <v>925</v>
      </c>
      <c r="AE473" s="5" t="s">
        <v>354</v>
      </c>
      <c r="AF473" s="5" t="s">
        <v>354</v>
      </c>
      <c r="AG473" s="5" t="s">
        <v>354</v>
      </c>
      <c r="AH473" s="5" t="s">
        <v>354</v>
      </c>
      <c r="AI473" s="6" t="str">
        <f t="shared" si="15"/>
        <v>No</v>
      </c>
      <c r="AJ473" s="6" t="s">
        <v>926</v>
      </c>
      <c r="AK473" s="6" t="s">
        <v>121</v>
      </c>
      <c r="AL473" s="6">
        <f>MATCH(AA473,{"Low","Medium","High"},0)*MATCH(AB473,{"Low","Medium","High"},0)*INDEX({3,2,2,1,1},MATCH(X473,{"Core","Vertical extension","Differentiator","Future","Adjacent"},0))</f>
        <v>6</v>
      </c>
      <c r="AM473" s="5"/>
      <c r="AN473" s="5"/>
      <c r="AO473" s="5"/>
      <c r="AP473" s="5"/>
      <c r="AQ473" s="5"/>
      <c r="AR473" s="5"/>
      <c r="AS473" s="5"/>
      <c r="AT473" s="5"/>
      <c r="AU473" s="6" t="s">
        <v>927</v>
      </c>
      <c r="AV473" s="6" t="s">
        <v>2161</v>
      </c>
      <c r="AW473" s="6" t="s">
        <v>2161</v>
      </c>
      <c r="AX473" s="6" t="s">
        <v>929</v>
      </c>
      <c r="AY473" s="6" t="s">
        <v>930</v>
      </c>
      <c r="AZ473" s="6"/>
      <c r="BA473" s="6"/>
      <c r="BB473" s="6"/>
      <c r="BC473" s="6" t="s">
        <v>97</v>
      </c>
      <c r="BD473" s="6" t="s">
        <v>97</v>
      </c>
    </row>
    <row r="474" spans="1:56" ht="32" customHeight="1" x14ac:dyDescent="0.35">
      <c r="A474" s="13" t="s">
        <v>3721</v>
      </c>
      <c r="B474" s="6" t="s">
        <v>2114</v>
      </c>
      <c r="C474" s="5" t="s">
        <v>2115</v>
      </c>
      <c r="D474" s="5" t="s">
        <v>836</v>
      </c>
      <c r="E474" s="5" t="s">
        <v>3722</v>
      </c>
      <c r="F474" s="5" t="s">
        <v>2766</v>
      </c>
      <c r="G474" s="5" t="s">
        <v>1453</v>
      </c>
      <c r="H474" s="5" t="s">
        <v>3723</v>
      </c>
      <c r="I474" s="5" t="s">
        <v>3724</v>
      </c>
      <c r="J474" s="17" t="s">
        <v>121</v>
      </c>
      <c r="K474" s="17" t="s">
        <v>181</v>
      </c>
      <c r="L474" s="5" t="s">
        <v>3725</v>
      </c>
      <c r="M474" s="6" t="s">
        <v>197</v>
      </c>
      <c r="N474" s="6" t="s">
        <v>812</v>
      </c>
      <c r="O474" s="6" t="s">
        <v>121</v>
      </c>
      <c r="P474" s="5" t="s">
        <v>918</v>
      </c>
      <c r="Q474" s="17" t="s">
        <v>182</v>
      </c>
      <c r="R474" s="5"/>
      <c r="S474" s="6" t="s">
        <v>1061</v>
      </c>
      <c r="T474" s="5" t="s">
        <v>1062</v>
      </c>
      <c r="U474" s="6"/>
      <c r="V474" s="6" t="s">
        <v>1055</v>
      </c>
      <c r="W474" s="6" t="s">
        <v>333</v>
      </c>
      <c r="X474" s="5" t="s">
        <v>922</v>
      </c>
      <c r="Y474" s="5" t="s">
        <v>812</v>
      </c>
      <c r="Z474" s="5" t="str">
        <f t="shared" si="14"/>
        <v>Medium</v>
      </c>
      <c r="AA474" s="5" t="s">
        <v>956</v>
      </c>
      <c r="AB474" s="6" t="s">
        <v>924</v>
      </c>
      <c r="AC474" s="6" t="s">
        <v>103</v>
      </c>
      <c r="AD474" s="5" t="s">
        <v>925</v>
      </c>
      <c r="AE474" s="5" t="s">
        <v>354</v>
      </c>
      <c r="AF474" s="5" t="s">
        <v>354</v>
      </c>
      <c r="AG474" s="5" t="s">
        <v>354</v>
      </c>
      <c r="AH474" s="5" t="s">
        <v>354</v>
      </c>
      <c r="AI474" s="6" t="str">
        <f t="shared" si="15"/>
        <v>No</v>
      </c>
      <c r="AJ474" s="6" t="s">
        <v>926</v>
      </c>
      <c r="AK474" s="6" t="s">
        <v>121</v>
      </c>
      <c r="AL474" s="6">
        <f>MATCH(AA474,{"Low","Medium","High"},0)*MATCH(AB474,{"Low","Medium","High"},0)*INDEX({3,2,2,1,1},MATCH(X474,{"Core","Vertical extension","Differentiator","Future","Adjacent"},0))</f>
        <v>6</v>
      </c>
      <c r="AM474" s="5"/>
      <c r="AN474" s="5"/>
      <c r="AO474" s="5"/>
      <c r="AP474" s="5"/>
      <c r="AQ474" s="5"/>
      <c r="AR474" s="5"/>
      <c r="AS474" s="5"/>
      <c r="AT474" s="5"/>
      <c r="AU474" s="6" t="s">
        <v>927</v>
      </c>
      <c r="AV474" s="6" t="s">
        <v>1322</v>
      </c>
      <c r="AW474" s="6" t="s">
        <v>1322</v>
      </c>
      <c r="AX474" s="6" t="s">
        <v>929</v>
      </c>
      <c r="AY474" s="6" t="s">
        <v>930</v>
      </c>
      <c r="AZ474" s="6"/>
      <c r="BA474" s="6"/>
      <c r="BB474" s="6"/>
      <c r="BC474" s="6" t="s">
        <v>97</v>
      </c>
      <c r="BD474" s="6" t="s">
        <v>97</v>
      </c>
    </row>
    <row r="475" spans="1:56" ht="32" customHeight="1" x14ac:dyDescent="0.35">
      <c r="A475" s="13" t="s">
        <v>3726</v>
      </c>
      <c r="B475" s="6" t="s">
        <v>2114</v>
      </c>
      <c r="C475" s="5" t="s">
        <v>2115</v>
      </c>
      <c r="D475" s="5" t="s">
        <v>836</v>
      </c>
      <c r="E475" s="5" t="s">
        <v>3727</v>
      </c>
      <c r="F475" s="5" t="s">
        <v>3728</v>
      </c>
      <c r="G475" s="5" t="s">
        <v>1453</v>
      </c>
      <c r="H475" s="5" t="s">
        <v>3729</v>
      </c>
      <c r="I475" s="5" t="s">
        <v>3730</v>
      </c>
      <c r="J475" s="17" t="s">
        <v>121</v>
      </c>
      <c r="K475" s="17" t="s">
        <v>181</v>
      </c>
      <c r="L475" s="5" t="s">
        <v>3731</v>
      </c>
      <c r="M475" s="6" t="s">
        <v>197</v>
      </c>
      <c r="N475" s="6" t="s">
        <v>812</v>
      </c>
      <c r="O475" s="6" t="s">
        <v>121</v>
      </c>
      <c r="P475" s="5" t="s">
        <v>918</v>
      </c>
      <c r="Q475" s="17" t="s">
        <v>182</v>
      </c>
      <c r="R475" s="5"/>
      <c r="S475" s="6" t="s">
        <v>1061</v>
      </c>
      <c r="T475" s="5" t="s">
        <v>1062</v>
      </c>
      <c r="U475" s="6"/>
      <c r="V475" s="6" t="s">
        <v>1055</v>
      </c>
      <c r="W475" s="6" t="s">
        <v>333</v>
      </c>
      <c r="X475" s="5" t="s">
        <v>922</v>
      </c>
      <c r="Y475" s="5" t="s">
        <v>812</v>
      </c>
      <c r="Z475" s="5" t="str">
        <f t="shared" si="14"/>
        <v>Medium</v>
      </c>
      <c r="AA475" s="5" t="s">
        <v>956</v>
      </c>
      <c r="AB475" s="6" t="s">
        <v>924</v>
      </c>
      <c r="AC475" s="6" t="s">
        <v>103</v>
      </c>
      <c r="AD475" s="5" t="s">
        <v>925</v>
      </c>
      <c r="AE475" s="5" t="s">
        <v>354</v>
      </c>
      <c r="AF475" s="5" t="s">
        <v>354</v>
      </c>
      <c r="AG475" s="5" t="s">
        <v>354</v>
      </c>
      <c r="AH475" s="5" t="s">
        <v>354</v>
      </c>
      <c r="AI475" s="6" t="str">
        <f t="shared" si="15"/>
        <v>No</v>
      </c>
      <c r="AJ475" s="6" t="s">
        <v>926</v>
      </c>
      <c r="AK475" s="6" t="s">
        <v>121</v>
      </c>
      <c r="AL475" s="6">
        <f>MATCH(AA475,{"Low","Medium","High"},0)*MATCH(AB475,{"Low","Medium","High"},0)*INDEX({3,2,2,1,1},MATCH(X475,{"Core","Vertical extension","Differentiator","Future","Adjacent"},0))</f>
        <v>6</v>
      </c>
      <c r="AM475" s="5"/>
      <c r="AN475" s="5"/>
      <c r="AO475" s="5"/>
      <c r="AP475" s="5"/>
      <c r="AQ475" s="5"/>
      <c r="AR475" s="5"/>
      <c r="AS475" s="5"/>
      <c r="AT475" s="5"/>
      <c r="AU475" s="6" t="s">
        <v>927</v>
      </c>
      <c r="AV475" s="6" t="s">
        <v>55</v>
      </c>
      <c r="AW475" s="6" t="s">
        <v>55</v>
      </c>
      <c r="AX475" s="6" t="s">
        <v>929</v>
      </c>
      <c r="AY475" s="6" t="s">
        <v>930</v>
      </c>
      <c r="AZ475" s="6"/>
      <c r="BA475" s="6"/>
      <c r="BB475" s="6"/>
      <c r="BC475" s="6" t="s">
        <v>97</v>
      </c>
      <c r="BD475" s="6" t="s">
        <v>97</v>
      </c>
    </row>
    <row r="476" spans="1:56" ht="32" customHeight="1" x14ac:dyDescent="0.35">
      <c r="A476" s="13" t="s">
        <v>3732</v>
      </c>
      <c r="B476" s="6" t="s">
        <v>2114</v>
      </c>
      <c r="C476" s="5" t="s">
        <v>2115</v>
      </c>
      <c r="D476" s="5" t="s">
        <v>836</v>
      </c>
      <c r="E476" s="5" t="s">
        <v>3733</v>
      </c>
      <c r="F476" s="5" t="s">
        <v>3734</v>
      </c>
      <c r="G476" s="5" t="s">
        <v>1459</v>
      </c>
      <c r="H476" s="5" t="s">
        <v>3735</v>
      </c>
      <c r="I476" s="5" t="s">
        <v>3736</v>
      </c>
      <c r="J476" s="17" t="s">
        <v>121</v>
      </c>
      <c r="K476" s="17" t="s">
        <v>181</v>
      </c>
      <c r="L476" s="5" t="s">
        <v>3737</v>
      </c>
      <c r="M476" s="6" t="s">
        <v>197</v>
      </c>
      <c r="N476" s="6" t="s">
        <v>812</v>
      </c>
      <c r="O476" s="6" t="s">
        <v>121</v>
      </c>
      <c r="P476" s="5" t="s">
        <v>918</v>
      </c>
      <c r="Q476" s="17" t="s">
        <v>182</v>
      </c>
      <c r="R476" s="5"/>
      <c r="S476" s="6" t="s">
        <v>1061</v>
      </c>
      <c r="T476" s="5" t="s">
        <v>1062</v>
      </c>
      <c r="U476" s="6"/>
      <c r="V476" s="6" t="s">
        <v>1055</v>
      </c>
      <c r="W476" s="6" t="s">
        <v>333</v>
      </c>
      <c r="X476" s="5" t="s">
        <v>922</v>
      </c>
      <c r="Y476" s="5" t="s">
        <v>812</v>
      </c>
      <c r="Z476" s="5" t="str">
        <f t="shared" si="14"/>
        <v>Medium</v>
      </c>
      <c r="AA476" s="5" t="s">
        <v>956</v>
      </c>
      <c r="AB476" s="6" t="s">
        <v>924</v>
      </c>
      <c r="AC476" s="6" t="s">
        <v>103</v>
      </c>
      <c r="AD476" s="5" t="s">
        <v>925</v>
      </c>
      <c r="AE476" s="5" t="s">
        <v>354</v>
      </c>
      <c r="AF476" s="5" t="s">
        <v>354</v>
      </c>
      <c r="AG476" s="5" t="s">
        <v>354</v>
      </c>
      <c r="AH476" s="5" t="s">
        <v>354</v>
      </c>
      <c r="AI476" s="6" t="str">
        <f t="shared" si="15"/>
        <v>No</v>
      </c>
      <c r="AJ476" s="6" t="s">
        <v>926</v>
      </c>
      <c r="AK476" s="6" t="s">
        <v>121</v>
      </c>
      <c r="AL476" s="6">
        <f>MATCH(AA476,{"Low","Medium","High"},0)*MATCH(AB476,{"Low","Medium","High"},0)*INDEX({3,2,2,1,1},MATCH(X476,{"Core","Vertical extension","Differentiator","Future","Adjacent"},0))</f>
        <v>6</v>
      </c>
      <c r="AM476" s="5"/>
      <c r="AN476" s="5"/>
      <c r="AO476" s="5"/>
      <c r="AP476" s="5"/>
      <c r="AQ476" s="5"/>
      <c r="AR476" s="5"/>
      <c r="AS476" s="5"/>
      <c r="AT476" s="5"/>
      <c r="AU476" s="6" t="s">
        <v>927</v>
      </c>
      <c r="AV476" s="6" t="s">
        <v>55</v>
      </c>
      <c r="AW476" s="6" t="s">
        <v>55</v>
      </c>
      <c r="AX476" s="6" t="s">
        <v>929</v>
      </c>
      <c r="AY476" s="6" t="s">
        <v>930</v>
      </c>
      <c r="AZ476" s="6"/>
      <c r="BA476" s="6"/>
      <c r="BB476" s="6"/>
      <c r="BC476" s="6" t="s">
        <v>97</v>
      </c>
      <c r="BD476" s="6" t="s">
        <v>97</v>
      </c>
    </row>
    <row r="477" spans="1:56" ht="32" customHeight="1" x14ac:dyDescent="0.35">
      <c r="A477" s="13" t="s">
        <v>3738</v>
      </c>
      <c r="B477" s="6" t="s">
        <v>2114</v>
      </c>
      <c r="C477" s="5" t="s">
        <v>2115</v>
      </c>
      <c r="D477" s="5" t="s">
        <v>836</v>
      </c>
      <c r="E477" s="5" t="s">
        <v>3739</v>
      </c>
      <c r="F477" s="5" t="s">
        <v>1452</v>
      </c>
      <c r="G477" s="5" t="s">
        <v>1453</v>
      </c>
      <c r="H477" s="5" t="s">
        <v>3740</v>
      </c>
      <c r="I477" s="5" t="s">
        <v>3741</v>
      </c>
      <c r="J477" s="17" t="s">
        <v>121</v>
      </c>
      <c r="K477" s="17" t="s">
        <v>181</v>
      </c>
      <c r="L477" s="5" t="s">
        <v>3742</v>
      </c>
      <c r="M477" s="6" t="s">
        <v>197</v>
      </c>
      <c r="N477" s="6" t="s">
        <v>812</v>
      </c>
      <c r="O477" s="6" t="s">
        <v>121</v>
      </c>
      <c r="P477" s="5" t="s">
        <v>918</v>
      </c>
      <c r="Q477" s="17" t="s">
        <v>182</v>
      </c>
      <c r="R477" s="5"/>
      <c r="S477" s="6" t="s">
        <v>1061</v>
      </c>
      <c r="T477" s="5" t="s">
        <v>1062</v>
      </c>
      <c r="U477" s="6"/>
      <c r="V477" s="6" t="s">
        <v>1055</v>
      </c>
      <c r="W477" s="6" t="s">
        <v>333</v>
      </c>
      <c r="X477" s="5" t="s">
        <v>922</v>
      </c>
      <c r="Y477" s="5" t="s">
        <v>812</v>
      </c>
      <c r="Z477" s="5" t="str">
        <f t="shared" si="14"/>
        <v>Medium</v>
      </c>
      <c r="AA477" s="5" t="s">
        <v>956</v>
      </c>
      <c r="AB477" s="6" t="s">
        <v>924</v>
      </c>
      <c r="AC477" s="6" t="s">
        <v>103</v>
      </c>
      <c r="AD477" s="5" t="s">
        <v>925</v>
      </c>
      <c r="AE477" s="5" t="s">
        <v>354</v>
      </c>
      <c r="AF477" s="5" t="s">
        <v>354</v>
      </c>
      <c r="AG477" s="5" t="s">
        <v>354</v>
      </c>
      <c r="AH477" s="5" t="s">
        <v>354</v>
      </c>
      <c r="AI477" s="6" t="str">
        <f t="shared" si="15"/>
        <v>No</v>
      </c>
      <c r="AJ477" s="6" t="s">
        <v>926</v>
      </c>
      <c r="AK477" s="6" t="s">
        <v>121</v>
      </c>
      <c r="AL477" s="6">
        <f>MATCH(AA477,{"Low","Medium","High"},0)*MATCH(AB477,{"Low","Medium","High"},0)*INDEX({3,2,2,1,1},MATCH(X477,{"Core","Vertical extension","Differentiator","Future","Adjacent"},0))</f>
        <v>6</v>
      </c>
      <c r="AM477" s="5"/>
      <c r="AN477" s="5"/>
      <c r="AO477" s="5"/>
      <c r="AP477" s="5"/>
      <c r="AQ477" s="5"/>
      <c r="AR477" s="5"/>
      <c r="AS477" s="5"/>
      <c r="AT477" s="5"/>
      <c r="AU477" s="6" t="s">
        <v>927</v>
      </c>
      <c r="AV477" s="6" t="s">
        <v>55</v>
      </c>
      <c r="AW477" s="6" t="s">
        <v>55</v>
      </c>
      <c r="AX477" s="6" t="s">
        <v>929</v>
      </c>
      <c r="AY477" s="6" t="s">
        <v>930</v>
      </c>
      <c r="AZ477" s="6"/>
      <c r="BA477" s="6"/>
      <c r="BB477" s="6"/>
      <c r="BC477" s="6" t="s">
        <v>97</v>
      </c>
      <c r="BD477" s="6" t="s">
        <v>97</v>
      </c>
    </row>
    <row r="478" spans="1:56" ht="32" customHeight="1" x14ac:dyDescent="0.35">
      <c r="A478" s="13" t="s">
        <v>3743</v>
      </c>
      <c r="B478" s="6" t="s">
        <v>2114</v>
      </c>
      <c r="C478" s="5" t="s">
        <v>2115</v>
      </c>
      <c r="D478" s="5" t="s">
        <v>836</v>
      </c>
      <c r="E478" s="5" t="s">
        <v>3744</v>
      </c>
      <c r="F478" s="5" t="s">
        <v>1452</v>
      </c>
      <c r="G478" s="5" t="s">
        <v>3745</v>
      </c>
      <c r="H478" s="5" t="s">
        <v>3746</v>
      </c>
      <c r="I478" s="5" t="s">
        <v>3747</v>
      </c>
      <c r="J478" s="17" t="s">
        <v>121</v>
      </c>
      <c r="K478" s="17" t="s">
        <v>181</v>
      </c>
      <c r="L478" s="5" t="s">
        <v>3748</v>
      </c>
      <c r="M478" s="6" t="s">
        <v>197</v>
      </c>
      <c r="N478" s="6" t="s">
        <v>812</v>
      </c>
      <c r="O478" s="6" t="s">
        <v>121</v>
      </c>
      <c r="P478" s="5" t="s">
        <v>918</v>
      </c>
      <c r="Q478" s="17" t="s">
        <v>182</v>
      </c>
      <c r="R478" s="5"/>
      <c r="S478" s="6" t="s">
        <v>1061</v>
      </c>
      <c r="T478" s="5" t="s">
        <v>1062</v>
      </c>
      <c r="U478" s="6"/>
      <c r="V478" s="6" t="s">
        <v>1055</v>
      </c>
      <c r="W478" s="6" t="s">
        <v>333</v>
      </c>
      <c r="X478" s="5" t="s">
        <v>922</v>
      </c>
      <c r="Y478" s="5" t="s">
        <v>812</v>
      </c>
      <c r="Z478" s="5" t="str">
        <f t="shared" si="14"/>
        <v>Medium</v>
      </c>
      <c r="AA478" s="5" t="s">
        <v>956</v>
      </c>
      <c r="AB478" s="6" t="s">
        <v>924</v>
      </c>
      <c r="AC478" s="6" t="s">
        <v>103</v>
      </c>
      <c r="AD478" s="5" t="s">
        <v>925</v>
      </c>
      <c r="AE478" s="5" t="s">
        <v>354</v>
      </c>
      <c r="AF478" s="5" t="s">
        <v>354</v>
      </c>
      <c r="AG478" s="5" t="s">
        <v>354</v>
      </c>
      <c r="AH478" s="5" t="s">
        <v>354</v>
      </c>
      <c r="AI478" s="6" t="str">
        <f t="shared" si="15"/>
        <v>No</v>
      </c>
      <c r="AJ478" s="6" t="s">
        <v>926</v>
      </c>
      <c r="AK478" s="6" t="s">
        <v>121</v>
      </c>
      <c r="AL478" s="6">
        <f>MATCH(AA478,{"Low","Medium","High"},0)*MATCH(AB478,{"Low","Medium","High"},0)*INDEX({3,2,2,1,1},MATCH(X478,{"Core","Vertical extension","Differentiator","Future","Adjacent"},0))</f>
        <v>6</v>
      </c>
      <c r="AM478" s="5"/>
      <c r="AN478" s="5"/>
      <c r="AO478" s="5"/>
      <c r="AP478" s="5"/>
      <c r="AQ478" s="5"/>
      <c r="AR478" s="5"/>
      <c r="AS478" s="5"/>
      <c r="AT478" s="5"/>
      <c r="AU478" s="6" t="s">
        <v>927</v>
      </c>
      <c r="AV478" s="6" t="s">
        <v>55</v>
      </c>
      <c r="AW478" s="6" t="s">
        <v>55</v>
      </c>
      <c r="AX478" s="6" t="s">
        <v>929</v>
      </c>
      <c r="AY478" s="6" t="s">
        <v>930</v>
      </c>
      <c r="AZ478" s="6"/>
      <c r="BA478" s="6"/>
      <c r="BB478" s="6"/>
      <c r="BC478" s="6" t="s">
        <v>97</v>
      </c>
      <c r="BD478" s="6" t="s">
        <v>97</v>
      </c>
    </row>
    <row r="479" spans="1:56" ht="32" customHeight="1" x14ac:dyDescent="0.35">
      <c r="A479" s="13" t="s">
        <v>3749</v>
      </c>
      <c r="B479" s="6" t="s">
        <v>2114</v>
      </c>
      <c r="C479" s="5" t="s">
        <v>2115</v>
      </c>
      <c r="D479" s="5" t="s">
        <v>836</v>
      </c>
      <c r="E479" s="5" t="s">
        <v>3750</v>
      </c>
      <c r="F479" s="5" t="s">
        <v>1452</v>
      </c>
      <c r="G479" s="5" t="s">
        <v>1101</v>
      </c>
      <c r="H479" s="5" t="s">
        <v>3751</v>
      </c>
      <c r="I479" s="5" t="s">
        <v>3752</v>
      </c>
      <c r="J479" s="17" t="s">
        <v>121</v>
      </c>
      <c r="K479" s="17" t="s">
        <v>181</v>
      </c>
      <c r="L479" s="5" t="s">
        <v>2025</v>
      </c>
      <c r="M479" s="6" t="s">
        <v>197</v>
      </c>
      <c r="N479" s="6" t="s">
        <v>812</v>
      </c>
      <c r="O479" s="6" t="s">
        <v>121</v>
      </c>
      <c r="P479" s="5" t="s">
        <v>918</v>
      </c>
      <c r="Q479" s="17" t="s">
        <v>182</v>
      </c>
      <c r="R479" s="5"/>
      <c r="S479" s="6" t="s">
        <v>1061</v>
      </c>
      <c r="T479" s="5" t="s">
        <v>1062</v>
      </c>
      <c r="U479" s="6"/>
      <c r="V479" s="6" t="s">
        <v>1055</v>
      </c>
      <c r="W479" s="6" t="s">
        <v>333</v>
      </c>
      <c r="X479" s="5" t="s">
        <v>922</v>
      </c>
      <c r="Y479" s="5" t="s">
        <v>812</v>
      </c>
      <c r="Z479" s="5" t="str">
        <f t="shared" si="14"/>
        <v>Medium</v>
      </c>
      <c r="AA479" s="5" t="s">
        <v>956</v>
      </c>
      <c r="AB479" s="6" t="s">
        <v>924</v>
      </c>
      <c r="AC479" s="6" t="s">
        <v>103</v>
      </c>
      <c r="AD479" s="5" t="s">
        <v>925</v>
      </c>
      <c r="AE479" s="5" t="s">
        <v>354</v>
      </c>
      <c r="AF479" s="5" t="s">
        <v>354</v>
      </c>
      <c r="AG479" s="5" t="s">
        <v>354</v>
      </c>
      <c r="AH479" s="5" t="s">
        <v>354</v>
      </c>
      <c r="AI479" s="6" t="str">
        <f t="shared" si="15"/>
        <v>No</v>
      </c>
      <c r="AJ479" s="6" t="s">
        <v>926</v>
      </c>
      <c r="AK479" s="6" t="s">
        <v>121</v>
      </c>
      <c r="AL479" s="6">
        <f>MATCH(AA479,{"Low","Medium","High"},0)*MATCH(AB479,{"Low","Medium","High"},0)*INDEX({3,2,2,1,1},MATCH(X479,{"Core","Vertical extension","Differentiator","Future","Adjacent"},0))</f>
        <v>6</v>
      </c>
      <c r="AM479" s="5"/>
      <c r="AN479" s="5"/>
      <c r="AO479" s="5"/>
      <c r="AP479" s="5"/>
      <c r="AQ479" s="5"/>
      <c r="AR479" s="5"/>
      <c r="AS479" s="5"/>
      <c r="AT479" s="5"/>
      <c r="AU479" s="6" t="s">
        <v>927</v>
      </c>
      <c r="AV479" s="6" t="s">
        <v>55</v>
      </c>
      <c r="AW479" s="6" t="s">
        <v>55</v>
      </c>
      <c r="AX479" s="6" t="s">
        <v>929</v>
      </c>
      <c r="AY479" s="6" t="s">
        <v>930</v>
      </c>
      <c r="AZ479" s="6"/>
      <c r="BA479" s="6"/>
      <c r="BB479" s="6"/>
      <c r="BC479" s="6" t="s">
        <v>97</v>
      </c>
      <c r="BD479" s="6" t="s">
        <v>97</v>
      </c>
    </row>
    <row r="480" spans="1:56" ht="32" customHeight="1" x14ac:dyDescent="0.35">
      <c r="A480" s="13" t="s">
        <v>3753</v>
      </c>
      <c r="B480" s="6" t="s">
        <v>2114</v>
      </c>
      <c r="C480" s="5" t="s">
        <v>2115</v>
      </c>
      <c r="D480" s="5" t="s">
        <v>836</v>
      </c>
      <c r="E480" s="5" t="s">
        <v>1664</v>
      </c>
      <c r="F480" s="5" t="s">
        <v>1452</v>
      </c>
      <c r="G480" s="5" t="s">
        <v>1665</v>
      </c>
      <c r="H480" s="5" t="s">
        <v>3754</v>
      </c>
      <c r="I480" s="5" t="s">
        <v>3755</v>
      </c>
      <c r="J480" s="17" t="s">
        <v>121</v>
      </c>
      <c r="K480" s="17" t="s">
        <v>181</v>
      </c>
      <c r="L480" s="5" t="s">
        <v>3756</v>
      </c>
      <c r="M480" s="6" t="s">
        <v>197</v>
      </c>
      <c r="N480" s="6" t="s">
        <v>812</v>
      </c>
      <c r="O480" s="6" t="s">
        <v>121</v>
      </c>
      <c r="P480" s="5" t="s">
        <v>918</v>
      </c>
      <c r="Q480" s="17" t="s">
        <v>182</v>
      </c>
      <c r="R480" s="5"/>
      <c r="S480" s="6" t="s">
        <v>1061</v>
      </c>
      <c r="T480" s="5" t="s">
        <v>1062</v>
      </c>
      <c r="U480" s="6"/>
      <c r="V480" s="6" t="s">
        <v>1055</v>
      </c>
      <c r="W480" s="6" t="s">
        <v>333</v>
      </c>
      <c r="X480" s="5" t="s">
        <v>922</v>
      </c>
      <c r="Y480" s="5" t="s">
        <v>812</v>
      </c>
      <c r="Z480" s="5" t="str">
        <f t="shared" si="14"/>
        <v>Medium</v>
      </c>
      <c r="AA480" s="5" t="s">
        <v>956</v>
      </c>
      <c r="AB480" s="6" t="s">
        <v>924</v>
      </c>
      <c r="AC480" s="6" t="s">
        <v>103</v>
      </c>
      <c r="AD480" s="5" t="s">
        <v>925</v>
      </c>
      <c r="AE480" s="5" t="s">
        <v>354</v>
      </c>
      <c r="AF480" s="5" t="s">
        <v>354</v>
      </c>
      <c r="AG480" s="5" t="s">
        <v>354</v>
      </c>
      <c r="AH480" s="5" t="s">
        <v>354</v>
      </c>
      <c r="AI480" s="6" t="str">
        <f t="shared" si="15"/>
        <v>No</v>
      </c>
      <c r="AJ480" s="6" t="s">
        <v>926</v>
      </c>
      <c r="AK480" s="6" t="s">
        <v>121</v>
      </c>
      <c r="AL480" s="6">
        <f>MATCH(AA480,{"Low","Medium","High"},0)*MATCH(AB480,{"Low","Medium","High"},0)*INDEX({3,2,2,1,1},MATCH(X480,{"Core","Vertical extension","Differentiator","Future","Adjacent"},0))</f>
        <v>6</v>
      </c>
      <c r="AM480" s="5"/>
      <c r="AN480" s="5"/>
      <c r="AO480" s="5"/>
      <c r="AP480" s="5"/>
      <c r="AQ480" s="5"/>
      <c r="AR480" s="5"/>
      <c r="AS480" s="5"/>
      <c r="AT480" s="5"/>
      <c r="AU480" s="6" t="s">
        <v>927</v>
      </c>
      <c r="AV480" s="6" t="s">
        <v>55</v>
      </c>
      <c r="AW480" s="6" t="s">
        <v>55</v>
      </c>
      <c r="AX480" s="6" t="s">
        <v>929</v>
      </c>
      <c r="AY480" s="6" t="s">
        <v>930</v>
      </c>
      <c r="AZ480" s="6" t="s">
        <v>3757</v>
      </c>
      <c r="BA480" s="6"/>
      <c r="BB480" s="6"/>
      <c r="BC480" s="6" t="s">
        <v>97</v>
      </c>
      <c r="BD480" s="6" t="s">
        <v>97</v>
      </c>
    </row>
    <row r="481" spans="1:56" ht="32" customHeight="1" x14ac:dyDescent="0.35">
      <c r="A481" s="13" t="s">
        <v>3758</v>
      </c>
      <c r="B481" s="6" t="s">
        <v>2114</v>
      </c>
      <c r="C481" s="5" t="s">
        <v>2115</v>
      </c>
      <c r="D481" s="5" t="s">
        <v>836</v>
      </c>
      <c r="E481" s="5" t="s">
        <v>3759</v>
      </c>
      <c r="F481" s="5" t="s">
        <v>3760</v>
      </c>
      <c r="G481" s="5" t="s">
        <v>3429</v>
      </c>
      <c r="H481" s="5" t="s">
        <v>3761</v>
      </c>
      <c r="I481" s="5" t="s">
        <v>3762</v>
      </c>
      <c r="J481" s="17" t="s">
        <v>121</v>
      </c>
      <c r="K481" s="17" t="s">
        <v>181</v>
      </c>
      <c r="L481" s="5" t="s">
        <v>3763</v>
      </c>
      <c r="M481" s="6" t="s">
        <v>197</v>
      </c>
      <c r="N481" s="6" t="s">
        <v>812</v>
      </c>
      <c r="O481" s="6" t="s">
        <v>121</v>
      </c>
      <c r="P481" s="5" t="s">
        <v>918</v>
      </c>
      <c r="Q481" s="17" t="s">
        <v>182</v>
      </c>
      <c r="R481" s="5"/>
      <c r="S481" s="6" t="s">
        <v>1061</v>
      </c>
      <c r="T481" s="5" t="s">
        <v>1062</v>
      </c>
      <c r="U481" s="6"/>
      <c r="V481" s="6" t="s">
        <v>1055</v>
      </c>
      <c r="W481" s="6" t="s">
        <v>333</v>
      </c>
      <c r="X481" s="5" t="s">
        <v>922</v>
      </c>
      <c r="Y481" s="5" t="s">
        <v>812</v>
      </c>
      <c r="Z481" s="5" t="str">
        <f t="shared" si="14"/>
        <v>Medium</v>
      </c>
      <c r="AA481" s="5" t="s">
        <v>956</v>
      </c>
      <c r="AB481" s="6" t="s">
        <v>924</v>
      </c>
      <c r="AC481" s="6" t="s">
        <v>103</v>
      </c>
      <c r="AD481" s="5" t="s">
        <v>925</v>
      </c>
      <c r="AE481" s="5" t="s">
        <v>354</v>
      </c>
      <c r="AF481" s="5" t="s">
        <v>354</v>
      </c>
      <c r="AG481" s="5" t="s">
        <v>354</v>
      </c>
      <c r="AH481" s="5" t="s">
        <v>354</v>
      </c>
      <c r="AI481" s="6" t="str">
        <f t="shared" si="15"/>
        <v>No</v>
      </c>
      <c r="AJ481" s="6" t="s">
        <v>926</v>
      </c>
      <c r="AK481" s="6" t="s">
        <v>121</v>
      </c>
      <c r="AL481" s="6">
        <f>MATCH(AA481,{"Low","Medium","High"},0)*MATCH(AB481,{"Low","Medium","High"},0)*INDEX({3,2,2,1,1},MATCH(X481,{"Core","Vertical extension","Differentiator","Future","Adjacent"},0))</f>
        <v>6</v>
      </c>
      <c r="AM481" s="5"/>
      <c r="AN481" s="5"/>
      <c r="AO481" s="5"/>
      <c r="AP481" s="5"/>
      <c r="AQ481" s="5"/>
      <c r="AR481" s="5"/>
      <c r="AS481" s="5"/>
      <c r="AT481" s="5"/>
      <c r="AU481" s="6" t="s">
        <v>927</v>
      </c>
      <c r="AV481" s="6" t="s">
        <v>2161</v>
      </c>
      <c r="AW481" s="6" t="s">
        <v>2161</v>
      </c>
      <c r="AX481" s="6" t="s">
        <v>929</v>
      </c>
      <c r="AY481" s="6" t="s">
        <v>930</v>
      </c>
      <c r="AZ481" s="6"/>
      <c r="BA481" s="6"/>
      <c r="BB481" s="6"/>
      <c r="BC481" s="6" t="s">
        <v>97</v>
      </c>
      <c r="BD481" s="6" t="s">
        <v>97</v>
      </c>
    </row>
    <row r="482" spans="1:56" ht="32" customHeight="1" x14ac:dyDescent="0.35">
      <c r="A482" s="13" t="s">
        <v>3764</v>
      </c>
      <c r="B482" s="6" t="s">
        <v>2114</v>
      </c>
      <c r="C482" s="5" t="s">
        <v>2115</v>
      </c>
      <c r="D482" s="5" t="s">
        <v>836</v>
      </c>
      <c r="E482" s="5" t="s">
        <v>3765</v>
      </c>
      <c r="F482" s="5" t="s">
        <v>1452</v>
      </c>
      <c r="G482" s="5" t="s">
        <v>1459</v>
      </c>
      <c r="H482" s="5" t="s">
        <v>3766</v>
      </c>
      <c r="I482" s="5" t="s">
        <v>3767</v>
      </c>
      <c r="J482" s="17" t="s">
        <v>121</v>
      </c>
      <c r="K482" s="17" t="s">
        <v>181</v>
      </c>
      <c r="L482" s="5" t="s">
        <v>3768</v>
      </c>
      <c r="M482" s="6" t="s">
        <v>197</v>
      </c>
      <c r="N482" s="6" t="s">
        <v>812</v>
      </c>
      <c r="O482" s="6" t="s">
        <v>121</v>
      </c>
      <c r="P482" s="5" t="s">
        <v>918</v>
      </c>
      <c r="Q482" s="17" t="s">
        <v>182</v>
      </c>
      <c r="R482" s="5"/>
      <c r="S482" s="6" t="s">
        <v>1061</v>
      </c>
      <c r="T482" s="5" t="s">
        <v>1062</v>
      </c>
      <c r="U482" s="6"/>
      <c r="V482" s="6" t="s">
        <v>1055</v>
      </c>
      <c r="W482" s="6" t="s">
        <v>333</v>
      </c>
      <c r="X482" s="5" t="s">
        <v>922</v>
      </c>
      <c r="Y482" s="5" t="s">
        <v>812</v>
      </c>
      <c r="Z482" s="5" t="str">
        <f t="shared" si="14"/>
        <v>Medium</v>
      </c>
      <c r="AA482" s="5" t="s">
        <v>956</v>
      </c>
      <c r="AB482" s="6" t="s">
        <v>924</v>
      </c>
      <c r="AC482" s="6" t="s">
        <v>103</v>
      </c>
      <c r="AD482" s="5" t="s">
        <v>925</v>
      </c>
      <c r="AE482" s="5" t="s">
        <v>354</v>
      </c>
      <c r="AF482" s="5" t="s">
        <v>354</v>
      </c>
      <c r="AG482" s="5" t="s">
        <v>354</v>
      </c>
      <c r="AH482" s="5" t="s">
        <v>354</v>
      </c>
      <c r="AI482" s="6" t="str">
        <f t="shared" si="15"/>
        <v>No</v>
      </c>
      <c r="AJ482" s="6" t="s">
        <v>926</v>
      </c>
      <c r="AK482" s="6" t="s">
        <v>121</v>
      </c>
      <c r="AL482" s="6">
        <f>MATCH(AA482,{"Low","Medium","High"},0)*MATCH(AB482,{"Low","Medium","High"},0)*INDEX({3,2,2,1,1},MATCH(X482,{"Core","Vertical extension","Differentiator","Future","Adjacent"},0))</f>
        <v>6</v>
      </c>
      <c r="AM482" s="5"/>
      <c r="AN482" s="5"/>
      <c r="AO482" s="5"/>
      <c r="AP482" s="5"/>
      <c r="AQ482" s="5"/>
      <c r="AR482" s="5"/>
      <c r="AS482" s="5"/>
      <c r="AT482" s="5"/>
      <c r="AU482" s="6" t="s">
        <v>927</v>
      </c>
      <c r="AV482" s="6" t="s">
        <v>55</v>
      </c>
      <c r="AW482" s="6" t="s">
        <v>55</v>
      </c>
      <c r="AX482" s="6" t="s">
        <v>929</v>
      </c>
      <c r="AY482" s="6" t="s">
        <v>930</v>
      </c>
      <c r="AZ482" s="6"/>
      <c r="BA482" s="6"/>
      <c r="BB482" s="6"/>
      <c r="BC482" s="6" t="s">
        <v>97</v>
      </c>
      <c r="BD482" s="6" t="s">
        <v>97</v>
      </c>
    </row>
    <row r="483" spans="1:56" ht="32" customHeight="1" x14ac:dyDescent="0.35">
      <c r="A483" s="13" t="s">
        <v>3769</v>
      </c>
      <c r="B483" s="6" t="s">
        <v>2114</v>
      </c>
      <c r="C483" s="5" t="s">
        <v>2115</v>
      </c>
      <c r="D483" s="5" t="s">
        <v>836</v>
      </c>
      <c r="E483" s="5" t="s">
        <v>3770</v>
      </c>
      <c r="F483" s="5" t="s">
        <v>3771</v>
      </c>
      <c r="G483" s="5" t="s">
        <v>2528</v>
      </c>
      <c r="H483" s="5" t="s">
        <v>3772</v>
      </c>
      <c r="I483" s="5" t="s">
        <v>3773</v>
      </c>
      <c r="J483" s="17" t="s">
        <v>121</v>
      </c>
      <c r="K483" s="17" t="s">
        <v>181</v>
      </c>
      <c r="L483" s="5" t="s">
        <v>3774</v>
      </c>
      <c r="M483" s="6" t="s">
        <v>197</v>
      </c>
      <c r="N483" s="6" t="s">
        <v>812</v>
      </c>
      <c r="O483" s="6" t="s">
        <v>121</v>
      </c>
      <c r="P483" s="5" t="s">
        <v>918</v>
      </c>
      <c r="Q483" s="17" t="s">
        <v>182</v>
      </c>
      <c r="R483" s="5"/>
      <c r="S483" s="6" t="s">
        <v>1061</v>
      </c>
      <c r="T483" s="5" t="s">
        <v>1062</v>
      </c>
      <c r="U483" s="6"/>
      <c r="V483" s="6" t="s">
        <v>1055</v>
      </c>
      <c r="W483" s="6" t="s">
        <v>333</v>
      </c>
      <c r="X483" s="5" t="s">
        <v>922</v>
      </c>
      <c r="Y483" s="5" t="s">
        <v>812</v>
      </c>
      <c r="Z483" s="5" t="str">
        <f t="shared" si="14"/>
        <v>Medium</v>
      </c>
      <c r="AA483" s="5" t="s">
        <v>956</v>
      </c>
      <c r="AB483" s="6" t="s">
        <v>924</v>
      </c>
      <c r="AC483" s="6" t="s">
        <v>103</v>
      </c>
      <c r="AD483" s="5" t="s">
        <v>925</v>
      </c>
      <c r="AE483" s="5" t="s">
        <v>354</v>
      </c>
      <c r="AF483" s="5" t="s">
        <v>354</v>
      </c>
      <c r="AG483" s="5" t="s">
        <v>354</v>
      </c>
      <c r="AH483" s="5" t="s">
        <v>354</v>
      </c>
      <c r="AI483" s="6" t="str">
        <f t="shared" si="15"/>
        <v>No</v>
      </c>
      <c r="AJ483" s="6" t="s">
        <v>926</v>
      </c>
      <c r="AK483" s="6" t="s">
        <v>121</v>
      </c>
      <c r="AL483" s="6">
        <f>MATCH(AA483,{"Low","Medium","High"},0)*MATCH(AB483,{"Low","Medium","High"},0)*INDEX({3,2,2,1,1},MATCH(X483,{"Core","Vertical extension","Differentiator","Future","Adjacent"},0))</f>
        <v>6</v>
      </c>
      <c r="AM483" s="5"/>
      <c r="AN483" s="5"/>
      <c r="AO483" s="5"/>
      <c r="AP483" s="5"/>
      <c r="AQ483" s="5"/>
      <c r="AR483" s="5"/>
      <c r="AS483" s="5"/>
      <c r="AT483" s="5"/>
      <c r="AU483" s="6" t="s">
        <v>927</v>
      </c>
      <c r="AV483" s="6" t="s">
        <v>55</v>
      </c>
      <c r="AW483" s="6" t="s">
        <v>55</v>
      </c>
      <c r="AX483" s="6" t="s">
        <v>929</v>
      </c>
      <c r="AY483" s="6" t="s">
        <v>930</v>
      </c>
      <c r="AZ483" s="6"/>
      <c r="BA483" s="6"/>
      <c r="BB483" s="6"/>
      <c r="BC483" s="6" t="s">
        <v>97</v>
      </c>
      <c r="BD483" s="6" t="s">
        <v>97</v>
      </c>
    </row>
    <row r="484" spans="1:56" ht="32" customHeight="1" x14ac:dyDescent="0.35">
      <c r="A484" s="13" t="s">
        <v>3775</v>
      </c>
      <c r="B484" s="6" t="s">
        <v>2114</v>
      </c>
      <c r="C484" s="5" t="s">
        <v>2115</v>
      </c>
      <c r="D484" s="5" t="s">
        <v>836</v>
      </c>
      <c r="E484" s="5" t="s">
        <v>3776</v>
      </c>
      <c r="F484" s="5" t="s">
        <v>3771</v>
      </c>
      <c r="G484" s="5" t="s">
        <v>2528</v>
      </c>
      <c r="H484" s="5" t="s">
        <v>3777</v>
      </c>
      <c r="I484" s="5" t="s">
        <v>3778</v>
      </c>
      <c r="J484" s="17" t="s">
        <v>121</v>
      </c>
      <c r="K484" s="17" t="s">
        <v>181</v>
      </c>
      <c r="L484" s="5" t="s">
        <v>3779</v>
      </c>
      <c r="M484" s="6" t="s">
        <v>197</v>
      </c>
      <c r="N484" s="6" t="s">
        <v>812</v>
      </c>
      <c r="O484" s="6" t="s">
        <v>121</v>
      </c>
      <c r="P484" s="5" t="s">
        <v>918</v>
      </c>
      <c r="Q484" s="17" t="s">
        <v>182</v>
      </c>
      <c r="R484" s="5"/>
      <c r="S484" s="6" t="s">
        <v>1061</v>
      </c>
      <c r="T484" s="5" t="s">
        <v>1062</v>
      </c>
      <c r="U484" s="6"/>
      <c r="V484" s="6" t="s">
        <v>1055</v>
      </c>
      <c r="W484" s="6" t="s">
        <v>333</v>
      </c>
      <c r="X484" s="5" t="s">
        <v>922</v>
      </c>
      <c r="Y484" s="5" t="s">
        <v>812</v>
      </c>
      <c r="Z484" s="5" t="str">
        <f t="shared" si="14"/>
        <v>Medium</v>
      </c>
      <c r="AA484" s="5" t="s">
        <v>956</v>
      </c>
      <c r="AB484" s="6" t="s">
        <v>924</v>
      </c>
      <c r="AC484" s="6" t="s">
        <v>103</v>
      </c>
      <c r="AD484" s="5" t="s">
        <v>925</v>
      </c>
      <c r="AE484" s="5" t="s">
        <v>354</v>
      </c>
      <c r="AF484" s="5" t="s">
        <v>354</v>
      </c>
      <c r="AG484" s="5" t="s">
        <v>354</v>
      </c>
      <c r="AH484" s="5" t="s">
        <v>354</v>
      </c>
      <c r="AI484" s="6" t="str">
        <f t="shared" si="15"/>
        <v>No</v>
      </c>
      <c r="AJ484" s="6" t="s">
        <v>926</v>
      </c>
      <c r="AK484" s="6" t="s">
        <v>121</v>
      </c>
      <c r="AL484" s="6">
        <f>MATCH(AA484,{"Low","Medium","High"},0)*MATCH(AB484,{"Low","Medium","High"},0)*INDEX({3,2,2,1,1},MATCH(X484,{"Core","Vertical extension","Differentiator","Future","Adjacent"},0))</f>
        <v>6</v>
      </c>
      <c r="AM484" s="5"/>
      <c r="AN484" s="5"/>
      <c r="AO484" s="5"/>
      <c r="AP484" s="5"/>
      <c r="AQ484" s="5"/>
      <c r="AR484" s="5"/>
      <c r="AS484" s="5"/>
      <c r="AT484" s="5"/>
      <c r="AU484" s="6" t="s">
        <v>927</v>
      </c>
      <c r="AV484" s="6" t="s">
        <v>55</v>
      </c>
      <c r="AW484" s="6" t="s">
        <v>55</v>
      </c>
      <c r="AX484" s="6" t="s">
        <v>929</v>
      </c>
      <c r="AY484" s="6" t="s">
        <v>930</v>
      </c>
      <c r="AZ484" s="6"/>
      <c r="BA484" s="6"/>
      <c r="BB484" s="6"/>
      <c r="BC484" s="6" t="s">
        <v>97</v>
      </c>
      <c r="BD484" s="6" t="s">
        <v>97</v>
      </c>
    </row>
    <row r="485" spans="1:56" ht="32" customHeight="1" x14ac:dyDescent="0.35">
      <c r="A485" s="13" t="s">
        <v>3780</v>
      </c>
      <c r="B485" s="6" t="s">
        <v>2114</v>
      </c>
      <c r="C485" s="5" t="s">
        <v>2115</v>
      </c>
      <c r="D485" s="5" t="s">
        <v>836</v>
      </c>
      <c r="E485" s="5" t="s">
        <v>3781</v>
      </c>
      <c r="F485" s="5" t="s">
        <v>3782</v>
      </c>
      <c r="G485" s="5" t="s">
        <v>2528</v>
      </c>
      <c r="H485" s="5" t="s">
        <v>3783</v>
      </c>
      <c r="I485" s="5" t="s">
        <v>3784</v>
      </c>
      <c r="J485" s="17" t="s">
        <v>121</v>
      </c>
      <c r="K485" s="17" t="s">
        <v>181</v>
      </c>
      <c r="L485" s="5" t="s">
        <v>3785</v>
      </c>
      <c r="M485" s="6" t="s">
        <v>197</v>
      </c>
      <c r="N485" s="6" t="s">
        <v>812</v>
      </c>
      <c r="O485" s="6" t="s">
        <v>121</v>
      </c>
      <c r="P485" s="5" t="s">
        <v>918</v>
      </c>
      <c r="Q485" s="17" t="s">
        <v>182</v>
      </c>
      <c r="R485" s="5"/>
      <c r="S485" s="6" t="s">
        <v>1061</v>
      </c>
      <c r="T485" s="5" t="s">
        <v>1062</v>
      </c>
      <c r="U485" s="6"/>
      <c r="V485" s="6" t="s">
        <v>1055</v>
      </c>
      <c r="W485" s="6" t="s">
        <v>333</v>
      </c>
      <c r="X485" s="5" t="s">
        <v>922</v>
      </c>
      <c r="Y485" s="5" t="s">
        <v>812</v>
      </c>
      <c r="Z485" s="5" t="str">
        <f t="shared" si="14"/>
        <v>Medium</v>
      </c>
      <c r="AA485" s="5" t="s">
        <v>956</v>
      </c>
      <c r="AB485" s="6" t="s">
        <v>924</v>
      </c>
      <c r="AC485" s="6" t="s">
        <v>103</v>
      </c>
      <c r="AD485" s="5" t="s">
        <v>925</v>
      </c>
      <c r="AE485" s="5" t="s">
        <v>354</v>
      </c>
      <c r="AF485" s="5" t="s">
        <v>354</v>
      </c>
      <c r="AG485" s="5" t="s">
        <v>354</v>
      </c>
      <c r="AH485" s="5" t="s">
        <v>354</v>
      </c>
      <c r="AI485" s="6" t="str">
        <f t="shared" si="15"/>
        <v>No</v>
      </c>
      <c r="AJ485" s="6" t="s">
        <v>926</v>
      </c>
      <c r="AK485" s="6" t="s">
        <v>121</v>
      </c>
      <c r="AL485" s="6">
        <f>MATCH(AA485,{"Low","Medium","High"},0)*MATCH(AB485,{"Low","Medium","High"},0)*INDEX({3,2,2,1,1},MATCH(X485,{"Core","Vertical extension","Differentiator","Future","Adjacent"},0))</f>
        <v>6</v>
      </c>
      <c r="AM485" s="5"/>
      <c r="AN485" s="5"/>
      <c r="AO485" s="5"/>
      <c r="AP485" s="5"/>
      <c r="AQ485" s="5"/>
      <c r="AR485" s="5"/>
      <c r="AS485" s="5"/>
      <c r="AT485" s="5"/>
      <c r="AU485" s="6" t="s">
        <v>927</v>
      </c>
      <c r="AV485" s="6" t="s">
        <v>55</v>
      </c>
      <c r="AW485" s="6" t="s">
        <v>55</v>
      </c>
      <c r="AX485" s="6" t="s">
        <v>929</v>
      </c>
      <c r="AY485" s="6" t="s">
        <v>930</v>
      </c>
      <c r="AZ485" s="6"/>
      <c r="BA485" s="6"/>
      <c r="BB485" s="6"/>
      <c r="BC485" s="6" t="s">
        <v>97</v>
      </c>
      <c r="BD485" s="6" t="s">
        <v>97</v>
      </c>
    </row>
    <row r="486" spans="1:56" ht="32" customHeight="1" x14ac:dyDescent="0.35">
      <c r="A486" s="13" t="s">
        <v>3786</v>
      </c>
      <c r="B486" s="6" t="s">
        <v>2114</v>
      </c>
      <c r="C486" s="5" t="s">
        <v>2115</v>
      </c>
      <c r="D486" s="5" t="s">
        <v>836</v>
      </c>
      <c r="E486" s="5" t="s">
        <v>3787</v>
      </c>
      <c r="F486" s="5" t="s">
        <v>1322</v>
      </c>
      <c r="G486" s="5" t="s">
        <v>1537</v>
      </c>
      <c r="H486" s="5" t="s">
        <v>3788</v>
      </c>
      <c r="I486" s="5" t="s">
        <v>3789</v>
      </c>
      <c r="J486" s="17" t="s">
        <v>121</v>
      </c>
      <c r="K486" s="17" t="s">
        <v>181</v>
      </c>
      <c r="L486" s="5" t="s">
        <v>3790</v>
      </c>
      <c r="M486" s="6" t="s">
        <v>197</v>
      </c>
      <c r="N486" s="6" t="s">
        <v>812</v>
      </c>
      <c r="O486" s="6" t="s">
        <v>121</v>
      </c>
      <c r="P486" s="5" t="s">
        <v>918</v>
      </c>
      <c r="Q486" s="18" t="s">
        <v>186</v>
      </c>
      <c r="R486" s="5" t="s">
        <v>1021</v>
      </c>
      <c r="S486" s="6" t="s">
        <v>1061</v>
      </c>
      <c r="T486" s="5" t="s">
        <v>1062</v>
      </c>
      <c r="U486" s="6"/>
      <c r="V486" s="6" t="s">
        <v>1055</v>
      </c>
      <c r="W486" s="6" t="s">
        <v>333</v>
      </c>
      <c r="X486" s="5" t="s">
        <v>922</v>
      </c>
      <c r="Y486" s="5" t="s">
        <v>812</v>
      </c>
      <c r="Z486" s="5" t="str">
        <f t="shared" si="14"/>
        <v>Medium</v>
      </c>
      <c r="AA486" s="5" t="s">
        <v>956</v>
      </c>
      <c r="AB486" s="6" t="s">
        <v>924</v>
      </c>
      <c r="AC486" s="6" t="s">
        <v>103</v>
      </c>
      <c r="AD486" s="5" t="s">
        <v>940</v>
      </c>
      <c r="AE486" s="5" t="s">
        <v>354</v>
      </c>
      <c r="AF486" s="5" t="s">
        <v>354</v>
      </c>
      <c r="AG486" s="5" t="s">
        <v>354</v>
      </c>
      <c r="AH486" s="5" t="s">
        <v>354</v>
      </c>
      <c r="AI486" s="6" t="str">
        <f t="shared" si="15"/>
        <v>No</v>
      </c>
      <c r="AJ486" s="6" t="s">
        <v>941</v>
      </c>
      <c r="AK486" s="6" t="s">
        <v>121</v>
      </c>
      <c r="AL486" s="6">
        <f>MATCH(AA486,{"Low","Medium","High"},0)*MATCH(AB486,{"Low","Medium","High"},0)*INDEX({3,2,2,1,1},MATCH(X486,{"Core","Vertical extension","Differentiator","Future","Adjacent"},0))</f>
        <v>6</v>
      </c>
      <c r="AM486" s="5"/>
      <c r="AN486" s="5"/>
      <c r="AO486" s="5"/>
      <c r="AP486" s="5"/>
      <c r="AQ486" s="5"/>
      <c r="AR486" s="5"/>
      <c r="AS486" s="5"/>
      <c r="AT486" s="5"/>
      <c r="AU486" s="6" t="s">
        <v>927</v>
      </c>
      <c r="AV486" s="6" t="s">
        <v>1322</v>
      </c>
      <c r="AW486" s="6" t="s">
        <v>1322</v>
      </c>
      <c r="AX486" s="6" t="s">
        <v>929</v>
      </c>
      <c r="AY486" s="6" t="s">
        <v>930</v>
      </c>
      <c r="AZ486" s="6"/>
      <c r="BA486" s="6"/>
      <c r="BB486" s="6"/>
      <c r="BC486" s="6" t="s">
        <v>97</v>
      </c>
      <c r="BD486" s="6" t="s">
        <v>97</v>
      </c>
    </row>
    <row r="487" spans="1:56" ht="32" customHeight="1" x14ac:dyDescent="0.35">
      <c r="A487" s="13" t="s">
        <v>3791</v>
      </c>
      <c r="B487" s="6" t="s">
        <v>2114</v>
      </c>
      <c r="C487" s="5" t="s">
        <v>2115</v>
      </c>
      <c r="D487" s="5" t="s">
        <v>836</v>
      </c>
      <c r="E487" s="5" t="s">
        <v>3792</v>
      </c>
      <c r="F487" s="5" t="s">
        <v>1322</v>
      </c>
      <c r="G487" s="5" t="s">
        <v>459</v>
      </c>
      <c r="H487" s="5" t="s">
        <v>3793</v>
      </c>
      <c r="I487" s="5" t="s">
        <v>3794</v>
      </c>
      <c r="J487" s="17" t="s">
        <v>121</v>
      </c>
      <c r="K487" s="17" t="s">
        <v>181</v>
      </c>
      <c r="L487" s="5" t="s">
        <v>3795</v>
      </c>
      <c r="M487" s="6" t="s">
        <v>197</v>
      </c>
      <c r="N487" s="6" t="s">
        <v>812</v>
      </c>
      <c r="O487" s="6" t="s">
        <v>121</v>
      </c>
      <c r="P487" s="5" t="s">
        <v>918</v>
      </c>
      <c r="Q487" s="17" t="s">
        <v>182</v>
      </c>
      <c r="R487" s="5"/>
      <c r="S487" s="6" t="s">
        <v>1061</v>
      </c>
      <c r="T487" s="5" t="s">
        <v>1062</v>
      </c>
      <c r="U487" s="6"/>
      <c r="V487" s="6" t="s">
        <v>1055</v>
      </c>
      <c r="W487" s="6" t="s">
        <v>333</v>
      </c>
      <c r="X487" s="5" t="s">
        <v>922</v>
      </c>
      <c r="Y487" s="5" t="s">
        <v>812</v>
      </c>
      <c r="Z487" s="5" t="str">
        <f t="shared" si="14"/>
        <v>Medium</v>
      </c>
      <c r="AA487" s="5" t="s">
        <v>956</v>
      </c>
      <c r="AB487" s="6" t="s">
        <v>924</v>
      </c>
      <c r="AC487" s="6" t="s">
        <v>103</v>
      </c>
      <c r="AD487" s="5" t="s">
        <v>925</v>
      </c>
      <c r="AE487" s="5" t="s">
        <v>354</v>
      </c>
      <c r="AF487" s="5" t="s">
        <v>354</v>
      </c>
      <c r="AG487" s="5" t="s">
        <v>354</v>
      </c>
      <c r="AH487" s="5" t="s">
        <v>354</v>
      </c>
      <c r="AI487" s="6" t="str">
        <f t="shared" si="15"/>
        <v>No</v>
      </c>
      <c r="AJ487" s="6" t="s">
        <v>926</v>
      </c>
      <c r="AK487" s="6" t="s">
        <v>121</v>
      </c>
      <c r="AL487" s="6">
        <f>MATCH(AA487,{"Low","Medium","High"},0)*MATCH(AB487,{"Low","Medium","High"},0)*INDEX({3,2,2,1,1},MATCH(X487,{"Core","Vertical extension","Differentiator","Future","Adjacent"},0))</f>
        <v>6</v>
      </c>
      <c r="AM487" s="5"/>
      <c r="AN487" s="5"/>
      <c r="AO487" s="5"/>
      <c r="AP487" s="5"/>
      <c r="AQ487" s="5"/>
      <c r="AR487" s="5"/>
      <c r="AS487" s="5"/>
      <c r="AT487" s="5"/>
      <c r="AU487" s="6" t="s">
        <v>927</v>
      </c>
      <c r="AV487" s="6" t="s">
        <v>1322</v>
      </c>
      <c r="AW487" s="6" t="s">
        <v>1322</v>
      </c>
      <c r="AX487" s="6" t="s">
        <v>929</v>
      </c>
      <c r="AY487" s="6" t="s">
        <v>930</v>
      </c>
      <c r="AZ487" s="6"/>
      <c r="BA487" s="6"/>
      <c r="BB487" s="6"/>
      <c r="BC487" s="6" t="s">
        <v>97</v>
      </c>
      <c r="BD487" s="6" t="s">
        <v>97</v>
      </c>
    </row>
    <row r="488" spans="1:56" ht="32" customHeight="1" x14ac:dyDescent="0.35">
      <c r="A488" s="13" t="s">
        <v>3796</v>
      </c>
      <c r="B488" s="6" t="s">
        <v>2114</v>
      </c>
      <c r="C488" s="5" t="s">
        <v>2115</v>
      </c>
      <c r="D488" s="5" t="s">
        <v>836</v>
      </c>
      <c r="E488" s="5" t="s">
        <v>3797</v>
      </c>
      <c r="F488" s="5" t="s">
        <v>1322</v>
      </c>
      <c r="G488" s="5" t="s">
        <v>1710</v>
      </c>
      <c r="H488" s="5" t="s">
        <v>3798</v>
      </c>
      <c r="I488" s="5" t="s">
        <v>3799</v>
      </c>
      <c r="J488" s="17" t="s">
        <v>121</v>
      </c>
      <c r="K488" s="17" t="s">
        <v>181</v>
      </c>
      <c r="L488" s="5" t="s">
        <v>3800</v>
      </c>
      <c r="M488" s="6" t="s">
        <v>197</v>
      </c>
      <c r="N488" s="6" t="s">
        <v>812</v>
      </c>
      <c r="O488" s="6" t="s">
        <v>121</v>
      </c>
      <c r="P488" s="5" t="s">
        <v>918</v>
      </c>
      <c r="Q488" s="17" t="s">
        <v>182</v>
      </c>
      <c r="R488" s="5"/>
      <c r="S488" s="6" t="s">
        <v>1061</v>
      </c>
      <c r="T488" s="5" t="s">
        <v>1062</v>
      </c>
      <c r="U488" s="6"/>
      <c r="V488" s="6" t="s">
        <v>1055</v>
      </c>
      <c r="W488" s="6" t="s">
        <v>333</v>
      </c>
      <c r="X488" s="5" t="s">
        <v>922</v>
      </c>
      <c r="Y488" s="5" t="s">
        <v>812</v>
      </c>
      <c r="Z488" s="5" t="str">
        <f t="shared" si="14"/>
        <v>Medium</v>
      </c>
      <c r="AA488" s="5" t="s">
        <v>956</v>
      </c>
      <c r="AB488" s="6" t="s">
        <v>924</v>
      </c>
      <c r="AC488" s="6" t="s">
        <v>103</v>
      </c>
      <c r="AD488" s="5" t="s">
        <v>925</v>
      </c>
      <c r="AE488" s="5" t="s">
        <v>354</v>
      </c>
      <c r="AF488" s="5" t="s">
        <v>354</v>
      </c>
      <c r="AG488" s="5" t="s">
        <v>354</v>
      </c>
      <c r="AH488" s="5" t="s">
        <v>354</v>
      </c>
      <c r="AI488" s="6" t="str">
        <f t="shared" si="15"/>
        <v>No</v>
      </c>
      <c r="AJ488" s="6" t="s">
        <v>926</v>
      </c>
      <c r="AK488" s="6" t="s">
        <v>121</v>
      </c>
      <c r="AL488" s="6">
        <f>MATCH(AA488,{"Low","Medium","High"},0)*MATCH(AB488,{"Low","Medium","High"},0)*INDEX({3,2,2,1,1},MATCH(X488,{"Core","Vertical extension","Differentiator","Future","Adjacent"},0))</f>
        <v>6</v>
      </c>
      <c r="AM488" s="5"/>
      <c r="AN488" s="5"/>
      <c r="AO488" s="5"/>
      <c r="AP488" s="5"/>
      <c r="AQ488" s="5"/>
      <c r="AR488" s="5"/>
      <c r="AS488" s="5"/>
      <c r="AT488" s="5"/>
      <c r="AU488" s="6" t="s">
        <v>927</v>
      </c>
      <c r="AV488" s="6" t="s">
        <v>1322</v>
      </c>
      <c r="AW488" s="6" t="s">
        <v>1322</v>
      </c>
      <c r="AX488" s="6" t="s">
        <v>929</v>
      </c>
      <c r="AY488" s="6" t="s">
        <v>930</v>
      </c>
      <c r="AZ488" s="6"/>
      <c r="BA488" s="6"/>
      <c r="BB488" s="6"/>
      <c r="BC488" s="6" t="s">
        <v>97</v>
      </c>
      <c r="BD488" s="6" t="s">
        <v>97</v>
      </c>
    </row>
    <row r="489" spans="1:56" ht="32" customHeight="1" x14ac:dyDescent="0.35">
      <c r="A489" s="13" t="s">
        <v>3801</v>
      </c>
      <c r="B489" s="6" t="s">
        <v>2114</v>
      </c>
      <c r="C489" s="5" t="s">
        <v>2115</v>
      </c>
      <c r="D489" s="5" t="s">
        <v>836</v>
      </c>
      <c r="E489" s="5" t="s">
        <v>3802</v>
      </c>
      <c r="F489" s="5" t="s">
        <v>1322</v>
      </c>
      <c r="G489" s="5" t="s">
        <v>1347</v>
      </c>
      <c r="H489" s="5" t="s">
        <v>3803</v>
      </c>
      <c r="I489" s="5" t="s">
        <v>3804</v>
      </c>
      <c r="J489" s="17" t="s">
        <v>121</v>
      </c>
      <c r="K489" s="17" t="s">
        <v>181</v>
      </c>
      <c r="L489" s="5" t="s">
        <v>3805</v>
      </c>
      <c r="M489" s="6" t="s">
        <v>197</v>
      </c>
      <c r="N489" s="6" t="s">
        <v>812</v>
      </c>
      <c r="O489" s="6" t="s">
        <v>121</v>
      </c>
      <c r="P489" s="5" t="s">
        <v>918</v>
      </c>
      <c r="Q489" s="17" t="s">
        <v>182</v>
      </c>
      <c r="R489" s="5"/>
      <c r="S489" s="6" t="s">
        <v>1061</v>
      </c>
      <c r="T489" s="5" t="s">
        <v>1062</v>
      </c>
      <c r="U489" s="6"/>
      <c r="V489" s="6" t="s">
        <v>1055</v>
      </c>
      <c r="W489" s="6" t="s">
        <v>333</v>
      </c>
      <c r="X489" s="5" t="s">
        <v>922</v>
      </c>
      <c r="Y489" s="5" t="s">
        <v>812</v>
      </c>
      <c r="Z489" s="5" t="str">
        <f t="shared" si="14"/>
        <v>Medium</v>
      </c>
      <c r="AA489" s="5" t="s">
        <v>956</v>
      </c>
      <c r="AB489" s="6" t="s">
        <v>924</v>
      </c>
      <c r="AC489" s="6" t="s">
        <v>103</v>
      </c>
      <c r="AD489" s="5" t="s">
        <v>925</v>
      </c>
      <c r="AE489" s="5" t="s">
        <v>354</v>
      </c>
      <c r="AF489" s="5" t="s">
        <v>354</v>
      </c>
      <c r="AG489" s="5" t="s">
        <v>354</v>
      </c>
      <c r="AH489" s="5" t="s">
        <v>354</v>
      </c>
      <c r="AI489" s="6" t="str">
        <f t="shared" si="15"/>
        <v>No</v>
      </c>
      <c r="AJ489" s="6" t="s">
        <v>926</v>
      </c>
      <c r="AK489" s="6" t="s">
        <v>121</v>
      </c>
      <c r="AL489" s="6">
        <f>MATCH(AA489,{"Low","Medium","High"},0)*MATCH(AB489,{"Low","Medium","High"},0)*INDEX({3,2,2,1,1},MATCH(X489,{"Core","Vertical extension","Differentiator","Future","Adjacent"},0))</f>
        <v>6</v>
      </c>
      <c r="AM489" s="5"/>
      <c r="AN489" s="5"/>
      <c r="AO489" s="5"/>
      <c r="AP489" s="5"/>
      <c r="AQ489" s="5"/>
      <c r="AR489" s="5"/>
      <c r="AS489" s="5"/>
      <c r="AT489" s="5"/>
      <c r="AU489" s="6" t="s">
        <v>927</v>
      </c>
      <c r="AV489" s="6" t="s">
        <v>1322</v>
      </c>
      <c r="AW489" s="6" t="s">
        <v>1322</v>
      </c>
      <c r="AX489" s="6" t="s">
        <v>929</v>
      </c>
      <c r="AY489" s="6" t="s">
        <v>930</v>
      </c>
      <c r="AZ489" s="6"/>
      <c r="BA489" s="6"/>
      <c r="BB489" s="6"/>
      <c r="BC489" s="6" t="s">
        <v>97</v>
      </c>
      <c r="BD489" s="6" t="s">
        <v>97</v>
      </c>
    </row>
    <row r="490" spans="1:56" ht="32" customHeight="1" x14ac:dyDescent="0.35">
      <c r="A490" s="13" t="s">
        <v>3806</v>
      </c>
      <c r="B490" s="6" t="s">
        <v>2114</v>
      </c>
      <c r="C490" s="5" t="s">
        <v>2115</v>
      </c>
      <c r="D490" s="5" t="s">
        <v>836</v>
      </c>
      <c r="E490" s="5" t="s">
        <v>3807</v>
      </c>
      <c r="F490" s="5" t="s">
        <v>1322</v>
      </c>
      <c r="G490" s="5" t="s">
        <v>1537</v>
      </c>
      <c r="H490" s="5" t="s">
        <v>3808</v>
      </c>
      <c r="I490" s="5" t="s">
        <v>3809</v>
      </c>
      <c r="J490" s="17" t="s">
        <v>121</v>
      </c>
      <c r="K490" s="17" t="s">
        <v>181</v>
      </c>
      <c r="L490" s="5" t="s">
        <v>3810</v>
      </c>
      <c r="M490" s="6" t="s">
        <v>197</v>
      </c>
      <c r="N490" s="6" t="s">
        <v>812</v>
      </c>
      <c r="O490" s="6" t="s">
        <v>121</v>
      </c>
      <c r="P490" s="5" t="s">
        <v>918</v>
      </c>
      <c r="Q490" s="17" t="s">
        <v>182</v>
      </c>
      <c r="R490" s="5"/>
      <c r="S490" s="6" t="s">
        <v>1061</v>
      </c>
      <c r="T490" s="5" t="s">
        <v>1062</v>
      </c>
      <c r="U490" s="6"/>
      <c r="V490" s="6" t="s">
        <v>1055</v>
      </c>
      <c r="W490" s="6" t="s">
        <v>333</v>
      </c>
      <c r="X490" s="5" t="s">
        <v>922</v>
      </c>
      <c r="Y490" s="5" t="s">
        <v>812</v>
      </c>
      <c r="Z490" s="5" t="str">
        <f t="shared" si="14"/>
        <v>Medium</v>
      </c>
      <c r="AA490" s="5" t="s">
        <v>956</v>
      </c>
      <c r="AB490" s="6" t="s">
        <v>924</v>
      </c>
      <c r="AC490" s="6" t="s">
        <v>103</v>
      </c>
      <c r="AD490" s="5" t="s">
        <v>925</v>
      </c>
      <c r="AE490" s="5" t="s">
        <v>354</v>
      </c>
      <c r="AF490" s="5" t="s">
        <v>354</v>
      </c>
      <c r="AG490" s="5" t="s">
        <v>354</v>
      </c>
      <c r="AH490" s="5" t="s">
        <v>354</v>
      </c>
      <c r="AI490" s="6" t="str">
        <f t="shared" si="15"/>
        <v>No</v>
      </c>
      <c r="AJ490" s="6" t="s">
        <v>926</v>
      </c>
      <c r="AK490" s="6" t="s">
        <v>121</v>
      </c>
      <c r="AL490" s="6">
        <f>MATCH(AA490,{"Low","Medium","High"},0)*MATCH(AB490,{"Low","Medium","High"},0)*INDEX({3,2,2,1,1},MATCH(X490,{"Core","Vertical extension","Differentiator","Future","Adjacent"},0))</f>
        <v>6</v>
      </c>
      <c r="AM490" s="5"/>
      <c r="AN490" s="5"/>
      <c r="AO490" s="5"/>
      <c r="AP490" s="5"/>
      <c r="AQ490" s="5"/>
      <c r="AR490" s="5"/>
      <c r="AS490" s="5"/>
      <c r="AT490" s="5"/>
      <c r="AU490" s="6" t="s">
        <v>927</v>
      </c>
      <c r="AV490" s="6" t="s">
        <v>1322</v>
      </c>
      <c r="AW490" s="6" t="s">
        <v>1322</v>
      </c>
      <c r="AX490" s="6" t="s">
        <v>929</v>
      </c>
      <c r="AY490" s="6" t="s">
        <v>930</v>
      </c>
      <c r="AZ490" s="6"/>
      <c r="BA490" s="6" t="s">
        <v>2380</v>
      </c>
      <c r="BB490" s="6" t="s">
        <v>2381</v>
      </c>
      <c r="BC490" s="6" t="s">
        <v>97</v>
      </c>
      <c r="BD490" s="6" t="s">
        <v>97</v>
      </c>
    </row>
    <row r="491" spans="1:56" ht="32" customHeight="1" x14ac:dyDescent="0.35">
      <c r="A491" s="13" t="s">
        <v>3811</v>
      </c>
      <c r="B491" s="6" t="s">
        <v>2114</v>
      </c>
      <c r="C491" s="5" t="s">
        <v>2115</v>
      </c>
      <c r="D491" s="5" t="s">
        <v>836</v>
      </c>
      <c r="E491" s="5" t="s">
        <v>3812</v>
      </c>
      <c r="F491" s="5" t="s">
        <v>1452</v>
      </c>
      <c r="G491" s="5" t="s">
        <v>1912</v>
      </c>
      <c r="H491" s="5" t="s">
        <v>3813</v>
      </c>
      <c r="I491" s="5" t="s">
        <v>3814</v>
      </c>
      <c r="J491" s="17" t="s">
        <v>121</v>
      </c>
      <c r="K491" s="17" t="s">
        <v>181</v>
      </c>
      <c r="L491" s="5" t="s">
        <v>3815</v>
      </c>
      <c r="M491" s="6" t="s">
        <v>197</v>
      </c>
      <c r="N491" s="6" t="s">
        <v>812</v>
      </c>
      <c r="O491" s="6" t="s">
        <v>121</v>
      </c>
      <c r="P491" s="5" t="s">
        <v>918</v>
      </c>
      <c r="Q491" s="17" t="s">
        <v>182</v>
      </c>
      <c r="R491" s="5"/>
      <c r="S491" s="6" t="s">
        <v>1061</v>
      </c>
      <c r="T491" s="5" t="s">
        <v>1062</v>
      </c>
      <c r="U491" s="6"/>
      <c r="V491" s="6" t="s">
        <v>1055</v>
      </c>
      <c r="W491" s="6" t="s">
        <v>333</v>
      </c>
      <c r="X491" s="5" t="s">
        <v>922</v>
      </c>
      <c r="Y491" s="5" t="s">
        <v>812</v>
      </c>
      <c r="Z491" s="5" t="str">
        <f t="shared" si="14"/>
        <v>Medium</v>
      </c>
      <c r="AA491" s="5" t="s">
        <v>956</v>
      </c>
      <c r="AB491" s="6" t="s">
        <v>924</v>
      </c>
      <c r="AC491" s="6" t="s">
        <v>103</v>
      </c>
      <c r="AD491" s="5" t="s">
        <v>925</v>
      </c>
      <c r="AE491" s="5" t="s">
        <v>354</v>
      </c>
      <c r="AF491" s="5" t="s">
        <v>354</v>
      </c>
      <c r="AG491" s="5" t="s">
        <v>354</v>
      </c>
      <c r="AH491" s="5" t="s">
        <v>354</v>
      </c>
      <c r="AI491" s="6" t="str">
        <f t="shared" si="15"/>
        <v>No</v>
      </c>
      <c r="AJ491" s="6" t="s">
        <v>926</v>
      </c>
      <c r="AK491" s="6" t="s">
        <v>121</v>
      </c>
      <c r="AL491" s="6">
        <f>MATCH(AA491,{"Low","Medium","High"},0)*MATCH(AB491,{"Low","Medium","High"},0)*INDEX({3,2,2,1,1},MATCH(X491,{"Core","Vertical extension","Differentiator","Future","Adjacent"},0))</f>
        <v>6</v>
      </c>
      <c r="AM491" s="5"/>
      <c r="AN491" s="5"/>
      <c r="AO491" s="5"/>
      <c r="AP491" s="5"/>
      <c r="AQ491" s="5"/>
      <c r="AR491" s="5"/>
      <c r="AS491" s="5"/>
      <c r="AT491" s="5"/>
      <c r="AU491" s="6" t="s">
        <v>927</v>
      </c>
      <c r="AV491" s="6" t="s">
        <v>55</v>
      </c>
      <c r="AW491" s="6" t="s">
        <v>55</v>
      </c>
      <c r="AX491" s="6" t="s">
        <v>929</v>
      </c>
      <c r="AY491" s="6" t="s">
        <v>930</v>
      </c>
      <c r="AZ491" s="6"/>
      <c r="BA491" s="6"/>
      <c r="BB491" s="6"/>
      <c r="BC491" s="6" t="s">
        <v>97</v>
      </c>
      <c r="BD491" s="6" t="s">
        <v>97</v>
      </c>
    </row>
    <row r="492" spans="1:56" ht="32" customHeight="1" x14ac:dyDescent="0.35">
      <c r="A492" s="13" t="s">
        <v>3816</v>
      </c>
      <c r="B492" s="6" t="s">
        <v>2114</v>
      </c>
      <c r="C492" s="5" t="s">
        <v>2115</v>
      </c>
      <c r="D492" s="5" t="s">
        <v>836</v>
      </c>
      <c r="E492" s="5" t="s">
        <v>3817</v>
      </c>
      <c r="F492" s="5" t="s">
        <v>1452</v>
      </c>
      <c r="G492" s="5" t="s">
        <v>1344</v>
      </c>
      <c r="H492" s="5" t="s">
        <v>3818</v>
      </c>
      <c r="I492" s="5" t="s">
        <v>3819</v>
      </c>
      <c r="J492" s="17" t="s">
        <v>121</v>
      </c>
      <c r="K492" s="17" t="s">
        <v>181</v>
      </c>
      <c r="L492" s="5" t="s">
        <v>3820</v>
      </c>
      <c r="M492" s="6" t="s">
        <v>197</v>
      </c>
      <c r="N492" s="6" t="s">
        <v>812</v>
      </c>
      <c r="O492" s="6" t="s">
        <v>121</v>
      </c>
      <c r="P492" s="5" t="s">
        <v>918</v>
      </c>
      <c r="Q492" s="17" t="s">
        <v>182</v>
      </c>
      <c r="R492" s="5"/>
      <c r="S492" s="6" t="s">
        <v>1061</v>
      </c>
      <c r="T492" s="5" t="s">
        <v>1062</v>
      </c>
      <c r="U492" s="6"/>
      <c r="V492" s="6" t="s">
        <v>1055</v>
      </c>
      <c r="W492" s="6" t="s">
        <v>333</v>
      </c>
      <c r="X492" s="5" t="s">
        <v>922</v>
      </c>
      <c r="Y492" s="5" t="s">
        <v>812</v>
      </c>
      <c r="Z492" s="5" t="str">
        <f t="shared" si="14"/>
        <v>Medium</v>
      </c>
      <c r="AA492" s="5" t="s">
        <v>956</v>
      </c>
      <c r="AB492" s="6" t="s">
        <v>924</v>
      </c>
      <c r="AC492" s="6" t="s">
        <v>103</v>
      </c>
      <c r="AD492" s="5" t="s">
        <v>925</v>
      </c>
      <c r="AE492" s="5" t="s">
        <v>354</v>
      </c>
      <c r="AF492" s="5" t="s">
        <v>354</v>
      </c>
      <c r="AG492" s="5" t="s">
        <v>354</v>
      </c>
      <c r="AH492" s="5" t="s">
        <v>354</v>
      </c>
      <c r="AI492" s="6" t="str">
        <f t="shared" si="15"/>
        <v>No</v>
      </c>
      <c r="AJ492" s="6" t="s">
        <v>926</v>
      </c>
      <c r="AK492" s="6" t="s">
        <v>121</v>
      </c>
      <c r="AL492" s="6">
        <f>MATCH(AA492,{"Low","Medium","High"},0)*MATCH(AB492,{"Low","Medium","High"},0)*INDEX({3,2,2,1,1},MATCH(X492,{"Core","Vertical extension","Differentiator","Future","Adjacent"},0))</f>
        <v>6</v>
      </c>
      <c r="AM492" s="5"/>
      <c r="AN492" s="5"/>
      <c r="AO492" s="5"/>
      <c r="AP492" s="5"/>
      <c r="AQ492" s="5"/>
      <c r="AR492" s="5"/>
      <c r="AS492" s="5"/>
      <c r="AT492" s="5"/>
      <c r="AU492" s="6" t="s">
        <v>927</v>
      </c>
      <c r="AV492" s="6" t="s">
        <v>55</v>
      </c>
      <c r="AW492" s="6" t="s">
        <v>55</v>
      </c>
      <c r="AX492" s="6" t="s">
        <v>929</v>
      </c>
      <c r="AY492" s="6" t="s">
        <v>930</v>
      </c>
      <c r="AZ492" s="6"/>
      <c r="BA492" s="6"/>
      <c r="BB492" s="6"/>
      <c r="BC492" s="6" t="s">
        <v>97</v>
      </c>
      <c r="BD492" s="6" t="s">
        <v>97</v>
      </c>
    </row>
    <row r="493" spans="1:56" ht="32" customHeight="1" x14ac:dyDescent="0.35">
      <c r="A493" s="13" t="s">
        <v>3821</v>
      </c>
      <c r="B493" s="6" t="s">
        <v>2114</v>
      </c>
      <c r="C493" s="5" t="s">
        <v>2115</v>
      </c>
      <c r="D493" s="5" t="s">
        <v>836</v>
      </c>
      <c r="E493" s="5" t="s">
        <v>3822</v>
      </c>
      <c r="F493" s="5" t="s">
        <v>1452</v>
      </c>
      <c r="G493" s="5" t="s">
        <v>457</v>
      </c>
      <c r="H493" s="5" t="s">
        <v>3823</v>
      </c>
      <c r="I493" s="5" t="s">
        <v>3824</v>
      </c>
      <c r="J493" s="17" t="s">
        <v>121</v>
      </c>
      <c r="K493" s="17" t="s">
        <v>181</v>
      </c>
      <c r="L493" s="5" t="s">
        <v>3825</v>
      </c>
      <c r="M493" s="6" t="s">
        <v>197</v>
      </c>
      <c r="N493" s="6" t="s">
        <v>812</v>
      </c>
      <c r="O493" s="6" t="s">
        <v>121</v>
      </c>
      <c r="P493" s="5" t="s">
        <v>918</v>
      </c>
      <c r="Q493" s="17" t="s">
        <v>182</v>
      </c>
      <c r="R493" s="5"/>
      <c r="S493" s="6" t="s">
        <v>1061</v>
      </c>
      <c r="T493" s="5" t="s">
        <v>1062</v>
      </c>
      <c r="U493" s="6"/>
      <c r="V493" s="6" t="s">
        <v>1055</v>
      </c>
      <c r="W493" s="6" t="s">
        <v>333</v>
      </c>
      <c r="X493" s="5" t="s">
        <v>922</v>
      </c>
      <c r="Y493" s="5" t="s">
        <v>812</v>
      </c>
      <c r="Z493" s="5" t="str">
        <f t="shared" si="14"/>
        <v>Medium</v>
      </c>
      <c r="AA493" s="5" t="s">
        <v>956</v>
      </c>
      <c r="AB493" s="6" t="s">
        <v>924</v>
      </c>
      <c r="AC493" s="6" t="s">
        <v>103</v>
      </c>
      <c r="AD493" s="5" t="s">
        <v>925</v>
      </c>
      <c r="AE493" s="5" t="s">
        <v>354</v>
      </c>
      <c r="AF493" s="5" t="s">
        <v>354</v>
      </c>
      <c r="AG493" s="5" t="s">
        <v>354</v>
      </c>
      <c r="AH493" s="5" t="s">
        <v>354</v>
      </c>
      <c r="AI493" s="6" t="str">
        <f t="shared" si="15"/>
        <v>No</v>
      </c>
      <c r="AJ493" s="6" t="s">
        <v>926</v>
      </c>
      <c r="AK493" s="6" t="s">
        <v>121</v>
      </c>
      <c r="AL493" s="6">
        <f>MATCH(AA493,{"Low","Medium","High"},0)*MATCH(AB493,{"Low","Medium","High"},0)*INDEX({3,2,2,1,1},MATCH(X493,{"Core","Vertical extension","Differentiator","Future","Adjacent"},0))</f>
        <v>6</v>
      </c>
      <c r="AM493" s="5"/>
      <c r="AN493" s="5"/>
      <c r="AO493" s="5"/>
      <c r="AP493" s="5"/>
      <c r="AQ493" s="5"/>
      <c r="AR493" s="5"/>
      <c r="AS493" s="5"/>
      <c r="AT493" s="5"/>
      <c r="AU493" s="6" t="s">
        <v>927</v>
      </c>
      <c r="AV493" s="6" t="s">
        <v>55</v>
      </c>
      <c r="AW493" s="6" t="s">
        <v>55</v>
      </c>
      <c r="AX493" s="6" t="s">
        <v>929</v>
      </c>
      <c r="AY493" s="6" t="s">
        <v>930</v>
      </c>
      <c r="AZ493" s="6"/>
      <c r="BA493" s="6"/>
      <c r="BB493" s="6"/>
      <c r="BC493" s="6" t="s">
        <v>97</v>
      </c>
      <c r="BD493" s="6" t="s">
        <v>97</v>
      </c>
    </row>
    <row r="494" spans="1:56" ht="32" customHeight="1" x14ac:dyDescent="0.35">
      <c r="A494" s="13" t="s">
        <v>3826</v>
      </c>
      <c r="B494" s="6" t="s">
        <v>2114</v>
      </c>
      <c r="C494" s="5" t="s">
        <v>2115</v>
      </c>
      <c r="D494" s="5" t="s">
        <v>836</v>
      </c>
      <c r="E494" s="5" t="s">
        <v>3827</v>
      </c>
      <c r="F494" s="5" t="s">
        <v>3828</v>
      </c>
      <c r="G494" s="5" t="s">
        <v>1459</v>
      </c>
      <c r="H494" s="5" t="s">
        <v>3829</v>
      </c>
      <c r="I494" s="5" t="s">
        <v>3830</v>
      </c>
      <c r="J494" s="17" t="s">
        <v>121</v>
      </c>
      <c r="K494" s="17" t="s">
        <v>181</v>
      </c>
      <c r="L494" s="5" t="s">
        <v>3831</v>
      </c>
      <c r="M494" s="6" t="s">
        <v>197</v>
      </c>
      <c r="N494" s="6" t="s">
        <v>812</v>
      </c>
      <c r="O494" s="6" t="s">
        <v>121</v>
      </c>
      <c r="P494" s="5" t="s">
        <v>918</v>
      </c>
      <c r="Q494" s="17" t="s">
        <v>182</v>
      </c>
      <c r="R494" s="5"/>
      <c r="S494" s="6" t="s">
        <v>1061</v>
      </c>
      <c r="T494" s="5" t="s">
        <v>1062</v>
      </c>
      <c r="U494" s="6"/>
      <c r="V494" s="6" t="s">
        <v>1055</v>
      </c>
      <c r="W494" s="6" t="s">
        <v>333</v>
      </c>
      <c r="X494" s="5" t="s">
        <v>922</v>
      </c>
      <c r="Y494" s="5" t="s">
        <v>812</v>
      </c>
      <c r="Z494" s="5" t="str">
        <f t="shared" si="14"/>
        <v>Medium</v>
      </c>
      <c r="AA494" s="5" t="s">
        <v>956</v>
      </c>
      <c r="AB494" s="6" t="s">
        <v>924</v>
      </c>
      <c r="AC494" s="6" t="s">
        <v>103</v>
      </c>
      <c r="AD494" s="5" t="s">
        <v>925</v>
      </c>
      <c r="AE494" s="5" t="s">
        <v>354</v>
      </c>
      <c r="AF494" s="5" t="s">
        <v>354</v>
      </c>
      <c r="AG494" s="5" t="s">
        <v>354</v>
      </c>
      <c r="AH494" s="5" t="s">
        <v>354</v>
      </c>
      <c r="AI494" s="6" t="str">
        <f t="shared" si="15"/>
        <v>No</v>
      </c>
      <c r="AJ494" s="6" t="s">
        <v>926</v>
      </c>
      <c r="AK494" s="6" t="s">
        <v>121</v>
      </c>
      <c r="AL494" s="6">
        <f>MATCH(AA494,{"Low","Medium","High"},0)*MATCH(AB494,{"Low","Medium","High"},0)*INDEX({3,2,2,1,1},MATCH(X494,{"Core","Vertical extension","Differentiator","Future","Adjacent"},0))</f>
        <v>6</v>
      </c>
      <c r="AM494" s="5"/>
      <c r="AN494" s="5"/>
      <c r="AO494" s="5"/>
      <c r="AP494" s="5"/>
      <c r="AQ494" s="5"/>
      <c r="AR494" s="5"/>
      <c r="AS494" s="5"/>
      <c r="AT494" s="5"/>
      <c r="AU494" s="6" t="s">
        <v>927</v>
      </c>
      <c r="AV494" s="6" t="s">
        <v>1390</v>
      </c>
      <c r="AW494" s="6" t="s">
        <v>1390</v>
      </c>
      <c r="AX494" s="6" t="s">
        <v>929</v>
      </c>
      <c r="AY494" s="6" t="s">
        <v>930</v>
      </c>
      <c r="AZ494" s="6"/>
      <c r="BA494" s="6" t="s">
        <v>3832</v>
      </c>
      <c r="BB494" s="6" t="s">
        <v>3833</v>
      </c>
      <c r="BC494" s="6" t="s">
        <v>97</v>
      </c>
      <c r="BD494" s="6" t="s">
        <v>97</v>
      </c>
    </row>
    <row r="495" spans="1:56" ht="32" customHeight="1" x14ac:dyDescent="0.35">
      <c r="A495" s="13" t="s">
        <v>3834</v>
      </c>
      <c r="B495" s="6" t="s">
        <v>2114</v>
      </c>
      <c r="C495" s="5" t="s">
        <v>2115</v>
      </c>
      <c r="D495" s="5" t="s">
        <v>836</v>
      </c>
      <c r="E495" s="5" t="s">
        <v>3835</v>
      </c>
      <c r="F495" s="5" t="s">
        <v>1452</v>
      </c>
      <c r="G495" s="5" t="s">
        <v>2094</v>
      </c>
      <c r="H495" s="5" t="s">
        <v>3836</v>
      </c>
      <c r="I495" s="5" t="s">
        <v>3837</v>
      </c>
      <c r="J495" s="17" t="s">
        <v>121</v>
      </c>
      <c r="K495" s="17" t="s">
        <v>181</v>
      </c>
      <c r="L495" s="5" t="s">
        <v>3838</v>
      </c>
      <c r="M495" s="6" t="s">
        <v>197</v>
      </c>
      <c r="N495" s="6" t="s">
        <v>812</v>
      </c>
      <c r="O495" s="6" t="s">
        <v>121</v>
      </c>
      <c r="P495" s="5" t="s">
        <v>918</v>
      </c>
      <c r="Q495" s="17" t="s">
        <v>182</v>
      </c>
      <c r="R495" s="5"/>
      <c r="S495" s="6" t="s">
        <v>1061</v>
      </c>
      <c r="T495" s="5" t="s">
        <v>1062</v>
      </c>
      <c r="U495" s="6"/>
      <c r="V495" s="6" t="s">
        <v>1055</v>
      </c>
      <c r="W495" s="6" t="s">
        <v>333</v>
      </c>
      <c r="X495" s="5" t="s">
        <v>922</v>
      </c>
      <c r="Y495" s="5" t="s">
        <v>812</v>
      </c>
      <c r="Z495" s="5" t="str">
        <f t="shared" si="14"/>
        <v>Medium</v>
      </c>
      <c r="AA495" s="5" t="s">
        <v>956</v>
      </c>
      <c r="AB495" s="6" t="s">
        <v>924</v>
      </c>
      <c r="AC495" s="6" t="s">
        <v>103</v>
      </c>
      <c r="AD495" s="5" t="s">
        <v>925</v>
      </c>
      <c r="AE495" s="5" t="s">
        <v>354</v>
      </c>
      <c r="AF495" s="5" t="s">
        <v>354</v>
      </c>
      <c r="AG495" s="5" t="s">
        <v>354</v>
      </c>
      <c r="AH495" s="5" t="s">
        <v>354</v>
      </c>
      <c r="AI495" s="6" t="str">
        <f t="shared" si="15"/>
        <v>No</v>
      </c>
      <c r="AJ495" s="6" t="s">
        <v>926</v>
      </c>
      <c r="AK495" s="6" t="s">
        <v>121</v>
      </c>
      <c r="AL495" s="6">
        <f>MATCH(AA495,{"Low","Medium","High"},0)*MATCH(AB495,{"Low","Medium","High"},0)*INDEX({3,2,2,1,1},MATCH(X495,{"Core","Vertical extension","Differentiator","Future","Adjacent"},0))</f>
        <v>6</v>
      </c>
      <c r="AM495" s="5"/>
      <c r="AN495" s="5"/>
      <c r="AO495" s="5"/>
      <c r="AP495" s="5"/>
      <c r="AQ495" s="5"/>
      <c r="AR495" s="5"/>
      <c r="AS495" s="5"/>
      <c r="AT495" s="5"/>
      <c r="AU495" s="6" t="s">
        <v>927</v>
      </c>
      <c r="AV495" s="6" t="s">
        <v>55</v>
      </c>
      <c r="AW495" s="6" t="s">
        <v>55</v>
      </c>
      <c r="AX495" s="6" t="s">
        <v>929</v>
      </c>
      <c r="AY495" s="6" t="s">
        <v>930</v>
      </c>
      <c r="AZ495" s="6"/>
      <c r="BA495" s="6"/>
      <c r="BB495" s="6"/>
      <c r="BC495" s="6" t="s">
        <v>97</v>
      </c>
      <c r="BD495" s="6" t="s">
        <v>97</v>
      </c>
    </row>
    <row r="496" spans="1:56" ht="32" customHeight="1" x14ac:dyDescent="0.35">
      <c r="A496" s="13" t="s">
        <v>3839</v>
      </c>
      <c r="B496" s="6" t="s">
        <v>910</v>
      </c>
      <c r="C496" s="5" t="s">
        <v>3840</v>
      </c>
      <c r="D496" s="5" t="s">
        <v>843</v>
      </c>
      <c r="E496" s="5" t="s">
        <v>3841</v>
      </c>
      <c r="F496" s="5" t="s">
        <v>2001</v>
      </c>
      <c r="G496" s="5" t="s">
        <v>1300</v>
      </c>
      <c r="H496" s="5" t="s">
        <v>3842</v>
      </c>
      <c r="I496" s="5" t="s">
        <v>3843</v>
      </c>
      <c r="J496" s="17" t="s">
        <v>121</v>
      </c>
      <c r="K496" s="17" t="s">
        <v>181</v>
      </c>
      <c r="L496" s="5" t="s">
        <v>3844</v>
      </c>
      <c r="M496" s="6" t="s">
        <v>197</v>
      </c>
      <c r="N496" s="6" t="s">
        <v>809</v>
      </c>
      <c r="O496" s="6" t="s">
        <v>121</v>
      </c>
      <c r="P496" s="5" t="s">
        <v>918</v>
      </c>
      <c r="Q496" s="17" t="s">
        <v>182</v>
      </c>
      <c r="R496" s="5"/>
      <c r="S496" s="6" t="s">
        <v>3845</v>
      </c>
      <c r="T496" s="5" t="s">
        <v>3846</v>
      </c>
      <c r="U496" s="6"/>
      <c r="V496" s="6" t="s">
        <v>921</v>
      </c>
      <c r="W496" s="6" t="s">
        <v>331</v>
      </c>
      <c r="X496" s="5" t="s">
        <v>922</v>
      </c>
      <c r="Y496" s="5" t="s">
        <v>3847</v>
      </c>
      <c r="Z496" s="5" t="str">
        <f t="shared" si="14"/>
        <v>Medium</v>
      </c>
      <c r="AA496" s="5" t="s">
        <v>956</v>
      </c>
      <c r="AB496" s="6" t="s">
        <v>924</v>
      </c>
      <c r="AC496" s="6" t="s">
        <v>103</v>
      </c>
      <c r="AD496" s="5" t="s">
        <v>925</v>
      </c>
      <c r="AE496" s="5" t="s">
        <v>354</v>
      </c>
      <c r="AF496" s="5" t="s">
        <v>354</v>
      </c>
      <c r="AG496" s="5" t="s">
        <v>354</v>
      </c>
      <c r="AH496" s="5" t="s">
        <v>354</v>
      </c>
      <c r="AI496" s="6" t="str">
        <f t="shared" si="15"/>
        <v>No</v>
      </c>
      <c r="AJ496" s="6" t="s">
        <v>926</v>
      </c>
      <c r="AK496" s="6" t="s">
        <v>121</v>
      </c>
      <c r="AL496" s="6">
        <f>MATCH(AA496,{"Low","Medium","High"},0)*MATCH(AB496,{"Low","Medium","High"},0)*INDEX({3,2,2,1,1},MATCH(X496,{"Core","Vertical extension","Differentiator","Future","Adjacent"},0))</f>
        <v>6</v>
      </c>
      <c r="AM496" s="5"/>
      <c r="AN496" s="5"/>
      <c r="AO496" s="5"/>
      <c r="AP496" s="5"/>
      <c r="AQ496" s="5"/>
      <c r="AR496" s="5"/>
      <c r="AS496" s="5"/>
      <c r="AT496" s="5"/>
      <c r="AU496" s="6" t="s">
        <v>927</v>
      </c>
      <c r="AV496" s="6" t="s">
        <v>1306</v>
      </c>
      <c r="AW496" s="6" t="s">
        <v>1306</v>
      </c>
      <c r="AX496" s="6" t="s">
        <v>929</v>
      </c>
      <c r="AY496" s="6" t="s">
        <v>930</v>
      </c>
      <c r="AZ496" s="6"/>
      <c r="BA496" s="6"/>
      <c r="BB496" s="6"/>
      <c r="BC496" s="6" t="s">
        <v>97</v>
      </c>
      <c r="BD496" s="6" t="s">
        <v>97</v>
      </c>
    </row>
    <row r="497" spans="1:56" ht="32" customHeight="1" x14ac:dyDescent="0.35">
      <c r="A497" s="13" t="s">
        <v>3848</v>
      </c>
      <c r="B497" s="6" t="s">
        <v>910</v>
      </c>
      <c r="C497" s="5" t="s">
        <v>3840</v>
      </c>
      <c r="D497" s="5" t="s">
        <v>843</v>
      </c>
      <c r="E497" s="5" t="s">
        <v>3849</v>
      </c>
      <c r="F497" s="5" t="s">
        <v>2001</v>
      </c>
      <c r="G497" s="5" t="s">
        <v>951</v>
      </c>
      <c r="H497" s="5" t="s">
        <v>3850</v>
      </c>
      <c r="I497" s="5" t="s">
        <v>3851</v>
      </c>
      <c r="J497" s="19" t="s">
        <v>151</v>
      </c>
      <c r="K497" s="17" t="s">
        <v>181</v>
      </c>
      <c r="L497" s="5" t="s">
        <v>3852</v>
      </c>
      <c r="M497" s="6" t="s">
        <v>197</v>
      </c>
      <c r="N497" s="6" t="s">
        <v>809</v>
      </c>
      <c r="O497" s="6" t="s">
        <v>151</v>
      </c>
      <c r="P497" s="5" t="s">
        <v>918</v>
      </c>
      <c r="Q497" s="17" t="s">
        <v>182</v>
      </c>
      <c r="R497" s="5"/>
      <c r="S497" s="6" t="s">
        <v>3845</v>
      </c>
      <c r="T497" s="5" t="s">
        <v>3846</v>
      </c>
      <c r="U497" s="6"/>
      <c r="V497" s="6" t="s">
        <v>921</v>
      </c>
      <c r="W497" s="6" t="s">
        <v>331</v>
      </c>
      <c r="X497" s="5" t="s">
        <v>922</v>
      </c>
      <c r="Y497" s="5" t="s">
        <v>3847</v>
      </c>
      <c r="Z497" s="5" t="str">
        <f t="shared" si="14"/>
        <v>Medium</v>
      </c>
      <c r="AA497" s="5" t="s">
        <v>956</v>
      </c>
      <c r="AB497" s="6" t="s">
        <v>924</v>
      </c>
      <c r="AC497" s="6" t="s">
        <v>11</v>
      </c>
      <c r="AD497" s="5" t="s">
        <v>925</v>
      </c>
      <c r="AE497" s="5" t="s">
        <v>354</v>
      </c>
      <c r="AF497" s="5" t="s">
        <v>354</v>
      </c>
      <c r="AG497" s="5" t="s">
        <v>354</v>
      </c>
      <c r="AH497" s="5" t="s">
        <v>354</v>
      </c>
      <c r="AI497" s="6" t="str">
        <f t="shared" si="15"/>
        <v>No</v>
      </c>
      <c r="AJ497" s="6" t="s">
        <v>926</v>
      </c>
      <c r="AK497" s="6" t="s">
        <v>151</v>
      </c>
      <c r="AL497" s="6">
        <f>MATCH(AA497,{"Low","Medium","High"},0)*MATCH(AB497,{"Low","Medium","High"},0)*INDEX({3,2,2,1,1},MATCH(X497,{"Core","Vertical extension","Differentiator","Future","Adjacent"},0))</f>
        <v>6</v>
      </c>
      <c r="AM497" s="5"/>
      <c r="AN497" s="5"/>
      <c r="AO497" s="5"/>
      <c r="AP497" s="5"/>
      <c r="AQ497" s="5"/>
      <c r="AR497" s="5"/>
      <c r="AS497" s="5"/>
      <c r="AT497" s="5"/>
      <c r="AU497" s="6" t="s">
        <v>927</v>
      </c>
      <c r="AV497" s="6" t="s">
        <v>1306</v>
      </c>
      <c r="AW497" s="6" t="s">
        <v>1306</v>
      </c>
      <c r="AX497" s="6" t="s">
        <v>929</v>
      </c>
      <c r="AY497" s="6" t="s">
        <v>930</v>
      </c>
      <c r="AZ497" s="6"/>
      <c r="BA497" s="6"/>
      <c r="BB497" s="6"/>
      <c r="BC497" s="6" t="s">
        <v>97</v>
      </c>
      <c r="BD497" s="6" t="s">
        <v>97</v>
      </c>
    </row>
    <row r="498" spans="1:56" ht="32" customHeight="1" x14ac:dyDescent="0.35">
      <c r="A498" s="13" t="s">
        <v>3853</v>
      </c>
      <c r="B498" s="6" t="s">
        <v>910</v>
      </c>
      <c r="C498" s="5" t="s">
        <v>3840</v>
      </c>
      <c r="D498" s="5" t="s">
        <v>843</v>
      </c>
      <c r="E498" s="5" t="s">
        <v>3854</v>
      </c>
      <c r="F498" s="5" t="s">
        <v>2001</v>
      </c>
      <c r="G498" s="5" t="s">
        <v>3855</v>
      </c>
      <c r="H498" s="5" t="s">
        <v>3856</v>
      </c>
      <c r="I498" s="5" t="s">
        <v>3857</v>
      </c>
      <c r="J498" s="17" t="s">
        <v>121</v>
      </c>
      <c r="K498" s="17" t="s">
        <v>181</v>
      </c>
      <c r="L498" s="5" t="s">
        <v>3858</v>
      </c>
      <c r="M498" s="6" t="s">
        <v>197</v>
      </c>
      <c r="N498" s="6" t="s">
        <v>809</v>
      </c>
      <c r="O498" s="6" t="s">
        <v>121</v>
      </c>
      <c r="P498" s="5" t="s">
        <v>918</v>
      </c>
      <c r="Q498" s="17" t="s">
        <v>182</v>
      </c>
      <c r="R498" s="5"/>
      <c r="S498" s="6" t="s">
        <v>3845</v>
      </c>
      <c r="T498" s="5" t="s">
        <v>3846</v>
      </c>
      <c r="U498" s="6"/>
      <c r="V498" s="6" t="s">
        <v>921</v>
      </c>
      <c r="W498" s="6" t="s">
        <v>331</v>
      </c>
      <c r="X498" s="5" t="s">
        <v>922</v>
      </c>
      <c r="Y498" s="5" t="s">
        <v>3847</v>
      </c>
      <c r="Z498" s="5" t="str">
        <f t="shared" si="14"/>
        <v>Medium</v>
      </c>
      <c r="AA498" s="5" t="s">
        <v>956</v>
      </c>
      <c r="AB498" s="6" t="s">
        <v>924</v>
      </c>
      <c r="AC498" s="6" t="s">
        <v>103</v>
      </c>
      <c r="AD498" s="5" t="s">
        <v>925</v>
      </c>
      <c r="AE498" s="5" t="s">
        <v>354</v>
      </c>
      <c r="AF498" s="5" t="s">
        <v>354</v>
      </c>
      <c r="AG498" s="5" t="s">
        <v>354</v>
      </c>
      <c r="AH498" s="5" t="s">
        <v>354</v>
      </c>
      <c r="AI498" s="6" t="str">
        <f t="shared" si="15"/>
        <v>No</v>
      </c>
      <c r="AJ498" s="6" t="s">
        <v>926</v>
      </c>
      <c r="AK498" s="6" t="s">
        <v>121</v>
      </c>
      <c r="AL498" s="6">
        <f>MATCH(AA498,{"Low","Medium","High"},0)*MATCH(AB498,{"Low","Medium","High"},0)*INDEX({3,2,2,1,1},MATCH(X498,{"Core","Vertical extension","Differentiator","Future","Adjacent"},0))</f>
        <v>6</v>
      </c>
      <c r="AM498" s="5"/>
      <c r="AN498" s="5"/>
      <c r="AO498" s="5"/>
      <c r="AP498" s="5"/>
      <c r="AQ498" s="5"/>
      <c r="AR498" s="5"/>
      <c r="AS498" s="5"/>
      <c r="AT498" s="5"/>
      <c r="AU498" s="6" t="s">
        <v>927</v>
      </c>
      <c r="AV498" s="6" t="s">
        <v>1306</v>
      </c>
      <c r="AW498" s="6" t="s">
        <v>1306</v>
      </c>
      <c r="AX498" s="6" t="s">
        <v>929</v>
      </c>
      <c r="AY498" s="6" t="s">
        <v>930</v>
      </c>
      <c r="AZ498" s="6"/>
      <c r="BA498" s="6"/>
      <c r="BB498" s="6"/>
      <c r="BC498" s="6" t="s">
        <v>97</v>
      </c>
      <c r="BD498" s="6" t="s">
        <v>97</v>
      </c>
    </row>
    <row r="499" spans="1:56" ht="32" customHeight="1" x14ac:dyDescent="0.35">
      <c r="A499" s="13" t="s">
        <v>3859</v>
      </c>
      <c r="B499" s="6" t="s">
        <v>910</v>
      </c>
      <c r="C499" s="5" t="s">
        <v>3840</v>
      </c>
      <c r="D499" s="5" t="s">
        <v>843</v>
      </c>
      <c r="E499" s="5" t="s">
        <v>3860</v>
      </c>
      <c r="F499" s="5" t="s">
        <v>2001</v>
      </c>
      <c r="G499" s="5" t="s">
        <v>3855</v>
      </c>
      <c r="H499" s="5" t="s">
        <v>3861</v>
      </c>
      <c r="I499" s="5" t="s">
        <v>3862</v>
      </c>
      <c r="J499" s="17" t="s">
        <v>121</v>
      </c>
      <c r="K499" s="17" t="s">
        <v>181</v>
      </c>
      <c r="L499" s="5" t="s">
        <v>3863</v>
      </c>
      <c r="M499" s="6" t="s">
        <v>197</v>
      </c>
      <c r="N499" s="6" t="s">
        <v>809</v>
      </c>
      <c r="O499" s="6" t="s">
        <v>121</v>
      </c>
      <c r="P499" s="5" t="s">
        <v>918</v>
      </c>
      <c r="Q499" s="17" t="s">
        <v>182</v>
      </c>
      <c r="R499" s="5"/>
      <c r="S499" s="6" t="s">
        <v>3845</v>
      </c>
      <c r="T499" s="5" t="s">
        <v>3846</v>
      </c>
      <c r="U499" s="6"/>
      <c r="V499" s="6" t="s">
        <v>921</v>
      </c>
      <c r="W499" s="6" t="s">
        <v>331</v>
      </c>
      <c r="X499" s="5" t="s">
        <v>922</v>
      </c>
      <c r="Y499" s="5" t="s">
        <v>3847</v>
      </c>
      <c r="Z499" s="5" t="str">
        <f t="shared" si="14"/>
        <v>Medium</v>
      </c>
      <c r="AA499" s="5" t="s">
        <v>956</v>
      </c>
      <c r="AB499" s="6" t="s">
        <v>924</v>
      </c>
      <c r="AC499" s="6" t="s">
        <v>103</v>
      </c>
      <c r="AD499" s="5" t="s">
        <v>925</v>
      </c>
      <c r="AE499" s="5" t="s">
        <v>354</v>
      </c>
      <c r="AF499" s="5" t="s">
        <v>354</v>
      </c>
      <c r="AG499" s="5" t="s">
        <v>354</v>
      </c>
      <c r="AH499" s="5" t="s">
        <v>354</v>
      </c>
      <c r="AI499" s="6" t="str">
        <f t="shared" si="15"/>
        <v>No</v>
      </c>
      <c r="AJ499" s="6" t="s">
        <v>926</v>
      </c>
      <c r="AK499" s="6" t="s">
        <v>121</v>
      </c>
      <c r="AL499" s="6">
        <f>MATCH(AA499,{"Low","Medium","High"},0)*MATCH(AB499,{"Low","Medium","High"},0)*INDEX({3,2,2,1,1},MATCH(X499,{"Core","Vertical extension","Differentiator","Future","Adjacent"},0))</f>
        <v>6</v>
      </c>
      <c r="AM499" s="5"/>
      <c r="AN499" s="5"/>
      <c r="AO499" s="5"/>
      <c r="AP499" s="5"/>
      <c r="AQ499" s="5"/>
      <c r="AR499" s="5"/>
      <c r="AS499" s="5"/>
      <c r="AT499" s="5"/>
      <c r="AU499" s="6" t="s">
        <v>927</v>
      </c>
      <c r="AV499" s="6" t="s">
        <v>1306</v>
      </c>
      <c r="AW499" s="6" t="s">
        <v>1306</v>
      </c>
      <c r="AX499" s="6" t="s">
        <v>929</v>
      </c>
      <c r="AY499" s="6" t="s">
        <v>930</v>
      </c>
      <c r="AZ499" s="6"/>
      <c r="BA499" s="6"/>
      <c r="BB499" s="6"/>
      <c r="BC499" s="6" t="s">
        <v>97</v>
      </c>
      <c r="BD499" s="6" t="s">
        <v>97</v>
      </c>
    </row>
    <row r="500" spans="1:56" ht="32" customHeight="1" x14ac:dyDescent="0.35">
      <c r="A500" s="13" t="s">
        <v>3864</v>
      </c>
      <c r="B500" s="6" t="s">
        <v>910</v>
      </c>
      <c r="C500" s="5" t="s">
        <v>3840</v>
      </c>
      <c r="D500" s="5" t="s">
        <v>843</v>
      </c>
      <c r="E500" s="5" t="s">
        <v>3865</v>
      </c>
      <c r="F500" s="5" t="s">
        <v>2001</v>
      </c>
      <c r="G500" s="5" t="s">
        <v>3855</v>
      </c>
      <c r="H500" s="5" t="s">
        <v>3866</v>
      </c>
      <c r="I500" s="5" t="s">
        <v>3867</v>
      </c>
      <c r="J500" s="17" t="s">
        <v>121</v>
      </c>
      <c r="K500" s="17" t="s">
        <v>181</v>
      </c>
      <c r="L500" s="5" t="s">
        <v>3868</v>
      </c>
      <c r="M500" s="6" t="s">
        <v>197</v>
      </c>
      <c r="N500" s="6" t="s">
        <v>809</v>
      </c>
      <c r="O500" s="6" t="s">
        <v>121</v>
      </c>
      <c r="P500" s="5" t="s">
        <v>918</v>
      </c>
      <c r="Q500" s="17" t="s">
        <v>182</v>
      </c>
      <c r="R500" s="5"/>
      <c r="S500" s="6" t="s">
        <v>3845</v>
      </c>
      <c r="T500" s="5" t="s">
        <v>3846</v>
      </c>
      <c r="U500" s="6"/>
      <c r="V500" s="6" t="s">
        <v>921</v>
      </c>
      <c r="W500" s="6" t="s">
        <v>331</v>
      </c>
      <c r="X500" s="5" t="s">
        <v>922</v>
      </c>
      <c r="Y500" s="5" t="s">
        <v>3847</v>
      </c>
      <c r="Z500" s="5" t="str">
        <f t="shared" si="14"/>
        <v>Medium</v>
      </c>
      <c r="AA500" s="5" t="s">
        <v>956</v>
      </c>
      <c r="AB500" s="6" t="s">
        <v>924</v>
      </c>
      <c r="AC500" s="6" t="s">
        <v>103</v>
      </c>
      <c r="AD500" s="5" t="s">
        <v>925</v>
      </c>
      <c r="AE500" s="5" t="s">
        <v>354</v>
      </c>
      <c r="AF500" s="5" t="s">
        <v>354</v>
      </c>
      <c r="AG500" s="5" t="s">
        <v>354</v>
      </c>
      <c r="AH500" s="5" t="s">
        <v>354</v>
      </c>
      <c r="AI500" s="6" t="str">
        <f t="shared" si="15"/>
        <v>No</v>
      </c>
      <c r="AJ500" s="6" t="s">
        <v>926</v>
      </c>
      <c r="AK500" s="6" t="s">
        <v>121</v>
      </c>
      <c r="AL500" s="6">
        <f>MATCH(AA500,{"Low","Medium","High"},0)*MATCH(AB500,{"Low","Medium","High"},0)*INDEX({3,2,2,1,1},MATCH(X500,{"Core","Vertical extension","Differentiator","Future","Adjacent"},0))</f>
        <v>6</v>
      </c>
      <c r="AM500" s="5"/>
      <c r="AN500" s="5"/>
      <c r="AO500" s="5"/>
      <c r="AP500" s="5"/>
      <c r="AQ500" s="5"/>
      <c r="AR500" s="5"/>
      <c r="AS500" s="5"/>
      <c r="AT500" s="5"/>
      <c r="AU500" s="6" t="s">
        <v>927</v>
      </c>
      <c r="AV500" s="6" t="s">
        <v>1306</v>
      </c>
      <c r="AW500" s="6" t="s">
        <v>1306</v>
      </c>
      <c r="AX500" s="6" t="s">
        <v>929</v>
      </c>
      <c r="AY500" s="6" t="s">
        <v>930</v>
      </c>
      <c r="AZ500" s="6"/>
      <c r="BA500" s="6"/>
      <c r="BB500" s="6"/>
      <c r="BC500" s="6" t="s">
        <v>97</v>
      </c>
      <c r="BD500" s="6" t="s">
        <v>97</v>
      </c>
    </row>
    <row r="501" spans="1:56" ht="32" customHeight="1" x14ac:dyDescent="0.35">
      <c r="A501" s="13" t="s">
        <v>3869</v>
      </c>
      <c r="B501" s="6" t="s">
        <v>910</v>
      </c>
      <c r="C501" s="5" t="s">
        <v>3840</v>
      </c>
      <c r="D501" s="5" t="s">
        <v>843</v>
      </c>
      <c r="E501" s="5" t="s">
        <v>3870</v>
      </c>
      <c r="F501" s="5" t="s">
        <v>2001</v>
      </c>
      <c r="G501" s="5" t="s">
        <v>1017</v>
      </c>
      <c r="H501" s="5" t="s">
        <v>3871</v>
      </c>
      <c r="I501" s="5" t="s">
        <v>3872</v>
      </c>
      <c r="J501" s="17" t="s">
        <v>121</v>
      </c>
      <c r="K501" s="17" t="s">
        <v>181</v>
      </c>
      <c r="L501" s="5" t="s">
        <v>3873</v>
      </c>
      <c r="M501" s="6" t="s">
        <v>197</v>
      </c>
      <c r="N501" s="6" t="s">
        <v>809</v>
      </c>
      <c r="O501" s="6" t="s">
        <v>121</v>
      </c>
      <c r="P501" s="5" t="s">
        <v>918</v>
      </c>
      <c r="Q501" s="17" t="s">
        <v>182</v>
      </c>
      <c r="R501" s="5"/>
      <c r="S501" s="6" t="s">
        <v>3845</v>
      </c>
      <c r="T501" s="5" t="s">
        <v>3846</v>
      </c>
      <c r="U501" s="6"/>
      <c r="V501" s="6" t="s">
        <v>921</v>
      </c>
      <c r="W501" s="6" t="s">
        <v>331</v>
      </c>
      <c r="X501" s="5" t="s">
        <v>922</v>
      </c>
      <c r="Y501" s="5" t="s">
        <v>3847</v>
      </c>
      <c r="Z501" s="5" t="str">
        <f t="shared" si="14"/>
        <v>Medium</v>
      </c>
      <c r="AA501" s="5" t="s">
        <v>956</v>
      </c>
      <c r="AB501" s="6" t="s">
        <v>924</v>
      </c>
      <c r="AC501" s="6" t="s">
        <v>103</v>
      </c>
      <c r="AD501" s="5" t="s">
        <v>925</v>
      </c>
      <c r="AE501" s="5" t="s">
        <v>354</v>
      </c>
      <c r="AF501" s="5" t="s">
        <v>354</v>
      </c>
      <c r="AG501" s="5" t="s">
        <v>354</v>
      </c>
      <c r="AH501" s="5" t="s">
        <v>354</v>
      </c>
      <c r="AI501" s="6" t="str">
        <f t="shared" si="15"/>
        <v>No</v>
      </c>
      <c r="AJ501" s="6" t="s">
        <v>926</v>
      </c>
      <c r="AK501" s="6" t="s">
        <v>121</v>
      </c>
      <c r="AL501" s="6">
        <f>MATCH(AA501,{"Low","Medium","High"},0)*MATCH(AB501,{"Low","Medium","High"},0)*INDEX({3,2,2,1,1},MATCH(X501,{"Core","Vertical extension","Differentiator","Future","Adjacent"},0))</f>
        <v>6</v>
      </c>
      <c r="AM501" s="5"/>
      <c r="AN501" s="5"/>
      <c r="AO501" s="5"/>
      <c r="AP501" s="5"/>
      <c r="AQ501" s="5"/>
      <c r="AR501" s="5"/>
      <c r="AS501" s="5"/>
      <c r="AT501" s="5"/>
      <c r="AU501" s="6" t="s">
        <v>927</v>
      </c>
      <c r="AV501" s="6" t="s">
        <v>1306</v>
      </c>
      <c r="AW501" s="6" t="s">
        <v>1306</v>
      </c>
      <c r="AX501" s="6" t="s">
        <v>929</v>
      </c>
      <c r="AY501" s="6" t="s">
        <v>930</v>
      </c>
      <c r="AZ501" s="6"/>
      <c r="BA501" s="6"/>
      <c r="BB501" s="6"/>
      <c r="BC501" s="6" t="s">
        <v>97</v>
      </c>
      <c r="BD501" s="6" t="s">
        <v>97</v>
      </c>
    </row>
    <row r="502" spans="1:56" ht="32" customHeight="1" x14ac:dyDescent="0.35">
      <c r="A502" s="13" t="s">
        <v>3874</v>
      </c>
      <c r="B502" s="6" t="s">
        <v>910</v>
      </c>
      <c r="C502" s="5" t="s">
        <v>3840</v>
      </c>
      <c r="D502" s="5" t="s">
        <v>843</v>
      </c>
      <c r="E502" s="5" t="s">
        <v>3875</v>
      </c>
      <c r="F502" s="5" t="s">
        <v>2001</v>
      </c>
      <c r="G502" s="5" t="s">
        <v>3876</v>
      </c>
      <c r="H502" s="5" t="s">
        <v>3877</v>
      </c>
      <c r="I502" s="5" t="s">
        <v>3878</v>
      </c>
      <c r="J502" s="17" t="s">
        <v>121</v>
      </c>
      <c r="K502" s="17" t="s">
        <v>181</v>
      </c>
      <c r="L502" s="5" t="s">
        <v>3879</v>
      </c>
      <c r="M502" s="6" t="s">
        <v>197</v>
      </c>
      <c r="N502" s="6" t="s">
        <v>809</v>
      </c>
      <c r="O502" s="6" t="s">
        <v>121</v>
      </c>
      <c r="P502" s="5" t="s">
        <v>918</v>
      </c>
      <c r="Q502" s="17" t="s">
        <v>182</v>
      </c>
      <c r="R502" s="5"/>
      <c r="S502" s="6" t="s">
        <v>3845</v>
      </c>
      <c r="T502" s="5" t="s">
        <v>3846</v>
      </c>
      <c r="U502" s="6"/>
      <c r="V502" s="6" t="s">
        <v>921</v>
      </c>
      <c r="W502" s="6" t="s">
        <v>331</v>
      </c>
      <c r="X502" s="5" t="s">
        <v>922</v>
      </c>
      <c r="Y502" s="5" t="s">
        <v>3847</v>
      </c>
      <c r="Z502" s="5" t="str">
        <f t="shared" si="14"/>
        <v>Medium</v>
      </c>
      <c r="AA502" s="5" t="s">
        <v>956</v>
      </c>
      <c r="AB502" s="6" t="s">
        <v>924</v>
      </c>
      <c r="AC502" s="6" t="s">
        <v>103</v>
      </c>
      <c r="AD502" s="5" t="s">
        <v>925</v>
      </c>
      <c r="AE502" s="5" t="s">
        <v>354</v>
      </c>
      <c r="AF502" s="5" t="s">
        <v>354</v>
      </c>
      <c r="AG502" s="5" t="s">
        <v>354</v>
      </c>
      <c r="AH502" s="5" t="s">
        <v>354</v>
      </c>
      <c r="AI502" s="6" t="str">
        <f t="shared" si="15"/>
        <v>No</v>
      </c>
      <c r="AJ502" s="6" t="s">
        <v>926</v>
      </c>
      <c r="AK502" s="6" t="s">
        <v>121</v>
      </c>
      <c r="AL502" s="6">
        <f>MATCH(AA502,{"Low","Medium","High"},0)*MATCH(AB502,{"Low","Medium","High"},0)*INDEX({3,2,2,1,1},MATCH(X502,{"Core","Vertical extension","Differentiator","Future","Adjacent"},0))</f>
        <v>6</v>
      </c>
      <c r="AM502" s="5"/>
      <c r="AN502" s="5"/>
      <c r="AO502" s="5"/>
      <c r="AP502" s="5"/>
      <c r="AQ502" s="5"/>
      <c r="AR502" s="5"/>
      <c r="AS502" s="5"/>
      <c r="AT502" s="5"/>
      <c r="AU502" s="6" t="s">
        <v>927</v>
      </c>
      <c r="AV502" s="6" t="s">
        <v>1306</v>
      </c>
      <c r="AW502" s="6" t="s">
        <v>1306</v>
      </c>
      <c r="AX502" s="6" t="s">
        <v>929</v>
      </c>
      <c r="AY502" s="6" t="s">
        <v>930</v>
      </c>
      <c r="AZ502" s="6"/>
      <c r="BA502" s="6"/>
      <c r="BB502" s="6"/>
      <c r="BC502" s="6" t="s">
        <v>97</v>
      </c>
      <c r="BD502" s="6" t="s">
        <v>97</v>
      </c>
    </row>
    <row r="503" spans="1:56" ht="32" customHeight="1" x14ac:dyDescent="0.35">
      <c r="A503" s="13" t="s">
        <v>3880</v>
      </c>
      <c r="B503" s="6" t="s">
        <v>910</v>
      </c>
      <c r="C503" s="5" t="s">
        <v>3881</v>
      </c>
      <c r="D503" s="5" t="s">
        <v>831</v>
      </c>
      <c r="E503" s="5" t="s">
        <v>3882</v>
      </c>
      <c r="F503" s="5" t="s">
        <v>1527</v>
      </c>
      <c r="G503" s="5" t="s">
        <v>1504</v>
      </c>
      <c r="H503" s="5" t="s">
        <v>3883</v>
      </c>
      <c r="I503" s="5" t="s">
        <v>3884</v>
      </c>
      <c r="J503" s="17" t="s">
        <v>121</v>
      </c>
      <c r="K503" s="17" t="s">
        <v>181</v>
      </c>
      <c r="L503" s="5" t="s">
        <v>3885</v>
      </c>
      <c r="M503" s="6" t="s">
        <v>197</v>
      </c>
      <c r="N503" s="6" t="s">
        <v>809</v>
      </c>
      <c r="O503" s="6" t="s">
        <v>121</v>
      </c>
      <c r="P503" s="5" t="s">
        <v>918</v>
      </c>
      <c r="Q503" s="17" t="s">
        <v>182</v>
      </c>
      <c r="R503" s="5"/>
      <c r="S503" s="6" t="s">
        <v>964</v>
      </c>
      <c r="T503" s="5" t="s">
        <v>965</v>
      </c>
      <c r="U503" s="6"/>
      <c r="V503" s="6" t="s">
        <v>966</v>
      </c>
      <c r="W503" s="6" t="s">
        <v>333</v>
      </c>
      <c r="X503" s="5" t="s">
        <v>922</v>
      </c>
      <c r="Y503" s="5" t="s">
        <v>459</v>
      </c>
      <c r="Z503" s="5" t="str">
        <f t="shared" si="14"/>
        <v>Medium</v>
      </c>
      <c r="AA503" s="5" t="s">
        <v>956</v>
      </c>
      <c r="AB503" s="6" t="s">
        <v>924</v>
      </c>
      <c r="AC503" s="6" t="s">
        <v>103</v>
      </c>
      <c r="AD503" s="5" t="s">
        <v>925</v>
      </c>
      <c r="AE503" s="5" t="s">
        <v>354</v>
      </c>
      <c r="AF503" s="5" t="s">
        <v>354</v>
      </c>
      <c r="AG503" s="5" t="s">
        <v>354</v>
      </c>
      <c r="AH503" s="5" t="s">
        <v>354</v>
      </c>
      <c r="AI503" s="6" t="str">
        <f t="shared" si="15"/>
        <v>No</v>
      </c>
      <c r="AJ503" s="6" t="s">
        <v>926</v>
      </c>
      <c r="AK503" s="6" t="s">
        <v>121</v>
      </c>
      <c r="AL503" s="6">
        <f>MATCH(AA503,{"Low","Medium","High"},0)*MATCH(AB503,{"Low","Medium","High"},0)*INDEX({3,2,2,1,1},MATCH(X503,{"Core","Vertical extension","Differentiator","Future","Adjacent"},0))</f>
        <v>6</v>
      </c>
      <c r="AM503" s="5"/>
      <c r="AN503" s="5"/>
      <c r="AO503" s="5"/>
      <c r="AP503" s="5"/>
      <c r="AQ503" s="5"/>
      <c r="AR503" s="5"/>
      <c r="AS503" s="5"/>
      <c r="AT503" s="5"/>
      <c r="AU503" s="6" t="s">
        <v>927</v>
      </c>
      <c r="AV503" s="6" t="s">
        <v>1527</v>
      </c>
      <c r="AW503" s="6" t="s">
        <v>1527</v>
      </c>
      <c r="AX503" s="6" t="s">
        <v>929</v>
      </c>
      <c r="AY503" s="6" t="s">
        <v>930</v>
      </c>
      <c r="AZ503" s="6"/>
      <c r="BA503" s="6"/>
      <c r="BB503" s="6"/>
      <c r="BC503" s="6" t="s">
        <v>97</v>
      </c>
      <c r="BD503" s="6" t="s">
        <v>97</v>
      </c>
    </row>
    <row r="504" spans="1:56" ht="32" customHeight="1" x14ac:dyDescent="0.35">
      <c r="A504" s="13" t="s">
        <v>3886</v>
      </c>
      <c r="B504" s="6" t="s">
        <v>910</v>
      </c>
      <c r="C504" s="5" t="s">
        <v>3881</v>
      </c>
      <c r="D504" s="5" t="s">
        <v>825</v>
      </c>
      <c r="E504" s="5" t="s">
        <v>3887</v>
      </c>
      <c r="F504" s="5" t="s">
        <v>1527</v>
      </c>
      <c r="G504" s="5" t="s">
        <v>1452</v>
      </c>
      <c r="H504" s="5" t="s">
        <v>3888</v>
      </c>
      <c r="I504" s="5" t="s">
        <v>3889</v>
      </c>
      <c r="J504" s="16" t="s">
        <v>73</v>
      </c>
      <c r="K504" s="17" t="s">
        <v>181</v>
      </c>
      <c r="L504" s="5" t="s">
        <v>3890</v>
      </c>
      <c r="M504" s="6" t="s">
        <v>197</v>
      </c>
      <c r="N504" s="6" t="s">
        <v>809</v>
      </c>
      <c r="O504" s="6" t="s">
        <v>73</v>
      </c>
      <c r="P504" s="5" t="s">
        <v>918</v>
      </c>
      <c r="Q504" s="17" t="s">
        <v>182</v>
      </c>
      <c r="R504" s="5"/>
      <c r="S504" s="6" t="s">
        <v>1053</v>
      </c>
      <c r="T504" s="5" t="s">
        <v>1054</v>
      </c>
      <c r="U504" s="6"/>
      <c r="V504" s="6" t="s">
        <v>1055</v>
      </c>
      <c r="W504" s="6" t="s">
        <v>333</v>
      </c>
      <c r="X504" s="5" t="s">
        <v>922</v>
      </c>
      <c r="Y504" s="5" t="s">
        <v>459</v>
      </c>
      <c r="Z504" s="5" t="str">
        <f t="shared" si="14"/>
        <v>Critical</v>
      </c>
      <c r="AA504" s="5" t="s">
        <v>923</v>
      </c>
      <c r="AB504" s="6" t="s">
        <v>923</v>
      </c>
      <c r="AC504" s="6" t="s">
        <v>78</v>
      </c>
      <c r="AD504" s="5" t="s">
        <v>925</v>
      </c>
      <c r="AE504" s="5" t="s">
        <v>354</v>
      </c>
      <c r="AF504" s="5" t="s">
        <v>354</v>
      </c>
      <c r="AG504" s="5" t="s">
        <v>354</v>
      </c>
      <c r="AH504" s="5" t="s">
        <v>354</v>
      </c>
      <c r="AI504" s="6" t="str">
        <f t="shared" si="15"/>
        <v>No</v>
      </c>
      <c r="AJ504" s="6" t="s">
        <v>926</v>
      </c>
      <c r="AK504" s="6" t="s">
        <v>73</v>
      </c>
      <c r="AL504" s="6">
        <f>MATCH(AA504,{"Low","Medium","High"},0)*MATCH(AB504,{"Low","Medium","High"},0)*INDEX({3,2,2,1,1},MATCH(X504,{"Core","Vertical extension","Differentiator","Future","Adjacent"},0))</f>
        <v>27</v>
      </c>
      <c r="AM504" s="5"/>
      <c r="AN504" s="5"/>
      <c r="AO504" s="5"/>
      <c r="AP504" s="5"/>
      <c r="AQ504" s="5"/>
      <c r="AR504" s="5"/>
      <c r="AS504" s="5"/>
      <c r="AT504" s="5"/>
      <c r="AU504" s="6" t="s">
        <v>927</v>
      </c>
      <c r="AV504" s="6" t="s">
        <v>1527</v>
      </c>
      <c r="AW504" s="6" t="s">
        <v>1527</v>
      </c>
      <c r="AX504" s="6" t="s">
        <v>929</v>
      </c>
      <c r="AY504" s="6" t="s">
        <v>930</v>
      </c>
      <c r="AZ504" s="6"/>
      <c r="BA504" s="6"/>
      <c r="BB504" s="6"/>
      <c r="BC504" s="6" t="s">
        <v>97</v>
      </c>
      <c r="BD504" s="6" t="s">
        <v>97</v>
      </c>
    </row>
    <row r="505" spans="1:56" ht="32" customHeight="1" x14ac:dyDescent="0.35">
      <c r="A505" s="13" t="s">
        <v>3891</v>
      </c>
      <c r="B505" s="6" t="s">
        <v>910</v>
      </c>
      <c r="C505" s="5" t="s">
        <v>3881</v>
      </c>
      <c r="D505" s="5" t="s">
        <v>825</v>
      </c>
      <c r="E505" s="5" t="s">
        <v>3892</v>
      </c>
      <c r="F505" s="5" t="s">
        <v>1527</v>
      </c>
      <c r="G505" s="5" t="s">
        <v>1452</v>
      </c>
      <c r="H505" s="5" t="s">
        <v>3893</v>
      </c>
      <c r="I505" s="5" t="s">
        <v>3894</v>
      </c>
      <c r="J505" s="17" t="s">
        <v>121</v>
      </c>
      <c r="K505" s="17" t="s">
        <v>181</v>
      </c>
      <c r="L505" s="5" t="s">
        <v>3895</v>
      </c>
      <c r="M505" s="6" t="s">
        <v>197</v>
      </c>
      <c r="N505" s="6" t="s">
        <v>809</v>
      </c>
      <c r="O505" s="6" t="s">
        <v>121</v>
      </c>
      <c r="P505" s="5" t="s">
        <v>918</v>
      </c>
      <c r="Q505" s="17" t="s">
        <v>182</v>
      </c>
      <c r="R505" s="5"/>
      <c r="S505" s="6" t="s">
        <v>1053</v>
      </c>
      <c r="T505" s="5" t="s">
        <v>1054</v>
      </c>
      <c r="U505" s="6"/>
      <c r="V505" s="6" t="s">
        <v>1055</v>
      </c>
      <c r="W505" s="6" t="s">
        <v>333</v>
      </c>
      <c r="X505" s="5" t="s">
        <v>922</v>
      </c>
      <c r="Y505" s="5" t="s">
        <v>459</v>
      </c>
      <c r="Z505" s="5" t="str">
        <f t="shared" si="14"/>
        <v>Critical</v>
      </c>
      <c r="AA505" s="5" t="s">
        <v>923</v>
      </c>
      <c r="AB505" s="6" t="s">
        <v>923</v>
      </c>
      <c r="AC505" s="6" t="s">
        <v>103</v>
      </c>
      <c r="AD505" s="5" t="s">
        <v>925</v>
      </c>
      <c r="AE505" s="5" t="s">
        <v>354</v>
      </c>
      <c r="AF505" s="5" t="s">
        <v>354</v>
      </c>
      <c r="AG505" s="5" t="s">
        <v>354</v>
      </c>
      <c r="AH505" s="5" t="s">
        <v>354</v>
      </c>
      <c r="AI505" s="6" t="str">
        <f t="shared" si="15"/>
        <v>No</v>
      </c>
      <c r="AJ505" s="6" t="s">
        <v>926</v>
      </c>
      <c r="AK505" s="6" t="s">
        <v>121</v>
      </c>
      <c r="AL505" s="6">
        <f>MATCH(AA505,{"Low","Medium","High"},0)*MATCH(AB505,{"Low","Medium","High"},0)*INDEX({3,2,2,1,1},MATCH(X505,{"Core","Vertical extension","Differentiator","Future","Adjacent"},0))</f>
        <v>27</v>
      </c>
      <c r="AM505" s="5"/>
      <c r="AN505" s="5"/>
      <c r="AO505" s="5"/>
      <c r="AP505" s="5"/>
      <c r="AQ505" s="5"/>
      <c r="AR505" s="5"/>
      <c r="AS505" s="5"/>
      <c r="AT505" s="5"/>
      <c r="AU505" s="6" t="s">
        <v>927</v>
      </c>
      <c r="AV505" s="6" t="s">
        <v>1527</v>
      </c>
      <c r="AW505" s="6" t="s">
        <v>1527</v>
      </c>
      <c r="AX505" s="6" t="s">
        <v>929</v>
      </c>
      <c r="AY505" s="6" t="s">
        <v>930</v>
      </c>
      <c r="AZ505" s="6"/>
      <c r="BA505" s="6"/>
      <c r="BB505" s="6"/>
      <c r="BC505" s="6" t="s">
        <v>97</v>
      </c>
      <c r="BD505" s="6" t="s">
        <v>97</v>
      </c>
    </row>
    <row r="506" spans="1:56" ht="32" customHeight="1" x14ac:dyDescent="0.35">
      <c r="A506" s="13" t="s">
        <v>3896</v>
      </c>
      <c r="B506" s="6" t="s">
        <v>910</v>
      </c>
      <c r="C506" s="5" t="s">
        <v>3881</v>
      </c>
      <c r="D506" s="5" t="s">
        <v>846</v>
      </c>
      <c r="E506" s="5" t="s">
        <v>3897</v>
      </c>
      <c r="F506" s="5" t="s">
        <v>1527</v>
      </c>
      <c r="G506" s="5" t="s">
        <v>1452</v>
      </c>
      <c r="H506" s="5" t="s">
        <v>3898</v>
      </c>
      <c r="I506" s="5" t="s">
        <v>3899</v>
      </c>
      <c r="J506" s="17" t="s">
        <v>121</v>
      </c>
      <c r="K506" s="17" t="s">
        <v>181</v>
      </c>
      <c r="L506" s="5" t="s">
        <v>3900</v>
      </c>
      <c r="M506" s="6" t="s">
        <v>197</v>
      </c>
      <c r="N506" s="6" t="s">
        <v>809</v>
      </c>
      <c r="O506" s="6" t="s">
        <v>121</v>
      </c>
      <c r="P506" s="5" t="s">
        <v>918</v>
      </c>
      <c r="Q506" s="17" t="s">
        <v>182</v>
      </c>
      <c r="R506" s="5"/>
      <c r="S506" s="6" t="s">
        <v>3901</v>
      </c>
      <c r="T506" s="5" t="s">
        <v>3902</v>
      </c>
      <c r="U506" s="6"/>
      <c r="V506" s="6" t="s">
        <v>1055</v>
      </c>
      <c r="W506" s="6" t="s">
        <v>333</v>
      </c>
      <c r="X506" s="5" t="s">
        <v>922</v>
      </c>
      <c r="Y506" s="5" t="s">
        <v>459</v>
      </c>
      <c r="Z506" s="5" t="str">
        <f t="shared" si="14"/>
        <v>Critical</v>
      </c>
      <c r="AA506" s="5" t="s">
        <v>923</v>
      </c>
      <c r="AB506" s="6" t="s">
        <v>923</v>
      </c>
      <c r="AC506" s="6" t="s">
        <v>103</v>
      </c>
      <c r="AD506" s="5" t="s">
        <v>925</v>
      </c>
      <c r="AE506" s="5" t="s">
        <v>354</v>
      </c>
      <c r="AF506" s="5" t="s">
        <v>354</v>
      </c>
      <c r="AG506" s="5" t="s">
        <v>354</v>
      </c>
      <c r="AH506" s="5" t="s">
        <v>354</v>
      </c>
      <c r="AI506" s="6" t="str">
        <f t="shared" si="15"/>
        <v>No</v>
      </c>
      <c r="AJ506" s="6" t="s">
        <v>926</v>
      </c>
      <c r="AK506" s="6" t="s">
        <v>121</v>
      </c>
      <c r="AL506" s="6">
        <f>MATCH(AA506,{"Low","Medium","High"},0)*MATCH(AB506,{"Low","Medium","High"},0)*INDEX({3,2,2,1,1},MATCH(X506,{"Core","Vertical extension","Differentiator","Future","Adjacent"},0))</f>
        <v>27</v>
      </c>
      <c r="AM506" s="5"/>
      <c r="AN506" s="5"/>
      <c r="AO506" s="5"/>
      <c r="AP506" s="5"/>
      <c r="AQ506" s="5"/>
      <c r="AR506" s="5"/>
      <c r="AS506" s="5"/>
      <c r="AT506" s="5"/>
      <c r="AU506" s="6" t="s">
        <v>927</v>
      </c>
      <c r="AV506" s="6" t="s">
        <v>1527</v>
      </c>
      <c r="AW506" s="6" t="s">
        <v>1527</v>
      </c>
      <c r="AX506" s="6" t="s">
        <v>929</v>
      </c>
      <c r="AY506" s="6" t="s">
        <v>930</v>
      </c>
      <c r="AZ506" s="6"/>
      <c r="BA506" s="6"/>
      <c r="BB506" s="6"/>
      <c r="BC506" s="6" t="s">
        <v>97</v>
      </c>
      <c r="BD506" s="6" t="s">
        <v>97</v>
      </c>
    </row>
    <row r="507" spans="1:56" ht="32" customHeight="1" x14ac:dyDescent="0.35">
      <c r="A507" s="13" t="s">
        <v>3903</v>
      </c>
      <c r="B507" s="6" t="s">
        <v>910</v>
      </c>
      <c r="C507" s="5" t="s">
        <v>3881</v>
      </c>
      <c r="D507" s="5" t="s">
        <v>825</v>
      </c>
      <c r="E507" s="5" t="s">
        <v>3904</v>
      </c>
      <c r="F507" s="5" t="s">
        <v>1527</v>
      </c>
      <c r="G507" s="5" t="s">
        <v>1452</v>
      </c>
      <c r="H507" s="5" t="s">
        <v>3905</v>
      </c>
      <c r="I507" s="5" t="s">
        <v>3906</v>
      </c>
      <c r="J507" s="17" t="s">
        <v>121</v>
      </c>
      <c r="K507" s="17" t="s">
        <v>181</v>
      </c>
      <c r="L507" s="5" t="s">
        <v>3907</v>
      </c>
      <c r="M507" s="6" t="s">
        <v>197</v>
      </c>
      <c r="N507" s="6" t="s">
        <v>809</v>
      </c>
      <c r="O507" s="6" t="s">
        <v>121</v>
      </c>
      <c r="P507" s="5" t="s">
        <v>918</v>
      </c>
      <c r="Q507" s="17" t="s">
        <v>182</v>
      </c>
      <c r="R507" s="5"/>
      <c r="S507" s="6" t="s">
        <v>1053</v>
      </c>
      <c r="T507" s="5" t="s">
        <v>1054</v>
      </c>
      <c r="U507" s="6"/>
      <c r="V507" s="6" t="s">
        <v>1055</v>
      </c>
      <c r="W507" s="6" t="s">
        <v>333</v>
      </c>
      <c r="X507" s="5" t="s">
        <v>922</v>
      </c>
      <c r="Y507" s="5" t="s">
        <v>459</v>
      </c>
      <c r="Z507" s="5" t="str">
        <f t="shared" si="14"/>
        <v>Critical</v>
      </c>
      <c r="AA507" s="5" t="s">
        <v>923</v>
      </c>
      <c r="AB507" s="6" t="s">
        <v>923</v>
      </c>
      <c r="AC507" s="6" t="s">
        <v>103</v>
      </c>
      <c r="AD507" s="5" t="s">
        <v>925</v>
      </c>
      <c r="AE507" s="5" t="s">
        <v>354</v>
      </c>
      <c r="AF507" s="5" t="s">
        <v>354</v>
      </c>
      <c r="AG507" s="5" t="s">
        <v>354</v>
      </c>
      <c r="AH507" s="5" t="s">
        <v>354</v>
      </c>
      <c r="AI507" s="6" t="str">
        <f t="shared" si="15"/>
        <v>No</v>
      </c>
      <c r="AJ507" s="6" t="s">
        <v>926</v>
      </c>
      <c r="AK507" s="6" t="s">
        <v>121</v>
      </c>
      <c r="AL507" s="6">
        <f>MATCH(AA507,{"Low","Medium","High"},0)*MATCH(AB507,{"Low","Medium","High"},0)*INDEX({3,2,2,1,1},MATCH(X507,{"Core","Vertical extension","Differentiator","Future","Adjacent"},0))</f>
        <v>27</v>
      </c>
      <c r="AM507" s="5"/>
      <c r="AN507" s="5"/>
      <c r="AO507" s="5"/>
      <c r="AP507" s="5"/>
      <c r="AQ507" s="5"/>
      <c r="AR507" s="5"/>
      <c r="AS507" s="5"/>
      <c r="AT507" s="5"/>
      <c r="AU507" s="6" t="s">
        <v>927</v>
      </c>
      <c r="AV507" s="6" t="s">
        <v>1527</v>
      </c>
      <c r="AW507" s="6" t="s">
        <v>1527</v>
      </c>
      <c r="AX507" s="6" t="s">
        <v>929</v>
      </c>
      <c r="AY507" s="6" t="s">
        <v>930</v>
      </c>
      <c r="AZ507" s="6"/>
      <c r="BA507" s="6"/>
      <c r="BB507" s="6"/>
      <c r="BC507" s="6" t="s">
        <v>97</v>
      </c>
      <c r="BD507" s="6" t="s">
        <v>97</v>
      </c>
    </row>
    <row r="508" spans="1:56" ht="32" customHeight="1" x14ac:dyDescent="0.35">
      <c r="A508" s="13" t="s">
        <v>83</v>
      </c>
      <c r="B508" s="6" t="s">
        <v>910</v>
      </c>
      <c r="C508" s="5" t="s">
        <v>3881</v>
      </c>
      <c r="D508" s="5" t="s">
        <v>827</v>
      </c>
      <c r="E508" s="5" t="s">
        <v>771</v>
      </c>
      <c r="F508" s="5" t="s">
        <v>2094</v>
      </c>
      <c r="G508" s="5" t="s">
        <v>1504</v>
      </c>
      <c r="H508" s="5" t="s">
        <v>3908</v>
      </c>
      <c r="I508" s="5" t="s">
        <v>3909</v>
      </c>
      <c r="J508" s="16" t="s">
        <v>73</v>
      </c>
      <c r="K508" s="20" t="s">
        <v>74</v>
      </c>
      <c r="L508" s="5" t="s">
        <v>3910</v>
      </c>
      <c r="M508" s="6" t="s">
        <v>197</v>
      </c>
      <c r="N508" s="6" t="s">
        <v>809</v>
      </c>
      <c r="O508" s="6" t="s">
        <v>73</v>
      </c>
      <c r="P508" s="5" t="s">
        <v>918</v>
      </c>
      <c r="Q508" s="20" t="s">
        <v>74</v>
      </c>
      <c r="R508" s="5" t="s">
        <v>3911</v>
      </c>
      <c r="S508" s="6" t="s">
        <v>1030</v>
      </c>
      <c r="T508" s="5" t="s">
        <v>827</v>
      </c>
      <c r="U508" s="6"/>
      <c r="V508" s="6" t="s">
        <v>1055</v>
      </c>
      <c r="W508" s="6" t="s">
        <v>333</v>
      </c>
      <c r="X508" s="5" t="s">
        <v>922</v>
      </c>
      <c r="Y508" s="5" t="s">
        <v>459</v>
      </c>
      <c r="Z508" s="5" t="str">
        <f t="shared" si="14"/>
        <v>Critical</v>
      </c>
      <c r="AA508" s="5" t="s">
        <v>923</v>
      </c>
      <c r="AB508" s="6" t="s">
        <v>956</v>
      </c>
      <c r="AC508" s="6" t="s">
        <v>78</v>
      </c>
      <c r="AD508" s="5" t="s">
        <v>74</v>
      </c>
      <c r="AE508" s="5" t="s">
        <v>354</v>
      </c>
      <c r="AF508" s="5" t="s">
        <v>354</v>
      </c>
      <c r="AG508" s="5" t="s">
        <v>354</v>
      </c>
      <c r="AH508" s="5" t="s">
        <v>354</v>
      </c>
      <c r="AI508" s="6" t="str">
        <f t="shared" si="15"/>
        <v>No</v>
      </c>
      <c r="AJ508" s="6" t="s">
        <v>1691</v>
      </c>
      <c r="AK508" s="6" t="s">
        <v>73</v>
      </c>
      <c r="AL508" s="6">
        <f>MATCH(AA508,{"Low","Medium","High"},0)*MATCH(AB508,{"Low","Medium","High"},0)*INDEX({3,2,2,1,1},MATCH(X508,{"Core","Vertical extension","Differentiator","Future","Adjacent"},0))</f>
        <v>18</v>
      </c>
      <c r="AM508" s="5"/>
      <c r="AN508" s="5"/>
      <c r="AO508" s="5"/>
      <c r="AP508" s="5"/>
      <c r="AQ508" s="5"/>
      <c r="AR508" s="5"/>
      <c r="AS508" s="5"/>
      <c r="AT508" s="5"/>
      <c r="AU508" s="6" t="s">
        <v>927</v>
      </c>
      <c r="AV508" s="6" t="s">
        <v>1527</v>
      </c>
      <c r="AW508" s="6" t="s">
        <v>1527</v>
      </c>
      <c r="AX508" s="6" t="s">
        <v>929</v>
      </c>
      <c r="AY508" s="6" t="s">
        <v>1032</v>
      </c>
      <c r="AZ508" s="6"/>
      <c r="BA508" s="6"/>
      <c r="BB508" s="6"/>
      <c r="BC508" s="6" t="s">
        <v>97</v>
      </c>
      <c r="BD508" s="6" t="s">
        <v>97</v>
      </c>
    </row>
    <row r="509" spans="1:56" ht="32" customHeight="1" x14ac:dyDescent="0.35">
      <c r="A509" s="13" t="s">
        <v>3912</v>
      </c>
      <c r="B509" s="6" t="s">
        <v>910</v>
      </c>
      <c r="C509" s="5" t="s">
        <v>3881</v>
      </c>
      <c r="D509" s="5" t="s">
        <v>836</v>
      </c>
      <c r="E509" s="5" t="s">
        <v>3913</v>
      </c>
      <c r="F509" s="5" t="s">
        <v>1527</v>
      </c>
      <c r="G509" s="5" t="s">
        <v>951</v>
      </c>
      <c r="H509" s="5" t="s">
        <v>3914</v>
      </c>
      <c r="I509" s="5" t="s">
        <v>3915</v>
      </c>
      <c r="J509" s="17" t="s">
        <v>121</v>
      </c>
      <c r="K509" s="17" t="s">
        <v>181</v>
      </c>
      <c r="L509" s="5" t="s">
        <v>3756</v>
      </c>
      <c r="M509" s="6" t="s">
        <v>197</v>
      </c>
      <c r="N509" s="6" t="s">
        <v>809</v>
      </c>
      <c r="O509" s="6" t="s">
        <v>121</v>
      </c>
      <c r="P509" s="5" t="s">
        <v>918</v>
      </c>
      <c r="Q509" s="17" t="s">
        <v>182</v>
      </c>
      <c r="R509" s="5"/>
      <c r="S509" s="6" t="s">
        <v>1061</v>
      </c>
      <c r="T509" s="5" t="s">
        <v>1062</v>
      </c>
      <c r="U509" s="6"/>
      <c r="V509" s="6" t="s">
        <v>1055</v>
      </c>
      <c r="W509" s="6" t="s">
        <v>333</v>
      </c>
      <c r="X509" s="5" t="s">
        <v>922</v>
      </c>
      <c r="Y509" s="5" t="s">
        <v>459</v>
      </c>
      <c r="Z509" s="5" t="str">
        <f t="shared" si="14"/>
        <v>Medium</v>
      </c>
      <c r="AA509" s="5" t="s">
        <v>956</v>
      </c>
      <c r="AB509" s="6" t="s">
        <v>924</v>
      </c>
      <c r="AC509" s="6" t="s">
        <v>103</v>
      </c>
      <c r="AD509" s="5" t="s">
        <v>925</v>
      </c>
      <c r="AE509" s="5" t="s">
        <v>354</v>
      </c>
      <c r="AF509" s="5" t="s">
        <v>354</v>
      </c>
      <c r="AG509" s="5" t="s">
        <v>354</v>
      </c>
      <c r="AH509" s="5" t="s">
        <v>354</v>
      </c>
      <c r="AI509" s="6" t="str">
        <f t="shared" si="15"/>
        <v>No</v>
      </c>
      <c r="AJ509" s="6" t="s">
        <v>926</v>
      </c>
      <c r="AK509" s="6" t="s">
        <v>121</v>
      </c>
      <c r="AL509" s="6">
        <f>MATCH(AA509,{"Low","Medium","High"},0)*MATCH(AB509,{"Low","Medium","High"},0)*INDEX({3,2,2,1,1},MATCH(X509,{"Core","Vertical extension","Differentiator","Future","Adjacent"},0))</f>
        <v>6</v>
      </c>
      <c r="AM509" s="5"/>
      <c r="AN509" s="5"/>
      <c r="AO509" s="5"/>
      <c r="AP509" s="5"/>
      <c r="AQ509" s="5"/>
      <c r="AR509" s="5"/>
      <c r="AS509" s="5"/>
      <c r="AT509" s="5"/>
      <c r="AU509" s="6" t="s">
        <v>927</v>
      </c>
      <c r="AV509" s="6" t="s">
        <v>1527</v>
      </c>
      <c r="AW509" s="6" t="s">
        <v>1527</v>
      </c>
      <c r="AX509" s="6" t="s">
        <v>929</v>
      </c>
      <c r="AY509" s="6" t="s">
        <v>930</v>
      </c>
      <c r="AZ509" s="6"/>
      <c r="BA509" s="6"/>
      <c r="BB509" s="6"/>
      <c r="BC509" s="6" t="s">
        <v>97</v>
      </c>
      <c r="BD509" s="6" t="s">
        <v>97</v>
      </c>
    </row>
    <row r="510" spans="1:56" ht="32" customHeight="1" x14ac:dyDescent="0.35">
      <c r="A510" s="13" t="s">
        <v>3916</v>
      </c>
      <c r="B510" s="6" t="s">
        <v>910</v>
      </c>
      <c r="C510" s="5" t="s">
        <v>3917</v>
      </c>
      <c r="D510" s="5" t="s">
        <v>829</v>
      </c>
      <c r="E510" s="5" t="s">
        <v>3918</v>
      </c>
      <c r="F510" s="5" t="s">
        <v>3919</v>
      </c>
      <c r="G510" s="5" t="s">
        <v>1881</v>
      </c>
      <c r="H510" s="5" t="s">
        <v>3920</v>
      </c>
      <c r="I510" s="5" t="s">
        <v>3921</v>
      </c>
      <c r="J510" s="17" t="s">
        <v>121</v>
      </c>
      <c r="K510" s="17" t="s">
        <v>181</v>
      </c>
      <c r="L510" s="5" t="s">
        <v>3922</v>
      </c>
      <c r="M510" s="6" t="s">
        <v>197</v>
      </c>
      <c r="N510" s="6" t="s">
        <v>809</v>
      </c>
      <c r="O510" s="6" t="s">
        <v>121</v>
      </c>
      <c r="P510" s="5" t="s">
        <v>918</v>
      </c>
      <c r="Q510" s="17" t="s">
        <v>182</v>
      </c>
      <c r="R510" s="5"/>
      <c r="S510" s="6" t="s">
        <v>3923</v>
      </c>
      <c r="T510" s="5" t="s">
        <v>3924</v>
      </c>
      <c r="U510" s="6" t="s">
        <v>228</v>
      </c>
      <c r="V510" s="6" t="s">
        <v>3925</v>
      </c>
      <c r="W510" s="6" t="s">
        <v>331</v>
      </c>
      <c r="X510" s="5" t="s">
        <v>922</v>
      </c>
      <c r="Y510" s="5" t="s">
        <v>3926</v>
      </c>
      <c r="Z510" s="5" t="str">
        <f t="shared" si="14"/>
        <v>High</v>
      </c>
      <c r="AA510" s="5" t="s">
        <v>923</v>
      </c>
      <c r="AB510" s="6" t="s">
        <v>924</v>
      </c>
      <c r="AC510" s="6" t="s">
        <v>103</v>
      </c>
      <c r="AD510" s="5" t="s">
        <v>925</v>
      </c>
      <c r="AE510" s="5" t="s">
        <v>354</v>
      </c>
      <c r="AF510" s="5" t="s">
        <v>354</v>
      </c>
      <c r="AG510" s="5" t="s">
        <v>354</v>
      </c>
      <c r="AH510" s="5" t="s">
        <v>354</v>
      </c>
      <c r="AI510" s="6" t="str">
        <f t="shared" si="15"/>
        <v>No</v>
      </c>
      <c r="AJ510" s="6" t="s">
        <v>926</v>
      </c>
      <c r="AK510" s="6" t="s">
        <v>121</v>
      </c>
      <c r="AL510" s="6">
        <f>MATCH(AA510,{"Low","Medium","High"},0)*MATCH(AB510,{"Low","Medium","High"},0)*INDEX({3,2,2,1,1},MATCH(X510,{"Core","Vertical extension","Differentiator","Future","Adjacent"},0))</f>
        <v>9</v>
      </c>
      <c r="AM510" s="5"/>
      <c r="AN510" s="5"/>
      <c r="AO510" s="5"/>
      <c r="AP510" s="5"/>
      <c r="AQ510" s="5"/>
      <c r="AR510" s="5"/>
      <c r="AS510" s="5"/>
      <c r="AT510" s="5"/>
      <c r="AU510" s="6" t="s">
        <v>927</v>
      </c>
      <c r="AV510" s="6" t="s">
        <v>3133</v>
      </c>
      <c r="AW510" s="6" t="s">
        <v>3133</v>
      </c>
      <c r="AX510" s="6" t="s">
        <v>929</v>
      </c>
      <c r="AY510" s="6" t="s">
        <v>930</v>
      </c>
      <c r="AZ510" s="6"/>
      <c r="BA510" s="6"/>
      <c r="BB510" s="6"/>
      <c r="BC510" s="6" t="s">
        <v>97</v>
      </c>
      <c r="BD510" s="6" t="s">
        <v>97</v>
      </c>
    </row>
    <row r="511" spans="1:56" ht="32" customHeight="1" x14ac:dyDescent="0.35">
      <c r="A511" s="13" t="s">
        <v>3927</v>
      </c>
      <c r="B511" s="6" t="s">
        <v>910</v>
      </c>
      <c r="C511" s="5" t="s">
        <v>3917</v>
      </c>
      <c r="D511" s="5" t="s">
        <v>829</v>
      </c>
      <c r="E511" s="5" t="s">
        <v>3928</v>
      </c>
      <c r="F511" s="5" t="s">
        <v>3919</v>
      </c>
      <c r="G511" s="5" t="s">
        <v>1400</v>
      </c>
      <c r="H511" s="5" t="s">
        <v>3929</v>
      </c>
      <c r="I511" s="5" t="s">
        <v>3930</v>
      </c>
      <c r="J511" s="17" t="s">
        <v>121</v>
      </c>
      <c r="K511" s="17" t="s">
        <v>181</v>
      </c>
      <c r="L511" s="5" t="s">
        <v>3931</v>
      </c>
      <c r="M511" s="6" t="s">
        <v>197</v>
      </c>
      <c r="N511" s="6" t="s">
        <v>809</v>
      </c>
      <c r="O511" s="6" t="s">
        <v>121</v>
      </c>
      <c r="P511" s="5" t="s">
        <v>999</v>
      </c>
      <c r="Q511" s="18" t="s">
        <v>186</v>
      </c>
      <c r="R511" s="5" t="s">
        <v>3932</v>
      </c>
      <c r="S511" s="6" t="s">
        <v>3923</v>
      </c>
      <c r="T511" s="5" t="s">
        <v>3924</v>
      </c>
      <c r="U511" s="6" t="s">
        <v>240</v>
      </c>
      <c r="V511" s="6" t="s">
        <v>3925</v>
      </c>
      <c r="W511" s="6" t="s">
        <v>331</v>
      </c>
      <c r="X511" s="5" t="s">
        <v>922</v>
      </c>
      <c r="Y511" s="5" t="s">
        <v>3926</v>
      </c>
      <c r="Z511" s="5" t="str">
        <f t="shared" si="14"/>
        <v>High</v>
      </c>
      <c r="AA511" s="5" t="s">
        <v>923</v>
      </c>
      <c r="AB511" s="6" t="s">
        <v>924</v>
      </c>
      <c r="AC511" s="6" t="s">
        <v>103</v>
      </c>
      <c r="AD511" s="5" t="s">
        <v>940</v>
      </c>
      <c r="AE511" s="5" t="s">
        <v>354</v>
      </c>
      <c r="AF511" s="5" t="s">
        <v>354</v>
      </c>
      <c r="AG511" s="5" t="s">
        <v>354</v>
      </c>
      <c r="AH511" s="5" t="s">
        <v>354</v>
      </c>
      <c r="AI511" s="6" t="str">
        <f t="shared" si="15"/>
        <v>No</v>
      </c>
      <c r="AJ511" s="6" t="s">
        <v>941</v>
      </c>
      <c r="AK511" s="6" t="s">
        <v>121</v>
      </c>
      <c r="AL511" s="6">
        <f>MATCH(AA511,{"Low","Medium","High"},0)*MATCH(AB511,{"Low","Medium","High"},0)*INDEX({3,2,2,1,1},MATCH(X511,{"Core","Vertical extension","Differentiator","Future","Adjacent"},0))</f>
        <v>9</v>
      </c>
      <c r="AM511" s="5"/>
      <c r="AN511" s="5"/>
      <c r="AO511" s="5"/>
      <c r="AP511" s="5" t="s">
        <v>3933</v>
      </c>
      <c r="AQ511" s="5"/>
      <c r="AR511" s="5"/>
      <c r="AS511" s="5"/>
      <c r="AT511" s="5"/>
      <c r="AU511" s="6" t="s">
        <v>927</v>
      </c>
      <c r="AV511" s="6" t="s">
        <v>3133</v>
      </c>
      <c r="AW511" s="6" t="s">
        <v>3133</v>
      </c>
      <c r="AX511" s="6" t="s">
        <v>1003</v>
      </c>
      <c r="AY511" s="6" t="s">
        <v>930</v>
      </c>
      <c r="AZ511" s="6"/>
      <c r="BA511" s="6" t="s">
        <v>3934</v>
      </c>
      <c r="BB511" s="6" t="s">
        <v>1080</v>
      </c>
      <c r="BC511" s="6" t="s">
        <v>97</v>
      </c>
      <c r="BD511" s="6" t="s">
        <v>97</v>
      </c>
    </row>
    <row r="512" spans="1:56" ht="32" customHeight="1" x14ac:dyDescent="0.35">
      <c r="A512" s="13" t="s">
        <v>3935</v>
      </c>
      <c r="B512" s="6" t="s">
        <v>910</v>
      </c>
      <c r="C512" s="5" t="s">
        <v>3917</v>
      </c>
      <c r="D512" s="5" t="s">
        <v>829</v>
      </c>
      <c r="E512" s="5" t="s">
        <v>3936</v>
      </c>
      <c r="F512" s="5" t="s">
        <v>3919</v>
      </c>
      <c r="G512" s="5" t="s">
        <v>1400</v>
      </c>
      <c r="H512" s="5" t="s">
        <v>3937</v>
      </c>
      <c r="I512" s="5" t="s">
        <v>3938</v>
      </c>
      <c r="J512" s="17" t="s">
        <v>121</v>
      </c>
      <c r="K512" s="17" t="s">
        <v>181</v>
      </c>
      <c r="L512" s="5" t="s">
        <v>3939</v>
      </c>
      <c r="M512" s="6" t="s">
        <v>197</v>
      </c>
      <c r="N512" s="6" t="s">
        <v>809</v>
      </c>
      <c r="O512" s="6" t="s">
        <v>121</v>
      </c>
      <c r="P512" s="5" t="s">
        <v>918</v>
      </c>
      <c r="Q512" s="18" t="s">
        <v>186</v>
      </c>
      <c r="R512" s="5" t="s">
        <v>3940</v>
      </c>
      <c r="S512" s="6" t="s">
        <v>980</v>
      </c>
      <c r="T512" s="5" t="s">
        <v>981</v>
      </c>
      <c r="U512" s="6"/>
      <c r="V512" s="6" t="s">
        <v>982</v>
      </c>
      <c r="W512" s="6" t="s">
        <v>331</v>
      </c>
      <c r="X512" s="5" t="s">
        <v>922</v>
      </c>
      <c r="Y512" s="5" t="s">
        <v>3926</v>
      </c>
      <c r="Z512" s="5" t="str">
        <f t="shared" si="14"/>
        <v>High</v>
      </c>
      <c r="AA512" s="5" t="s">
        <v>923</v>
      </c>
      <c r="AB512" s="6" t="s">
        <v>924</v>
      </c>
      <c r="AC512" s="6" t="s">
        <v>103</v>
      </c>
      <c r="AD512" s="5" t="s">
        <v>940</v>
      </c>
      <c r="AE512" s="5" t="s">
        <v>354</v>
      </c>
      <c r="AF512" s="5" t="s">
        <v>354</v>
      </c>
      <c r="AG512" s="5" t="s">
        <v>354</v>
      </c>
      <c r="AH512" s="5" t="s">
        <v>354</v>
      </c>
      <c r="AI512" s="6" t="str">
        <f t="shared" si="15"/>
        <v>No</v>
      </c>
      <c r="AJ512" s="6" t="s">
        <v>941</v>
      </c>
      <c r="AK512" s="6" t="s">
        <v>121</v>
      </c>
      <c r="AL512" s="6">
        <f>MATCH(AA512,{"Low","Medium","High"},0)*MATCH(AB512,{"Low","Medium","High"},0)*INDEX({3,2,2,1,1},MATCH(X512,{"Core","Vertical extension","Differentiator","Future","Adjacent"},0))</f>
        <v>9</v>
      </c>
      <c r="AM512" s="5"/>
      <c r="AN512" s="5"/>
      <c r="AO512" s="5"/>
      <c r="AP512" s="5"/>
      <c r="AQ512" s="5"/>
      <c r="AR512" s="5"/>
      <c r="AS512" s="5"/>
      <c r="AT512" s="5"/>
      <c r="AU512" s="6" t="s">
        <v>927</v>
      </c>
      <c r="AV512" s="6" t="s">
        <v>3133</v>
      </c>
      <c r="AW512" s="6" t="s">
        <v>3133</v>
      </c>
      <c r="AX512" s="6" t="s">
        <v>929</v>
      </c>
      <c r="AY512" s="6" t="s">
        <v>930</v>
      </c>
      <c r="AZ512" s="6"/>
      <c r="BA512" s="6" t="s">
        <v>3934</v>
      </c>
      <c r="BB512" s="6" t="s">
        <v>1080</v>
      </c>
      <c r="BC512" s="6" t="s">
        <v>97</v>
      </c>
      <c r="BD512" s="6" t="s">
        <v>97</v>
      </c>
    </row>
    <row r="513" spans="1:56" ht="32" customHeight="1" x14ac:dyDescent="0.35">
      <c r="A513" s="13" t="s">
        <v>3941</v>
      </c>
      <c r="B513" s="6" t="s">
        <v>910</v>
      </c>
      <c r="C513" s="5" t="s">
        <v>3917</v>
      </c>
      <c r="D513" s="5" t="s">
        <v>829</v>
      </c>
      <c r="E513" s="5" t="s">
        <v>3942</v>
      </c>
      <c r="F513" s="5" t="s">
        <v>3943</v>
      </c>
      <c r="G513" s="5" t="s">
        <v>1452</v>
      </c>
      <c r="H513" s="5" t="s">
        <v>3944</v>
      </c>
      <c r="I513" s="5" t="s">
        <v>3945</v>
      </c>
      <c r="J513" s="17" t="s">
        <v>121</v>
      </c>
      <c r="K513" s="17" t="s">
        <v>181</v>
      </c>
      <c r="L513" s="5" t="s">
        <v>3946</v>
      </c>
      <c r="M513" s="6" t="s">
        <v>197</v>
      </c>
      <c r="N513" s="6" t="s">
        <v>809</v>
      </c>
      <c r="O513" s="6" t="s">
        <v>121</v>
      </c>
      <c r="P513" s="5" t="s">
        <v>918</v>
      </c>
      <c r="Q513" s="17" t="s">
        <v>182</v>
      </c>
      <c r="R513" s="5"/>
      <c r="S513" s="6" t="s">
        <v>3923</v>
      </c>
      <c r="T513" s="5" t="s">
        <v>3924</v>
      </c>
      <c r="U513" s="6" t="s">
        <v>248</v>
      </c>
      <c r="V513" s="6" t="s">
        <v>3925</v>
      </c>
      <c r="W513" s="6" t="s">
        <v>331</v>
      </c>
      <c r="X513" s="5" t="s">
        <v>922</v>
      </c>
      <c r="Y513" s="5" t="s">
        <v>3926</v>
      </c>
      <c r="Z513" s="5" t="str">
        <f t="shared" si="14"/>
        <v>High</v>
      </c>
      <c r="AA513" s="5" t="s">
        <v>923</v>
      </c>
      <c r="AB513" s="6" t="s">
        <v>924</v>
      </c>
      <c r="AC513" s="6" t="s">
        <v>103</v>
      </c>
      <c r="AD513" s="5" t="s">
        <v>925</v>
      </c>
      <c r="AE513" s="5" t="s">
        <v>354</v>
      </c>
      <c r="AF513" s="5" t="s">
        <v>354</v>
      </c>
      <c r="AG513" s="5" t="s">
        <v>354</v>
      </c>
      <c r="AH513" s="5" t="s">
        <v>354</v>
      </c>
      <c r="AI513" s="6" t="str">
        <f t="shared" si="15"/>
        <v>No</v>
      </c>
      <c r="AJ513" s="6" t="s">
        <v>926</v>
      </c>
      <c r="AK513" s="6" t="s">
        <v>121</v>
      </c>
      <c r="AL513" s="6">
        <f>MATCH(AA513,{"Low","Medium","High"},0)*MATCH(AB513,{"Low","Medium","High"},0)*INDEX({3,2,2,1,1},MATCH(X513,{"Core","Vertical extension","Differentiator","Future","Adjacent"},0))</f>
        <v>9</v>
      </c>
      <c r="AM513" s="5"/>
      <c r="AN513" s="5"/>
      <c r="AO513" s="5"/>
      <c r="AP513" s="5" t="s">
        <v>3947</v>
      </c>
      <c r="AQ513" s="5"/>
      <c r="AR513" s="5"/>
      <c r="AS513" s="5"/>
      <c r="AT513" s="5"/>
      <c r="AU513" s="6" t="s">
        <v>927</v>
      </c>
      <c r="AV513" s="6" t="s">
        <v>3133</v>
      </c>
      <c r="AW513" s="6" t="s">
        <v>55</v>
      </c>
      <c r="AX513" s="6" t="s">
        <v>929</v>
      </c>
      <c r="AY513" s="6" t="s">
        <v>930</v>
      </c>
      <c r="AZ513" s="6"/>
      <c r="BA513" s="6"/>
      <c r="BB513" s="6"/>
      <c r="BC513" s="6" t="s">
        <v>97</v>
      </c>
      <c r="BD513" s="6" t="s">
        <v>97</v>
      </c>
    </row>
    <row r="514" spans="1:56" ht="32" customHeight="1" x14ac:dyDescent="0.35">
      <c r="A514" s="13" t="s">
        <v>3948</v>
      </c>
      <c r="B514" s="6" t="s">
        <v>2114</v>
      </c>
      <c r="C514" s="5" t="s">
        <v>2115</v>
      </c>
      <c r="D514" s="5" t="s">
        <v>825</v>
      </c>
      <c r="E514" s="5" t="s">
        <v>3949</v>
      </c>
      <c r="F514" s="5" t="s">
        <v>3950</v>
      </c>
      <c r="G514" s="5" t="s">
        <v>2001</v>
      </c>
      <c r="H514" s="5" t="s">
        <v>3951</v>
      </c>
      <c r="I514" s="5" t="s">
        <v>3952</v>
      </c>
      <c r="J514" s="16" t="s">
        <v>73</v>
      </c>
      <c r="K514" s="17" t="s">
        <v>181</v>
      </c>
      <c r="L514" s="5" t="s">
        <v>3953</v>
      </c>
      <c r="M514" s="6" t="s">
        <v>197</v>
      </c>
      <c r="N514" s="6" t="s">
        <v>812</v>
      </c>
      <c r="O514" s="6" t="s">
        <v>73</v>
      </c>
      <c r="P514" s="5" t="s">
        <v>918</v>
      </c>
      <c r="Q514" s="17" t="s">
        <v>182</v>
      </c>
      <c r="R514" s="5"/>
      <c r="S514" s="6" t="s">
        <v>1053</v>
      </c>
      <c r="T514" s="5" t="s">
        <v>1054</v>
      </c>
      <c r="U514" s="6"/>
      <c r="V514" s="6" t="s">
        <v>1055</v>
      </c>
      <c r="W514" s="6" t="s">
        <v>333</v>
      </c>
      <c r="X514" s="5" t="s">
        <v>922</v>
      </c>
      <c r="Y514" s="5" t="s">
        <v>812</v>
      </c>
      <c r="Z514" s="5" t="str">
        <f t="shared" ref="Z514:Z577" si="16">IF(AL514&gt;=18,"Critical",IF(AL514&gt;=9,"High",IF(AL514&gt;=4,"Medium","Low")))</f>
        <v>Critical</v>
      </c>
      <c r="AA514" s="5" t="s">
        <v>923</v>
      </c>
      <c r="AB514" s="6" t="s">
        <v>923</v>
      </c>
      <c r="AC514" s="6" t="s">
        <v>78</v>
      </c>
      <c r="AD514" s="5" t="s">
        <v>925</v>
      </c>
      <c r="AE514" s="5" t="s">
        <v>354</v>
      </c>
      <c r="AF514" s="5" t="s">
        <v>354</v>
      </c>
      <c r="AG514" s="5" t="s">
        <v>354</v>
      </c>
      <c r="AH514" s="5" t="s">
        <v>354</v>
      </c>
      <c r="AI514" s="6" t="str">
        <f t="shared" ref="AI514:AI577" si="17">IF(AND(AU514="Pass",AE514&lt;&gt;"Not verified",AF514&lt;&gt;"Not verified",AG514&lt;&gt;"Not verified",AH514&lt;&gt;"Not verified",BC514="Yes",BD514="Yes"),"Yes","No")</f>
        <v>No</v>
      </c>
      <c r="AJ514" s="6" t="s">
        <v>926</v>
      </c>
      <c r="AK514" s="6" t="s">
        <v>73</v>
      </c>
      <c r="AL514" s="6">
        <f>MATCH(AA514,{"Low","Medium","High"},0)*MATCH(AB514,{"Low","Medium","High"},0)*INDEX({3,2,2,1,1},MATCH(X514,{"Core","Vertical extension","Differentiator","Future","Adjacent"},0))</f>
        <v>27</v>
      </c>
      <c r="AM514" s="5"/>
      <c r="AN514" s="5"/>
      <c r="AO514" s="5"/>
      <c r="AP514" s="5"/>
      <c r="AQ514" s="5"/>
      <c r="AR514" s="5"/>
      <c r="AS514" s="5"/>
      <c r="AT514" s="5"/>
      <c r="AU514" s="6" t="s">
        <v>927</v>
      </c>
      <c r="AV514" s="6" t="s">
        <v>928</v>
      </c>
      <c r="AW514" s="6" t="s">
        <v>928</v>
      </c>
      <c r="AX514" s="6" t="s">
        <v>929</v>
      </c>
      <c r="AY514" s="6" t="s">
        <v>930</v>
      </c>
      <c r="AZ514" s="6"/>
      <c r="BA514" s="6"/>
      <c r="BB514" s="6"/>
      <c r="BC514" s="6" t="s">
        <v>97</v>
      </c>
      <c r="BD514" s="6" t="s">
        <v>97</v>
      </c>
    </row>
    <row r="515" spans="1:56" ht="32" customHeight="1" x14ac:dyDescent="0.35">
      <c r="A515" s="13" t="s">
        <v>3954</v>
      </c>
      <c r="B515" s="6" t="s">
        <v>2114</v>
      </c>
      <c r="C515" s="5" t="s">
        <v>2115</v>
      </c>
      <c r="D515" s="5" t="s">
        <v>825</v>
      </c>
      <c r="E515" s="5" t="s">
        <v>3955</v>
      </c>
      <c r="F515" s="5" t="s">
        <v>1300</v>
      </c>
      <c r="G515" s="5" t="s">
        <v>3956</v>
      </c>
      <c r="H515" s="5" t="s">
        <v>3957</v>
      </c>
      <c r="I515" s="5" t="s">
        <v>3958</v>
      </c>
      <c r="J515" s="16" t="s">
        <v>73</v>
      </c>
      <c r="K515" s="17" t="s">
        <v>181</v>
      </c>
      <c r="L515" s="5" t="s">
        <v>3959</v>
      </c>
      <c r="M515" s="6" t="s">
        <v>197</v>
      </c>
      <c r="N515" s="6" t="s">
        <v>812</v>
      </c>
      <c r="O515" s="6" t="s">
        <v>73</v>
      </c>
      <c r="P515" s="5" t="s">
        <v>918</v>
      </c>
      <c r="Q515" s="17" t="s">
        <v>182</v>
      </c>
      <c r="R515" s="5"/>
      <c r="S515" s="6" t="s">
        <v>1053</v>
      </c>
      <c r="T515" s="5" t="s">
        <v>1054</v>
      </c>
      <c r="U515" s="6"/>
      <c r="V515" s="6" t="s">
        <v>1055</v>
      </c>
      <c r="W515" s="6" t="s">
        <v>333</v>
      </c>
      <c r="X515" s="5" t="s">
        <v>922</v>
      </c>
      <c r="Y515" s="5" t="s">
        <v>812</v>
      </c>
      <c r="Z515" s="5" t="str">
        <f t="shared" si="16"/>
        <v>Critical</v>
      </c>
      <c r="AA515" s="5" t="s">
        <v>923</v>
      </c>
      <c r="AB515" s="6" t="s">
        <v>923</v>
      </c>
      <c r="AC515" s="6" t="s">
        <v>78</v>
      </c>
      <c r="AD515" s="5" t="s">
        <v>925</v>
      </c>
      <c r="AE515" s="5" t="s">
        <v>354</v>
      </c>
      <c r="AF515" s="5" t="s">
        <v>354</v>
      </c>
      <c r="AG515" s="5" t="s">
        <v>354</v>
      </c>
      <c r="AH515" s="5" t="s">
        <v>354</v>
      </c>
      <c r="AI515" s="6" t="str">
        <f t="shared" si="17"/>
        <v>No</v>
      </c>
      <c r="AJ515" s="6" t="s">
        <v>926</v>
      </c>
      <c r="AK515" s="6" t="s">
        <v>73</v>
      </c>
      <c r="AL515" s="6">
        <f>MATCH(AA515,{"Low","Medium","High"},0)*MATCH(AB515,{"Low","Medium","High"},0)*INDEX({3,2,2,1,1},MATCH(X515,{"Core","Vertical extension","Differentiator","Future","Adjacent"},0))</f>
        <v>27</v>
      </c>
      <c r="AM515" s="5"/>
      <c r="AN515" s="5"/>
      <c r="AO515" s="5"/>
      <c r="AP515" s="5"/>
      <c r="AQ515" s="5"/>
      <c r="AR515" s="5"/>
      <c r="AS515" s="5"/>
      <c r="AT515" s="5"/>
      <c r="AU515" s="6" t="s">
        <v>927</v>
      </c>
      <c r="AV515" s="6" t="s">
        <v>1306</v>
      </c>
      <c r="AW515" s="6" t="s">
        <v>1306</v>
      </c>
      <c r="AX515" s="6" t="s">
        <v>929</v>
      </c>
      <c r="AY515" s="6" t="s">
        <v>930</v>
      </c>
      <c r="AZ515" s="6"/>
      <c r="BA515" s="6"/>
      <c r="BB515" s="6"/>
      <c r="BC515" s="6" t="s">
        <v>97</v>
      </c>
      <c r="BD515" s="6" t="s">
        <v>97</v>
      </c>
    </row>
    <row r="516" spans="1:56" ht="32" customHeight="1" x14ac:dyDescent="0.35">
      <c r="A516" s="13" t="s">
        <v>3960</v>
      </c>
      <c r="B516" s="6" t="s">
        <v>2114</v>
      </c>
      <c r="C516" s="5" t="s">
        <v>2115</v>
      </c>
      <c r="D516" s="5" t="s">
        <v>825</v>
      </c>
      <c r="E516" s="5" t="s">
        <v>3961</v>
      </c>
      <c r="F516" s="5" t="s">
        <v>1300</v>
      </c>
      <c r="G516" s="5" t="s">
        <v>2001</v>
      </c>
      <c r="H516" s="5" t="s">
        <v>3962</v>
      </c>
      <c r="I516" s="5" t="s">
        <v>3963</v>
      </c>
      <c r="J516" s="16" t="s">
        <v>73</v>
      </c>
      <c r="K516" s="17" t="s">
        <v>181</v>
      </c>
      <c r="L516" s="5" t="s">
        <v>3964</v>
      </c>
      <c r="M516" s="6" t="s">
        <v>197</v>
      </c>
      <c r="N516" s="6" t="s">
        <v>812</v>
      </c>
      <c r="O516" s="6" t="s">
        <v>73</v>
      </c>
      <c r="P516" s="5" t="s">
        <v>918</v>
      </c>
      <c r="Q516" s="17" t="s">
        <v>182</v>
      </c>
      <c r="R516" s="5"/>
      <c r="S516" s="6" t="s">
        <v>1053</v>
      </c>
      <c r="T516" s="5" t="s">
        <v>1054</v>
      </c>
      <c r="U516" s="6"/>
      <c r="V516" s="6" t="s">
        <v>1055</v>
      </c>
      <c r="W516" s="6" t="s">
        <v>333</v>
      </c>
      <c r="X516" s="5" t="s">
        <v>922</v>
      </c>
      <c r="Y516" s="5" t="s">
        <v>812</v>
      </c>
      <c r="Z516" s="5" t="str">
        <f t="shared" si="16"/>
        <v>Critical</v>
      </c>
      <c r="AA516" s="5" t="s">
        <v>923</v>
      </c>
      <c r="AB516" s="6" t="s">
        <v>923</v>
      </c>
      <c r="AC516" s="6" t="s">
        <v>78</v>
      </c>
      <c r="AD516" s="5" t="s">
        <v>925</v>
      </c>
      <c r="AE516" s="5" t="s">
        <v>354</v>
      </c>
      <c r="AF516" s="5" t="s">
        <v>354</v>
      </c>
      <c r="AG516" s="5" t="s">
        <v>354</v>
      </c>
      <c r="AH516" s="5" t="s">
        <v>354</v>
      </c>
      <c r="AI516" s="6" t="str">
        <f t="shared" si="17"/>
        <v>No</v>
      </c>
      <c r="AJ516" s="6" t="s">
        <v>926</v>
      </c>
      <c r="AK516" s="6" t="s">
        <v>73</v>
      </c>
      <c r="AL516" s="6">
        <f>MATCH(AA516,{"Low","Medium","High"},0)*MATCH(AB516,{"Low","Medium","High"},0)*INDEX({3,2,2,1,1},MATCH(X516,{"Core","Vertical extension","Differentiator","Future","Adjacent"},0))</f>
        <v>27</v>
      </c>
      <c r="AM516" s="5"/>
      <c r="AN516" s="5"/>
      <c r="AO516" s="5"/>
      <c r="AP516" s="5"/>
      <c r="AQ516" s="5"/>
      <c r="AR516" s="5"/>
      <c r="AS516" s="5"/>
      <c r="AT516" s="5"/>
      <c r="AU516" s="6" t="s">
        <v>927</v>
      </c>
      <c r="AV516" s="6" t="s">
        <v>1306</v>
      </c>
      <c r="AW516" s="6" t="s">
        <v>1306</v>
      </c>
      <c r="AX516" s="6" t="s">
        <v>929</v>
      </c>
      <c r="AY516" s="6" t="s">
        <v>930</v>
      </c>
      <c r="AZ516" s="6"/>
      <c r="BA516" s="6"/>
      <c r="BB516" s="6"/>
      <c r="BC516" s="6" t="s">
        <v>97</v>
      </c>
      <c r="BD516" s="6" t="s">
        <v>97</v>
      </c>
    </row>
    <row r="517" spans="1:56" ht="32" customHeight="1" x14ac:dyDescent="0.35">
      <c r="A517" s="13" t="s">
        <v>3965</v>
      </c>
      <c r="B517" s="6" t="s">
        <v>2114</v>
      </c>
      <c r="C517" s="5" t="s">
        <v>2115</v>
      </c>
      <c r="D517" s="5" t="s">
        <v>825</v>
      </c>
      <c r="E517" s="5" t="s">
        <v>3966</v>
      </c>
      <c r="F517" s="5" t="s">
        <v>1623</v>
      </c>
      <c r="G517" s="5" t="s">
        <v>1161</v>
      </c>
      <c r="H517" s="5" t="s">
        <v>3967</v>
      </c>
      <c r="I517" s="5" t="s">
        <v>3968</v>
      </c>
      <c r="J517" s="16" t="s">
        <v>73</v>
      </c>
      <c r="K517" s="17" t="s">
        <v>181</v>
      </c>
      <c r="L517" s="5" t="s">
        <v>3969</v>
      </c>
      <c r="M517" s="6" t="s">
        <v>197</v>
      </c>
      <c r="N517" s="6" t="s">
        <v>812</v>
      </c>
      <c r="O517" s="6" t="s">
        <v>73</v>
      </c>
      <c r="P517" s="5" t="s">
        <v>918</v>
      </c>
      <c r="Q517" s="17" t="s">
        <v>182</v>
      </c>
      <c r="R517" s="5"/>
      <c r="S517" s="6" t="s">
        <v>1053</v>
      </c>
      <c r="T517" s="5" t="s">
        <v>1054</v>
      </c>
      <c r="U517" s="6"/>
      <c r="V517" s="6" t="s">
        <v>1055</v>
      </c>
      <c r="W517" s="6" t="s">
        <v>333</v>
      </c>
      <c r="X517" s="5" t="s">
        <v>922</v>
      </c>
      <c r="Y517" s="5" t="s">
        <v>812</v>
      </c>
      <c r="Z517" s="5" t="str">
        <f t="shared" si="16"/>
        <v>Critical</v>
      </c>
      <c r="AA517" s="5" t="s">
        <v>923</v>
      </c>
      <c r="AB517" s="6" t="s">
        <v>923</v>
      </c>
      <c r="AC517" s="6" t="s">
        <v>78</v>
      </c>
      <c r="AD517" s="5" t="s">
        <v>925</v>
      </c>
      <c r="AE517" s="5" t="s">
        <v>354</v>
      </c>
      <c r="AF517" s="5" t="s">
        <v>354</v>
      </c>
      <c r="AG517" s="5" t="s">
        <v>354</v>
      </c>
      <c r="AH517" s="5" t="s">
        <v>354</v>
      </c>
      <c r="AI517" s="6" t="str">
        <f t="shared" si="17"/>
        <v>No</v>
      </c>
      <c r="AJ517" s="6" t="s">
        <v>926</v>
      </c>
      <c r="AK517" s="6" t="s">
        <v>73</v>
      </c>
      <c r="AL517" s="6">
        <f>MATCH(AA517,{"Low","Medium","High"},0)*MATCH(AB517,{"Low","Medium","High"},0)*INDEX({3,2,2,1,1},MATCH(X517,{"Core","Vertical extension","Differentiator","Future","Adjacent"},0))</f>
        <v>27</v>
      </c>
      <c r="AM517" s="5"/>
      <c r="AN517" s="5"/>
      <c r="AO517" s="5"/>
      <c r="AP517" s="5"/>
      <c r="AQ517" s="5"/>
      <c r="AR517" s="5"/>
      <c r="AS517" s="5"/>
      <c r="AT517" s="5"/>
      <c r="AU517" s="6" t="s">
        <v>927</v>
      </c>
      <c r="AV517" s="6" t="s">
        <v>928</v>
      </c>
      <c r="AW517" s="6" t="s">
        <v>928</v>
      </c>
      <c r="AX517" s="6" t="s">
        <v>929</v>
      </c>
      <c r="AY517" s="6" t="s">
        <v>930</v>
      </c>
      <c r="AZ517" s="6"/>
      <c r="BA517" s="6"/>
      <c r="BB517" s="6"/>
      <c r="BC517" s="6" t="s">
        <v>97</v>
      </c>
      <c r="BD517" s="6" t="s">
        <v>97</v>
      </c>
    </row>
    <row r="518" spans="1:56" ht="32" customHeight="1" x14ac:dyDescent="0.35">
      <c r="A518" s="13" t="s">
        <v>3970</v>
      </c>
      <c r="B518" s="6" t="s">
        <v>2114</v>
      </c>
      <c r="C518" s="5" t="s">
        <v>2115</v>
      </c>
      <c r="D518" s="5" t="s">
        <v>825</v>
      </c>
      <c r="E518" s="5" t="s">
        <v>3971</v>
      </c>
      <c r="F518" s="5" t="s">
        <v>1623</v>
      </c>
      <c r="G518" s="5" t="s">
        <v>3972</v>
      </c>
      <c r="H518" s="5" t="s">
        <v>3973</v>
      </c>
      <c r="I518" s="5" t="s">
        <v>3974</v>
      </c>
      <c r="J518" s="16" t="s">
        <v>73</v>
      </c>
      <c r="K518" s="17" t="s">
        <v>181</v>
      </c>
      <c r="L518" s="5" t="s">
        <v>3975</v>
      </c>
      <c r="M518" s="6" t="s">
        <v>197</v>
      </c>
      <c r="N518" s="6" t="s">
        <v>812</v>
      </c>
      <c r="O518" s="6" t="s">
        <v>73</v>
      </c>
      <c r="P518" s="5" t="s">
        <v>918</v>
      </c>
      <c r="Q518" s="17" t="s">
        <v>182</v>
      </c>
      <c r="R518" s="5"/>
      <c r="S518" s="6" t="s">
        <v>1053</v>
      </c>
      <c r="T518" s="5" t="s">
        <v>1054</v>
      </c>
      <c r="U518" s="6"/>
      <c r="V518" s="6" t="s">
        <v>1055</v>
      </c>
      <c r="W518" s="6" t="s">
        <v>333</v>
      </c>
      <c r="X518" s="5" t="s">
        <v>922</v>
      </c>
      <c r="Y518" s="5" t="s">
        <v>812</v>
      </c>
      <c r="Z518" s="5" t="str">
        <f t="shared" si="16"/>
        <v>Critical</v>
      </c>
      <c r="AA518" s="5" t="s">
        <v>923</v>
      </c>
      <c r="AB518" s="6" t="s">
        <v>923</v>
      </c>
      <c r="AC518" s="6" t="s">
        <v>78</v>
      </c>
      <c r="AD518" s="5" t="s">
        <v>925</v>
      </c>
      <c r="AE518" s="5" t="s">
        <v>354</v>
      </c>
      <c r="AF518" s="5" t="s">
        <v>354</v>
      </c>
      <c r="AG518" s="5" t="s">
        <v>354</v>
      </c>
      <c r="AH518" s="5" t="s">
        <v>354</v>
      </c>
      <c r="AI518" s="6" t="str">
        <f t="shared" si="17"/>
        <v>No</v>
      </c>
      <c r="AJ518" s="6" t="s">
        <v>926</v>
      </c>
      <c r="AK518" s="6" t="s">
        <v>73</v>
      </c>
      <c r="AL518" s="6">
        <f>MATCH(AA518,{"Low","Medium","High"},0)*MATCH(AB518,{"Low","Medium","High"},0)*INDEX({3,2,2,1,1},MATCH(X518,{"Core","Vertical extension","Differentiator","Future","Adjacent"},0))</f>
        <v>27</v>
      </c>
      <c r="AM518" s="5"/>
      <c r="AN518" s="5"/>
      <c r="AO518" s="5"/>
      <c r="AP518" s="5"/>
      <c r="AQ518" s="5"/>
      <c r="AR518" s="5"/>
      <c r="AS518" s="5"/>
      <c r="AT518" s="5"/>
      <c r="AU518" s="6" t="s">
        <v>927</v>
      </c>
      <c r="AV518" s="6" t="s">
        <v>928</v>
      </c>
      <c r="AW518" s="6" t="s">
        <v>928</v>
      </c>
      <c r="AX518" s="6" t="s">
        <v>929</v>
      </c>
      <c r="AY518" s="6" t="s">
        <v>930</v>
      </c>
      <c r="AZ518" s="6"/>
      <c r="BA518" s="6"/>
      <c r="BB518" s="6"/>
      <c r="BC518" s="6" t="s">
        <v>97</v>
      </c>
      <c r="BD518" s="6" t="s">
        <v>97</v>
      </c>
    </row>
    <row r="519" spans="1:56" ht="32" customHeight="1" x14ac:dyDescent="0.35">
      <c r="A519" s="13" t="s">
        <v>3976</v>
      </c>
      <c r="B519" s="6" t="s">
        <v>2114</v>
      </c>
      <c r="C519" s="5" t="s">
        <v>2115</v>
      </c>
      <c r="D519" s="5" t="s">
        <v>825</v>
      </c>
      <c r="E519" s="5" t="s">
        <v>3977</v>
      </c>
      <c r="F519" s="5" t="s">
        <v>1452</v>
      </c>
      <c r="G519" s="5" t="s">
        <v>3978</v>
      </c>
      <c r="H519" s="5" t="s">
        <v>3979</v>
      </c>
      <c r="I519" s="5" t="s">
        <v>3980</v>
      </c>
      <c r="J519" s="16" t="s">
        <v>73</v>
      </c>
      <c r="K519" s="17" t="s">
        <v>181</v>
      </c>
      <c r="L519" s="5" t="s">
        <v>3981</v>
      </c>
      <c r="M519" s="6" t="s">
        <v>197</v>
      </c>
      <c r="N519" s="6" t="s">
        <v>812</v>
      </c>
      <c r="O519" s="6" t="s">
        <v>73</v>
      </c>
      <c r="P519" s="5" t="s">
        <v>918</v>
      </c>
      <c r="Q519" s="17" t="s">
        <v>182</v>
      </c>
      <c r="R519" s="5"/>
      <c r="S519" s="6" t="s">
        <v>1053</v>
      </c>
      <c r="T519" s="5" t="s">
        <v>1054</v>
      </c>
      <c r="U519" s="6"/>
      <c r="V519" s="6" t="s">
        <v>1055</v>
      </c>
      <c r="W519" s="6" t="s">
        <v>333</v>
      </c>
      <c r="X519" s="5" t="s">
        <v>922</v>
      </c>
      <c r="Y519" s="5" t="s">
        <v>812</v>
      </c>
      <c r="Z519" s="5" t="str">
        <f t="shared" si="16"/>
        <v>Critical</v>
      </c>
      <c r="AA519" s="5" t="s">
        <v>923</v>
      </c>
      <c r="AB519" s="6" t="s">
        <v>923</v>
      </c>
      <c r="AC519" s="6" t="s">
        <v>78</v>
      </c>
      <c r="AD519" s="5" t="s">
        <v>925</v>
      </c>
      <c r="AE519" s="5" t="s">
        <v>354</v>
      </c>
      <c r="AF519" s="5" t="s">
        <v>354</v>
      </c>
      <c r="AG519" s="5" t="s">
        <v>354</v>
      </c>
      <c r="AH519" s="5" t="s">
        <v>354</v>
      </c>
      <c r="AI519" s="6" t="str">
        <f t="shared" si="17"/>
        <v>No</v>
      </c>
      <c r="AJ519" s="6" t="s">
        <v>926</v>
      </c>
      <c r="AK519" s="6" t="s">
        <v>73</v>
      </c>
      <c r="AL519" s="6">
        <f>MATCH(AA519,{"Low","Medium","High"},0)*MATCH(AB519,{"Low","Medium","High"},0)*INDEX({3,2,2,1,1},MATCH(X519,{"Core","Vertical extension","Differentiator","Future","Adjacent"},0))</f>
        <v>27</v>
      </c>
      <c r="AM519" s="5"/>
      <c r="AN519" s="5"/>
      <c r="AO519" s="5"/>
      <c r="AP519" s="5"/>
      <c r="AQ519" s="5"/>
      <c r="AR519" s="5"/>
      <c r="AS519" s="5"/>
      <c r="AT519" s="5"/>
      <c r="AU519" s="6" t="s">
        <v>927</v>
      </c>
      <c r="AV519" s="6" t="s">
        <v>55</v>
      </c>
      <c r="AW519" s="6" t="s">
        <v>55</v>
      </c>
      <c r="AX519" s="6" t="s">
        <v>929</v>
      </c>
      <c r="AY519" s="6" t="s">
        <v>930</v>
      </c>
      <c r="AZ519" s="6"/>
      <c r="BA519" s="6"/>
      <c r="BB519" s="6"/>
      <c r="BC519" s="6" t="s">
        <v>97</v>
      </c>
      <c r="BD519" s="6" t="s">
        <v>97</v>
      </c>
    </row>
    <row r="520" spans="1:56" ht="32" customHeight="1" x14ac:dyDescent="0.35">
      <c r="A520" s="13" t="s">
        <v>3982</v>
      </c>
      <c r="B520" s="6" t="s">
        <v>2114</v>
      </c>
      <c r="C520" s="5" t="s">
        <v>2115</v>
      </c>
      <c r="D520" s="5" t="s">
        <v>825</v>
      </c>
      <c r="E520" s="5" t="s">
        <v>3983</v>
      </c>
      <c r="F520" s="5" t="s">
        <v>1452</v>
      </c>
      <c r="G520" s="5" t="s">
        <v>1101</v>
      </c>
      <c r="H520" s="5" t="s">
        <v>3984</v>
      </c>
      <c r="I520" s="5" t="s">
        <v>3985</v>
      </c>
      <c r="J520" s="17" t="s">
        <v>121</v>
      </c>
      <c r="K520" s="17" t="s">
        <v>181</v>
      </c>
      <c r="L520" s="5" t="s">
        <v>3986</v>
      </c>
      <c r="M520" s="6" t="s">
        <v>197</v>
      </c>
      <c r="N520" s="6" t="s">
        <v>812</v>
      </c>
      <c r="O520" s="6" t="s">
        <v>121</v>
      </c>
      <c r="P520" s="5" t="s">
        <v>918</v>
      </c>
      <c r="Q520" s="17" t="s">
        <v>182</v>
      </c>
      <c r="R520" s="5"/>
      <c r="S520" s="6" t="s">
        <v>1053</v>
      </c>
      <c r="T520" s="5" t="s">
        <v>1054</v>
      </c>
      <c r="U520" s="6"/>
      <c r="V520" s="6" t="s">
        <v>1055</v>
      </c>
      <c r="W520" s="6" t="s">
        <v>333</v>
      </c>
      <c r="X520" s="5" t="s">
        <v>922</v>
      </c>
      <c r="Y520" s="5" t="s">
        <v>812</v>
      </c>
      <c r="Z520" s="5" t="str">
        <f t="shared" si="16"/>
        <v>Critical</v>
      </c>
      <c r="AA520" s="5" t="s">
        <v>923</v>
      </c>
      <c r="AB520" s="6" t="s">
        <v>923</v>
      </c>
      <c r="AC520" s="6" t="s">
        <v>103</v>
      </c>
      <c r="AD520" s="5" t="s">
        <v>925</v>
      </c>
      <c r="AE520" s="5" t="s">
        <v>354</v>
      </c>
      <c r="AF520" s="5" t="s">
        <v>354</v>
      </c>
      <c r="AG520" s="5" t="s">
        <v>354</v>
      </c>
      <c r="AH520" s="5" t="s">
        <v>354</v>
      </c>
      <c r="AI520" s="6" t="str">
        <f t="shared" si="17"/>
        <v>No</v>
      </c>
      <c r="AJ520" s="6" t="s">
        <v>926</v>
      </c>
      <c r="AK520" s="6" t="s">
        <v>121</v>
      </c>
      <c r="AL520" s="6">
        <f>MATCH(AA520,{"Low","Medium","High"},0)*MATCH(AB520,{"Low","Medium","High"},0)*INDEX({3,2,2,1,1},MATCH(X520,{"Core","Vertical extension","Differentiator","Future","Adjacent"},0))</f>
        <v>27</v>
      </c>
      <c r="AM520" s="5"/>
      <c r="AN520" s="5"/>
      <c r="AO520" s="5"/>
      <c r="AP520" s="5"/>
      <c r="AQ520" s="5"/>
      <c r="AR520" s="5"/>
      <c r="AS520" s="5"/>
      <c r="AT520" s="5"/>
      <c r="AU520" s="6" t="s">
        <v>927</v>
      </c>
      <c r="AV520" s="6" t="s">
        <v>55</v>
      </c>
      <c r="AW520" s="6" t="s">
        <v>55</v>
      </c>
      <c r="AX520" s="6" t="s">
        <v>929</v>
      </c>
      <c r="AY520" s="6" t="s">
        <v>930</v>
      </c>
      <c r="AZ520" s="6"/>
      <c r="BA520" s="6"/>
      <c r="BB520" s="6"/>
      <c r="BC520" s="6" t="s">
        <v>97</v>
      </c>
      <c r="BD520" s="6" t="s">
        <v>97</v>
      </c>
    </row>
    <row r="521" spans="1:56" ht="32" customHeight="1" x14ac:dyDescent="0.35">
      <c r="A521" s="13" t="s">
        <v>3987</v>
      </c>
      <c r="B521" s="6" t="s">
        <v>2114</v>
      </c>
      <c r="C521" s="5" t="s">
        <v>2115</v>
      </c>
      <c r="D521" s="5" t="s">
        <v>825</v>
      </c>
      <c r="E521" s="5" t="s">
        <v>3988</v>
      </c>
      <c r="F521" s="5" t="s">
        <v>1452</v>
      </c>
      <c r="G521" s="5" t="s">
        <v>3989</v>
      </c>
      <c r="H521" s="5" t="s">
        <v>3990</v>
      </c>
      <c r="I521" s="5" t="s">
        <v>3991</v>
      </c>
      <c r="J521" s="17" t="s">
        <v>121</v>
      </c>
      <c r="K521" s="17" t="s">
        <v>181</v>
      </c>
      <c r="L521" s="5" t="s">
        <v>3992</v>
      </c>
      <c r="M521" s="6" t="s">
        <v>197</v>
      </c>
      <c r="N521" s="6" t="s">
        <v>812</v>
      </c>
      <c r="O521" s="6" t="s">
        <v>121</v>
      </c>
      <c r="P521" s="5" t="s">
        <v>918</v>
      </c>
      <c r="Q521" s="17" t="s">
        <v>182</v>
      </c>
      <c r="R521" s="5"/>
      <c r="S521" s="6" t="s">
        <v>1053</v>
      </c>
      <c r="T521" s="5" t="s">
        <v>1054</v>
      </c>
      <c r="U521" s="6"/>
      <c r="V521" s="6" t="s">
        <v>1055</v>
      </c>
      <c r="W521" s="6" t="s">
        <v>333</v>
      </c>
      <c r="X521" s="5" t="s">
        <v>922</v>
      </c>
      <c r="Y521" s="5" t="s">
        <v>812</v>
      </c>
      <c r="Z521" s="5" t="str">
        <f t="shared" si="16"/>
        <v>Critical</v>
      </c>
      <c r="AA521" s="5" t="s">
        <v>923</v>
      </c>
      <c r="AB521" s="6" t="s">
        <v>923</v>
      </c>
      <c r="AC521" s="6" t="s">
        <v>103</v>
      </c>
      <c r="AD521" s="5" t="s">
        <v>925</v>
      </c>
      <c r="AE521" s="5" t="s">
        <v>354</v>
      </c>
      <c r="AF521" s="5" t="s">
        <v>354</v>
      </c>
      <c r="AG521" s="5" t="s">
        <v>354</v>
      </c>
      <c r="AH521" s="5" t="s">
        <v>354</v>
      </c>
      <c r="AI521" s="6" t="str">
        <f t="shared" si="17"/>
        <v>No</v>
      </c>
      <c r="AJ521" s="6" t="s">
        <v>926</v>
      </c>
      <c r="AK521" s="6" t="s">
        <v>121</v>
      </c>
      <c r="AL521" s="6">
        <f>MATCH(AA521,{"Low","Medium","High"},0)*MATCH(AB521,{"Low","Medium","High"},0)*INDEX({3,2,2,1,1},MATCH(X521,{"Core","Vertical extension","Differentiator","Future","Adjacent"},0))</f>
        <v>27</v>
      </c>
      <c r="AM521" s="5"/>
      <c r="AN521" s="5"/>
      <c r="AO521" s="5"/>
      <c r="AP521" s="5"/>
      <c r="AQ521" s="5"/>
      <c r="AR521" s="5"/>
      <c r="AS521" s="5"/>
      <c r="AT521" s="5"/>
      <c r="AU521" s="6" t="s">
        <v>927</v>
      </c>
      <c r="AV521" s="6" t="s">
        <v>55</v>
      </c>
      <c r="AW521" s="6" t="s">
        <v>55</v>
      </c>
      <c r="AX521" s="6" t="s">
        <v>929</v>
      </c>
      <c r="AY521" s="6" t="s">
        <v>930</v>
      </c>
      <c r="AZ521" s="6"/>
      <c r="BA521" s="6"/>
      <c r="BB521" s="6"/>
      <c r="BC521" s="6" t="s">
        <v>97</v>
      </c>
      <c r="BD521" s="6" t="s">
        <v>97</v>
      </c>
    </row>
    <row r="522" spans="1:56" ht="32" customHeight="1" x14ac:dyDescent="0.35">
      <c r="A522" s="13" t="s">
        <v>3993</v>
      </c>
      <c r="B522" s="6" t="s">
        <v>2114</v>
      </c>
      <c r="C522" s="5" t="s">
        <v>2115</v>
      </c>
      <c r="D522" s="5" t="s">
        <v>825</v>
      </c>
      <c r="E522" s="5" t="s">
        <v>3994</v>
      </c>
      <c r="F522" s="5" t="s">
        <v>1452</v>
      </c>
      <c r="G522" s="5" t="s">
        <v>1017</v>
      </c>
      <c r="H522" s="5" t="s">
        <v>3995</v>
      </c>
      <c r="I522" s="5" t="s">
        <v>3996</v>
      </c>
      <c r="J522" s="17" t="s">
        <v>121</v>
      </c>
      <c r="K522" s="17" t="s">
        <v>181</v>
      </c>
      <c r="L522" s="5" t="s">
        <v>3997</v>
      </c>
      <c r="M522" s="6" t="s">
        <v>197</v>
      </c>
      <c r="N522" s="6" t="s">
        <v>812</v>
      </c>
      <c r="O522" s="6" t="s">
        <v>121</v>
      </c>
      <c r="P522" s="5" t="s">
        <v>918</v>
      </c>
      <c r="Q522" s="17" t="s">
        <v>182</v>
      </c>
      <c r="R522" s="5"/>
      <c r="S522" s="6" t="s">
        <v>1053</v>
      </c>
      <c r="T522" s="5" t="s">
        <v>1054</v>
      </c>
      <c r="U522" s="6"/>
      <c r="V522" s="6" t="s">
        <v>1055</v>
      </c>
      <c r="W522" s="6" t="s">
        <v>333</v>
      </c>
      <c r="X522" s="5" t="s">
        <v>922</v>
      </c>
      <c r="Y522" s="5" t="s">
        <v>812</v>
      </c>
      <c r="Z522" s="5" t="str">
        <f t="shared" si="16"/>
        <v>Critical</v>
      </c>
      <c r="AA522" s="5" t="s">
        <v>923</v>
      </c>
      <c r="AB522" s="6" t="s">
        <v>923</v>
      </c>
      <c r="AC522" s="6" t="s">
        <v>103</v>
      </c>
      <c r="AD522" s="5" t="s">
        <v>925</v>
      </c>
      <c r="AE522" s="5" t="s">
        <v>354</v>
      </c>
      <c r="AF522" s="5" t="s">
        <v>354</v>
      </c>
      <c r="AG522" s="5" t="s">
        <v>354</v>
      </c>
      <c r="AH522" s="5" t="s">
        <v>354</v>
      </c>
      <c r="AI522" s="6" t="str">
        <f t="shared" si="17"/>
        <v>No</v>
      </c>
      <c r="AJ522" s="6" t="s">
        <v>926</v>
      </c>
      <c r="AK522" s="6" t="s">
        <v>121</v>
      </c>
      <c r="AL522" s="6">
        <f>MATCH(AA522,{"Low","Medium","High"},0)*MATCH(AB522,{"Low","Medium","High"},0)*INDEX({3,2,2,1,1},MATCH(X522,{"Core","Vertical extension","Differentiator","Future","Adjacent"},0))</f>
        <v>27</v>
      </c>
      <c r="AM522" s="5"/>
      <c r="AN522" s="5"/>
      <c r="AO522" s="5"/>
      <c r="AP522" s="5"/>
      <c r="AQ522" s="5"/>
      <c r="AR522" s="5"/>
      <c r="AS522" s="5"/>
      <c r="AT522" s="5"/>
      <c r="AU522" s="6" t="s">
        <v>927</v>
      </c>
      <c r="AV522" s="6" t="s">
        <v>55</v>
      </c>
      <c r="AW522" s="6" t="s">
        <v>55</v>
      </c>
      <c r="AX522" s="6" t="s">
        <v>929</v>
      </c>
      <c r="AY522" s="6" t="s">
        <v>930</v>
      </c>
      <c r="AZ522" s="6"/>
      <c r="BA522" s="6"/>
      <c r="BB522" s="6"/>
      <c r="BC522" s="6" t="s">
        <v>97</v>
      </c>
      <c r="BD522" s="6" t="s">
        <v>97</v>
      </c>
    </row>
    <row r="523" spans="1:56" ht="32" customHeight="1" x14ac:dyDescent="0.35">
      <c r="A523" s="13" t="s">
        <v>126</v>
      </c>
      <c r="B523" s="6" t="s">
        <v>2114</v>
      </c>
      <c r="C523" s="5" t="s">
        <v>2115</v>
      </c>
      <c r="D523" s="5" t="s">
        <v>825</v>
      </c>
      <c r="E523" s="5" t="s">
        <v>788</v>
      </c>
      <c r="F523" s="5" t="s">
        <v>1452</v>
      </c>
      <c r="G523" s="5" t="s">
        <v>3998</v>
      </c>
      <c r="H523" s="5" t="s">
        <v>3999</v>
      </c>
      <c r="I523" s="5" t="s">
        <v>4000</v>
      </c>
      <c r="J523" s="17" t="s">
        <v>121</v>
      </c>
      <c r="K523" s="16" t="s">
        <v>122</v>
      </c>
      <c r="L523" s="5" t="s">
        <v>4001</v>
      </c>
      <c r="M523" s="6" t="s">
        <v>197</v>
      </c>
      <c r="N523" s="6" t="s">
        <v>812</v>
      </c>
      <c r="O523" s="6" t="s">
        <v>121</v>
      </c>
      <c r="P523" s="5" t="s">
        <v>918</v>
      </c>
      <c r="Q523" s="16" t="s">
        <v>122</v>
      </c>
      <c r="R523" s="5" t="s">
        <v>4002</v>
      </c>
      <c r="S523" s="6" t="s">
        <v>1053</v>
      </c>
      <c r="T523" s="5" t="s">
        <v>1054</v>
      </c>
      <c r="U523" s="6"/>
      <c r="V523" s="6" t="s">
        <v>1055</v>
      </c>
      <c r="W523" s="6" t="s">
        <v>333</v>
      </c>
      <c r="X523" s="5" t="s">
        <v>922</v>
      </c>
      <c r="Y523" s="5" t="s">
        <v>812</v>
      </c>
      <c r="Z523" s="5" t="str">
        <f t="shared" si="16"/>
        <v>Critical</v>
      </c>
      <c r="AA523" s="5" t="s">
        <v>923</v>
      </c>
      <c r="AB523" s="6" t="s">
        <v>923</v>
      </c>
      <c r="AC523" s="6" t="s">
        <v>103</v>
      </c>
      <c r="AD523" s="5" t="s">
        <v>439</v>
      </c>
      <c r="AE523" s="5" t="s">
        <v>354</v>
      </c>
      <c r="AF523" s="5" t="s">
        <v>354</v>
      </c>
      <c r="AG523" s="5" t="s">
        <v>354</v>
      </c>
      <c r="AH523" s="5" t="s">
        <v>354</v>
      </c>
      <c r="AI523" s="6" t="str">
        <f t="shared" si="17"/>
        <v>No</v>
      </c>
      <c r="AJ523" s="6" t="s">
        <v>4003</v>
      </c>
      <c r="AK523" s="6" t="s">
        <v>121</v>
      </c>
      <c r="AL523" s="6">
        <f>MATCH(AA523,{"Low","Medium","High"},0)*MATCH(AB523,{"Low","Medium","High"},0)*INDEX({3,2,2,1,1},MATCH(X523,{"Core","Vertical extension","Differentiator","Future","Adjacent"},0))</f>
        <v>27</v>
      </c>
      <c r="AM523" s="5"/>
      <c r="AN523" s="5"/>
      <c r="AO523" s="5"/>
      <c r="AP523" s="5"/>
      <c r="AQ523" s="5"/>
      <c r="AR523" s="5"/>
      <c r="AS523" s="5"/>
      <c r="AT523" s="5"/>
      <c r="AU523" s="6" t="s">
        <v>927</v>
      </c>
      <c r="AV523" s="6" t="s">
        <v>55</v>
      </c>
      <c r="AW523" s="6" t="s">
        <v>55</v>
      </c>
      <c r="AX523" s="6" t="s">
        <v>929</v>
      </c>
      <c r="AY523" s="6" t="s">
        <v>930</v>
      </c>
      <c r="AZ523" s="6"/>
      <c r="BA523" s="6"/>
      <c r="BB523" s="6"/>
      <c r="BC523" s="6" t="s">
        <v>97</v>
      </c>
      <c r="BD523" s="6" t="s">
        <v>97</v>
      </c>
    </row>
    <row r="524" spans="1:56" ht="32" customHeight="1" x14ac:dyDescent="0.35">
      <c r="A524" s="13" t="s">
        <v>4004</v>
      </c>
      <c r="B524" s="6" t="s">
        <v>2114</v>
      </c>
      <c r="C524" s="5" t="s">
        <v>2115</v>
      </c>
      <c r="D524" s="5" t="s">
        <v>834</v>
      </c>
      <c r="E524" s="5" t="s">
        <v>4005</v>
      </c>
      <c r="F524" s="5" t="s">
        <v>4006</v>
      </c>
      <c r="G524" s="5" t="s">
        <v>4007</v>
      </c>
      <c r="H524" s="5" t="s">
        <v>4008</v>
      </c>
      <c r="I524" s="5" t="s">
        <v>4009</v>
      </c>
      <c r="J524" s="17" t="s">
        <v>121</v>
      </c>
      <c r="K524" s="17" t="s">
        <v>181</v>
      </c>
      <c r="L524" s="5" t="s">
        <v>4010</v>
      </c>
      <c r="M524" s="6" t="s">
        <v>197</v>
      </c>
      <c r="N524" s="6" t="s">
        <v>812</v>
      </c>
      <c r="O524" s="6" t="s">
        <v>121</v>
      </c>
      <c r="P524" s="5" t="s">
        <v>918</v>
      </c>
      <c r="Q524" s="17" t="s">
        <v>182</v>
      </c>
      <c r="R524" s="5"/>
      <c r="S524" s="6" t="s">
        <v>1000</v>
      </c>
      <c r="T524" s="5" t="s">
        <v>1001</v>
      </c>
      <c r="U524" s="6"/>
      <c r="V524" s="6" t="s">
        <v>1002</v>
      </c>
      <c r="W524" s="6" t="s">
        <v>333</v>
      </c>
      <c r="X524" s="5" t="s">
        <v>922</v>
      </c>
      <c r="Y524" s="5" t="s">
        <v>812</v>
      </c>
      <c r="Z524" s="5" t="str">
        <f t="shared" si="16"/>
        <v>Critical</v>
      </c>
      <c r="AA524" s="5" t="s">
        <v>923</v>
      </c>
      <c r="AB524" s="6" t="s">
        <v>956</v>
      </c>
      <c r="AC524" s="6" t="s">
        <v>103</v>
      </c>
      <c r="AD524" s="5" t="s">
        <v>925</v>
      </c>
      <c r="AE524" s="5" t="s">
        <v>354</v>
      </c>
      <c r="AF524" s="5" t="s">
        <v>354</v>
      </c>
      <c r="AG524" s="5" t="s">
        <v>354</v>
      </c>
      <c r="AH524" s="5" t="s">
        <v>354</v>
      </c>
      <c r="AI524" s="6" t="str">
        <f t="shared" si="17"/>
        <v>No</v>
      </c>
      <c r="AJ524" s="6" t="s">
        <v>926</v>
      </c>
      <c r="AK524" s="6" t="s">
        <v>121</v>
      </c>
      <c r="AL524" s="6">
        <f>MATCH(AA524,{"Low","Medium","High"},0)*MATCH(AB524,{"Low","Medium","High"},0)*INDEX({3,2,2,1,1},MATCH(X524,{"Core","Vertical extension","Differentiator","Future","Adjacent"},0))</f>
        <v>18</v>
      </c>
      <c r="AM524" s="5"/>
      <c r="AN524" s="5"/>
      <c r="AO524" s="5"/>
      <c r="AP524" s="5"/>
      <c r="AQ524" s="5"/>
      <c r="AR524" s="5"/>
      <c r="AS524" s="5"/>
      <c r="AT524" s="5"/>
      <c r="AU524" s="6" t="s">
        <v>927</v>
      </c>
      <c r="AV524" s="6" t="s">
        <v>2161</v>
      </c>
      <c r="AW524" s="6" t="s">
        <v>2161</v>
      </c>
      <c r="AX524" s="6" t="s">
        <v>929</v>
      </c>
      <c r="AY524" s="6" t="s">
        <v>930</v>
      </c>
      <c r="AZ524" s="6"/>
      <c r="BA524" s="6"/>
      <c r="BB524" s="6"/>
      <c r="BC524" s="6" t="s">
        <v>97</v>
      </c>
      <c r="BD524" s="6" t="s">
        <v>97</v>
      </c>
    </row>
    <row r="525" spans="1:56" ht="32" customHeight="1" x14ac:dyDescent="0.35">
      <c r="A525" s="13" t="s">
        <v>4011</v>
      </c>
      <c r="B525" s="6" t="s">
        <v>2114</v>
      </c>
      <c r="C525" s="5" t="s">
        <v>2115</v>
      </c>
      <c r="D525" s="5" t="s">
        <v>834</v>
      </c>
      <c r="E525" s="5" t="s">
        <v>4012</v>
      </c>
      <c r="F525" s="5" t="s">
        <v>4013</v>
      </c>
      <c r="G525" s="5" t="s">
        <v>1017</v>
      </c>
      <c r="H525" s="5" t="s">
        <v>4014</v>
      </c>
      <c r="I525" s="5" t="s">
        <v>4015</v>
      </c>
      <c r="J525" s="17" t="s">
        <v>121</v>
      </c>
      <c r="K525" s="17" t="s">
        <v>181</v>
      </c>
      <c r="L525" s="5" t="s">
        <v>4016</v>
      </c>
      <c r="M525" s="6" t="s">
        <v>197</v>
      </c>
      <c r="N525" s="6" t="s">
        <v>812</v>
      </c>
      <c r="O525" s="6" t="s">
        <v>121</v>
      </c>
      <c r="P525" s="5" t="s">
        <v>918</v>
      </c>
      <c r="Q525" s="17" t="s">
        <v>182</v>
      </c>
      <c r="R525" s="5"/>
      <c r="S525" s="6" t="s">
        <v>1000</v>
      </c>
      <c r="T525" s="5" t="s">
        <v>1001</v>
      </c>
      <c r="U525" s="6"/>
      <c r="V525" s="6" t="s">
        <v>1002</v>
      </c>
      <c r="W525" s="6" t="s">
        <v>333</v>
      </c>
      <c r="X525" s="5" t="s">
        <v>922</v>
      </c>
      <c r="Y525" s="5" t="s">
        <v>812</v>
      </c>
      <c r="Z525" s="5" t="str">
        <f t="shared" si="16"/>
        <v>Critical</v>
      </c>
      <c r="AA525" s="5" t="s">
        <v>923</v>
      </c>
      <c r="AB525" s="6" t="s">
        <v>956</v>
      </c>
      <c r="AC525" s="6" t="s">
        <v>103</v>
      </c>
      <c r="AD525" s="5" t="s">
        <v>925</v>
      </c>
      <c r="AE525" s="5" t="s">
        <v>354</v>
      </c>
      <c r="AF525" s="5" t="s">
        <v>354</v>
      </c>
      <c r="AG525" s="5" t="s">
        <v>354</v>
      </c>
      <c r="AH525" s="5" t="s">
        <v>354</v>
      </c>
      <c r="AI525" s="6" t="str">
        <f t="shared" si="17"/>
        <v>No</v>
      </c>
      <c r="AJ525" s="6" t="s">
        <v>926</v>
      </c>
      <c r="AK525" s="6" t="s">
        <v>121</v>
      </c>
      <c r="AL525" s="6">
        <f>MATCH(AA525,{"Low","Medium","High"},0)*MATCH(AB525,{"Low","Medium","High"},0)*INDEX({3,2,2,1,1},MATCH(X525,{"Core","Vertical extension","Differentiator","Future","Adjacent"},0))</f>
        <v>18</v>
      </c>
      <c r="AM525" s="5"/>
      <c r="AN525" s="5"/>
      <c r="AO525" s="5"/>
      <c r="AP525" s="5"/>
      <c r="AQ525" s="5"/>
      <c r="AR525" s="5"/>
      <c r="AS525" s="5"/>
      <c r="AT525" s="5"/>
      <c r="AU525" s="6" t="s">
        <v>927</v>
      </c>
      <c r="AV525" s="6" t="s">
        <v>55</v>
      </c>
      <c r="AW525" s="6" t="s">
        <v>55</v>
      </c>
      <c r="AX525" s="6" t="s">
        <v>929</v>
      </c>
      <c r="AY525" s="6" t="s">
        <v>930</v>
      </c>
      <c r="AZ525" s="6"/>
      <c r="BA525" s="6"/>
      <c r="BB525" s="6"/>
      <c r="BC525" s="6" t="s">
        <v>97</v>
      </c>
      <c r="BD525" s="6" t="s">
        <v>97</v>
      </c>
    </row>
    <row r="526" spans="1:56" ht="32" customHeight="1" x14ac:dyDescent="0.35">
      <c r="A526" s="13" t="s">
        <v>4017</v>
      </c>
      <c r="B526" s="6" t="s">
        <v>2114</v>
      </c>
      <c r="C526" s="5" t="s">
        <v>2115</v>
      </c>
      <c r="D526" s="5" t="s">
        <v>834</v>
      </c>
      <c r="E526" s="5" t="s">
        <v>4018</v>
      </c>
      <c r="F526" s="5" t="s">
        <v>1710</v>
      </c>
      <c r="G526" s="5" t="s">
        <v>4019</v>
      </c>
      <c r="H526" s="5" t="s">
        <v>4020</v>
      </c>
      <c r="I526" s="5" t="s">
        <v>4021</v>
      </c>
      <c r="J526" s="17" t="s">
        <v>121</v>
      </c>
      <c r="K526" s="17" t="s">
        <v>181</v>
      </c>
      <c r="L526" s="5" t="s">
        <v>4022</v>
      </c>
      <c r="M526" s="6" t="s">
        <v>197</v>
      </c>
      <c r="N526" s="6" t="s">
        <v>812</v>
      </c>
      <c r="O526" s="6" t="s">
        <v>121</v>
      </c>
      <c r="P526" s="5" t="s">
        <v>918</v>
      </c>
      <c r="Q526" s="17" t="s">
        <v>182</v>
      </c>
      <c r="R526" s="5"/>
      <c r="S526" s="6" t="s">
        <v>1000</v>
      </c>
      <c r="T526" s="5" t="s">
        <v>1001</v>
      </c>
      <c r="U526" s="6"/>
      <c r="V526" s="6" t="s">
        <v>1002</v>
      </c>
      <c r="W526" s="6" t="s">
        <v>333</v>
      </c>
      <c r="X526" s="5" t="s">
        <v>922</v>
      </c>
      <c r="Y526" s="5" t="s">
        <v>812</v>
      </c>
      <c r="Z526" s="5" t="str">
        <f t="shared" si="16"/>
        <v>Critical</v>
      </c>
      <c r="AA526" s="5" t="s">
        <v>923</v>
      </c>
      <c r="AB526" s="6" t="s">
        <v>956</v>
      </c>
      <c r="AC526" s="6" t="s">
        <v>103</v>
      </c>
      <c r="AD526" s="5" t="s">
        <v>925</v>
      </c>
      <c r="AE526" s="5" t="s">
        <v>354</v>
      </c>
      <c r="AF526" s="5" t="s">
        <v>354</v>
      </c>
      <c r="AG526" s="5" t="s">
        <v>354</v>
      </c>
      <c r="AH526" s="5" t="s">
        <v>354</v>
      </c>
      <c r="AI526" s="6" t="str">
        <f t="shared" si="17"/>
        <v>No</v>
      </c>
      <c r="AJ526" s="6" t="s">
        <v>926</v>
      </c>
      <c r="AK526" s="6" t="s">
        <v>121</v>
      </c>
      <c r="AL526" s="6">
        <f>MATCH(AA526,{"Low","Medium","High"},0)*MATCH(AB526,{"Low","Medium","High"},0)*INDEX({3,2,2,1,1},MATCH(X526,{"Core","Vertical extension","Differentiator","Future","Adjacent"},0))</f>
        <v>18</v>
      </c>
      <c r="AM526" s="5"/>
      <c r="AN526" s="5"/>
      <c r="AO526" s="5"/>
      <c r="AP526" s="5"/>
      <c r="AQ526" s="5"/>
      <c r="AR526" s="5"/>
      <c r="AS526" s="5"/>
      <c r="AT526" s="5"/>
      <c r="AU526" s="6" t="s">
        <v>927</v>
      </c>
      <c r="AV526" s="6" t="s">
        <v>55</v>
      </c>
      <c r="AW526" s="6" t="s">
        <v>55</v>
      </c>
      <c r="AX526" s="6" t="s">
        <v>929</v>
      </c>
      <c r="AY526" s="6" t="s">
        <v>930</v>
      </c>
      <c r="AZ526" s="6"/>
      <c r="BA526" s="6"/>
      <c r="BB526" s="6"/>
      <c r="BC526" s="6" t="s">
        <v>97</v>
      </c>
      <c r="BD526" s="6" t="s">
        <v>97</v>
      </c>
    </row>
    <row r="527" spans="1:56" ht="32" customHeight="1" x14ac:dyDescent="0.35">
      <c r="A527" s="13" t="s">
        <v>4023</v>
      </c>
      <c r="B527" s="6" t="s">
        <v>2114</v>
      </c>
      <c r="C527" s="5" t="s">
        <v>2115</v>
      </c>
      <c r="D527" s="5" t="s">
        <v>834</v>
      </c>
      <c r="E527" s="5" t="s">
        <v>4024</v>
      </c>
      <c r="F527" s="5" t="s">
        <v>1452</v>
      </c>
      <c r="G527" s="5" t="s">
        <v>1017</v>
      </c>
      <c r="H527" s="5" t="s">
        <v>4025</v>
      </c>
      <c r="I527" s="5" t="s">
        <v>4026</v>
      </c>
      <c r="J527" s="19" t="s">
        <v>151</v>
      </c>
      <c r="K527" s="17" t="s">
        <v>181</v>
      </c>
      <c r="L527" s="5" t="s">
        <v>4027</v>
      </c>
      <c r="M527" s="6" t="s">
        <v>197</v>
      </c>
      <c r="N527" s="6" t="s">
        <v>812</v>
      </c>
      <c r="O527" s="6" t="s">
        <v>151</v>
      </c>
      <c r="P527" s="5" t="s">
        <v>1115</v>
      </c>
      <c r="Q527" s="17" t="s">
        <v>182</v>
      </c>
      <c r="R527" s="5" t="s">
        <v>1115</v>
      </c>
      <c r="S527" s="6" t="s">
        <v>1000</v>
      </c>
      <c r="T527" s="5" t="s">
        <v>1001</v>
      </c>
      <c r="U527" s="6"/>
      <c r="V527" s="6" t="s">
        <v>1002</v>
      </c>
      <c r="W527" s="6" t="s">
        <v>333</v>
      </c>
      <c r="X527" s="5" t="s">
        <v>922</v>
      </c>
      <c r="Y527" s="5" t="s">
        <v>812</v>
      </c>
      <c r="Z527" s="5" t="str">
        <f t="shared" si="16"/>
        <v>Critical</v>
      </c>
      <c r="AA527" s="5" t="s">
        <v>923</v>
      </c>
      <c r="AB527" s="6" t="s">
        <v>956</v>
      </c>
      <c r="AC527" s="6" t="s">
        <v>11</v>
      </c>
      <c r="AD527" s="5" t="s">
        <v>925</v>
      </c>
      <c r="AE527" s="5" t="s">
        <v>354</v>
      </c>
      <c r="AF527" s="5" t="s">
        <v>354</v>
      </c>
      <c r="AG527" s="5" t="s">
        <v>354</v>
      </c>
      <c r="AH527" s="5" t="s">
        <v>354</v>
      </c>
      <c r="AI527" s="6" t="str">
        <f t="shared" si="17"/>
        <v>No</v>
      </c>
      <c r="AJ527" s="6" t="s">
        <v>926</v>
      </c>
      <c r="AK527" s="6" t="s">
        <v>151</v>
      </c>
      <c r="AL527" s="6">
        <f>MATCH(AA527,{"Low","Medium","High"},0)*MATCH(AB527,{"Low","Medium","High"},0)*INDEX({3,2,2,1,1},MATCH(X527,{"Core","Vertical extension","Differentiator","Future","Adjacent"},0))</f>
        <v>18</v>
      </c>
      <c r="AM527" s="5"/>
      <c r="AN527" s="5"/>
      <c r="AO527" s="5"/>
      <c r="AP527" s="5"/>
      <c r="AQ527" s="5"/>
      <c r="AR527" s="5"/>
      <c r="AS527" s="5"/>
      <c r="AT527" s="5"/>
      <c r="AU527" s="6" t="s">
        <v>927</v>
      </c>
      <c r="AV527" s="6" t="s">
        <v>55</v>
      </c>
      <c r="AW527" s="6" t="s">
        <v>55</v>
      </c>
      <c r="AX527" s="6" t="s">
        <v>1003</v>
      </c>
      <c r="AY527" s="6" t="s">
        <v>930</v>
      </c>
      <c r="AZ527" s="6"/>
      <c r="BA527" s="6"/>
      <c r="BB527" s="6"/>
      <c r="BC527" s="6" t="s">
        <v>97</v>
      </c>
      <c r="BD527" s="6" t="s">
        <v>97</v>
      </c>
    </row>
    <row r="528" spans="1:56" ht="32" customHeight="1" x14ac:dyDescent="0.35">
      <c r="A528" s="13" t="s">
        <v>4028</v>
      </c>
      <c r="B528" s="6" t="s">
        <v>2114</v>
      </c>
      <c r="C528" s="5" t="s">
        <v>2115</v>
      </c>
      <c r="D528" s="5" t="s">
        <v>834</v>
      </c>
      <c r="E528" s="5" t="s">
        <v>4029</v>
      </c>
      <c r="F528" s="5" t="s">
        <v>4030</v>
      </c>
      <c r="G528" s="5" t="s">
        <v>2197</v>
      </c>
      <c r="H528" s="5" t="s">
        <v>4031</v>
      </c>
      <c r="I528" s="5" t="s">
        <v>4032</v>
      </c>
      <c r="J528" s="16" t="s">
        <v>73</v>
      </c>
      <c r="K528" s="17" t="s">
        <v>181</v>
      </c>
      <c r="L528" s="5" t="s">
        <v>4033</v>
      </c>
      <c r="M528" s="6" t="s">
        <v>197</v>
      </c>
      <c r="N528" s="6" t="s">
        <v>812</v>
      </c>
      <c r="O528" s="6" t="s">
        <v>73</v>
      </c>
      <c r="P528" s="5" t="s">
        <v>918</v>
      </c>
      <c r="Q528" s="17" t="s">
        <v>182</v>
      </c>
      <c r="R528" s="5"/>
      <c r="S528" s="6" t="s">
        <v>1000</v>
      </c>
      <c r="T528" s="5" t="s">
        <v>1001</v>
      </c>
      <c r="U528" s="6"/>
      <c r="V528" s="6" t="s">
        <v>1002</v>
      </c>
      <c r="W528" s="6" t="s">
        <v>333</v>
      </c>
      <c r="X528" s="5" t="s">
        <v>922</v>
      </c>
      <c r="Y528" s="5" t="s">
        <v>812</v>
      </c>
      <c r="Z528" s="5" t="str">
        <f t="shared" si="16"/>
        <v>Critical</v>
      </c>
      <c r="AA528" s="5" t="s">
        <v>923</v>
      </c>
      <c r="AB528" s="6" t="s">
        <v>956</v>
      </c>
      <c r="AC528" s="6" t="s">
        <v>78</v>
      </c>
      <c r="AD528" s="5" t="s">
        <v>925</v>
      </c>
      <c r="AE528" s="5" t="s">
        <v>354</v>
      </c>
      <c r="AF528" s="5" t="s">
        <v>354</v>
      </c>
      <c r="AG528" s="5" t="s">
        <v>354</v>
      </c>
      <c r="AH528" s="5" t="s">
        <v>354</v>
      </c>
      <c r="AI528" s="6" t="str">
        <f t="shared" si="17"/>
        <v>No</v>
      </c>
      <c r="AJ528" s="6" t="s">
        <v>926</v>
      </c>
      <c r="AK528" s="6" t="s">
        <v>73</v>
      </c>
      <c r="AL528" s="6">
        <f>MATCH(AA528,{"Low","Medium","High"},0)*MATCH(AB528,{"Low","Medium","High"},0)*INDEX({3,2,2,1,1},MATCH(X528,{"Core","Vertical extension","Differentiator","Future","Adjacent"},0))</f>
        <v>18</v>
      </c>
      <c r="AM528" s="5"/>
      <c r="AN528" s="5"/>
      <c r="AO528" s="5"/>
      <c r="AP528" s="5"/>
      <c r="AQ528" s="5"/>
      <c r="AR528" s="5"/>
      <c r="AS528" s="5"/>
      <c r="AT528" s="5"/>
      <c r="AU528" s="6" t="s">
        <v>927</v>
      </c>
      <c r="AV528" s="6" t="s">
        <v>2161</v>
      </c>
      <c r="AW528" s="6" t="s">
        <v>2161</v>
      </c>
      <c r="AX528" s="6" t="s">
        <v>929</v>
      </c>
      <c r="AY528" s="6" t="s">
        <v>930</v>
      </c>
      <c r="AZ528" s="6"/>
      <c r="BA528" s="6"/>
      <c r="BB528" s="6"/>
      <c r="BC528" s="6" t="s">
        <v>97</v>
      </c>
      <c r="BD528" s="6" t="s">
        <v>97</v>
      </c>
    </row>
    <row r="529" spans="1:56" ht="32" customHeight="1" x14ac:dyDescent="0.35">
      <c r="A529" s="13" t="s">
        <v>4034</v>
      </c>
      <c r="B529" s="6" t="s">
        <v>2114</v>
      </c>
      <c r="C529" s="5" t="s">
        <v>2115</v>
      </c>
      <c r="D529" s="5" t="s">
        <v>837</v>
      </c>
      <c r="E529" s="5" t="s">
        <v>4035</v>
      </c>
      <c r="F529" s="5" t="s">
        <v>1333</v>
      </c>
      <c r="G529" s="5" t="s">
        <v>1017</v>
      </c>
      <c r="H529" s="5" t="s">
        <v>4036</v>
      </c>
      <c r="I529" s="5" t="s">
        <v>4037</v>
      </c>
      <c r="J529" s="17" t="s">
        <v>121</v>
      </c>
      <c r="K529" s="17" t="s">
        <v>181</v>
      </c>
      <c r="L529" s="5" t="s">
        <v>4038</v>
      </c>
      <c r="M529" s="6" t="s">
        <v>197</v>
      </c>
      <c r="N529" s="6" t="s">
        <v>812</v>
      </c>
      <c r="O529" s="6" t="s">
        <v>121</v>
      </c>
      <c r="P529" s="5" t="s">
        <v>918</v>
      </c>
      <c r="Q529" s="17" t="s">
        <v>182</v>
      </c>
      <c r="R529" s="5"/>
      <c r="S529" s="6" t="s">
        <v>937</v>
      </c>
      <c r="T529" s="5" t="s">
        <v>938</v>
      </c>
      <c r="U529" s="6"/>
      <c r="V529" s="6" t="s">
        <v>939</v>
      </c>
      <c r="W529" s="6" t="s">
        <v>331</v>
      </c>
      <c r="X529" s="5" t="s">
        <v>922</v>
      </c>
      <c r="Y529" s="5" t="s">
        <v>812</v>
      </c>
      <c r="Z529" s="5" t="str">
        <f t="shared" si="16"/>
        <v>High</v>
      </c>
      <c r="AA529" s="5" t="s">
        <v>923</v>
      </c>
      <c r="AB529" s="6" t="s">
        <v>924</v>
      </c>
      <c r="AC529" s="6" t="s">
        <v>103</v>
      </c>
      <c r="AD529" s="5" t="s">
        <v>925</v>
      </c>
      <c r="AE529" s="5" t="s">
        <v>354</v>
      </c>
      <c r="AF529" s="5" t="s">
        <v>354</v>
      </c>
      <c r="AG529" s="5" t="s">
        <v>354</v>
      </c>
      <c r="AH529" s="5" t="s">
        <v>354</v>
      </c>
      <c r="AI529" s="6" t="str">
        <f t="shared" si="17"/>
        <v>No</v>
      </c>
      <c r="AJ529" s="6" t="s">
        <v>926</v>
      </c>
      <c r="AK529" s="6" t="s">
        <v>121</v>
      </c>
      <c r="AL529" s="6">
        <f>MATCH(AA529,{"Low","Medium","High"},0)*MATCH(AB529,{"Low","Medium","High"},0)*INDEX({3,2,2,1,1},MATCH(X529,{"Core","Vertical extension","Differentiator","Future","Adjacent"},0))</f>
        <v>9</v>
      </c>
      <c r="AM529" s="5"/>
      <c r="AN529" s="5"/>
      <c r="AO529" s="5"/>
      <c r="AP529" s="5"/>
      <c r="AQ529" s="5"/>
      <c r="AR529" s="5"/>
      <c r="AS529" s="5"/>
      <c r="AT529" s="5"/>
      <c r="AU529" s="6" t="s">
        <v>927</v>
      </c>
      <c r="AV529" s="6" t="s">
        <v>55</v>
      </c>
      <c r="AW529" s="6" t="s">
        <v>55</v>
      </c>
      <c r="AX529" s="6" t="s">
        <v>929</v>
      </c>
      <c r="AY529" s="6" t="s">
        <v>930</v>
      </c>
      <c r="AZ529" s="6"/>
      <c r="BA529" s="6"/>
      <c r="BB529" s="6"/>
      <c r="BC529" s="6" t="s">
        <v>97</v>
      </c>
      <c r="BD529" s="6" t="s">
        <v>97</v>
      </c>
    </row>
    <row r="530" spans="1:56" ht="32" customHeight="1" x14ac:dyDescent="0.35">
      <c r="A530" s="13" t="s">
        <v>4039</v>
      </c>
      <c r="B530" s="6" t="s">
        <v>2114</v>
      </c>
      <c r="C530" s="5" t="s">
        <v>2115</v>
      </c>
      <c r="D530" s="5" t="s">
        <v>837</v>
      </c>
      <c r="E530" s="5" t="s">
        <v>4040</v>
      </c>
      <c r="F530" s="5" t="s">
        <v>1333</v>
      </c>
      <c r="G530" s="5" t="s">
        <v>4041</v>
      </c>
      <c r="H530" s="5" t="s">
        <v>4042</v>
      </c>
      <c r="I530" s="5" t="s">
        <v>4043</v>
      </c>
      <c r="J530" s="17" t="s">
        <v>121</v>
      </c>
      <c r="K530" s="17" t="s">
        <v>181</v>
      </c>
      <c r="L530" s="5" t="s">
        <v>4044</v>
      </c>
      <c r="M530" s="6" t="s">
        <v>197</v>
      </c>
      <c r="N530" s="6" t="s">
        <v>812</v>
      </c>
      <c r="O530" s="6" t="s">
        <v>121</v>
      </c>
      <c r="P530" s="5" t="s">
        <v>918</v>
      </c>
      <c r="Q530" s="17" t="s">
        <v>182</v>
      </c>
      <c r="R530" s="5"/>
      <c r="S530" s="6" t="s">
        <v>937</v>
      </c>
      <c r="T530" s="5" t="s">
        <v>938</v>
      </c>
      <c r="U530" s="6"/>
      <c r="V530" s="6" t="s">
        <v>939</v>
      </c>
      <c r="W530" s="6" t="s">
        <v>331</v>
      </c>
      <c r="X530" s="5" t="s">
        <v>922</v>
      </c>
      <c r="Y530" s="5" t="s">
        <v>812</v>
      </c>
      <c r="Z530" s="5" t="str">
        <f t="shared" si="16"/>
        <v>High</v>
      </c>
      <c r="AA530" s="5" t="s">
        <v>923</v>
      </c>
      <c r="AB530" s="6" t="s">
        <v>924</v>
      </c>
      <c r="AC530" s="6" t="s">
        <v>103</v>
      </c>
      <c r="AD530" s="5" t="s">
        <v>925</v>
      </c>
      <c r="AE530" s="5" t="s">
        <v>354</v>
      </c>
      <c r="AF530" s="5" t="s">
        <v>354</v>
      </c>
      <c r="AG530" s="5" t="s">
        <v>354</v>
      </c>
      <c r="AH530" s="5" t="s">
        <v>354</v>
      </c>
      <c r="AI530" s="6" t="str">
        <f t="shared" si="17"/>
        <v>No</v>
      </c>
      <c r="AJ530" s="6" t="s">
        <v>926</v>
      </c>
      <c r="AK530" s="6" t="s">
        <v>121</v>
      </c>
      <c r="AL530" s="6">
        <f>MATCH(AA530,{"Low","Medium","High"},0)*MATCH(AB530,{"Low","Medium","High"},0)*INDEX({3,2,2,1,1},MATCH(X530,{"Core","Vertical extension","Differentiator","Future","Adjacent"},0))</f>
        <v>9</v>
      </c>
      <c r="AM530" s="5"/>
      <c r="AN530" s="5"/>
      <c r="AO530" s="5"/>
      <c r="AP530" s="5"/>
      <c r="AQ530" s="5"/>
      <c r="AR530" s="5"/>
      <c r="AS530" s="5"/>
      <c r="AT530" s="5"/>
      <c r="AU530" s="6" t="s">
        <v>927</v>
      </c>
      <c r="AV530" s="6" t="s">
        <v>55</v>
      </c>
      <c r="AW530" s="6" t="s">
        <v>55</v>
      </c>
      <c r="AX530" s="6" t="s">
        <v>929</v>
      </c>
      <c r="AY530" s="6" t="s">
        <v>930</v>
      </c>
      <c r="AZ530" s="6"/>
      <c r="BA530" s="6"/>
      <c r="BB530" s="6"/>
      <c r="BC530" s="6" t="s">
        <v>97</v>
      </c>
      <c r="BD530" s="6" t="s">
        <v>97</v>
      </c>
    </row>
    <row r="531" spans="1:56" ht="32" customHeight="1" x14ac:dyDescent="0.35">
      <c r="A531" s="13" t="s">
        <v>4045</v>
      </c>
      <c r="B531" s="6" t="s">
        <v>2114</v>
      </c>
      <c r="C531" s="5" t="s">
        <v>2115</v>
      </c>
      <c r="D531" s="5" t="s">
        <v>837</v>
      </c>
      <c r="E531" s="5" t="s">
        <v>4046</v>
      </c>
      <c r="F531" s="5" t="s">
        <v>1452</v>
      </c>
      <c r="G531" s="5" t="s">
        <v>4047</v>
      </c>
      <c r="H531" s="5" t="s">
        <v>4048</v>
      </c>
      <c r="I531" s="5" t="s">
        <v>4049</v>
      </c>
      <c r="J531" s="16" t="s">
        <v>73</v>
      </c>
      <c r="K531" s="17" t="s">
        <v>181</v>
      </c>
      <c r="L531" s="5" t="s">
        <v>4050</v>
      </c>
      <c r="M531" s="6" t="s">
        <v>197</v>
      </c>
      <c r="N531" s="6" t="s">
        <v>812</v>
      </c>
      <c r="O531" s="6" t="s">
        <v>73</v>
      </c>
      <c r="P531" s="5" t="s">
        <v>918</v>
      </c>
      <c r="Q531" s="17" t="s">
        <v>182</v>
      </c>
      <c r="R531" s="5"/>
      <c r="S531" s="6" t="s">
        <v>937</v>
      </c>
      <c r="T531" s="5" t="s">
        <v>938</v>
      </c>
      <c r="U531" s="6"/>
      <c r="V531" s="6" t="s">
        <v>939</v>
      </c>
      <c r="W531" s="6" t="s">
        <v>331</v>
      </c>
      <c r="X531" s="5" t="s">
        <v>922</v>
      </c>
      <c r="Y531" s="5" t="s">
        <v>812</v>
      </c>
      <c r="Z531" s="5" t="str">
        <f t="shared" si="16"/>
        <v>High</v>
      </c>
      <c r="AA531" s="5" t="s">
        <v>923</v>
      </c>
      <c r="AB531" s="6" t="s">
        <v>924</v>
      </c>
      <c r="AC531" s="6" t="s">
        <v>78</v>
      </c>
      <c r="AD531" s="5" t="s">
        <v>925</v>
      </c>
      <c r="AE531" s="5" t="s">
        <v>354</v>
      </c>
      <c r="AF531" s="5" t="s">
        <v>354</v>
      </c>
      <c r="AG531" s="5" t="s">
        <v>354</v>
      </c>
      <c r="AH531" s="5" t="s">
        <v>354</v>
      </c>
      <c r="AI531" s="6" t="str">
        <f t="shared" si="17"/>
        <v>No</v>
      </c>
      <c r="AJ531" s="6" t="s">
        <v>926</v>
      </c>
      <c r="AK531" s="6" t="s">
        <v>73</v>
      </c>
      <c r="AL531" s="6">
        <f>MATCH(AA531,{"Low","Medium","High"},0)*MATCH(AB531,{"Low","Medium","High"},0)*INDEX({3,2,2,1,1},MATCH(X531,{"Core","Vertical extension","Differentiator","Future","Adjacent"},0))</f>
        <v>9</v>
      </c>
      <c r="AM531" s="5"/>
      <c r="AN531" s="5"/>
      <c r="AO531" s="5"/>
      <c r="AP531" s="5"/>
      <c r="AQ531" s="5"/>
      <c r="AR531" s="5"/>
      <c r="AS531" s="5"/>
      <c r="AT531" s="5"/>
      <c r="AU531" s="6" t="s">
        <v>927</v>
      </c>
      <c r="AV531" s="6" t="s">
        <v>55</v>
      </c>
      <c r="AW531" s="6" t="s">
        <v>55</v>
      </c>
      <c r="AX531" s="6" t="s">
        <v>929</v>
      </c>
      <c r="AY531" s="6" t="s">
        <v>930</v>
      </c>
      <c r="AZ531" s="6"/>
      <c r="BA531" s="6"/>
      <c r="BB531" s="6"/>
      <c r="BC531" s="6" t="s">
        <v>97</v>
      </c>
      <c r="BD531" s="6" t="s">
        <v>97</v>
      </c>
    </row>
    <row r="532" spans="1:56" ht="32" customHeight="1" x14ac:dyDescent="0.35">
      <c r="A532" s="13" t="s">
        <v>4051</v>
      </c>
      <c r="B532" s="6" t="s">
        <v>2114</v>
      </c>
      <c r="C532" s="5" t="s">
        <v>2115</v>
      </c>
      <c r="D532" s="5" t="s">
        <v>837</v>
      </c>
      <c r="E532" s="5" t="s">
        <v>4052</v>
      </c>
      <c r="F532" s="5" t="s">
        <v>1333</v>
      </c>
      <c r="G532" s="5" t="s">
        <v>1017</v>
      </c>
      <c r="H532" s="5" t="s">
        <v>4053</v>
      </c>
      <c r="I532" s="5" t="s">
        <v>4054</v>
      </c>
      <c r="J532" s="17" t="s">
        <v>121</v>
      </c>
      <c r="K532" s="17" t="s">
        <v>181</v>
      </c>
      <c r="L532" s="5" t="s">
        <v>4055</v>
      </c>
      <c r="M532" s="6" t="s">
        <v>197</v>
      </c>
      <c r="N532" s="6" t="s">
        <v>812</v>
      </c>
      <c r="O532" s="6" t="s">
        <v>121</v>
      </c>
      <c r="P532" s="5" t="s">
        <v>918</v>
      </c>
      <c r="Q532" s="17" t="s">
        <v>182</v>
      </c>
      <c r="R532" s="5"/>
      <c r="S532" s="6" t="s">
        <v>937</v>
      </c>
      <c r="T532" s="5" t="s">
        <v>938</v>
      </c>
      <c r="U532" s="6"/>
      <c r="V532" s="6" t="s">
        <v>939</v>
      </c>
      <c r="W532" s="6" t="s">
        <v>331</v>
      </c>
      <c r="X532" s="5" t="s">
        <v>922</v>
      </c>
      <c r="Y532" s="5" t="s">
        <v>812</v>
      </c>
      <c r="Z532" s="5" t="str">
        <f t="shared" si="16"/>
        <v>High</v>
      </c>
      <c r="AA532" s="5" t="s">
        <v>923</v>
      </c>
      <c r="AB532" s="6" t="s">
        <v>924</v>
      </c>
      <c r="AC532" s="6" t="s">
        <v>103</v>
      </c>
      <c r="AD532" s="5" t="s">
        <v>925</v>
      </c>
      <c r="AE532" s="5" t="s">
        <v>354</v>
      </c>
      <c r="AF532" s="5" t="s">
        <v>354</v>
      </c>
      <c r="AG532" s="5" t="s">
        <v>354</v>
      </c>
      <c r="AH532" s="5" t="s">
        <v>354</v>
      </c>
      <c r="AI532" s="6" t="str">
        <f t="shared" si="17"/>
        <v>No</v>
      </c>
      <c r="AJ532" s="6" t="s">
        <v>926</v>
      </c>
      <c r="AK532" s="6" t="s">
        <v>121</v>
      </c>
      <c r="AL532" s="6">
        <f>MATCH(AA532,{"Low","Medium","High"},0)*MATCH(AB532,{"Low","Medium","High"},0)*INDEX({3,2,2,1,1},MATCH(X532,{"Core","Vertical extension","Differentiator","Future","Adjacent"},0))</f>
        <v>9</v>
      </c>
      <c r="AM532" s="5"/>
      <c r="AN532" s="5"/>
      <c r="AO532" s="5"/>
      <c r="AP532" s="5"/>
      <c r="AQ532" s="5"/>
      <c r="AR532" s="5"/>
      <c r="AS532" s="5"/>
      <c r="AT532" s="5"/>
      <c r="AU532" s="6" t="s">
        <v>927</v>
      </c>
      <c r="AV532" s="6" t="s">
        <v>55</v>
      </c>
      <c r="AW532" s="6" t="s">
        <v>55</v>
      </c>
      <c r="AX532" s="6" t="s">
        <v>929</v>
      </c>
      <c r="AY532" s="6" t="s">
        <v>930</v>
      </c>
      <c r="AZ532" s="6"/>
      <c r="BA532" s="6"/>
      <c r="BB532" s="6"/>
      <c r="BC532" s="6" t="s">
        <v>97</v>
      </c>
      <c r="BD532" s="6" t="s">
        <v>97</v>
      </c>
    </row>
    <row r="533" spans="1:56" ht="32" customHeight="1" x14ac:dyDescent="0.35">
      <c r="A533" s="13" t="s">
        <v>4056</v>
      </c>
      <c r="B533" s="6" t="s">
        <v>2114</v>
      </c>
      <c r="C533" s="5" t="s">
        <v>2115</v>
      </c>
      <c r="D533" s="5" t="s">
        <v>837</v>
      </c>
      <c r="E533" s="5" t="s">
        <v>4057</v>
      </c>
      <c r="F533" s="5" t="s">
        <v>1452</v>
      </c>
      <c r="G533" s="5" t="s">
        <v>4058</v>
      </c>
      <c r="H533" s="5" t="s">
        <v>4059</v>
      </c>
      <c r="I533" s="5" t="s">
        <v>4060</v>
      </c>
      <c r="J533" s="17" t="s">
        <v>121</v>
      </c>
      <c r="K533" s="17" t="s">
        <v>181</v>
      </c>
      <c r="L533" s="5" t="s">
        <v>4061</v>
      </c>
      <c r="M533" s="6" t="s">
        <v>197</v>
      </c>
      <c r="N533" s="6" t="s">
        <v>812</v>
      </c>
      <c r="O533" s="6" t="s">
        <v>121</v>
      </c>
      <c r="P533" s="5" t="s">
        <v>918</v>
      </c>
      <c r="Q533" s="17" t="s">
        <v>182</v>
      </c>
      <c r="R533" s="5"/>
      <c r="S533" s="6" t="s">
        <v>937</v>
      </c>
      <c r="T533" s="5" t="s">
        <v>938</v>
      </c>
      <c r="U533" s="6"/>
      <c r="V533" s="6" t="s">
        <v>939</v>
      </c>
      <c r="W533" s="6" t="s">
        <v>331</v>
      </c>
      <c r="X533" s="5" t="s">
        <v>922</v>
      </c>
      <c r="Y533" s="5" t="s">
        <v>812</v>
      </c>
      <c r="Z533" s="5" t="str">
        <f t="shared" si="16"/>
        <v>High</v>
      </c>
      <c r="AA533" s="5" t="s">
        <v>923</v>
      </c>
      <c r="AB533" s="6" t="s">
        <v>924</v>
      </c>
      <c r="AC533" s="6" t="s">
        <v>103</v>
      </c>
      <c r="AD533" s="5" t="s">
        <v>925</v>
      </c>
      <c r="AE533" s="5" t="s">
        <v>354</v>
      </c>
      <c r="AF533" s="5" t="s">
        <v>354</v>
      </c>
      <c r="AG533" s="5" t="s">
        <v>354</v>
      </c>
      <c r="AH533" s="5" t="s">
        <v>354</v>
      </c>
      <c r="AI533" s="6" t="str">
        <f t="shared" si="17"/>
        <v>No</v>
      </c>
      <c r="AJ533" s="6" t="s">
        <v>926</v>
      </c>
      <c r="AK533" s="6" t="s">
        <v>121</v>
      </c>
      <c r="AL533" s="6">
        <f>MATCH(AA533,{"Low","Medium","High"},0)*MATCH(AB533,{"Low","Medium","High"},0)*INDEX({3,2,2,1,1},MATCH(X533,{"Core","Vertical extension","Differentiator","Future","Adjacent"},0))</f>
        <v>9</v>
      </c>
      <c r="AM533" s="5"/>
      <c r="AN533" s="5"/>
      <c r="AO533" s="5"/>
      <c r="AP533" s="5"/>
      <c r="AQ533" s="5"/>
      <c r="AR533" s="5"/>
      <c r="AS533" s="5"/>
      <c r="AT533" s="5"/>
      <c r="AU533" s="6" t="s">
        <v>927</v>
      </c>
      <c r="AV533" s="6" t="s">
        <v>55</v>
      </c>
      <c r="AW533" s="6" t="s">
        <v>55</v>
      </c>
      <c r="AX533" s="6" t="s">
        <v>929</v>
      </c>
      <c r="AY533" s="6" t="s">
        <v>930</v>
      </c>
      <c r="AZ533" s="6"/>
      <c r="BA533" s="6"/>
      <c r="BB533" s="6"/>
      <c r="BC533" s="6" t="s">
        <v>97</v>
      </c>
      <c r="BD533" s="6" t="s">
        <v>97</v>
      </c>
    </row>
    <row r="534" spans="1:56" ht="32" customHeight="1" x14ac:dyDescent="0.35">
      <c r="A534" s="13" t="s">
        <v>4062</v>
      </c>
      <c r="B534" s="6" t="s">
        <v>2114</v>
      </c>
      <c r="C534" s="5" t="s">
        <v>2115</v>
      </c>
      <c r="D534" s="5" t="s">
        <v>835</v>
      </c>
      <c r="E534" s="5" t="s">
        <v>4063</v>
      </c>
      <c r="F534" s="5" t="s">
        <v>4064</v>
      </c>
      <c r="G534" s="5" t="s">
        <v>1101</v>
      </c>
      <c r="H534" s="5" t="s">
        <v>4065</v>
      </c>
      <c r="I534" s="5" t="s">
        <v>4066</v>
      </c>
      <c r="J534" s="17" t="s">
        <v>121</v>
      </c>
      <c r="K534" s="17" t="s">
        <v>181</v>
      </c>
      <c r="L534" s="5" t="s">
        <v>4067</v>
      </c>
      <c r="M534" s="6" t="s">
        <v>197</v>
      </c>
      <c r="N534" s="6" t="s">
        <v>812</v>
      </c>
      <c r="O534" s="6" t="s">
        <v>121</v>
      </c>
      <c r="P534" s="5" t="s">
        <v>918</v>
      </c>
      <c r="Q534" s="17" t="s">
        <v>182</v>
      </c>
      <c r="R534" s="5"/>
      <c r="S534" s="6" t="s">
        <v>1076</v>
      </c>
      <c r="T534" s="5" t="s">
        <v>1077</v>
      </c>
      <c r="U534" s="6"/>
      <c r="V534" s="6" t="s">
        <v>1078</v>
      </c>
      <c r="W534" s="6" t="s">
        <v>331</v>
      </c>
      <c r="X534" s="5" t="s">
        <v>922</v>
      </c>
      <c r="Y534" s="5" t="s">
        <v>812</v>
      </c>
      <c r="Z534" s="5" t="str">
        <f t="shared" si="16"/>
        <v>Medium</v>
      </c>
      <c r="AA534" s="5" t="s">
        <v>956</v>
      </c>
      <c r="AB534" s="6" t="s">
        <v>924</v>
      </c>
      <c r="AC534" s="6" t="s">
        <v>103</v>
      </c>
      <c r="AD534" s="5" t="s">
        <v>925</v>
      </c>
      <c r="AE534" s="5" t="s">
        <v>354</v>
      </c>
      <c r="AF534" s="5" t="s">
        <v>354</v>
      </c>
      <c r="AG534" s="5" t="s">
        <v>354</v>
      </c>
      <c r="AH534" s="5" t="s">
        <v>354</v>
      </c>
      <c r="AI534" s="6" t="str">
        <f t="shared" si="17"/>
        <v>No</v>
      </c>
      <c r="AJ534" s="6" t="s">
        <v>926</v>
      </c>
      <c r="AK534" s="6" t="s">
        <v>121</v>
      </c>
      <c r="AL534" s="6">
        <f>MATCH(AA534,{"Low","Medium","High"},0)*MATCH(AB534,{"Low","Medium","High"},0)*INDEX({3,2,2,1,1},MATCH(X534,{"Core","Vertical extension","Differentiator","Future","Adjacent"},0))</f>
        <v>6</v>
      </c>
      <c r="AM534" s="5"/>
      <c r="AN534" s="5"/>
      <c r="AO534" s="5"/>
      <c r="AP534" s="5"/>
      <c r="AQ534" s="5"/>
      <c r="AR534" s="5"/>
      <c r="AS534" s="5"/>
      <c r="AT534" s="5"/>
      <c r="AU534" s="6" t="s">
        <v>927</v>
      </c>
      <c r="AV534" s="6" t="s">
        <v>55</v>
      </c>
      <c r="AW534" s="6" t="s">
        <v>55</v>
      </c>
      <c r="AX534" s="6" t="s">
        <v>929</v>
      </c>
      <c r="AY534" s="6" t="s">
        <v>930</v>
      </c>
      <c r="AZ534" s="6"/>
      <c r="BA534" s="6"/>
      <c r="BB534" s="6"/>
      <c r="BC534" s="6" t="s">
        <v>97</v>
      </c>
      <c r="BD534" s="6" t="s">
        <v>97</v>
      </c>
    </row>
    <row r="535" spans="1:56" ht="32" customHeight="1" x14ac:dyDescent="0.35">
      <c r="A535" s="13" t="s">
        <v>4068</v>
      </c>
      <c r="B535" s="6" t="s">
        <v>2114</v>
      </c>
      <c r="C535" s="5" t="s">
        <v>2115</v>
      </c>
      <c r="D535" s="5" t="s">
        <v>829</v>
      </c>
      <c r="E535" s="5" t="s">
        <v>4069</v>
      </c>
      <c r="F535" s="5" t="s">
        <v>4070</v>
      </c>
      <c r="G535" s="5" t="s">
        <v>1344</v>
      </c>
      <c r="H535" s="5" t="s">
        <v>4071</v>
      </c>
      <c r="I535" s="5" t="s">
        <v>4072</v>
      </c>
      <c r="J535" s="17" t="s">
        <v>121</v>
      </c>
      <c r="K535" s="17" t="s">
        <v>181</v>
      </c>
      <c r="L535" s="5" t="s">
        <v>4073</v>
      </c>
      <c r="M535" s="6" t="s">
        <v>197</v>
      </c>
      <c r="N535" s="6" t="s">
        <v>812</v>
      </c>
      <c r="O535" s="6" t="s">
        <v>121</v>
      </c>
      <c r="P535" s="5" t="s">
        <v>918</v>
      </c>
      <c r="Q535" s="17" t="s">
        <v>182</v>
      </c>
      <c r="R535" s="5"/>
      <c r="S535" s="6" t="s">
        <v>980</v>
      </c>
      <c r="T535" s="5" t="s">
        <v>981</v>
      </c>
      <c r="U535" s="6"/>
      <c r="V535" s="6" t="s">
        <v>982</v>
      </c>
      <c r="W535" s="6" t="s">
        <v>331</v>
      </c>
      <c r="X535" s="5" t="s">
        <v>922</v>
      </c>
      <c r="Y535" s="5" t="s">
        <v>812</v>
      </c>
      <c r="Z535" s="5" t="str">
        <f t="shared" si="16"/>
        <v>High</v>
      </c>
      <c r="AA535" s="5" t="s">
        <v>923</v>
      </c>
      <c r="AB535" s="6" t="s">
        <v>924</v>
      </c>
      <c r="AC535" s="6" t="s">
        <v>103</v>
      </c>
      <c r="AD535" s="5" t="s">
        <v>925</v>
      </c>
      <c r="AE535" s="5" t="s">
        <v>354</v>
      </c>
      <c r="AF535" s="5" t="s">
        <v>354</v>
      </c>
      <c r="AG535" s="5" t="s">
        <v>354</v>
      </c>
      <c r="AH535" s="5" t="s">
        <v>354</v>
      </c>
      <c r="AI535" s="6" t="str">
        <f t="shared" si="17"/>
        <v>No</v>
      </c>
      <c r="AJ535" s="6" t="s">
        <v>926</v>
      </c>
      <c r="AK535" s="6" t="s">
        <v>121</v>
      </c>
      <c r="AL535" s="6">
        <f>MATCH(AA535,{"Low","Medium","High"},0)*MATCH(AB535,{"Low","Medium","High"},0)*INDEX({3,2,2,1,1},MATCH(X535,{"Core","Vertical extension","Differentiator","Future","Adjacent"},0))</f>
        <v>9</v>
      </c>
      <c r="AM535" s="5"/>
      <c r="AN535" s="5"/>
      <c r="AO535" s="5"/>
      <c r="AP535" s="5"/>
      <c r="AQ535" s="5"/>
      <c r="AR535" s="5"/>
      <c r="AS535" s="5"/>
      <c r="AT535" s="5"/>
      <c r="AU535" s="6" t="s">
        <v>927</v>
      </c>
      <c r="AV535" s="6" t="s">
        <v>2161</v>
      </c>
      <c r="AW535" s="6" t="s">
        <v>2161</v>
      </c>
      <c r="AX535" s="6" t="s">
        <v>929</v>
      </c>
      <c r="AY535" s="6" t="s">
        <v>930</v>
      </c>
      <c r="AZ535" s="6"/>
      <c r="BA535" s="6"/>
      <c r="BB535" s="6"/>
      <c r="BC535" s="6" t="s">
        <v>97</v>
      </c>
      <c r="BD535" s="6" t="s">
        <v>97</v>
      </c>
    </row>
    <row r="536" spans="1:56" ht="32" customHeight="1" x14ac:dyDescent="0.35">
      <c r="A536" s="13" t="s">
        <v>4074</v>
      </c>
      <c r="B536" s="6" t="s">
        <v>2114</v>
      </c>
      <c r="C536" s="5" t="s">
        <v>2115</v>
      </c>
      <c r="D536" s="5" t="s">
        <v>831</v>
      </c>
      <c r="E536" s="5" t="s">
        <v>4075</v>
      </c>
      <c r="F536" s="5" t="s">
        <v>4076</v>
      </c>
      <c r="G536" s="5" t="s">
        <v>1322</v>
      </c>
      <c r="H536" s="5" t="s">
        <v>4077</v>
      </c>
      <c r="I536" s="5" t="s">
        <v>4078</v>
      </c>
      <c r="J536" s="17" t="s">
        <v>121</v>
      </c>
      <c r="K536" s="17" t="s">
        <v>181</v>
      </c>
      <c r="L536" s="5" t="s">
        <v>4079</v>
      </c>
      <c r="M536" s="6" t="s">
        <v>197</v>
      </c>
      <c r="N536" s="6" t="s">
        <v>812</v>
      </c>
      <c r="O536" s="6" t="s">
        <v>121</v>
      </c>
      <c r="P536" s="5" t="s">
        <v>918</v>
      </c>
      <c r="Q536" s="18" t="s">
        <v>186</v>
      </c>
      <c r="R536" s="5" t="s">
        <v>1744</v>
      </c>
      <c r="S536" s="6" t="s">
        <v>964</v>
      </c>
      <c r="T536" s="5" t="s">
        <v>965</v>
      </c>
      <c r="U536" s="6"/>
      <c r="V536" s="6" t="s">
        <v>966</v>
      </c>
      <c r="W536" s="6" t="s">
        <v>333</v>
      </c>
      <c r="X536" s="5" t="s">
        <v>922</v>
      </c>
      <c r="Y536" s="5" t="s">
        <v>812</v>
      </c>
      <c r="Z536" s="5" t="str">
        <f t="shared" si="16"/>
        <v>Medium</v>
      </c>
      <c r="AA536" s="5" t="s">
        <v>956</v>
      </c>
      <c r="AB536" s="6" t="s">
        <v>924</v>
      </c>
      <c r="AC536" s="6" t="s">
        <v>103</v>
      </c>
      <c r="AD536" s="5" t="s">
        <v>940</v>
      </c>
      <c r="AE536" s="5" t="s">
        <v>354</v>
      </c>
      <c r="AF536" s="5" t="s">
        <v>354</v>
      </c>
      <c r="AG536" s="5" t="s">
        <v>354</v>
      </c>
      <c r="AH536" s="5" t="s">
        <v>354</v>
      </c>
      <c r="AI536" s="6" t="str">
        <f t="shared" si="17"/>
        <v>No</v>
      </c>
      <c r="AJ536" s="6" t="s">
        <v>941</v>
      </c>
      <c r="AK536" s="6" t="s">
        <v>121</v>
      </c>
      <c r="AL536" s="6">
        <f>MATCH(AA536,{"Low","Medium","High"},0)*MATCH(AB536,{"Low","Medium","High"},0)*INDEX({3,2,2,1,1},MATCH(X536,{"Core","Vertical extension","Differentiator","Future","Adjacent"},0))</f>
        <v>6</v>
      </c>
      <c r="AM536" s="5"/>
      <c r="AN536" s="5"/>
      <c r="AO536" s="5"/>
      <c r="AP536" s="5"/>
      <c r="AQ536" s="5"/>
      <c r="AR536" s="5"/>
      <c r="AS536" s="5"/>
      <c r="AT536" s="5"/>
      <c r="AU536" s="6" t="s">
        <v>927</v>
      </c>
      <c r="AV536" s="6" t="s">
        <v>2161</v>
      </c>
      <c r="AW536" s="6" t="s">
        <v>2161</v>
      </c>
      <c r="AX536" s="6" t="s">
        <v>929</v>
      </c>
      <c r="AY536" s="6" t="s">
        <v>930</v>
      </c>
      <c r="AZ536" s="6"/>
      <c r="BA536" s="6" t="s">
        <v>1745</v>
      </c>
      <c r="BB536" s="6" t="s">
        <v>1746</v>
      </c>
      <c r="BC536" s="6" t="s">
        <v>97</v>
      </c>
      <c r="BD536" s="6" t="s">
        <v>97</v>
      </c>
    </row>
    <row r="537" spans="1:56" ht="32" customHeight="1" x14ac:dyDescent="0.35">
      <c r="A537" s="13" t="s">
        <v>4080</v>
      </c>
      <c r="B537" s="6" t="s">
        <v>2114</v>
      </c>
      <c r="C537" s="5" t="s">
        <v>2115</v>
      </c>
      <c r="D537" s="5" t="s">
        <v>831</v>
      </c>
      <c r="E537" s="5" t="s">
        <v>4081</v>
      </c>
      <c r="F537" s="5" t="s">
        <v>4082</v>
      </c>
      <c r="G537" s="5" t="s">
        <v>1322</v>
      </c>
      <c r="H537" s="5" t="s">
        <v>4083</v>
      </c>
      <c r="I537" s="5" t="s">
        <v>4084</v>
      </c>
      <c r="J537" s="19" t="s">
        <v>151</v>
      </c>
      <c r="K537" s="17" t="s">
        <v>181</v>
      </c>
      <c r="L537" s="5" t="s">
        <v>4085</v>
      </c>
      <c r="M537" s="6" t="s">
        <v>197</v>
      </c>
      <c r="N537" s="6" t="s">
        <v>812</v>
      </c>
      <c r="O537" s="6" t="s">
        <v>151</v>
      </c>
      <c r="P537" s="5" t="s">
        <v>918</v>
      </c>
      <c r="Q537" s="17" t="s">
        <v>182</v>
      </c>
      <c r="R537" s="5"/>
      <c r="S537" s="6" t="s">
        <v>964</v>
      </c>
      <c r="T537" s="5" t="s">
        <v>965</v>
      </c>
      <c r="U537" s="6"/>
      <c r="V537" s="6" t="s">
        <v>966</v>
      </c>
      <c r="W537" s="6" t="s">
        <v>333</v>
      </c>
      <c r="X537" s="5" t="s">
        <v>922</v>
      </c>
      <c r="Y537" s="5" t="s">
        <v>812</v>
      </c>
      <c r="Z537" s="5" t="str">
        <f t="shared" si="16"/>
        <v>Medium</v>
      </c>
      <c r="AA537" s="5" t="s">
        <v>956</v>
      </c>
      <c r="AB537" s="6" t="s">
        <v>924</v>
      </c>
      <c r="AC537" s="6" t="s">
        <v>11</v>
      </c>
      <c r="AD537" s="5" t="s">
        <v>925</v>
      </c>
      <c r="AE537" s="5" t="s">
        <v>354</v>
      </c>
      <c r="AF537" s="5" t="s">
        <v>354</v>
      </c>
      <c r="AG537" s="5" t="s">
        <v>354</v>
      </c>
      <c r="AH537" s="5" t="s">
        <v>354</v>
      </c>
      <c r="AI537" s="6" t="str">
        <f t="shared" si="17"/>
        <v>No</v>
      </c>
      <c r="AJ537" s="6" t="s">
        <v>926</v>
      </c>
      <c r="AK537" s="6" t="s">
        <v>151</v>
      </c>
      <c r="AL537" s="6">
        <f>MATCH(AA537,{"Low","Medium","High"},0)*MATCH(AB537,{"Low","Medium","High"},0)*INDEX({3,2,2,1,1},MATCH(X537,{"Core","Vertical extension","Differentiator","Future","Adjacent"},0))</f>
        <v>6</v>
      </c>
      <c r="AM537" s="5"/>
      <c r="AN537" s="5"/>
      <c r="AO537" s="5"/>
      <c r="AP537" s="5"/>
      <c r="AQ537" s="5"/>
      <c r="AR537" s="5"/>
      <c r="AS537" s="5"/>
      <c r="AT537" s="5"/>
      <c r="AU537" s="6" t="s">
        <v>927</v>
      </c>
      <c r="AV537" s="6" t="s">
        <v>2161</v>
      </c>
      <c r="AW537" s="6" t="s">
        <v>2161</v>
      </c>
      <c r="AX537" s="6" t="s">
        <v>929</v>
      </c>
      <c r="AY537" s="6" t="s">
        <v>930</v>
      </c>
      <c r="AZ537" s="6"/>
      <c r="BA537" s="6"/>
      <c r="BB537" s="6"/>
      <c r="BC537" s="6" t="s">
        <v>97</v>
      </c>
      <c r="BD537" s="6" t="s">
        <v>97</v>
      </c>
    </row>
    <row r="538" spans="1:56" ht="32" customHeight="1" x14ac:dyDescent="0.35">
      <c r="A538" s="13" t="s">
        <v>4086</v>
      </c>
      <c r="B538" s="6" t="s">
        <v>2114</v>
      </c>
      <c r="C538" s="5" t="s">
        <v>2115</v>
      </c>
      <c r="D538" s="5" t="s">
        <v>835</v>
      </c>
      <c r="E538" s="5" t="s">
        <v>4087</v>
      </c>
      <c r="F538" s="5" t="s">
        <v>4088</v>
      </c>
      <c r="G538" s="5" t="s">
        <v>1344</v>
      </c>
      <c r="H538" s="5" t="s">
        <v>4089</v>
      </c>
      <c r="I538" s="5" t="s">
        <v>4090</v>
      </c>
      <c r="J538" s="19" t="s">
        <v>151</v>
      </c>
      <c r="K538" s="17" t="s">
        <v>181</v>
      </c>
      <c r="L538" s="5" t="s">
        <v>4091</v>
      </c>
      <c r="M538" s="6" t="s">
        <v>197</v>
      </c>
      <c r="N538" s="6" t="s">
        <v>812</v>
      </c>
      <c r="O538" s="6" t="s">
        <v>151</v>
      </c>
      <c r="P538" s="5" t="s">
        <v>918</v>
      </c>
      <c r="Q538" s="17" t="s">
        <v>182</v>
      </c>
      <c r="R538" s="5"/>
      <c r="S538" s="6" t="s">
        <v>1076</v>
      </c>
      <c r="T538" s="5" t="s">
        <v>1077</v>
      </c>
      <c r="U538" s="6"/>
      <c r="V538" s="6" t="s">
        <v>1078</v>
      </c>
      <c r="W538" s="6" t="s">
        <v>331</v>
      </c>
      <c r="X538" s="5" t="s">
        <v>922</v>
      </c>
      <c r="Y538" s="5" t="s">
        <v>812</v>
      </c>
      <c r="Z538" s="5" t="str">
        <f t="shared" si="16"/>
        <v>Medium</v>
      </c>
      <c r="AA538" s="5" t="s">
        <v>956</v>
      </c>
      <c r="AB538" s="6" t="s">
        <v>924</v>
      </c>
      <c r="AC538" s="6" t="s">
        <v>11</v>
      </c>
      <c r="AD538" s="5" t="s">
        <v>925</v>
      </c>
      <c r="AE538" s="5" t="s">
        <v>354</v>
      </c>
      <c r="AF538" s="5" t="s">
        <v>354</v>
      </c>
      <c r="AG538" s="5" t="s">
        <v>354</v>
      </c>
      <c r="AH538" s="5" t="s">
        <v>354</v>
      </c>
      <c r="AI538" s="6" t="str">
        <f t="shared" si="17"/>
        <v>No</v>
      </c>
      <c r="AJ538" s="6" t="s">
        <v>926</v>
      </c>
      <c r="AK538" s="6" t="s">
        <v>151</v>
      </c>
      <c r="AL538" s="6">
        <f>MATCH(AA538,{"Low","Medium","High"},0)*MATCH(AB538,{"Low","Medium","High"},0)*INDEX({3,2,2,1,1},MATCH(X538,{"Core","Vertical extension","Differentiator","Future","Adjacent"},0))</f>
        <v>6</v>
      </c>
      <c r="AM538" s="5"/>
      <c r="AN538" s="5"/>
      <c r="AO538" s="5"/>
      <c r="AP538" s="5"/>
      <c r="AQ538" s="5"/>
      <c r="AR538" s="5"/>
      <c r="AS538" s="5"/>
      <c r="AT538" s="5"/>
      <c r="AU538" s="6" t="s">
        <v>927</v>
      </c>
      <c r="AV538" s="6" t="s">
        <v>2161</v>
      </c>
      <c r="AW538" s="6" t="s">
        <v>2161</v>
      </c>
      <c r="AX538" s="6" t="s">
        <v>929</v>
      </c>
      <c r="AY538" s="6" t="s">
        <v>930</v>
      </c>
      <c r="AZ538" s="6"/>
      <c r="BA538" s="6"/>
      <c r="BB538" s="6"/>
      <c r="BC538" s="6" t="s">
        <v>97</v>
      </c>
      <c r="BD538" s="6" t="s">
        <v>97</v>
      </c>
    </row>
    <row r="539" spans="1:56" ht="32" customHeight="1" x14ac:dyDescent="0.35">
      <c r="A539" s="13" t="s">
        <v>4092</v>
      </c>
      <c r="B539" s="6" t="s">
        <v>2114</v>
      </c>
      <c r="C539" s="5" t="s">
        <v>2115</v>
      </c>
      <c r="D539" s="5" t="s">
        <v>843</v>
      </c>
      <c r="E539" s="5" t="s">
        <v>4093</v>
      </c>
      <c r="F539" s="5" t="s">
        <v>1300</v>
      </c>
      <c r="G539" s="5" t="s">
        <v>1347</v>
      </c>
      <c r="H539" s="5" t="s">
        <v>4094</v>
      </c>
      <c r="I539" s="5" t="s">
        <v>4095</v>
      </c>
      <c r="J539" s="17" t="s">
        <v>121</v>
      </c>
      <c r="K539" s="17" t="s">
        <v>181</v>
      </c>
      <c r="L539" s="5" t="s">
        <v>4096</v>
      </c>
      <c r="M539" s="6" t="s">
        <v>197</v>
      </c>
      <c r="N539" s="6" t="s">
        <v>812</v>
      </c>
      <c r="O539" s="6" t="s">
        <v>121</v>
      </c>
      <c r="P539" s="5" t="s">
        <v>918</v>
      </c>
      <c r="Q539" s="17" t="s">
        <v>182</v>
      </c>
      <c r="R539" s="5"/>
      <c r="S539" s="6" t="s">
        <v>3845</v>
      </c>
      <c r="T539" s="5" t="s">
        <v>3846</v>
      </c>
      <c r="U539" s="6"/>
      <c r="V539" s="6" t="s">
        <v>921</v>
      </c>
      <c r="W539" s="6" t="s">
        <v>331</v>
      </c>
      <c r="X539" s="5" t="s">
        <v>922</v>
      </c>
      <c r="Y539" s="5" t="s">
        <v>812</v>
      </c>
      <c r="Z539" s="5" t="str">
        <f t="shared" si="16"/>
        <v>Medium</v>
      </c>
      <c r="AA539" s="5" t="s">
        <v>956</v>
      </c>
      <c r="AB539" s="6" t="s">
        <v>924</v>
      </c>
      <c r="AC539" s="6" t="s">
        <v>103</v>
      </c>
      <c r="AD539" s="5" t="s">
        <v>925</v>
      </c>
      <c r="AE539" s="5" t="s">
        <v>354</v>
      </c>
      <c r="AF539" s="5" t="s">
        <v>354</v>
      </c>
      <c r="AG539" s="5" t="s">
        <v>354</v>
      </c>
      <c r="AH539" s="5" t="s">
        <v>354</v>
      </c>
      <c r="AI539" s="6" t="str">
        <f t="shared" si="17"/>
        <v>No</v>
      </c>
      <c r="AJ539" s="6" t="s">
        <v>926</v>
      </c>
      <c r="AK539" s="6" t="s">
        <v>121</v>
      </c>
      <c r="AL539" s="6">
        <f>MATCH(AA539,{"Low","Medium","High"},0)*MATCH(AB539,{"Low","Medium","High"},0)*INDEX({3,2,2,1,1},MATCH(X539,{"Core","Vertical extension","Differentiator","Future","Adjacent"},0))</f>
        <v>6</v>
      </c>
      <c r="AM539" s="5"/>
      <c r="AN539" s="5"/>
      <c r="AO539" s="5"/>
      <c r="AP539" s="5"/>
      <c r="AQ539" s="5"/>
      <c r="AR539" s="5"/>
      <c r="AS539" s="5"/>
      <c r="AT539" s="5"/>
      <c r="AU539" s="6" t="s">
        <v>927</v>
      </c>
      <c r="AV539" s="6" t="s">
        <v>1306</v>
      </c>
      <c r="AW539" s="6" t="s">
        <v>1306</v>
      </c>
      <c r="AX539" s="6" t="s">
        <v>929</v>
      </c>
      <c r="AY539" s="6" t="s">
        <v>930</v>
      </c>
      <c r="AZ539" s="6"/>
      <c r="BA539" s="6"/>
      <c r="BB539" s="6"/>
      <c r="BC539" s="6" t="s">
        <v>97</v>
      </c>
      <c r="BD539" s="6" t="s">
        <v>97</v>
      </c>
    </row>
    <row r="540" spans="1:56" ht="32" customHeight="1" x14ac:dyDescent="0.35">
      <c r="A540" s="13" t="s">
        <v>4097</v>
      </c>
      <c r="B540" s="6" t="s">
        <v>2114</v>
      </c>
      <c r="C540" s="5" t="s">
        <v>2115</v>
      </c>
      <c r="D540" s="5" t="s">
        <v>843</v>
      </c>
      <c r="E540" s="5" t="s">
        <v>4098</v>
      </c>
      <c r="F540" s="5" t="s">
        <v>1300</v>
      </c>
      <c r="G540" s="5" t="s">
        <v>2001</v>
      </c>
      <c r="H540" s="5" t="s">
        <v>4099</v>
      </c>
      <c r="I540" s="5" t="s">
        <v>4100</v>
      </c>
      <c r="J540" s="17" t="s">
        <v>121</v>
      </c>
      <c r="K540" s="17" t="s">
        <v>181</v>
      </c>
      <c r="L540" s="5" t="s">
        <v>4101</v>
      </c>
      <c r="M540" s="6" t="s">
        <v>197</v>
      </c>
      <c r="N540" s="6" t="s">
        <v>812</v>
      </c>
      <c r="O540" s="6" t="s">
        <v>121</v>
      </c>
      <c r="P540" s="5" t="s">
        <v>918</v>
      </c>
      <c r="Q540" s="17" t="s">
        <v>182</v>
      </c>
      <c r="R540" s="5"/>
      <c r="S540" s="6" t="s">
        <v>3845</v>
      </c>
      <c r="T540" s="5" t="s">
        <v>3846</v>
      </c>
      <c r="U540" s="6"/>
      <c r="V540" s="6" t="s">
        <v>921</v>
      </c>
      <c r="W540" s="6" t="s">
        <v>331</v>
      </c>
      <c r="X540" s="5" t="s">
        <v>922</v>
      </c>
      <c r="Y540" s="5" t="s">
        <v>812</v>
      </c>
      <c r="Z540" s="5" t="str">
        <f t="shared" si="16"/>
        <v>Medium</v>
      </c>
      <c r="AA540" s="5" t="s">
        <v>956</v>
      </c>
      <c r="AB540" s="6" t="s">
        <v>924</v>
      </c>
      <c r="AC540" s="6" t="s">
        <v>103</v>
      </c>
      <c r="AD540" s="5" t="s">
        <v>925</v>
      </c>
      <c r="AE540" s="5" t="s">
        <v>354</v>
      </c>
      <c r="AF540" s="5" t="s">
        <v>354</v>
      </c>
      <c r="AG540" s="5" t="s">
        <v>354</v>
      </c>
      <c r="AH540" s="5" t="s">
        <v>354</v>
      </c>
      <c r="AI540" s="6" t="str">
        <f t="shared" si="17"/>
        <v>No</v>
      </c>
      <c r="AJ540" s="6" t="s">
        <v>926</v>
      </c>
      <c r="AK540" s="6" t="s">
        <v>121</v>
      </c>
      <c r="AL540" s="6">
        <f>MATCH(AA540,{"Low","Medium","High"},0)*MATCH(AB540,{"Low","Medium","High"},0)*INDEX({3,2,2,1,1},MATCH(X540,{"Core","Vertical extension","Differentiator","Future","Adjacent"},0))</f>
        <v>6</v>
      </c>
      <c r="AM540" s="5"/>
      <c r="AN540" s="5"/>
      <c r="AO540" s="5"/>
      <c r="AP540" s="5"/>
      <c r="AQ540" s="5"/>
      <c r="AR540" s="5"/>
      <c r="AS540" s="5"/>
      <c r="AT540" s="5"/>
      <c r="AU540" s="6" t="s">
        <v>927</v>
      </c>
      <c r="AV540" s="6" t="s">
        <v>1306</v>
      </c>
      <c r="AW540" s="6" t="s">
        <v>1306</v>
      </c>
      <c r="AX540" s="6" t="s">
        <v>929</v>
      </c>
      <c r="AY540" s="6" t="s">
        <v>930</v>
      </c>
      <c r="AZ540" s="6"/>
      <c r="BA540" s="6"/>
      <c r="BB540" s="6"/>
      <c r="BC540" s="6" t="s">
        <v>97</v>
      </c>
      <c r="BD540" s="6" t="s">
        <v>97</v>
      </c>
    </row>
    <row r="541" spans="1:56" ht="32" customHeight="1" x14ac:dyDescent="0.35">
      <c r="A541" s="13" t="s">
        <v>4102</v>
      </c>
      <c r="B541" s="6" t="s">
        <v>2114</v>
      </c>
      <c r="C541" s="5" t="s">
        <v>2115</v>
      </c>
      <c r="D541" s="5" t="s">
        <v>843</v>
      </c>
      <c r="E541" s="5" t="s">
        <v>4103</v>
      </c>
      <c r="F541" s="5" t="s">
        <v>1300</v>
      </c>
      <c r="G541" s="5" t="s">
        <v>2001</v>
      </c>
      <c r="H541" s="5" t="s">
        <v>4104</v>
      </c>
      <c r="I541" s="5" t="s">
        <v>4105</v>
      </c>
      <c r="J541" s="17" t="s">
        <v>121</v>
      </c>
      <c r="K541" s="17" t="s">
        <v>181</v>
      </c>
      <c r="L541" s="5" t="s">
        <v>4106</v>
      </c>
      <c r="M541" s="6" t="s">
        <v>197</v>
      </c>
      <c r="N541" s="6" t="s">
        <v>812</v>
      </c>
      <c r="O541" s="6" t="s">
        <v>121</v>
      </c>
      <c r="P541" s="5" t="s">
        <v>918</v>
      </c>
      <c r="Q541" s="17" t="s">
        <v>182</v>
      </c>
      <c r="R541" s="5"/>
      <c r="S541" s="6" t="s">
        <v>3845</v>
      </c>
      <c r="T541" s="5" t="s">
        <v>3846</v>
      </c>
      <c r="U541" s="6"/>
      <c r="V541" s="6" t="s">
        <v>921</v>
      </c>
      <c r="W541" s="6" t="s">
        <v>331</v>
      </c>
      <c r="X541" s="5" t="s">
        <v>922</v>
      </c>
      <c r="Y541" s="5" t="s">
        <v>812</v>
      </c>
      <c r="Z541" s="5" t="str">
        <f t="shared" si="16"/>
        <v>Medium</v>
      </c>
      <c r="AA541" s="5" t="s">
        <v>956</v>
      </c>
      <c r="AB541" s="6" t="s">
        <v>924</v>
      </c>
      <c r="AC541" s="6" t="s">
        <v>103</v>
      </c>
      <c r="AD541" s="5" t="s">
        <v>925</v>
      </c>
      <c r="AE541" s="5" t="s">
        <v>354</v>
      </c>
      <c r="AF541" s="5" t="s">
        <v>354</v>
      </c>
      <c r="AG541" s="5" t="s">
        <v>354</v>
      </c>
      <c r="AH541" s="5" t="s">
        <v>354</v>
      </c>
      <c r="AI541" s="6" t="str">
        <f t="shared" si="17"/>
        <v>No</v>
      </c>
      <c r="AJ541" s="6" t="s">
        <v>926</v>
      </c>
      <c r="AK541" s="6" t="s">
        <v>121</v>
      </c>
      <c r="AL541" s="6">
        <f>MATCH(AA541,{"Low","Medium","High"},0)*MATCH(AB541,{"Low","Medium","High"},0)*INDEX({3,2,2,1,1},MATCH(X541,{"Core","Vertical extension","Differentiator","Future","Adjacent"},0))</f>
        <v>6</v>
      </c>
      <c r="AM541" s="5"/>
      <c r="AN541" s="5"/>
      <c r="AO541" s="5"/>
      <c r="AP541" s="5"/>
      <c r="AQ541" s="5"/>
      <c r="AR541" s="5"/>
      <c r="AS541" s="5"/>
      <c r="AT541" s="5"/>
      <c r="AU541" s="6" t="s">
        <v>927</v>
      </c>
      <c r="AV541" s="6" t="s">
        <v>1306</v>
      </c>
      <c r="AW541" s="6" t="s">
        <v>1306</v>
      </c>
      <c r="AX541" s="6" t="s">
        <v>929</v>
      </c>
      <c r="AY541" s="6" t="s">
        <v>930</v>
      </c>
      <c r="AZ541" s="6"/>
      <c r="BA541" s="6"/>
      <c r="BB541" s="6"/>
      <c r="BC541" s="6" t="s">
        <v>97</v>
      </c>
      <c r="BD541" s="6" t="s">
        <v>97</v>
      </c>
    </row>
    <row r="542" spans="1:56" ht="32" customHeight="1" x14ac:dyDescent="0.35">
      <c r="A542" s="13" t="s">
        <v>4107</v>
      </c>
      <c r="B542" s="6" t="s">
        <v>2114</v>
      </c>
      <c r="C542" s="5" t="s">
        <v>2115</v>
      </c>
      <c r="D542" s="5" t="s">
        <v>843</v>
      </c>
      <c r="E542" s="5" t="s">
        <v>4108</v>
      </c>
      <c r="F542" s="5" t="s">
        <v>2001</v>
      </c>
      <c r="G542" s="5" t="s">
        <v>3855</v>
      </c>
      <c r="H542" s="5" t="s">
        <v>4109</v>
      </c>
      <c r="I542" s="5" t="s">
        <v>4110</v>
      </c>
      <c r="J542" s="17" t="s">
        <v>121</v>
      </c>
      <c r="K542" s="17" t="s">
        <v>181</v>
      </c>
      <c r="L542" s="5" t="s">
        <v>4111</v>
      </c>
      <c r="M542" s="6" t="s">
        <v>197</v>
      </c>
      <c r="N542" s="6" t="s">
        <v>812</v>
      </c>
      <c r="O542" s="6" t="s">
        <v>121</v>
      </c>
      <c r="P542" s="5" t="s">
        <v>918</v>
      </c>
      <c r="Q542" s="17" t="s">
        <v>182</v>
      </c>
      <c r="R542" s="5"/>
      <c r="S542" s="6" t="s">
        <v>3845</v>
      </c>
      <c r="T542" s="5" t="s">
        <v>3846</v>
      </c>
      <c r="U542" s="6"/>
      <c r="V542" s="6" t="s">
        <v>921</v>
      </c>
      <c r="W542" s="6" t="s">
        <v>331</v>
      </c>
      <c r="X542" s="5" t="s">
        <v>922</v>
      </c>
      <c r="Y542" s="5" t="s">
        <v>812</v>
      </c>
      <c r="Z542" s="5" t="str">
        <f t="shared" si="16"/>
        <v>Medium</v>
      </c>
      <c r="AA542" s="5" t="s">
        <v>956</v>
      </c>
      <c r="AB542" s="6" t="s">
        <v>924</v>
      </c>
      <c r="AC542" s="6" t="s">
        <v>103</v>
      </c>
      <c r="AD542" s="5" t="s">
        <v>925</v>
      </c>
      <c r="AE542" s="5" t="s">
        <v>354</v>
      </c>
      <c r="AF542" s="5" t="s">
        <v>354</v>
      </c>
      <c r="AG542" s="5" t="s">
        <v>354</v>
      </c>
      <c r="AH542" s="5" t="s">
        <v>354</v>
      </c>
      <c r="AI542" s="6" t="str">
        <f t="shared" si="17"/>
        <v>No</v>
      </c>
      <c r="AJ542" s="6" t="s">
        <v>926</v>
      </c>
      <c r="AK542" s="6" t="s">
        <v>121</v>
      </c>
      <c r="AL542" s="6">
        <f>MATCH(AA542,{"Low","Medium","High"},0)*MATCH(AB542,{"Low","Medium","High"},0)*INDEX({3,2,2,1,1},MATCH(X542,{"Core","Vertical extension","Differentiator","Future","Adjacent"},0))</f>
        <v>6</v>
      </c>
      <c r="AM542" s="5"/>
      <c r="AN542" s="5"/>
      <c r="AO542" s="5"/>
      <c r="AP542" s="5"/>
      <c r="AQ542" s="5"/>
      <c r="AR542" s="5"/>
      <c r="AS542" s="5"/>
      <c r="AT542" s="5"/>
      <c r="AU542" s="6" t="s">
        <v>927</v>
      </c>
      <c r="AV542" s="6" t="s">
        <v>1306</v>
      </c>
      <c r="AW542" s="6" t="s">
        <v>1306</v>
      </c>
      <c r="AX542" s="6" t="s">
        <v>929</v>
      </c>
      <c r="AY542" s="6" t="s">
        <v>930</v>
      </c>
      <c r="AZ542" s="6"/>
      <c r="BA542" s="6" t="s">
        <v>2148</v>
      </c>
      <c r="BB542" s="6" t="s">
        <v>2149</v>
      </c>
      <c r="BC542" s="6" t="s">
        <v>97</v>
      </c>
      <c r="BD542" s="6" t="s">
        <v>97</v>
      </c>
    </row>
    <row r="543" spans="1:56" ht="32" customHeight="1" x14ac:dyDescent="0.35">
      <c r="A543" s="13" t="s">
        <v>4112</v>
      </c>
      <c r="B543" s="6" t="s">
        <v>2114</v>
      </c>
      <c r="C543" s="5" t="s">
        <v>2115</v>
      </c>
      <c r="D543" s="5" t="s">
        <v>843</v>
      </c>
      <c r="E543" s="5" t="s">
        <v>4113</v>
      </c>
      <c r="F543" s="5" t="s">
        <v>2001</v>
      </c>
      <c r="G543" s="5" t="s">
        <v>1017</v>
      </c>
      <c r="H543" s="5" t="s">
        <v>4114</v>
      </c>
      <c r="I543" s="5" t="s">
        <v>4115</v>
      </c>
      <c r="J543" s="17" t="s">
        <v>121</v>
      </c>
      <c r="K543" s="17" t="s">
        <v>181</v>
      </c>
      <c r="L543" s="5" t="s">
        <v>4116</v>
      </c>
      <c r="M543" s="6" t="s">
        <v>197</v>
      </c>
      <c r="N543" s="6" t="s">
        <v>812</v>
      </c>
      <c r="O543" s="6" t="s">
        <v>121</v>
      </c>
      <c r="P543" s="5" t="s">
        <v>918</v>
      </c>
      <c r="Q543" s="17" t="s">
        <v>182</v>
      </c>
      <c r="R543" s="5"/>
      <c r="S543" s="6" t="s">
        <v>3845</v>
      </c>
      <c r="T543" s="5" t="s">
        <v>3846</v>
      </c>
      <c r="U543" s="6"/>
      <c r="V543" s="6" t="s">
        <v>921</v>
      </c>
      <c r="W543" s="6" t="s">
        <v>331</v>
      </c>
      <c r="X543" s="5" t="s">
        <v>922</v>
      </c>
      <c r="Y543" s="5" t="s">
        <v>812</v>
      </c>
      <c r="Z543" s="5" t="str">
        <f t="shared" si="16"/>
        <v>Medium</v>
      </c>
      <c r="AA543" s="5" t="s">
        <v>956</v>
      </c>
      <c r="AB543" s="6" t="s">
        <v>924</v>
      </c>
      <c r="AC543" s="6" t="s">
        <v>103</v>
      </c>
      <c r="AD543" s="5" t="s">
        <v>925</v>
      </c>
      <c r="AE543" s="5" t="s">
        <v>354</v>
      </c>
      <c r="AF543" s="5" t="s">
        <v>354</v>
      </c>
      <c r="AG543" s="5" t="s">
        <v>354</v>
      </c>
      <c r="AH543" s="5" t="s">
        <v>354</v>
      </c>
      <c r="AI543" s="6" t="str">
        <f t="shared" si="17"/>
        <v>No</v>
      </c>
      <c r="AJ543" s="6" t="s">
        <v>926</v>
      </c>
      <c r="AK543" s="6" t="s">
        <v>121</v>
      </c>
      <c r="AL543" s="6">
        <f>MATCH(AA543,{"Low","Medium","High"},0)*MATCH(AB543,{"Low","Medium","High"},0)*INDEX({3,2,2,1,1},MATCH(X543,{"Core","Vertical extension","Differentiator","Future","Adjacent"},0))</f>
        <v>6</v>
      </c>
      <c r="AM543" s="5"/>
      <c r="AN543" s="5"/>
      <c r="AO543" s="5"/>
      <c r="AP543" s="5"/>
      <c r="AQ543" s="5"/>
      <c r="AR543" s="5"/>
      <c r="AS543" s="5"/>
      <c r="AT543" s="5"/>
      <c r="AU543" s="6" t="s">
        <v>927</v>
      </c>
      <c r="AV543" s="6" t="s">
        <v>1306</v>
      </c>
      <c r="AW543" s="6" t="s">
        <v>1306</v>
      </c>
      <c r="AX543" s="6" t="s">
        <v>929</v>
      </c>
      <c r="AY543" s="6" t="s">
        <v>930</v>
      </c>
      <c r="AZ543" s="6"/>
      <c r="BA543" s="6"/>
      <c r="BB543" s="6"/>
      <c r="BC543" s="6" t="s">
        <v>97</v>
      </c>
      <c r="BD543" s="6" t="s">
        <v>97</v>
      </c>
    </row>
    <row r="544" spans="1:56" ht="32" customHeight="1" x14ac:dyDescent="0.35">
      <c r="A544" s="13" t="s">
        <v>4117</v>
      </c>
      <c r="B544" s="6" t="s">
        <v>2114</v>
      </c>
      <c r="C544" s="5" t="s">
        <v>2115</v>
      </c>
      <c r="D544" s="5" t="s">
        <v>843</v>
      </c>
      <c r="E544" s="5" t="s">
        <v>4118</v>
      </c>
      <c r="F544" s="5" t="s">
        <v>4119</v>
      </c>
      <c r="G544" s="5" t="s">
        <v>2001</v>
      </c>
      <c r="H544" s="5" t="s">
        <v>4120</v>
      </c>
      <c r="I544" s="5" t="s">
        <v>4121</v>
      </c>
      <c r="J544" s="17" t="s">
        <v>121</v>
      </c>
      <c r="K544" s="17" t="s">
        <v>181</v>
      </c>
      <c r="L544" s="5" t="s">
        <v>4122</v>
      </c>
      <c r="M544" s="6" t="s">
        <v>197</v>
      </c>
      <c r="N544" s="6" t="s">
        <v>812</v>
      </c>
      <c r="O544" s="6" t="s">
        <v>121</v>
      </c>
      <c r="P544" s="5" t="s">
        <v>918</v>
      </c>
      <c r="Q544" s="17" t="s">
        <v>182</v>
      </c>
      <c r="R544" s="5"/>
      <c r="S544" s="6" t="s">
        <v>3845</v>
      </c>
      <c r="T544" s="5" t="s">
        <v>3846</v>
      </c>
      <c r="U544" s="6"/>
      <c r="V544" s="6" t="s">
        <v>921</v>
      </c>
      <c r="W544" s="6" t="s">
        <v>331</v>
      </c>
      <c r="X544" s="5" t="s">
        <v>922</v>
      </c>
      <c r="Y544" s="5" t="s">
        <v>812</v>
      </c>
      <c r="Z544" s="5" t="str">
        <f t="shared" si="16"/>
        <v>Medium</v>
      </c>
      <c r="AA544" s="5" t="s">
        <v>956</v>
      </c>
      <c r="AB544" s="6" t="s">
        <v>924</v>
      </c>
      <c r="AC544" s="6" t="s">
        <v>103</v>
      </c>
      <c r="AD544" s="5" t="s">
        <v>925</v>
      </c>
      <c r="AE544" s="5" t="s">
        <v>354</v>
      </c>
      <c r="AF544" s="5" t="s">
        <v>354</v>
      </c>
      <c r="AG544" s="5" t="s">
        <v>354</v>
      </c>
      <c r="AH544" s="5" t="s">
        <v>354</v>
      </c>
      <c r="AI544" s="6" t="str">
        <f t="shared" si="17"/>
        <v>No</v>
      </c>
      <c r="AJ544" s="6" t="s">
        <v>926</v>
      </c>
      <c r="AK544" s="6" t="s">
        <v>121</v>
      </c>
      <c r="AL544" s="6">
        <f>MATCH(AA544,{"Low","Medium","High"},0)*MATCH(AB544,{"Low","Medium","High"},0)*INDEX({3,2,2,1,1},MATCH(X544,{"Core","Vertical extension","Differentiator","Future","Adjacent"},0))</f>
        <v>6</v>
      </c>
      <c r="AM544" s="5"/>
      <c r="AN544" s="5"/>
      <c r="AO544" s="5"/>
      <c r="AP544" s="5"/>
      <c r="AQ544" s="5"/>
      <c r="AR544" s="5"/>
      <c r="AS544" s="5"/>
      <c r="AT544" s="5"/>
      <c r="AU544" s="6" t="s">
        <v>927</v>
      </c>
      <c r="AV544" s="6" t="s">
        <v>55</v>
      </c>
      <c r="AW544" s="6" t="s">
        <v>55</v>
      </c>
      <c r="AX544" s="6" t="s">
        <v>929</v>
      </c>
      <c r="AY544" s="6" t="s">
        <v>930</v>
      </c>
      <c r="AZ544" s="6"/>
      <c r="BA544" s="6"/>
      <c r="BB544" s="6"/>
      <c r="BC544" s="6" t="s">
        <v>97</v>
      </c>
      <c r="BD544" s="6" t="s">
        <v>97</v>
      </c>
    </row>
    <row r="545" spans="1:56" ht="32" customHeight="1" x14ac:dyDescent="0.35">
      <c r="A545" s="13" t="s">
        <v>4123</v>
      </c>
      <c r="B545" s="6" t="s">
        <v>2114</v>
      </c>
      <c r="C545" s="5" t="s">
        <v>2115</v>
      </c>
      <c r="D545" s="5" t="s">
        <v>843</v>
      </c>
      <c r="E545" s="5" t="s">
        <v>4124</v>
      </c>
      <c r="F545" s="5" t="s">
        <v>4125</v>
      </c>
      <c r="G545" s="5" t="s">
        <v>951</v>
      </c>
      <c r="H545" s="5" t="s">
        <v>4126</v>
      </c>
      <c r="I545" s="5" t="s">
        <v>4127</v>
      </c>
      <c r="J545" s="19" t="s">
        <v>151</v>
      </c>
      <c r="K545" s="17" t="s">
        <v>181</v>
      </c>
      <c r="L545" s="5" t="s">
        <v>4128</v>
      </c>
      <c r="M545" s="6" t="s">
        <v>197</v>
      </c>
      <c r="N545" s="6" t="s">
        <v>812</v>
      </c>
      <c r="O545" s="6" t="s">
        <v>151</v>
      </c>
      <c r="P545" s="5" t="s">
        <v>1115</v>
      </c>
      <c r="Q545" s="17" t="s">
        <v>182</v>
      </c>
      <c r="R545" s="5" t="s">
        <v>1115</v>
      </c>
      <c r="S545" s="6" t="s">
        <v>3845</v>
      </c>
      <c r="T545" s="5" t="s">
        <v>3846</v>
      </c>
      <c r="U545" s="6"/>
      <c r="V545" s="6" t="s">
        <v>921</v>
      </c>
      <c r="W545" s="6" t="s">
        <v>331</v>
      </c>
      <c r="X545" s="5" t="s">
        <v>922</v>
      </c>
      <c r="Y545" s="5" t="s">
        <v>812</v>
      </c>
      <c r="Z545" s="5" t="str">
        <f t="shared" si="16"/>
        <v>Medium</v>
      </c>
      <c r="AA545" s="5" t="s">
        <v>956</v>
      </c>
      <c r="AB545" s="6" t="s">
        <v>924</v>
      </c>
      <c r="AC545" s="6" t="s">
        <v>11</v>
      </c>
      <c r="AD545" s="5" t="s">
        <v>925</v>
      </c>
      <c r="AE545" s="5" t="s">
        <v>354</v>
      </c>
      <c r="AF545" s="5" t="s">
        <v>354</v>
      </c>
      <c r="AG545" s="5" t="s">
        <v>354</v>
      </c>
      <c r="AH545" s="5" t="s">
        <v>354</v>
      </c>
      <c r="AI545" s="6" t="str">
        <f t="shared" si="17"/>
        <v>No</v>
      </c>
      <c r="AJ545" s="6" t="s">
        <v>926</v>
      </c>
      <c r="AK545" s="6" t="s">
        <v>151</v>
      </c>
      <c r="AL545" s="6">
        <f>MATCH(AA545,{"Low","Medium","High"},0)*MATCH(AB545,{"Low","Medium","High"},0)*INDEX({3,2,2,1,1},MATCH(X545,{"Core","Vertical extension","Differentiator","Future","Adjacent"},0))</f>
        <v>6</v>
      </c>
      <c r="AM545" s="5"/>
      <c r="AN545" s="5"/>
      <c r="AO545" s="5"/>
      <c r="AP545" s="5"/>
      <c r="AQ545" s="5"/>
      <c r="AR545" s="5"/>
      <c r="AS545" s="5"/>
      <c r="AT545" s="5"/>
      <c r="AU545" s="6" t="s">
        <v>927</v>
      </c>
      <c r="AV545" s="6" t="s">
        <v>1322</v>
      </c>
      <c r="AW545" s="6" t="s">
        <v>1322</v>
      </c>
      <c r="AX545" s="6" t="s">
        <v>1003</v>
      </c>
      <c r="AY545" s="6" t="s">
        <v>930</v>
      </c>
      <c r="AZ545" s="6"/>
      <c r="BA545" s="6"/>
      <c r="BB545" s="6"/>
      <c r="BC545" s="6" t="s">
        <v>97</v>
      </c>
      <c r="BD545" s="6" t="s">
        <v>97</v>
      </c>
    </row>
    <row r="546" spans="1:56" ht="32" customHeight="1" x14ac:dyDescent="0.35">
      <c r="A546" s="13" t="s">
        <v>4129</v>
      </c>
      <c r="B546" s="6" t="s">
        <v>2114</v>
      </c>
      <c r="C546" s="5" t="s">
        <v>2115</v>
      </c>
      <c r="D546" s="5" t="s">
        <v>827</v>
      </c>
      <c r="E546" s="5" t="s">
        <v>4130</v>
      </c>
      <c r="F546" s="5" t="s">
        <v>1596</v>
      </c>
      <c r="G546" s="5" t="s">
        <v>1452</v>
      </c>
      <c r="H546" s="5" t="s">
        <v>4131</v>
      </c>
      <c r="I546" s="5" t="s">
        <v>4132</v>
      </c>
      <c r="J546" s="16" t="s">
        <v>73</v>
      </c>
      <c r="K546" s="17" t="s">
        <v>181</v>
      </c>
      <c r="L546" s="5" t="s">
        <v>4133</v>
      </c>
      <c r="M546" s="6" t="s">
        <v>197</v>
      </c>
      <c r="N546" s="6" t="s">
        <v>812</v>
      </c>
      <c r="O546" s="6" t="s">
        <v>73</v>
      </c>
      <c r="P546" s="5" t="s">
        <v>918</v>
      </c>
      <c r="Q546" s="17" t="s">
        <v>182</v>
      </c>
      <c r="R546" s="5"/>
      <c r="S546" s="6" t="s">
        <v>1030</v>
      </c>
      <c r="T546" s="5" t="s">
        <v>827</v>
      </c>
      <c r="U546" s="6"/>
      <c r="V546" s="6" t="s">
        <v>1031</v>
      </c>
      <c r="W546" s="6" t="s">
        <v>333</v>
      </c>
      <c r="X546" s="5" t="s">
        <v>922</v>
      </c>
      <c r="Y546" s="5" t="s">
        <v>812</v>
      </c>
      <c r="Z546" s="5" t="str">
        <f t="shared" si="16"/>
        <v>Critical</v>
      </c>
      <c r="AA546" s="5" t="s">
        <v>923</v>
      </c>
      <c r="AB546" s="6" t="s">
        <v>956</v>
      </c>
      <c r="AC546" s="6" t="s">
        <v>78</v>
      </c>
      <c r="AD546" s="5" t="s">
        <v>925</v>
      </c>
      <c r="AE546" s="5" t="s">
        <v>354</v>
      </c>
      <c r="AF546" s="5" t="s">
        <v>354</v>
      </c>
      <c r="AG546" s="5" t="s">
        <v>354</v>
      </c>
      <c r="AH546" s="5" t="s">
        <v>354</v>
      </c>
      <c r="AI546" s="6" t="str">
        <f t="shared" si="17"/>
        <v>No</v>
      </c>
      <c r="AJ546" s="6" t="s">
        <v>926</v>
      </c>
      <c r="AK546" s="6" t="s">
        <v>73</v>
      </c>
      <c r="AL546" s="6">
        <f>MATCH(AA546,{"Low","Medium","High"},0)*MATCH(AB546,{"Low","Medium","High"},0)*INDEX({3,2,2,1,1},MATCH(X546,{"Core","Vertical extension","Differentiator","Future","Adjacent"},0))</f>
        <v>18</v>
      </c>
      <c r="AM546" s="5"/>
      <c r="AN546" s="5"/>
      <c r="AO546" s="5"/>
      <c r="AP546" s="5"/>
      <c r="AQ546" s="5"/>
      <c r="AR546" s="5"/>
      <c r="AS546" s="5"/>
      <c r="AT546" s="5"/>
      <c r="AU546" s="6" t="s">
        <v>927</v>
      </c>
      <c r="AV546" s="6" t="s">
        <v>1390</v>
      </c>
      <c r="AW546" s="6" t="s">
        <v>1390</v>
      </c>
      <c r="AX546" s="6" t="s">
        <v>929</v>
      </c>
      <c r="AY546" s="6" t="s">
        <v>1032</v>
      </c>
      <c r="AZ546" s="6"/>
      <c r="BA546" s="6"/>
      <c r="BB546" s="6"/>
      <c r="BC546" s="6" t="s">
        <v>97</v>
      </c>
      <c r="BD546" s="6" t="s">
        <v>97</v>
      </c>
    </row>
    <row r="547" spans="1:56" ht="32" customHeight="1" x14ac:dyDescent="0.35">
      <c r="A547" s="13" t="s">
        <v>4134</v>
      </c>
      <c r="B547" s="6" t="s">
        <v>2114</v>
      </c>
      <c r="C547" s="5" t="s">
        <v>2115</v>
      </c>
      <c r="D547" s="5" t="s">
        <v>827</v>
      </c>
      <c r="E547" s="5" t="s">
        <v>4135</v>
      </c>
      <c r="F547" s="5" t="s">
        <v>1596</v>
      </c>
      <c r="G547" s="5" t="s">
        <v>1505</v>
      </c>
      <c r="H547" s="5" t="s">
        <v>4136</v>
      </c>
      <c r="I547" s="5" t="s">
        <v>4137</v>
      </c>
      <c r="J547" s="17" t="s">
        <v>121</v>
      </c>
      <c r="K547" s="17" t="s">
        <v>181</v>
      </c>
      <c r="L547" s="5" t="s">
        <v>4138</v>
      </c>
      <c r="M547" s="6" t="s">
        <v>197</v>
      </c>
      <c r="N547" s="6" t="s">
        <v>812</v>
      </c>
      <c r="O547" s="6" t="s">
        <v>121</v>
      </c>
      <c r="P547" s="5" t="s">
        <v>918</v>
      </c>
      <c r="Q547" s="17" t="s">
        <v>182</v>
      </c>
      <c r="R547" s="5"/>
      <c r="S547" s="6" t="s">
        <v>1030</v>
      </c>
      <c r="T547" s="5" t="s">
        <v>827</v>
      </c>
      <c r="U547" s="6"/>
      <c r="V547" s="6" t="s">
        <v>1764</v>
      </c>
      <c r="W547" s="6" t="s">
        <v>333</v>
      </c>
      <c r="X547" s="5" t="s">
        <v>922</v>
      </c>
      <c r="Y547" s="5" t="s">
        <v>812</v>
      </c>
      <c r="Z547" s="5" t="str">
        <f t="shared" si="16"/>
        <v>High</v>
      </c>
      <c r="AA547" s="5" t="s">
        <v>956</v>
      </c>
      <c r="AB547" s="6" t="s">
        <v>956</v>
      </c>
      <c r="AC547" s="6" t="s">
        <v>103</v>
      </c>
      <c r="AD547" s="5" t="s">
        <v>925</v>
      </c>
      <c r="AE547" s="5" t="s">
        <v>354</v>
      </c>
      <c r="AF547" s="5" t="s">
        <v>354</v>
      </c>
      <c r="AG547" s="5" t="s">
        <v>354</v>
      </c>
      <c r="AH547" s="5" t="s">
        <v>354</v>
      </c>
      <c r="AI547" s="6" t="str">
        <f t="shared" si="17"/>
        <v>No</v>
      </c>
      <c r="AJ547" s="6" t="s">
        <v>926</v>
      </c>
      <c r="AK547" s="6" t="s">
        <v>121</v>
      </c>
      <c r="AL547" s="6">
        <f>MATCH(AA547,{"Low","Medium","High"},0)*MATCH(AB547,{"Low","Medium","High"},0)*INDEX({3,2,2,1,1},MATCH(X547,{"Core","Vertical extension","Differentiator","Future","Adjacent"},0))</f>
        <v>12</v>
      </c>
      <c r="AM547" s="5"/>
      <c r="AN547" s="5"/>
      <c r="AO547" s="5"/>
      <c r="AP547" s="5"/>
      <c r="AQ547" s="5"/>
      <c r="AR547" s="5"/>
      <c r="AS547" s="5"/>
      <c r="AT547" s="5"/>
      <c r="AU547" s="6" t="s">
        <v>927</v>
      </c>
      <c r="AV547" s="6" t="s">
        <v>1390</v>
      </c>
      <c r="AW547" s="6" t="s">
        <v>1390</v>
      </c>
      <c r="AX547" s="6" t="s">
        <v>929</v>
      </c>
      <c r="AY547" s="6" t="s">
        <v>1032</v>
      </c>
      <c r="AZ547" s="6"/>
      <c r="BA547" s="6"/>
      <c r="BB547" s="6"/>
      <c r="BC547" s="6" t="s">
        <v>97</v>
      </c>
      <c r="BD547" s="6" t="s">
        <v>97</v>
      </c>
    </row>
    <row r="548" spans="1:56" ht="32" customHeight="1" x14ac:dyDescent="0.35">
      <c r="A548" s="13" t="s">
        <v>4139</v>
      </c>
      <c r="B548" s="6" t="s">
        <v>2114</v>
      </c>
      <c r="C548" s="5" t="s">
        <v>2115</v>
      </c>
      <c r="D548" s="5" t="s">
        <v>838</v>
      </c>
      <c r="E548" s="5" t="s">
        <v>4140</v>
      </c>
      <c r="F548" s="5" t="s">
        <v>4141</v>
      </c>
      <c r="G548" s="5" t="s">
        <v>4142</v>
      </c>
      <c r="H548" s="5" t="s">
        <v>4143</v>
      </c>
      <c r="I548" s="5" t="s">
        <v>4144</v>
      </c>
      <c r="J548" s="17" t="s">
        <v>121</v>
      </c>
      <c r="K548" s="17" t="s">
        <v>181</v>
      </c>
      <c r="L548" s="5" t="s">
        <v>4145</v>
      </c>
      <c r="M548" s="6" t="s">
        <v>197</v>
      </c>
      <c r="N548" s="6" t="s">
        <v>812</v>
      </c>
      <c r="O548" s="6" t="s">
        <v>121</v>
      </c>
      <c r="P548" s="5" t="s">
        <v>918</v>
      </c>
      <c r="Q548" s="17" t="s">
        <v>182</v>
      </c>
      <c r="R548" s="5"/>
      <c r="S548" s="6" t="s">
        <v>990</v>
      </c>
      <c r="T548" s="5" t="s">
        <v>991</v>
      </c>
      <c r="U548" s="6"/>
      <c r="V548" s="6" t="s">
        <v>992</v>
      </c>
      <c r="W548" s="6" t="s">
        <v>337</v>
      </c>
      <c r="X548" s="5" t="s">
        <v>922</v>
      </c>
      <c r="Y548" s="5" t="s">
        <v>812</v>
      </c>
      <c r="Z548" s="5" t="str">
        <f t="shared" si="16"/>
        <v>Medium</v>
      </c>
      <c r="AA548" s="5" t="s">
        <v>956</v>
      </c>
      <c r="AB548" s="6" t="s">
        <v>924</v>
      </c>
      <c r="AC548" s="6" t="s">
        <v>11</v>
      </c>
      <c r="AD548" s="5" t="s">
        <v>925</v>
      </c>
      <c r="AE548" s="5" t="s">
        <v>354</v>
      </c>
      <c r="AF548" s="5" t="s">
        <v>354</v>
      </c>
      <c r="AG548" s="5" t="s">
        <v>354</v>
      </c>
      <c r="AH548" s="5" t="s">
        <v>354</v>
      </c>
      <c r="AI548" s="6" t="str">
        <f t="shared" si="17"/>
        <v>No</v>
      </c>
      <c r="AJ548" s="6" t="s">
        <v>926</v>
      </c>
      <c r="AK548" s="6" t="s">
        <v>151</v>
      </c>
      <c r="AL548" s="6">
        <f>MATCH(AA548,{"Low","Medium","High"},0)*MATCH(AB548,{"Low","Medium","High"},0)*INDEX({3,2,2,1,1},MATCH(X548,{"Core","Vertical extension","Differentiator","Future","Adjacent"},0))</f>
        <v>6</v>
      </c>
      <c r="AM548" s="5"/>
      <c r="AN548" s="5"/>
      <c r="AO548" s="5"/>
      <c r="AP548" s="5"/>
      <c r="AQ548" s="5"/>
      <c r="AR548" s="5"/>
      <c r="AS548" s="5"/>
      <c r="AT548" s="5"/>
      <c r="AU548" s="6" t="s">
        <v>927</v>
      </c>
      <c r="AV548" s="6" t="s">
        <v>1315</v>
      </c>
      <c r="AW548" s="6" t="s">
        <v>1315</v>
      </c>
      <c r="AX548" s="6" t="s">
        <v>929</v>
      </c>
      <c r="AY548" s="6" t="s">
        <v>930</v>
      </c>
      <c r="AZ548" s="6"/>
      <c r="BA548" s="6"/>
      <c r="BB548" s="6"/>
      <c r="BC548" s="6" t="s">
        <v>97</v>
      </c>
      <c r="BD548" s="6" t="s">
        <v>97</v>
      </c>
    </row>
    <row r="549" spans="1:56" ht="32" customHeight="1" x14ac:dyDescent="0.35">
      <c r="A549" s="13" t="s">
        <v>4146</v>
      </c>
      <c r="B549" s="6" t="s">
        <v>2114</v>
      </c>
      <c r="C549" s="5" t="s">
        <v>2115</v>
      </c>
      <c r="D549" s="5" t="s">
        <v>838</v>
      </c>
      <c r="E549" s="5" t="s">
        <v>4147</v>
      </c>
      <c r="F549" s="5" t="s">
        <v>4148</v>
      </c>
      <c r="G549" s="5" t="s">
        <v>951</v>
      </c>
      <c r="H549" s="5" t="s">
        <v>4149</v>
      </c>
      <c r="I549" s="5" t="s">
        <v>4150</v>
      </c>
      <c r="J549" s="19" t="s">
        <v>151</v>
      </c>
      <c r="K549" s="17" t="s">
        <v>181</v>
      </c>
      <c r="L549" s="5" t="s">
        <v>4151</v>
      </c>
      <c r="M549" s="6" t="s">
        <v>197</v>
      </c>
      <c r="N549" s="6" t="s">
        <v>812</v>
      </c>
      <c r="O549" s="6" t="s">
        <v>151</v>
      </c>
      <c r="P549" s="5" t="s">
        <v>918</v>
      </c>
      <c r="Q549" s="17" t="s">
        <v>182</v>
      </c>
      <c r="R549" s="5"/>
      <c r="S549" s="6" t="s">
        <v>990</v>
      </c>
      <c r="T549" s="5" t="s">
        <v>991</v>
      </c>
      <c r="U549" s="6"/>
      <c r="V549" s="6" t="s">
        <v>992</v>
      </c>
      <c r="W549" s="6" t="s">
        <v>337</v>
      </c>
      <c r="X549" s="5" t="s">
        <v>922</v>
      </c>
      <c r="Y549" s="5" t="s">
        <v>812</v>
      </c>
      <c r="Z549" s="5" t="str">
        <f t="shared" si="16"/>
        <v>Medium</v>
      </c>
      <c r="AA549" s="5" t="s">
        <v>956</v>
      </c>
      <c r="AB549" s="6" t="s">
        <v>924</v>
      </c>
      <c r="AC549" s="6" t="s">
        <v>11</v>
      </c>
      <c r="AD549" s="5" t="s">
        <v>925</v>
      </c>
      <c r="AE549" s="5" t="s">
        <v>354</v>
      </c>
      <c r="AF549" s="5" t="s">
        <v>354</v>
      </c>
      <c r="AG549" s="5" t="s">
        <v>354</v>
      </c>
      <c r="AH549" s="5" t="s">
        <v>354</v>
      </c>
      <c r="AI549" s="6" t="str">
        <f t="shared" si="17"/>
        <v>No</v>
      </c>
      <c r="AJ549" s="6" t="s">
        <v>926</v>
      </c>
      <c r="AK549" s="6" t="s">
        <v>151</v>
      </c>
      <c r="AL549" s="6">
        <f>MATCH(AA549,{"Low","Medium","High"},0)*MATCH(AB549,{"Low","Medium","High"},0)*INDEX({3,2,2,1,1},MATCH(X549,{"Core","Vertical extension","Differentiator","Future","Adjacent"},0))</f>
        <v>6</v>
      </c>
      <c r="AM549" s="5"/>
      <c r="AN549" s="5"/>
      <c r="AO549" s="5"/>
      <c r="AP549" s="5"/>
      <c r="AQ549" s="5"/>
      <c r="AR549" s="5"/>
      <c r="AS549" s="5"/>
      <c r="AT549" s="5"/>
      <c r="AU549" s="6" t="s">
        <v>927</v>
      </c>
      <c r="AV549" s="6" t="s">
        <v>928</v>
      </c>
      <c r="AW549" s="6" t="s">
        <v>928</v>
      </c>
      <c r="AX549" s="6" t="s">
        <v>929</v>
      </c>
      <c r="AY549" s="6" t="s">
        <v>930</v>
      </c>
      <c r="AZ549" s="6"/>
      <c r="BA549" s="6"/>
      <c r="BB549" s="6"/>
      <c r="BC549" s="6" t="s">
        <v>97</v>
      </c>
      <c r="BD549" s="6" t="s">
        <v>97</v>
      </c>
    </row>
    <row r="550" spans="1:56" ht="32" customHeight="1" x14ac:dyDescent="0.35">
      <c r="A550" s="13" t="s">
        <v>4152</v>
      </c>
      <c r="B550" s="6" t="s">
        <v>2114</v>
      </c>
      <c r="C550" s="5" t="s">
        <v>2115</v>
      </c>
      <c r="D550" s="5" t="s">
        <v>827</v>
      </c>
      <c r="E550" s="5" t="s">
        <v>4153</v>
      </c>
      <c r="F550" s="5" t="s">
        <v>4154</v>
      </c>
      <c r="G550" s="5" t="s">
        <v>1017</v>
      </c>
      <c r="H550" s="5" t="s">
        <v>4155</v>
      </c>
      <c r="I550" s="5" t="s">
        <v>4156</v>
      </c>
      <c r="J550" s="17" t="s">
        <v>121</v>
      </c>
      <c r="K550" s="17" t="s">
        <v>181</v>
      </c>
      <c r="L550" s="5" t="s">
        <v>4157</v>
      </c>
      <c r="M550" s="6" t="s">
        <v>197</v>
      </c>
      <c r="N550" s="6" t="s">
        <v>812</v>
      </c>
      <c r="O550" s="6" t="s">
        <v>121</v>
      </c>
      <c r="P550" s="5" t="s">
        <v>918</v>
      </c>
      <c r="Q550" s="17" t="s">
        <v>182</v>
      </c>
      <c r="R550" s="5"/>
      <c r="S550" s="6" t="s">
        <v>1030</v>
      </c>
      <c r="T550" s="5" t="s">
        <v>827</v>
      </c>
      <c r="U550" s="6"/>
      <c r="V550" s="6" t="s">
        <v>1031</v>
      </c>
      <c r="W550" s="6" t="s">
        <v>333</v>
      </c>
      <c r="X550" s="5" t="s">
        <v>922</v>
      </c>
      <c r="Y550" s="5" t="s">
        <v>812</v>
      </c>
      <c r="Z550" s="5" t="str">
        <f t="shared" si="16"/>
        <v>High</v>
      </c>
      <c r="AA550" s="5" t="s">
        <v>956</v>
      </c>
      <c r="AB550" s="6" t="s">
        <v>956</v>
      </c>
      <c r="AC550" s="6" t="s">
        <v>103</v>
      </c>
      <c r="AD550" s="5" t="s">
        <v>925</v>
      </c>
      <c r="AE550" s="5" t="s">
        <v>354</v>
      </c>
      <c r="AF550" s="5" t="s">
        <v>354</v>
      </c>
      <c r="AG550" s="5" t="s">
        <v>354</v>
      </c>
      <c r="AH550" s="5" t="s">
        <v>354</v>
      </c>
      <c r="AI550" s="6" t="str">
        <f t="shared" si="17"/>
        <v>No</v>
      </c>
      <c r="AJ550" s="6" t="s">
        <v>926</v>
      </c>
      <c r="AK550" s="6" t="s">
        <v>121</v>
      </c>
      <c r="AL550" s="6">
        <f>MATCH(AA550,{"Low","Medium","High"},0)*MATCH(AB550,{"Low","Medium","High"},0)*INDEX({3,2,2,1,1},MATCH(X550,{"Core","Vertical extension","Differentiator","Future","Adjacent"},0))</f>
        <v>12</v>
      </c>
      <c r="AM550" s="5"/>
      <c r="AN550" s="5"/>
      <c r="AO550" s="5"/>
      <c r="AP550" s="5"/>
      <c r="AQ550" s="5"/>
      <c r="AR550" s="5"/>
      <c r="AS550" s="5"/>
      <c r="AT550" s="5"/>
      <c r="AU550" s="6" t="s">
        <v>927</v>
      </c>
      <c r="AV550" s="6" t="s">
        <v>1390</v>
      </c>
      <c r="AW550" s="6" t="s">
        <v>1390</v>
      </c>
      <c r="AX550" s="6" t="s">
        <v>929</v>
      </c>
      <c r="AY550" s="6" t="s">
        <v>1032</v>
      </c>
      <c r="AZ550" s="6"/>
      <c r="BA550" s="6"/>
      <c r="BB550" s="6"/>
      <c r="BC550" s="6" t="s">
        <v>97</v>
      </c>
      <c r="BD550" s="6" t="s">
        <v>97</v>
      </c>
    </row>
    <row r="551" spans="1:56" ht="32" customHeight="1" x14ac:dyDescent="0.35">
      <c r="A551" s="13" t="s">
        <v>4158</v>
      </c>
      <c r="B551" s="6" t="s">
        <v>2114</v>
      </c>
      <c r="C551" s="5" t="s">
        <v>2115</v>
      </c>
      <c r="D551" s="5" t="s">
        <v>836</v>
      </c>
      <c r="E551" s="5" t="s">
        <v>4159</v>
      </c>
      <c r="F551" s="5" t="s">
        <v>1452</v>
      </c>
      <c r="G551" s="5" t="s">
        <v>4160</v>
      </c>
      <c r="H551" s="5" t="s">
        <v>4161</v>
      </c>
      <c r="I551" s="5" t="s">
        <v>4162</v>
      </c>
      <c r="J551" s="16" t="s">
        <v>73</v>
      </c>
      <c r="K551" s="17" t="s">
        <v>181</v>
      </c>
      <c r="L551" s="5" t="s">
        <v>4163</v>
      </c>
      <c r="M551" s="6" t="s">
        <v>197</v>
      </c>
      <c r="N551" s="6" t="s">
        <v>812</v>
      </c>
      <c r="O551" s="6" t="s">
        <v>73</v>
      </c>
      <c r="P551" s="5" t="s">
        <v>918</v>
      </c>
      <c r="Q551" s="17" t="s">
        <v>182</v>
      </c>
      <c r="R551" s="5"/>
      <c r="S551" s="6" t="s">
        <v>1061</v>
      </c>
      <c r="T551" s="5" t="s">
        <v>1062</v>
      </c>
      <c r="U551" s="6"/>
      <c r="V551" s="6" t="s">
        <v>1055</v>
      </c>
      <c r="W551" s="6" t="s">
        <v>333</v>
      </c>
      <c r="X551" s="5" t="s">
        <v>922</v>
      </c>
      <c r="Y551" s="5" t="s">
        <v>812</v>
      </c>
      <c r="Z551" s="5" t="str">
        <f t="shared" si="16"/>
        <v>High</v>
      </c>
      <c r="AA551" s="5" t="s">
        <v>923</v>
      </c>
      <c r="AB551" s="6" t="s">
        <v>924</v>
      </c>
      <c r="AC551" s="6" t="s">
        <v>78</v>
      </c>
      <c r="AD551" s="5" t="s">
        <v>925</v>
      </c>
      <c r="AE551" s="5" t="s">
        <v>354</v>
      </c>
      <c r="AF551" s="5" t="s">
        <v>354</v>
      </c>
      <c r="AG551" s="5" t="s">
        <v>354</v>
      </c>
      <c r="AH551" s="5" t="s">
        <v>354</v>
      </c>
      <c r="AI551" s="6" t="str">
        <f t="shared" si="17"/>
        <v>No</v>
      </c>
      <c r="AJ551" s="6" t="s">
        <v>926</v>
      </c>
      <c r="AK551" s="6" t="s">
        <v>73</v>
      </c>
      <c r="AL551" s="6">
        <f>MATCH(AA551,{"Low","Medium","High"},0)*MATCH(AB551,{"Low","Medium","High"},0)*INDEX({3,2,2,1,1},MATCH(X551,{"Core","Vertical extension","Differentiator","Future","Adjacent"},0))</f>
        <v>9</v>
      </c>
      <c r="AM551" s="5"/>
      <c r="AN551" s="5"/>
      <c r="AO551" s="5"/>
      <c r="AP551" s="5"/>
      <c r="AQ551" s="5"/>
      <c r="AR551" s="5"/>
      <c r="AS551" s="5"/>
      <c r="AT551" s="5"/>
      <c r="AU551" s="6" t="s">
        <v>927</v>
      </c>
      <c r="AV551" s="6" t="s">
        <v>55</v>
      </c>
      <c r="AW551" s="6" t="s">
        <v>55</v>
      </c>
      <c r="AX551" s="6" t="s">
        <v>929</v>
      </c>
      <c r="AY551" s="6" t="s">
        <v>930</v>
      </c>
      <c r="AZ551" s="6"/>
      <c r="BA551" s="6"/>
      <c r="BB551" s="6"/>
      <c r="BC551" s="6" t="s">
        <v>97</v>
      </c>
      <c r="BD551" s="6" t="s">
        <v>97</v>
      </c>
    </row>
    <row r="552" spans="1:56" ht="32" customHeight="1" x14ac:dyDescent="0.35">
      <c r="A552" s="13" t="s">
        <v>4164</v>
      </c>
      <c r="B552" s="6" t="s">
        <v>2114</v>
      </c>
      <c r="C552" s="5" t="s">
        <v>2115</v>
      </c>
      <c r="D552" s="5" t="s">
        <v>846</v>
      </c>
      <c r="E552" s="5" t="s">
        <v>4165</v>
      </c>
      <c r="F552" s="5" t="s">
        <v>1452</v>
      </c>
      <c r="G552" s="5" t="s">
        <v>1322</v>
      </c>
      <c r="H552" s="5" t="s">
        <v>4166</v>
      </c>
      <c r="I552" s="5" t="s">
        <v>4167</v>
      </c>
      <c r="J552" s="17" t="s">
        <v>121</v>
      </c>
      <c r="K552" s="17" t="s">
        <v>181</v>
      </c>
      <c r="L552" s="5" t="s">
        <v>4168</v>
      </c>
      <c r="M552" s="6" t="s">
        <v>197</v>
      </c>
      <c r="N552" s="6" t="s">
        <v>812</v>
      </c>
      <c r="O552" s="6" t="s">
        <v>121</v>
      </c>
      <c r="P552" s="5" t="s">
        <v>918</v>
      </c>
      <c r="Q552" s="17" t="s">
        <v>182</v>
      </c>
      <c r="R552" s="5"/>
      <c r="S552" s="6" t="s">
        <v>3901</v>
      </c>
      <c r="T552" s="5" t="s">
        <v>3902</v>
      </c>
      <c r="U552" s="6"/>
      <c r="V552" s="6" t="s">
        <v>1055</v>
      </c>
      <c r="W552" s="6" t="s">
        <v>333</v>
      </c>
      <c r="X552" s="5" t="s">
        <v>922</v>
      </c>
      <c r="Y552" s="5" t="s">
        <v>812</v>
      </c>
      <c r="Z552" s="5" t="str">
        <f t="shared" si="16"/>
        <v>Critical</v>
      </c>
      <c r="AA552" s="5" t="s">
        <v>923</v>
      </c>
      <c r="AB552" s="6" t="s">
        <v>923</v>
      </c>
      <c r="AC552" s="6" t="s">
        <v>103</v>
      </c>
      <c r="AD552" s="5" t="s">
        <v>925</v>
      </c>
      <c r="AE552" s="5" t="s">
        <v>354</v>
      </c>
      <c r="AF552" s="5" t="s">
        <v>354</v>
      </c>
      <c r="AG552" s="5" t="s">
        <v>354</v>
      </c>
      <c r="AH552" s="5" t="s">
        <v>354</v>
      </c>
      <c r="AI552" s="6" t="str">
        <f t="shared" si="17"/>
        <v>No</v>
      </c>
      <c r="AJ552" s="6" t="s">
        <v>926</v>
      </c>
      <c r="AK552" s="6" t="s">
        <v>121</v>
      </c>
      <c r="AL552" s="6">
        <f>MATCH(AA552,{"Low","Medium","High"},0)*MATCH(AB552,{"Low","Medium","High"},0)*INDEX({3,2,2,1,1},MATCH(X552,{"Core","Vertical extension","Differentiator","Future","Adjacent"},0))</f>
        <v>27</v>
      </c>
      <c r="AM552" s="5"/>
      <c r="AN552" s="5"/>
      <c r="AO552" s="5"/>
      <c r="AP552" s="5"/>
      <c r="AQ552" s="5"/>
      <c r="AR552" s="5"/>
      <c r="AS552" s="5"/>
      <c r="AT552" s="5"/>
      <c r="AU552" s="6" t="s">
        <v>927</v>
      </c>
      <c r="AV552" s="6" t="s">
        <v>55</v>
      </c>
      <c r="AW552" s="6" t="s">
        <v>55</v>
      </c>
      <c r="AX552" s="6" t="s">
        <v>929</v>
      </c>
      <c r="AY552" s="6" t="s">
        <v>930</v>
      </c>
      <c r="AZ552" s="6"/>
      <c r="BA552" s="6" t="s">
        <v>4169</v>
      </c>
      <c r="BB552" s="6" t="s">
        <v>4170</v>
      </c>
      <c r="BC552" s="6" t="s">
        <v>97</v>
      </c>
      <c r="BD552" s="6" t="s">
        <v>97</v>
      </c>
    </row>
    <row r="553" spans="1:56" ht="32" customHeight="1" x14ac:dyDescent="0.35">
      <c r="A553" s="13" t="s">
        <v>4171</v>
      </c>
      <c r="B553" s="6" t="s">
        <v>2114</v>
      </c>
      <c r="C553" s="5" t="s">
        <v>2115</v>
      </c>
      <c r="D553" s="5" t="s">
        <v>846</v>
      </c>
      <c r="E553" s="5" t="s">
        <v>4172</v>
      </c>
      <c r="F553" s="5" t="s">
        <v>1452</v>
      </c>
      <c r="G553" s="5" t="s">
        <v>1453</v>
      </c>
      <c r="H553" s="5" t="s">
        <v>4173</v>
      </c>
      <c r="I553" s="5" t="s">
        <v>4174</v>
      </c>
      <c r="J553" s="17" t="s">
        <v>121</v>
      </c>
      <c r="K553" s="17" t="s">
        <v>181</v>
      </c>
      <c r="L553" s="5" t="s">
        <v>4175</v>
      </c>
      <c r="M553" s="6" t="s">
        <v>197</v>
      </c>
      <c r="N553" s="6" t="s">
        <v>812</v>
      </c>
      <c r="O553" s="6" t="s">
        <v>121</v>
      </c>
      <c r="P553" s="5" t="s">
        <v>918</v>
      </c>
      <c r="Q553" s="17" t="s">
        <v>182</v>
      </c>
      <c r="R553" s="5"/>
      <c r="S553" s="6" t="s">
        <v>3901</v>
      </c>
      <c r="T553" s="5" t="s">
        <v>3902</v>
      </c>
      <c r="U553" s="6"/>
      <c r="V553" s="6" t="s">
        <v>1055</v>
      </c>
      <c r="W553" s="6" t="s">
        <v>333</v>
      </c>
      <c r="X553" s="5" t="s">
        <v>922</v>
      </c>
      <c r="Y553" s="5" t="s">
        <v>812</v>
      </c>
      <c r="Z553" s="5" t="str">
        <f t="shared" si="16"/>
        <v>Critical</v>
      </c>
      <c r="AA553" s="5" t="s">
        <v>923</v>
      </c>
      <c r="AB553" s="6" t="s">
        <v>923</v>
      </c>
      <c r="AC553" s="6" t="s">
        <v>103</v>
      </c>
      <c r="AD553" s="5" t="s">
        <v>925</v>
      </c>
      <c r="AE553" s="5" t="s">
        <v>354</v>
      </c>
      <c r="AF553" s="5" t="s">
        <v>354</v>
      </c>
      <c r="AG553" s="5" t="s">
        <v>354</v>
      </c>
      <c r="AH553" s="5" t="s">
        <v>354</v>
      </c>
      <c r="AI553" s="6" t="str">
        <f t="shared" si="17"/>
        <v>No</v>
      </c>
      <c r="AJ553" s="6" t="s">
        <v>926</v>
      </c>
      <c r="AK553" s="6" t="s">
        <v>121</v>
      </c>
      <c r="AL553" s="6">
        <f>MATCH(AA553,{"Low","Medium","High"},0)*MATCH(AB553,{"Low","Medium","High"},0)*INDEX({3,2,2,1,1},MATCH(X553,{"Core","Vertical extension","Differentiator","Future","Adjacent"},0))</f>
        <v>27</v>
      </c>
      <c r="AM553" s="5"/>
      <c r="AN553" s="5"/>
      <c r="AO553" s="5"/>
      <c r="AP553" s="5"/>
      <c r="AQ553" s="5"/>
      <c r="AR553" s="5"/>
      <c r="AS553" s="5"/>
      <c r="AT553" s="5"/>
      <c r="AU553" s="6" t="s">
        <v>927</v>
      </c>
      <c r="AV553" s="6" t="s">
        <v>55</v>
      </c>
      <c r="AW553" s="6" t="s">
        <v>55</v>
      </c>
      <c r="AX553" s="6" t="s">
        <v>929</v>
      </c>
      <c r="AY553" s="6" t="s">
        <v>930</v>
      </c>
      <c r="AZ553" s="6"/>
      <c r="BA553" s="6"/>
      <c r="BB553" s="6"/>
      <c r="BC553" s="6" t="s">
        <v>97</v>
      </c>
      <c r="BD553" s="6" t="s">
        <v>97</v>
      </c>
    </row>
    <row r="554" spans="1:56" ht="32" customHeight="1" x14ac:dyDescent="0.35">
      <c r="A554" s="13" t="s">
        <v>4176</v>
      </c>
      <c r="B554" s="6" t="s">
        <v>2114</v>
      </c>
      <c r="C554" s="5" t="s">
        <v>2115</v>
      </c>
      <c r="D554" s="5" t="s">
        <v>846</v>
      </c>
      <c r="E554" s="5" t="s">
        <v>4177</v>
      </c>
      <c r="F554" s="5" t="s">
        <v>1452</v>
      </c>
      <c r="G554" s="5" t="s">
        <v>1459</v>
      </c>
      <c r="H554" s="5" t="s">
        <v>4178</v>
      </c>
      <c r="I554" s="5" t="s">
        <v>4179</v>
      </c>
      <c r="J554" s="17" t="s">
        <v>121</v>
      </c>
      <c r="K554" s="17" t="s">
        <v>181</v>
      </c>
      <c r="L554" s="5" t="s">
        <v>4180</v>
      </c>
      <c r="M554" s="6" t="s">
        <v>197</v>
      </c>
      <c r="N554" s="6" t="s">
        <v>812</v>
      </c>
      <c r="O554" s="6" t="s">
        <v>121</v>
      </c>
      <c r="P554" s="5" t="s">
        <v>918</v>
      </c>
      <c r="Q554" s="17" t="s">
        <v>182</v>
      </c>
      <c r="R554" s="5"/>
      <c r="S554" s="6" t="s">
        <v>3901</v>
      </c>
      <c r="T554" s="5" t="s">
        <v>3902</v>
      </c>
      <c r="U554" s="6"/>
      <c r="V554" s="6" t="s">
        <v>1055</v>
      </c>
      <c r="W554" s="6" t="s">
        <v>333</v>
      </c>
      <c r="X554" s="5" t="s">
        <v>922</v>
      </c>
      <c r="Y554" s="5" t="s">
        <v>812</v>
      </c>
      <c r="Z554" s="5" t="str">
        <f t="shared" si="16"/>
        <v>Critical</v>
      </c>
      <c r="AA554" s="5" t="s">
        <v>923</v>
      </c>
      <c r="AB554" s="6" t="s">
        <v>923</v>
      </c>
      <c r="AC554" s="6" t="s">
        <v>103</v>
      </c>
      <c r="AD554" s="5" t="s">
        <v>925</v>
      </c>
      <c r="AE554" s="5" t="s">
        <v>354</v>
      </c>
      <c r="AF554" s="5" t="s">
        <v>354</v>
      </c>
      <c r="AG554" s="5" t="s">
        <v>354</v>
      </c>
      <c r="AH554" s="5" t="s">
        <v>354</v>
      </c>
      <c r="AI554" s="6" t="str">
        <f t="shared" si="17"/>
        <v>No</v>
      </c>
      <c r="AJ554" s="6" t="s">
        <v>926</v>
      </c>
      <c r="AK554" s="6" t="s">
        <v>121</v>
      </c>
      <c r="AL554" s="6">
        <f>MATCH(AA554,{"Low","Medium","High"},0)*MATCH(AB554,{"Low","Medium","High"},0)*INDEX({3,2,2,1,1},MATCH(X554,{"Core","Vertical extension","Differentiator","Future","Adjacent"},0))</f>
        <v>27</v>
      </c>
      <c r="AM554" s="5"/>
      <c r="AN554" s="5"/>
      <c r="AO554" s="5"/>
      <c r="AP554" s="5"/>
      <c r="AQ554" s="5"/>
      <c r="AR554" s="5"/>
      <c r="AS554" s="5"/>
      <c r="AT554" s="5"/>
      <c r="AU554" s="6" t="s">
        <v>927</v>
      </c>
      <c r="AV554" s="6" t="s">
        <v>55</v>
      </c>
      <c r="AW554" s="6" t="s">
        <v>55</v>
      </c>
      <c r="AX554" s="6" t="s">
        <v>929</v>
      </c>
      <c r="AY554" s="6" t="s">
        <v>930</v>
      </c>
      <c r="AZ554" s="6"/>
      <c r="BA554" s="6"/>
      <c r="BB554" s="6"/>
      <c r="BC554" s="6" t="s">
        <v>97</v>
      </c>
      <c r="BD554" s="6" t="s">
        <v>97</v>
      </c>
    </row>
    <row r="555" spans="1:56" ht="32" customHeight="1" x14ac:dyDescent="0.35">
      <c r="A555" s="13" t="s">
        <v>4181</v>
      </c>
      <c r="B555" s="6" t="s">
        <v>2114</v>
      </c>
      <c r="C555" s="5" t="s">
        <v>2115</v>
      </c>
      <c r="D555" s="5" t="s">
        <v>846</v>
      </c>
      <c r="E555" s="5" t="s">
        <v>4182</v>
      </c>
      <c r="F555" s="5" t="s">
        <v>1452</v>
      </c>
      <c r="G555" s="5" t="s">
        <v>1453</v>
      </c>
      <c r="H555" s="5" t="s">
        <v>4183</v>
      </c>
      <c r="I555" s="5" t="s">
        <v>4184</v>
      </c>
      <c r="J555" s="17" t="s">
        <v>121</v>
      </c>
      <c r="K555" s="17" t="s">
        <v>181</v>
      </c>
      <c r="L555" s="5" t="s">
        <v>4185</v>
      </c>
      <c r="M555" s="6" t="s">
        <v>197</v>
      </c>
      <c r="N555" s="6" t="s">
        <v>812</v>
      </c>
      <c r="O555" s="6" t="s">
        <v>121</v>
      </c>
      <c r="P555" s="5" t="s">
        <v>918</v>
      </c>
      <c r="Q555" s="17" t="s">
        <v>182</v>
      </c>
      <c r="R555" s="5"/>
      <c r="S555" s="6" t="s">
        <v>3901</v>
      </c>
      <c r="T555" s="5" t="s">
        <v>3902</v>
      </c>
      <c r="U555" s="6"/>
      <c r="V555" s="6" t="s">
        <v>1055</v>
      </c>
      <c r="W555" s="6" t="s">
        <v>333</v>
      </c>
      <c r="X555" s="5" t="s">
        <v>922</v>
      </c>
      <c r="Y555" s="5" t="s">
        <v>812</v>
      </c>
      <c r="Z555" s="5" t="str">
        <f t="shared" si="16"/>
        <v>Critical</v>
      </c>
      <c r="AA555" s="5" t="s">
        <v>923</v>
      </c>
      <c r="AB555" s="6" t="s">
        <v>923</v>
      </c>
      <c r="AC555" s="6" t="s">
        <v>103</v>
      </c>
      <c r="AD555" s="5" t="s">
        <v>925</v>
      </c>
      <c r="AE555" s="5" t="s">
        <v>354</v>
      </c>
      <c r="AF555" s="5" t="s">
        <v>354</v>
      </c>
      <c r="AG555" s="5" t="s">
        <v>354</v>
      </c>
      <c r="AH555" s="5" t="s">
        <v>354</v>
      </c>
      <c r="AI555" s="6" t="str">
        <f t="shared" si="17"/>
        <v>No</v>
      </c>
      <c r="AJ555" s="6" t="s">
        <v>926</v>
      </c>
      <c r="AK555" s="6" t="s">
        <v>121</v>
      </c>
      <c r="AL555" s="6">
        <f>MATCH(AA555,{"Low","Medium","High"},0)*MATCH(AB555,{"Low","Medium","High"},0)*INDEX({3,2,2,1,1},MATCH(X555,{"Core","Vertical extension","Differentiator","Future","Adjacent"},0))</f>
        <v>27</v>
      </c>
      <c r="AM555" s="5"/>
      <c r="AN555" s="5"/>
      <c r="AO555" s="5"/>
      <c r="AP555" s="5"/>
      <c r="AQ555" s="5"/>
      <c r="AR555" s="5"/>
      <c r="AS555" s="5"/>
      <c r="AT555" s="5"/>
      <c r="AU555" s="6" t="s">
        <v>927</v>
      </c>
      <c r="AV555" s="6" t="s">
        <v>55</v>
      </c>
      <c r="AW555" s="6" t="s">
        <v>55</v>
      </c>
      <c r="AX555" s="6" t="s">
        <v>929</v>
      </c>
      <c r="AY555" s="6" t="s">
        <v>930</v>
      </c>
      <c r="AZ555" s="6"/>
      <c r="BA555" s="6"/>
      <c r="BB555" s="6"/>
      <c r="BC555" s="6" t="s">
        <v>97</v>
      </c>
      <c r="BD555" s="6" t="s">
        <v>97</v>
      </c>
    </row>
    <row r="556" spans="1:56" ht="32" customHeight="1" x14ac:dyDescent="0.35">
      <c r="A556" s="13" t="s">
        <v>4186</v>
      </c>
      <c r="B556" s="6" t="s">
        <v>2114</v>
      </c>
      <c r="C556" s="5" t="s">
        <v>2115</v>
      </c>
      <c r="D556" s="5" t="s">
        <v>825</v>
      </c>
      <c r="E556" s="5" t="s">
        <v>4187</v>
      </c>
      <c r="F556" s="5" t="s">
        <v>1452</v>
      </c>
      <c r="G556" s="5" t="s">
        <v>4188</v>
      </c>
      <c r="H556" s="5" t="s">
        <v>4189</v>
      </c>
      <c r="I556" s="5" t="s">
        <v>4190</v>
      </c>
      <c r="J556" s="17" t="s">
        <v>121</v>
      </c>
      <c r="K556" s="17" t="s">
        <v>181</v>
      </c>
      <c r="L556" s="5" t="s">
        <v>4191</v>
      </c>
      <c r="M556" s="6" t="s">
        <v>197</v>
      </c>
      <c r="N556" s="6" t="s">
        <v>812</v>
      </c>
      <c r="O556" s="6" t="s">
        <v>121</v>
      </c>
      <c r="P556" s="5" t="s">
        <v>918</v>
      </c>
      <c r="Q556" s="17" t="s">
        <v>182</v>
      </c>
      <c r="R556" s="5"/>
      <c r="S556" s="6" t="s">
        <v>1053</v>
      </c>
      <c r="T556" s="5" t="s">
        <v>1054</v>
      </c>
      <c r="U556" s="6"/>
      <c r="V556" s="6" t="s">
        <v>1055</v>
      </c>
      <c r="W556" s="6" t="s">
        <v>333</v>
      </c>
      <c r="X556" s="5" t="s">
        <v>922</v>
      </c>
      <c r="Y556" s="5" t="s">
        <v>812</v>
      </c>
      <c r="Z556" s="5" t="str">
        <f t="shared" si="16"/>
        <v>Critical</v>
      </c>
      <c r="AA556" s="5" t="s">
        <v>923</v>
      </c>
      <c r="AB556" s="6" t="s">
        <v>923</v>
      </c>
      <c r="AC556" s="6" t="s">
        <v>103</v>
      </c>
      <c r="AD556" s="5" t="s">
        <v>925</v>
      </c>
      <c r="AE556" s="5" t="s">
        <v>354</v>
      </c>
      <c r="AF556" s="5" t="s">
        <v>354</v>
      </c>
      <c r="AG556" s="5" t="s">
        <v>354</v>
      </c>
      <c r="AH556" s="5" t="s">
        <v>354</v>
      </c>
      <c r="AI556" s="6" t="str">
        <f t="shared" si="17"/>
        <v>No</v>
      </c>
      <c r="AJ556" s="6" t="s">
        <v>926</v>
      </c>
      <c r="AK556" s="6" t="s">
        <v>121</v>
      </c>
      <c r="AL556" s="6">
        <f>MATCH(AA556,{"Low","Medium","High"},0)*MATCH(AB556,{"Low","Medium","High"},0)*INDEX({3,2,2,1,1},MATCH(X556,{"Core","Vertical extension","Differentiator","Future","Adjacent"},0))</f>
        <v>27</v>
      </c>
      <c r="AM556" s="5"/>
      <c r="AN556" s="5"/>
      <c r="AO556" s="5"/>
      <c r="AP556" s="5"/>
      <c r="AQ556" s="5"/>
      <c r="AR556" s="5"/>
      <c r="AS556" s="5"/>
      <c r="AT556" s="5"/>
      <c r="AU556" s="6" t="s">
        <v>927</v>
      </c>
      <c r="AV556" s="6" t="s">
        <v>55</v>
      </c>
      <c r="AW556" s="6" t="s">
        <v>55</v>
      </c>
      <c r="AX556" s="6" t="s">
        <v>929</v>
      </c>
      <c r="AY556" s="6" t="s">
        <v>930</v>
      </c>
      <c r="AZ556" s="6"/>
      <c r="BA556" s="6"/>
      <c r="BB556" s="6"/>
      <c r="BC556" s="6" t="s">
        <v>97</v>
      </c>
      <c r="BD556" s="6" t="s">
        <v>97</v>
      </c>
    </row>
    <row r="557" spans="1:56" ht="32" customHeight="1" x14ac:dyDescent="0.35">
      <c r="A557" s="13" t="s">
        <v>4192</v>
      </c>
      <c r="B557" s="6" t="s">
        <v>2114</v>
      </c>
      <c r="C557" s="5" t="s">
        <v>2115</v>
      </c>
      <c r="D557" s="5" t="s">
        <v>825</v>
      </c>
      <c r="E557" s="5" t="s">
        <v>4193</v>
      </c>
      <c r="F557" s="5" t="s">
        <v>1452</v>
      </c>
      <c r="G557" s="5" t="s">
        <v>4194</v>
      </c>
      <c r="H557" s="5" t="s">
        <v>4195</v>
      </c>
      <c r="I557" s="5" t="s">
        <v>4196</v>
      </c>
      <c r="J557" s="17" t="s">
        <v>121</v>
      </c>
      <c r="K557" s="17" t="s">
        <v>181</v>
      </c>
      <c r="L557" s="5" t="s">
        <v>4197</v>
      </c>
      <c r="M557" s="6" t="s">
        <v>197</v>
      </c>
      <c r="N557" s="6" t="s">
        <v>812</v>
      </c>
      <c r="O557" s="6" t="s">
        <v>121</v>
      </c>
      <c r="P557" s="5" t="s">
        <v>918</v>
      </c>
      <c r="Q557" s="17" t="s">
        <v>182</v>
      </c>
      <c r="R557" s="5"/>
      <c r="S557" s="6" t="s">
        <v>1053</v>
      </c>
      <c r="T557" s="5" t="s">
        <v>1054</v>
      </c>
      <c r="U557" s="6"/>
      <c r="V557" s="6" t="s">
        <v>1055</v>
      </c>
      <c r="W557" s="6" t="s">
        <v>333</v>
      </c>
      <c r="X557" s="5" t="s">
        <v>922</v>
      </c>
      <c r="Y557" s="5" t="s">
        <v>812</v>
      </c>
      <c r="Z557" s="5" t="str">
        <f t="shared" si="16"/>
        <v>Critical</v>
      </c>
      <c r="AA557" s="5" t="s">
        <v>923</v>
      </c>
      <c r="AB557" s="6" t="s">
        <v>923</v>
      </c>
      <c r="AC557" s="6" t="s">
        <v>103</v>
      </c>
      <c r="AD557" s="5" t="s">
        <v>925</v>
      </c>
      <c r="AE557" s="5" t="s">
        <v>354</v>
      </c>
      <c r="AF557" s="5" t="s">
        <v>354</v>
      </c>
      <c r="AG557" s="5" t="s">
        <v>354</v>
      </c>
      <c r="AH557" s="5" t="s">
        <v>354</v>
      </c>
      <c r="AI557" s="6" t="str">
        <f t="shared" si="17"/>
        <v>No</v>
      </c>
      <c r="AJ557" s="6" t="s">
        <v>926</v>
      </c>
      <c r="AK557" s="6" t="s">
        <v>121</v>
      </c>
      <c r="AL557" s="6">
        <f>MATCH(AA557,{"Low","Medium","High"},0)*MATCH(AB557,{"Low","Medium","High"},0)*INDEX({3,2,2,1,1},MATCH(X557,{"Core","Vertical extension","Differentiator","Future","Adjacent"},0))</f>
        <v>27</v>
      </c>
      <c r="AM557" s="5"/>
      <c r="AN557" s="5"/>
      <c r="AO557" s="5"/>
      <c r="AP557" s="5"/>
      <c r="AQ557" s="5"/>
      <c r="AR557" s="5"/>
      <c r="AS557" s="5"/>
      <c r="AT557" s="5"/>
      <c r="AU557" s="6" t="s">
        <v>927</v>
      </c>
      <c r="AV557" s="6" t="s">
        <v>55</v>
      </c>
      <c r="AW557" s="6" t="s">
        <v>55</v>
      </c>
      <c r="AX557" s="6" t="s">
        <v>929</v>
      </c>
      <c r="AY557" s="6" t="s">
        <v>930</v>
      </c>
      <c r="AZ557" s="6"/>
      <c r="BA557" s="6"/>
      <c r="BB557" s="6"/>
      <c r="BC557" s="6" t="s">
        <v>97</v>
      </c>
      <c r="BD557" s="6" t="s">
        <v>97</v>
      </c>
    </row>
    <row r="558" spans="1:56" ht="32" customHeight="1" x14ac:dyDescent="0.35">
      <c r="A558" s="13" t="s">
        <v>4198</v>
      </c>
      <c r="B558" s="6" t="s">
        <v>2114</v>
      </c>
      <c r="C558" s="5" t="s">
        <v>2115</v>
      </c>
      <c r="D558" s="5" t="s">
        <v>825</v>
      </c>
      <c r="E558" s="5" t="s">
        <v>4199</v>
      </c>
      <c r="F558" s="5" t="s">
        <v>1452</v>
      </c>
      <c r="G558" s="5" t="s">
        <v>1453</v>
      </c>
      <c r="H558" s="5" t="s">
        <v>4200</v>
      </c>
      <c r="I558" s="5" t="s">
        <v>4201</v>
      </c>
      <c r="J558" s="17" t="s">
        <v>121</v>
      </c>
      <c r="K558" s="17" t="s">
        <v>181</v>
      </c>
      <c r="L558" s="5" t="s">
        <v>4202</v>
      </c>
      <c r="M558" s="6" t="s">
        <v>197</v>
      </c>
      <c r="N558" s="6" t="s">
        <v>812</v>
      </c>
      <c r="O558" s="6" t="s">
        <v>121</v>
      </c>
      <c r="P558" s="5" t="s">
        <v>918</v>
      </c>
      <c r="Q558" s="17" t="s">
        <v>182</v>
      </c>
      <c r="R558" s="5"/>
      <c r="S558" s="6" t="s">
        <v>1053</v>
      </c>
      <c r="T558" s="5" t="s">
        <v>1054</v>
      </c>
      <c r="U558" s="6"/>
      <c r="V558" s="6" t="s">
        <v>1055</v>
      </c>
      <c r="W558" s="6" t="s">
        <v>333</v>
      </c>
      <c r="X558" s="5" t="s">
        <v>922</v>
      </c>
      <c r="Y558" s="5" t="s">
        <v>812</v>
      </c>
      <c r="Z558" s="5" t="str">
        <f t="shared" si="16"/>
        <v>Critical</v>
      </c>
      <c r="AA558" s="5" t="s">
        <v>923</v>
      </c>
      <c r="AB558" s="6" t="s">
        <v>923</v>
      </c>
      <c r="AC558" s="6" t="s">
        <v>103</v>
      </c>
      <c r="AD558" s="5" t="s">
        <v>925</v>
      </c>
      <c r="AE558" s="5" t="s">
        <v>354</v>
      </c>
      <c r="AF558" s="5" t="s">
        <v>354</v>
      </c>
      <c r="AG558" s="5" t="s">
        <v>354</v>
      </c>
      <c r="AH558" s="5" t="s">
        <v>354</v>
      </c>
      <c r="AI558" s="6" t="str">
        <f t="shared" si="17"/>
        <v>No</v>
      </c>
      <c r="AJ558" s="6" t="s">
        <v>926</v>
      </c>
      <c r="AK558" s="6" t="s">
        <v>121</v>
      </c>
      <c r="AL558" s="6">
        <f>MATCH(AA558,{"Low","Medium","High"},0)*MATCH(AB558,{"Low","Medium","High"},0)*INDEX({3,2,2,1,1},MATCH(X558,{"Core","Vertical extension","Differentiator","Future","Adjacent"},0))</f>
        <v>27</v>
      </c>
      <c r="AM558" s="5"/>
      <c r="AN558" s="5"/>
      <c r="AO558" s="5"/>
      <c r="AP558" s="5"/>
      <c r="AQ558" s="5"/>
      <c r="AR558" s="5"/>
      <c r="AS558" s="5"/>
      <c r="AT558" s="5"/>
      <c r="AU558" s="6" t="s">
        <v>927</v>
      </c>
      <c r="AV558" s="6" t="s">
        <v>55</v>
      </c>
      <c r="AW558" s="6" t="s">
        <v>55</v>
      </c>
      <c r="AX558" s="6" t="s">
        <v>929</v>
      </c>
      <c r="AY558" s="6" t="s">
        <v>930</v>
      </c>
      <c r="AZ558" s="6"/>
      <c r="BA558" s="6"/>
      <c r="BB558" s="6"/>
      <c r="BC558" s="6" t="s">
        <v>97</v>
      </c>
      <c r="BD558" s="6" t="s">
        <v>97</v>
      </c>
    </row>
    <row r="559" spans="1:56" ht="32" customHeight="1" x14ac:dyDescent="0.35">
      <c r="A559" s="13" t="s">
        <v>4203</v>
      </c>
      <c r="B559" s="6" t="s">
        <v>2114</v>
      </c>
      <c r="C559" s="5" t="s">
        <v>2115</v>
      </c>
      <c r="D559" s="5" t="s">
        <v>825</v>
      </c>
      <c r="E559" s="5" t="s">
        <v>4204</v>
      </c>
      <c r="F559" s="5" t="s">
        <v>4205</v>
      </c>
      <c r="G559" s="5" t="s">
        <v>4194</v>
      </c>
      <c r="H559" s="5" t="s">
        <v>4206</v>
      </c>
      <c r="I559" s="5" t="s">
        <v>4207</v>
      </c>
      <c r="J559" s="17" t="s">
        <v>121</v>
      </c>
      <c r="K559" s="17" t="s">
        <v>181</v>
      </c>
      <c r="L559" s="5" t="s">
        <v>4208</v>
      </c>
      <c r="M559" s="6" t="s">
        <v>197</v>
      </c>
      <c r="N559" s="6" t="s">
        <v>812</v>
      </c>
      <c r="O559" s="6" t="s">
        <v>121</v>
      </c>
      <c r="P559" s="5" t="s">
        <v>918</v>
      </c>
      <c r="Q559" s="17" t="s">
        <v>182</v>
      </c>
      <c r="R559" s="5"/>
      <c r="S559" s="6" t="s">
        <v>1053</v>
      </c>
      <c r="T559" s="5" t="s">
        <v>1054</v>
      </c>
      <c r="U559" s="6"/>
      <c r="V559" s="6" t="s">
        <v>1055</v>
      </c>
      <c r="W559" s="6" t="s">
        <v>333</v>
      </c>
      <c r="X559" s="5" t="s">
        <v>922</v>
      </c>
      <c r="Y559" s="5" t="s">
        <v>812</v>
      </c>
      <c r="Z559" s="5" t="str">
        <f t="shared" si="16"/>
        <v>Critical</v>
      </c>
      <c r="AA559" s="5" t="s">
        <v>923</v>
      </c>
      <c r="AB559" s="6" t="s">
        <v>923</v>
      </c>
      <c r="AC559" s="6" t="s">
        <v>103</v>
      </c>
      <c r="AD559" s="5" t="s">
        <v>925</v>
      </c>
      <c r="AE559" s="5" t="s">
        <v>354</v>
      </c>
      <c r="AF559" s="5" t="s">
        <v>354</v>
      </c>
      <c r="AG559" s="5" t="s">
        <v>354</v>
      </c>
      <c r="AH559" s="5" t="s">
        <v>354</v>
      </c>
      <c r="AI559" s="6" t="str">
        <f t="shared" si="17"/>
        <v>No</v>
      </c>
      <c r="AJ559" s="6" t="s">
        <v>926</v>
      </c>
      <c r="AK559" s="6" t="s">
        <v>121</v>
      </c>
      <c r="AL559" s="6">
        <f>MATCH(AA559,{"Low","Medium","High"},0)*MATCH(AB559,{"Low","Medium","High"},0)*INDEX({3,2,2,1,1},MATCH(X559,{"Core","Vertical extension","Differentiator","Future","Adjacent"},0))</f>
        <v>27</v>
      </c>
      <c r="AM559" s="5"/>
      <c r="AN559" s="5"/>
      <c r="AO559" s="5"/>
      <c r="AP559" s="5"/>
      <c r="AQ559" s="5"/>
      <c r="AR559" s="5"/>
      <c r="AS559" s="5"/>
      <c r="AT559" s="5"/>
      <c r="AU559" s="6" t="s">
        <v>927</v>
      </c>
      <c r="AV559" s="6" t="s">
        <v>53</v>
      </c>
      <c r="AW559" s="6" t="s">
        <v>53</v>
      </c>
      <c r="AX559" s="6" t="s">
        <v>929</v>
      </c>
      <c r="AY559" s="6" t="s">
        <v>930</v>
      </c>
      <c r="AZ559" s="6"/>
      <c r="BA559" s="6"/>
      <c r="BB559" s="6"/>
      <c r="BC559" s="6" t="s">
        <v>97</v>
      </c>
      <c r="BD559" s="6" t="s">
        <v>97</v>
      </c>
    </row>
    <row r="560" spans="1:56" ht="32" customHeight="1" x14ac:dyDescent="0.35">
      <c r="A560" s="13" t="s">
        <v>4209</v>
      </c>
      <c r="B560" s="6" t="s">
        <v>2114</v>
      </c>
      <c r="C560" s="5" t="s">
        <v>2115</v>
      </c>
      <c r="D560" s="5" t="s">
        <v>825</v>
      </c>
      <c r="E560" s="5" t="s">
        <v>4210</v>
      </c>
      <c r="F560" s="5" t="s">
        <v>1452</v>
      </c>
      <c r="G560" s="5" t="s">
        <v>1453</v>
      </c>
      <c r="H560" s="5" t="s">
        <v>4211</v>
      </c>
      <c r="I560" s="5" t="s">
        <v>4212</v>
      </c>
      <c r="J560" s="19" t="s">
        <v>151</v>
      </c>
      <c r="K560" s="17" t="s">
        <v>181</v>
      </c>
      <c r="L560" s="5" t="s">
        <v>4213</v>
      </c>
      <c r="M560" s="6" t="s">
        <v>197</v>
      </c>
      <c r="N560" s="6" t="s">
        <v>812</v>
      </c>
      <c r="O560" s="6" t="s">
        <v>151</v>
      </c>
      <c r="P560" s="5" t="s">
        <v>918</v>
      </c>
      <c r="Q560" s="17" t="s">
        <v>182</v>
      </c>
      <c r="R560" s="5"/>
      <c r="S560" s="6" t="s">
        <v>1053</v>
      </c>
      <c r="T560" s="5" t="s">
        <v>1054</v>
      </c>
      <c r="U560" s="6"/>
      <c r="V560" s="6" t="s">
        <v>1055</v>
      </c>
      <c r="W560" s="6" t="s">
        <v>333</v>
      </c>
      <c r="X560" s="5" t="s">
        <v>922</v>
      </c>
      <c r="Y560" s="5" t="s">
        <v>812</v>
      </c>
      <c r="Z560" s="5" t="str">
        <f t="shared" si="16"/>
        <v>Critical</v>
      </c>
      <c r="AA560" s="5" t="s">
        <v>923</v>
      </c>
      <c r="AB560" s="6" t="s">
        <v>923</v>
      </c>
      <c r="AC560" s="6" t="s">
        <v>11</v>
      </c>
      <c r="AD560" s="5" t="s">
        <v>925</v>
      </c>
      <c r="AE560" s="5" t="s">
        <v>354</v>
      </c>
      <c r="AF560" s="5" t="s">
        <v>354</v>
      </c>
      <c r="AG560" s="5" t="s">
        <v>354</v>
      </c>
      <c r="AH560" s="5" t="s">
        <v>354</v>
      </c>
      <c r="AI560" s="6" t="str">
        <f t="shared" si="17"/>
        <v>No</v>
      </c>
      <c r="AJ560" s="6" t="s">
        <v>926</v>
      </c>
      <c r="AK560" s="6" t="s">
        <v>151</v>
      </c>
      <c r="AL560" s="6">
        <f>MATCH(AA560,{"Low","Medium","High"},0)*MATCH(AB560,{"Low","Medium","High"},0)*INDEX({3,2,2,1,1},MATCH(X560,{"Core","Vertical extension","Differentiator","Future","Adjacent"},0))</f>
        <v>27</v>
      </c>
      <c r="AM560" s="5"/>
      <c r="AN560" s="5"/>
      <c r="AO560" s="5"/>
      <c r="AP560" s="5"/>
      <c r="AQ560" s="5"/>
      <c r="AR560" s="5"/>
      <c r="AS560" s="5"/>
      <c r="AT560" s="5"/>
      <c r="AU560" s="6" t="s">
        <v>927</v>
      </c>
      <c r="AV560" s="6" t="s">
        <v>55</v>
      </c>
      <c r="AW560" s="6" t="s">
        <v>55</v>
      </c>
      <c r="AX560" s="6" t="s">
        <v>929</v>
      </c>
      <c r="AY560" s="6" t="s">
        <v>930</v>
      </c>
      <c r="AZ560" s="6"/>
      <c r="BA560" s="6"/>
      <c r="BB560" s="6"/>
      <c r="BC560" s="6" t="s">
        <v>97</v>
      </c>
      <c r="BD560" s="6" t="s">
        <v>97</v>
      </c>
    </row>
    <row r="561" spans="1:56" ht="32" customHeight="1" x14ac:dyDescent="0.35">
      <c r="A561" s="13" t="s">
        <v>4214</v>
      </c>
      <c r="B561" s="6" t="s">
        <v>2114</v>
      </c>
      <c r="C561" s="5" t="s">
        <v>2115</v>
      </c>
      <c r="D561" s="5" t="s">
        <v>825</v>
      </c>
      <c r="E561" s="5" t="s">
        <v>4215</v>
      </c>
      <c r="F561" s="5" t="s">
        <v>913</v>
      </c>
      <c r="G561" s="5" t="s">
        <v>1017</v>
      </c>
      <c r="H561" s="5" t="s">
        <v>4216</v>
      </c>
      <c r="I561" s="5" t="s">
        <v>4217</v>
      </c>
      <c r="J561" s="17" t="s">
        <v>121</v>
      </c>
      <c r="K561" s="17" t="s">
        <v>181</v>
      </c>
      <c r="L561" s="5" t="s">
        <v>4218</v>
      </c>
      <c r="M561" s="6" t="s">
        <v>197</v>
      </c>
      <c r="N561" s="6" t="s">
        <v>812</v>
      </c>
      <c r="O561" s="6" t="s">
        <v>121</v>
      </c>
      <c r="P561" s="5" t="s">
        <v>918</v>
      </c>
      <c r="Q561" s="17" t="s">
        <v>182</v>
      </c>
      <c r="R561" s="5"/>
      <c r="S561" s="6" t="s">
        <v>1053</v>
      </c>
      <c r="T561" s="5" t="s">
        <v>1054</v>
      </c>
      <c r="U561" s="6"/>
      <c r="V561" s="6" t="s">
        <v>1055</v>
      </c>
      <c r="W561" s="6" t="s">
        <v>333</v>
      </c>
      <c r="X561" s="5" t="s">
        <v>922</v>
      </c>
      <c r="Y561" s="5" t="s">
        <v>812</v>
      </c>
      <c r="Z561" s="5" t="str">
        <f t="shared" si="16"/>
        <v>Critical</v>
      </c>
      <c r="AA561" s="5" t="s">
        <v>923</v>
      </c>
      <c r="AB561" s="6" t="s">
        <v>923</v>
      </c>
      <c r="AC561" s="6" t="s">
        <v>103</v>
      </c>
      <c r="AD561" s="5" t="s">
        <v>925</v>
      </c>
      <c r="AE561" s="5" t="s">
        <v>354</v>
      </c>
      <c r="AF561" s="5" t="s">
        <v>354</v>
      </c>
      <c r="AG561" s="5" t="s">
        <v>354</v>
      </c>
      <c r="AH561" s="5" t="s">
        <v>354</v>
      </c>
      <c r="AI561" s="6" t="str">
        <f t="shared" si="17"/>
        <v>No</v>
      </c>
      <c r="AJ561" s="6" t="s">
        <v>926</v>
      </c>
      <c r="AK561" s="6" t="s">
        <v>121</v>
      </c>
      <c r="AL561" s="6">
        <f>MATCH(AA561,{"Low","Medium","High"},0)*MATCH(AB561,{"Low","Medium","High"},0)*INDEX({3,2,2,1,1},MATCH(X561,{"Core","Vertical extension","Differentiator","Future","Adjacent"},0))</f>
        <v>27</v>
      </c>
      <c r="AM561" s="5"/>
      <c r="AN561" s="5"/>
      <c r="AO561" s="5"/>
      <c r="AP561" s="5"/>
      <c r="AQ561" s="5"/>
      <c r="AR561" s="5"/>
      <c r="AS561" s="5"/>
      <c r="AT561" s="5"/>
      <c r="AU561" s="6" t="s">
        <v>927</v>
      </c>
      <c r="AV561" s="6" t="s">
        <v>928</v>
      </c>
      <c r="AW561" s="6" t="s">
        <v>928</v>
      </c>
      <c r="AX561" s="6" t="s">
        <v>929</v>
      </c>
      <c r="AY561" s="6" t="s">
        <v>930</v>
      </c>
      <c r="AZ561" s="6"/>
      <c r="BA561" s="6"/>
      <c r="BB561" s="6"/>
      <c r="BC561" s="6" t="s">
        <v>97</v>
      </c>
      <c r="BD561" s="6" t="s">
        <v>97</v>
      </c>
    </row>
    <row r="562" spans="1:56" ht="32" customHeight="1" x14ac:dyDescent="0.35">
      <c r="A562" s="13" t="s">
        <v>87</v>
      </c>
      <c r="B562" s="6" t="s">
        <v>4219</v>
      </c>
      <c r="C562" s="5" t="s">
        <v>2164</v>
      </c>
      <c r="D562" s="5" t="s">
        <v>831</v>
      </c>
      <c r="E562" s="5" t="s">
        <v>772</v>
      </c>
      <c r="F562" s="5" t="s">
        <v>4220</v>
      </c>
      <c r="G562" s="5" t="s">
        <v>1452</v>
      </c>
      <c r="H562" s="5" t="s">
        <v>4221</v>
      </c>
      <c r="I562" s="5" t="s">
        <v>4222</v>
      </c>
      <c r="J562" s="16" t="s">
        <v>73</v>
      </c>
      <c r="K562" s="20" t="s">
        <v>74</v>
      </c>
      <c r="L562" s="5" t="s">
        <v>4223</v>
      </c>
      <c r="M562" s="6" t="s">
        <v>198</v>
      </c>
      <c r="N562" s="6" t="s">
        <v>814</v>
      </c>
      <c r="O562" s="6" t="s">
        <v>73</v>
      </c>
      <c r="P562" s="5" t="s">
        <v>918</v>
      </c>
      <c r="Q562" s="20" t="s">
        <v>74</v>
      </c>
      <c r="R562" s="5" t="s">
        <v>4224</v>
      </c>
      <c r="S562" s="6" t="s">
        <v>964</v>
      </c>
      <c r="T562" s="5" t="s">
        <v>965</v>
      </c>
      <c r="U562" s="6"/>
      <c r="V562" s="6" t="s">
        <v>966</v>
      </c>
      <c r="W562" s="6" t="s">
        <v>333</v>
      </c>
      <c r="X562" s="5" t="s">
        <v>922</v>
      </c>
      <c r="Y562" s="5" t="s">
        <v>485</v>
      </c>
      <c r="Z562" s="5" t="str">
        <f t="shared" si="16"/>
        <v>High</v>
      </c>
      <c r="AA562" s="5" t="s">
        <v>923</v>
      </c>
      <c r="AB562" s="6" t="s">
        <v>924</v>
      </c>
      <c r="AC562" s="6" t="s">
        <v>78</v>
      </c>
      <c r="AD562" s="5" t="s">
        <v>74</v>
      </c>
      <c r="AE562" s="5" t="s">
        <v>354</v>
      </c>
      <c r="AF562" s="5" t="s">
        <v>354</v>
      </c>
      <c r="AG562" s="5" t="s">
        <v>354</v>
      </c>
      <c r="AH562" s="5" t="s">
        <v>354</v>
      </c>
      <c r="AI562" s="6" t="str">
        <f t="shared" si="17"/>
        <v>No</v>
      </c>
      <c r="AJ562" s="6" t="s">
        <v>1691</v>
      </c>
      <c r="AK562" s="6" t="s">
        <v>73</v>
      </c>
      <c r="AL562" s="6">
        <f>MATCH(AA562,{"Low","Medium","High"},0)*MATCH(AB562,{"Low","Medium","High"},0)*INDEX({3,2,2,1,1},MATCH(X562,{"Core","Vertical extension","Differentiator","Future","Adjacent"},0))</f>
        <v>9</v>
      </c>
      <c r="AM562" s="5"/>
      <c r="AN562" s="5"/>
      <c r="AO562" s="5"/>
      <c r="AP562" s="5"/>
      <c r="AQ562" s="5"/>
      <c r="AR562" s="5"/>
      <c r="AS562" s="5"/>
      <c r="AT562" s="5"/>
      <c r="AU562" s="6" t="s">
        <v>927</v>
      </c>
      <c r="AV562" s="6" t="s">
        <v>2161</v>
      </c>
      <c r="AW562" s="6" t="s">
        <v>2161</v>
      </c>
      <c r="AX562" s="6" t="s">
        <v>929</v>
      </c>
      <c r="AY562" s="6" t="s">
        <v>930</v>
      </c>
      <c r="AZ562" s="6"/>
      <c r="BA562" s="6" t="s">
        <v>4225</v>
      </c>
      <c r="BB562" s="6" t="s">
        <v>4226</v>
      </c>
      <c r="BC562" s="6" t="s">
        <v>97</v>
      </c>
      <c r="BD562" s="6" t="s">
        <v>97</v>
      </c>
    </row>
    <row r="563" spans="1:56" ht="32" customHeight="1" x14ac:dyDescent="0.35">
      <c r="A563" s="13" t="s">
        <v>134</v>
      </c>
      <c r="B563" s="6" t="s">
        <v>4219</v>
      </c>
      <c r="C563" s="5" t="s">
        <v>4227</v>
      </c>
      <c r="D563" s="5" t="s">
        <v>829</v>
      </c>
      <c r="E563" s="5" t="s">
        <v>773</v>
      </c>
      <c r="F563" s="5" t="s">
        <v>4228</v>
      </c>
      <c r="G563" s="5" t="s">
        <v>3771</v>
      </c>
      <c r="H563" s="5" t="s">
        <v>4229</v>
      </c>
      <c r="I563" s="5" t="s">
        <v>4230</v>
      </c>
      <c r="J563" s="17" t="s">
        <v>121</v>
      </c>
      <c r="K563" s="20" t="s">
        <v>74</v>
      </c>
      <c r="L563" s="5" t="s">
        <v>4231</v>
      </c>
      <c r="M563" s="6" t="s">
        <v>198</v>
      </c>
      <c r="N563" s="6" t="s">
        <v>814</v>
      </c>
      <c r="O563" s="6" t="s">
        <v>121</v>
      </c>
      <c r="P563" s="5" t="s">
        <v>918</v>
      </c>
      <c r="Q563" s="20" t="s">
        <v>74</v>
      </c>
      <c r="R563" s="5" t="s">
        <v>4232</v>
      </c>
      <c r="S563" s="6" t="s">
        <v>980</v>
      </c>
      <c r="T563" s="5" t="s">
        <v>981</v>
      </c>
      <c r="U563" s="6"/>
      <c r="V563" s="6" t="s">
        <v>982</v>
      </c>
      <c r="W563" s="6" t="s">
        <v>331</v>
      </c>
      <c r="X563" s="5" t="s">
        <v>922</v>
      </c>
      <c r="Y563" s="5" t="s">
        <v>485</v>
      </c>
      <c r="Z563" s="5" t="str">
        <f t="shared" si="16"/>
        <v>High</v>
      </c>
      <c r="AA563" s="5" t="s">
        <v>923</v>
      </c>
      <c r="AB563" s="6" t="s">
        <v>924</v>
      </c>
      <c r="AC563" s="6" t="s">
        <v>103</v>
      </c>
      <c r="AD563" s="5" t="s">
        <v>74</v>
      </c>
      <c r="AE563" s="5" t="s">
        <v>354</v>
      </c>
      <c r="AF563" s="5" t="s">
        <v>354</v>
      </c>
      <c r="AG563" s="5" t="s">
        <v>354</v>
      </c>
      <c r="AH563" s="5" t="s">
        <v>354</v>
      </c>
      <c r="AI563" s="6" t="str">
        <f t="shared" si="17"/>
        <v>No</v>
      </c>
      <c r="AJ563" s="6" t="s">
        <v>1691</v>
      </c>
      <c r="AK563" s="6" t="s">
        <v>121</v>
      </c>
      <c r="AL563" s="6">
        <f>MATCH(AA563,{"Low","Medium","High"},0)*MATCH(AB563,{"Low","Medium","High"},0)*INDEX({3,2,2,1,1},MATCH(X563,{"Core","Vertical extension","Differentiator","Future","Adjacent"},0))</f>
        <v>9</v>
      </c>
      <c r="AM563" s="5"/>
      <c r="AN563" s="5"/>
      <c r="AO563" s="5"/>
      <c r="AP563" s="5"/>
      <c r="AQ563" s="5"/>
      <c r="AR563" s="5"/>
      <c r="AS563" s="5"/>
      <c r="AT563" s="5"/>
      <c r="AU563" s="6" t="s">
        <v>927</v>
      </c>
      <c r="AV563" s="6" t="s">
        <v>2161</v>
      </c>
      <c r="AW563" s="6" t="s">
        <v>2161</v>
      </c>
      <c r="AX563" s="6" t="s">
        <v>929</v>
      </c>
      <c r="AY563" s="6" t="s">
        <v>930</v>
      </c>
      <c r="AZ563" s="6"/>
      <c r="BA563" s="6" t="s">
        <v>4233</v>
      </c>
      <c r="BB563" s="6" t="s">
        <v>984</v>
      </c>
      <c r="BC563" s="6" t="s">
        <v>97</v>
      </c>
      <c r="BD563" s="6" t="s">
        <v>97</v>
      </c>
    </row>
    <row r="564" spans="1:56" ht="32" customHeight="1" x14ac:dyDescent="0.35">
      <c r="A564" s="13" t="s">
        <v>4234</v>
      </c>
      <c r="B564" s="6" t="s">
        <v>4219</v>
      </c>
      <c r="C564" s="5" t="s">
        <v>4235</v>
      </c>
      <c r="D564" s="5" t="s">
        <v>838</v>
      </c>
      <c r="E564" s="5" t="s">
        <v>4236</v>
      </c>
      <c r="F564" s="5" t="s">
        <v>4237</v>
      </c>
      <c r="G564" s="5" t="s">
        <v>1623</v>
      </c>
      <c r="H564" s="5" t="s">
        <v>4238</v>
      </c>
      <c r="I564" s="5" t="s">
        <v>4239</v>
      </c>
      <c r="J564" s="17" t="s">
        <v>121</v>
      </c>
      <c r="K564" s="17" t="s">
        <v>181</v>
      </c>
      <c r="L564" s="5" t="s">
        <v>4240</v>
      </c>
      <c r="M564" s="6" t="s">
        <v>198</v>
      </c>
      <c r="N564" s="6" t="s">
        <v>814</v>
      </c>
      <c r="O564" s="6" t="s">
        <v>121</v>
      </c>
      <c r="P564" s="5" t="s">
        <v>918</v>
      </c>
      <c r="Q564" s="17" t="s">
        <v>182</v>
      </c>
      <c r="R564" s="5"/>
      <c r="S564" s="6" t="s">
        <v>990</v>
      </c>
      <c r="T564" s="5" t="s">
        <v>991</v>
      </c>
      <c r="U564" s="6"/>
      <c r="V564" s="6" t="s">
        <v>992</v>
      </c>
      <c r="W564" s="6" t="s">
        <v>337</v>
      </c>
      <c r="X564" s="5" t="s">
        <v>922</v>
      </c>
      <c r="Y564" s="5" t="s">
        <v>485</v>
      </c>
      <c r="Z564" s="5" t="str">
        <f t="shared" si="16"/>
        <v>Medium</v>
      </c>
      <c r="AA564" s="5" t="s">
        <v>956</v>
      </c>
      <c r="AB564" s="6" t="s">
        <v>924</v>
      </c>
      <c r="AC564" s="6" t="s">
        <v>11</v>
      </c>
      <c r="AD564" s="5" t="s">
        <v>925</v>
      </c>
      <c r="AE564" s="5" t="s">
        <v>354</v>
      </c>
      <c r="AF564" s="5" t="s">
        <v>354</v>
      </c>
      <c r="AG564" s="5" t="s">
        <v>354</v>
      </c>
      <c r="AH564" s="5" t="s">
        <v>354</v>
      </c>
      <c r="AI564" s="6" t="str">
        <f t="shared" si="17"/>
        <v>No</v>
      </c>
      <c r="AJ564" s="6" t="s">
        <v>926</v>
      </c>
      <c r="AK564" s="6" t="s">
        <v>151</v>
      </c>
      <c r="AL564" s="6">
        <f>MATCH(AA564,{"Low","Medium","High"},0)*MATCH(AB564,{"Low","Medium","High"},0)*INDEX({3,2,2,1,1},MATCH(X564,{"Core","Vertical extension","Differentiator","Future","Adjacent"},0))</f>
        <v>6</v>
      </c>
      <c r="AM564" s="5"/>
      <c r="AN564" s="5"/>
      <c r="AO564" s="5"/>
      <c r="AP564" s="5"/>
      <c r="AQ564" s="5"/>
      <c r="AR564" s="5"/>
      <c r="AS564" s="5"/>
      <c r="AT564" s="5"/>
      <c r="AU564" s="6" t="s">
        <v>927</v>
      </c>
      <c r="AV564" s="6" t="s">
        <v>2161</v>
      </c>
      <c r="AW564" s="6" t="s">
        <v>2161</v>
      </c>
      <c r="AX564" s="6" t="s">
        <v>929</v>
      </c>
      <c r="AY564" s="6" t="s">
        <v>930</v>
      </c>
      <c r="AZ564" s="6"/>
      <c r="BA564" s="6"/>
      <c r="BB564" s="6"/>
      <c r="BC564" s="6" t="s">
        <v>97</v>
      </c>
      <c r="BD564" s="6" t="s">
        <v>97</v>
      </c>
    </row>
    <row r="565" spans="1:56" ht="32" customHeight="1" x14ac:dyDescent="0.35">
      <c r="A565" s="13" t="s">
        <v>4241</v>
      </c>
      <c r="B565" s="6" t="s">
        <v>4219</v>
      </c>
      <c r="C565" s="5" t="s">
        <v>4242</v>
      </c>
      <c r="D565" s="5" t="s">
        <v>827</v>
      </c>
      <c r="E565" s="5" t="s">
        <v>4243</v>
      </c>
      <c r="F565" s="5" t="s">
        <v>3644</v>
      </c>
      <c r="G565" s="5" t="s">
        <v>1623</v>
      </c>
      <c r="H565" s="5" t="s">
        <v>4244</v>
      </c>
      <c r="I565" s="5" t="s">
        <v>4245</v>
      </c>
      <c r="J565" s="17" t="s">
        <v>121</v>
      </c>
      <c r="K565" s="17" t="s">
        <v>181</v>
      </c>
      <c r="L565" s="5" t="s">
        <v>4246</v>
      </c>
      <c r="M565" s="6" t="s">
        <v>198</v>
      </c>
      <c r="N565" s="6" t="s">
        <v>814</v>
      </c>
      <c r="O565" s="6" t="s">
        <v>121</v>
      </c>
      <c r="P565" s="5" t="s">
        <v>918</v>
      </c>
      <c r="Q565" s="17" t="s">
        <v>182</v>
      </c>
      <c r="R565" s="5"/>
      <c r="S565" s="6" t="s">
        <v>1030</v>
      </c>
      <c r="T565" s="5" t="s">
        <v>827</v>
      </c>
      <c r="U565" s="6"/>
      <c r="V565" s="6" t="s">
        <v>921</v>
      </c>
      <c r="W565" s="6" t="s">
        <v>333</v>
      </c>
      <c r="X565" s="5" t="s">
        <v>922</v>
      </c>
      <c r="Y565" s="5" t="s">
        <v>485</v>
      </c>
      <c r="Z565" s="5" t="str">
        <f t="shared" si="16"/>
        <v>High</v>
      </c>
      <c r="AA565" s="5" t="s">
        <v>956</v>
      </c>
      <c r="AB565" s="6" t="s">
        <v>956</v>
      </c>
      <c r="AC565" s="6" t="s">
        <v>103</v>
      </c>
      <c r="AD565" s="5" t="s">
        <v>925</v>
      </c>
      <c r="AE565" s="5" t="s">
        <v>354</v>
      </c>
      <c r="AF565" s="5" t="s">
        <v>354</v>
      </c>
      <c r="AG565" s="5" t="s">
        <v>354</v>
      </c>
      <c r="AH565" s="5" t="s">
        <v>354</v>
      </c>
      <c r="AI565" s="6" t="str">
        <f t="shared" si="17"/>
        <v>No</v>
      </c>
      <c r="AJ565" s="6" t="s">
        <v>926</v>
      </c>
      <c r="AK565" s="6" t="s">
        <v>121</v>
      </c>
      <c r="AL565" s="6">
        <f>MATCH(AA565,{"Low","Medium","High"},0)*MATCH(AB565,{"Low","Medium","High"},0)*INDEX({3,2,2,1,1},MATCH(X565,{"Core","Vertical extension","Differentiator","Future","Adjacent"},0))</f>
        <v>12</v>
      </c>
      <c r="AM565" s="5"/>
      <c r="AN565" s="5"/>
      <c r="AO565" s="5"/>
      <c r="AP565" s="5"/>
      <c r="AQ565" s="5"/>
      <c r="AR565" s="5"/>
      <c r="AS565" s="5"/>
      <c r="AT565" s="5"/>
      <c r="AU565" s="6" t="s">
        <v>927</v>
      </c>
      <c r="AV565" s="6" t="s">
        <v>2161</v>
      </c>
      <c r="AW565" s="6" t="s">
        <v>2161</v>
      </c>
      <c r="AX565" s="6" t="s">
        <v>929</v>
      </c>
      <c r="AY565" s="6" t="s">
        <v>1032</v>
      </c>
      <c r="AZ565" s="6"/>
      <c r="BA565" s="6"/>
      <c r="BB565" s="6"/>
      <c r="BC565" s="6" t="s">
        <v>97</v>
      </c>
      <c r="BD565" s="6" t="s">
        <v>97</v>
      </c>
    </row>
    <row r="566" spans="1:56" ht="32" customHeight="1" x14ac:dyDescent="0.35">
      <c r="A566" s="13" t="s">
        <v>4247</v>
      </c>
      <c r="B566" s="6" t="s">
        <v>4219</v>
      </c>
      <c r="C566" s="5" t="s">
        <v>4248</v>
      </c>
      <c r="D566" s="5" t="s">
        <v>827</v>
      </c>
      <c r="E566" s="5" t="s">
        <v>4249</v>
      </c>
      <c r="F566" s="5" t="s">
        <v>2521</v>
      </c>
      <c r="G566" s="5" t="s">
        <v>4250</v>
      </c>
      <c r="H566" s="5" t="s">
        <v>4251</v>
      </c>
      <c r="I566" s="5" t="s">
        <v>4252</v>
      </c>
      <c r="J566" s="16" t="s">
        <v>73</v>
      </c>
      <c r="K566" s="17" t="s">
        <v>181</v>
      </c>
      <c r="L566" s="5" t="s">
        <v>4253</v>
      </c>
      <c r="M566" s="6" t="s">
        <v>198</v>
      </c>
      <c r="N566" s="6" t="s">
        <v>814</v>
      </c>
      <c r="O566" s="6" t="s">
        <v>73</v>
      </c>
      <c r="P566" s="5" t="s">
        <v>918</v>
      </c>
      <c r="Q566" s="17" t="s">
        <v>182</v>
      </c>
      <c r="R566" s="5"/>
      <c r="S566" s="6" t="s">
        <v>1030</v>
      </c>
      <c r="T566" s="5" t="s">
        <v>827</v>
      </c>
      <c r="U566" s="6"/>
      <c r="V566" s="6" t="s">
        <v>921</v>
      </c>
      <c r="W566" s="6" t="s">
        <v>333</v>
      </c>
      <c r="X566" s="5" t="s">
        <v>922</v>
      </c>
      <c r="Y566" s="5" t="s">
        <v>485</v>
      </c>
      <c r="Z566" s="5" t="str">
        <f t="shared" si="16"/>
        <v>Critical</v>
      </c>
      <c r="AA566" s="5" t="s">
        <v>923</v>
      </c>
      <c r="AB566" s="6" t="s">
        <v>956</v>
      </c>
      <c r="AC566" s="6" t="s">
        <v>78</v>
      </c>
      <c r="AD566" s="5" t="s">
        <v>925</v>
      </c>
      <c r="AE566" s="5" t="s">
        <v>354</v>
      </c>
      <c r="AF566" s="5" t="s">
        <v>354</v>
      </c>
      <c r="AG566" s="5" t="s">
        <v>354</v>
      </c>
      <c r="AH566" s="5" t="s">
        <v>354</v>
      </c>
      <c r="AI566" s="6" t="str">
        <f t="shared" si="17"/>
        <v>No</v>
      </c>
      <c r="AJ566" s="6" t="s">
        <v>926</v>
      </c>
      <c r="AK566" s="6" t="s">
        <v>73</v>
      </c>
      <c r="AL566" s="6">
        <f>MATCH(AA566,{"Low","Medium","High"},0)*MATCH(AB566,{"Low","Medium","High"},0)*INDEX({3,2,2,1,1},MATCH(X566,{"Core","Vertical extension","Differentiator","Future","Adjacent"},0))</f>
        <v>18</v>
      </c>
      <c r="AM566" s="5"/>
      <c r="AN566" s="5"/>
      <c r="AO566" s="5"/>
      <c r="AP566" s="5"/>
      <c r="AQ566" s="5"/>
      <c r="AR566" s="5"/>
      <c r="AS566" s="5"/>
      <c r="AT566" s="5"/>
      <c r="AU566" s="6" t="s">
        <v>927</v>
      </c>
      <c r="AV566" s="6" t="s">
        <v>2161</v>
      </c>
      <c r="AW566" s="6" t="s">
        <v>2161</v>
      </c>
      <c r="AX566" s="6" t="s">
        <v>929</v>
      </c>
      <c r="AY566" s="6" t="s">
        <v>1032</v>
      </c>
      <c r="AZ566" s="6"/>
      <c r="BA566" s="6"/>
      <c r="BB566" s="6"/>
      <c r="BC566" s="6" t="s">
        <v>97</v>
      </c>
      <c r="BD566" s="6" t="s">
        <v>97</v>
      </c>
    </row>
    <row r="567" spans="1:56" ht="32" customHeight="1" x14ac:dyDescent="0.35">
      <c r="A567" s="13" t="s">
        <v>4254</v>
      </c>
      <c r="B567" s="6" t="s">
        <v>4219</v>
      </c>
      <c r="C567" s="5" t="s">
        <v>4255</v>
      </c>
      <c r="D567" s="5" t="s">
        <v>840</v>
      </c>
      <c r="E567" s="5" t="s">
        <v>4256</v>
      </c>
      <c r="F567" s="5" t="s">
        <v>4257</v>
      </c>
      <c r="G567" s="5" t="s">
        <v>1017</v>
      </c>
      <c r="H567" s="5" t="s">
        <v>4258</v>
      </c>
      <c r="I567" s="5" t="s">
        <v>4259</v>
      </c>
      <c r="J567" s="17" t="s">
        <v>121</v>
      </c>
      <c r="K567" s="17" t="s">
        <v>181</v>
      </c>
      <c r="L567" s="5" t="s">
        <v>4260</v>
      </c>
      <c r="M567" s="6" t="s">
        <v>198</v>
      </c>
      <c r="N567" s="6" t="s">
        <v>814</v>
      </c>
      <c r="O567" s="6" t="s">
        <v>121</v>
      </c>
      <c r="P567" s="5" t="s">
        <v>918</v>
      </c>
      <c r="Q567" s="17" t="s">
        <v>182</v>
      </c>
      <c r="R567" s="5"/>
      <c r="S567" s="6" t="s">
        <v>1022</v>
      </c>
      <c r="T567" s="5" t="s">
        <v>1023</v>
      </c>
      <c r="U567" s="6"/>
      <c r="V567" s="6" t="s">
        <v>1024</v>
      </c>
      <c r="W567" s="6" t="s">
        <v>337</v>
      </c>
      <c r="X567" s="5" t="s">
        <v>922</v>
      </c>
      <c r="Y567" s="5" t="s">
        <v>485</v>
      </c>
      <c r="Z567" s="5" t="str">
        <f t="shared" si="16"/>
        <v>Medium</v>
      </c>
      <c r="AA567" s="5" t="s">
        <v>956</v>
      </c>
      <c r="AB567" s="6" t="s">
        <v>924</v>
      </c>
      <c r="AC567" s="6" t="s">
        <v>11</v>
      </c>
      <c r="AD567" s="5" t="s">
        <v>925</v>
      </c>
      <c r="AE567" s="5" t="s">
        <v>354</v>
      </c>
      <c r="AF567" s="5" t="s">
        <v>354</v>
      </c>
      <c r="AG567" s="5" t="s">
        <v>354</v>
      </c>
      <c r="AH567" s="5" t="s">
        <v>354</v>
      </c>
      <c r="AI567" s="6" t="str">
        <f t="shared" si="17"/>
        <v>No</v>
      </c>
      <c r="AJ567" s="6" t="s">
        <v>926</v>
      </c>
      <c r="AK567" s="6" t="s">
        <v>151</v>
      </c>
      <c r="AL567" s="6">
        <f>MATCH(AA567,{"Low","Medium","High"},0)*MATCH(AB567,{"Low","Medium","High"},0)*INDEX({3,2,2,1,1},MATCH(X567,{"Core","Vertical extension","Differentiator","Future","Adjacent"},0))</f>
        <v>6</v>
      </c>
      <c r="AM567" s="5"/>
      <c r="AN567" s="5"/>
      <c r="AO567" s="5"/>
      <c r="AP567" s="5"/>
      <c r="AQ567" s="5"/>
      <c r="AR567" s="5"/>
      <c r="AS567" s="5"/>
      <c r="AT567" s="5"/>
      <c r="AU567" s="6" t="s">
        <v>927</v>
      </c>
      <c r="AV567" s="6" t="s">
        <v>2161</v>
      </c>
      <c r="AW567" s="6" t="s">
        <v>2161</v>
      </c>
      <c r="AX567" s="6" t="s">
        <v>929</v>
      </c>
      <c r="AY567" s="6" t="s">
        <v>930</v>
      </c>
      <c r="AZ567" s="6"/>
      <c r="BA567" s="6"/>
      <c r="BB567" s="6"/>
      <c r="BC567" s="6" t="s">
        <v>97</v>
      </c>
      <c r="BD567" s="6" t="s">
        <v>97</v>
      </c>
    </row>
    <row r="568" spans="1:56" ht="32" customHeight="1" x14ac:dyDescent="0.35">
      <c r="A568" s="13" t="s">
        <v>4261</v>
      </c>
      <c r="B568" s="6" t="s">
        <v>4219</v>
      </c>
      <c r="C568" s="5" t="s">
        <v>2203</v>
      </c>
      <c r="D568" s="5" t="s">
        <v>834</v>
      </c>
      <c r="E568" s="5" t="s">
        <v>4262</v>
      </c>
      <c r="F568" s="5" t="s">
        <v>4263</v>
      </c>
      <c r="G568" s="5" t="s">
        <v>1710</v>
      </c>
      <c r="H568" s="5" t="s">
        <v>4264</v>
      </c>
      <c r="I568" s="5" t="s">
        <v>4265</v>
      </c>
      <c r="J568" s="17" t="s">
        <v>121</v>
      </c>
      <c r="K568" s="17" t="s">
        <v>181</v>
      </c>
      <c r="L568" s="5" t="s">
        <v>4266</v>
      </c>
      <c r="M568" s="6" t="s">
        <v>198</v>
      </c>
      <c r="N568" s="6" t="s">
        <v>814</v>
      </c>
      <c r="O568" s="6" t="s">
        <v>121</v>
      </c>
      <c r="P568" s="5" t="s">
        <v>918</v>
      </c>
      <c r="Q568" s="18" t="s">
        <v>186</v>
      </c>
      <c r="R568" s="5" t="s">
        <v>4267</v>
      </c>
      <c r="S568" s="6" t="s">
        <v>1000</v>
      </c>
      <c r="T568" s="5" t="s">
        <v>1001</v>
      </c>
      <c r="U568" s="6"/>
      <c r="V568" s="6" t="s">
        <v>1002</v>
      </c>
      <c r="W568" s="6" t="s">
        <v>333</v>
      </c>
      <c r="X568" s="5" t="s">
        <v>922</v>
      </c>
      <c r="Y568" s="5" t="s">
        <v>485</v>
      </c>
      <c r="Z568" s="5" t="str">
        <f t="shared" si="16"/>
        <v>Critical</v>
      </c>
      <c r="AA568" s="5" t="s">
        <v>923</v>
      </c>
      <c r="AB568" s="6" t="s">
        <v>956</v>
      </c>
      <c r="AC568" s="6" t="s">
        <v>103</v>
      </c>
      <c r="AD568" s="5" t="s">
        <v>940</v>
      </c>
      <c r="AE568" s="5" t="s">
        <v>354</v>
      </c>
      <c r="AF568" s="5" t="s">
        <v>354</v>
      </c>
      <c r="AG568" s="5" t="s">
        <v>354</v>
      </c>
      <c r="AH568" s="5" t="s">
        <v>354</v>
      </c>
      <c r="AI568" s="6" t="str">
        <f t="shared" si="17"/>
        <v>No</v>
      </c>
      <c r="AJ568" s="6" t="s">
        <v>941</v>
      </c>
      <c r="AK568" s="6" t="s">
        <v>121</v>
      </c>
      <c r="AL568" s="6">
        <f>MATCH(AA568,{"Low","Medium","High"},0)*MATCH(AB568,{"Low","Medium","High"},0)*INDEX({3,2,2,1,1},MATCH(X568,{"Core","Vertical extension","Differentiator","Future","Adjacent"},0))</f>
        <v>18</v>
      </c>
      <c r="AM568" s="5"/>
      <c r="AN568" s="5"/>
      <c r="AO568" s="5"/>
      <c r="AP568" s="5"/>
      <c r="AQ568" s="5"/>
      <c r="AR568" s="5"/>
      <c r="AS568" s="5"/>
      <c r="AT568" s="5"/>
      <c r="AU568" s="6" t="s">
        <v>927</v>
      </c>
      <c r="AV568" s="6" t="s">
        <v>2161</v>
      </c>
      <c r="AW568" s="6" t="s">
        <v>2161</v>
      </c>
      <c r="AX568" s="6" t="s">
        <v>929</v>
      </c>
      <c r="AY568" s="6" t="s">
        <v>930</v>
      </c>
      <c r="AZ568" s="6"/>
      <c r="BA568" s="6"/>
      <c r="BB568" s="6"/>
      <c r="BC568" s="6" t="s">
        <v>97</v>
      </c>
      <c r="BD568" s="6" t="s">
        <v>97</v>
      </c>
    </row>
    <row r="569" spans="1:56" ht="32" customHeight="1" x14ac:dyDescent="0.35">
      <c r="A569" s="13" t="s">
        <v>4268</v>
      </c>
      <c r="B569" s="6" t="s">
        <v>4219</v>
      </c>
      <c r="C569" s="5" t="s">
        <v>4269</v>
      </c>
      <c r="D569" s="5" t="s">
        <v>827</v>
      </c>
      <c r="E569" s="5" t="s">
        <v>4270</v>
      </c>
      <c r="F569" s="5" t="s">
        <v>4271</v>
      </c>
      <c r="G569" s="5" t="s">
        <v>1596</v>
      </c>
      <c r="H569" s="5" t="s">
        <v>4272</v>
      </c>
      <c r="I569" s="5" t="s">
        <v>4273</v>
      </c>
      <c r="J569" s="16" t="s">
        <v>73</v>
      </c>
      <c r="K569" s="17" t="s">
        <v>181</v>
      </c>
      <c r="L569" s="5" t="s">
        <v>4274</v>
      </c>
      <c r="M569" s="6" t="s">
        <v>198</v>
      </c>
      <c r="N569" s="6" t="s">
        <v>814</v>
      </c>
      <c r="O569" s="6" t="s">
        <v>73</v>
      </c>
      <c r="P569" s="5" t="s">
        <v>918</v>
      </c>
      <c r="Q569" s="17" t="s">
        <v>182</v>
      </c>
      <c r="R569" s="5"/>
      <c r="S569" s="6" t="s">
        <v>1030</v>
      </c>
      <c r="T569" s="5" t="s">
        <v>827</v>
      </c>
      <c r="U569" s="6"/>
      <c r="V569" s="6" t="s">
        <v>982</v>
      </c>
      <c r="W569" s="6" t="s">
        <v>333</v>
      </c>
      <c r="X569" s="5" t="s">
        <v>922</v>
      </c>
      <c r="Y569" s="5" t="s">
        <v>485</v>
      </c>
      <c r="Z569" s="5" t="str">
        <f t="shared" si="16"/>
        <v>Critical</v>
      </c>
      <c r="AA569" s="5" t="s">
        <v>923</v>
      </c>
      <c r="AB569" s="6" t="s">
        <v>956</v>
      </c>
      <c r="AC569" s="6" t="s">
        <v>78</v>
      </c>
      <c r="AD569" s="5" t="s">
        <v>925</v>
      </c>
      <c r="AE569" s="5" t="s">
        <v>354</v>
      </c>
      <c r="AF569" s="5" t="s">
        <v>354</v>
      </c>
      <c r="AG569" s="5" t="s">
        <v>354</v>
      </c>
      <c r="AH569" s="5" t="s">
        <v>354</v>
      </c>
      <c r="AI569" s="6" t="str">
        <f t="shared" si="17"/>
        <v>No</v>
      </c>
      <c r="AJ569" s="6" t="s">
        <v>926</v>
      </c>
      <c r="AK569" s="6" t="s">
        <v>73</v>
      </c>
      <c r="AL569" s="6">
        <f>MATCH(AA569,{"Low","Medium","High"},0)*MATCH(AB569,{"Low","Medium","High"},0)*INDEX({3,2,2,1,1},MATCH(X569,{"Core","Vertical extension","Differentiator","Future","Adjacent"},0))</f>
        <v>18</v>
      </c>
      <c r="AM569" s="5"/>
      <c r="AN569" s="5"/>
      <c r="AO569" s="5"/>
      <c r="AP569" s="5"/>
      <c r="AQ569" s="5"/>
      <c r="AR569" s="5"/>
      <c r="AS569" s="5"/>
      <c r="AT569" s="5"/>
      <c r="AU569" s="6" t="s">
        <v>927</v>
      </c>
      <c r="AV569" s="6" t="s">
        <v>2161</v>
      </c>
      <c r="AW569" s="6" t="s">
        <v>2161</v>
      </c>
      <c r="AX569" s="6" t="s">
        <v>929</v>
      </c>
      <c r="AY569" s="6" t="s">
        <v>1032</v>
      </c>
      <c r="AZ569" s="6"/>
      <c r="BA569" s="6"/>
      <c r="BB569" s="6"/>
      <c r="BC569" s="6" t="s">
        <v>97</v>
      </c>
      <c r="BD569" s="6" t="s">
        <v>97</v>
      </c>
    </row>
    <row r="570" spans="1:56" ht="32" customHeight="1" x14ac:dyDescent="0.35">
      <c r="A570" s="13" t="s">
        <v>4275</v>
      </c>
      <c r="B570" s="6" t="s">
        <v>4219</v>
      </c>
      <c r="C570" s="5" t="s">
        <v>4276</v>
      </c>
      <c r="D570" s="5" t="s">
        <v>827</v>
      </c>
      <c r="E570" s="5" t="s">
        <v>4277</v>
      </c>
      <c r="F570" s="5" t="s">
        <v>4278</v>
      </c>
      <c r="G570" s="5" t="s">
        <v>4279</v>
      </c>
      <c r="H570" s="5" t="s">
        <v>4280</v>
      </c>
      <c r="I570" s="5" t="s">
        <v>4281</v>
      </c>
      <c r="J570" s="21" t="s">
        <v>158</v>
      </c>
      <c r="K570" s="17" t="s">
        <v>181</v>
      </c>
      <c r="L570" s="5" t="s">
        <v>4282</v>
      </c>
      <c r="M570" s="6" t="s">
        <v>198</v>
      </c>
      <c r="N570" s="6" t="s">
        <v>814</v>
      </c>
      <c r="O570" s="6" t="s">
        <v>151</v>
      </c>
      <c r="P570" s="5" t="s">
        <v>4283</v>
      </c>
      <c r="Q570" s="17" t="s">
        <v>182</v>
      </c>
      <c r="R570" s="5" t="s">
        <v>4283</v>
      </c>
      <c r="S570" s="6" t="s">
        <v>1030</v>
      </c>
      <c r="T570" s="5" t="s">
        <v>827</v>
      </c>
      <c r="U570" s="6"/>
      <c r="V570" s="6" t="s">
        <v>921</v>
      </c>
      <c r="W570" s="6" t="s">
        <v>333</v>
      </c>
      <c r="X570" s="5" t="s">
        <v>4284</v>
      </c>
      <c r="Y570" s="5" t="s">
        <v>485</v>
      </c>
      <c r="Z570" s="5" t="str">
        <f t="shared" si="16"/>
        <v>Low</v>
      </c>
      <c r="AA570" s="5" t="s">
        <v>924</v>
      </c>
      <c r="AB570" s="6" t="s">
        <v>956</v>
      </c>
      <c r="AC570" s="6" t="s">
        <v>11</v>
      </c>
      <c r="AD570" s="5" t="s">
        <v>925</v>
      </c>
      <c r="AE570" s="5" t="s">
        <v>354</v>
      </c>
      <c r="AF570" s="5" t="s">
        <v>354</v>
      </c>
      <c r="AG570" s="5" t="s">
        <v>354</v>
      </c>
      <c r="AH570" s="5" t="s">
        <v>354</v>
      </c>
      <c r="AI570" s="6" t="str">
        <f t="shared" si="17"/>
        <v>No</v>
      </c>
      <c r="AJ570" s="6" t="s">
        <v>926</v>
      </c>
      <c r="AK570" s="6" t="s">
        <v>158</v>
      </c>
      <c r="AL570" s="6">
        <f>MATCH(AA570,{"Low","Medium","High"},0)*MATCH(AB570,{"Low","Medium","High"},0)*INDEX({3,2,2,1,1},MATCH(X570,{"Core","Vertical extension","Differentiator","Future","Adjacent"},0))</f>
        <v>2</v>
      </c>
      <c r="AM570" s="5"/>
      <c r="AN570" s="5"/>
      <c r="AO570" s="5"/>
      <c r="AP570" s="5"/>
      <c r="AQ570" s="5"/>
      <c r="AR570" s="5"/>
      <c r="AS570" s="5"/>
      <c r="AT570" s="5"/>
      <c r="AU570" s="6" t="s">
        <v>927</v>
      </c>
      <c r="AV570" s="6" t="s">
        <v>2161</v>
      </c>
      <c r="AW570" s="6" t="s">
        <v>2161</v>
      </c>
      <c r="AX570" s="6" t="s">
        <v>4285</v>
      </c>
      <c r="AY570" s="6" t="s">
        <v>1032</v>
      </c>
      <c r="AZ570" s="6"/>
      <c r="BA570" s="6"/>
      <c r="BB570" s="6"/>
      <c r="BC570" s="6" t="s">
        <v>97</v>
      </c>
      <c r="BD570" s="6" t="s">
        <v>97</v>
      </c>
    </row>
    <row r="571" spans="1:56" ht="32" customHeight="1" x14ac:dyDescent="0.35">
      <c r="A571" s="13" t="s">
        <v>4286</v>
      </c>
      <c r="B571" s="6" t="s">
        <v>4219</v>
      </c>
      <c r="C571" s="5" t="s">
        <v>4287</v>
      </c>
      <c r="D571" s="5" t="s">
        <v>827</v>
      </c>
      <c r="E571" s="5" t="s">
        <v>4288</v>
      </c>
      <c r="F571" s="5" t="s">
        <v>4289</v>
      </c>
      <c r="G571" s="5" t="s">
        <v>1596</v>
      </c>
      <c r="H571" s="5" t="s">
        <v>4290</v>
      </c>
      <c r="I571" s="5" t="s">
        <v>4291</v>
      </c>
      <c r="J571" s="16" t="s">
        <v>73</v>
      </c>
      <c r="K571" s="17" t="s">
        <v>181</v>
      </c>
      <c r="L571" s="5" t="s">
        <v>4292</v>
      </c>
      <c r="M571" s="6" t="s">
        <v>198</v>
      </c>
      <c r="N571" s="6" t="s">
        <v>814</v>
      </c>
      <c r="O571" s="6" t="s">
        <v>73</v>
      </c>
      <c r="P571" s="5" t="s">
        <v>918</v>
      </c>
      <c r="Q571" s="17" t="s">
        <v>182</v>
      </c>
      <c r="R571" s="5"/>
      <c r="S571" s="6" t="s">
        <v>1030</v>
      </c>
      <c r="T571" s="5" t="s">
        <v>827</v>
      </c>
      <c r="U571" s="6"/>
      <c r="V571" s="6" t="s">
        <v>1764</v>
      </c>
      <c r="W571" s="6" t="s">
        <v>333</v>
      </c>
      <c r="X571" s="5" t="s">
        <v>922</v>
      </c>
      <c r="Y571" s="5" t="s">
        <v>485</v>
      </c>
      <c r="Z571" s="5" t="str">
        <f t="shared" si="16"/>
        <v>Critical</v>
      </c>
      <c r="AA571" s="5" t="s">
        <v>923</v>
      </c>
      <c r="AB571" s="6" t="s">
        <v>956</v>
      </c>
      <c r="AC571" s="6" t="s">
        <v>78</v>
      </c>
      <c r="AD571" s="5" t="s">
        <v>925</v>
      </c>
      <c r="AE571" s="5" t="s">
        <v>354</v>
      </c>
      <c r="AF571" s="5" t="s">
        <v>354</v>
      </c>
      <c r="AG571" s="5" t="s">
        <v>354</v>
      </c>
      <c r="AH571" s="5" t="s">
        <v>354</v>
      </c>
      <c r="AI571" s="6" t="str">
        <f t="shared" si="17"/>
        <v>No</v>
      </c>
      <c r="AJ571" s="6" t="s">
        <v>926</v>
      </c>
      <c r="AK571" s="6" t="s">
        <v>73</v>
      </c>
      <c r="AL571" s="6">
        <f>MATCH(AA571,{"Low","Medium","High"},0)*MATCH(AB571,{"Low","Medium","High"},0)*INDEX({3,2,2,1,1},MATCH(X571,{"Core","Vertical extension","Differentiator","Future","Adjacent"},0))</f>
        <v>18</v>
      </c>
      <c r="AM571" s="5"/>
      <c r="AN571" s="5"/>
      <c r="AO571" s="5"/>
      <c r="AP571" s="5"/>
      <c r="AQ571" s="5"/>
      <c r="AR571" s="5"/>
      <c r="AS571" s="5"/>
      <c r="AT571" s="5"/>
      <c r="AU571" s="6" t="s">
        <v>927</v>
      </c>
      <c r="AV571" s="6" t="s">
        <v>2161</v>
      </c>
      <c r="AW571" s="6" t="s">
        <v>2161</v>
      </c>
      <c r="AX571" s="6" t="s">
        <v>929</v>
      </c>
      <c r="AY571" s="6" t="s">
        <v>1032</v>
      </c>
      <c r="AZ571" s="6"/>
      <c r="BA571" s="6"/>
      <c r="BB571" s="6"/>
      <c r="BC571" s="6" t="s">
        <v>97</v>
      </c>
      <c r="BD571" s="6" t="s">
        <v>97</v>
      </c>
    </row>
    <row r="572" spans="1:56" ht="32" customHeight="1" x14ac:dyDescent="0.35">
      <c r="A572" s="13" t="s">
        <v>4293</v>
      </c>
      <c r="B572" s="6" t="s">
        <v>4219</v>
      </c>
      <c r="C572" s="5" t="s">
        <v>4294</v>
      </c>
      <c r="D572" s="5" t="s">
        <v>836</v>
      </c>
      <c r="E572" s="5" t="s">
        <v>4295</v>
      </c>
      <c r="F572" s="5" t="s">
        <v>4296</v>
      </c>
      <c r="G572" s="5" t="s">
        <v>951</v>
      </c>
      <c r="H572" s="5" t="s">
        <v>4297</v>
      </c>
      <c r="I572" s="5" t="s">
        <v>4298</v>
      </c>
      <c r="J572" s="21" t="s">
        <v>158</v>
      </c>
      <c r="K572" s="17" t="s">
        <v>181</v>
      </c>
      <c r="L572" s="5" t="s">
        <v>4299</v>
      </c>
      <c r="M572" s="6" t="s">
        <v>198</v>
      </c>
      <c r="N572" s="6" t="s">
        <v>814</v>
      </c>
      <c r="O572" s="6" t="s">
        <v>151</v>
      </c>
      <c r="P572" s="5" t="s">
        <v>4283</v>
      </c>
      <c r="Q572" s="17" t="s">
        <v>182</v>
      </c>
      <c r="R572" s="5" t="s">
        <v>4283</v>
      </c>
      <c r="S572" s="6" t="s">
        <v>1061</v>
      </c>
      <c r="T572" s="5" t="s">
        <v>1062</v>
      </c>
      <c r="U572" s="6"/>
      <c r="V572" s="6" t="s">
        <v>1055</v>
      </c>
      <c r="W572" s="6" t="s">
        <v>333</v>
      </c>
      <c r="X572" s="5" t="s">
        <v>4284</v>
      </c>
      <c r="Y572" s="5" t="s">
        <v>485</v>
      </c>
      <c r="Z572" s="5" t="str">
        <f t="shared" si="16"/>
        <v>Low</v>
      </c>
      <c r="AA572" s="5" t="s">
        <v>924</v>
      </c>
      <c r="AB572" s="6" t="s">
        <v>924</v>
      </c>
      <c r="AC572" s="6" t="s">
        <v>11</v>
      </c>
      <c r="AD572" s="5" t="s">
        <v>925</v>
      </c>
      <c r="AE572" s="5" t="s">
        <v>354</v>
      </c>
      <c r="AF572" s="5" t="s">
        <v>354</v>
      </c>
      <c r="AG572" s="5" t="s">
        <v>354</v>
      </c>
      <c r="AH572" s="5" t="s">
        <v>354</v>
      </c>
      <c r="AI572" s="6" t="str">
        <f t="shared" si="17"/>
        <v>No</v>
      </c>
      <c r="AJ572" s="6" t="s">
        <v>926</v>
      </c>
      <c r="AK572" s="6" t="s">
        <v>158</v>
      </c>
      <c r="AL572" s="6">
        <f>MATCH(AA572,{"Low","Medium","High"},0)*MATCH(AB572,{"Low","Medium","High"},0)*INDEX({3,2,2,1,1},MATCH(X572,{"Core","Vertical extension","Differentiator","Future","Adjacent"},0))</f>
        <v>1</v>
      </c>
      <c r="AM572" s="5"/>
      <c r="AN572" s="5"/>
      <c r="AO572" s="5"/>
      <c r="AP572" s="5"/>
      <c r="AQ572" s="5"/>
      <c r="AR572" s="5"/>
      <c r="AS572" s="5"/>
      <c r="AT572" s="5"/>
      <c r="AU572" s="6" t="s">
        <v>927</v>
      </c>
      <c r="AV572" s="6" t="s">
        <v>2161</v>
      </c>
      <c r="AW572" s="6" t="s">
        <v>2161</v>
      </c>
      <c r="AX572" s="6" t="s">
        <v>4285</v>
      </c>
      <c r="AY572" s="6" t="s">
        <v>930</v>
      </c>
      <c r="AZ572" s="6"/>
      <c r="BA572" s="6"/>
      <c r="BB572" s="6"/>
      <c r="BC572" s="6" t="s">
        <v>97</v>
      </c>
      <c r="BD572" s="6" t="s">
        <v>97</v>
      </c>
    </row>
    <row r="573" spans="1:56" ht="32" customHeight="1" x14ac:dyDescent="0.35">
      <c r="A573" s="13" t="s">
        <v>4300</v>
      </c>
      <c r="B573" s="6" t="s">
        <v>4219</v>
      </c>
      <c r="C573" s="5" t="s">
        <v>4301</v>
      </c>
      <c r="D573" s="5" t="s">
        <v>827</v>
      </c>
      <c r="E573" s="5" t="s">
        <v>4302</v>
      </c>
      <c r="F573" s="5" t="s">
        <v>4303</v>
      </c>
      <c r="G573" s="5" t="s">
        <v>4304</v>
      </c>
      <c r="H573" s="5" t="s">
        <v>4305</v>
      </c>
      <c r="I573" s="5" t="s">
        <v>4306</v>
      </c>
      <c r="J573" s="16" t="s">
        <v>73</v>
      </c>
      <c r="K573" s="17" t="s">
        <v>181</v>
      </c>
      <c r="L573" s="5" t="s">
        <v>4307</v>
      </c>
      <c r="M573" s="6" t="s">
        <v>198</v>
      </c>
      <c r="N573" s="6" t="s">
        <v>814</v>
      </c>
      <c r="O573" s="6" t="s">
        <v>73</v>
      </c>
      <c r="P573" s="5" t="s">
        <v>918</v>
      </c>
      <c r="Q573" s="17" t="s">
        <v>182</v>
      </c>
      <c r="R573" s="5"/>
      <c r="S573" s="6" t="s">
        <v>1030</v>
      </c>
      <c r="T573" s="5" t="s">
        <v>827</v>
      </c>
      <c r="U573" s="6"/>
      <c r="V573" s="6" t="s">
        <v>1031</v>
      </c>
      <c r="W573" s="6" t="s">
        <v>333</v>
      </c>
      <c r="X573" s="5" t="s">
        <v>922</v>
      </c>
      <c r="Y573" s="5" t="s">
        <v>485</v>
      </c>
      <c r="Z573" s="5" t="str">
        <f t="shared" si="16"/>
        <v>Critical</v>
      </c>
      <c r="AA573" s="5" t="s">
        <v>923</v>
      </c>
      <c r="AB573" s="6" t="s">
        <v>956</v>
      </c>
      <c r="AC573" s="6" t="s">
        <v>78</v>
      </c>
      <c r="AD573" s="5" t="s">
        <v>925</v>
      </c>
      <c r="AE573" s="5" t="s">
        <v>354</v>
      </c>
      <c r="AF573" s="5" t="s">
        <v>354</v>
      </c>
      <c r="AG573" s="5" t="s">
        <v>354</v>
      </c>
      <c r="AH573" s="5" t="s">
        <v>354</v>
      </c>
      <c r="AI573" s="6" t="str">
        <f t="shared" si="17"/>
        <v>No</v>
      </c>
      <c r="AJ573" s="6" t="s">
        <v>926</v>
      </c>
      <c r="AK573" s="6" t="s">
        <v>73</v>
      </c>
      <c r="AL573" s="6">
        <f>MATCH(AA573,{"Low","Medium","High"},0)*MATCH(AB573,{"Low","Medium","High"},0)*INDEX({3,2,2,1,1},MATCH(X573,{"Core","Vertical extension","Differentiator","Future","Adjacent"},0))</f>
        <v>18</v>
      </c>
      <c r="AM573" s="5"/>
      <c r="AN573" s="5"/>
      <c r="AO573" s="5"/>
      <c r="AP573" s="5"/>
      <c r="AQ573" s="5"/>
      <c r="AR573" s="5"/>
      <c r="AS573" s="5"/>
      <c r="AT573" s="5"/>
      <c r="AU573" s="6" t="s">
        <v>927</v>
      </c>
      <c r="AV573" s="6" t="s">
        <v>2161</v>
      </c>
      <c r="AW573" s="6" t="s">
        <v>2161</v>
      </c>
      <c r="AX573" s="6" t="s">
        <v>929</v>
      </c>
      <c r="AY573" s="6" t="s">
        <v>1032</v>
      </c>
      <c r="AZ573" s="6"/>
      <c r="BA573" s="6"/>
      <c r="BB573" s="6"/>
      <c r="BC573" s="6" t="s">
        <v>97</v>
      </c>
      <c r="BD573" s="6" t="s">
        <v>97</v>
      </c>
    </row>
    <row r="574" spans="1:56" ht="32" customHeight="1" x14ac:dyDescent="0.35">
      <c r="A574" s="13" t="s">
        <v>4308</v>
      </c>
      <c r="B574" s="6" t="s">
        <v>4219</v>
      </c>
      <c r="C574" s="5" t="s">
        <v>4220</v>
      </c>
      <c r="D574" s="5" t="s">
        <v>837</v>
      </c>
      <c r="E574" s="5" t="s">
        <v>4309</v>
      </c>
      <c r="F574" s="5" t="s">
        <v>4310</v>
      </c>
      <c r="G574" s="5" t="s">
        <v>457</v>
      </c>
      <c r="H574" s="5" t="s">
        <v>4311</v>
      </c>
      <c r="I574" s="5" t="s">
        <v>4312</v>
      </c>
      <c r="J574" s="16" t="s">
        <v>73</v>
      </c>
      <c r="K574" s="17" t="s">
        <v>181</v>
      </c>
      <c r="L574" s="5" t="s">
        <v>4313</v>
      </c>
      <c r="M574" s="6" t="s">
        <v>198</v>
      </c>
      <c r="N574" s="6" t="s">
        <v>814</v>
      </c>
      <c r="O574" s="6" t="s">
        <v>73</v>
      </c>
      <c r="P574" s="5" t="s">
        <v>918</v>
      </c>
      <c r="Q574" s="17" t="s">
        <v>182</v>
      </c>
      <c r="R574" s="5"/>
      <c r="S574" s="6" t="s">
        <v>937</v>
      </c>
      <c r="T574" s="5" t="s">
        <v>938</v>
      </c>
      <c r="U574" s="6"/>
      <c r="V574" s="6" t="s">
        <v>939</v>
      </c>
      <c r="W574" s="6" t="s">
        <v>331</v>
      </c>
      <c r="X574" s="5" t="s">
        <v>922</v>
      </c>
      <c r="Y574" s="5" t="s">
        <v>485</v>
      </c>
      <c r="Z574" s="5" t="str">
        <f t="shared" si="16"/>
        <v>High</v>
      </c>
      <c r="AA574" s="5" t="s">
        <v>923</v>
      </c>
      <c r="AB574" s="6" t="s">
        <v>924</v>
      </c>
      <c r="AC574" s="6" t="s">
        <v>78</v>
      </c>
      <c r="AD574" s="5" t="s">
        <v>925</v>
      </c>
      <c r="AE574" s="5" t="s">
        <v>354</v>
      </c>
      <c r="AF574" s="5" t="s">
        <v>354</v>
      </c>
      <c r="AG574" s="5" t="s">
        <v>354</v>
      </c>
      <c r="AH574" s="5" t="s">
        <v>354</v>
      </c>
      <c r="AI574" s="6" t="str">
        <f t="shared" si="17"/>
        <v>No</v>
      </c>
      <c r="AJ574" s="6" t="s">
        <v>926</v>
      </c>
      <c r="AK574" s="6" t="s">
        <v>73</v>
      </c>
      <c r="AL574" s="6">
        <f>MATCH(AA574,{"Low","Medium","High"},0)*MATCH(AB574,{"Low","Medium","High"},0)*INDEX({3,2,2,1,1},MATCH(X574,{"Core","Vertical extension","Differentiator","Future","Adjacent"},0))</f>
        <v>9</v>
      </c>
      <c r="AM574" s="5"/>
      <c r="AN574" s="5"/>
      <c r="AO574" s="5"/>
      <c r="AP574" s="5"/>
      <c r="AQ574" s="5"/>
      <c r="AR574" s="5"/>
      <c r="AS574" s="5"/>
      <c r="AT574" s="5"/>
      <c r="AU574" s="6" t="s">
        <v>927</v>
      </c>
      <c r="AV574" s="6" t="s">
        <v>2161</v>
      </c>
      <c r="AW574" s="6" t="s">
        <v>2161</v>
      </c>
      <c r="AX574" s="6" t="s">
        <v>929</v>
      </c>
      <c r="AY574" s="6" t="s">
        <v>930</v>
      </c>
      <c r="AZ574" s="6"/>
      <c r="BA574" s="6"/>
      <c r="BB574" s="6"/>
      <c r="BC574" s="6" t="s">
        <v>97</v>
      </c>
      <c r="BD574" s="6" t="s">
        <v>97</v>
      </c>
    </row>
    <row r="575" spans="1:56" ht="32" customHeight="1" x14ac:dyDescent="0.35">
      <c r="A575" s="13" t="s">
        <v>130</v>
      </c>
      <c r="B575" s="6" t="s">
        <v>4219</v>
      </c>
      <c r="C575" s="5" t="s">
        <v>4314</v>
      </c>
      <c r="D575" s="5" t="s">
        <v>831</v>
      </c>
      <c r="E575" s="5" t="s">
        <v>774</v>
      </c>
      <c r="F575" s="5" t="s">
        <v>4315</v>
      </c>
      <c r="G575" s="5" t="s">
        <v>1322</v>
      </c>
      <c r="H575" s="5" t="s">
        <v>4316</v>
      </c>
      <c r="I575" s="5" t="s">
        <v>4317</v>
      </c>
      <c r="J575" s="17" t="s">
        <v>121</v>
      </c>
      <c r="K575" s="16" t="s">
        <v>122</v>
      </c>
      <c r="L575" s="5" t="s">
        <v>4318</v>
      </c>
      <c r="M575" s="6" t="s">
        <v>198</v>
      </c>
      <c r="N575" s="6" t="s">
        <v>814</v>
      </c>
      <c r="O575" s="6" t="s">
        <v>121</v>
      </c>
      <c r="P575" s="5" t="s">
        <v>918</v>
      </c>
      <c r="Q575" s="16" t="s">
        <v>122</v>
      </c>
      <c r="R575" s="5" t="s">
        <v>4319</v>
      </c>
      <c r="S575" s="6" t="s">
        <v>964</v>
      </c>
      <c r="T575" s="5" t="s">
        <v>965</v>
      </c>
      <c r="U575" s="6"/>
      <c r="V575" s="6" t="s">
        <v>966</v>
      </c>
      <c r="W575" s="6" t="s">
        <v>333</v>
      </c>
      <c r="X575" s="5" t="s">
        <v>922</v>
      </c>
      <c r="Y575" s="5" t="s">
        <v>485</v>
      </c>
      <c r="Z575" s="5" t="str">
        <f t="shared" si="16"/>
        <v>Medium</v>
      </c>
      <c r="AA575" s="5" t="s">
        <v>956</v>
      </c>
      <c r="AB575" s="6" t="s">
        <v>924</v>
      </c>
      <c r="AC575" s="6" t="s">
        <v>103</v>
      </c>
      <c r="AD575" s="5" t="s">
        <v>439</v>
      </c>
      <c r="AE575" s="5" t="s">
        <v>354</v>
      </c>
      <c r="AF575" s="5" t="s">
        <v>354</v>
      </c>
      <c r="AG575" s="5" t="s">
        <v>354</v>
      </c>
      <c r="AH575" s="5" t="s">
        <v>354</v>
      </c>
      <c r="AI575" s="6" t="str">
        <f t="shared" si="17"/>
        <v>No</v>
      </c>
      <c r="AJ575" s="6" t="s">
        <v>4003</v>
      </c>
      <c r="AK575" s="6" t="s">
        <v>121</v>
      </c>
      <c r="AL575" s="6">
        <f>MATCH(AA575,{"Low","Medium","High"},0)*MATCH(AB575,{"Low","Medium","High"},0)*INDEX({3,2,2,1,1},MATCH(X575,{"Core","Vertical extension","Differentiator","Future","Adjacent"},0))</f>
        <v>6</v>
      </c>
      <c r="AM575" s="5"/>
      <c r="AN575" s="5"/>
      <c r="AO575" s="5"/>
      <c r="AP575" s="5"/>
      <c r="AQ575" s="5"/>
      <c r="AR575" s="5"/>
      <c r="AS575" s="5"/>
      <c r="AT575" s="5"/>
      <c r="AU575" s="6" t="s">
        <v>927</v>
      </c>
      <c r="AV575" s="6" t="s">
        <v>2161</v>
      </c>
      <c r="AW575" s="6" t="s">
        <v>2161</v>
      </c>
      <c r="AX575" s="6" t="s">
        <v>929</v>
      </c>
      <c r="AY575" s="6" t="s">
        <v>930</v>
      </c>
      <c r="AZ575" s="6"/>
      <c r="BA575" s="6" t="s">
        <v>2380</v>
      </c>
      <c r="BB575" s="6" t="s">
        <v>2381</v>
      </c>
      <c r="BC575" s="6" t="s">
        <v>97</v>
      </c>
      <c r="BD575" s="6" t="s">
        <v>97</v>
      </c>
    </row>
    <row r="576" spans="1:56" ht="32" customHeight="1" x14ac:dyDescent="0.35">
      <c r="A576" s="13" t="s">
        <v>4320</v>
      </c>
      <c r="B576" s="6" t="s">
        <v>4219</v>
      </c>
      <c r="C576" s="5" t="s">
        <v>4321</v>
      </c>
      <c r="D576" s="5" t="s">
        <v>829</v>
      </c>
      <c r="E576" s="5" t="s">
        <v>4322</v>
      </c>
      <c r="F576" s="5" t="s">
        <v>2521</v>
      </c>
      <c r="G576" s="5" t="s">
        <v>4323</v>
      </c>
      <c r="H576" s="5" t="s">
        <v>4324</v>
      </c>
      <c r="I576" s="5" t="s">
        <v>4325</v>
      </c>
      <c r="J576" s="16" t="s">
        <v>73</v>
      </c>
      <c r="K576" s="17" t="s">
        <v>181</v>
      </c>
      <c r="L576" s="5" t="s">
        <v>4326</v>
      </c>
      <c r="M576" s="6" t="s">
        <v>198</v>
      </c>
      <c r="N576" s="6" t="s">
        <v>814</v>
      </c>
      <c r="O576" s="6" t="s">
        <v>73</v>
      </c>
      <c r="P576" s="5" t="s">
        <v>918</v>
      </c>
      <c r="Q576" s="18" t="s">
        <v>186</v>
      </c>
      <c r="R576" s="5" t="s">
        <v>1198</v>
      </c>
      <c r="S576" s="6" t="s">
        <v>980</v>
      </c>
      <c r="T576" s="5" t="s">
        <v>981</v>
      </c>
      <c r="U576" s="6"/>
      <c r="V576" s="6" t="s">
        <v>982</v>
      </c>
      <c r="W576" s="6" t="s">
        <v>331</v>
      </c>
      <c r="X576" s="5" t="s">
        <v>922</v>
      </c>
      <c r="Y576" s="5" t="s">
        <v>485</v>
      </c>
      <c r="Z576" s="5" t="str">
        <f t="shared" si="16"/>
        <v>High</v>
      </c>
      <c r="AA576" s="5" t="s">
        <v>923</v>
      </c>
      <c r="AB576" s="6" t="s">
        <v>924</v>
      </c>
      <c r="AC576" s="6" t="s">
        <v>78</v>
      </c>
      <c r="AD576" s="5" t="s">
        <v>940</v>
      </c>
      <c r="AE576" s="5" t="s">
        <v>354</v>
      </c>
      <c r="AF576" s="5" t="s">
        <v>354</v>
      </c>
      <c r="AG576" s="5" t="s">
        <v>354</v>
      </c>
      <c r="AH576" s="5" t="s">
        <v>354</v>
      </c>
      <c r="AI576" s="6" t="str">
        <f t="shared" si="17"/>
        <v>No</v>
      </c>
      <c r="AJ576" s="6" t="s">
        <v>941</v>
      </c>
      <c r="AK576" s="6" t="s">
        <v>73</v>
      </c>
      <c r="AL576" s="6">
        <f>MATCH(AA576,{"Low","Medium","High"},0)*MATCH(AB576,{"Low","Medium","High"},0)*INDEX({3,2,2,1,1},MATCH(X576,{"Core","Vertical extension","Differentiator","Future","Adjacent"},0))</f>
        <v>9</v>
      </c>
      <c r="AM576" s="5"/>
      <c r="AN576" s="5"/>
      <c r="AO576" s="5"/>
      <c r="AP576" s="5"/>
      <c r="AQ576" s="5"/>
      <c r="AR576" s="5"/>
      <c r="AS576" s="5"/>
      <c r="AT576" s="5"/>
      <c r="AU576" s="6" t="s">
        <v>927</v>
      </c>
      <c r="AV576" s="6" t="s">
        <v>2161</v>
      </c>
      <c r="AW576" s="6" t="s">
        <v>2161</v>
      </c>
      <c r="AX576" s="6" t="s">
        <v>929</v>
      </c>
      <c r="AY576" s="6" t="s">
        <v>930</v>
      </c>
      <c r="AZ576" s="6"/>
      <c r="BA576" s="6" t="s">
        <v>983</v>
      </c>
      <c r="BB576" s="6" t="s">
        <v>984</v>
      </c>
      <c r="BC576" s="6" t="s">
        <v>97</v>
      </c>
      <c r="BD576" s="6" t="s">
        <v>97</v>
      </c>
    </row>
    <row r="577" spans="1:56" ht="32" customHeight="1" x14ac:dyDescent="0.35">
      <c r="A577" s="13" t="s">
        <v>4327</v>
      </c>
      <c r="B577" s="6" t="s">
        <v>4219</v>
      </c>
      <c r="C577" s="5" t="s">
        <v>4328</v>
      </c>
      <c r="D577" s="5" t="s">
        <v>833</v>
      </c>
      <c r="E577" s="5" t="s">
        <v>4329</v>
      </c>
      <c r="F577" s="5" t="s">
        <v>4330</v>
      </c>
      <c r="G577" s="5" t="s">
        <v>1623</v>
      </c>
      <c r="H577" s="5" t="s">
        <v>4331</v>
      </c>
      <c r="I577" s="5" t="s">
        <v>4332</v>
      </c>
      <c r="J577" s="17" t="s">
        <v>121</v>
      </c>
      <c r="K577" s="17" t="s">
        <v>181</v>
      </c>
      <c r="L577" s="5" t="s">
        <v>4333</v>
      </c>
      <c r="M577" s="6" t="s">
        <v>198</v>
      </c>
      <c r="N577" s="6" t="s">
        <v>814</v>
      </c>
      <c r="O577" s="6" t="s">
        <v>121</v>
      </c>
      <c r="P577" s="5" t="s">
        <v>918</v>
      </c>
      <c r="Q577" s="17" t="s">
        <v>182</v>
      </c>
      <c r="R577" s="5"/>
      <c r="S577" s="6" t="s">
        <v>919</v>
      </c>
      <c r="T577" s="5" t="s">
        <v>920</v>
      </c>
      <c r="U577" s="6"/>
      <c r="V577" s="6" t="s">
        <v>921</v>
      </c>
      <c r="W577" s="6" t="s">
        <v>331</v>
      </c>
      <c r="X577" s="5" t="s">
        <v>922</v>
      </c>
      <c r="Y577" s="5" t="s">
        <v>485</v>
      </c>
      <c r="Z577" s="5" t="str">
        <f t="shared" si="16"/>
        <v>Medium</v>
      </c>
      <c r="AA577" s="5" t="s">
        <v>956</v>
      </c>
      <c r="AB577" s="6" t="s">
        <v>924</v>
      </c>
      <c r="AC577" s="6" t="s">
        <v>103</v>
      </c>
      <c r="AD577" s="5" t="s">
        <v>925</v>
      </c>
      <c r="AE577" s="5" t="s">
        <v>354</v>
      </c>
      <c r="AF577" s="5" t="s">
        <v>354</v>
      </c>
      <c r="AG577" s="5" t="s">
        <v>354</v>
      </c>
      <c r="AH577" s="5" t="s">
        <v>354</v>
      </c>
      <c r="AI577" s="6" t="str">
        <f t="shared" si="17"/>
        <v>No</v>
      </c>
      <c r="AJ577" s="6" t="s">
        <v>926</v>
      </c>
      <c r="AK577" s="6" t="s">
        <v>121</v>
      </c>
      <c r="AL577" s="6">
        <f>MATCH(AA577,{"Low","Medium","High"},0)*MATCH(AB577,{"Low","Medium","High"},0)*INDEX({3,2,2,1,1},MATCH(X577,{"Core","Vertical extension","Differentiator","Future","Adjacent"},0))</f>
        <v>6</v>
      </c>
      <c r="AM577" s="5"/>
      <c r="AN577" s="5"/>
      <c r="AO577" s="5"/>
      <c r="AP577" s="5"/>
      <c r="AQ577" s="5"/>
      <c r="AR577" s="5"/>
      <c r="AS577" s="5"/>
      <c r="AT577" s="5"/>
      <c r="AU577" s="6" t="s">
        <v>927</v>
      </c>
      <c r="AV577" s="6" t="s">
        <v>2161</v>
      </c>
      <c r="AW577" s="6" t="s">
        <v>2161</v>
      </c>
      <c r="AX577" s="6" t="s">
        <v>929</v>
      </c>
      <c r="AY577" s="6" t="s">
        <v>930</v>
      </c>
      <c r="AZ577" s="6"/>
      <c r="BA577" s="6"/>
      <c r="BB577" s="6"/>
      <c r="BC577" s="6" t="s">
        <v>97</v>
      </c>
      <c r="BD577" s="6" t="s">
        <v>97</v>
      </c>
    </row>
    <row r="578" spans="1:56" ht="32" customHeight="1" x14ac:dyDescent="0.35">
      <c r="A578" s="13" t="s">
        <v>4334</v>
      </c>
      <c r="B578" s="6" t="s">
        <v>4219</v>
      </c>
      <c r="C578" s="5" t="s">
        <v>4335</v>
      </c>
      <c r="D578" s="5" t="s">
        <v>827</v>
      </c>
      <c r="E578" s="5" t="s">
        <v>4336</v>
      </c>
      <c r="F578" s="5" t="s">
        <v>4337</v>
      </c>
      <c r="G578" s="5" t="s">
        <v>3429</v>
      </c>
      <c r="H578" s="5" t="s">
        <v>4338</v>
      </c>
      <c r="I578" s="5" t="s">
        <v>4339</v>
      </c>
      <c r="J578" s="17" t="s">
        <v>121</v>
      </c>
      <c r="K578" s="17" t="s">
        <v>181</v>
      </c>
      <c r="L578" s="5" t="s">
        <v>4340</v>
      </c>
      <c r="M578" s="6" t="s">
        <v>198</v>
      </c>
      <c r="N578" s="6" t="s">
        <v>814</v>
      </c>
      <c r="O578" s="6" t="s">
        <v>121</v>
      </c>
      <c r="P578" s="5" t="s">
        <v>918</v>
      </c>
      <c r="Q578" s="17" t="s">
        <v>182</v>
      </c>
      <c r="R578" s="5"/>
      <c r="S578" s="6" t="s">
        <v>1030</v>
      </c>
      <c r="T578" s="5" t="s">
        <v>827</v>
      </c>
      <c r="U578" s="6"/>
      <c r="V578" s="6" t="s">
        <v>1031</v>
      </c>
      <c r="W578" s="6" t="s">
        <v>333</v>
      </c>
      <c r="X578" s="5" t="s">
        <v>922</v>
      </c>
      <c r="Y578" s="5" t="s">
        <v>485</v>
      </c>
      <c r="Z578" s="5" t="str">
        <f t="shared" ref="Z578:Z641" si="18">IF(AL578&gt;=18,"Critical",IF(AL578&gt;=9,"High",IF(AL578&gt;=4,"Medium","Low")))</f>
        <v>High</v>
      </c>
      <c r="AA578" s="5" t="s">
        <v>956</v>
      </c>
      <c r="AB578" s="6" t="s">
        <v>956</v>
      </c>
      <c r="AC578" s="6" t="s">
        <v>103</v>
      </c>
      <c r="AD578" s="5" t="s">
        <v>925</v>
      </c>
      <c r="AE578" s="5" t="s">
        <v>354</v>
      </c>
      <c r="AF578" s="5" t="s">
        <v>354</v>
      </c>
      <c r="AG578" s="5" t="s">
        <v>354</v>
      </c>
      <c r="AH578" s="5" t="s">
        <v>354</v>
      </c>
      <c r="AI578" s="6" t="str">
        <f t="shared" ref="AI578:AI641" si="19">IF(AND(AU578="Pass",AE578&lt;&gt;"Not verified",AF578&lt;&gt;"Not verified",AG578&lt;&gt;"Not verified",AH578&lt;&gt;"Not verified",BC578="Yes",BD578="Yes"),"Yes","No")</f>
        <v>No</v>
      </c>
      <c r="AJ578" s="6" t="s">
        <v>926</v>
      </c>
      <c r="AK578" s="6" t="s">
        <v>121</v>
      </c>
      <c r="AL578" s="6">
        <f>MATCH(AA578,{"Low","Medium","High"},0)*MATCH(AB578,{"Low","Medium","High"},0)*INDEX({3,2,2,1,1},MATCH(X578,{"Core","Vertical extension","Differentiator","Future","Adjacent"},0))</f>
        <v>12</v>
      </c>
      <c r="AM578" s="5"/>
      <c r="AN578" s="5"/>
      <c r="AO578" s="5"/>
      <c r="AP578" s="5"/>
      <c r="AQ578" s="5"/>
      <c r="AR578" s="5"/>
      <c r="AS578" s="5"/>
      <c r="AT578" s="5"/>
      <c r="AU578" s="6" t="s">
        <v>927</v>
      </c>
      <c r="AV578" s="6" t="s">
        <v>2161</v>
      </c>
      <c r="AW578" s="6" t="s">
        <v>2161</v>
      </c>
      <c r="AX578" s="6" t="s">
        <v>929</v>
      </c>
      <c r="AY578" s="6" t="s">
        <v>1032</v>
      </c>
      <c r="AZ578" s="6"/>
      <c r="BA578" s="6"/>
      <c r="BB578" s="6"/>
      <c r="BC578" s="6" t="s">
        <v>97</v>
      </c>
      <c r="BD578" s="6" t="s">
        <v>97</v>
      </c>
    </row>
    <row r="579" spans="1:56" ht="32" customHeight="1" x14ac:dyDescent="0.35">
      <c r="A579" s="13" t="s">
        <v>4341</v>
      </c>
      <c r="B579" s="6" t="s">
        <v>4219</v>
      </c>
      <c r="C579" s="5" t="s">
        <v>4342</v>
      </c>
      <c r="D579" s="5" t="s">
        <v>829</v>
      </c>
      <c r="E579" s="5" t="s">
        <v>4343</v>
      </c>
      <c r="F579" s="5" t="s">
        <v>4344</v>
      </c>
      <c r="G579" s="5" t="s">
        <v>1452</v>
      </c>
      <c r="H579" s="5" t="s">
        <v>4345</v>
      </c>
      <c r="I579" s="5" t="s">
        <v>4346</v>
      </c>
      <c r="J579" s="17" t="s">
        <v>121</v>
      </c>
      <c r="K579" s="17" t="s">
        <v>181</v>
      </c>
      <c r="L579" s="5" t="s">
        <v>4347</v>
      </c>
      <c r="M579" s="6" t="s">
        <v>198</v>
      </c>
      <c r="N579" s="6" t="s">
        <v>814</v>
      </c>
      <c r="O579" s="6" t="s">
        <v>121</v>
      </c>
      <c r="P579" s="5" t="s">
        <v>918</v>
      </c>
      <c r="Q579" s="17" t="s">
        <v>182</v>
      </c>
      <c r="R579" s="5"/>
      <c r="S579" s="6" t="s">
        <v>980</v>
      </c>
      <c r="T579" s="5" t="s">
        <v>981</v>
      </c>
      <c r="U579" s="6"/>
      <c r="V579" s="6" t="s">
        <v>982</v>
      </c>
      <c r="W579" s="6" t="s">
        <v>331</v>
      </c>
      <c r="X579" s="5" t="s">
        <v>922</v>
      </c>
      <c r="Y579" s="5" t="s">
        <v>485</v>
      </c>
      <c r="Z579" s="5" t="str">
        <f t="shared" si="18"/>
        <v>High</v>
      </c>
      <c r="AA579" s="5" t="s">
        <v>923</v>
      </c>
      <c r="AB579" s="6" t="s">
        <v>924</v>
      </c>
      <c r="AC579" s="6" t="s">
        <v>103</v>
      </c>
      <c r="AD579" s="5" t="s">
        <v>925</v>
      </c>
      <c r="AE579" s="5" t="s">
        <v>354</v>
      </c>
      <c r="AF579" s="5" t="s">
        <v>354</v>
      </c>
      <c r="AG579" s="5" t="s">
        <v>354</v>
      </c>
      <c r="AH579" s="5" t="s">
        <v>354</v>
      </c>
      <c r="AI579" s="6" t="str">
        <f t="shared" si="19"/>
        <v>No</v>
      </c>
      <c r="AJ579" s="6" t="s">
        <v>926</v>
      </c>
      <c r="AK579" s="6" t="s">
        <v>121</v>
      </c>
      <c r="AL579" s="6">
        <f>MATCH(AA579,{"Low","Medium","High"},0)*MATCH(AB579,{"Low","Medium","High"},0)*INDEX({3,2,2,1,1},MATCH(X579,{"Core","Vertical extension","Differentiator","Future","Adjacent"},0))</f>
        <v>9</v>
      </c>
      <c r="AM579" s="5"/>
      <c r="AN579" s="5"/>
      <c r="AO579" s="5"/>
      <c r="AP579" s="5"/>
      <c r="AQ579" s="5"/>
      <c r="AR579" s="5"/>
      <c r="AS579" s="5"/>
      <c r="AT579" s="5"/>
      <c r="AU579" s="6" t="s">
        <v>927</v>
      </c>
      <c r="AV579" s="6" t="s">
        <v>2161</v>
      </c>
      <c r="AW579" s="6" t="s">
        <v>2161</v>
      </c>
      <c r="AX579" s="6" t="s">
        <v>929</v>
      </c>
      <c r="AY579" s="6" t="s">
        <v>930</v>
      </c>
      <c r="AZ579" s="6"/>
      <c r="BA579" s="6"/>
      <c r="BB579" s="6"/>
      <c r="BC579" s="6" t="s">
        <v>97</v>
      </c>
      <c r="BD579" s="6" t="s">
        <v>97</v>
      </c>
    </row>
    <row r="580" spans="1:56" ht="32" customHeight="1" x14ac:dyDescent="0.35">
      <c r="A580" s="13" t="s">
        <v>92</v>
      </c>
      <c r="B580" s="6" t="s">
        <v>4219</v>
      </c>
      <c r="C580" s="5" t="s">
        <v>4348</v>
      </c>
      <c r="D580" s="5" t="s">
        <v>827</v>
      </c>
      <c r="E580" s="5" t="s">
        <v>775</v>
      </c>
      <c r="F580" s="5" t="s">
        <v>4349</v>
      </c>
      <c r="G580" s="5" t="s">
        <v>2094</v>
      </c>
      <c r="H580" s="5" t="s">
        <v>4350</v>
      </c>
      <c r="I580" s="5" t="s">
        <v>4351</v>
      </c>
      <c r="J580" s="16" t="s">
        <v>73</v>
      </c>
      <c r="K580" s="16" t="s">
        <v>94</v>
      </c>
      <c r="L580" s="5" t="s">
        <v>4352</v>
      </c>
      <c r="M580" s="6" t="s">
        <v>198</v>
      </c>
      <c r="N580" s="6" t="s">
        <v>814</v>
      </c>
      <c r="O580" s="6" t="s">
        <v>73</v>
      </c>
      <c r="P580" s="5" t="s">
        <v>918</v>
      </c>
      <c r="Q580" s="16" t="s">
        <v>186</v>
      </c>
      <c r="R580" s="5" t="s">
        <v>4353</v>
      </c>
      <c r="S580" s="6" t="s">
        <v>1030</v>
      </c>
      <c r="T580" s="5" t="s">
        <v>827</v>
      </c>
      <c r="U580" s="6"/>
      <c r="V580" s="6" t="s">
        <v>1055</v>
      </c>
      <c r="W580" s="6" t="s">
        <v>333</v>
      </c>
      <c r="X580" s="5" t="s">
        <v>922</v>
      </c>
      <c r="Y580" s="5" t="s">
        <v>485</v>
      </c>
      <c r="Z580" s="5" t="str">
        <f t="shared" si="18"/>
        <v>Critical</v>
      </c>
      <c r="AA580" s="5" t="s">
        <v>923</v>
      </c>
      <c r="AB580" s="6" t="s">
        <v>956</v>
      </c>
      <c r="AC580" s="6" t="s">
        <v>78</v>
      </c>
      <c r="AD580" s="5" t="s">
        <v>940</v>
      </c>
      <c r="AE580" s="5" t="s">
        <v>4354</v>
      </c>
      <c r="AF580" s="5" t="s">
        <v>354</v>
      </c>
      <c r="AG580" s="5" t="s">
        <v>354</v>
      </c>
      <c r="AH580" s="5" t="s">
        <v>354</v>
      </c>
      <c r="AI580" s="6" t="str">
        <f t="shared" si="19"/>
        <v>No</v>
      </c>
      <c r="AJ580" s="6" t="s">
        <v>941</v>
      </c>
      <c r="AK580" s="6" t="s">
        <v>73</v>
      </c>
      <c r="AL580" s="6">
        <f>MATCH(AA580,{"Low","Medium","High"},0)*MATCH(AB580,{"Low","Medium","High"},0)*INDEX({3,2,2,1,1},MATCH(X580,{"Core","Vertical extension","Differentiator","Future","Adjacent"},0))</f>
        <v>18</v>
      </c>
      <c r="AM580" s="5"/>
      <c r="AN580" s="5"/>
      <c r="AO580" s="5"/>
      <c r="AP580" s="5"/>
      <c r="AQ580" s="5"/>
      <c r="AR580" s="5" t="s">
        <v>4355</v>
      </c>
      <c r="AS580" s="5" t="s">
        <v>166</v>
      </c>
      <c r="AT580" s="5" t="s">
        <v>4356</v>
      </c>
      <c r="AU580" s="6" t="s">
        <v>4357</v>
      </c>
      <c r="AV580" s="6" t="s">
        <v>2161</v>
      </c>
      <c r="AW580" s="6" t="s">
        <v>2161</v>
      </c>
      <c r="AX580" s="6" t="s">
        <v>929</v>
      </c>
      <c r="AY580" s="6" t="s">
        <v>1032</v>
      </c>
      <c r="AZ580" s="6"/>
      <c r="BA580" s="6"/>
      <c r="BB580" s="6"/>
      <c r="BC580" s="6" t="s">
        <v>97</v>
      </c>
      <c r="BD580" s="6" t="s">
        <v>97</v>
      </c>
    </row>
    <row r="581" spans="1:56" ht="32" customHeight="1" x14ac:dyDescent="0.35">
      <c r="A581" s="13" t="s">
        <v>4358</v>
      </c>
      <c r="B581" s="6" t="s">
        <v>4219</v>
      </c>
      <c r="C581" s="5" t="s">
        <v>4359</v>
      </c>
      <c r="D581" s="5" t="s">
        <v>825</v>
      </c>
      <c r="E581" s="5" t="s">
        <v>4360</v>
      </c>
      <c r="F581" s="5" t="s">
        <v>4361</v>
      </c>
      <c r="G581" s="5" t="s">
        <v>1300</v>
      </c>
      <c r="H581" s="5" t="s">
        <v>4362</v>
      </c>
      <c r="I581" s="5" t="s">
        <v>4363</v>
      </c>
      <c r="J581" s="16" t="s">
        <v>73</v>
      </c>
      <c r="K581" s="17" t="s">
        <v>181</v>
      </c>
      <c r="L581" s="5" t="s">
        <v>4364</v>
      </c>
      <c r="M581" s="6" t="s">
        <v>198</v>
      </c>
      <c r="N581" s="6" t="s">
        <v>814</v>
      </c>
      <c r="O581" s="6" t="s">
        <v>121</v>
      </c>
      <c r="P581" s="5" t="s">
        <v>4365</v>
      </c>
      <c r="Q581" s="18" t="s">
        <v>186</v>
      </c>
      <c r="R581" s="5" t="s">
        <v>4366</v>
      </c>
      <c r="S581" s="6" t="s">
        <v>1053</v>
      </c>
      <c r="T581" s="5" t="s">
        <v>1054</v>
      </c>
      <c r="U581" s="6"/>
      <c r="V581" s="6" t="s">
        <v>1055</v>
      </c>
      <c r="W581" s="6" t="s">
        <v>333</v>
      </c>
      <c r="X581" s="5" t="s">
        <v>922</v>
      </c>
      <c r="Y581" s="5" t="s">
        <v>485</v>
      </c>
      <c r="Z581" s="5" t="str">
        <f t="shared" si="18"/>
        <v>Critical</v>
      </c>
      <c r="AA581" s="5" t="s">
        <v>923</v>
      </c>
      <c r="AB581" s="6" t="s">
        <v>923</v>
      </c>
      <c r="AC581" s="6" t="s">
        <v>78</v>
      </c>
      <c r="AD581" s="5" t="s">
        <v>940</v>
      </c>
      <c r="AE581" s="5" t="s">
        <v>354</v>
      </c>
      <c r="AF581" s="5" t="s">
        <v>354</v>
      </c>
      <c r="AG581" s="5" t="s">
        <v>354</v>
      </c>
      <c r="AH581" s="5" t="s">
        <v>354</v>
      </c>
      <c r="AI581" s="6" t="str">
        <f t="shared" si="19"/>
        <v>No</v>
      </c>
      <c r="AJ581" s="6" t="s">
        <v>941</v>
      </c>
      <c r="AK581" s="6" t="s">
        <v>73</v>
      </c>
      <c r="AL581" s="6">
        <f>MATCH(AA581,{"Low","Medium","High"},0)*MATCH(AB581,{"Low","Medium","High"},0)*INDEX({3,2,2,1,1},MATCH(X581,{"Core","Vertical extension","Differentiator","Future","Adjacent"},0))</f>
        <v>27</v>
      </c>
      <c r="AM581" s="5"/>
      <c r="AN581" s="5"/>
      <c r="AO581" s="5"/>
      <c r="AP581" s="5"/>
      <c r="AQ581" s="5"/>
      <c r="AR581" s="5"/>
      <c r="AS581" s="5"/>
      <c r="AT581" s="5"/>
      <c r="AU581" s="6" t="s">
        <v>927</v>
      </c>
      <c r="AV581" s="6" t="s">
        <v>2161</v>
      </c>
      <c r="AW581" s="6" t="s">
        <v>2161</v>
      </c>
      <c r="AX581" s="6" t="s">
        <v>4285</v>
      </c>
      <c r="AY581" s="6" t="s">
        <v>930</v>
      </c>
      <c r="AZ581" s="6"/>
      <c r="BA581" s="6"/>
      <c r="BB581" s="6"/>
      <c r="BC581" s="6" t="s">
        <v>97</v>
      </c>
      <c r="BD581" s="6" t="s">
        <v>97</v>
      </c>
    </row>
    <row r="582" spans="1:56" ht="32" customHeight="1" x14ac:dyDescent="0.35">
      <c r="A582" s="13" t="s">
        <v>138</v>
      </c>
      <c r="B582" s="6" t="s">
        <v>4367</v>
      </c>
      <c r="C582" s="5" t="s">
        <v>4368</v>
      </c>
      <c r="D582" s="5" t="s">
        <v>833</v>
      </c>
      <c r="E582" s="5" t="s">
        <v>781</v>
      </c>
      <c r="F582" s="5" t="s">
        <v>913</v>
      </c>
      <c r="G582" s="5" t="s">
        <v>951</v>
      </c>
      <c r="H582" s="5" t="s">
        <v>4369</v>
      </c>
      <c r="I582" s="5" t="s">
        <v>4370</v>
      </c>
      <c r="J582" s="17" t="s">
        <v>121</v>
      </c>
      <c r="K582" s="20" t="s">
        <v>74</v>
      </c>
      <c r="L582" s="5" t="s">
        <v>4371</v>
      </c>
      <c r="M582" s="6" t="s">
        <v>198</v>
      </c>
      <c r="N582" s="6" t="s">
        <v>810</v>
      </c>
      <c r="O582" s="6" t="s">
        <v>121</v>
      </c>
      <c r="P582" s="5" t="s">
        <v>918</v>
      </c>
      <c r="Q582" s="20" t="s">
        <v>74</v>
      </c>
      <c r="R582" s="5" t="s">
        <v>4372</v>
      </c>
      <c r="S582" s="6" t="s">
        <v>919</v>
      </c>
      <c r="T582" s="5" t="s">
        <v>920</v>
      </c>
      <c r="U582" s="6"/>
      <c r="V582" s="6" t="s">
        <v>921</v>
      </c>
      <c r="W582" s="6" t="s">
        <v>331</v>
      </c>
      <c r="X582" s="5" t="s">
        <v>4373</v>
      </c>
      <c r="Y582" s="5" t="s">
        <v>810</v>
      </c>
      <c r="Z582" s="5" t="str">
        <f t="shared" si="18"/>
        <v>Medium</v>
      </c>
      <c r="AA582" s="5" t="s">
        <v>956</v>
      </c>
      <c r="AB582" s="6" t="s">
        <v>924</v>
      </c>
      <c r="AC582" s="6" t="s">
        <v>11</v>
      </c>
      <c r="AD582" s="5" t="s">
        <v>74</v>
      </c>
      <c r="AE582" s="5" t="s">
        <v>354</v>
      </c>
      <c r="AF582" s="5" t="s">
        <v>354</v>
      </c>
      <c r="AG582" s="5" t="s">
        <v>354</v>
      </c>
      <c r="AH582" s="5" t="s">
        <v>354</v>
      </c>
      <c r="AI582" s="6" t="str">
        <f t="shared" si="19"/>
        <v>No</v>
      </c>
      <c r="AJ582" s="6" t="s">
        <v>1691</v>
      </c>
      <c r="AK582" s="6" t="s">
        <v>151</v>
      </c>
      <c r="AL582" s="6">
        <f>MATCH(AA582,{"Low","Medium","High"},0)*MATCH(AB582,{"Low","Medium","High"},0)*INDEX({3,2,2,1,1},MATCH(X582,{"Core","Vertical extension","Differentiator","Future","Adjacent"},0))</f>
        <v>4</v>
      </c>
      <c r="AM582" s="5"/>
      <c r="AN582" s="5"/>
      <c r="AO582" s="5"/>
      <c r="AP582" s="5"/>
      <c r="AQ582" s="5"/>
      <c r="AR582" s="5"/>
      <c r="AS582" s="5"/>
      <c r="AT582" s="5"/>
      <c r="AU582" s="6" t="s">
        <v>927</v>
      </c>
      <c r="AV582" s="6" t="s">
        <v>928</v>
      </c>
      <c r="AW582" s="6" t="s">
        <v>928</v>
      </c>
      <c r="AX582" s="6" t="s">
        <v>929</v>
      </c>
      <c r="AY582" s="6" t="s">
        <v>930</v>
      </c>
      <c r="AZ582" s="6"/>
      <c r="BA582" s="6"/>
      <c r="BB582" s="6"/>
      <c r="BC582" s="6" t="s">
        <v>97</v>
      </c>
      <c r="BD582" s="6" t="s">
        <v>97</v>
      </c>
    </row>
    <row r="583" spans="1:56" ht="32" customHeight="1" x14ac:dyDescent="0.35">
      <c r="A583" s="13" t="s">
        <v>142</v>
      </c>
      <c r="B583" s="6" t="s">
        <v>4367</v>
      </c>
      <c r="C583" s="5" t="s">
        <v>4368</v>
      </c>
      <c r="D583" s="5" t="s">
        <v>833</v>
      </c>
      <c r="E583" s="5" t="s">
        <v>782</v>
      </c>
      <c r="F583" s="5" t="s">
        <v>913</v>
      </c>
      <c r="G583" s="5" t="s">
        <v>914</v>
      </c>
      <c r="H583" s="5" t="s">
        <v>4374</v>
      </c>
      <c r="I583" s="5" t="s">
        <v>4375</v>
      </c>
      <c r="J583" s="17" t="s">
        <v>121</v>
      </c>
      <c r="K583" s="20" t="s">
        <v>74</v>
      </c>
      <c r="L583" s="5" t="s">
        <v>4376</v>
      </c>
      <c r="M583" s="6" t="s">
        <v>198</v>
      </c>
      <c r="N583" s="6" t="s">
        <v>810</v>
      </c>
      <c r="O583" s="6" t="s">
        <v>121</v>
      </c>
      <c r="P583" s="5" t="s">
        <v>918</v>
      </c>
      <c r="Q583" s="20" t="s">
        <v>74</v>
      </c>
      <c r="R583" s="5" t="s">
        <v>4377</v>
      </c>
      <c r="S583" s="6" t="s">
        <v>919</v>
      </c>
      <c r="T583" s="5" t="s">
        <v>920</v>
      </c>
      <c r="U583" s="6"/>
      <c r="V583" s="6" t="s">
        <v>921</v>
      </c>
      <c r="W583" s="6" t="s">
        <v>331</v>
      </c>
      <c r="X583" s="5" t="s">
        <v>4373</v>
      </c>
      <c r="Y583" s="5" t="s">
        <v>810</v>
      </c>
      <c r="Z583" s="5" t="str">
        <f t="shared" si="18"/>
        <v>Medium</v>
      </c>
      <c r="AA583" s="5" t="s">
        <v>956</v>
      </c>
      <c r="AB583" s="6" t="s">
        <v>924</v>
      </c>
      <c r="AC583" s="6" t="s">
        <v>11</v>
      </c>
      <c r="AD583" s="5" t="s">
        <v>74</v>
      </c>
      <c r="AE583" s="5" t="s">
        <v>354</v>
      </c>
      <c r="AF583" s="5" t="s">
        <v>354</v>
      </c>
      <c r="AG583" s="5" t="s">
        <v>354</v>
      </c>
      <c r="AH583" s="5" t="s">
        <v>354</v>
      </c>
      <c r="AI583" s="6" t="str">
        <f t="shared" si="19"/>
        <v>No</v>
      </c>
      <c r="AJ583" s="6" t="s">
        <v>1691</v>
      </c>
      <c r="AK583" s="6" t="s">
        <v>151</v>
      </c>
      <c r="AL583" s="6">
        <f>MATCH(AA583,{"Low","Medium","High"},0)*MATCH(AB583,{"Low","Medium","High"},0)*INDEX({3,2,2,1,1},MATCH(X583,{"Core","Vertical extension","Differentiator","Future","Adjacent"},0))</f>
        <v>4</v>
      </c>
      <c r="AM583" s="5"/>
      <c r="AN583" s="5"/>
      <c r="AO583" s="5"/>
      <c r="AP583" s="5"/>
      <c r="AQ583" s="5"/>
      <c r="AR583" s="5"/>
      <c r="AS583" s="5"/>
      <c r="AT583" s="5"/>
      <c r="AU583" s="6" t="s">
        <v>927</v>
      </c>
      <c r="AV583" s="6" t="s">
        <v>928</v>
      </c>
      <c r="AW583" s="6" t="s">
        <v>928</v>
      </c>
      <c r="AX583" s="6" t="s">
        <v>929</v>
      </c>
      <c r="AY583" s="6" t="s">
        <v>930</v>
      </c>
      <c r="AZ583" s="6"/>
      <c r="BA583" s="6"/>
      <c r="BB583" s="6"/>
      <c r="BC583" s="6" t="s">
        <v>97</v>
      </c>
      <c r="BD583" s="6" t="s">
        <v>97</v>
      </c>
    </row>
    <row r="584" spans="1:56" ht="32" customHeight="1" x14ac:dyDescent="0.35">
      <c r="A584" s="13" t="s">
        <v>4378</v>
      </c>
      <c r="B584" s="6" t="s">
        <v>4367</v>
      </c>
      <c r="C584" s="5" t="s">
        <v>4379</v>
      </c>
      <c r="D584" s="5" t="s">
        <v>827</v>
      </c>
      <c r="E584" s="5" t="s">
        <v>4380</v>
      </c>
      <c r="F584" s="5" t="s">
        <v>4381</v>
      </c>
      <c r="G584" s="5" t="s">
        <v>951</v>
      </c>
      <c r="H584" s="5" t="s">
        <v>4382</v>
      </c>
      <c r="I584" s="5" t="s">
        <v>4383</v>
      </c>
      <c r="J584" s="17" t="s">
        <v>121</v>
      </c>
      <c r="K584" s="17" t="s">
        <v>181</v>
      </c>
      <c r="L584" s="5" t="s">
        <v>4384</v>
      </c>
      <c r="M584" s="6" t="s">
        <v>198</v>
      </c>
      <c r="N584" s="6" t="s">
        <v>813</v>
      </c>
      <c r="O584" s="6" t="s">
        <v>121</v>
      </c>
      <c r="P584" s="5" t="s">
        <v>918</v>
      </c>
      <c r="Q584" s="17" t="s">
        <v>182</v>
      </c>
      <c r="R584" s="5"/>
      <c r="S584" s="6" t="s">
        <v>1030</v>
      </c>
      <c r="T584" s="5" t="s">
        <v>827</v>
      </c>
      <c r="U584" s="6"/>
      <c r="V584" s="6" t="s">
        <v>1031</v>
      </c>
      <c r="W584" s="6" t="s">
        <v>333</v>
      </c>
      <c r="X584" s="5" t="s">
        <v>4373</v>
      </c>
      <c r="Y584" s="5" t="s">
        <v>4385</v>
      </c>
      <c r="Z584" s="5" t="str">
        <f t="shared" si="18"/>
        <v>Medium</v>
      </c>
      <c r="AA584" s="5" t="s">
        <v>956</v>
      </c>
      <c r="AB584" s="6" t="s">
        <v>956</v>
      </c>
      <c r="AC584" s="6" t="s">
        <v>11</v>
      </c>
      <c r="AD584" s="5" t="s">
        <v>925</v>
      </c>
      <c r="AE584" s="5" t="s">
        <v>354</v>
      </c>
      <c r="AF584" s="5" t="s">
        <v>354</v>
      </c>
      <c r="AG584" s="5" t="s">
        <v>354</v>
      </c>
      <c r="AH584" s="5" t="s">
        <v>354</v>
      </c>
      <c r="AI584" s="6" t="str">
        <f t="shared" si="19"/>
        <v>No</v>
      </c>
      <c r="AJ584" s="6" t="s">
        <v>926</v>
      </c>
      <c r="AK584" s="6" t="s">
        <v>151</v>
      </c>
      <c r="AL584" s="6">
        <f>MATCH(AA584,{"Low","Medium","High"},0)*MATCH(AB584,{"Low","Medium","High"},0)*INDEX({3,2,2,1,1},MATCH(X584,{"Core","Vertical extension","Differentiator","Future","Adjacent"},0))</f>
        <v>8</v>
      </c>
      <c r="AM584" s="5"/>
      <c r="AN584" s="5"/>
      <c r="AO584" s="5"/>
      <c r="AP584" s="5"/>
      <c r="AQ584" s="5"/>
      <c r="AR584" s="5"/>
      <c r="AS584" s="5"/>
      <c r="AT584" s="5"/>
      <c r="AU584" s="6" t="s">
        <v>927</v>
      </c>
      <c r="AV584" s="6" t="s">
        <v>1322</v>
      </c>
      <c r="AW584" s="6" t="s">
        <v>1322</v>
      </c>
      <c r="AX584" s="6" t="s">
        <v>929</v>
      </c>
      <c r="AY584" s="6" t="s">
        <v>1032</v>
      </c>
      <c r="AZ584" s="6"/>
      <c r="BA584" s="6"/>
      <c r="BB584" s="6"/>
      <c r="BC584" s="6" t="s">
        <v>97</v>
      </c>
      <c r="BD584" s="6" t="s">
        <v>97</v>
      </c>
    </row>
    <row r="585" spans="1:56" ht="32" customHeight="1" x14ac:dyDescent="0.35">
      <c r="A585" s="13" t="s">
        <v>4386</v>
      </c>
      <c r="B585" s="6" t="s">
        <v>4367</v>
      </c>
      <c r="C585" s="5" t="s">
        <v>4379</v>
      </c>
      <c r="D585" s="5" t="s">
        <v>833</v>
      </c>
      <c r="E585" s="5" t="s">
        <v>4387</v>
      </c>
      <c r="F585" s="5" t="s">
        <v>4388</v>
      </c>
      <c r="G585" s="5" t="s">
        <v>951</v>
      </c>
      <c r="H585" s="5" t="s">
        <v>4389</v>
      </c>
      <c r="I585" s="5" t="s">
        <v>4390</v>
      </c>
      <c r="J585" s="17" t="s">
        <v>121</v>
      </c>
      <c r="K585" s="17" t="s">
        <v>181</v>
      </c>
      <c r="L585" s="5" t="s">
        <v>4391</v>
      </c>
      <c r="M585" s="6" t="s">
        <v>198</v>
      </c>
      <c r="N585" s="6" t="s">
        <v>813</v>
      </c>
      <c r="O585" s="6" t="s">
        <v>121</v>
      </c>
      <c r="P585" s="5" t="s">
        <v>918</v>
      </c>
      <c r="Q585" s="17" t="s">
        <v>182</v>
      </c>
      <c r="R585" s="5"/>
      <c r="S585" s="6" t="s">
        <v>919</v>
      </c>
      <c r="T585" s="5" t="s">
        <v>920</v>
      </c>
      <c r="U585" s="6"/>
      <c r="V585" s="6" t="s">
        <v>921</v>
      </c>
      <c r="W585" s="6" t="s">
        <v>331</v>
      </c>
      <c r="X585" s="5" t="s">
        <v>4373</v>
      </c>
      <c r="Y585" s="5" t="s">
        <v>4385</v>
      </c>
      <c r="Z585" s="5" t="str">
        <f t="shared" si="18"/>
        <v>Medium</v>
      </c>
      <c r="AA585" s="5" t="s">
        <v>956</v>
      </c>
      <c r="AB585" s="6" t="s">
        <v>924</v>
      </c>
      <c r="AC585" s="6" t="s">
        <v>11</v>
      </c>
      <c r="AD585" s="5" t="s">
        <v>925</v>
      </c>
      <c r="AE585" s="5" t="s">
        <v>354</v>
      </c>
      <c r="AF585" s="5" t="s">
        <v>354</v>
      </c>
      <c r="AG585" s="5" t="s">
        <v>354</v>
      </c>
      <c r="AH585" s="5" t="s">
        <v>354</v>
      </c>
      <c r="AI585" s="6" t="str">
        <f t="shared" si="19"/>
        <v>No</v>
      </c>
      <c r="AJ585" s="6" t="s">
        <v>926</v>
      </c>
      <c r="AK585" s="6" t="s">
        <v>151</v>
      </c>
      <c r="AL585" s="6">
        <f>MATCH(AA585,{"Low","Medium","High"},0)*MATCH(AB585,{"Low","Medium","High"},0)*INDEX({3,2,2,1,1},MATCH(X585,{"Core","Vertical extension","Differentiator","Future","Adjacent"},0))</f>
        <v>4</v>
      </c>
      <c r="AM585" s="5"/>
      <c r="AN585" s="5"/>
      <c r="AO585" s="5"/>
      <c r="AP585" s="5"/>
      <c r="AQ585" s="5"/>
      <c r="AR585" s="5"/>
      <c r="AS585" s="5"/>
      <c r="AT585" s="5"/>
      <c r="AU585" s="6" t="s">
        <v>927</v>
      </c>
      <c r="AV585" s="6" t="s">
        <v>55</v>
      </c>
      <c r="AW585" s="6" t="s">
        <v>55</v>
      </c>
      <c r="AX585" s="6" t="s">
        <v>929</v>
      </c>
      <c r="AY585" s="6" t="s">
        <v>930</v>
      </c>
      <c r="AZ585" s="6"/>
      <c r="BA585" s="6"/>
      <c r="BB585" s="6"/>
      <c r="BC585" s="6" t="s">
        <v>97</v>
      </c>
      <c r="BD585" s="6" t="s">
        <v>97</v>
      </c>
    </row>
    <row r="586" spans="1:56" ht="32" customHeight="1" x14ac:dyDescent="0.35">
      <c r="A586" s="13" t="s">
        <v>4392</v>
      </c>
      <c r="B586" s="6" t="s">
        <v>4367</v>
      </c>
      <c r="C586" s="5" t="s">
        <v>1504</v>
      </c>
      <c r="D586" s="5" t="s">
        <v>831</v>
      </c>
      <c r="E586" s="5" t="s">
        <v>4393</v>
      </c>
      <c r="F586" s="5" t="s">
        <v>4394</v>
      </c>
      <c r="G586" s="5" t="s">
        <v>951</v>
      </c>
      <c r="H586" s="5" t="s">
        <v>4395</v>
      </c>
      <c r="I586" s="5" t="s">
        <v>4396</v>
      </c>
      <c r="J586" s="17" t="s">
        <v>121</v>
      </c>
      <c r="K586" s="17" t="s">
        <v>181</v>
      </c>
      <c r="L586" s="5" t="s">
        <v>4397</v>
      </c>
      <c r="M586" s="6" t="s">
        <v>198</v>
      </c>
      <c r="N586" s="6" t="s">
        <v>810</v>
      </c>
      <c r="O586" s="6" t="s">
        <v>121</v>
      </c>
      <c r="P586" s="5" t="s">
        <v>918</v>
      </c>
      <c r="Q586" s="17" t="s">
        <v>182</v>
      </c>
      <c r="R586" s="5"/>
      <c r="S586" s="6" t="s">
        <v>964</v>
      </c>
      <c r="T586" s="5" t="s">
        <v>965</v>
      </c>
      <c r="U586" s="6"/>
      <c r="V586" s="6" t="s">
        <v>966</v>
      </c>
      <c r="W586" s="6" t="s">
        <v>333</v>
      </c>
      <c r="X586" s="5" t="s">
        <v>4373</v>
      </c>
      <c r="Y586" s="5" t="s">
        <v>658</v>
      </c>
      <c r="Z586" s="5" t="str">
        <f t="shared" si="18"/>
        <v>Medium</v>
      </c>
      <c r="AA586" s="5" t="s">
        <v>956</v>
      </c>
      <c r="AB586" s="6" t="s">
        <v>924</v>
      </c>
      <c r="AC586" s="6" t="s">
        <v>11</v>
      </c>
      <c r="AD586" s="5" t="s">
        <v>925</v>
      </c>
      <c r="AE586" s="5" t="s">
        <v>354</v>
      </c>
      <c r="AF586" s="5" t="s">
        <v>354</v>
      </c>
      <c r="AG586" s="5" t="s">
        <v>354</v>
      </c>
      <c r="AH586" s="5" t="s">
        <v>354</v>
      </c>
      <c r="AI586" s="6" t="str">
        <f t="shared" si="19"/>
        <v>No</v>
      </c>
      <c r="AJ586" s="6" t="s">
        <v>926</v>
      </c>
      <c r="AK586" s="6" t="s">
        <v>151</v>
      </c>
      <c r="AL586" s="6">
        <f>MATCH(AA586,{"Low","Medium","High"},0)*MATCH(AB586,{"Low","Medium","High"},0)*INDEX({3,2,2,1,1},MATCH(X586,{"Core","Vertical extension","Differentiator","Future","Adjacent"},0))</f>
        <v>4</v>
      </c>
      <c r="AM586" s="5"/>
      <c r="AN586" s="5"/>
      <c r="AO586" s="5"/>
      <c r="AP586" s="5"/>
      <c r="AQ586" s="5"/>
      <c r="AR586" s="5"/>
      <c r="AS586" s="5"/>
      <c r="AT586" s="5"/>
      <c r="AU586" s="6" t="s">
        <v>927</v>
      </c>
      <c r="AV586" s="6" t="s">
        <v>1322</v>
      </c>
      <c r="AW586" s="6" t="s">
        <v>1322</v>
      </c>
      <c r="AX586" s="6" t="s">
        <v>929</v>
      </c>
      <c r="AY586" s="6" t="s">
        <v>930</v>
      </c>
      <c r="AZ586" s="6"/>
      <c r="BA586" s="6"/>
      <c r="BB586" s="6"/>
      <c r="BC586" s="6" t="s">
        <v>97</v>
      </c>
      <c r="BD586" s="6" t="s">
        <v>97</v>
      </c>
    </row>
    <row r="587" spans="1:56" ht="32" customHeight="1" x14ac:dyDescent="0.35">
      <c r="A587" s="13" t="s">
        <v>145</v>
      </c>
      <c r="B587" s="6" t="s">
        <v>4367</v>
      </c>
      <c r="C587" s="5" t="s">
        <v>4379</v>
      </c>
      <c r="D587" s="5" t="s">
        <v>831</v>
      </c>
      <c r="E587" s="5" t="s">
        <v>783</v>
      </c>
      <c r="F587" s="5" t="s">
        <v>4398</v>
      </c>
      <c r="G587" s="5" t="s">
        <v>951</v>
      </c>
      <c r="H587" s="5" t="s">
        <v>4399</v>
      </c>
      <c r="I587" s="5" t="s">
        <v>4400</v>
      </c>
      <c r="J587" s="17" t="s">
        <v>121</v>
      </c>
      <c r="K587" s="16" t="s">
        <v>122</v>
      </c>
      <c r="L587" s="5" t="s">
        <v>4401</v>
      </c>
      <c r="M587" s="6" t="s">
        <v>198</v>
      </c>
      <c r="N587" s="6" t="s">
        <v>813</v>
      </c>
      <c r="O587" s="6" t="s">
        <v>121</v>
      </c>
      <c r="P587" s="5" t="s">
        <v>918</v>
      </c>
      <c r="Q587" s="16" t="s">
        <v>122</v>
      </c>
      <c r="R587" s="5" t="s">
        <v>4402</v>
      </c>
      <c r="S587" s="6" t="s">
        <v>964</v>
      </c>
      <c r="T587" s="5" t="s">
        <v>965</v>
      </c>
      <c r="U587" s="6"/>
      <c r="V587" s="6" t="s">
        <v>966</v>
      </c>
      <c r="W587" s="6" t="s">
        <v>333</v>
      </c>
      <c r="X587" s="5" t="s">
        <v>4373</v>
      </c>
      <c r="Y587" s="5" t="s">
        <v>4385</v>
      </c>
      <c r="Z587" s="5" t="str">
        <f t="shared" si="18"/>
        <v>Medium</v>
      </c>
      <c r="AA587" s="5" t="s">
        <v>956</v>
      </c>
      <c r="AB587" s="6" t="s">
        <v>924</v>
      </c>
      <c r="AC587" s="6" t="s">
        <v>11</v>
      </c>
      <c r="AD587" s="5" t="s">
        <v>439</v>
      </c>
      <c r="AE587" s="5" t="s">
        <v>354</v>
      </c>
      <c r="AF587" s="5" t="s">
        <v>354</v>
      </c>
      <c r="AG587" s="5" t="s">
        <v>354</v>
      </c>
      <c r="AH587" s="5" t="s">
        <v>354</v>
      </c>
      <c r="AI587" s="6" t="str">
        <f t="shared" si="19"/>
        <v>No</v>
      </c>
      <c r="AJ587" s="6" t="s">
        <v>4003</v>
      </c>
      <c r="AK587" s="6" t="s">
        <v>151</v>
      </c>
      <c r="AL587" s="6">
        <f>MATCH(AA587,{"Low","Medium","High"},0)*MATCH(AB587,{"Low","Medium","High"},0)*INDEX({3,2,2,1,1},MATCH(X587,{"Core","Vertical extension","Differentiator","Future","Adjacent"},0))</f>
        <v>4</v>
      </c>
      <c r="AM587" s="5"/>
      <c r="AN587" s="5"/>
      <c r="AO587" s="5"/>
      <c r="AP587" s="5"/>
      <c r="AQ587" s="5"/>
      <c r="AR587" s="5"/>
      <c r="AS587" s="5"/>
      <c r="AT587" s="5"/>
      <c r="AU587" s="6" t="s">
        <v>927</v>
      </c>
      <c r="AV587" s="6" t="s">
        <v>1322</v>
      </c>
      <c r="AW587" s="6" t="s">
        <v>1322</v>
      </c>
      <c r="AX587" s="6" t="s">
        <v>929</v>
      </c>
      <c r="AY587" s="6" t="s">
        <v>930</v>
      </c>
      <c r="AZ587" s="6"/>
      <c r="BA587" s="6"/>
      <c r="BB587" s="6"/>
      <c r="BC587" s="6" t="s">
        <v>97</v>
      </c>
      <c r="BD587" s="6" t="s">
        <v>97</v>
      </c>
    </row>
    <row r="588" spans="1:56" ht="32" customHeight="1" x14ac:dyDescent="0.35">
      <c r="A588" s="13" t="s">
        <v>4403</v>
      </c>
      <c r="B588" s="6" t="s">
        <v>4367</v>
      </c>
      <c r="C588" s="5" t="s">
        <v>2197</v>
      </c>
      <c r="D588" s="5" t="s">
        <v>833</v>
      </c>
      <c r="E588" s="5" t="s">
        <v>4404</v>
      </c>
      <c r="F588" s="5" t="s">
        <v>1623</v>
      </c>
      <c r="G588" s="5" t="s">
        <v>1017</v>
      </c>
      <c r="H588" s="5" t="s">
        <v>4405</v>
      </c>
      <c r="I588" s="5" t="s">
        <v>4406</v>
      </c>
      <c r="J588" s="17" t="s">
        <v>121</v>
      </c>
      <c r="K588" s="17" t="s">
        <v>181</v>
      </c>
      <c r="L588" s="5" t="s">
        <v>4407</v>
      </c>
      <c r="M588" s="6" t="s">
        <v>198</v>
      </c>
      <c r="N588" s="6" t="s">
        <v>810</v>
      </c>
      <c r="O588" s="6" t="s">
        <v>121</v>
      </c>
      <c r="P588" s="5" t="s">
        <v>918</v>
      </c>
      <c r="Q588" s="17" t="s">
        <v>182</v>
      </c>
      <c r="R588" s="5"/>
      <c r="S588" s="6" t="s">
        <v>919</v>
      </c>
      <c r="T588" s="5" t="s">
        <v>920</v>
      </c>
      <c r="U588" s="6"/>
      <c r="V588" s="6" t="s">
        <v>921</v>
      </c>
      <c r="W588" s="6" t="s">
        <v>331</v>
      </c>
      <c r="X588" s="5" t="s">
        <v>4373</v>
      </c>
      <c r="Y588" s="5" t="s">
        <v>810</v>
      </c>
      <c r="Z588" s="5" t="str">
        <f t="shared" si="18"/>
        <v>Medium</v>
      </c>
      <c r="AA588" s="5" t="s">
        <v>956</v>
      </c>
      <c r="AB588" s="6" t="s">
        <v>924</v>
      </c>
      <c r="AC588" s="6" t="s">
        <v>11</v>
      </c>
      <c r="AD588" s="5" t="s">
        <v>925</v>
      </c>
      <c r="AE588" s="5" t="s">
        <v>354</v>
      </c>
      <c r="AF588" s="5" t="s">
        <v>354</v>
      </c>
      <c r="AG588" s="5" t="s">
        <v>354</v>
      </c>
      <c r="AH588" s="5" t="s">
        <v>354</v>
      </c>
      <c r="AI588" s="6" t="str">
        <f t="shared" si="19"/>
        <v>No</v>
      </c>
      <c r="AJ588" s="6" t="s">
        <v>926</v>
      </c>
      <c r="AK588" s="6" t="s">
        <v>151</v>
      </c>
      <c r="AL588" s="6">
        <f>MATCH(AA588,{"Low","Medium","High"},0)*MATCH(AB588,{"Low","Medium","High"},0)*INDEX({3,2,2,1,1},MATCH(X588,{"Core","Vertical extension","Differentiator","Future","Adjacent"},0))</f>
        <v>4</v>
      </c>
      <c r="AM588" s="5"/>
      <c r="AN588" s="5"/>
      <c r="AO588" s="5"/>
      <c r="AP588" s="5"/>
      <c r="AQ588" s="5"/>
      <c r="AR588" s="5"/>
      <c r="AS588" s="5"/>
      <c r="AT588" s="5"/>
      <c r="AU588" s="6" t="s">
        <v>927</v>
      </c>
      <c r="AV588" s="6" t="s">
        <v>928</v>
      </c>
      <c r="AW588" s="6" t="s">
        <v>928</v>
      </c>
      <c r="AX588" s="6" t="s">
        <v>929</v>
      </c>
      <c r="AY588" s="6" t="s">
        <v>930</v>
      </c>
      <c r="AZ588" s="6"/>
      <c r="BA588" s="6"/>
      <c r="BB588" s="6"/>
      <c r="BC588" s="6" t="s">
        <v>97</v>
      </c>
      <c r="BD588" s="6" t="s">
        <v>97</v>
      </c>
    </row>
    <row r="589" spans="1:56" ht="32" customHeight="1" x14ac:dyDescent="0.35">
      <c r="A589" s="13" t="s">
        <v>149</v>
      </c>
      <c r="B589" s="6" t="s">
        <v>4367</v>
      </c>
      <c r="C589" s="5" t="s">
        <v>2433</v>
      </c>
      <c r="D589" s="5" t="s">
        <v>829</v>
      </c>
      <c r="E589" s="5" t="s">
        <v>784</v>
      </c>
      <c r="F589" s="5" t="s">
        <v>4408</v>
      </c>
      <c r="G589" s="5" t="s">
        <v>951</v>
      </c>
      <c r="H589" s="5" t="s">
        <v>4409</v>
      </c>
      <c r="I589" s="5" t="s">
        <v>4410</v>
      </c>
      <c r="J589" s="19" t="s">
        <v>151</v>
      </c>
      <c r="K589" s="16" t="s">
        <v>122</v>
      </c>
      <c r="L589" s="5" t="s">
        <v>4411</v>
      </c>
      <c r="M589" s="6" t="s">
        <v>198</v>
      </c>
      <c r="N589" s="6" t="s">
        <v>810</v>
      </c>
      <c r="O589" s="6" t="s">
        <v>151</v>
      </c>
      <c r="P589" s="5" t="s">
        <v>918</v>
      </c>
      <c r="Q589" s="16" t="s">
        <v>122</v>
      </c>
      <c r="R589" s="5" t="s">
        <v>4412</v>
      </c>
      <c r="S589" s="6" t="s">
        <v>980</v>
      </c>
      <c r="T589" s="5" t="s">
        <v>981</v>
      </c>
      <c r="U589" s="6"/>
      <c r="V589" s="6" t="s">
        <v>982</v>
      </c>
      <c r="W589" s="6" t="s">
        <v>331</v>
      </c>
      <c r="X589" s="5" t="s">
        <v>4373</v>
      </c>
      <c r="Y589" s="5" t="s">
        <v>810</v>
      </c>
      <c r="Z589" s="5" t="str">
        <f t="shared" si="18"/>
        <v>Medium</v>
      </c>
      <c r="AA589" s="5" t="s">
        <v>923</v>
      </c>
      <c r="AB589" s="6" t="s">
        <v>924</v>
      </c>
      <c r="AC589" s="6" t="s">
        <v>11</v>
      </c>
      <c r="AD589" s="5" t="s">
        <v>439</v>
      </c>
      <c r="AE589" s="5" t="s">
        <v>354</v>
      </c>
      <c r="AF589" s="5" t="s">
        <v>354</v>
      </c>
      <c r="AG589" s="5" t="s">
        <v>354</v>
      </c>
      <c r="AH589" s="5" t="s">
        <v>354</v>
      </c>
      <c r="AI589" s="6" t="str">
        <f t="shared" si="19"/>
        <v>No</v>
      </c>
      <c r="AJ589" s="6" t="s">
        <v>4003</v>
      </c>
      <c r="AK589" s="6" t="s">
        <v>151</v>
      </c>
      <c r="AL589" s="6">
        <f>MATCH(AA589,{"Low","Medium","High"},0)*MATCH(AB589,{"Low","Medium","High"},0)*INDEX({3,2,2,1,1},MATCH(X589,{"Core","Vertical extension","Differentiator","Future","Adjacent"},0))</f>
        <v>6</v>
      </c>
      <c r="AM589" s="5"/>
      <c r="AN589" s="5"/>
      <c r="AO589" s="5"/>
      <c r="AP589" s="5"/>
      <c r="AQ589" s="5"/>
      <c r="AR589" s="5"/>
      <c r="AS589" s="5"/>
      <c r="AT589" s="5"/>
      <c r="AU589" s="6" t="s">
        <v>927</v>
      </c>
      <c r="AV589" s="6" t="s">
        <v>1296</v>
      </c>
      <c r="AW589" s="6" t="s">
        <v>1296</v>
      </c>
      <c r="AX589" s="6" t="s">
        <v>929</v>
      </c>
      <c r="AY589" s="6" t="s">
        <v>930</v>
      </c>
      <c r="AZ589" s="6"/>
      <c r="BA589" s="6"/>
      <c r="BB589" s="6"/>
      <c r="BC589" s="6" t="s">
        <v>97</v>
      </c>
      <c r="BD589" s="6" t="s">
        <v>97</v>
      </c>
    </row>
    <row r="590" spans="1:56" ht="32" customHeight="1" x14ac:dyDescent="0.35">
      <c r="A590" s="13" t="s">
        <v>4413</v>
      </c>
      <c r="B590" s="6" t="s">
        <v>4367</v>
      </c>
      <c r="C590" s="5" t="s">
        <v>1452</v>
      </c>
      <c r="D590" s="5" t="s">
        <v>836</v>
      </c>
      <c r="E590" s="5" t="s">
        <v>4414</v>
      </c>
      <c r="F590" s="5" t="s">
        <v>1452</v>
      </c>
      <c r="G590" s="5" t="s">
        <v>951</v>
      </c>
      <c r="H590" s="5" t="s">
        <v>4415</v>
      </c>
      <c r="I590" s="5" t="s">
        <v>4416</v>
      </c>
      <c r="J590" s="17" t="s">
        <v>121</v>
      </c>
      <c r="K590" s="17" t="s">
        <v>181</v>
      </c>
      <c r="L590" s="5" t="s">
        <v>4417</v>
      </c>
      <c r="M590" s="6" t="s">
        <v>198</v>
      </c>
      <c r="N590" s="6" t="s">
        <v>810</v>
      </c>
      <c r="O590" s="6" t="s">
        <v>121</v>
      </c>
      <c r="P590" s="5" t="s">
        <v>918</v>
      </c>
      <c r="Q590" s="17" t="s">
        <v>182</v>
      </c>
      <c r="R590" s="5"/>
      <c r="S590" s="6" t="s">
        <v>1061</v>
      </c>
      <c r="T590" s="5" t="s">
        <v>1062</v>
      </c>
      <c r="U590" s="6"/>
      <c r="V590" s="6" t="s">
        <v>1055</v>
      </c>
      <c r="W590" s="6" t="s">
        <v>333</v>
      </c>
      <c r="X590" s="5" t="s">
        <v>4373</v>
      </c>
      <c r="Y590" s="5" t="s">
        <v>459</v>
      </c>
      <c r="Z590" s="5" t="str">
        <f t="shared" si="18"/>
        <v>Medium</v>
      </c>
      <c r="AA590" s="5" t="s">
        <v>956</v>
      </c>
      <c r="AB590" s="6" t="s">
        <v>924</v>
      </c>
      <c r="AC590" s="6" t="s">
        <v>11</v>
      </c>
      <c r="AD590" s="5" t="s">
        <v>925</v>
      </c>
      <c r="AE590" s="5" t="s">
        <v>354</v>
      </c>
      <c r="AF590" s="5" t="s">
        <v>354</v>
      </c>
      <c r="AG590" s="5" t="s">
        <v>354</v>
      </c>
      <c r="AH590" s="5" t="s">
        <v>354</v>
      </c>
      <c r="AI590" s="6" t="str">
        <f t="shared" si="19"/>
        <v>No</v>
      </c>
      <c r="AJ590" s="6" t="s">
        <v>926</v>
      </c>
      <c r="AK590" s="6" t="s">
        <v>151</v>
      </c>
      <c r="AL590" s="6">
        <f>MATCH(AA590,{"Low","Medium","High"},0)*MATCH(AB590,{"Low","Medium","High"},0)*INDEX({3,2,2,1,1},MATCH(X590,{"Core","Vertical extension","Differentiator","Future","Adjacent"},0))</f>
        <v>4</v>
      </c>
      <c r="AM590" s="5"/>
      <c r="AN590" s="5"/>
      <c r="AO590" s="5"/>
      <c r="AP590" s="5"/>
      <c r="AQ590" s="5"/>
      <c r="AR590" s="5"/>
      <c r="AS590" s="5"/>
      <c r="AT590" s="5"/>
      <c r="AU590" s="6" t="s">
        <v>927</v>
      </c>
      <c r="AV590" s="6" t="s">
        <v>55</v>
      </c>
      <c r="AW590" s="6" t="s">
        <v>55</v>
      </c>
      <c r="AX590" s="6" t="s">
        <v>929</v>
      </c>
      <c r="AY590" s="6" t="s">
        <v>930</v>
      </c>
      <c r="AZ590" s="6"/>
      <c r="BA590" s="6"/>
      <c r="BB590" s="6"/>
      <c r="BC590" s="6" t="s">
        <v>97</v>
      </c>
      <c r="BD590" s="6" t="s">
        <v>97</v>
      </c>
    </row>
    <row r="591" spans="1:56" ht="32" customHeight="1" x14ac:dyDescent="0.35">
      <c r="A591" s="13" t="s">
        <v>154</v>
      </c>
      <c r="B591" s="6" t="s">
        <v>4367</v>
      </c>
      <c r="C591" s="5" t="s">
        <v>4379</v>
      </c>
      <c r="D591" s="5" t="s">
        <v>827</v>
      </c>
      <c r="E591" s="5" t="s">
        <v>785</v>
      </c>
      <c r="F591" s="5" t="s">
        <v>4381</v>
      </c>
      <c r="G591" s="5" t="s">
        <v>951</v>
      </c>
      <c r="H591" s="5" t="s">
        <v>4418</v>
      </c>
      <c r="I591" s="5" t="s">
        <v>4419</v>
      </c>
      <c r="J591" s="17" t="s">
        <v>121</v>
      </c>
      <c r="K591" s="16" t="s">
        <v>122</v>
      </c>
      <c r="L591" s="5" t="s">
        <v>4420</v>
      </c>
      <c r="M591" s="6" t="s">
        <v>198</v>
      </c>
      <c r="N591" s="6" t="s">
        <v>813</v>
      </c>
      <c r="O591" s="6" t="s">
        <v>121</v>
      </c>
      <c r="P591" s="5" t="s">
        <v>918</v>
      </c>
      <c r="Q591" s="16" t="s">
        <v>122</v>
      </c>
      <c r="R591" s="5" t="s">
        <v>4421</v>
      </c>
      <c r="S591" s="6" t="s">
        <v>1030</v>
      </c>
      <c r="T591" s="5" t="s">
        <v>827</v>
      </c>
      <c r="U591" s="6"/>
      <c r="V591" s="6" t="s">
        <v>1031</v>
      </c>
      <c r="W591" s="6" t="s">
        <v>333</v>
      </c>
      <c r="X591" s="5" t="s">
        <v>4373</v>
      </c>
      <c r="Y591" s="5" t="s">
        <v>4385</v>
      </c>
      <c r="Z591" s="5" t="str">
        <f t="shared" si="18"/>
        <v>Medium</v>
      </c>
      <c r="AA591" s="5" t="s">
        <v>956</v>
      </c>
      <c r="AB591" s="6" t="s">
        <v>956</v>
      </c>
      <c r="AC591" s="6" t="s">
        <v>11</v>
      </c>
      <c r="AD591" s="5" t="s">
        <v>439</v>
      </c>
      <c r="AE591" s="5" t="s">
        <v>354</v>
      </c>
      <c r="AF591" s="5" t="s">
        <v>354</v>
      </c>
      <c r="AG591" s="5" t="s">
        <v>354</v>
      </c>
      <c r="AH591" s="5" t="s">
        <v>354</v>
      </c>
      <c r="AI591" s="6" t="str">
        <f t="shared" si="19"/>
        <v>No</v>
      </c>
      <c r="AJ591" s="6" t="s">
        <v>4003</v>
      </c>
      <c r="AK591" s="6" t="s">
        <v>151</v>
      </c>
      <c r="AL591" s="6">
        <f>MATCH(AA591,{"Low","Medium","High"},0)*MATCH(AB591,{"Low","Medium","High"},0)*INDEX({3,2,2,1,1},MATCH(X591,{"Core","Vertical extension","Differentiator","Future","Adjacent"},0))</f>
        <v>8</v>
      </c>
      <c r="AM591" s="5"/>
      <c r="AN591" s="5"/>
      <c r="AO591" s="5"/>
      <c r="AP591" s="5"/>
      <c r="AQ591" s="5"/>
      <c r="AR591" s="5"/>
      <c r="AS591" s="5"/>
      <c r="AT591" s="5"/>
      <c r="AU591" s="6" t="s">
        <v>927</v>
      </c>
      <c r="AV591" s="6" t="s">
        <v>1322</v>
      </c>
      <c r="AW591" s="6" t="s">
        <v>1322</v>
      </c>
      <c r="AX591" s="6" t="s">
        <v>929</v>
      </c>
      <c r="AY591" s="6" t="s">
        <v>1032</v>
      </c>
      <c r="AZ591" s="6"/>
      <c r="BA591" s="6"/>
      <c r="BB591" s="6"/>
      <c r="BC591" s="6" t="s">
        <v>97</v>
      </c>
      <c r="BD591" s="6" t="s">
        <v>97</v>
      </c>
    </row>
    <row r="592" spans="1:56" ht="32" customHeight="1" x14ac:dyDescent="0.35">
      <c r="A592" s="13" t="s">
        <v>156</v>
      </c>
      <c r="B592" s="6" t="s">
        <v>4367</v>
      </c>
      <c r="C592" s="5" t="s">
        <v>1504</v>
      </c>
      <c r="D592" s="5" t="s">
        <v>831</v>
      </c>
      <c r="E592" s="5" t="s">
        <v>786</v>
      </c>
      <c r="F592" s="5" t="s">
        <v>1694</v>
      </c>
      <c r="G592" s="5" t="s">
        <v>4422</v>
      </c>
      <c r="H592" s="5" t="s">
        <v>4423</v>
      </c>
      <c r="I592" s="5" t="s">
        <v>4424</v>
      </c>
      <c r="J592" s="21" t="s">
        <v>158</v>
      </c>
      <c r="K592" s="16" t="s">
        <v>122</v>
      </c>
      <c r="L592" s="5" t="s">
        <v>4425</v>
      </c>
      <c r="M592" s="6" t="s">
        <v>198</v>
      </c>
      <c r="N592" s="6" t="s">
        <v>810</v>
      </c>
      <c r="O592" s="6" t="s">
        <v>151</v>
      </c>
      <c r="P592" s="5" t="s">
        <v>4426</v>
      </c>
      <c r="Q592" s="16" t="s">
        <v>122</v>
      </c>
      <c r="R592" s="5" t="s">
        <v>4427</v>
      </c>
      <c r="S592" s="6" t="s">
        <v>964</v>
      </c>
      <c r="T592" s="5" t="s">
        <v>965</v>
      </c>
      <c r="U592" s="6"/>
      <c r="V592" s="6" t="s">
        <v>966</v>
      </c>
      <c r="W592" s="6" t="s">
        <v>333</v>
      </c>
      <c r="X592" s="5" t="s">
        <v>4284</v>
      </c>
      <c r="Y592" s="5" t="s">
        <v>658</v>
      </c>
      <c r="Z592" s="5" t="str">
        <f t="shared" si="18"/>
        <v>Low</v>
      </c>
      <c r="AA592" s="5" t="s">
        <v>924</v>
      </c>
      <c r="AB592" s="6" t="s">
        <v>924</v>
      </c>
      <c r="AC592" s="6" t="s">
        <v>11</v>
      </c>
      <c r="AD592" s="5" t="s">
        <v>439</v>
      </c>
      <c r="AE592" s="5" t="s">
        <v>354</v>
      </c>
      <c r="AF592" s="5" t="s">
        <v>354</v>
      </c>
      <c r="AG592" s="5" t="s">
        <v>354</v>
      </c>
      <c r="AH592" s="5" t="s">
        <v>354</v>
      </c>
      <c r="AI592" s="6" t="str">
        <f t="shared" si="19"/>
        <v>No</v>
      </c>
      <c r="AJ592" s="6" t="s">
        <v>4003</v>
      </c>
      <c r="AK592" s="6" t="s">
        <v>158</v>
      </c>
      <c r="AL592" s="6">
        <f>MATCH(AA592,{"Low","Medium","High"},0)*MATCH(AB592,{"Low","Medium","High"},0)*INDEX({3,2,2,1,1},MATCH(X592,{"Core","Vertical extension","Differentiator","Future","Adjacent"},0))</f>
        <v>1</v>
      </c>
      <c r="AM592" s="5"/>
      <c r="AN592" s="5"/>
      <c r="AO592" s="5"/>
      <c r="AP592" s="5"/>
      <c r="AQ592" s="5"/>
      <c r="AR592" s="5"/>
      <c r="AS592" s="5"/>
      <c r="AT592" s="5"/>
      <c r="AU592" s="6" t="s">
        <v>927</v>
      </c>
      <c r="AV592" s="6" t="s">
        <v>1322</v>
      </c>
      <c r="AW592" s="6" t="s">
        <v>1322</v>
      </c>
      <c r="AX592" s="6" t="s">
        <v>4428</v>
      </c>
      <c r="AY592" s="6" t="s">
        <v>930</v>
      </c>
      <c r="AZ592" s="6"/>
      <c r="BA592" s="6"/>
      <c r="BB592" s="6"/>
      <c r="BC592" s="6" t="s">
        <v>97</v>
      </c>
      <c r="BD592" s="6" t="s">
        <v>97</v>
      </c>
    </row>
    <row r="593" spans="1:56" ht="32" customHeight="1" x14ac:dyDescent="0.35">
      <c r="A593" s="13" t="s">
        <v>4429</v>
      </c>
      <c r="B593" s="6" t="s">
        <v>4367</v>
      </c>
      <c r="C593" s="5" t="s">
        <v>1094</v>
      </c>
      <c r="D593" s="5" t="s">
        <v>833</v>
      </c>
      <c r="E593" s="5" t="s">
        <v>4430</v>
      </c>
      <c r="F593" s="5" t="s">
        <v>1623</v>
      </c>
      <c r="G593" s="5" t="s">
        <v>951</v>
      </c>
      <c r="H593" s="5" t="s">
        <v>4431</v>
      </c>
      <c r="I593" s="5" t="s">
        <v>4432</v>
      </c>
      <c r="J593" s="21" t="s">
        <v>158</v>
      </c>
      <c r="K593" s="17" t="s">
        <v>181</v>
      </c>
      <c r="L593" s="5" t="s">
        <v>4433</v>
      </c>
      <c r="M593" s="6" t="s">
        <v>198</v>
      </c>
      <c r="N593" s="6" t="s">
        <v>810</v>
      </c>
      <c r="O593" s="6" t="s">
        <v>151</v>
      </c>
      <c r="P593" s="5" t="s">
        <v>4283</v>
      </c>
      <c r="Q593" s="17" t="s">
        <v>182</v>
      </c>
      <c r="R593" s="5" t="s">
        <v>4283</v>
      </c>
      <c r="S593" s="6" t="s">
        <v>919</v>
      </c>
      <c r="T593" s="5" t="s">
        <v>920</v>
      </c>
      <c r="U593" s="6"/>
      <c r="V593" s="6" t="s">
        <v>921</v>
      </c>
      <c r="W593" s="6" t="s">
        <v>331</v>
      </c>
      <c r="X593" s="5" t="s">
        <v>4284</v>
      </c>
      <c r="Y593" s="5" t="s">
        <v>810</v>
      </c>
      <c r="Z593" s="5" t="str">
        <f t="shared" si="18"/>
        <v>Low</v>
      </c>
      <c r="AA593" s="5" t="s">
        <v>924</v>
      </c>
      <c r="AB593" s="6" t="s">
        <v>924</v>
      </c>
      <c r="AC593" s="6" t="s">
        <v>11</v>
      </c>
      <c r="AD593" s="5" t="s">
        <v>925</v>
      </c>
      <c r="AE593" s="5" t="s">
        <v>354</v>
      </c>
      <c r="AF593" s="5" t="s">
        <v>354</v>
      </c>
      <c r="AG593" s="5" t="s">
        <v>354</v>
      </c>
      <c r="AH593" s="5" t="s">
        <v>354</v>
      </c>
      <c r="AI593" s="6" t="str">
        <f t="shared" si="19"/>
        <v>No</v>
      </c>
      <c r="AJ593" s="6" t="s">
        <v>926</v>
      </c>
      <c r="AK593" s="6" t="s">
        <v>158</v>
      </c>
      <c r="AL593" s="6">
        <f>MATCH(AA593,{"Low","Medium","High"},0)*MATCH(AB593,{"Low","Medium","High"},0)*INDEX({3,2,2,1,1},MATCH(X593,{"Core","Vertical extension","Differentiator","Future","Adjacent"},0))</f>
        <v>1</v>
      </c>
      <c r="AM593" s="5"/>
      <c r="AN593" s="5"/>
      <c r="AO593" s="5"/>
      <c r="AP593" s="5"/>
      <c r="AQ593" s="5"/>
      <c r="AR593" s="5"/>
      <c r="AS593" s="5"/>
      <c r="AT593" s="5"/>
      <c r="AU593" s="6" t="s">
        <v>927</v>
      </c>
      <c r="AV593" s="6" t="s">
        <v>928</v>
      </c>
      <c r="AW593" s="6" t="s">
        <v>928</v>
      </c>
      <c r="AX593" s="6" t="s">
        <v>4285</v>
      </c>
      <c r="AY593" s="6" t="s">
        <v>930</v>
      </c>
      <c r="AZ593" s="6"/>
      <c r="BA593" s="6"/>
      <c r="BB593" s="6"/>
      <c r="BC593" s="6" t="s">
        <v>97</v>
      </c>
      <c r="BD593" s="6" t="s">
        <v>97</v>
      </c>
    </row>
    <row r="594" spans="1:56" ht="32" customHeight="1" x14ac:dyDescent="0.35">
      <c r="A594" s="13" t="s">
        <v>4434</v>
      </c>
      <c r="B594" s="6" t="s">
        <v>4367</v>
      </c>
      <c r="C594" s="5" t="s">
        <v>1767</v>
      </c>
      <c r="D594" s="5" t="s">
        <v>842</v>
      </c>
      <c r="E594" s="5" t="s">
        <v>4435</v>
      </c>
      <c r="F594" s="5" t="s">
        <v>1767</v>
      </c>
      <c r="G594" s="5" t="s">
        <v>1311</v>
      </c>
      <c r="H594" s="5" t="s">
        <v>4436</v>
      </c>
      <c r="I594" s="5" t="s">
        <v>4437</v>
      </c>
      <c r="J594" s="19" t="s">
        <v>151</v>
      </c>
      <c r="K594" s="17" t="s">
        <v>181</v>
      </c>
      <c r="L594" s="5" t="s">
        <v>4438</v>
      </c>
      <c r="M594" s="6" t="s">
        <v>198</v>
      </c>
      <c r="N594" s="6" t="s">
        <v>810</v>
      </c>
      <c r="O594" s="6" t="s">
        <v>151</v>
      </c>
      <c r="P594" s="5" t="s">
        <v>1115</v>
      </c>
      <c r="Q594" s="17" t="s">
        <v>182</v>
      </c>
      <c r="R594" s="5" t="s">
        <v>1115</v>
      </c>
      <c r="S594" s="6" t="s">
        <v>1772</v>
      </c>
      <c r="T594" s="5" t="s">
        <v>1773</v>
      </c>
      <c r="U594" s="6"/>
      <c r="V594" s="6" t="s">
        <v>1774</v>
      </c>
      <c r="W594" s="6" t="s">
        <v>335</v>
      </c>
      <c r="X594" s="5" t="s">
        <v>4373</v>
      </c>
      <c r="Y594" s="5" t="s">
        <v>1775</v>
      </c>
      <c r="Z594" s="5" t="str">
        <f t="shared" si="18"/>
        <v>Medium</v>
      </c>
      <c r="AA594" s="5" t="s">
        <v>956</v>
      </c>
      <c r="AB594" s="6" t="s">
        <v>924</v>
      </c>
      <c r="AC594" s="6" t="s">
        <v>11</v>
      </c>
      <c r="AD594" s="5" t="s">
        <v>925</v>
      </c>
      <c r="AE594" s="5" t="s">
        <v>354</v>
      </c>
      <c r="AF594" s="5" t="s">
        <v>354</v>
      </c>
      <c r="AG594" s="5" t="s">
        <v>354</v>
      </c>
      <c r="AH594" s="5" t="s">
        <v>354</v>
      </c>
      <c r="AI594" s="6" t="str">
        <f t="shared" si="19"/>
        <v>No</v>
      </c>
      <c r="AJ594" s="6" t="s">
        <v>926</v>
      </c>
      <c r="AK594" s="6" t="s">
        <v>151</v>
      </c>
      <c r="AL594" s="6">
        <f>MATCH(AA594,{"Low","Medium","High"},0)*MATCH(AB594,{"Low","Medium","High"},0)*INDEX({3,2,2,1,1},MATCH(X594,{"Core","Vertical extension","Differentiator","Future","Adjacent"},0))</f>
        <v>4</v>
      </c>
      <c r="AM594" s="5"/>
      <c r="AN594" s="5"/>
      <c r="AO594" s="5"/>
      <c r="AP594" s="5"/>
      <c r="AQ594" s="5"/>
      <c r="AR594" s="5"/>
      <c r="AS594" s="5"/>
      <c r="AT594" s="5"/>
      <c r="AU594" s="6" t="s">
        <v>927</v>
      </c>
      <c r="AV594" s="6" t="s">
        <v>1315</v>
      </c>
      <c r="AW594" s="6" t="s">
        <v>1315</v>
      </c>
      <c r="AX594" s="6" t="s">
        <v>1003</v>
      </c>
      <c r="AY594" s="6" t="s">
        <v>930</v>
      </c>
      <c r="AZ594" s="6"/>
      <c r="BA594" s="6"/>
      <c r="BB594" s="6"/>
      <c r="BC594" s="6" t="s">
        <v>97</v>
      </c>
      <c r="BD594" s="6" t="s">
        <v>97</v>
      </c>
    </row>
    <row r="595" spans="1:56" ht="32" customHeight="1" x14ac:dyDescent="0.35">
      <c r="A595" s="13" t="s">
        <v>4439</v>
      </c>
      <c r="B595" s="6" t="s">
        <v>4367</v>
      </c>
      <c r="C595" s="5" t="s">
        <v>4379</v>
      </c>
      <c r="D595" s="5" t="s">
        <v>833</v>
      </c>
      <c r="E595" s="5" t="s">
        <v>4440</v>
      </c>
      <c r="F595" s="5" t="s">
        <v>2197</v>
      </c>
      <c r="G595" s="5" t="s">
        <v>4441</v>
      </c>
      <c r="H595" s="5" t="s">
        <v>4442</v>
      </c>
      <c r="I595" s="5" t="s">
        <v>4443</v>
      </c>
      <c r="J595" s="17" t="s">
        <v>121</v>
      </c>
      <c r="K595" s="17" t="s">
        <v>181</v>
      </c>
      <c r="L595" s="5" t="s">
        <v>4444</v>
      </c>
      <c r="M595" s="6" t="s">
        <v>198</v>
      </c>
      <c r="N595" s="6" t="s">
        <v>813</v>
      </c>
      <c r="O595" s="6" t="s">
        <v>121</v>
      </c>
      <c r="P595" s="5" t="s">
        <v>918</v>
      </c>
      <c r="Q595" s="17" t="s">
        <v>182</v>
      </c>
      <c r="R595" s="5"/>
      <c r="S595" s="6" t="s">
        <v>919</v>
      </c>
      <c r="T595" s="5" t="s">
        <v>920</v>
      </c>
      <c r="U595" s="6"/>
      <c r="V595" s="6" t="s">
        <v>921</v>
      </c>
      <c r="W595" s="6" t="s">
        <v>331</v>
      </c>
      <c r="X595" s="5" t="s">
        <v>4373</v>
      </c>
      <c r="Y595" s="5" t="s">
        <v>4385</v>
      </c>
      <c r="Z595" s="5" t="str">
        <f t="shared" si="18"/>
        <v>Medium</v>
      </c>
      <c r="AA595" s="5" t="s">
        <v>956</v>
      </c>
      <c r="AB595" s="6" t="s">
        <v>924</v>
      </c>
      <c r="AC595" s="6" t="s">
        <v>11</v>
      </c>
      <c r="AD595" s="5" t="s">
        <v>925</v>
      </c>
      <c r="AE595" s="5" t="s">
        <v>354</v>
      </c>
      <c r="AF595" s="5" t="s">
        <v>354</v>
      </c>
      <c r="AG595" s="5" t="s">
        <v>354</v>
      </c>
      <c r="AH595" s="5" t="s">
        <v>354</v>
      </c>
      <c r="AI595" s="6" t="str">
        <f t="shared" si="19"/>
        <v>No</v>
      </c>
      <c r="AJ595" s="6" t="s">
        <v>926</v>
      </c>
      <c r="AK595" s="6" t="s">
        <v>151</v>
      </c>
      <c r="AL595" s="6">
        <f>MATCH(AA595,{"Low","Medium","High"},0)*MATCH(AB595,{"Low","Medium","High"},0)*INDEX({3,2,2,1,1},MATCH(X595,{"Core","Vertical extension","Differentiator","Future","Adjacent"},0))</f>
        <v>4</v>
      </c>
      <c r="AM595" s="5"/>
      <c r="AN595" s="5"/>
      <c r="AO595" s="5"/>
      <c r="AP595" s="5"/>
      <c r="AQ595" s="5"/>
      <c r="AR595" s="5"/>
      <c r="AS595" s="5"/>
      <c r="AT595" s="5"/>
      <c r="AU595" s="6" t="s">
        <v>927</v>
      </c>
      <c r="AV595" s="6" t="s">
        <v>928</v>
      </c>
      <c r="AW595" s="6" t="s">
        <v>928</v>
      </c>
      <c r="AX595" s="6" t="s">
        <v>929</v>
      </c>
      <c r="AY595" s="6" t="s">
        <v>930</v>
      </c>
      <c r="AZ595" s="6"/>
      <c r="BA595" s="6"/>
      <c r="BB595" s="6"/>
      <c r="BC595" s="6" t="s">
        <v>97</v>
      </c>
      <c r="BD595" s="6" t="s">
        <v>97</v>
      </c>
    </row>
    <row r="596" spans="1:56" ht="32" customHeight="1" x14ac:dyDescent="0.35">
      <c r="A596" s="13" t="s">
        <v>4445</v>
      </c>
      <c r="B596" s="6" t="s">
        <v>4367</v>
      </c>
      <c r="C596" s="5" t="s">
        <v>1504</v>
      </c>
      <c r="D596" s="5" t="s">
        <v>831</v>
      </c>
      <c r="E596" s="5" t="s">
        <v>4446</v>
      </c>
      <c r="F596" s="5" t="s">
        <v>1322</v>
      </c>
      <c r="G596" s="5" t="s">
        <v>951</v>
      </c>
      <c r="H596" s="5" t="s">
        <v>4447</v>
      </c>
      <c r="I596" s="5" t="s">
        <v>4448</v>
      </c>
      <c r="J596" s="17" t="s">
        <v>121</v>
      </c>
      <c r="K596" s="17" t="s">
        <v>181</v>
      </c>
      <c r="L596" s="5" t="s">
        <v>4449</v>
      </c>
      <c r="M596" s="6" t="s">
        <v>198</v>
      </c>
      <c r="N596" s="6" t="s">
        <v>810</v>
      </c>
      <c r="O596" s="6" t="s">
        <v>121</v>
      </c>
      <c r="P596" s="5" t="s">
        <v>918</v>
      </c>
      <c r="Q596" s="17" t="s">
        <v>182</v>
      </c>
      <c r="R596" s="5"/>
      <c r="S596" s="6" t="s">
        <v>964</v>
      </c>
      <c r="T596" s="5" t="s">
        <v>965</v>
      </c>
      <c r="U596" s="6"/>
      <c r="V596" s="6" t="s">
        <v>966</v>
      </c>
      <c r="W596" s="6" t="s">
        <v>333</v>
      </c>
      <c r="X596" s="5" t="s">
        <v>4373</v>
      </c>
      <c r="Y596" s="5" t="s">
        <v>658</v>
      </c>
      <c r="Z596" s="5" t="str">
        <f t="shared" si="18"/>
        <v>Medium</v>
      </c>
      <c r="AA596" s="5" t="s">
        <v>956</v>
      </c>
      <c r="AB596" s="6" t="s">
        <v>924</v>
      </c>
      <c r="AC596" s="6" t="s">
        <v>11</v>
      </c>
      <c r="AD596" s="5" t="s">
        <v>925</v>
      </c>
      <c r="AE596" s="5" t="s">
        <v>354</v>
      </c>
      <c r="AF596" s="5" t="s">
        <v>354</v>
      </c>
      <c r="AG596" s="5" t="s">
        <v>354</v>
      </c>
      <c r="AH596" s="5" t="s">
        <v>354</v>
      </c>
      <c r="AI596" s="6" t="str">
        <f t="shared" si="19"/>
        <v>No</v>
      </c>
      <c r="AJ596" s="6" t="s">
        <v>926</v>
      </c>
      <c r="AK596" s="6" t="s">
        <v>151</v>
      </c>
      <c r="AL596" s="6">
        <f>MATCH(AA596,{"Low","Medium","High"},0)*MATCH(AB596,{"Low","Medium","High"},0)*INDEX({3,2,2,1,1},MATCH(X596,{"Core","Vertical extension","Differentiator","Future","Adjacent"},0))</f>
        <v>4</v>
      </c>
      <c r="AM596" s="5"/>
      <c r="AN596" s="5"/>
      <c r="AO596" s="5"/>
      <c r="AP596" s="5"/>
      <c r="AQ596" s="5"/>
      <c r="AR596" s="5"/>
      <c r="AS596" s="5"/>
      <c r="AT596" s="5"/>
      <c r="AU596" s="6" t="s">
        <v>927</v>
      </c>
      <c r="AV596" s="6" t="s">
        <v>1322</v>
      </c>
      <c r="AW596" s="6" t="s">
        <v>1322</v>
      </c>
      <c r="AX596" s="6" t="s">
        <v>929</v>
      </c>
      <c r="AY596" s="6" t="s">
        <v>930</v>
      </c>
      <c r="AZ596" s="6"/>
      <c r="BA596" s="6"/>
      <c r="BB596" s="6"/>
      <c r="BC596" s="6" t="s">
        <v>97</v>
      </c>
      <c r="BD596" s="6" t="s">
        <v>97</v>
      </c>
    </row>
    <row r="597" spans="1:56" ht="32" customHeight="1" x14ac:dyDescent="0.35">
      <c r="A597" s="13" t="s">
        <v>4450</v>
      </c>
      <c r="B597" s="6" t="s">
        <v>4367</v>
      </c>
      <c r="C597" s="5" t="s">
        <v>4379</v>
      </c>
      <c r="D597" s="5" t="s">
        <v>827</v>
      </c>
      <c r="E597" s="5" t="s">
        <v>4451</v>
      </c>
      <c r="F597" s="5" t="s">
        <v>4381</v>
      </c>
      <c r="G597" s="5" t="s">
        <v>1596</v>
      </c>
      <c r="H597" s="5" t="s">
        <v>4452</v>
      </c>
      <c r="I597" s="5" t="s">
        <v>4453</v>
      </c>
      <c r="J597" s="16" t="s">
        <v>73</v>
      </c>
      <c r="K597" s="17" t="s">
        <v>181</v>
      </c>
      <c r="L597" s="5" t="s">
        <v>4454</v>
      </c>
      <c r="M597" s="6" t="s">
        <v>198</v>
      </c>
      <c r="N597" s="6" t="s">
        <v>813</v>
      </c>
      <c r="O597" s="6" t="s">
        <v>73</v>
      </c>
      <c r="P597" s="5" t="s">
        <v>918</v>
      </c>
      <c r="Q597" s="17" t="s">
        <v>182</v>
      </c>
      <c r="R597" s="5"/>
      <c r="S597" s="6" t="s">
        <v>1030</v>
      </c>
      <c r="T597" s="5" t="s">
        <v>827</v>
      </c>
      <c r="U597" s="6"/>
      <c r="V597" s="6" t="s">
        <v>4455</v>
      </c>
      <c r="W597" s="6" t="s">
        <v>333</v>
      </c>
      <c r="X597" s="5" t="s">
        <v>4373</v>
      </c>
      <c r="Y597" s="5" t="s">
        <v>4385</v>
      </c>
      <c r="Z597" s="5" t="str">
        <f t="shared" si="18"/>
        <v>High</v>
      </c>
      <c r="AA597" s="5" t="s">
        <v>923</v>
      </c>
      <c r="AB597" s="6" t="s">
        <v>956</v>
      </c>
      <c r="AC597" s="6" t="s">
        <v>78</v>
      </c>
      <c r="AD597" s="5" t="s">
        <v>925</v>
      </c>
      <c r="AE597" s="5" t="s">
        <v>354</v>
      </c>
      <c r="AF597" s="5" t="s">
        <v>354</v>
      </c>
      <c r="AG597" s="5" t="s">
        <v>354</v>
      </c>
      <c r="AH597" s="5" t="s">
        <v>354</v>
      </c>
      <c r="AI597" s="6" t="str">
        <f t="shared" si="19"/>
        <v>No</v>
      </c>
      <c r="AJ597" s="6" t="s">
        <v>926</v>
      </c>
      <c r="AK597" s="6" t="s">
        <v>73</v>
      </c>
      <c r="AL597" s="6">
        <f>MATCH(AA597,{"Low","Medium","High"},0)*MATCH(AB597,{"Low","Medium","High"},0)*INDEX({3,2,2,1,1},MATCH(X597,{"Core","Vertical extension","Differentiator","Future","Adjacent"},0))</f>
        <v>12</v>
      </c>
      <c r="AM597" s="5"/>
      <c r="AN597" s="5"/>
      <c r="AO597" s="5"/>
      <c r="AP597" s="5"/>
      <c r="AQ597" s="5"/>
      <c r="AR597" s="5"/>
      <c r="AS597" s="5"/>
      <c r="AT597" s="5"/>
      <c r="AU597" s="6" t="s">
        <v>927</v>
      </c>
      <c r="AV597" s="6" t="s">
        <v>1322</v>
      </c>
      <c r="AW597" s="6" t="s">
        <v>1322</v>
      </c>
      <c r="AX597" s="6" t="s">
        <v>929</v>
      </c>
      <c r="AY597" s="6" t="s">
        <v>1032</v>
      </c>
      <c r="AZ597" s="6"/>
      <c r="BA597" s="6"/>
      <c r="BB597" s="6"/>
      <c r="BC597" s="6" t="s">
        <v>97</v>
      </c>
      <c r="BD597" s="6" t="s">
        <v>97</v>
      </c>
    </row>
    <row r="598" spans="1:56" ht="32" customHeight="1" x14ac:dyDescent="0.35">
      <c r="A598" s="13" t="s">
        <v>4456</v>
      </c>
      <c r="B598" s="6" t="s">
        <v>4367</v>
      </c>
      <c r="C598" s="5" t="s">
        <v>1094</v>
      </c>
      <c r="D598" s="5" t="s">
        <v>833</v>
      </c>
      <c r="E598" s="5" t="s">
        <v>4457</v>
      </c>
      <c r="F598" s="5" t="s">
        <v>913</v>
      </c>
      <c r="G598" s="5" t="s">
        <v>951</v>
      </c>
      <c r="H598" s="5" t="s">
        <v>4458</v>
      </c>
      <c r="I598" s="5" t="s">
        <v>4459</v>
      </c>
      <c r="J598" s="17" t="s">
        <v>121</v>
      </c>
      <c r="K598" s="17" t="s">
        <v>181</v>
      </c>
      <c r="L598" s="5" t="s">
        <v>4460</v>
      </c>
      <c r="M598" s="6" t="s">
        <v>198</v>
      </c>
      <c r="N598" s="6" t="s">
        <v>810</v>
      </c>
      <c r="O598" s="6" t="s">
        <v>121</v>
      </c>
      <c r="P598" s="5" t="s">
        <v>918</v>
      </c>
      <c r="Q598" s="17" t="s">
        <v>182</v>
      </c>
      <c r="R598" s="5"/>
      <c r="S598" s="6" t="s">
        <v>919</v>
      </c>
      <c r="T598" s="5" t="s">
        <v>920</v>
      </c>
      <c r="U598" s="6"/>
      <c r="V598" s="6" t="s">
        <v>921</v>
      </c>
      <c r="W598" s="6" t="s">
        <v>331</v>
      </c>
      <c r="X598" s="5" t="s">
        <v>4373</v>
      </c>
      <c r="Y598" s="5" t="s">
        <v>810</v>
      </c>
      <c r="Z598" s="5" t="str">
        <f t="shared" si="18"/>
        <v>Medium</v>
      </c>
      <c r="AA598" s="5" t="s">
        <v>956</v>
      </c>
      <c r="AB598" s="6" t="s">
        <v>924</v>
      </c>
      <c r="AC598" s="6" t="s">
        <v>11</v>
      </c>
      <c r="AD598" s="5" t="s">
        <v>925</v>
      </c>
      <c r="AE598" s="5" t="s">
        <v>354</v>
      </c>
      <c r="AF598" s="5" t="s">
        <v>354</v>
      </c>
      <c r="AG598" s="5" t="s">
        <v>354</v>
      </c>
      <c r="AH598" s="5" t="s">
        <v>354</v>
      </c>
      <c r="AI598" s="6" t="str">
        <f t="shared" si="19"/>
        <v>No</v>
      </c>
      <c r="AJ598" s="6" t="s">
        <v>926</v>
      </c>
      <c r="AK598" s="6" t="s">
        <v>151</v>
      </c>
      <c r="AL598" s="6">
        <f>MATCH(AA598,{"Low","Medium","High"},0)*MATCH(AB598,{"Low","Medium","High"},0)*INDEX({3,2,2,1,1},MATCH(X598,{"Core","Vertical extension","Differentiator","Future","Adjacent"},0))</f>
        <v>4</v>
      </c>
      <c r="AM598" s="5"/>
      <c r="AN598" s="5"/>
      <c r="AO598" s="5"/>
      <c r="AP598" s="5"/>
      <c r="AQ598" s="5"/>
      <c r="AR598" s="5"/>
      <c r="AS598" s="5"/>
      <c r="AT598" s="5"/>
      <c r="AU598" s="6" t="s">
        <v>927</v>
      </c>
      <c r="AV598" s="6" t="s">
        <v>928</v>
      </c>
      <c r="AW598" s="6" t="s">
        <v>928</v>
      </c>
      <c r="AX598" s="6" t="s">
        <v>929</v>
      </c>
      <c r="AY598" s="6" t="s">
        <v>930</v>
      </c>
      <c r="AZ598" s="6"/>
      <c r="BA598" s="6"/>
      <c r="BB598" s="6"/>
      <c r="BC598" s="6" t="s">
        <v>97</v>
      </c>
      <c r="BD598" s="6" t="s">
        <v>97</v>
      </c>
    </row>
    <row r="599" spans="1:56" ht="32" customHeight="1" x14ac:dyDescent="0.35">
      <c r="A599" s="13" t="s">
        <v>4461</v>
      </c>
      <c r="B599" s="6" t="s">
        <v>4367</v>
      </c>
      <c r="C599" s="5" t="s">
        <v>4379</v>
      </c>
      <c r="D599" s="5" t="s">
        <v>833</v>
      </c>
      <c r="E599" s="5" t="s">
        <v>4462</v>
      </c>
      <c r="F599" s="5" t="s">
        <v>1623</v>
      </c>
      <c r="G599" s="5" t="s">
        <v>1017</v>
      </c>
      <c r="H599" s="5" t="s">
        <v>4463</v>
      </c>
      <c r="I599" s="5" t="s">
        <v>4464</v>
      </c>
      <c r="J599" s="17" t="s">
        <v>121</v>
      </c>
      <c r="K599" s="17" t="s">
        <v>181</v>
      </c>
      <c r="L599" s="5" t="s">
        <v>4465</v>
      </c>
      <c r="M599" s="6" t="s">
        <v>198</v>
      </c>
      <c r="N599" s="6" t="s">
        <v>813</v>
      </c>
      <c r="O599" s="6" t="s">
        <v>121</v>
      </c>
      <c r="P599" s="5" t="s">
        <v>918</v>
      </c>
      <c r="Q599" s="17" t="s">
        <v>182</v>
      </c>
      <c r="R599" s="5"/>
      <c r="S599" s="6" t="s">
        <v>919</v>
      </c>
      <c r="T599" s="5" t="s">
        <v>920</v>
      </c>
      <c r="U599" s="6"/>
      <c r="V599" s="6" t="s">
        <v>921</v>
      </c>
      <c r="W599" s="6" t="s">
        <v>331</v>
      </c>
      <c r="X599" s="5" t="s">
        <v>4373</v>
      </c>
      <c r="Y599" s="5" t="s">
        <v>4385</v>
      </c>
      <c r="Z599" s="5" t="str">
        <f t="shared" si="18"/>
        <v>Medium</v>
      </c>
      <c r="AA599" s="5" t="s">
        <v>956</v>
      </c>
      <c r="AB599" s="6" t="s">
        <v>924</v>
      </c>
      <c r="AC599" s="6" t="s">
        <v>11</v>
      </c>
      <c r="AD599" s="5" t="s">
        <v>925</v>
      </c>
      <c r="AE599" s="5" t="s">
        <v>354</v>
      </c>
      <c r="AF599" s="5" t="s">
        <v>354</v>
      </c>
      <c r="AG599" s="5" t="s">
        <v>354</v>
      </c>
      <c r="AH599" s="5" t="s">
        <v>354</v>
      </c>
      <c r="AI599" s="6" t="str">
        <f t="shared" si="19"/>
        <v>No</v>
      </c>
      <c r="AJ599" s="6" t="s">
        <v>926</v>
      </c>
      <c r="AK599" s="6" t="s">
        <v>151</v>
      </c>
      <c r="AL599" s="6">
        <f>MATCH(AA599,{"Low","Medium","High"},0)*MATCH(AB599,{"Low","Medium","High"},0)*INDEX({3,2,2,1,1},MATCH(X599,{"Core","Vertical extension","Differentiator","Future","Adjacent"},0))</f>
        <v>4</v>
      </c>
      <c r="AM599" s="5"/>
      <c r="AN599" s="5"/>
      <c r="AO599" s="5"/>
      <c r="AP599" s="5"/>
      <c r="AQ599" s="5"/>
      <c r="AR599" s="5"/>
      <c r="AS599" s="5"/>
      <c r="AT599" s="5"/>
      <c r="AU599" s="6" t="s">
        <v>927</v>
      </c>
      <c r="AV599" s="6" t="s">
        <v>928</v>
      </c>
      <c r="AW599" s="6" t="s">
        <v>928</v>
      </c>
      <c r="AX599" s="6" t="s">
        <v>929</v>
      </c>
      <c r="AY599" s="6" t="s">
        <v>930</v>
      </c>
      <c r="AZ599" s="6"/>
      <c r="BA599" s="6"/>
      <c r="BB599" s="6"/>
      <c r="BC599" s="6" t="s">
        <v>97</v>
      </c>
      <c r="BD599" s="6" t="s">
        <v>97</v>
      </c>
    </row>
    <row r="600" spans="1:56" ht="32" customHeight="1" x14ac:dyDescent="0.35">
      <c r="A600" s="13" t="s">
        <v>4466</v>
      </c>
      <c r="B600" s="6" t="s">
        <v>4367</v>
      </c>
      <c r="C600" s="5" t="s">
        <v>1452</v>
      </c>
      <c r="D600" s="5" t="s">
        <v>825</v>
      </c>
      <c r="E600" s="5" t="s">
        <v>4467</v>
      </c>
      <c r="F600" s="5" t="s">
        <v>1452</v>
      </c>
      <c r="G600" s="5" t="s">
        <v>1101</v>
      </c>
      <c r="H600" s="5" t="s">
        <v>4468</v>
      </c>
      <c r="I600" s="5" t="s">
        <v>4469</v>
      </c>
      <c r="J600" s="17" t="s">
        <v>121</v>
      </c>
      <c r="K600" s="17" t="s">
        <v>181</v>
      </c>
      <c r="L600" s="5" t="s">
        <v>4470</v>
      </c>
      <c r="M600" s="6" t="s">
        <v>198</v>
      </c>
      <c r="N600" s="6" t="s">
        <v>810</v>
      </c>
      <c r="O600" s="6" t="s">
        <v>121</v>
      </c>
      <c r="P600" s="5" t="s">
        <v>918</v>
      </c>
      <c r="Q600" s="17" t="s">
        <v>182</v>
      </c>
      <c r="R600" s="5"/>
      <c r="S600" s="6" t="s">
        <v>1053</v>
      </c>
      <c r="T600" s="5" t="s">
        <v>1054</v>
      </c>
      <c r="U600" s="6"/>
      <c r="V600" s="6" t="s">
        <v>1055</v>
      </c>
      <c r="W600" s="6" t="s">
        <v>333</v>
      </c>
      <c r="X600" s="5" t="s">
        <v>4373</v>
      </c>
      <c r="Y600" s="5" t="s">
        <v>459</v>
      </c>
      <c r="Z600" s="5" t="str">
        <f t="shared" si="18"/>
        <v>Critical</v>
      </c>
      <c r="AA600" s="5" t="s">
        <v>923</v>
      </c>
      <c r="AB600" s="6" t="s">
        <v>923</v>
      </c>
      <c r="AC600" s="6" t="s">
        <v>11</v>
      </c>
      <c r="AD600" s="5" t="s">
        <v>925</v>
      </c>
      <c r="AE600" s="5" t="s">
        <v>354</v>
      </c>
      <c r="AF600" s="5" t="s">
        <v>354</v>
      </c>
      <c r="AG600" s="5" t="s">
        <v>354</v>
      </c>
      <c r="AH600" s="5" t="s">
        <v>354</v>
      </c>
      <c r="AI600" s="6" t="str">
        <f t="shared" si="19"/>
        <v>No</v>
      </c>
      <c r="AJ600" s="6" t="s">
        <v>926</v>
      </c>
      <c r="AK600" s="6" t="s">
        <v>151</v>
      </c>
      <c r="AL600" s="6">
        <f>MATCH(AA600,{"Low","Medium","High"},0)*MATCH(AB600,{"Low","Medium","High"},0)*INDEX({3,2,2,1,1},MATCH(X600,{"Core","Vertical extension","Differentiator","Future","Adjacent"},0))</f>
        <v>18</v>
      </c>
      <c r="AM600" s="5"/>
      <c r="AN600" s="5"/>
      <c r="AO600" s="5"/>
      <c r="AP600" s="5"/>
      <c r="AQ600" s="5"/>
      <c r="AR600" s="5"/>
      <c r="AS600" s="5"/>
      <c r="AT600" s="5"/>
      <c r="AU600" s="6" t="s">
        <v>927</v>
      </c>
      <c r="AV600" s="6" t="s">
        <v>55</v>
      </c>
      <c r="AW600" s="6" t="s">
        <v>55</v>
      </c>
      <c r="AX600" s="6" t="s">
        <v>929</v>
      </c>
      <c r="AY600" s="6" t="s">
        <v>930</v>
      </c>
      <c r="AZ600" s="6"/>
      <c r="BA600" s="6"/>
      <c r="BB600" s="6"/>
      <c r="BC600" s="6" t="s">
        <v>97</v>
      </c>
      <c r="BD600" s="6" t="s">
        <v>97</v>
      </c>
    </row>
    <row r="601" spans="1:56" ht="32" customHeight="1" x14ac:dyDescent="0.35">
      <c r="A601" s="13" t="s">
        <v>4471</v>
      </c>
      <c r="B601" s="6" t="s">
        <v>4367</v>
      </c>
      <c r="C601" s="5" t="s">
        <v>4379</v>
      </c>
      <c r="D601" s="5" t="s">
        <v>840</v>
      </c>
      <c r="E601" s="5" t="s">
        <v>4472</v>
      </c>
      <c r="F601" s="5" t="s">
        <v>4473</v>
      </c>
      <c r="G601" s="5" t="s">
        <v>1322</v>
      </c>
      <c r="H601" s="5" t="s">
        <v>4474</v>
      </c>
      <c r="I601" s="5" t="s">
        <v>4475</v>
      </c>
      <c r="J601" s="19" t="s">
        <v>151</v>
      </c>
      <c r="K601" s="17" t="s">
        <v>181</v>
      </c>
      <c r="L601" s="5" t="s">
        <v>4476</v>
      </c>
      <c r="M601" s="6" t="s">
        <v>198</v>
      </c>
      <c r="N601" s="6" t="s">
        <v>813</v>
      </c>
      <c r="O601" s="6" t="s">
        <v>151</v>
      </c>
      <c r="P601" s="5" t="s">
        <v>918</v>
      </c>
      <c r="Q601" s="17" t="s">
        <v>182</v>
      </c>
      <c r="R601" s="5"/>
      <c r="S601" s="6" t="s">
        <v>1022</v>
      </c>
      <c r="T601" s="5" t="s">
        <v>1023</v>
      </c>
      <c r="U601" s="6"/>
      <c r="V601" s="6" t="s">
        <v>1024</v>
      </c>
      <c r="W601" s="6" t="s">
        <v>337</v>
      </c>
      <c r="X601" s="5" t="s">
        <v>4373</v>
      </c>
      <c r="Y601" s="5" t="s">
        <v>4385</v>
      </c>
      <c r="Z601" s="5" t="str">
        <f t="shared" si="18"/>
        <v>Medium</v>
      </c>
      <c r="AA601" s="5" t="s">
        <v>956</v>
      </c>
      <c r="AB601" s="6" t="s">
        <v>924</v>
      </c>
      <c r="AC601" s="6" t="s">
        <v>11</v>
      </c>
      <c r="AD601" s="5" t="s">
        <v>925</v>
      </c>
      <c r="AE601" s="5" t="s">
        <v>354</v>
      </c>
      <c r="AF601" s="5" t="s">
        <v>354</v>
      </c>
      <c r="AG601" s="5" t="s">
        <v>354</v>
      </c>
      <c r="AH601" s="5" t="s">
        <v>354</v>
      </c>
      <c r="AI601" s="6" t="str">
        <f t="shared" si="19"/>
        <v>No</v>
      </c>
      <c r="AJ601" s="6" t="s">
        <v>926</v>
      </c>
      <c r="AK601" s="6" t="s">
        <v>151</v>
      </c>
      <c r="AL601" s="6">
        <f>MATCH(AA601,{"Low","Medium","High"},0)*MATCH(AB601,{"Low","Medium","High"},0)*INDEX({3,2,2,1,1},MATCH(X601,{"Core","Vertical extension","Differentiator","Future","Adjacent"},0))</f>
        <v>4</v>
      </c>
      <c r="AM601" s="5"/>
      <c r="AN601" s="5"/>
      <c r="AO601" s="5"/>
      <c r="AP601" s="5"/>
      <c r="AQ601" s="5"/>
      <c r="AR601" s="5"/>
      <c r="AS601" s="5"/>
      <c r="AT601" s="5"/>
      <c r="AU601" s="6" t="s">
        <v>927</v>
      </c>
      <c r="AV601" s="6" t="s">
        <v>55</v>
      </c>
      <c r="AW601" s="6" t="s">
        <v>55</v>
      </c>
      <c r="AX601" s="6" t="s">
        <v>929</v>
      </c>
      <c r="AY601" s="6" t="s">
        <v>930</v>
      </c>
      <c r="AZ601" s="6"/>
      <c r="BA601" s="6"/>
      <c r="BB601" s="6"/>
      <c r="BC601" s="6" t="s">
        <v>97</v>
      </c>
      <c r="BD601" s="6" t="s">
        <v>97</v>
      </c>
    </row>
    <row r="602" spans="1:56" ht="32" customHeight="1" x14ac:dyDescent="0.35">
      <c r="A602" s="13" t="s">
        <v>4477</v>
      </c>
      <c r="B602" s="6" t="s">
        <v>4478</v>
      </c>
      <c r="C602" s="5" t="s">
        <v>4479</v>
      </c>
      <c r="D602" s="5" t="s">
        <v>825</v>
      </c>
      <c r="E602" s="5" t="s">
        <v>4480</v>
      </c>
      <c r="F602" s="5" t="s">
        <v>4481</v>
      </c>
      <c r="G602" s="5" t="s">
        <v>1623</v>
      </c>
      <c r="H602" s="5" t="s">
        <v>4482</v>
      </c>
      <c r="I602" s="5" t="s">
        <v>4483</v>
      </c>
      <c r="J602" s="16" t="s">
        <v>73</v>
      </c>
      <c r="K602" s="17" t="s">
        <v>181</v>
      </c>
      <c r="L602" s="5" t="s">
        <v>4484</v>
      </c>
      <c r="M602" s="6" t="s">
        <v>198</v>
      </c>
      <c r="N602" s="6" t="s">
        <v>813</v>
      </c>
      <c r="O602" s="6" t="s">
        <v>73</v>
      </c>
      <c r="P602" s="5" t="s">
        <v>918</v>
      </c>
      <c r="Q602" s="18" t="s">
        <v>186</v>
      </c>
      <c r="R602" s="5" t="s">
        <v>1211</v>
      </c>
      <c r="S602" s="6" t="s">
        <v>1053</v>
      </c>
      <c r="T602" s="5" t="s">
        <v>1054</v>
      </c>
      <c r="U602" s="6"/>
      <c r="V602" s="6" t="s">
        <v>1055</v>
      </c>
      <c r="W602" s="6" t="s">
        <v>333</v>
      </c>
      <c r="X602" s="5" t="s">
        <v>922</v>
      </c>
      <c r="Y602" s="5" t="s">
        <v>4385</v>
      </c>
      <c r="Z602" s="5" t="str">
        <f t="shared" si="18"/>
        <v>Critical</v>
      </c>
      <c r="AA602" s="5" t="s">
        <v>923</v>
      </c>
      <c r="AB602" s="6" t="s">
        <v>923</v>
      </c>
      <c r="AC602" s="6" t="s">
        <v>78</v>
      </c>
      <c r="AD602" s="5" t="s">
        <v>940</v>
      </c>
      <c r="AE602" s="5" t="s">
        <v>354</v>
      </c>
      <c r="AF602" s="5" t="s">
        <v>354</v>
      </c>
      <c r="AG602" s="5" t="s">
        <v>354</v>
      </c>
      <c r="AH602" s="5" t="s">
        <v>354</v>
      </c>
      <c r="AI602" s="6" t="str">
        <f t="shared" si="19"/>
        <v>No</v>
      </c>
      <c r="AJ602" s="6" t="s">
        <v>941</v>
      </c>
      <c r="AK602" s="6" t="s">
        <v>73</v>
      </c>
      <c r="AL602" s="6">
        <f>MATCH(AA602,{"Low","Medium","High"},0)*MATCH(AB602,{"Low","Medium","High"},0)*INDEX({3,2,2,1,1},MATCH(X602,{"Core","Vertical extension","Differentiator","Future","Adjacent"},0))</f>
        <v>27</v>
      </c>
      <c r="AM602" s="5"/>
      <c r="AN602" s="5"/>
      <c r="AO602" s="5"/>
      <c r="AP602" s="5"/>
      <c r="AQ602" s="5"/>
      <c r="AR602" s="5"/>
      <c r="AS602" s="5"/>
      <c r="AT602" s="5"/>
      <c r="AU602" s="6" t="s">
        <v>927</v>
      </c>
      <c r="AV602" s="6" t="s">
        <v>2161</v>
      </c>
      <c r="AW602" s="6" t="s">
        <v>2161</v>
      </c>
      <c r="AX602" s="6" t="s">
        <v>929</v>
      </c>
      <c r="AY602" s="6" t="s">
        <v>930</v>
      </c>
      <c r="AZ602" s="6"/>
      <c r="BA602" s="6" t="s">
        <v>942</v>
      </c>
      <c r="BB602" s="6" t="s">
        <v>943</v>
      </c>
      <c r="BC602" s="6" t="s">
        <v>97</v>
      </c>
      <c r="BD602" s="6" t="s">
        <v>97</v>
      </c>
    </row>
    <row r="603" spans="1:56" ht="32" customHeight="1" x14ac:dyDescent="0.35">
      <c r="A603" s="13" t="s">
        <v>4485</v>
      </c>
      <c r="B603" s="6" t="s">
        <v>4478</v>
      </c>
      <c r="C603" s="5" t="s">
        <v>4479</v>
      </c>
      <c r="D603" s="5" t="s">
        <v>825</v>
      </c>
      <c r="E603" s="5" t="s">
        <v>4486</v>
      </c>
      <c r="F603" s="5" t="s">
        <v>4487</v>
      </c>
      <c r="G603" s="5" t="s">
        <v>1452</v>
      </c>
      <c r="H603" s="5" t="s">
        <v>4488</v>
      </c>
      <c r="I603" s="5" t="s">
        <v>4489</v>
      </c>
      <c r="J603" s="16" t="s">
        <v>73</v>
      </c>
      <c r="K603" s="17" t="s">
        <v>181</v>
      </c>
      <c r="L603" s="5" t="s">
        <v>4490</v>
      </c>
      <c r="M603" s="6" t="s">
        <v>198</v>
      </c>
      <c r="N603" s="6" t="s">
        <v>813</v>
      </c>
      <c r="O603" s="6" t="s">
        <v>73</v>
      </c>
      <c r="P603" s="5" t="s">
        <v>918</v>
      </c>
      <c r="Q603" s="17" t="s">
        <v>182</v>
      </c>
      <c r="R603" s="5"/>
      <c r="S603" s="6" t="s">
        <v>1053</v>
      </c>
      <c r="T603" s="5" t="s">
        <v>1054</v>
      </c>
      <c r="U603" s="6"/>
      <c r="V603" s="6" t="s">
        <v>1055</v>
      </c>
      <c r="W603" s="6" t="s">
        <v>333</v>
      </c>
      <c r="X603" s="5" t="s">
        <v>922</v>
      </c>
      <c r="Y603" s="5" t="s">
        <v>4385</v>
      </c>
      <c r="Z603" s="5" t="str">
        <f t="shared" si="18"/>
        <v>Critical</v>
      </c>
      <c r="AA603" s="5" t="s">
        <v>923</v>
      </c>
      <c r="AB603" s="6" t="s">
        <v>923</v>
      </c>
      <c r="AC603" s="6" t="s">
        <v>78</v>
      </c>
      <c r="AD603" s="5" t="s">
        <v>925</v>
      </c>
      <c r="AE603" s="5" t="s">
        <v>354</v>
      </c>
      <c r="AF603" s="5" t="s">
        <v>354</v>
      </c>
      <c r="AG603" s="5" t="s">
        <v>354</v>
      </c>
      <c r="AH603" s="5" t="s">
        <v>354</v>
      </c>
      <c r="AI603" s="6" t="str">
        <f t="shared" si="19"/>
        <v>No</v>
      </c>
      <c r="AJ603" s="6" t="s">
        <v>926</v>
      </c>
      <c r="AK603" s="6" t="s">
        <v>73</v>
      </c>
      <c r="AL603" s="6">
        <f>MATCH(AA603,{"Low","Medium","High"},0)*MATCH(AB603,{"Low","Medium","High"},0)*INDEX({3,2,2,1,1},MATCH(X603,{"Core","Vertical extension","Differentiator","Future","Adjacent"},0))</f>
        <v>27</v>
      </c>
      <c r="AM603" s="5"/>
      <c r="AN603" s="5"/>
      <c r="AO603" s="5"/>
      <c r="AP603" s="5"/>
      <c r="AQ603" s="5"/>
      <c r="AR603" s="5"/>
      <c r="AS603" s="5"/>
      <c r="AT603" s="5"/>
      <c r="AU603" s="6" t="s">
        <v>927</v>
      </c>
      <c r="AV603" s="6" t="s">
        <v>1527</v>
      </c>
      <c r="AW603" s="6" t="s">
        <v>1527</v>
      </c>
      <c r="AX603" s="6" t="s">
        <v>929</v>
      </c>
      <c r="AY603" s="6" t="s">
        <v>930</v>
      </c>
      <c r="AZ603" s="6"/>
      <c r="BA603" s="6"/>
      <c r="BB603" s="6"/>
      <c r="BC603" s="6" t="s">
        <v>97</v>
      </c>
      <c r="BD603" s="6" t="s">
        <v>97</v>
      </c>
    </row>
    <row r="604" spans="1:56" ht="32" customHeight="1" x14ac:dyDescent="0.35">
      <c r="A604" s="13" t="s">
        <v>98</v>
      </c>
      <c r="B604" s="6" t="s">
        <v>4478</v>
      </c>
      <c r="C604" s="5" t="s">
        <v>4479</v>
      </c>
      <c r="D604" s="5" t="s">
        <v>825</v>
      </c>
      <c r="E604" s="5" t="s">
        <v>765</v>
      </c>
      <c r="F604" s="5" t="s">
        <v>4491</v>
      </c>
      <c r="G604" s="5" t="s">
        <v>1452</v>
      </c>
      <c r="H604" s="5" t="s">
        <v>4492</v>
      </c>
      <c r="I604" s="5" t="s">
        <v>4493</v>
      </c>
      <c r="J604" s="16" t="s">
        <v>73</v>
      </c>
      <c r="K604" s="16" t="s">
        <v>74</v>
      </c>
      <c r="L604" s="5" t="s">
        <v>4494</v>
      </c>
      <c r="M604" s="6" t="s">
        <v>198</v>
      </c>
      <c r="N604" s="6" t="s">
        <v>813</v>
      </c>
      <c r="O604" s="6" t="s">
        <v>73</v>
      </c>
      <c r="P604" s="5" t="s">
        <v>918</v>
      </c>
      <c r="Q604" s="16" t="s">
        <v>74</v>
      </c>
      <c r="R604" s="5" t="s">
        <v>4495</v>
      </c>
      <c r="S604" s="6" t="s">
        <v>1053</v>
      </c>
      <c r="T604" s="5" t="s">
        <v>1054</v>
      </c>
      <c r="U604" s="6"/>
      <c r="V604" s="6" t="s">
        <v>1055</v>
      </c>
      <c r="W604" s="6" t="s">
        <v>333</v>
      </c>
      <c r="X604" s="5" t="s">
        <v>922</v>
      </c>
      <c r="Y604" s="5" t="s">
        <v>4385</v>
      </c>
      <c r="Z604" s="5" t="str">
        <f t="shared" si="18"/>
        <v>Critical</v>
      </c>
      <c r="AA604" s="5" t="s">
        <v>923</v>
      </c>
      <c r="AB604" s="6" t="s">
        <v>923</v>
      </c>
      <c r="AC604" s="6" t="s">
        <v>78</v>
      </c>
      <c r="AD604" s="5" t="s">
        <v>74</v>
      </c>
      <c r="AE604" s="5" t="s">
        <v>354</v>
      </c>
      <c r="AF604" s="5" t="s">
        <v>354</v>
      </c>
      <c r="AG604" s="5" t="s">
        <v>354</v>
      </c>
      <c r="AH604" s="5" t="s">
        <v>354</v>
      </c>
      <c r="AI604" s="6" t="str">
        <f t="shared" si="19"/>
        <v>No</v>
      </c>
      <c r="AJ604" s="6" t="s">
        <v>1691</v>
      </c>
      <c r="AK604" s="6" t="s">
        <v>73</v>
      </c>
      <c r="AL604" s="6">
        <f>MATCH(AA604,{"Low","Medium","High"},0)*MATCH(AB604,{"Low","Medium","High"},0)*INDEX({3,2,2,1,1},MATCH(X604,{"Core","Vertical extension","Differentiator","Future","Adjacent"},0))</f>
        <v>27</v>
      </c>
      <c r="AM604" s="5"/>
      <c r="AN604" s="5"/>
      <c r="AO604" s="5"/>
      <c r="AP604" s="5"/>
      <c r="AQ604" s="5"/>
      <c r="AR604" s="5" t="s">
        <v>4496</v>
      </c>
      <c r="AS604" s="5" t="s">
        <v>166</v>
      </c>
      <c r="AT604" s="5" t="s">
        <v>4356</v>
      </c>
      <c r="AU604" s="6" t="s">
        <v>74</v>
      </c>
      <c r="AV604" s="6" t="s">
        <v>2161</v>
      </c>
      <c r="AW604" s="6" t="s">
        <v>2161</v>
      </c>
      <c r="AX604" s="6" t="s">
        <v>929</v>
      </c>
      <c r="AY604" s="6" t="s">
        <v>930</v>
      </c>
      <c r="AZ604" s="6"/>
      <c r="BA604" s="6"/>
      <c r="BB604" s="6"/>
      <c r="BC604" s="6" t="s">
        <v>97</v>
      </c>
      <c r="BD604" s="6" t="s">
        <v>97</v>
      </c>
    </row>
    <row r="605" spans="1:56" ht="32" customHeight="1" x14ac:dyDescent="0.35">
      <c r="A605" s="13" t="s">
        <v>4497</v>
      </c>
      <c r="B605" s="6" t="s">
        <v>4478</v>
      </c>
      <c r="C605" s="5" t="s">
        <v>4479</v>
      </c>
      <c r="D605" s="5" t="s">
        <v>825</v>
      </c>
      <c r="E605" s="5" t="s">
        <v>4498</v>
      </c>
      <c r="F605" s="5" t="s">
        <v>2236</v>
      </c>
      <c r="G605" s="5" t="s">
        <v>1452</v>
      </c>
      <c r="H605" s="5" t="s">
        <v>4499</v>
      </c>
      <c r="I605" s="5" t="s">
        <v>4500</v>
      </c>
      <c r="J605" s="16" t="s">
        <v>73</v>
      </c>
      <c r="K605" s="17" t="s">
        <v>181</v>
      </c>
      <c r="L605" s="5" t="s">
        <v>4501</v>
      </c>
      <c r="M605" s="6" t="s">
        <v>198</v>
      </c>
      <c r="N605" s="6" t="s">
        <v>813</v>
      </c>
      <c r="O605" s="6" t="s">
        <v>73</v>
      </c>
      <c r="P605" s="5" t="s">
        <v>918</v>
      </c>
      <c r="Q605" s="17" t="s">
        <v>182</v>
      </c>
      <c r="R605" s="5"/>
      <c r="S605" s="6" t="s">
        <v>1053</v>
      </c>
      <c r="T605" s="5" t="s">
        <v>1054</v>
      </c>
      <c r="U605" s="6"/>
      <c r="V605" s="6" t="s">
        <v>1055</v>
      </c>
      <c r="W605" s="6" t="s">
        <v>333</v>
      </c>
      <c r="X605" s="5" t="s">
        <v>922</v>
      </c>
      <c r="Y605" s="5" t="s">
        <v>4385</v>
      </c>
      <c r="Z605" s="5" t="str">
        <f t="shared" si="18"/>
        <v>Critical</v>
      </c>
      <c r="AA605" s="5" t="s">
        <v>923</v>
      </c>
      <c r="AB605" s="6" t="s">
        <v>923</v>
      </c>
      <c r="AC605" s="6" t="s">
        <v>78</v>
      </c>
      <c r="AD605" s="5" t="s">
        <v>925</v>
      </c>
      <c r="AE605" s="5" t="s">
        <v>354</v>
      </c>
      <c r="AF605" s="5" t="s">
        <v>354</v>
      </c>
      <c r="AG605" s="5" t="s">
        <v>354</v>
      </c>
      <c r="AH605" s="5" t="s">
        <v>354</v>
      </c>
      <c r="AI605" s="6" t="str">
        <f t="shared" si="19"/>
        <v>No</v>
      </c>
      <c r="AJ605" s="6" t="s">
        <v>926</v>
      </c>
      <c r="AK605" s="6" t="s">
        <v>73</v>
      </c>
      <c r="AL605" s="6">
        <f>MATCH(AA605,{"Low","Medium","High"},0)*MATCH(AB605,{"Low","Medium","High"},0)*INDEX({3,2,2,1,1},MATCH(X605,{"Core","Vertical extension","Differentiator","Future","Adjacent"},0))</f>
        <v>27</v>
      </c>
      <c r="AM605" s="5"/>
      <c r="AN605" s="5"/>
      <c r="AO605" s="5"/>
      <c r="AP605" s="5"/>
      <c r="AQ605" s="5"/>
      <c r="AR605" s="5"/>
      <c r="AS605" s="5"/>
      <c r="AT605" s="5"/>
      <c r="AU605" s="6" t="s">
        <v>927</v>
      </c>
      <c r="AV605" s="6" t="s">
        <v>2161</v>
      </c>
      <c r="AW605" s="6" t="s">
        <v>2161</v>
      </c>
      <c r="AX605" s="6" t="s">
        <v>929</v>
      </c>
      <c r="AY605" s="6" t="s">
        <v>930</v>
      </c>
      <c r="AZ605" s="6"/>
      <c r="BA605" s="6"/>
      <c r="BB605" s="6"/>
      <c r="BC605" s="6" t="s">
        <v>97</v>
      </c>
      <c r="BD605" s="6" t="s">
        <v>97</v>
      </c>
    </row>
    <row r="606" spans="1:56" ht="32" customHeight="1" x14ac:dyDescent="0.35">
      <c r="A606" s="13" t="s">
        <v>4502</v>
      </c>
      <c r="B606" s="6" t="s">
        <v>4478</v>
      </c>
      <c r="C606" s="5" t="s">
        <v>4479</v>
      </c>
      <c r="D606" s="5" t="s">
        <v>825</v>
      </c>
      <c r="E606" s="5" t="s">
        <v>4503</v>
      </c>
      <c r="F606" s="5" t="s">
        <v>2236</v>
      </c>
      <c r="G606" s="5" t="s">
        <v>4388</v>
      </c>
      <c r="H606" s="5" t="s">
        <v>4504</v>
      </c>
      <c r="I606" s="5" t="s">
        <v>4505</v>
      </c>
      <c r="J606" s="16" t="s">
        <v>73</v>
      </c>
      <c r="K606" s="17" t="s">
        <v>181</v>
      </c>
      <c r="L606" s="5" t="s">
        <v>4506</v>
      </c>
      <c r="M606" s="6" t="s">
        <v>198</v>
      </c>
      <c r="N606" s="6" t="s">
        <v>813</v>
      </c>
      <c r="O606" s="6" t="s">
        <v>73</v>
      </c>
      <c r="P606" s="5" t="s">
        <v>918</v>
      </c>
      <c r="Q606" s="17" t="s">
        <v>182</v>
      </c>
      <c r="R606" s="5"/>
      <c r="S606" s="6" t="s">
        <v>1053</v>
      </c>
      <c r="T606" s="5" t="s">
        <v>1054</v>
      </c>
      <c r="U606" s="6"/>
      <c r="V606" s="6" t="s">
        <v>1055</v>
      </c>
      <c r="W606" s="6" t="s">
        <v>333</v>
      </c>
      <c r="X606" s="5" t="s">
        <v>922</v>
      </c>
      <c r="Y606" s="5" t="s">
        <v>4385</v>
      </c>
      <c r="Z606" s="5" t="str">
        <f t="shared" si="18"/>
        <v>Critical</v>
      </c>
      <c r="AA606" s="5" t="s">
        <v>923</v>
      </c>
      <c r="AB606" s="6" t="s">
        <v>923</v>
      </c>
      <c r="AC606" s="6" t="s">
        <v>78</v>
      </c>
      <c r="AD606" s="5" t="s">
        <v>925</v>
      </c>
      <c r="AE606" s="5" t="s">
        <v>354</v>
      </c>
      <c r="AF606" s="5" t="s">
        <v>354</v>
      </c>
      <c r="AG606" s="5" t="s">
        <v>354</v>
      </c>
      <c r="AH606" s="5" t="s">
        <v>354</v>
      </c>
      <c r="AI606" s="6" t="str">
        <f t="shared" si="19"/>
        <v>No</v>
      </c>
      <c r="AJ606" s="6" t="s">
        <v>926</v>
      </c>
      <c r="AK606" s="6" t="s">
        <v>73</v>
      </c>
      <c r="AL606" s="6">
        <f>MATCH(AA606,{"Low","Medium","High"},0)*MATCH(AB606,{"Low","Medium","High"},0)*INDEX({3,2,2,1,1},MATCH(X606,{"Core","Vertical extension","Differentiator","Future","Adjacent"},0))</f>
        <v>27</v>
      </c>
      <c r="AM606" s="5"/>
      <c r="AN606" s="5"/>
      <c r="AO606" s="5"/>
      <c r="AP606" s="5"/>
      <c r="AQ606" s="5"/>
      <c r="AR606" s="5"/>
      <c r="AS606" s="5"/>
      <c r="AT606" s="5"/>
      <c r="AU606" s="6" t="s">
        <v>927</v>
      </c>
      <c r="AV606" s="6" t="s">
        <v>2161</v>
      </c>
      <c r="AW606" s="6" t="s">
        <v>2161</v>
      </c>
      <c r="AX606" s="6" t="s">
        <v>929</v>
      </c>
      <c r="AY606" s="6" t="s">
        <v>930</v>
      </c>
      <c r="AZ606" s="6"/>
      <c r="BA606" s="6"/>
      <c r="BB606" s="6"/>
      <c r="BC606" s="6" t="s">
        <v>97</v>
      </c>
      <c r="BD606" s="6" t="s">
        <v>97</v>
      </c>
    </row>
    <row r="607" spans="1:56" ht="32" customHeight="1" x14ac:dyDescent="0.35">
      <c r="A607" s="13" t="s">
        <v>4507</v>
      </c>
      <c r="B607" s="6" t="s">
        <v>4478</v>
      </c>
      <c r="C607" s="5" t="s">
        <v>4479</v>
      </c>
      <c r="D607" s="5" t="s">
        <v>825</v>
      </c>
      <c r="E607" s="5" t="s">
        <v>4508</v>
      </c>
      <c r="F607" s="5" t="s">
        <v>4509</v>
      </c>
      <c r="G607" s="5" t="s">
        <v>1300</v>
      </c>
      <c r="H607" s="5" t="s">
        <v>4510</v>
      </c>
      <c r="I607" s="5" t="s">
        <v>4511</v>
      </c>
      <c r="J607" s="16" t="s">
        <v>73</v>
      </c>
      <c r="K607" s="17" t="s">
        <v>181</v>
      </c>
      <c r="L607" s="5" t="s">
        <v>4512</v>
      </c>
      <c r="M607" s="6" t="s">
        <v>198</v>
      </c>
      <c r="N607" s="6" t="s">
        <v>813</v>
      </c>
      <c r="O607" s="6" t="s">
        <v>73</v>
      </c>
      <c r="P607" s="5" t="s">
        <v>918</v>
      </c>
      <c r="Q607" s="17" t="s">
        <v>182</v>
      </c>
      <c r="R607" s="5"/>
      <c r="S607" s="6" t="s">
        <v>1053</v>
      </c>
      <c r="T607" s="5" t="s">
        <v>1054</v>
      </c>
      <c r="U607" s="6"/>
      <c r="V607" s="6" t="s">
        <v>1055</v>
      </c>
      <c r="W607" s="6" t="s">
        <v>333</v>
      </c>
      <c r="X607" s="5" t="s">
        <v>922</v>
      </c>
      <c r="Y607" s="5" t="s">
        <v>4385</v>
      </c>
      <c r="Z607" s="5" t="str">
        <f t="shared" si="18"/>
        <v>Critical</v>
      </c>
      <c r="AA607" s="5" t="s">
        <v>923</v>
      </c>
      <c r="AB607" s="6" t="s">
        <v>923</v>
      </c>
      <c r="AC607" s="6" t="s">
        <v>78</v>
      </c>
      <c r="AD607" s="5" t="s">
        <v>925</v>
      </c>
      <c r="AE607" s="5" t="s">
        <v>354</v>
      </c>
      <c r="AF607" s="5" t="s">
        <v>354</v>
      </c>
      <c r="AG607" s="5" t="s">
        <v>354</v>
      </c>
      <c r="AH607" s="5" t="s">
        <v>354</v>
      </c>
      <c r="AI607" s="6" t="str">
        <f t="shared" si="19"/>
        <v>No</v>
      </c>
      <c r="AJ607" s="6" t="s">
        <v>926</v>
      </c>
      <c r="AK607" s="6" t="s">
        <v>73</v>
      </c>
      <c r="AL607" s="6">
        <f>MATCH(AA607,{"Low","Medium","High"},0)*MATCH(AB607,{"Low","Medium","High"},0)*INDEX({3,2,2,1,1},MATCH(X607,{"Core","Vertical extension","Differentiator","Future","Adjacent"},0))</f>
        <v>27</v>
      </c>
      <c r="AM607" s="5"/>
      <c r="AN607" s="5"/>
      <c r="AO607" s="5"/>
      <c r="AP607" s="5"/>
      <c r="AQ607" s="5"/>
      <c r="AR607" s="5"/>
      <c r="AS607" s="5"/>
      <c r="AT607" s="5"/>
      <c r="AU607" s="6" t="s">
        <v>927</v>
      </c>
      <c r="AV607" s="6" t="s">
        <v>2161</v>
      </c>
      <c r="AW607" s="6" t="s">
        <v>2161</v>
      </c>
      <c r="AX607" s="6" t="s">
        <v>929</v>
      </c>
      <c r="AY607" s="6" t="s">
        <v>930</v>
      </c>
      <c r="AZ607" s="6"/>
      <c r="BA607" s="6"/>
      <c r="BB607" s="6"/>
      <c r="BC607" s="6" t="s">
        <v>97</v>
      </c>
      <c r="BD607" s="6" t="s">
        <v>97</v>
      </c>
    </row>
    <row r="608" spans="1:56" ht="32" customHeight="1" x14ac:dyDescent="0.35">
      <c r="A608" s="13" t="s">
        <v>4513</v>
      </c>
      <c r="B608" s="6" t="s">
        <v>4478</v>
      </c>
      <c r="C608" s="5" t="s">
        <v>4479</v>
      </c>
      <c r="D608" s="5" t="s">
        <v>825</v>
      </c>
      <c r="E608" s="5" t="s">
        <v>4514</v>
      </c>
      <c r="F608" s="5" t="s">
        <v>4515</v>
      </c>
      <c r="G608" s="5" t="s">
        <v>1452</v>
      </c>
      <c r="H608" s="5" t="s">
        <v>4516</v>
      </c>
      <c r="I608" s="5" t="s">
        <v>4517</v>
      </c>
      <c r="J608" s="16" t="s">
        <v>73</v>
      </c>
      <c r="K608" s="17" t="s">
        <v>181</v>
      </c>
      <c r="L608" s="5" t="s">
        <v>4518</v>
      </c>
      <c r="M608" s="6" t="s">
        <v>198</v>
      </c>
      <c r="N608" s="6" t="s">
        <v>813</v>
      </c>
      <c r="O608" s="6" t="s">
        <v>121</v>
      </c>
      <c r="P608" s="5" t="s">
        <v>4365</v>
      </c>
      <c r="Q608" s="17" t="s">
        <v>182</v>
      </c>
      <c r="R608" s="5" t="s">
        <v>4365</v>
      </c>
      <c r="S608" s="6" t="s">
        <v>1053</v>
      </c>
      <c r="T608" s="5" t="s">
        <v>1054</v>
      </c>
      <c r="U608" s="6"/>
      <c r="V608" s="6" t="s">
        <v>1055</v>
      </c>
      <c r="W608" s="6" t="s">
        <v>333</v>
      </c>
      <c r="X608" s="5" t="s">
        <v>922</v>
      </c>
      <c r="Y608" s="5" t="s">
        <v>4385</v>
      </c>
      <c r="Z608" s="5" t="str">
        <f t="shared" si="18"/>
        <v>Critical</v>
      </c>
      <c r="AA608" s="5" t="s">
        <v>923</v>
      </c>
      <c r="AB608" s="6" t="s">
        <v>923</v>
      </c>
      <c r="AC608" s="6" t="s">
        <v>78</v>
      </c>
      <c r="AD608" s="5" t="s">
        <v>925</v>
      </c>
      <c r="AE608" s="5" t="s">
        <v>354</v>
      </c>
      <c r="AF608" s="5" t="s">
        <v>354</v>
      </c>
      <c r="AG608" s="5" t="s">
        <v>354</v>
      </c>
      <c r="AH608" s="5" t="s">
        <v>354</v>
      </c>
      <c r="AI608" s="6" t="str">
        <f t="shared" si="19"/>
        <v>No</v>
      </c>
      <c r="AJ608" s="6" t="s">
        <v>926</v>
      </c>
      <c r="AK608" s="6" t="s">
        <v>73</v>
      </c>
      <c r="AL608" s="6">
        <f>MATCH(AA608,{"Low","Medium","High"},0)*MATCH(AB608,{"Low","Medium","High"},0)*INDEX({3,2,2,1,1},MATCH(X608,{"Core","Vertical extension","Differentiator","Future","Adjacent"},0))</f>
        <v>27</v>
      </c>
      <c r="AM608" s="5"/>
      <c r="AN608" s="5"/>
      <c r="AO608" s="5"/>
      <c r="AP608" s="5"/>
      <c r="AQ608" s="5"/>
      <c r="AR608" s="5"/>
      <c r="AS608" s="5"/>
      <c r="AT608" s="5"/>
      <c r="AU608" s="6" t="s">
        <v>927</v>
      </c>
      <c r="AV608" s="6" t="s">
        <v>2161</v>
      </c>
      <c r="AW608" s="6" t="s">
        <v>2161</v>
      </c>
      <c r="AX608" s="6" t="s">
        <v>4285</v>
      </c>
      <c r="AY608" s="6" t="s">
        <v>930</v>
      </c>
      <c r="AZ608" s="6"/>
      <c r="BA608" s="6"/>
      <c r="BB608" s="6"/>
      <c r="BC608" s="6" t="s">
        <v>97</v>
      </c>
      <c r="BD608" s="6" t="s">
        <v>97</v>
      </c>
    </row>
    <row r="609" spans="1:56" ht="32" customHeight="1" x14ac:dyDescent="0.35">
      <c r="A609" s="13" t="s">
        <v>4519</v>
      </c>
      <c r="B609" s="6" t="s">
        <v>4478</v>
      </c>
      <c r="C609" s="5" t="s">
        <v>4479</v>
      </c>
      <c r="D609" s="5" t="s">
        <v>825</v>
      </c>
      <c r="E609" s="5" t="s">
        <v>4520</v>
      </c>
      <c r="F609" s="5" t="s">
        <v>4521</v>
      </c>
      <c r="G609" s="5" t="s">
        <v>1183</v>
      </c>
      <c r="H609" s="5" t="s">
        <v>4522</v>
      </c>
      <c r="I609" s="5" t="s">
        <v>4523</v>
      </c>
      <c r="J609" s="16" t="s">
        <v>73</v>
      </c>
      <c r="K609" s="17" t="s">
        <v>181</v>
      </c>
      <c r="L609" s="5" t="s">
        <v>4524</v>
      </c>
      <c r="M609" s="6" t="s">
        <v>198</v>
      </c>
      <c r="N609" s="6" t="s">
        <v>813</v>
      </c>
      <c r="O609" s="6" t="s">
        <v>73</v>
      </c>
      <c r="P609" s="5" t="s">
        <v>918</v>
      </c>
      <c r="Q609" s="18" t="s">
        <v>186</v>
      </c>
      <c r="R609" s="5" t="s">
        <v>4525</v>
      </c>
      <c r="S609" s="6" t="s">
        <v>1053</v>
      </c>
      <c r="T609" s="5" t="s">
        <v>1054</v>
      </c>
      <c r="U609" s="6"/>
      <c r="V609" s="6" t="s">
        <v>1055</v>
      </c>
      <c r="W609" s="6" t="s">
        <v>333</v>
      </c>
      <c r="X609" s="5" t="s">
        <v>922</v>
      </c>
      <c r="Y609" s="5" t="s">
        <v>4385</v>
      </c>
      <c r="Z609" s="5" t="str">
        <f t="shared" si="18"/>
        <v>Critical</v>
      </c>
      <c r="AA609" s="5" t="s">
        <v>923</v>
      </c>
      <c r="AB609" s="6" t="s">
        <v>923</v>
      </c>
      <c r="AC609" s="6" t="s">
        <v>78</v>
      </c>
      <c r="AD609" s="5" t="s">
        <v>940</v>
      </c>
      <c r="AE609" s="5" t="s">
        <v>354</v>
      </c>
      <c r="AF609" s="5" t="s">
        <v>354</v>
      </c>
      <c r="AG609" s="5" t="s">
        <v>354</v>
      </c>
      <c r="AH609" s="5" t="s">
        <v>354</v>
      </c>
      <c r="AI609" s="6" t="str">
        <f t="shared" si="19"/>
        <v>No</v>
      </c>
      <c r="AJ609" s="6" t="s">
        <v>941</v>
      </c>
      <c r="AK609" s="6" t="s">
        <v>73</v>
      </c>
      <c r="AL609" s="6">
        <f>MATCH(AA609,{"Low","Medium","High"},0)*MATCH(AB609,{"Low","Medium","High"},0)*INDEX({3,2,2,1,1},MATCH(X609,{"Core","Vertical extension","Differentiator","Future","Adjacent"},0))</f>
        <v>27</v>
      </c>
      <c r="AM609" s="5"/>
      <c r="AN609" s="5"/>
      <c r="AO609" s="5"/>
      <c r="AP609" s="5"/>
      <c r="AQ609" s="5"/>
      <c r="AR609" s="5"/>
      <c r="AS609" s="5"/>
      <c r="AT609" s="5"/>
      <c r="AU609" s="6" t="s">
        <v>927</v>
      </c>
      <c r="AV609" s="6" t="s">
        <v>2161</v>
      </c>
      <c r="AW609" s="6" t="s">
        <v>2161</v>
      </c>
      <c r="AX609" s="6" t="s">
        <v>929</v>
      </c>
      <c r="AY609" s="6" t="s">
        <v>930</v>
      </c>
      <c r="AZ609" s="6"/>
      <c r="BA609" s="6" t="s">
        <v>4526</v>
      </c>
      <c r="BB609" s="6" t="s">
        <v>4527</v>
      </c>
      <c r="BC609" s="6" t="s">
        <v>97</v>
      </c>
      <c r="BD609" s="6" t="s">
        <v>97</v>
      </c>
    </row>
    <row r="610" spans="1:56" ht="32" customHeight="1" x14ac:dyDescent="0.35">
      <c r="A610" s="13" t="s">
        <v>4528</v>
      </c>
      <c r="B610" s="6" t="s">
        <v>4478</v>
      </c>
      <c r="C610" s="5" t="s">
        <v>4479</v>
      </c>
      <c r="D610" s="5" t="s">
        <v>825</v>
      </c>
      <c r="E610" s="5" t="s">
        <v>4529</v>
      </c>
      <c r="F610" s="5" t="s">
        <v>4530</v>
      </c>
      <c r="G610" s="5" t="s">
        <v>1194</v>
      </c>
      <c r="H610" s="5" t="s">
        <v>4531</v>
      </c>
      <c r="I610" s="5" t="s">
        <v>4532</v>
      </c>
      <c r="J610" s="16" t="s">
        <v>73</v>
      </c>
      <c r="K610" s="17" t="s">
        <v>181</v>
      </c>
      <c r="L610" s="5" t="s">
        <v>4533</v>
      </c>
      <c r="M610" s="6" t="s">
        <v>198</v>
      </c>
      <c r="N610" s="6" t="s">
        <v>813</v>
      </c>
      <c r="O610" s="6" t="s">
        <v>73</v>
      </c>
      <c r="P610" s="5" t="s">
        <v>918</v>
      </c>
      <c r="Q610" s="17" t="s">
        <v>182</v>
      </c>
      <c r="R610" s="5"/>
      <c r="S610" s="6" t="s">
        <v>1053</v>
      </c>
      <c r="T610" s="5" t="s">
        <v>1054</v>
      </c>
      <c r="U610" s="6"/>
      <c r="V610" s="6" t="s">
        <v>1055</v>
      </c>
      <c r="W610" s="6" t="s">
        <v>333</v>
      </c>
      <c r="X610" s="5" t="s">
        <v>922</v>
      </c>
      <c r="Y610" s="5" t="s">
        <v>4385</v>
      </c>
      <c r="Z610" s="5" t="str">
        <f t="shared" si="18"/>
        <v>Critical</v>
      </c>
      <c r="AA610" s="5" t="s">
        <v>923</v>
      </c>
      <c r="AB610" s="6" t="s">
        <v>923</v>
      </c>
      <c r="AC610" s="6" t="s">
        <v>78</v>
      </c>
      <c r="AD610" s="5" t="s">
        <v>925</v>
      </c>
      <c r="AE610" s="5" t="s">
        <v>354</v>
      </c>
      <c r="AF610" s="5" t="s">
        <v>354</v>
      </c>
      <c r="AG610" s="5" t="s">
        <v>354</v>
      </c>
      <c r="AH610" s="5" t="s">
        <v>354</v>
      </c>
      <c r="AI610" s="6" t="str">
        <f t="shared" si="19"/>
        <v>No</v>
      </c>
      <c r="AJ610" s="6" t="s">
        <v>926</v>
      </c>
      <c r="AK610" s="6" t="s">
        <v>73</v>
      </c>
      <c r="AL610" s="6">
        <f>MATCH(AA610,{"Low","Medium","High"},0)*MATCH(AB610,{"Low","Medium","High"},0)*INDEX({3,2,2,1,1},MATCH(X610,{"Core","Vertical extension","Differentiator","Future","Adjacent"},0))</f>
        <v>27</v>
      </c>
      <c r="AM610" s="5"/>
      <c r="AN610" s="5"/>
      <c r="AO610" s="5"/>
      <c r="AP610" s="5"/>
      <c r="AQ610" s="5"/>
      <c r="AR610" s="5"/>
      <c r="AS610" s="5"/>
      <c r="AT610" s="5"/>
      <c r="AU610" s="6" t="s">
        <v>927</v>
      </c>
      <c r="AV610" s="6" t="s">
        <v>1188</v>
      </c>
      <c r="AW610" s="6" t="s">
        <v>1188</v>
      </c>
      <c r="AX610" s="6" t="s">
        <v>929</v>
      </c>
      <c r="AY610" s="6" t="s">
        <v>930</v>
      </c>
      <c r="AZ610" s="6"/>
      <c r="BA610" s="6"/>
      <c r="BB610" s="6"/>
      <c r="BC610" s="6" t="s">
        <v>97</v>
      </c>
      <c r="BD610" s="6" t="s">
        <v>97</v>
      </c>
    </row>
    <row r="611" spans="1:56" ht="32" customHeight="1" x14ac:dyDescent="0.35">
      <c r="A611" s="13" t="s">
        <v>4534</v>
      </c>
      <c r="B611" s="6" t="s">
        <v>4478</v>
      </c>
      <c r="C611" s="5" t="s">
        <v>4479</v>
      </c>
      <c r="D611" s="5" t="s">
        <v>825</v>
      </c>
      <c r="E611" s="5" t="s">
        <v>4535</v>
      </c>
      <c r="F611" s="5" t="s">
        <v>4521</v>
      </c>
      <c r="G611" s="5" t="s">
        <v>4536</v>
      </c>
      <c r="H611" s="5" t="s">
        <v>4537</v>
      </c>
      <c r="I611" s="5" t="s">
        <v>4538</v>
      </c>
      <c r="J611" s="16" t="s">
        <v>73</v>
      </c>
      <c r="K611" s="17" t="s">
        <v>181</v>
      </c>
      <c r="L611" s="5" t="s">
        <v>4539</v>
      </c>
      <c r="M611" s="6" t="s">
        <v>198</v>
      </c>
      <c r="N611" s="6" t="s">
        <v>813</v>
      </c>
      <c r="O611" s="6" t="s">
        <v>73</v>
      </c>
      <c r="P611" s="5" t="s">
        <v>918</v>
      </c>
      <c r="Q611" s="18" t="s">
        <v>186</v>
      </c>
      <c r="R611" s="5" t="s">
        <v>4525</v>
      </c>
      <c r="S611" s="6" t="s">
        <v>1053</v>
      </c>
      <c r="T611" s="5" t="s">
        <v>1054</v>
      </c>
      <c r="U611" s="6"/>
      <c r="V611" s="6" t="s">
        <v>1055</v>
      </c>
      <c r="W611" s="6" t="s">
        <v>333</v>
      </c>
      <c r="X611" s="5" t="s">
        <v>922</v>
      </c>
      <c r="Y611" s="5" t="s">
        <v>4385</v>
      </c>
      <c r="Z611" s="5" t="str">
        <f t="shared" si="18"/>
        <v>Critical</v>
      </c>
      <c r="AA611" s="5" t="s">
        <v>923</v>
      </c>
      <c r="AB611" s="6" t="s">
        <v>923</v>
      </c>
      <c r="AC611" s="6" t="s">
        <v>78</v>
      </c>
      <c r="AD611" s="5" t="s">
        <v>940</v>
      </c>
      <c r="AE611" s="5" t="s">
        <v>354</v>
      </c>
      <c r="AF611" s="5" t="s">
        <v>354</v>
      </c>
      <c r="AG611" s="5" t="s">
        <v>354</v>
      </c>
      <c r="AH611" s="5" t="s">
        <v>354</v>
      </c>
      <c r="AI611" s="6" t="str">
        <f t="shared" si="19"/>
        <v>No</v>
      </c>
      <c r="AJ611" s="6" t="s">
        <v>941</v>
      </c>
      <c r="AK611" s="6" t="s">
        <v>73</v>
      </c>
      <c r="AL611" s="6">
        <f>MATCH(AA611,{"Low","Medium","High"},0)*MATCH(AB611,{"Low","Medium","High"},0)*INDEX({3,2,2,1,1},MATCH(X611,{"Core","Vertical extension","Differentiator","Future","Adjacent"},0))</f>
        <v>27</v>
      </c>
      <c r="AM611" s="5"/>
      <c r="AN611" s="5"/>
      <c r="AO611" s="5"/>
      <c r="AP611" s="5"/>
      <c r="AQ611" s="5"/>
      <c r="AR611" s="5"/>
      <c r="AS611" s="5"/>
      <c r="AT611" s="5"/>
      <c r="AU611" s="6" t="s">
        <v>927</v>
      </c>
      <c r="AV611" s="6" t="s">
        <v>2161</v>
      </c>
      <c r="AW611" s="6" t="s">
        <v>2161</v>
      </c>
      <c r="AX611" s="6" t="s">
        <v>929</v>
      </c>
      <c r="AY611" s="6" t="s">
        <v>930</v>
      </c>
      <c r="AZ611" s="6"/>
      <c r="BA611" s="6" t="s">
        <v>4526</v>
      </c>
      <c r="BB611" s="6" t="s">
        <v>4527</v>
      </c>
      <c r="BC611" s="6" t="s">
        <v>97</v>
      </c>
      <c r="BD611" s="6" t="s">
        <v>97</v>
      </c>
    </row>
    <row r="612" spans="1:56" ht="32" customHeight="1" x14ac:dyDescent="0.35">
      <c r="A612" s="13" t="s">
        <v>4540</v>
      </c>
      <c r="B612" s="6" t="s">
        <v>4478</v>
      </c>
      <c r="C612" s="5" t="s">
        <v>4479</v>
      </c>
      <c r="D612" s="5" t="s">
        <v>825</v>
      </c>
      <c r="E612" s="5" t="s">
        <v>4541</v>
      </c>
      <c r="F612" s="5" t="s">
        <v>4521</v>
      </c>
      <c r="G612" s="5" t="s">
        <v>3855</v>
      </c>
      <c r="H612" s="5" t="s">
        <v>4542</v>
      </c>
      <c r="I612" s="5" t="s">
        <v>4543</v>
      </c>
      <c r="J612" s="17" t="s">
        <v>121</v>
      </c>
      <c r="K612" s="17" t="s">
        <v>181</v>
      </c>
      <c r="L612" s="5" t="s">
        <v>4544</v>
      </c>
      <c r="M612" s="6" t="s">
        <v>198</v>
      </c>
      <c r="N612" s="6" t="s">
        <v>813</v>
      </c>
      <c r="O612" s="6" t="s">
        <v>121</v>
      </c>
      <c r="P612" s="5" t="s">
        <v>918</v>
      </c>
      <c r="Q612" s="17" t="s">
        <v>182</v>
      </c>
      <c r="R612" s="5"/>
      <c r="S612" s="6" t="s">
        <v>1053</v>
      </c>
      <c r="T612" s="5" t="s">
        <v>1054</v>
      </c>
      <c r="U612" s="6"/>
      <c r="V612" s="6" t="s">
        <v>1055</v>
      </c>
      <c r="W612" s="6" t="s">
        <v>333</v>
      </c>
      <c r="X612" s="5" t="s">
        <v>922</v>
      </c>
      <c r="Y612" s="5" t="s">
        <v>4385</v>
      </c>
      <c r="Z612" s="5" t="str">
        <f t="shared" si="18"/>
        <v>Critical</v>
      </c>
      <c r="AA612" s="5" t="s">
        <v>923</v>
      </c>
      <c r="AB612" s="6" t="s">
        <v>923</v>
      </c>
      <c r="AC612" s="6" t="s">
        <v>103</v>
      </c>
      <c r="AD612" s="5" t="s">
        <v>925</v>
      </c>
      <c r="AE612" s="5" t="s">
        <v>354</v>
      </c>
      <c r="AF612" s="5" t="s">
        <v>354</v>
      </c>
      <c r="AG612" s="5" t="s">
        <v>354</v>
      </c>
      <c r="AH612" s="5" t="s">
        <v>354</v>
      </c>
      <c r="AI612" s="6" t="str">
        <f t="shared" si="19"/>
        <v>No</v>
      </c>
      <c r="AJ612" s="6" t="s">
        <v>926</v>
      </c>
      <c r="AK612" s="6" t="s">
        <v>121</v>
      </c>
      <c r="AL612" s="6">
        <f>MATCH(AA612,{"Low","Medium","High"},0)*MATCH(AB612,{"Low","Medium","High"},0)*INDEX({3,2,2,1,1},MATCH(X612,{"Core","Vertical extension","Differentiator","Future","Adjacent"},0))</f>
        <v>27</v>
      </c>
      <c r="AM612" s="5"/>
      <c r="AN612" s="5"/>
      <c r="AO612" s="5"/>
      <c r="AP612" s="5"/>
      <c r="AQ612" s="5"/>
      <c r="AR612" s="5"/>
      <c r="AS612" s="5"/>
      <c r="AT612" s="5"/>
      <c r="AU612" s="6" t="s">
        <v>927</v>
      </c>
      <c r="AV612" s="6" t="s">
        <v>2161</v>
      </c>
      <c r="AW612" s="6" t="s">
        <v>2161</v>
      </c>
      <c r="AX612" s="6" t="s">
        <v>929</v>
      </c>
      <c r="AY612" s="6" t="s">
        <v>930</v>
      </c>
      <c r="AZ612" s="6"/>
      <c r="BA612" s="6"/>
      <c r="BB612" s="6"/>
      <c r="BC612" s="6" t="s">
        <v>97</v>
      </c>
      <c r="BD612" s="6" t="s">
        <v>97</v>
      </c>
    </row>
    <row r="613" spans="1:56" ht="32" customHeight="1" x14ac:dyDescent="0.35">
      <c r="A613" s="13" t="s">
        <v>4545</v>
      </c>
      <c r="B613" s="6" t="s">
        <v>4478</v>
      </c>
      <c r="C613" s="5" t="s">
        <v>4479</v>
      </c>
      <c r="D613" s="5" t="s">
        <v>825</v>
      </c>
      <c r="E613" s="5" t="s">
        <v>4546</v>
      </c>
      <c r="F613" s="5" t="s">
        <v>1452</v>
      </c>
      <c r="G613" s="5" t="s">
        <v>4547</v>
      </c>
      <c r="H613" s="5" t="s">
        <v>4548</v>
      </c>
      <c r="I613" s="5" t="s">
        <v>4549</v>
      </c>
      <c r="J613" s="17" t="s">
        <v>121</v>
      </c>
      <c r="K613" s="17" t="s">
        <v>181</v>
      </c>
      <c r="L613" s="5" t="s">
        <v>4550</v>
      </c>
      <c r="M613" s="6" t="s">
        <v>198</v>
      </c>
      <c r="N613" s="6" t="s">
        <v>813</v>
      </c>
      <c r="O613" s="6" t="s">
        <v>121</v>
      </c>
      <c r="P613" s="5" t="s">
        <v>918</v>
      </c>
      <c r="Q613" s="17" t="s">
        <v>182</v>
      </c>
      <c r="R613" s="5"/>
      <c r="S613" s="6" t="s">
        <v>1053</v>
      </c>
      <c r="T613" s="5" t="s">
        <v>1054</v>
      </c>
      <c r="U613" s="6"/>
      <c r="V613" s="6" t="s">
        <v>1055</v>
      </c>
      <c r="W613" s="6" t="s">
        <v>333</v>
      </c>
      <c r="X613" s="5" t="s">
        <v>922</v>
      </c>
      <c r="Y613" s="5" t="s">
        <v>4385</v>
      </c>
      <c r="Z613" s="5" t="str">
        <f t="shared" si="18"/>
        <v>Critical</v>
      </c>
      <c r="AA613" s="5" t="s">
        <v>923</v>
      </c>
      <c r="AB613" s="6" t="s">
        <v>923</v>
      </c>
      <c r="AC613" s="6" t="s">
        <v>103</v>
      </c>
      <c r="AD613" s="5" t="s">
        <v>925</v>
      </c>
      <c r="AE613" s="5" t="s">
        <v>354</v>
      </c>
      <c r="AF613" s="5" t="s">
        <v>354</v>
      </c>
      <c r="AG613" s="5" t="s">
        <v>354</v>
      </c>
      <c r="AH613" s="5" t="s">
        <v>354</v>
      </c>
      <c r="AI613" s="6" t="str">
        <f t="shared" si="19"/>
        <v>No</v>
      </c>
      <c r="AJ613" s="6" t="s">
        <v>926</v>
      </c>
      <c r="AK613" s="6" t="s">
        <v>121</v>
      </c>
      <c r="AL613" s="6">
        <f>MATCH(AA613,{"Low","Medium","High"},0)*MATCH(AB613,{"Low","Medium","High"},0)*INDEX({3,2,2,1,1},MATCH(X613,{"Core","Vertical extension","Differentiator","Future","Adjacent"},0))</f>
        <v>27</v>
      </c>
      <c r="AM613" s="5"/>
      <c r="AN613" s="5"/>
      <c r="AO613" s="5"/>
      <c r="AP613" s="5"/>
      <c r="AQ613" s="5"/>
      <c r="AR613" s="5"/>
      <c r="AS613" s="5"/>
      <c r="AT613" s="5"/>
      <c r="AU613" s="6" t="s">
        <v>927</v>
      </c>
      <c r="AV613" s="6" t="s">
        <v>55</v>
      </c>
      <c r="AW613" s="6" t="s">
        <v>55</v>
      </c>
      <c r="AX613" s="6" t="s">
        <v>929</v>
      </c>
      <c r="AY613" s="6" t="s">
        <v>930</v>
      </c>
      <c r="AZ613" s="6"/>
      <c r="BA613" s="6"/>
      <c r="BB613" s="6"/>
      <c r="BC613" s="6" t="s">
        <v>97</v>
      </c>
      <c r="BD613" s="6" t="s">
        <v>97</v>
      </c>
    </row>
    <row r="614" spans="1:56" ht="32" customHeight="1" x14ac:dyDescent="0.35">
      <c r="A614" s="13" t="s">
        <v>4551</v>
      </c>
      <c r="B614" s="6" t="s">
        <v>4478</v>
      </c>
      <c r="C614" s="5" t="s">
        <v>4479</v>
      </c>
      <c r="D614" s="5" t="s">
        <v>825</v>
      </c>
      <c r="E614" s="5" t="s">
        <v>4552</v>
      </c>
      <c r="F614" s="5" t="s">
        <v>1452</v>
      </c>
      <c r="G614" s="5" t="s">
        <v>4553</v>
      </c>
      <c r="H614" s="5" t="s">
        <v>4554</v>
      </c>
      <c r="I614" s="5" t="s">
        <v>4555</v>
      </c>
      <c r="J614" s="17" t="s">
        <v>121</v>
      </c>
      <c r="K614" s="17" t="s">
        <v>181</v>
      </c>
      <c r="L614" s="5" t="s">
        <v>4556</v>
      </c>
      <c r="M614" s="6" t="s">
        <v>198</v>
      </c>
      <c r="N614" s="6" t="s">
        <v>813</v>
      </c>
      <c r="O614" s="6" t="s">
        <v>121</v>
      </c>
      <c r="P614" s="5" t="s">
        <v>918</v>
      </c>
      <c r="Q614" s="17" t="s">
        <v>182</v>
      </c>
      <c r="R614" s="5"/>
      <c r="S614" s="6" t="s">
        <v>1053</v>
      </c>
      <c r="T614" s="5" t="s">
        <v>1054</v>
      </c>
      <c r="U614" s="6"/>
      <c r="V614" s="6" t="s">
        <v>1055</v>
      </c>
      <c r="W614" s="6" t="s">
        <v>333</v>
      </c>
      <c r="X614" s="5" t="s">
        <v>922</v>
      </c>
      <c r="Y614" s="5" t="s">
        <v>4385</v>
      </c>
      <c r="Z614" s="5" t="str">
        <f t="shared" si="18"/>
        <v>Critical</v>
      </c>
      <c r="AA614" s="5" t="s">
        <v>923</v>
      </c>
      <c r="AB614" s="6" t="s">
        <v>923</v>
      </c>
      <c r="AC614" s="6" t="s">
        <v>103</v>
      </c>
      <c r="AD614" s="5" t="s">
        <v>925</v>
      </c>
      <c r="AE614" s="5" t="s">
        <v>354</v>
      </c>
      <c r="AF614" s="5" t="s">
        <v>354</v>
      </c>
      <c r="AG614" s="5" t="s">
        <v>354</v>
      </c>
      <c r="AH614" s="5" t="s">
        <v>354</v>
      </c>
      <c r="AI614" s="6" t="str">
        <f t="shared" si="19"/>
        <v>No</v>
      </c>
      <c r="AJ614" s="6" t="s">
        <v>926</v>
      </c>
      <c r="AK614" s="6" t="s">
        <v>121</v>
      </c>
      <c r="AL614" s="6">
        <f>MATCH(AA614,{"Low","Medium","High"},0)*MATCH(AB614,{"Low","Medium","High"},0)*INDEX({3,2,2,1,1},MATCH(X614,{"Core","Vertical extension","Differentiator","Future","Adjacent"},0))</f>
        <v>27</v>
      </c>
      <c r="AM614" s="5"/>
      <c r="AN614" s="5"/>
      <c r="AO614" s="5"/>
      <c r="AP614" s="5"/>
      <c r="AQ614" s="5"/>
      <c r="AR614" s="5"/>
      <c r="AS614" s="5"/>
      <c r="AT614" s="5"/>
      <c r="AU614" s="6" t="s">
        <v>927</v>
      </c>
      <c r="AV614" s="6" t="s">
        <v>55</v>
      </c>
      <c r="AW614" s="6" t="s">
        <v>55</v>
      </c>
      <c r="AX614" s="6" t="s">
        <v>929</v>
      </c>
      <c r="AY614" s="6" t="s">
        <v>930</v>
      </c>
      <c r="AZ614" s="6"/>
      <c r="BA614" s="6"/>
      <c r="BB614" s="6"/>
      <c r="BC614" s="6" t="s">
        <v>97</v>
      </c>
      <c r="BD614" s="6" t="s">
        <v>97</v>
      </c>
    </row>
    <row r="615" spans="1:56" ht="32" customHeight="1" x14ac:dyDescent="0.35">
      <c r="A615" s="13" t="s">
        <v>119</v>
      </c>
      <c r="B615" s="6" t="s">
        <v>4478</v>
      </c>
      <c r="C615" s="5" t="s">
        <v>4479</v>
      </c>
      <c r="D615" s="5" t="s">
        <v>825</v>
      </c>
      <c r="E615" s="5" t="s">
        <v>768</v>
      </c>
      <c r="F615" s="5" t="s">
        <v>4557</v>
      </c>
      <c r="G615" s="5" t="s">
        <v>4558</v>
      </c>
      <c r="H615" s="5" t="s">
        <v>4559</v>
      </c>
      <c r="I615" s="5" t="s">
        <v>4560</v>
      </c>
      <c r="J615" s="17" t="s">
        <v>121</v>
      </c>
      <c r="K615" s="16" t="s">
        <v>122</v>
      </c>
      <c r="L615" s="5" t="s">
        <v>4561</v>
      </c>
      <c r="M615" s="6" t="s">
        <v>198</v>
      </c>
      <c r="N615" s="6" t="s">
        <v>813</v>
      </c>
      <c r="O615" s="6" t="s">
        <v>121</v>
      </c>
      <c r="P615" s="5" t="s">
        <v>918</v>
      </c>
      <c r="Q615" s="16" t="s">
        <v>122</v>
      </c>
      <c r="R615" s="5" t="s">
        <v>4002</v>
      </c>
      <c r="S615" s="6" t="s">
        <v>1053</v>
      </c>
      <c r="T615" s="5" t="s">
        <v>1054</v>
      </c>
      <c r="U615" s="6"/>
      <c r="V615" s="6" t="s">
        <v>1055</v>
      </c>
      <c r="W615" s="6" t="s">
        <v>333</v>
      </c>
      <c r="X615" s="5" t="s">
        <v>922</v>
      </c>
      <c r="Y615" s="5" t="s">
        <v>4385</v>
      </c>
      <c r="Z615" s="5" t="str">
        <f t="shared" si="18"/>
        <v>Critical</v>
      </c>
      <c r="AA615" s="5" t="s">
        <v>923</v>
      </c>
      <c r="AB615" s="6" t="s">
        <v>923</v>
      </c>
      <c r="AC615" s="6" t="s">
        <v>103</v>
      </c>
      <c r="AD615" s="5" t="s">
        <v>439</v>
      </c>
      <c r="AE615" s="5" t="s">
        <v>354</v>
      </c>
      <c r="AF615" s="5" t="s">
        <v>354</v>
      </c>
      <c r="AG615" s="5" t="s">
        <v>354</v>
      </c>
      <c r="AH615" s="5" t="s">
        <v>354</v>
      </c>
      <c r="AI615" s="6" t="str">
        <f t="shared" si="19"/>
        <v>No</v>
      </c>
      <c r="AJ615" s="6" t="s">
        <v>4003</v>
      </c>
      <c r="AK615" s="6" t="s">
        <v>121</v>
      </c>
      <c r="AL615" s="6">
        <f>MATCH(AA615,{"Low","Medium","High"},0)*MATCH(AB615,{"Low","Medium","High"},0)*INDEX({3,2,2,1,1},MATCH(X615,{"Core","Vertical extension","Differentiator","Future","Adjacent"},0))</f>
        <v>27</v>
      </c>
      <c r="AM615" s="5"/>
      <c r="AN615" s="5"/>
      <c r="AO615" s="5"/>
      <c r="AP615" s="5"/>
      <c r="AQ615" s="5"/>
      <c r="AR615" s="5"/>
      <c r="AS615" s="5"/>
      <c r="AT615" s="5"/>
      <c r="AU615" s="6" t="s">
        <v>927</v>
      </c>
      <c r="AV615" s="6" t="s">
        <v>2161</v>
      </c>
      <c r="AW615" s="6" t="s">
        <v>2161</v>
      </c>
      <c r="AX615" s="6" t="s">
        <v>929</v>
      </c>
      <c r="AY615" s="6" t="s">
        <v>930</v>
      </c>
      <c r="AZ615" s="6"/>
      <c r="BA615" s="6"/>
      <c r="BB615" s="6"/>
      <c r="BC615" s="6" t="s">
        <v>97</v>
      </c>
      <c r="BD615" s="6" t="s">
        <v>97</v>
      </c>
    </row>
    <row r="616" spans="1:56" ht="32" customHeight="1" x14ac:dyDescent="0.35">
      <c r="A616" s="13" t="s">
        <v>4562</v>
      </c>
      <c r="B616" s="6" t="s">
        <v>4478</v>
      </c>
      <c r="C616" s="5" t="s">
        <v>4479</v>
      </c>
      <c r="D616" s="5" t="s">
        <v>825</v>
      </c>
      <c r="E616" s="5" t="s">
        <v>4563</v>
      </c>
      <c r="F616" s="5" t="s">
        <v>2236</v>
      </c>
      <c r="G616" s="5" t="s">
        <v>4564</v>
      </c>
      <c r="H616" s="5" t="s">
        <v>4565</v>
      </c>
      <c r="I616" s="5" t="s">
        <v>4566</v>
      </c>
      <c r="J616" s="17" t="s">
        <v>121</v>
      </c>
      <c r="K616" s="17" t="s">
        <v>181</v>
      </c>
      <c r="L616" s="5" t="s">
        <v>4567</v>
      </c>
      <c r="M616" s="6" t="s">
        <v>198</v>
      </c>
      <c r="N616" s="6" t="s">
        <v>813</v>
      </c>
      <c r="O616" s="6" t="s">
        <v>121</v>
      </c>
      <c r="P616" s="5" t="s">
        <v>918</v>
      </c>
      <c r="Q616" s="17" t="s">
        <v>182</v>
      </c>
      <c r="R616" s="5"/>
      <c r="S616" s="6" t="s">
        <v>1053</v>
      </c>
      <c r="T616" s="5" t="s">
        <v>1054</v>
      </c>
      <c r="U616" s="6"/>
      <c r="V616" s="6" t="s">
        <v>1055</v>
      </c>
      <c r="W616" s="6" t="s">
        <v>333</v>
      </c>
      <c r="X616" s="5" t="s">
        <v>922</v>
      </c>
      <c r="Y616" s="5" t="s">
        <v>4385</v>
      </c>
      <c r="Z616" s="5" t="str">
        <f t="shared" si="18"/>
        <v>Critical</v>
      </c>
      <c r="AA616" s="5" t="s">
        <v>923</v>
      </c>
      <c r="AB616" s="6" t="s">
        <v>923</v>
      </c>
      <c r="AC616" s="6" t="s">
        <v>103</v>
      </c>
      <c r="AD616" s="5" t="s">
        <v>925</v>
      </c>
      <c r="AE616" s="5" t="s">
        <v>354</v>
      </c>
      <c r="AF616" s="5" t="s">
        <v>354</v>
      </c>
      <c r="AG616" s="5" t="s">
        <v>354</v>
      </c>
      <c r="AH616" s="5" t="s">
        <v>354</v>
      </c>
      <c r="AI616" s="6" t="str">
        <f t="shared" si="19"/>
        <v>No</v>
      </c>
      <c r="AJ616" s="6" t="s">
        <v>926</v>
      </c>
      <c r="AK616" s="6" t="s">
        <v>121</v>
      </c>
      <c r="AL616" s="6">
        <f>MATCH(AA616,{"Low","Medium","High"},0)*MATCH(AB616,{"Low","Medium","High"},0)*INDEX({3,2,2,1,1},MATCH(X616,{"Core","Vertical extension","Differentiator","Future","Adjacent"},0))</f>
        <v>27</v>
      </c>
      <c r="AM616" s="5"/>
      <c r="AN616" s="5"/>
      <c r="AO616" s="5"/>
      <c r="AP616" s="5"/>
      <c r="AQ616" s="5"/>
      <c r="AR616" s="5"/>
      <c r="AS616" s="5"/>
      <c r="AT616" s="5"/>
      <c r="AU616" s="6" t="s">
        <v>927</v>
      </c>
      <c r="AV616" s="6" t="s">
        <v>2161</v>
      </c>
      <c r="AW616" s="6" t="s">
        <v>2161</v>
      </c>
      <c r="AX616" s="6" t="s">
        <v>929</v>
      </c>
      <c r="AY616" s="6" t="s">
        <v>930</v>
      </c>
      <c r="AZ616" s="6"/>
      <c r="BA616" s="6"/>
      <c r="BB616" s="6"/>
      <c r="BC616" s="6" t="s">
        <v>97</v>
      </c>
      <c r="BD616" s="6" t="s">
        <v>97</v>
      </c>
    </row>
    <row r="617" spans="1:56" ht="32" customHeight="1" x14ac:dyDescent="0.35">
      <c r="A617" s="13" t="s">
        <v>4568</v>
      </c>
      <c r="B617" s="6" t="s">
        <v>4478</v>
      </c>
      <c r="C617" s="5" t="s">
        <v>4479</v>
      </c>
      <c r="D617" s="5" t="s">
        <v>827</v>
      </c>
      <c r="E617" s="5" t="s">
        <v>4569</v>
      </c>
      <c r="F617" s="5" t="s">
        <v>2094</v>
      </c>
      <c r="G617" s="5" t="s">
        <v>1504</v>
      </c>
      <c r="H617" s="5" t="s">
        <v>4570</v>
      </c>
      <c r="I617" s="5" t="s">
        <v>4571</v>
      </c>
      <c r="J617" s="16" t="s">
        <v>73</v>
      </c>
      <c r="K617" s="17" t="s">
        <v>181</v>
      </c>
      <c r="L617" s="5" t="s">
        <v>4572</v>
      </c>
      <c r="M617" s="6" t="s">
        <v>198</v>
      </c>
      <c r="N617" s="6" t="s">
        <v>813</v>
      </c>
      <c r="O617" s="6" t="s">
        <v>73</v>
      </c>
      <c r="P617" s="5" t="s">
        <v>918</v>
      </c>
      <c r="Q617" s="17" t="s">
        <v>182</v>
      </c>
      <c r="R617" s="5"/>
      <c r="S617" s="6" t="s">
        <v>1030</v>
      </c>
      <c r="T617" s="5" t="s">
        <v>827</v>
      </c>
      <c r="U617" s="6"/>
      <c r="V617" s="6" t="s">
        <v>1031</v>
      </c>
      <c r="W617" s="6" t="s">
        <v>333</v>
      </c>
      <c r="X617" s="5" t="s">
        <v>922</v>
      </c>
      <c r="Y617" s="5" t="s">
        <v>4385</v>
      </c>
      <c r="Z617" s="5" t="str">
        <f t="shared" si="18"/>
        <v>Critical</v>
      </c>
      <c r="AA617" s="5" t="s">
        <v>923</v>
      </c>
      <c r="AB617" s="6" t="s">
        <v>956</v>
      </c>
      <c r="AC617" s="6" t="s">
        <v>78</v>
      </c>
      <c r="AD617" s="5" t="s">
        <v>925</v>
      </c>
      <c r="AE617" s="5" t="s">
        <v>354</v>
      </c>
      <c r="AF617" s="5" t="s">
        <v>354</v>
      </c>
      <c r="AG617" s="5" t="s">
        <v>354</v>
      </c>
      <c r="AH617" s="5" t="s">
        <v>354</v>
      </c>
      <c r="AI617" s="6" t="str">
        <f t="shared" si="19"/>
        <v>No</v>
      </c>
      <c r="AJ617" s="6" t="s">
        <v>926</v>
      </c>
      <c r="AK617" s="6" t="s">
        <v>73</v>
      </c>
      <c r="AL617" s="6">
        <f>MATCH(AA617,{"Low","Medium","High"},0)*MATCH(AB617,{"Low","Medium","High"},0)*INDEX({3,2,2,1,1},MATCH(X617,{"Core","Vertical extension","Differentiator","Future","Adjacent"},0))</f>
        <v>18</v>
      </c>
      <c r="AM617" s="5"/>
      <c r="AN617" s="5"/>
      <c r="AO617" s="5"/>
      <c r="AP617" s="5"/>
      <c r="AQ617" s="5"/>
      <c r="AR617" s="5"/>
      <c r="AS617" s="5"/>
      <c r="AT617" s="5"/>
      <c r="AU617" s="6" t="s">
        <v>927</v>
      </c>
      <c r="AV617" s="6" t="s">
        <v>1527</v>
      </c>
      <c r="AW617" s="6" t="s">
        <v>1527</v>
      </c>
      <c r="AX617" s="6" t="s">
        <v>929</v>
      </c>
      <c r="AY617" s="6" t="s">
        <v>1032</v>
      </c>
      <c r="AZ617" s="6"/>
      <c r="BA617" s="6"/>
      <c r="BB617" s="6"/>
      <c r="BC617" s="6" t="s">
        <v>97</v>
      </c>
      <c r="BD617" s="6" t="s">
        <v>97</v>
      </c>
    </row>
    <row r="618" spans="1:56" ht="32" customHeight="1" x14ac:dyDescent="0.35">
      <c r="A618" s="13" t="s">
        <v>4573</v>
      </c>
      <c r="B618" s="6" t="s">
        <v>4478</v>
      </c>
      <c r="C618" s="5" t="s">
        <v>4479</v>
      </c>
      <c r="D618" s="5" t="s">
        <v>825</v>
      </c>
      <c r="E618" s="5" t="s">
        <v>4574</v>
      </c>
      <c r="F618" s="5" t="s">
        <v>1452</v>
      </c>
      <c r="G618" s="5" t="s">
        <v>1453</v>
      </c>
      <c r="H618" s="5" t="s">
        <v>4575</v>
      </c>
      <c r="I618" s="5" t="s">
        <v>4576</v>
      </c>
      <c r="J618" s="21" t="s">
        <v>158</v>
      </c>
      <c r="K618" s="17" t="s">
        <v>181</v>
      </c>
      <c r="L618" s="5" t="s">
        <v>4577</v>
      </c>
      <c r="M618" s="6" t="s">
        <v>198</v>
      </c>
      <c r="N618" s="6" t="s">
        <v>813</v>
      </c>
      <c r="O618" s="6" t="s">
        <v>151</v>
      </c>
      <c r="P618" s="5" t="s">
        <v>4283</v>
      </c>
      <c r="Q618" s="17" t="s">
        <v>182</v>
      </c>
      <c r="R618" s="5" t="s">
        <v>4283</v>
      </c>
      <c r="S618" s="6" t="s">
        <v>1053</v>
      </c>
      <c r="T618" s="5" t="s">
        <v>1054</v>
      </c>
      <c r="U618" s="6"/>
      <c r="V618" s="6" t="s">
        <v>1055</v>
      </c>
      <c r="W618" s="6" t="s">
        <v>333</v>
      </c>
      <c r="X618" s="5" t="s">
        <v>4284</v>
      </c>
      <c r="Y618" s="5" t="s">
        <v>4385</v>
      </c>
      <c r="Z618" s="5" t="str">
        <f t="shared" si="18"/>
        <v>High</v>
      </c>
      <c r="AA618" s="5" t="s">
        <v>923</v>
      </c>
      <c r="AB618" s="6" t="s">
        <v>923</v>
      </c>
      <c r="AC618" s="6" t="s">
        <v>11</v>
      </c>
      <c r="AD618" s="5" t="s">
        <v>925</v>
      </c>
      <c r="AE618" s="5" t="s">
        <v>354</v>
      </c>
      <c r="AF618" s="5" t="s">
        <v>354</v>
      </c>
      <c r="AG618" s="5" t="s">
        <v>354</v>
      </c>
      <c r="AH618" s="5" t="s">
        <v>354</v>
      </c>
      <c r="AI618" s="6" t="str">
        <f t="shared" si="19"/>
        <v>No</v>
      </c>
      <c r="AJ618" s="6" t="s">
        <v>926</v>
      </c>
      <c r="AK618" s="6" t="s">
        <v>158</v>
      </c>
      <c r="AL618" s="6">
        <f>MATCH(AA618,{"Low","Medium","High"},0)*MATCH(AB618,{"Low","Medium","High"},0)*INDEX({3,2,2,1,1},MATCH(X618,{"Core","Vertical extension","Differentiator","Future","Adjacent"},0))</f>
        <v>9</v>
      </c>
      <c r="AM618" s="5"/>
      <c r="AN618" s="5"/>
      <c r="AO618" s="5"/>
      <c r="AP618" s="5"/>
      <c r="AQ618" s="5"/>
      <c r="AR618" s="5"/>
      <c r="AS618" s="5"/>
      <c r="AT618" s="5"/>
      <c r="AU618" s="6" t="s">
        <v>927</v>
      </c>
      <c r="AV618" s="6" t="s">
        <v>55</v>
      </c>
      <c r="AW618" s="6" t="s">
        <v>55</v>
      </c>
      <c r="AX618" s="6" t="s">
        <v>4285</v>
      </c>
      <c r="AY618" s="6" t="s">
        <v>930</v>
      </c>
      <c r="AZ618" s="6"/>
      <c r="BA618" s="6"/>
      <c r="BB618" s="6"/>
      <c r="BC618" s="6" t="s">
        <v>97</v>
      </c>
      <c r="BD618" s="6" t="s">
        <v>97</v>
      </c>
    </row>
    <row r="619" spans="1:56" ht="32" customHeight="1" x14ac:dyDescent="0.35">
      <c r="A619" s="13" t="s">
        <v>4578</v>
      </c>
      <c r="B619" s="6" t="s">
        <v>4478</v>
      </c>
      <c r="C619" s="5" t="s">
        <v>4479</v>
      </c>
      <c r="D619" s="5" t="s">
        <v>825</v>
      </c>
      <c r="E619" s="5" t="s">
        <v>4579</v>
      </c>
      <c r="F619" s="5" t="s">
        <v>1300</v>
      </c>
      <c r="G619" s="5" t="s">
        <v>2001</v>
      </c>
      <c r="H619" s="5" t="s">
        <v>4580</v>
      </c>
      <c r="I619" s="5" t="s">
        <v>4581</v>
      </c>
      <c r="J619" s="16" t="s">
        <v>73</v>
      </c>
      <c r="K619" s="17" t="s">
        <v>181</v>
      </c>
      <c r="L619" s="5" t="s">
        <v>4582</v>
      </c>
      <c r="M619" s="6" t="s">
        <v>198</v>
      </c>
      <c r="N619" s="6" t="s">
        <v>813</v>
      </c>
      <c r="O619" s="6" t="s">
        <v>121</v>
      </c>
      <c r="P619" s="5" t="s">
        <v>4365</v>
      </c>
      <c r="Q619" s="17" t="s">
        <v>182</v>
      </c>
      <c r="R619" s="5" t="s">
        <v>4365</v>
      </c>
      <c r="S619" s="6" t="s">
        <v>1053</v>
      </c>
      <c r="T619" s="5" t="s">
        <v>1054</v>
      </c>
      <c r="U619" s="6"/>
      <c r="V619" s="6" t="s">
        <v>1055</v>
      </c>
      <c r="W619" s="6" t="s">
        <v>333</v>
      </c>
      <c r="X619" s="5" t="s">
        <v>922</v>
      </c>
      <c r="Y619" s="5" t="s">
        <v>4385</v>
      </c>
      <c r="Z619" s="5" t="str">
        <f t="shared" si="18"/>
        <v>Critical</v>
      </c>
      <c r="AA619" s="5" t="s">
        <v>923</v>
      </c>
      <c r="AB619" s="6" t="s">
        <v>923</v>
      </c>
      <c r="AC619" s="6" t="s">
        <v>78</v>
      </c>
      <c r="AD619" s="5" t="s">
        <v>925</v>
      </c>
      <c r="AE619" s="5" t="s">
        <v>354</v>
      </c>
      <c r="AF619" s="5" t="s">
        <v>354</v>
      </c>
      <c r="AG619" s="5" t="s">
        <v>354</v>
      </c>
      <c r="AH619" s="5" t="s">
        <v>354</v>
      </c>
      <c r="AI619" s="6" t="str">
        <f t="shared" si="19"/>
        <v>No</v>
      </c>
      <c r="AJ619" s="6" t="s">
        <v>926</v>
      </c>
      <c r="AK619" s="6" t="s">
        <v>73</v>
      </c>
      <c r="AL619" s="6">
        <f>MATCH(AA619,{"Low","Medium","High"},0)*MATCH(AB619,{"Low","Medium","High"},0)*INDEX({3,2,2,1,1},MATCH(X619,{"Core","Vertical extension","Differentiator","Future","Adjacent"},0))</f>
        <v>27</v>
      </c>
      <c r="AM619" s="5"/>
      <c r="AN619" s="5"/>
      <c r="AO619" s="5"/>
      <c r="AP619" s="5"/>
      <c r="AQ619" s="5"/>
      <c r="AR619" s="5"/>
      <c r="AS619" s="5"/>
      <c r="AT619" s="5"/>
      <c r="AU619" s="6" t="s">
        <v>927</v>
      </c>
      <c r="AV619" s="6" t="s">
        <v>1306</v>
      </c>
      <c r="AW619" s="6" t="s">
        <v>1306</v>
      </c>
      <c r="AX619" s="6" t="s">
        <v>4285</v>
      </c>
      <c r="AY619" s="6" t="s">
        <v>930</v>
      </c>
      <c r="AZ619" s="6"/>
      <c r="BA619" s="6"/>
      <c r="BB619" s="6"/>
      <c r="BC619" s="6" t="s">
        <v>97</v>
      </c>
      <c r="BD619" s="6" t="s">
        <v>97</v>
      </c>
    </row>
    <row r="620" spans="1:56" ht="32" customHeight="1" x14ac:dyDescent="0.35">
      <c r="A620" s="13" t="s">
        <v>4583</v>
      </c>
      <c r="B620" s="6" t="s">
        <v>4478</v>
      </c>
      <c r="C620" s="5" t="s">
        <v>4479</v>
      </c>
      <c r="D620" s="5" t="s">
        <v>825</v>
      </c>
      <c r="E620" s="5" t="s">
        <v>4584</v>
      </c>
      <c r="F620" s="5" t="s">
        <v>4585</v>
      </c>
      <c r="G620" s="5" t="s">
        <v>1452</v>
      </c>
      <c r="H620" s="5" t="s">
        <v>4586</v>
      </c>
      <c r="I620" s="5" t="s">
        <v>4587</v>
      </c>
      <c r="J620" s="21" t="s">
        <v>158</v>
      </c>
      <c r="K620" s="17" t="s">
        <v>181</v>
      </c>
      <c r="L620" s="5" t="s">
        <v>4588</v>
      </c>
      <c r="M620" s="6" t="s">
        <v>198</v>
      </c>
      <c r="N620" s="6" t="s">
        <v>813</v>
      </c>
      <c r="O620" s="6" t="s">
        <v>151</v>
      </c>
      <c r="P620" s="5" t="s">
        <v>4283</v>
      </c>
      <c r="Q620" s="17" t="s">
        <v>182</v>
      </c>
      <c r="R620" s="5" t="s">
        <v>4283</v>
      </c>
      <c r="S620" s="6" t="s">
        <v>1053</v>
      </c>
      <c r="T620" s="5" t="s">
        <v>1054</v>
      </c>
      <c r="U620" s="6"/>
      <c r="V620" s="6" t="s">
        <v>1055</v>
      </c>
      <c r="W620" s="6" t="s">
        <v>333</v>
      </c>
      <c r="X620" s="5" t="s">
        <v>4284</v>
      </c>
      <c r="Y620" s="5" t="s">
        <v>4385</v>
      </c>
      <c r="Z620" s="5" t="str">
        <f t="shared" si="18"/>
        <v>High</v>
      </c>
      <c r="AA620" s="5" t="s">
        <v>923</v>
      </c>
      <c r="AB620" s="6" t="s">
        <v>923</v>
      </c>
      <c r="AC620" s="6" t="s">
        <v>11</v>
      </c>
      <c r="AD620" s="5" t="s">
        <v>925</v>
      </c>
      <c r="AE620" s="5" t="s">
        <v>354</v>
      </c>
      <c r="AF620" s="5" t="s">
        <v>354</v>
      </c>
      <c r="AG620" s="5" t="s">
        <v>354</v>
      </c>
      <c r="AH620" s="5" t="s">
        <v>354</v>
      </c>
      <c r="AI620" s="6" t="str">
        <f t="shared" si="19"/>
        <v>No</v>
      </c>
      <c r="AJ620" s="6" t="s">
        <v>926</v>
      </c>
      <c r="AK620" s="6" t="s">
        <v>158</v>
      </c>
      <c r="AL620" s="6">
        <f>MATCH(AA620,{"Low","Medium","High"},0)*MATCH(AB620,{"Low","Medium","High"},0)*INDEX({3,2,2,1,1},MATCH(X620,{"Core","Vertical extension","Differentiator","Future","Adjacent"},0))</f>
        <v>9</v>
      </c>
      <c r="AM620" s="5"/>
      <c r="AN620" s="5"/>
      <c r="AO620" s="5"/>
      <c r="AP620" s="5"/>
      <c r="AQ620" s="5"/>
      <c r="AR620" s="5"/>
      <c r="AS620" s="5"/>
      <c r="AT620" s="5"/>
      <c r="AU620" s="6" t="s">
        <v>927</v>
      </c>
      <c r="AV620" s="6" t="s">
        <v>1390</v>
      </c>
      <c r="AW620" s="6" t="s">
        <v>1390</v>
      </c>
      <c r="AX620" s="6" t="s">
        <v>4285</v>
      </c>
      <c r="AY620" s="6" t="s">
        <v>930</v>
      </c>
      <c r="AZ620" s="6"/>
      <c r="BA620" s="6"/>
      <c r="BB620" s="6"/>
      <c r="BC620" s="6" t="s">
        <v>97</v>
      </c>
      <c r="BD620" s="6" t="s">
        <v>97</v>
      </c>
    </row>
    <row r="621" spans="1:56" ht="32" customHeight="1" x14ac:dyDescent="0.35">
      <c r="A621" s="13" t="s">
        <v>4589</v>
      </c>
      <c r="B621" s="6" t="s">
        <v>4478</v>
      </c>
      <c r="C621" s="5" t="s">
        <v>4479</v>
      </c>
      <c r="D621" s="5" t="s">
        <v>827</v>
      </c>
      <c r="E621" s="5" t="s">
        <v>4590</v>
      </c>
      <c r="F621" s="5" t="s">
        <v>4591</v>
      </c>
      <c r="G621" s="5" t="s">
        <v>1017</v>
      </c>
      <c r="H621" s="5" t="s">
        <v>4592</v>
      </c>
      <c r="I621" s="5" t="s">
        <v>4593</v>
      </c>
      <c r="J621" s="17" t="s">
        <v>121</v>
      </c>
      <c r="K621" s="17" t="s">
        <v>181</v>
      </c>
      <c r="L621" s="5" t="s">
        <v>4594</v>
      </c>
      <c r="M621" s="6" t="s">
        <v>198</v>
      </c>
      <c r="N621" s="6" t="s">
        <v>813</v>
      </c>
      <c r="O621" s="6" t="s">
        <v>121</v>
      </c>
      <c r="P621" s="5" t="s">
        <v>918</v>
      </c>
      <c r="Q621" s="17" t="s">
        <v>182</v>
      </c>
      <c r="R621" s="5"/>
      <c r="S621" s="6" t="s">
        <v>1030</v>
      </c>
      <c r="T621" s="5" t="s">
        <v>827</v>
      </c>
      <c r="U621" s="6"/>
      <c r="V621" s="6" t="s">
        <v>1002</v>
      </c>
      <c r="W621" s="6" t="s">
        <v>333</v>
      </c>
      <c r="X621" s="5" t="s">
        <v>922</v>
      </c>
      <c r="Y621" s="5" t="s">
        <v>4385</v>
      </c>
      <c r="Z621" s="5" t="str">
        <f t="shared" si="18"/>
        <v>High</v>
      </c>
      <c r="AA621" s="5" t="s">
        <v>956</v>
      </c>
      <c r="AB621" s="6" t="s">
        <v>956</v>
      </c>
      <c r="AC621" s="6" t="s">
        <v>103</v>
      </c>
      <c r="AD621" s="5" t="s">
        <v>925</v>
      </c>
      <c r="AE621" s="5" t="s">
        <v>354</v>
      </c>
      <c r="AF621" s="5" t="s">
        <v>354</v>
      </c>
      <c r="AG621" s="5" t="s">
        <v>354</v>
      </c>
      <c r="AH621" s="5" t="s">
        <v>354</v>
      </c>
      <c r="AI621" s="6" t="str">
        <f t="shared" si="19"/>
        <v>No</v>
      </c>
      <c r="AJ621" s="6" t="s">
        <v>926</v>
      </c>
      <c r="AK621" s="6" t="s">
        <v>121</v>
      </c>
      <c r="AL621" s="6">
        <f>MATCH(AA621,{"Low","Medium","High"},0)*MATCH(AB621,{"Low","Medium","High"},0)*INDEX({3,2,2,1,1},MATCH(X621,{"Core","Vertical extension","Differentiator","Future","Adjacent"},0))</f>
        <v>12</v>
      </c>
      <c r="AM621" s="5"/>
      <c r="AN621" s="5"/>
      <c r="AO621" s="5"/>
      <c r="AP621" s="5"/>
      <c r="AQ621" s="5"/>
      <c r="AR621" s="5"/>
      <c r="AS621" s="5"/>
      <c r="AT621" s="5"/>
      <c r="AU621" s="6" t="s">
        <v>927</v>
      </c>
      <c r="AV621" s="6" t="s">
        <v>1390</v>
      </c>
      <c r="AW621" s="6" t="s">
        <v>1390</v>
      </c>
      <c r="AX621" s="6" t="s">
        <v>929</v>
      </c>
      <c r="AY621" s="6" t="s">
        <v>1032</v>
      </c>
      <c r="AZ621" s="6"/>
      <c r="BA621" s="6"/>
      <c r="BB621" s="6"/>
      <c r="BC621" s="6" t="s">
        <v>97</v>
      </c>
      <c r="BD621" s="6" t="s">
        <v>97</v>
      </c>
    </row>
    <row r="622" spans="1:56" ht="32" customHeight="1" x14ac:dyDescent="0.35">
      <c r="A622" s="13" t="s">
        <v>4595</v>
      </c>
      <c r="B622" s="6" t="s">
        <v>4596</v>
      </c>
      <c r="C622" s="5" t="s">
        <v>1596</v>
      </c>
      <c r="D622" s="5" t="s">
        <v>827</v>
      </c>
      <c r="E622" s="5" t="s">
        <v>4597</v>
      </c>
      <c r="F622" s="5" t="s">
        <v>4598</v>
      </c>
      <c r="G622" s="5" t="s">
        <v>1596</v>
      </c>
      <c r="H622" s="5" t="s">
        <v>4599</v>
      </c>
      <c r="I622" s="5" t="s">
        <v>4600</v>
      </c>
      <c r="J622" s="16" t="s">
        <v>73</v>
      </c>
      <c r="K622" s="17" t="s">
        <v>181</v>
      </c>
      <c r="L622" s="5" t="s">
        <v>4601</v>
      </c>
      <c r="M622" s="6" t="s">
        <v>198</v>
      </c>
      <c r="N622" s="6" t="s">
        <v>813</v>
      </c>
      <c r="O622" s="6" t="s">
        <v>73</v>
      </c>
      <c r="P622" s="5" t="s">
        <v>918</v>
      </c>
      <c r="Q622" s="18" t="s">
        <v>186</v>
      </c>
      <c r="R622" s="5" t="s">
        <v>4602</v>
      </c>
      <c r="S622" s="6" t="s">
        <v>1030</v>
      </c>
      <c r="T622" s="5" t="s">
        <v>827</v>
      </c>
      <c r="U622" s="6"/>
      <c r="V622" s="6" t="s">
        <v>1031</v>
      </c>
      <c r="W622" s="6" t="s">
        <v>333</v>
      </c>
      <c r="X622" s="5" t="s">
        <v>922</v>
      </c>
      <c r="Y622" s="5" t="s">
        <v>485</v>
      </c>
      <c r="Z622" s="5" t="str">
        <f t="shared" si="18"/>
        <v>Critical</v>
      </c>
      <c r="AA622" s="5" t="s">
        <v>923</v>
      </c>
      <c r="AB622" s="6" t="s">
        <v>956</v>
      </c>
      <c r="AC622" s="6" t="s">
        <v>78</v>
      </c>
      <c r="AD622" s="5" t="s">
        <v>940</v>
      </c>
      <c r="AE622" s="5" t="s">
        <v>354</v>
      </c>
      <c r="AF622" s="5" t="s">
        <v>354</v>
      </c>
      <c r="AG622" s="5" t="s">
        <v>354</v>
      </c>
      <c r="AH622" s="5" t="s">
        <v>354</v>
      </c>
      <c r="AI622" s="6" t="str">
        <f t="shared" si="19"/>
        <v>No</v>
      </c>
      <c r="AJ622" s="6" t="s">
        <v>941</v>
      </c>
      <c r="AK622" s="6" t="s">
        <v>73</v>
      </c>
      <c r="AL622" s="6">
        <f>MATCH(AA622,{"Low","Medium","High"},0)*MATCH(AB622,{"Low","Medium","High"},0)*INDEX({3,2,2,1,1},MATCH(X622,{"Core","Vertical extension","Differentiator","Future","Adjacent"},0))</f>
        <v>18</v>
      </c>
      <c r="AM622" s="5"/>
      <c r="AN622" s="5"/>
      <c r="AO622" s="5"/>
      <c r="AP622" s="5"/>
      <c r="AQ622" s="5"/>
      <c r="AR622" s="5"/>
      <c r="AS622" s="5"/>
      <c r="AT622" s="5"/>
      <c r="AU622" s="6" t="s">
        <v>927</v>
      </c>
      <c r="AV622" s="6" t="s">
        <v>1390</v>
      </c>
      <c r="AW622" s="6" t="s">
        <v>2161</v>
      </c>
      <c r="AX622" s="6" t="s">
        <v>929</v>
      </c>
      <c r="AY622" s="6" t="s">
        <v>1032</v>
      </c>
      <c r="AZ622" s="6"/>
      <c r="BA622" s="6"/>
      <c r="BB622" s="6"/>
      <c r="BC622" s="6" t="s">
        <v>97</v>
      </c>
      <c r="BD622" s="6" t="s">
        <v>97</v>
      </c>
    </row>
    <row r="623" spans="1:56" ht="32" customHeight="1" x14ac:dyDescent="0.35">
      <c r="A623" s="13" t="s">
        <v>4603</v>
      </c>
      <c r="B623" s="6" t="s">
        <v>4596</v>
      </c>
      <c r="C623" s="5" t="s">
        <v>1596</v>
      </c>
      <c r="D623" s="5" t="s">
        <v>827</v>
      </c>
      <c r="E623" s="5" t="s">
        <v>4604</v>
      </c>
      <c r="F623" s="5" t="s">
        <v>4605</v>
      </c>
      <c r="G623" s="5" t="s">
        <v>4606</v>
      </c>
      <c r="H623" s="5" t="s">
        <v>4607</v>
      </c>
      <c r="I623" s="5" t="s">
        <v>4608</v>
      </c>
      <c r="J623" s="16" t="s">
        <v>73</v>
      </c>
      <c r="K623" s="17" t="s">
        <v>181</v>
      </c>
      <c r="L623" s="5" t="s">
        <v>4609</v>
      </c>
      <c r="M623" s="6" t="s">
        <v>198</v>
      </c>
      <c r="N623" s="6" t="s">
        <v>813</v>
      </c>
      <c r="O623" s="6" t="s">
        <v>73</v>
      </c>
      <c r="P623" s="5" t="s">
        <v>918</v>
      </c>
      <c r="Q623" s="17" t="s">
        <v>182</v>
      </c>
      <c r="R623" s="5"/>
      <c r="S623" s="6" t="s">
        <v>1030</v>
      </c>
      <c r="T623" s="5" t="s">
        <v>827</v>
      </c>
      <c r="U623" s="6"/>
      <c r="V623" s="6" t="s">
        <v>1031</v>
      </c>
      <c r="W623" s="6" t="s">
        <v>333</v>
      </c>
      <c r="X623" s="5" t="s">
        <v>922</v>
      </c>
      <c r="Y623" s="5" t="s">
        <v>485</v>
      </c>
      <c r="Z623" s="5" t="str">
        <f t="shared" si="18"/>
        <v>Critical</v>
      </c>
      <c r="AA623" s="5" t="s">
        <v>923</v>
      </c>
      <c r="AB623" s="6" t="s">
        <v>956</v>
      </c>
      <c r="AC623" s="6" t="s">
        <v>78</v>
      </c>
      <c r="AD623" s="5" t="s">
        <v>925</v>
      </c>
      <c r="AE623" s="5" t="s">
        <v>354</v>
      </c>
      <c r="AF623" s="5" t="s">
        <v>354</v>
      </c>
      <c r="AG623" s="5" t="s">
        <v>354</v>
      </c>
      <c r="AH623" s="5" t="s">
        <v>354</v>
      </c>
      <c r="AI623" s="6" t="str">
        <f t="shared" si="19"/>
        <v>No</v>
      </c>
      <c r="AJ623" s="6" t="s">
        <v>926</v>
      </c>
      <c r="AK623" s="6" t="s">
        <v>73</v>
      </c>
      <c r="AL623" s="6">
        <f>MATCH(AA623,{"Low","Medium","High"},0)*MATCH(AB623,{"Low","Medium","High"},0)*INDEX({3,2,2,1,1},MATCH(X623,{"Core","Vertical extension","Differentiator","Future","Adjacent"},0))</f>
        <v>18</v>
      </c>
      <c r="AM623" s="5"/>
      <c r="AN623" s="5"/>
      <c r="AO623" s="5"/>
      <c r="AP623" s="5"/>
      <c r="AQ623" s="5"/>
      <c r="AR623" s="5"/>
      <c r="AS623" s="5"/>
      <c r="AT623" s="5"/>
      <c r="AU623" s="6" t="s">
        <v>927</v>
      </c>
      <c r="AV623" s="6" t="s">
        <v>1390</v>
      </c>
      <c r="AW623" s="6" t="s">
        <v>2161</v>
      </c>
      <c r="AX623" s="6" t="s">
        <v>929</v>
      </c>
      <c r="AY623" s="6" t="s">
        <v>1032</v>
      </c>
      <c r="AZ623" s="6"/>
      <c r="BA623" s="6"/>
      <c r="BB623" s="6"/>
      <c r="BC623" s="6" t="s">
        <v>97</v>
      </c>
      <c r="BD623" s="6" t="s">
        <v>97</v>
      </c>
    </row>
    <row r="624" spans="1:56" ht="32" customHeight="1" x14ac:dyDescent="0.35">
      <c r="A624" s="13" t="s">
        <v>4610</v>
      </c>
      <c r="B624" s="6" t="s">
        <v>4596</v>
      </c>
      <c r="C624" s="5" t="s">
        <v>1596</v>
      </c>
      <c r="D624" s="5" t="s">
        <v>827</v>
      </c>
      <c r="E624" s="5" t="s">
        <v>4611</v>
      </c>
      <c r="F624" s="5" t="s">
        <v>4612</v>
      </c>
      <c r="G624" s="5" t="s">
        <v>4613</v>
      </c>
      <c r="H624" s="5" t="s">
        <v>4614</v>
      </c>
      <c r="I624" s="5" t="s">
        <v>4615</v>
      </c>
      <c r="J624" s="16" t="s">
        <v>73</v>
      </c>
      <c r="K624" s="17" t="s">
        <v>181</v>
      </c>
      <c r="L624" s="5" t="s">
        <v>4616</v>
      </c>
      <c r="M624" s="6" t="s">
        <v>198</v>
      </c>
      <c r="N624" s="6" t="s">
        <v>813</v>
      </c>
      <c r="O624" s="6" t="s">
        <v>73</v>
      </c>
      <c r="P624" s="5" t="s">
        <v>918</v>
      </c>
      <c r="Q624" s="17" t="s">
        <v>182</v>
      </c>
      <c r="R624" s="5"/>
      <c r="S624" s="6" t="s">
        <v>1030</v>
      </c>
      <c r="T624" s="5" t="s">
        <v>827</v>
      </c>
      <c r="U624" s="6"/>
      <c r="V624" s="6" t="s">
        <v>1031</v>
      </c>
      <c r="W624" s="6" t="s">
        <v>333</v>
      </c>
      <c r="X624" s="5" t="s">
        <v>922</v>
      </c>
      <c r="Y624" s="5" t="s">
        <v>485</v>
      </c>
      <c r="Z624" s="5" t="str">
        <f t="shared" si="18"/>
        <v>Critical</v>
      </c>
      <c r="AA624" s="5" t="s">
        <v>923</v>
      </c>
      <c r="AB624" s="6" t="s">
        <v>956</v>
      </c>
      <c r="AC624" s="6" t="s">
        <v>78</v>
      </c>
      <c r="AD624" s="5" t="s">
        <v>925</v>
      </c>
      <c r="AE624" s="5" t="s">
        <v>354</v>
      </c>
      <c r="AF624" s="5" t="s">
        <v>354</v>
      </c>
      <c r="AG624" s="5" t="s">
        <v>354</v>
      </c>
      <c r="AH624" s="5" t="s">
        <v>354</v>
      </c>
      <c r="AI624" s="6" t="str">
        <f t="shared" si="19"/>
        <v>No</v>
      </c>
      <c r="AJ624" s="6" t="s">
        <v>926</v>
      </c>
      <c r="AK624" s="6" t="s">
        <v>73</v>
      </c>
      <c r="AL624" s="6">
        <f>MATCH(AA624,{"Low","Medium","High"},0)*MATCH(AB624,{"Low","Medium","High"},0)*INDEX({3,2,2,1,1},MATCH(X624,{"Core","Vertical extension","Differentiator","Future","Adjacent"},0))</f>
        <v>18</v>
      </c>
      <c r="AM624" s="5"/>
      <c r="AN624" s="5"/>
      <c r="AO624" s="5"/>
      <c r="AP624" s="5"/>
      <c r="AQ624" s="5"/>
      <c r="AR624" s="5"/>
      <c r="AS624" s="5"/>
      <c r="AT624" s="5"/>
      <c r="AU624" s="6" t="s">
        <v>927</v>
      </c>
      <c r="AV624" s="6" t="s">
        <v>1390</v>
      </c>
      <c r="AW624" s="6" t="s">
        <v>2161</v>
      </c>
      <c r="AX624" s="6" t="s">
        <v>929</v>
      </c>
      <c r="AY624" s="6" t="s">
        <v>1032</v>
      </c>
      <c r="AZ624" s="6"/>
      <c r="BA624" s="6"/>
      <c r="BB624" s="6"/>
      <c r="BC624" s="6" t="s">
        <v>97</v>
      </c>
      <c r="BD624" s="6" t="s">
        <v>97</v>
      </c>
    </row>
    <row r="625" spans="1:56" ht="32" customHeight="1" x14ac:dyDescent="0.35">
      <c r="A625" s="13" t="s">
        <v>104</v>
      </c>
      <c r="B625" s="6" t="s">
        <v>4596</v>
      </c>
      <c r="C625" s="5" t="s">
        <v>1596</v>
      </c>
      <c r="D625" s="5" t="s">
        <v>827</v>
      </c>
      <c r="E625" s="5" t="s">
        <v>778</v>
      </c>
      <c r="F625" s="5" t="s">
        <v>4617</v>
      </c>
      <c r="G625" s="5" t="s">
        <v>3265</v>
      </c>
      <c r="H625" s="5" t="s">
        <v>4618</v>
      </c>
      <c r="I625" s="5" t="s">
        <v>4619</v>
      </c>
      <c r="J625" s="16" t="s">
        <v>73</v>
      </c>
      <c r="K625" s="16" t="s">
        <v>74</v>
      </c>
      <c r="L625" s="5" t="s">
        <v>4620</v>
      </c>
      <c r="M625" s="6" t="s">
        <v>198</v>
      </c>
      <c r="N625" s="6" t="s">
        <v>813</v>
      </c>
      <c r="O625" s="6" t="s">
        <v>73</v>
      </c>
      <c r="P625" s="5" t="s">
        <v>918</v>
      </c>
      <c r="Q625" s="16" t="s">
        <v>74</v>
      </c>
      <c r="R625" s="5" t="s">
        <v>4621</v>
      </c>
      <c r="S625" s="6" t="s">
        <v>1030</v>
      </c>
      <c r="T625" s="5" t="s">
        <v>827</v>
      </c>
      <c r="U625" s="6"/>
      <c r="V625" s="6" t="s">
        <v>1031</v>
      </c>
      <c r="W625" s="6" t="s">
        <v>333</v>
      </c>
      <c r="X625" s="5" t="s">
        <v>922</v>
      </c>
      <c r="Y625" s="5" t="s">
        <v>485</v>
      </c>
      <c r="Z625" s="5" t="str">
        <f t="shared" si="18"/>
        <v>Critical</v>
      </c>
      <c r="AA625" s="5" t="s">
        <v>923</v>
      </c>
      <c r="AB625" s="6" t="s">
        <v>956</v>
      </c>
      <c r="AC625" s="6" t="s">
        <v>78</v>
      </c>
      <c r="AD625" s="5" t="s">
        <v>74</v>
      </c>
      <c r="AE625" s="5" t="s">
        <v>354</v>
      </c>
      <c r="AF625" s="5" t="s">
        <v>354</v>
      </c>
      <c r="AG625" s="5" t="s">
        <v>4622</v>
      </c>
      <c r="AH625" s="5" t="s">
        <v>354</v>
      </c>
      <c r="AI625" s="6" t="str">
        <f t="shared" si="19"/>
        <v>No</v>
      </c>
      <c r="AJ625" s="6" t="s">
        <v>1691</v>
      </c>
      <c r="AK625" s="6" t="s">
        <v>73</v>
      </c>
      <c r="AL625" s="6">
        <f>MATCH(AA625,{"Low","Medium","High"},0)*MATCH(AB625,{"Low","Medium","High"},0)*INDEX({3,2,2,1,1},MATCH(X625,{"Core","Vertical extension","Differentiator","Future","Adjacent"},0))</f>
        <v>18</v>
      </c>
      <c r="AM625" s="5"/>
      <c r="AN625" s="5"/>
      <c r="AO625" s="5"/>
      <c r="AP625" s="5"/>
      <c r="AQ625" s="5"/>
      <c r="AR625" s="5" t="s">
        <v>4623</v>
      </c>
      <c r="AS625" s="5" t="s">
        <v>166</v>
      </c>
      <c r="AT625" s="5" t="s">
        <v>4356</v>
      </c>
      <c r="AU625" s="6" t="s">
        <v>74</v>
      </c>
      <c r="AV625" s="6" t="s">
        <v>1390</v>
      </c>
      <c r="AW625" s="6" t="s">
        <v>2161</v>
      </c>
      <c r="AX625" s="6" t="s">
        <v>929</v>
      </c>
      <c r="AY625" s="6" t="s">
        <v>1032</v>
      </c>
      <c r="AZ625" s="6"/>
      <c r="BA625" s="6"/>
      <c r="BB625" s="6"/>
      <c r="BC625" s="6" t="s">
        <v>97</v>
      </c>
      <c r="BD625" s="6" t="s">
        <v>97</v>
      </c>
    </row>
    <row r="626" spans="1:56" ht="32" customHeight="1" x14ac:dyDescent="0.35">
      <c r="A626" s="13" t="s">
        <v>4624</v>
      </c>
      <c r="B626" s="6" t="s">
        <v>4596</v>
      </c>
      <c r="C626" s="5" t="s">
        <v>1596</v>
      </c>
      <c r="D626" s="5" t="s">
        <v>827</v>
      </c>
      <c r="E626" s="5" t="s">
        <v>4625</v>
      </c>
      <c r="F626" s="5" t="s">
        <v>4617</v>
      </c>
      <c r="G626" s="5" t="s">
        <v>4626</v>
      </c>
      <c r="H626" s="5" t="s">
        <v>4627</v>
      </c>
      <c r="I626" s="5" t="s">
        <v>4628</v>
      </c>
      <c r="J626" s="16" t="s">
        <v>73</v>
      </c>
      <c r="K626" s="17" t="s">
        <v>181</v>
      </c>
      <c r="L626" s="5" t="s">
        <v>4629</v>
      </c>
      <c r="M626" s="6" t="s">
        <v>198</v>
      </c>
      <c r="N626" s="6" t="s">
        <v>813</v>
      </c>
      <c r="O626" s="6" t="s">
        <v>73</v>
      </c>
      <c r="P626" s="5" t="s">
        <v>918</v>
      </c>
      <c r="Q626" s="17" t="s">
        <v>182</v>
      </c>
      <c r="R626" s="5"/>
      <c r="S626" s="6" t="s">
        <v>1030</v>
      </c>
      <c r="T626" s="5" t="s">
        <v>827</v>
      </c>
      <c r="U626" s="6"/>
      <c r="V626" s="6" t="s">
        <v>1031</v>
      </c>
      <c r="W626" s="6" t="s">
        <v>333</v>
      </c>
      <c r="X626" s="5" t="s">
        <v>922</v>
      </c>
      <c r="Y626" s="5" t="s">
        <v>485</v>
      </c>
      <c r="Z626" s="5" t="str">
        <f t="shared" si="18"/>
        <v>Critical</v>
      </c>
      <c r="AA626" s="5" t="s">
        <v>923</v>
      </c>
      <c r="AB626" s="6" t="s">
        <v>956</v>
      </c>
      <c r="AC626" s="6" t="s">
        <v>78</v>
      </c>
      <c r="AD626" s="5" t="s">
        <v>925</v>
      </c>
      <c r="AE626" s="5" t="s">
        <v>354</v>
      </c>
      <c r="AF626" s="5" t="s">
        <v>354</v>
      </c>
      <c r="AG626" s="5" t="s">
        <v>354</v>
      </c>
      <c r="AH626" s="5" t="s">
        <v>354</v>
      </c>
      <c r="AI626" s="6" t="str">
        <f t="shared" si="19"/>
        <v>No</v>
      </c>
      <c r="AJ626" s="6" t="s">
        <v>926</v>
      </c>
      <c r="AK626" s="6" t="s">
        <v>73</v>
      </c>
      <c r="AL626" s="6">
        <f>MATCH(AA626,{"Low","Medium","High"},0)*MATCH(AB626,{"Low","Medium","High"},0)*INDEX({3,2,2,1,1},MATCH(X626,{"Core","Vertical extension","Differentiator","Future","Adjacent"},0))</f>
        <v>18</v>
      </c>
      <c r="AM626" s="5"/>
      <c r="AN626" s="5"/>
      <c r="AO626" s="5"/>
      <c r="AP626" s="5"/>
      <c r="AQ626" s="5"/>
      <c r="AR626" s="5"/>
      <c r="AS626" s="5"/>
      <c r="AT626" s="5"/>
      <c r="AU626" s="6" t="s">
        <v>927</v>
      </c>
      <c r="AV626" s="6" t="s">
        <v>1390</v>
      </c>
      <c r="AW626" s="6" t="s">
        <v>2161</v>
      </c>
      <c r="AX626" s="6" t="s">
        <v>929</v>
      </c>
      <c r="AY626" s="6" t="s">
        <v>1032</v>
      </c>
      <c r="AZ626" s="6"/>
      <c r="BA626" s="6"/>
      <c r="BB626" s="6"/>
      <c r="BC626" s="6" t="s">
        <v>97</v>
      </c>
      <c r="BD626" s="6" t="s">
        <v>97</v>
      </c>
    </row>
    <row r="627" spans="1:56" ht="32" customHeight="1" x14ac:dyDescent="0.35">
      <c r="A627" s="13" t="s">
        <v>4630</v>
      </c>
      <c r="B627" s="6" t="s">
        <v>4596</v>
      </c>
      <c r="C627" s="5" t="s">
        <v>1596</v>
      </c>
      <c r="D627" s="5" t="s">
        <v>827</v>
      </c>
      <c r="E627" s="5" t="s">
        <v>4631</v>
      </c>
      <c r="F627" s="5" t="s">
        <v>4632</v>
      </c>
      <c r="G627" s="5" t="s">
        <v>4633</v>
      </c>
      <c r="H627" s="5" t="s">
        <v>4634</v>
      </c>
      <c r="I627" s="5" t="s">
        <v>4635</v>
      </c>
      <c r="J627" s="16" t="s">
        <v>73</v>
      </c>
      <c r="K627" s="17" t="s">
        <v>181</v>
      </c>
      <c r="L627" s="5" t="s">
        <v>4636</v>
      </c>
      <c r="M627" s="6" t="s">
        <v>198</v>
      </c>
      <c r="N627" s="6" t="s">
        <v>813</v>
      </c>
      <c r="O627" s="6" t="s">
        <v>73</v>
      </c>
      <c r="P627" s="5" t="s">
        <v>918</v>
      </c>
      <c r="Q627" s="17" t="s">
        <v>182</v>
      </c>
      <c r="R627" s="5"/>
      <c r="S627" s="6" t="s">
        <v>1030</v>
      </c>
      <c r="T627" s="5" t="s">
        <v>827</v>
      </c>
      <c r="U627" s="6"/>
      <c r="V627" s="6" t="s">
        <v>1031</v>
      </c>
      <c r="W627" s="6" t="s">
        <v>333</v>
      </c>
      <c r="X627" s="5" t="s">
        <v>922</v>
      </c>
      <c r="Y627" s="5" t="s">
        <v>485</v>
      </c>
      <c r="Z627" s="5" t="str">
        <f t="shared" si="18"/>
        <v>Critical</v>
      </c>
      <c r="AA627" s="5" t="s">
        <v>923</v>
      </c>
      <c r="AB627" s="6" t="s">
        <v>956</v>
      </c>
      <c r="AC627" s="6" t="s">
        <v>78</v>
      </c>
      <c r="AD627" s="5" t="s">
        <v>925</v>
      </c>
      <c r="AE627" s="5" t="s">
        <v>354</v>
      </c>
      <c r="AF627" s="5" t="s">
        <v>354</v>
      </c>
      <c r="AG627" s="5" t="s">
        <v>354</v>
      </c>
      <c r="AH627" s="5" t="s">
        <v>354</v>
      </c>
      <c r="AI627" s="6" t="str">
        <f t="shared" si="19"/>
        <v>No</v>
      </c>
      <c r="AJ627" s="6" t="s">
        <v>926</v>
      </c>
      <c r="AK627" s="6" t="s">
        <v>73</v>
      </c>
      <c r="AL627" s="6">
        <f>MATCH(AA627,{"Low","Medium","High"},0)*MATCH(AB627,{"Low","Medium","High"},0)*INDEX({3,2,2,1,1},MATCH(X627,{"Core","Vertical extension","Differentiator","Future","Adjacent"},0))</f>
        <v>18</v>
      </c>
      <c r="AM627" s="5"/>
      <c r="AN627" s="5"/>
      <c r="AO627" s="5"/>
      <c r="AP627" s="5"/>
      <c r="AQ627" s="5"/>
      <c r="AR627" s="5"/>
      <c r="AS627" s="5"/>
      <c r="AT627" s="5"/>
      <c r="AU627" s="6" t="s">
        <v>927</v>
      </c>
      <c r="AV627" s="6" t="s">
        <v>1390</v>
      </c>
      <c r="AW627" s="6" t="s">
        <v>1285</v>
      </c>
      <c r="AX627" s="6" t="s">
        <v>929</v>
      </c>
      <c r="AY627" s="6" t="s">
        <v>1032</v>
      </c>
      <c r="AZ627" s="6"/>
      <c r="BA627" s="6"/>
      <c r="BB627" s="6"/>
      <c r="BC627" s="6" t="s">
        <v>97</v>
      </c>
      <c r="BD627" s="6" t="s">
        <v>97</v>
      </c>
    </row>
    <row r="628" spans="1:56" ht="32" customHeight="1" x14ac:dyDescent="0.35">
      <c r="A628" s="13" t="s">
        <v>4637</v>
      </c>
      <c r="B628" s="6" t="s">
        <v>4596</v>
      </c>
      <c r="C628" s="5" t="s">
        <v>1596</v>
      </c>
      <c r="D628" s="5" t="s">
        <v>827</v>
      </c>
      <c r="E628" s="5" t="s">
        <v>4638</v>
      </c>
      <c r="F628" s="5" t="s">
        <v>4639</v>
      </c>
      <c r="G628" s="5" t="s">
        <v>4640</v>
      </c>
      <c r="H628" s="5" t="s">
        <v>4641</v>
      </c>
      <c r="I628" s="5" t="s">
        <v>4642</v>
      </c>
      <c r="J628" s="17" t="s">
        <v>121</v>
      </c>
      <c r="K628" s="17" t="s">
        <v>181</v>
      </c>
      <c r="L628" s="5" t="s">
        <v>4643</v>
      </c>
      <c r="M628" s="6" t="s">
        <v>198</v>
      </c>
      <c r="N628" s="6" t="s">
        <v>813</v>
      </c>
      <c r="O628" s="6" t="s">
        <v>121</v>
      </c>
      <c r="P628" s="5" t="s">
        <v>918</v>
      </c>
      <c r="Q628" s="17" t="s">
        <v>182</v>
      </c>
      <c r="R628" s="5"/>
      <c r="S628" s="6" t="s">
        <v>1030</v>
      </c>
      <c r="T628" s="5" t="s">
        <v>827</v>
      </c>
      <c r="U628" s="6"/>
      <c r="V628" s="6" t="s">
        <v>1031</v>
      </c>
      <c r="W628" s="6" t="s">
        <v>333</v>
      </c>
      <c r="X628" s="5" t="s">
        <v>922</v>
      </c>
      <c r="Y628" s="5" t="s">
        <v>485</v>
      </c>
      <c r="Z628" s="5" t="str">
        <f t="shared" si="18"/>
        <v>High</v>
      </c>
      <c r="AA628" s="5" t="s">
        <v>956</v>
      </c>
      <c r="AB628" s="6" t="s">
        <v>956</v>
      </c>
      <c r="AC628" s="6" t="s">
        <v>103</v>
      </c>
      <c r="AD628" s="5" t="s">
        <v>925</v>
      </c>
      <c r="AE628" s="5" t="s">
        <v>354</v>
      </c>
      <c r="AF628" s="5" t="s">
        <v>354</v>
      </c>
      <c r="AG628" s="5" t="s">
        <v>354</v>
      </c>
      <c r="AH628" s="5" t="s">
        <v>354</v>
      </c>
      <c r="AI628" s="6" t="str">
        <f t="shared" si="19"/>
        <v>No</v>
      </c>
      <c r="AJ628" s="6" t="s">
        <v>926</v>
      </c>
      <c r="AK628" s="6" t="s">
        <v>121</v>
      </c>
      <c r="AL628" s="6">
        <f>MATCH(AA628,{"Low","Medium","High"},0)*MATCH(AB628,{"Low","Medium","High"},0)*INDEX({3,2,2,1,1},MATCH(X628,{"Core","Vertical extension","Differentiator","Future","Adjacent"},0))</f>
        <v>12</v>
      </c>
      <c r="AM628" s="5"/>
      <c r="AN628" s="5"/>
      <c r="AO628" s="5"/>
      <c r="AP628" s="5"/>
      <c r="AQ628" s="5"/>
      <c r="AR628" s="5"/>
      <c r="AS628" s="5"/>
      <c r="AT628" s="5"/>
      <c r="AU628" s="6" t="s">
        <v>927</v>
      </c>
      <c r="AV628" s="6" t="s">
        <v>1390</v>
      </c>
      <c r="AW628" s="6" t="s">
        <v>2161</v>
      </c>
      <c r="AX628" s="6" t="s">
        <v>929</v>
      </c>
      <c r="AY628" s="6" t="s">
        <v>1032</v>
      </c>
      <c r="AZ628" s="6"/>
      <c r="BA628" s="6"/>
      <c r="BB628" s="6"/>
      <c r="BC628" s="6" t="s">
        <v>97</v>
      </c>
      <c r="BD628" s="6" t="s">
        <v>97</v>
      </c>
    </row>
    <row r="629" spans="1:56" ht="32" customHeight="1" x14ac:dyDescent="0.35">
      <c r="A629" s="13" t="s">
        <v>4644</v>
      </c>
      <c r="B629" s="6" t="s">
        <v>4596</v>
      </c>
      <c r="C629" s="5" t="s">
        <v>1596</v>
      </c>
      <c r="D629" s="5" t="s">
        <v>827</v>
      </c>
      <c r="E629" s="5" t="s">
        <v>4645</v>
      </c>
      <c r="F629" s="5" t="s">
        <v>4646</v>
      </c>
      <c r="G629" s="5" t="s">
        <v>4647</v>
      </c>
      <c r="H629" s="5" t="s">
        <v>4648</v>
      </c>
      <c r="I629" s="5" t="s">
        <v>4649</v>
      </c>
      <c r="J629" s="16" t="s">
        <v>73</v>
      </c>
      <c r="K629" s="17" t="s">
        <v>181</v>
      </c>
      <c r="L629" s="5" t="s">
        <v>4650</v>
      </c>
      <c r="M629" s="6" t="s">
        <v>198</v>
      </c>
      <c r="N629" s="6" t="s">
        <v>813</v>
      </c>
      <c r="O629" s="6" t="s">
        <v>73</v>
      </c>
      <c r="P629" s="5" t="s">
        <v>918</v>
      </c>
      <c r="Q629" s="17" t="s">
        <v>182</v>
      </c>
      <c r="R629" s="5"/>
      <c r="S629" s="6" t="s">
        <v>1030</v>
      </c>
      <c r="T629" s="5" t="s">
        <v>827</v>
      </c>
      <c r="U629" s="6"/>
      <c r="V629" s="6" t="s">
        <v>1055</v>
      </c>
      <c r="W629" s="6" t="s">
        <v>333</v>
      </c>
      <c r="X629" s="5" t="s">
        <v>922</v>
      </c>
      <c r="Y629" s="5" t="s">
        <v>485</v>
      </c>
      <c r="Z629" s="5" t="str">
        <f t="shared" si="18"/>
        <v>Critical</v>
      </c>
      <c r="AA629" s="5" t="s">
        <v>923</v>
      </c>
      <c r="AB629" s="6" t="s">
        <v>956</v>
      </c>
      <c r="AC629" s="6" t="s">
        <v>78</v>
      </c>
      <c r="AD629" s="5" t="s">
        <v>925</v>
      </c>
      <c r="AE629" s="5" t="s">
        <v>354</v>
      </c>
      <c r="AF629" s="5" t="s">
        <v>354</v>
      </c>
      <c r="AG629" s="5" t="s">
        <v>354</v>
      </c>
      <c r="AH629" s="5" t="s">
        <v>354</v>
      </c>
      <c r="AI629" s="6" t="str">
        <f t="shared" si="19"/>
        <v>No</v>
      </c>
      <c r="AJ629" s="6" t="s">
        <v>926</v>
      </c>
      <c r="AK629" s="6" t="s">
        <v>73</v>
      </c>
      <c r="AL629" s="6">
        <f>MATCH(AA629,{"Low","Medium","High"},0)*MATCH(AB629,{"Low","Medium","High"},0)*INDEX({3,2,2,1,1},MATCH(X629,{"Core","Vertical extension","Differentiator","Future","Adjacent"},0))</f>
        <v>18</v>
      </c>
      <c r="AM629" s="5"/>
      <c r="AN629" s="5"/>
      <c r="AO629" s="5"/>
      <c r="AP629" s="5"/>
      <c r="AQ629" s="5"/>
      <c r="AR629" s="5"/>
      <c r="AS629" s="5"/>
      <c r="AT629" s="5"/>
      <c r="AU629" s="6" t="s">
        <v>927</v>
      </c>
      <c r="AV629" s="6" t="s">
        <v>1390</v>
      </c>
      <c r="AW629" s="6" t="s">
        <v>2161</v>
      </c>
      <c r="AX629" s="6" t="s">
        <v>929</v>
      </c>
      <c r="AY629" s="6" t="s">
        <v>1032</v>
      </c>
      <c r="AZ629" s="6"/>
      <c r="BA629" s="6"/>
      <c r="BB629" s="6"/>
      <c r="BC629" s="6" t="s">
        <v>97</v>
      </c>
      <c r="BD629" s="6" t="s">
        <v>97</v>
      </c>
    </row>
    <row r="630" spans="1:56" ht="32" customHeight="1" x14ac:dyDescent="0.35">
      <c r="A630" s="13" t="s">
        <v>4651</v>
      </c>
      <c r="B630" s="6" t="s">
        <v>4596</v>
      </c>
      <c r="C630" s="5" t="s">
        <v>1596</v>
      </c>
      <c r="D630" s="5" t="s">
        <v>827</v>
      </c>
      <c r="E630" s="5" t="s">
        <v>4652</v>
      </c>
      <c r="F630" s="5" t="s">
        <v>4653</v>
      </c>
      <c r="G630" s="5" t="s">
        <v>3429</v>
      </c>
      <c r="H630" s="5" t="s">
        <v>4654</v>
      </c>
      <c r="I630" s="5" t="s">
        <v>4655</v>
      </c>
      <c r="J630" s="17" t="s">
        <v>121</v>
      </c>
      <c r="K630" s="17" t="s">
        <v>181</v>
      </c>
      <c r="L630" s="5" t="s">
        <v>4656</v>
      </c>
      <c r="M630" s="6" t="s">
        <v>198</v>
      </c>
      <c r="N630" s="6" t="s">
        <v>813</v>
      </c>
      <c r="O630" s="6" t="s">
        <v>121</v>
      </c>
      <c r="P630" s="5" t="s">
        <v>918</v>
      </c>
      <c r="Q630" s="17" t="s">
        <v>182</v>
      </c>
      <c r="R630" s="5"/>
      <c r="S630" s="6" t="s">
        <v>1030</v>
      </c>
      <c r="T630" s="5" t="s">
        <v>827</v>
      </c>
      <c r="U630" s="6"/>
      <c r="V630" s="6" t="s">
        <v>1031</v>
      </c>
      <c r="W630" s="6" t="s">
        <v>333</v>
      </c>
      <c r="X630" s="5" t="s">
        <v>922</v>
      </c>
      <c r="Y630" s="5" t="s">
        <v>485</v>
      </c>
      <c r="Z630" s="5" t="str">
        <f t="shared" si="18"/>
        <v>High</v>
      </c>
      <c r="AA630" s="5" t="s">
        <v>956</v>
      </c>
      <c r="AB630" s="6" t="s">
        <v>956</v>
      </c>
      <c r="AC630" s="6" t="s">
        <v>103</v>
      </c>
      <c r="AD630" s="5" t="s">
        <v>925</v>
      </c>
      <c r="AE630" s="5" t="s">
        <v>354</v>
      </c>
      <c r="AF630" s="5" t="s">
        <v>354</v>
      </c>
      <c r="AG630" s="5" t="s">
        <v>354</v>
      </c>
      <c r="AH630" s="5" t="s">
        <v>354</v>
      </c>
      <c r="AI630" s="6" t="str">
        <f t="shared" si="19"/>
        <v>No</v>
      </c>
      <c r="AJ630" s="6" t="s">
        <v>926</v>
      </c>
      <c r="AK630" s="6" t="s">
        <v>121</v>
      </c>
      <c r="AL630" s="6">
        <f>MATCH(AA630,{"Low","Medium","High"},0)*MATCH(AB630,{"Low","Medium","High"},0)*INDEX({3,2,2,1,1},MATCH(X630,{"Core","Vertical extension","Differentiator","Future","Adjacent"},0))</f>
        <v>12</v>
      </c>
      <c r="AM630" s="5"/>
      <c r="AN630" s="5"/>
      <c r="AO630" s="5"/>
      <c r="AP630" s="5"/>
      <c r="AQ630" s="5"/>
      <c r="AR630" s="5"/>
      <c r="AS630" s="5"/>
      <c r="AT630" s="5"/>
      <c r="AU630" s="6" t="s">
        <v>927</v>
      </c>
      <c r="AV630" s="6" t="s">
        <v>1390</v>
      </c>
      <c r="AW630" s="6" t="s">
        <v>1285</v>
      </c>
      <c r="AX630" s="6" t="s">
        <v>929</v>
      </c>
      <c r="AY630" s="6" t="s">
        <v>1032</v>
      </c>
      <c r="AZ630" s="6"/>
      <c r="BA630" s="6"/>
      <c r="BB630" s="6"/>
      <c r="BC630" s="6" t="s">
        <v>97</v>
      </c>
      <c r="BD630" s="6" t="s">
        <v>97</v>
      </c>
    </row>
    <row r="631" spans="1:56" ht="32" customHeight="1" x14ac:dyDescent="0.35">
      <c r="A631" s="13" t="s">
        <v>4657</v>
      </c>
      <c r="B631" s="6" t="s">
        <v>4596</v>
      </c>
      <c r="C631" s="5" t="s">
        <v>1596</v>
      </c>
      <c r="D631" s="5" t="s">
        <v>827</v>
      </c>
      <c r="E631" s="5" t="s">
        <v>4658</v>
      </c>
      <c r="F631" s="5" t="s">
        <v>4659</v>
      </c>
      <c r="G631" s="5" t="s">
        <v>4660</v>
      </c>
      <c r="H631" s="5" t="s">
        <v>4661</v>
      </c>
      <c r="I631" s="5" t="s">
        <v>4662</v>
      </c>
      <c r="J631" s="16" t="s">
        <v>73</v>
      </c>
      <c r="K631" s="17" t="s">
        <v>181</v>
      </c>
      <c r="L631" s="5" t="s">
        <v>4663</v>
      </c>
      <c r="M631" s="6" t="s">
        <v>198</v>
      </c>
      <c r="N631" s="6" t="s">
        <v>813</v>
      </c>
      <c r="O631" s="6" t="s">
        <v>73</v>
      </c>
      <c r="P631" s="5" t="s">
        <v>918</v>
      </c>
      <c r="Q631" s="17" t="s">
        <v>182</v>
      </c>
      <c r="R631" s="5"/>
      <c r="S631" s="6" t="s">
        <v>1030</v>
      </c>
      <c r="T631" s="5" t="s">
        <v>827</v>
      </c>
      <c r="U631" s="6"/>
      <c r="V631" s="6" t="s">
        <v>1031</v>
      </c>
      <c r="W631" s="6" t="s">
        <v>333</v>
      </c>
      <c r="X631" s="5" t="s">
        <v>922</v>
      </c>
      <c r="Y631" s="5" t="s">
        <v>485</v>
      </c>
      <c r="Z631" s="5" t="str">
        <f t="shared" si="18"/>
        <v>Critical</v>
      </c>
      <c r="AA631" s="5" t="s">
        <v>923</v>
      </c>
      <c r="AB631" s="6" t="s">
        <v>956</v>
      </c>
      <c r="AC631" s="6" t="s">
        <v>78</v>
      </c>
      <c r="AD631" s="5" t="s">
        <v>925</v>
      </c>
      <c r="AE631" s="5" t="s">
        <v>354</v>
      </c>
      <c r="AF631" s="5" t="s">
        <v>354</v>
      </c>
      <c r="AG631" s="5" t="s">
        <v>354</v>
      </c>
      <c r="AH631" s="5" t="s">
        <v>354</v>
      </c>
      <c r="AI631" s="6" t="str">
        <f t="shared" si="19"/>
        <v>No</v>
      </c>
      <c r="AJ631" s="6" t="s">
        <v>926</v>
      </c>
      <c r="AK631" s="6" t="s">
        <v>73</v>
      </c>
      <c r="AL631" s="6">
        <f>MATCH(AA631,{"Low","Medium","High"},0)*MATCH(AB631,{"Low","Medium","High"},0)*INDEX({3,2,2,1,1},MATCH(X631,{"Core","Vertical extension","Differentiator","Future","Adjacent"},0))</f>
        <v>18</v>
      </c>
      <c r="AM631" s="5"/>
      <c r="AN631" s="5"/>
      <c r="AO631" s="5"/>
      <c r="AP631" s="5"/>
      <c r="AQ631" s="5"/>
      <c r="AR631" s="5"/>
      <c r="AS631" s="5"/>
      <c r="AT631" s="5"/>
      <c r="AU631" s="6" t="s">
        <v>927</v>
      </c>
      <c r="AV631" s="6" t="s">
        <v>1390</v>
      </c>
      <c r="AW631" s="6" t="s">
        <v>2161</v>
      </c>
      <c r="AX631" s="6" t="s">
        <v>929</v>
      </c>
      <c r="AY631" s="6" t="s">
        <v>1032</v>
      </c>
      <c r="AZ631" s="6"/>
      <c r="BA631" s="6"/>
      <c r="BB631" s="6"/>
      <c r="BC631" s="6" t="s">
        <v>97</v>
      </c>
      <c r="BD631" s="6" t="s">
        <v>97</v>
      </c>
    </row>
    <row r="632" spans="1:56" ht="32" customHeight="1" x14ac:dyDescent="0.35">
      <c r="A632" s="13" t="s">
        <v>4664</v>
      </c>
      <c r="B632" s="6" t="s">
        <v>4596</v>
      </c>
      <c r="C632" s="5" t="s">
        <v>1596</v>
      </c>
      <c r="D632" s="5" t="s">
        <v>827</v>
      </c>
      <c r="E632" s="5" t="s">
        <v>4665</v>
      </c>
      <c r="F632" s="5" t="s">
        <v>4612</v>
      </c>
      <c r="G632" s="5" t="s">
        <v>4666</v>
      </c>
      <c r="H632" s="5" t="s">
        <v>4667</v>
      </c>
      <c r="I632" s="5" t="s">
        <v>4668</v>
      </c>
      <c r="J632" s="17" t="s">
        <v>121</v>
      </c>
      <c r="K632" s="17" t="s">
        <v>181</v>
      </c>
      <c r="L632" s="5" t="s">
        <v>4669</v>
      </c>
      <c r="M632" s="6" t="s">
        <v>198</v>
      </c>
      <c r="N632" s="6" t="s">
        <v>813</v>
      </c>
      <c r="O632" s="6" t="s">
        <v>121</v>
      </c>
      <c r="P632" s="5" t="s">
        <v>918</v>
      </c>
      <c r="Q632" s="17" t="s">
        <v>182</v>
      </c>
      <c r="R632" s="5"/>
      <c r="S632" s="6" t="s">
        <v>1030</v>
      </c>
      <c r="T632" s="5" t="s">
        <v>827</v>
      </c>
      <c r="U632" s="6"/>
      <c r="V632" s="6" t="s">
        <v>1031</v>
      </c>
      <c r="W632" s="6" t="s">
        <v>333</v>
      </c>
      <c r="X632" s="5" t="s">
        <v>922</v>
      </c>
      <c r="Y632" s="5" t="s">
        <v>485</v>
      </c>
      <c r="Z632" s="5" t="str">
        <f t="shared" si="18"/>
        <v>High</v>
      </c>
      <c r="AA632" s="5" t="s">
        <v>956</v>
      </c>
      <c r="AB632" s="6" t="s">
        <v>956</v>
      </c>
      <c r="AC632" s="6" t="s">
        <v>103</v>
      </c>
      <c r="AD632" s="5" t="s">
        <v>925</v>
      </c>
      <c r="AE632" s="5" t="s">
        <v>354</v>
      </c>
      <c r="AF632" s="5" t="s">
        <v>354</v>
      </c>
      <c r="AG632" s="5" t="s">
        <v>354</v>
      </c>
      <c r="AH632" s="5" t="s">
        <v>354</v>
      </c>
      <c r="AI632" s="6" t="str">
        <f t="shared" si="19"/>
        <v>No</v>
      </c>
      <c r="AJ632" s="6" t="s">
        <v>926</v>
      </c>
      <c r="AK632" s="6" t="s">
        <v>121</v>
      </c>
      <c r="AL632" s="6">
        <f>MATCH(AA632,{"Low","Medium","High"},0)*MATCH(AB632,{"Low","Medium","High"},0)*INDEX({3,2,2,1,1},MATCH(X632,{"Core","Vertical extension","Differentiator","Future","Adjacent"},0))</f>
        <v>12</v>
      </c>
      <c r="AM632" s="5"/>
      <c r="AN632" s="5"/>
      <c r="AO632" s="5"/>
      <c r="AP632" s="5"/>
      <c r="AQ632" s="5"/>
      <c r="AR632" s="5"/>
      <c r="AS632" s="5"/>
      <c r="AT632" s="5"/>
      <c r="AU632" s="6" t="s">
        <v>927</v>
      </c>
      <c r="AV632" s="6" t="s">
        <v>1390</v>
      </c>
      <c r="AW632" s="6" t="s">
        <v>2161</v>
      </c>
      <c r="AX632" s="6" t="s">
        <v>929</v>
      </c>
      <c r="AY632" s="6" t="s">
        <v>1032</v>
      </c>
      <c r="AZ632" s="6"/>
      <c r="BA632" s="6"/>
      <c r="BB632" s="6"/>
      <c r="BC632" s="6" t="s">
        <v>97</v>
      </c>
      <c r="BD632" s="6" t="s">
        <v>97</v>
      </c>
    </row>
    <row r="633" spans="1:56" ht="32" customHeight="1" x14ac:dyDescent="0.35">
      <c r="A633" s="13" t="s">
        <v>4670</v>
      </c>
      <c r="B633" s="6" t="s">
        <v>4596</v>
      </c>
      <c r="C633" s="5" t="s">
        <v>1596</v>
      </c>
      <c r="D633" s="5" t="s">
        <v>827</v>
      </c>
      <c r="E633" s="5" t="s">
        <v>4671</v>
      </c>
      <c r="F633" s="5" t="s">
        <v>4672</v>
      </c>
      <c r="G633" s="5" t="s">
        <v>951</v>
      </c>
      <c r="H633" s="5" t="s">
        <v>4673</v>
      </c>
      <c r="I633" s="5" t="s">
        <v>4674</v>
      </c>
      <c r="J633" s="17" t="s">
        <v>121</v>
      </c>
      <c r="K633" s="17" t="s">
        <v>181</v>
      </c>
      <c r="L633" s="5" t="s">
        <v>4675</v>
      </c>
      <c r="M633" s="6" t="s">
        <v>198</v>
      </c>
      <c r="N633" s="6" t="s">
        <v>813</v>
      </c>
      <c r="O633" s="6" t="s">
        <v>121</v>
      </c>
      <c r="P633" s="5" t="s">
        <v>918</v>
      </c>
      <c r="Q633" s="17" t="s">
        <v>182</v>
      </c>
      <c r="R633" s="5"/>
      <c r="S633" s="6" t="s">
        <v>1030</v>
      </c>
      <c r="T633" s="5" t="s">
        <v>827</v>
      </c>
      <c r="U633" s="6"/>
      <c r="V633" s="6" t="s">
        <v>1055</v>
      </c>
      <c r="W633" s="6" t="s">
        <v>333</v>
      </c>
      <c r="X633" s="5" t="s">
        <v>922</v>
      </c>
      <c r="Y633" s="5" t="s">
        <v>485</v>
      </c>
      <c r="Z633" s="5" t="str">
        <f t="shared" si="18"/>
        <v>High</v>
      </c>
      <c r="AA633" s="5" t="s">
        <v>956</v>
      </c>
      <c r="AB633" s="6" t="s">
        <v>956</v>
      </c>
      <c r="AC633" s="6" t="s">
        <v>103</v>
      </c>
      <c r="AD633" s="5" t="s">
        <v>925</v>
      </c>
      <c r="AE633" s="5" t="s">
        <v>354</v>
      </c>
      <c r="AF633" s="5" t="s">
        <v>354</v>
      </c>
      <c r="AG633" s="5" t="s">
        <v>354</v>
      </c>
      <c r="AH633" s="5" t="s">
        <v>354</v>
      </c>
      <c r="AI633" s="6" t="str">
        <f t="shared" si="19"/>
        <v>No</v>
      </c>
      <c r="AJ633" s="6" t="s">
        <v>926</v>
      </c>
      <c r="AK633" s="6" t="s">
        <v>121</v>
      </c>
      <c r="AL633" s="6">
        <f>MATCH(AA633,{"Low","Medium","High"},0)*MATCH(AB633,{"Low","Medium","High"},0)*INDEX({3,2,2,1,1},MATCH(X633,{"Core","Vertical extension","Differentiator","Future","Adjacent"},0))</f>
        <v>12</v>
      </c>
      <c r="AM633" s="5"/>
      <c r="AN633" s="5"/>
      <c r="AO633" s="5"/>
      <c r="AP633" s="5"/>
      <c r="AQ633" s="5"/>
      <c r="AR633" s="5"/>
      <c r="AS633" s="5"/>
      <c r="AT633" s="5"/>
      <c r="AU633" s="6" t="s">
        <v>927</v>
      </c>
      <c r="AV633" s="6" t="s">
        <v>1390</v>
      </c>
      <c r="AW633" s="6" t="s">
        <v>2161</v>
      </c>
      <c r="AX633" s="6" t="s">
        <v>929</v>
      </c>
      <c r="AY633" s="6" t="s">
        <v>1032</v>
      </c>
      <c r="AZ633" s="6"/>
      <c r="BA633" s="6"/>
      <c r="BB633" s="6"/>
      <c r="BC633" s="6" t="s">
        <v>97</v>
      </c>
      <c r="BD633" s="6" t="s">
        <v>97</v>
      </c>
    </row>
    <row r="634" spans="1:56" ht="32" customHeight="1" x14ac:dyDescent="0.35">
      <c r="A634" s="13" t="s">
        <v>4676</v>
      </c>
      <c r="B634" s="6" t="s">
        <v>4596</v>
      </c>
      <c r="C634" s="5" t="s">
        <v>1596</v>
      </c>
      <c r="D634" s="5" t="s">
        <v>827</v>
      </c>
      <c r="E634" s="5" t="s">
        <v>4677</v>
      </c>
      <c r="F634" s="5" t="s">
        <v>4678</v>
      </c>
      <c r="G634" s="5" t="s">
        <v>4633</v>
      </c>
      <c r="H634" s="5" t="s">
        <v>4679</v>
      </c>
      <c r="I634" s="5" t="s">
        <v>4680</v>
      </c>
      <c r="J634" s="17" t="s">
        <v>121</v>
      </c>
      <c r="K634" s="17" t="s">
        <v>181</v>
      </c>
      <c r="L634" s="5" t="s">
        <v>4681</v>
      </c>
      <c r="M634" s="6" t="s">
        <v>198</v>
      </c>
      <c r="N634" s="6" t="s">
        <v>813</v>
      </c>
      <c r="O634" s="6" t="s">
        <v>121</v>
      </c>
      <c r="P634" s="5" t="s">
        <v>918</v>
      </c>
      <c r="Q634" s="17" t="s">
        <v>182</v>
      </c>
      <c r="R634" s="5"/>
      <c r="S634" s="6" t="s">
        <v>1030</v>
      </c>
      <c r="T634" s="5" t="s">
        <v>827</v>
      </c>
      <c r="U634" s="6"/>
      <c r="V634" s="6" t="s">
        <v>939</v>
      </c>
      <c r="W634" s="6" t="s">
        <v>333</v>
      </c>
      <c r="X634" s="5" t="s">
        <v>922</v>
      </c>
      <c r="Y634" s="5" t="s">
        <v>485</v>
      </c>
      <c r="Z634" s="5" t="str">
        <f t="shared" si="18"/>
        <v>High</v>
      </c>
      <c r="AA634" s="5" t="s">
        <v>956</v>
      </c>
      <c r="AB634" s="6" t="s">
        <v>956</v>
      </c>
      <c r="AC634" s="6" t="s">
        <v>103</v>
      </c>
      <c r="AD634" s="5" t="s">
        <v>925</v>
      </c>
      <c r="AE634" s="5" t="s">
        <v>354</v>
      </c>
      <c r="AF634" s="5" t="s">
        <v>354</v>
      </c>
      <c r="AG634" s="5" t="s">
        <v>354</v>
      </c>
      <c r="AH634" s="5" t="s">
        <v>354</v>
      </c>
      <c r="AI634" s="6" t="str">
        <f t="shared" si="19"/>
        <v>No</v>
      </c>
      <c r="AJ634" s="6" t="s">
        <v>926</v>
      </c>
      <c r="AK634" s="6" t="s">
        <v>121</v>
      </c>
      <c r="AL634" s="6">
        <f>MATCH(AA634,{"Low","Medium","High"},0)*MATCH(AB634,{"Low","Medium","High"},0)*INDEX({3,2,2,1,1},MATCH(X634,{"Core","Vertical extension","Differentiator","Future","Adjacent"},0))</f>
        <v>12</v>
      </c>
      <c r="AM634" s="5"/>
      <c r="AN634" s="5"/>
      <c r="AO634" s="5"/>
      <c r="AP634" s="5"/>
      <c r="AQ634" s="5"/>
      <c r="AR634" s="5"/>
      <c r="AS634" s="5"/>
      <c r="AT634" s="5"/>
      <c r="AU634" s="6" t="s">
        <v>927</v>
      </c>
      <c r="AV634" s="6" t="s">
        <v>1390</v>
      </c>
      <c r="AW634" s="6" t="s">
        <v>2161</v>
      </c>
      <c r="AX634" s="6" t="s">
        <v>929</v>
      </c>
      <c r="AY634" s="6" t="s">
        <v>1032</v>
      </c>
      <c r="AZ634" s="6"/>
      <c r="BA634" s="6"/>
      <c r="BB634" s="6"/>
      <c r="BC634" s="6" t="s">
        <v>97</v>
      </c>
      <c r="BD634" s="6" t="s">
        <v>97</v>
      </c>
    </row>
    <row r="635" spans="1:56" ht="32" customHeight="1" x14ac:dyDescent="0.35">
      <c r="A635" s="13" t="s">
        <v>4682</v>
      </c>
      <c r="B635" s="6" t="s">
        <v>4596</v>
      </c>
      <c r="C635" s="5" t="s">
        <v>1596</v>
      </c>
      <c r="D635" s="5" t="s">
        <v>827</v>
      </c>
      <c r="E635" s="5" t="s">
        <v>4683</v>
      </c>
      <c r="F635" s="5" t="s">
        <v>4639</v>
      </c>
      <c r="G635" s="5" t="s">
        <v>1596</v>
      </c>
      <c r="H635" s="5" t="s">
        <v>4684</v>
      </c>
      <c r="I635" s="5" t="s">
        <v>4685</v>
      </c>
      <c r="J635" s="17" t="s">
        <v>121</v>
      </c>
      <c r="K635" s="17" t="s">
        <v>181</v>
      </c>
      <c r="L635" s="5" t="s">
        <v>4686</v>
      </c>
      <c r="M635" s="6" t="s">
        <v>198</v>
      </c>
      <c r="N635" s="6" t="s">
        <v>813</v>
      </c>
      <c r="O635" s="6" t="s">
        <v>121</v>
      </c>
      <c r="P635" s="5" t="s">
        <v>918</v>
      </c>
      <c r="Q635" s="17" t="s">
        <v>182</v>
      </c>
      <c r="R635" s="5"/>
      <c r="S635" s="6" t="s">
        <v>1030</v>
      </c>
      <c r="T635" s="5" t="s">
        <v>827</v>
      </c>
      <c r="U635" s="6"/>
      <c r="V635" s="6" t="s">
        <v>1031</v>
      </c>
      <c r="W635" s="6" t="s">
        <v>333</v>
      </c>
      <c r="X635" s="5" t="s">
        <v>922</v>
      </c>
      <c r="Y635" s="5" t="s">
        <v>485</v>
      </c>
      <c r="Z635" s="5" t="str">
        <f t="shared" si="18"/>
        <v>High</v>
      </c>
      <c r="AA635" s="5" t="s">
        <v>956</v>
      </c>
      <c r="AB635" s="6" t="s">
        <v>956</v>
      </c>
      <c r="AC635" s="6" t="s">
        <v>103</v>
      </c>
      <c r="AD635" s="5" t="s">
        <v>925</v>
      </c>
      <c r="AE635" s="5" t="s">
        <v>354</v>
      </c>
      <c r="AF635" s="5" t="s">
        <v>354</v>
      </c>
      <c r="AG635" s="5" t="s">
        <v>354</v>
      </c>
      <c r="AH635" s="5" t="s">
        <v>354</v>
      </c>
      <c r="AI635" s="6" t="str">
        <f t="shared" si="19"/>
        <v>No</v>
      </c>
      <c r="AJ635" s="6" t="s">
        <v>926</v>
      </c>
      <c r="AK635" s="6" t="s">
        <v>121</v>
      </c>
      <c r="AL635" s="6">
        <f>MATCH(AA635,{"Low","Medium","High"},0)*MATCH(AB635,{"Low","Medium","High"},0)*INDEX({3,2,2,1,1},MATCH(X635,{"Core","Vertical extension","Differentiator","Future","Adjacent"},0))</f>
        <v>12</v>
      </c>
      <c r="AM635" s="5"/>
      <c r="AN635" s="5"/>
      <c r="AO635" s="5"/>
      <c r="AP635" s="5"/>
      <c r="AQ635" s="5"/>
      <c r="AR635" s="5"/>
      <c r="AS635" s="5"/>
      <c r="AT635" s="5"/>
      <c r="AU635" s="6" t="s">
        <v>927</v>
      </c>
      <c r="AV635" s="6" t="s">
        <v>1390</v>
      </c>
      <c r="AW635" s="6" t="s">
        <v>2161</v>
      </c>
      <c r="AX635" s="6" t="s">
        <v>929</v>
      </c>
      <c r="AY635" s="6" t="s">
        <v>1032</v>
      </c>
      <c r="AZ635" s="6"/>
      <c r="BA635" s="6"/>
      <c r="BB635" s="6"/>
      <c r="BC635" s="6" t="s">
        <v>97</v>
      </c>
      <c r="BD635" s="6" t="s">
        <v>97</v>
      </c>
    </row>
    <row r="636" spans="1:56" ht="32" customHeight="1" x14ac:dyDescent="0.35">
      <c r="A636" s="13" t="s">
        <v>4687</v>
      </c>
      <c r="B636" s="6" t="s">
        <v>4596</v>
      </c>
      <c r="C636" s="5" t="s">
        <v>1596</v>
      </c>
      <c r="D636" s="5" t="s">
        <v>827</v>
      </c>
      <c r="E636" s="5" t="s">
        <v>4688</v>
      </c>
      <c r="F636" s="5" t="s">
        <v>4689</v>
      </c>
      <c r="G636" s="5" t="s">
        <v>4690</v>
      </c>
      <c r="H636" s="5" t="s">
        <v>4691</v>
      </c>
      <c r="I636" s="5" t="s">
        <v>4692</v>
      </c>
      <c r="J636" s="21" t="s">
        <v>158</v>
      </c>
      <c r="K636" s="17" t="s">
        <v>181</v>
      </c>
      <c r="L636" s="5" t="s">
        <v>4693</v>
      </c>
      <c r="M636" s="6" t="s">
        <v>198</v>
      </c>
      <c r="N636" s="6" t="s">
        <v>813</v>
      </c>
      <c r="O636" s="6" t="s">
        <v>151</v>
      </c>
      <c r="P636" s="5" t="s">
        <v>4283</v>
      </c>
      <c r="Q636" s="18" t="s">
        <v>186</v>
      </c>
      <c r="R636" s="5" t="s">
        <v>4694</v>
      </c>
      <c r="S636" s="6" t="s">
        <v>1030</v>
      </c>
      <c r="T636" s="5" t="s">
        <v>827</v>
      </c>
      <c r="U636" s="6"/>
      <c r="V636" s="6" t="s">
        <v>1031</v>
      </c>
      <c r="W636" s="6" t="s">
        <v>333</v>
      </c>
      <c r="X636" s="5" t="s">
        <v>4284</v>
      </c>
      <c r="Y636" s="5" t="s">
        <v>485</v>
      </c>
      <c r="Z636" s="5" t="str">
        <f t="shared" si="18"/>
        <v>Low</v>
      </c>
      <c r="AA636" s="5" t="s">
        <v>924</v>
      </c>
      <c r="AB636" s="6" t="s">
        <v>956</v>
      </c>
      <c r="AC636" s="6" t="s">
        <v>11</v>
      </c>
      <c r="AD636" s="5" t="s">
        <v>940</v>
      </c>
      <c r="AE636" s="5" t="s">
        <v>354</v>
      </c>
      <c r="AF636" s="5" t="s">
        <v>354</v>
      </c>
      <c r="AG636" s="5" t="s">
        <v>354</v>
      </c>
      <c r="AH636" s="5" t="s">
        <v>354</v>
      </c>
      <c r="AI636" s="6" t="str">
        <f t="shared" si="19"/>
        <v>No</v>
      </c>
      <c r="AJ636" s="6" t="s">
        <v>941</v>
      </c>
      <c r="AK636" s="6" t="s">
        <v>158</v>
      </c>
      <c r="AL636" s="6">
        <f>MATCH(AA636,{"Low","Medium","High"},0)*MATCH(AB636,{"Low","Medium","High"},0)*INDEX({3,2,2,1,1},MATCH(X636,{"Core","Vertical extension","Differentiator","Future","Adjacent"},0))</f>
        <v>2</v>
      </c>
      <c r="AM636" s="5"/>
      <c r="AN636" s="5"/>
      <c r="AO636" s="5"/>
      <c r="AP636" s="5"/>
      <c r="AQ636" s="5"/>
      <c r="AR636" s="5"/>
      <c r="AS636" s="5"/>
      <c r="AT636" s="5"/>
      <c r="AU636" s="6" t="s">
        <v>927</v>
      </c>
      <c r="AV636" s="6" t="s">
        <v>1390</v>
      </c>
      <c r="AW636" s="6" t="s">
        <v>2161</v>
      </c>
      <c r="AX636" s="6" t="s">
        <v>4285</v>
      </c>
      <c r="AY636" s="6" t="s">
        <v>1032</v>
      </c>
      <c r="AZ636" s="6"/>
      <c r="BA636" s="6"/>
      <c r="BB636" s="6"/>
      <c r="BC636" s="6" t="s">
        <v>97</v>
      </c>
      <c r="BD636" s="6" t="s">
        <v>97</v>
      </c>
    </row>
    <row r="637" spans="1:56" ht="32" customHeight="1" x14ac:dyDescent="0.35">
      <c r="A637" s="13" t="s">
        <v>4695</v>
      </c>
      <c r="B637" s="6" t="s">
        <v>4696</v>
      </c>
      <c r="C637" s="5" t="s">
        <v>4697</v>
      </c>
      <c r="D637" s="5" t="s">
        <v>833</v>
      </c>
      <c r="E637" s="5" t="s">
        <v>4698</v>
      </c>
      <c r="F637" s="5" t="s">
        <v>4699</v>
      </c>
      <c r="G637" s="5" t="s">
        <v>914</v>
      </c>
      <c r="H637" s="5" t="s">
        <v>4700</v>
      </c>
      <c r="I637" s="5" t="s">
        <v>4701</v>
      </c>
      <c r="J637" s="16" t="s">
        <v>73</v>
      </c>
      <c r="K637" s="17" t="s">
        <v>181</v>
      </c>
      <c r="L637" s="5" t="s">
        <v>4702</v>
      </c>
      <c r="M637" s="6" t="s">
        <v>198</v>
      </c>
      <c r="N637" s="6" t="s">
        <v>813</v>
      </c>
      <c r="O637" s="6" t="s">
        <v>73</v>
      </c>
      <c r="P637" s="5" t="s">
        <v>918</v>
      </c>
      <c r="Q637" s="17" t="s">
        <v>182</v>
      </c>
      <c r="R637" s="5"/>
      <c r="S637" s="6" t="s">
        <v>919</v>
      </c>
      <c r="T637" s="5" t="s">
        <v>920</v>
      </c>
      <c r="U637" s="6"/>
      <c r="V637" s="6" t="s">
        <v>921</v>
      </c>
      <c r="W637" s="6" t="s">
        <v>331</v>
      </c>
      <c r="X637" s="5" t="s">
        <v>922</v>
      </c>
      <c r="Y637" s="5" t="s">
        <v>4385</v>
      </c>
      <c r="Z637" s="5" t="str">
        <f t="shared" si="18"/>
        <v>High</v>
      </c>
      <c r="AA637" s="5" t="s">
        <v>923</v>
      </c>
      <c r="AB637" s="6" t="s">
        <v>924</v>
      </c>
      <c r="AC637" s="6" t="s">
        <v>78</v>
      </c>
      <c r="AD637" s="5" t="s">
        <v>925</v>
      </c>
      <c r="AE637" s="5" t="s">
        <v>354</v>
      </c>
      <c r="AF637" s="5" t="s">
        <v>354</v>
      </c>
      <c r="AG637" s="5" t="s">
        <v>354</v>
      </c>
      <c r="AH637" s="5" t="s">
        <v>354</v>
      </c>
      <c r="AI637" s="6" t="str">
        <f t="shared" si="19"/>
        <v>No</v>
      </c>
      <c r="AJ637" s="6" t="s">
        <v>926</v>
      </c>
      <c r="AK637" s="6" t="s">
        <v>73</v>
      </c>
      <c r="AL637" s="6">
        <f>MATCH(AA637,{"Low","Medium","High"},0)*MATCH(AB637,{"Low","Medium","High"},0)*INDEX({3,2,2,1,1},MATCH(X637,{"Core","Vertical extension","Differentiator","Future","Adjacent"},0))</f>
        <v>9</v>
      </c>
      <c r="AM637" s="5"/>
      <c r="AN637" s="5"/>
      <c r="AO637" s="5"/>
      <c r="AP637" s="5"/>
      <c r="AQ637" s="5"/>
      <c r="AR637" s="5"/>
      <c r="AS637" s="5"/>
      <c r="AT637" s="5"/>
      <c r="AU637" s="6" t="s">
        <v>927</v>
      </c>
      <c r="AV637" s="6" t="s">
        <v>55</v>
      </c>
      <c r="AW637" s="6" t="s">
        <v>55</v>
      </c>
      <c r="AX637" s="6" t="s">
        <v>929</v>
      </c>
      <c r="AY637" s="6" t="s">
        <v>930</v>
      </c>
      <c r="AZ637" s="6"/>
      <c r="BA637" s="6"/>
      <c r="BB637" s="6"/>
      <c r="BC637" s="6" t="s">
        <v>97</v>
      </c>
      <c r="BD637" s="6" t="s">
        <v>97</v>
      </c>
    </row>
    <row r="638" spans="1:56" ht="32" customHeight="1" x14ac:dyDescent="0.35">
      <c r="A638" s="13" t="s">
        <v>4703</v>
      </c>
      <c r="B638" s="6" t="s">
        <v>4696</v>
      </c>
      <c r="C638" s="5" t="s">
        <v>4697</v>
      </c>
      <c r="D638" s="5" t="s">
        <v>829</v>
      </c>
      <c r="E638" s="5" t="s">
        <v>4704</v>
      </c>
      <c r="F638" s="5" t="s">
        <v>1623</v>
      </c>
      <c r="G638" s="5" t="s">
        <v>951</v>
      </c>
      <c r="H638" s="5" t="s">
        <v>4705</v>
      </c>
      <c r="I638" s="5" t="s">
        <v>4706</v>
      </c>
      <c r="J638" s="17" t="s">
        <v>121</v>
      </c>
      <c r="K638" s="17" t="s">
        <v>181</v>
      </c>
      <c r="L638" s="5" t="s">
        <v>4707</v>
      </c>
      <c r="M638" s="6" t="s">
        <v>198</v>
      </c>
      <c r="N638" s="6" t="s">
        <v>813</v>
      </c>
      <c r="O638" s="6" t="s">
        <v>121</v>
      </c>
      <c r="P638" s="5" t="s">
        <v>918</v>
      </c>
      <c r="Q638" s="18" t="s">
        <v>186</v>
      </c>
      <c r="R638" s="5" t="s">
        <v>4708</v>
      </c>
      <c r="S638" s="6" t="s">
        <v>980</v>
      </c>
      <c r="T638" s="5" t="s">
        <v>981</v>
      </c>
      <c r="U638" s="6"/>
      <c r="V638" s="6" t="s">
        <v>982</v>
      </c>
      <c r="W638" s="6" t="s">
        <v>331</v>
      </c>
      <c r="X638" s="5" t="s">
        <v>922</v>
      </c>
      <c r="Y638" s="5" t="s">
        <v>4385</v>
      </c>
      <c r="Z638" s="5" t="str">
        <f t="shared" si="18"/>
        <v>High</v>
      </c>
      <c r="AA638" s="5" t="s">
        <v>923</v>
      </c>
      <c r="AB638" s="6" t="s">
        <v>924</v>
      </c>
      <c r="AC638" s="6" t="s">
        <v>103</v>
      </c>
      <c r="AD638" s="5" t="s">
        <v>940</v>
      </c>
      <c r="AE638" s="5" t="s">
        <v>354</v>
      </c>
      <c r="AF638" s="5" t="s">
        <v>354</v>
      </c>
      <c r="AG638" s="5" t="s">
        <v>354</v>
      </c>
      <c r="AH638" s="5" t="s">
        <v>354</v>
      </c>
      <c r="AI638" s="6" t="str">
        <f t="shared" si="19"/>
        <v>No</v>
      </c>
      <c r="AJ638" s="6" t="s">
        <v>941</v>
      </c>
      <c r="AK638" s="6" t="s">
        <v>121</v>
      </c>
      <c r="AL638" s="6">
        <f>MATCH(AA638,{"Low","Medium","High"},0)*MATCH(AB638,{"Low","Medium","High"},0)*INDEX({3,2,2,1,1},MATCH(X638,{"Core","Vertical extension","Differentiator","Future","Adjacent"},0))</f>
        <v>9</v>
      </c>
      <c r="AM638" s="5"/>
      <c r="AN638" s="5"/>
      <c r="AO638" s="5"/>
      <c r="AP638" s="5"/>
      <c r="AQ638" s="5"/>
      <c r="AR638" s="5"/>
      <c r="AS638" s="5"/>
      <c r="AT638" s="5"/>
      <c r="AU638" s="6" t="s">
        <v>927</v>
      </c>
      <c r="AV638" s="6" t="s">
        <v>928</v>
      </c>
      <c r="AW638" s="6" t="s">
        <v>928</v>
      </c>
      <c r="AX638" s="6" t="s">
        <v>929</v>
      </c>
      <c r="AY638" s="6" t="s">
        <v>930</v>
      </c>
      <c r="AZ638" s="6"/>
      <c r="BA638" s="6"/>
      <c r="BB638" s="6"/>
      <c r="BC638" s="6" t="s">
        <v>97</v>
      </c>
      <c r="BD638" s="6" t="s">
        <v>97</v>
      </c>
    </row>
    <row r="639" spans="1:56" ht="32" customHeight="1" x14ac:dyDescent="0.35">
      <c r="A639" s="13" t="s">
        <v>4709</v>
      </c>
      <c r="B639" s="6" t="s">
        <v>4696</v>
      </c>
      <c r="C639" s="5" t="s">
        <v>4697</v>
      </c>
      <c r="D639" s="5" t="s">
        <v>833</v>
      </c>
      <c r="E639" s="5" t="s">
        <v>4710</v>
      </c>
      <c r="F639" s="5" t="s">
        <v>1623</v>
      </c>
      <c r="G639" s="5" t="s">
        <v>1017</v>
      </c>
      <c r="H639" s="5" t="s">
        <v>4711</v>
      </c>
      <c r="I639" s="5" t="s">
        <v>4712</v>
      </c>
      <c r="J639" s="16" t="s">
        <v>73</v>
      </c>
      <c r="K639" s="17" t="s">
        <v>181</v>
      </c>
      <c r="L639" s="5" t="s">
        <v>4713</v>
      </c>
      <c r="M639" s="6" t="s">
        <v>198</v>
      </c>
      <c r="N639" s="6" t="s">
        <v>813</v>
      </c>
      <c r="O639" s="6" t="s">
        <v>73</v>
      </c>
      <c r="P639" s="5" t="s">
        <v>918</v>
      </c>
      <c r="Q639" s="17" t="s">
        <v>182</v>
      </c>
      <c r="R639" s="5"/>
      <c r="S639" s="6" t="s">
        <v>919</v>
      </c>
      <c r="T639" s="5" t="s">
        <v>920</v>
      </c>
      <c r="U639" s="6"/>
      <c r="V639" s="6" t="s">
        <v>921</v>
      </c>
      <c r="W639" s="6" t="s">
        <v>331</v>
      </c>
      <c r="X639" s="5" t="s">
        <v>922</v>
      </c>
      <c r="Y639" s="5" t="s">
        <v>4385</v>
      </c>
      <c r="Z639" s="5" t="str">
        <f t="shared" si="18"/>
        <v>High</v>
      </c>
      <c r="AA639" s="5" t="s">
        <v>923</v>
      </c>
      <c r="AB639" s="6" t="s">
        <v>924</v>
      </c>
      <c r="AC639" s="6" t="s">
        <v>78</v>
      </c>
      <c r="AD639" s="5" t="s">
        <v>925</v>
      </c>
      <c r="AE639" s="5" t="s">
        <v>354</v>
      </c>
      <c r="AF639" s="5" t="s">
        <v>354</v>
      </c>
      <c r="AG639" s="5" t="s">
        <v>354</v>
      </c>
      <c r="AH639" s="5" t="s">
        <v>354</v>
      </c>
      <c r="AI639" s="6" t="str">
        <f t="shared" si="19"/>
        <v>No</v>
      </c>
      <c r="AJ639" s="6" t="s">
        <v>926</v>
      </c>
      <c r="AK639" s="6" t="s">
        <v>73</v>
      </c>
      <c r="AL639" s="6">
        <f>MATCH(AA639,{"Low","Medium","High"},0)*MATCH(AB639,{"Low","Medium","High"},0)*INDEX({3,2,2,1,1},MATCH(X639,{"Core","Vertical extension","Differentiator","Future","Adjacent"},0))</f>
        <v>9</v>
      </c>
      <c r="AM639" s="5"/>
      <c r="AN639" s="5"/>
      <c r="AO639" s="5"/>
      <c r="AP639" s="5"/>
      <c r="AQ639" s="5"/>
      <c r="AR639" s="5"/>
      <c r="AS639" s="5"/>
      <c r="AT639" s="5"/>
      <c r="AU639" s="6" t="s">
        <v>927</v>
      </c>
      <c r="AV639" s="6" t="s">
        <v>928</v>
      </c>
      <c r="AW639" s="6" t="s">
        <v>928</v>
      </c>
      <c r="AX639" s="6" t="s">
        <v>929</v>
      </c>
      <c r="AY639" s="6" t="s">
        <v>930</v>
      </c>
      <c r="AZ639" s="6"/>
      <c r="BA639" s="6"/>
      <c r="BB639" s="6"/>
      <c r="BC639" s="6" t="s">
        <v>97</v>
      </c>
      <c r="BD639" s="6" t="s">
        <v>97</v>
      </c>
    </row>
    <row r="640" spans="1:56" ht="32" customHeight="1" x14ac:dyDescent="0.35">
      <c r="A640" s="13" t="s">
        <v>4714</v>
      </c>
      <c r="B640" s="6" t="s">
        <v>4696</v>
      </c>
      <c r="C640" s="5" t="s">
        <v>4697</v>
      </c>
      <c r="D640" s="5" t="s">
        <v>827</v>
      </c>
      <c r="E640" s="5" t="s">
        <v>4715</v>
      </c>
      <c r="F640" s="5" t="s">
        <v>4716</v>
      </c>
      <c r="G640" s="5" t="s">
        <v>3429</v>
      </c>
      <c r="H640" s="5" t="s">
        <v>4717</v>
      </c>
      <c r="I640" s="5" t="s">
        <v>4718</v>
      </c>
      <c r="J640" s="16" t="s">
        <v>73</v>
      </c>
      <c r="K640" s="17" t="s">
        <v>181</v>
      </c>
      <c r="L640" s="5" t="s">
        <v>4719</v>
      </c>
      <c r="M640" s="6" t="s">
        <v>198</v>
      </c>
      <c r="N640" s="6" t="s">
        <v>813</v>
      </c>
      <c r="O640" s="6" t="s">
        <v>73</v>
      </c>
      <c r="P640" s="5" t="s">
        <v>918</v>
      </c>
      <c r="Q640" s="17" t="s">
        <v>182</v>
      </c>
      <c r="R640" s="5"/>
      <c r="S640" s="6" t="s">
        <v>1030</v>
      </c>
      <c r="T640" s="5" t="s">
        <v>827</v>
      </c>
      <c r="U640" s="6"/>
      <c r="V640" s="6" t="s">
        <v>921</v>
      </c>
      <c r="W640" s="6" t="s">
        <v>333</v>
      </c>
      <c r="X640" s="5" t="s">
        <v>922</v>
      </c>
      <c r="Y640" s="5" t="s">
        <v>4385</v>
      </c>
      <c r="Z640" s="5" t="str">
        <f t="shared" si="18"/>
        <v>Critical</v>
      </c>
      <c r="AA640" s="5" t="s">
        <v>923</v>
      </c>
      <c r="AB640" s="6" t="s">
        <v>956</v>
      </c>
      <c r="AC640" s="6" t="s">
        <v>78</v>
      </c>
      <c r="AD640" s="5" t="s">
        <v>925</v>
      </c>
      <c r="AE640" s="5" t="s">
        <v>354</v>
      </c>
      <c r="AF640" s="5" t="s">
        <v>354</v>
      </c>
      <c r="AG640" s="5" t="s">
        <v>354</v>
      </c>
      <c r="AH640" s="5" t="s">
        <v>354</v>
      </c>
      <c r="AI640" s="6" t="str">
        <f t="shared" si="19"/>
        <v>No</v>
      </c>
      <c r="AJ640" s="6" t="s">
        <v>926</v>
      </c>
      <c r="AK640" s="6" t="s">
        <v>73</v>
      </c>
      <c r="AL640" s="6">
        <f>MATCH(AA640,{"Low","Medium","High"},0)*MATCH(AB640,{"Low","Medium","High"},0)*INDEX({3,2,2,1,1},MATCH(X640,{"Core","Vertical extension","Differentiator","Future","Adjacent"},0))</f>
        <v>18</v>
      </c>
      <c r="AM640" s="5"/>
      <c r="AN640" s="5"/>
      <c r="AO640" s="5"/>
      <c r="AP640" s="5"/>
      <c r="AQ640" s="5"/>
      <c r="AR640" s="5"/>
      <c r="AS640" s="5"/>
      <c r="AT640" s="5"/>
      <c r="AU640" s="6" t="s">
        <v>927</v>
      </c>
      <c r="AV640" s="6" t="s">
        <v>2161</v>
      </c>
      <c r="AW640" s="6" t="s">
        <v>2161</v>
      </c>
      <c r="AX640" s="6" t="s">
        <v>929</v>
      </c>
      <c r="AY640" s="6" t="s">
        <v>1032</v>
      </c>
      <c r="AZ640" s="6"/>
      <c r="BA640" s="6"/>
      <c r="BB640" s="6"/>
      <c r="BC640" s="6" t="s">
        <v>97</v>
      </c>
      <c r="BD640" s="6" t="s">
        <v>97</v>
      </c>
    </row>
    <row r="641" spans="1:56" ht="32" customHeight="1" x14ac:dyDescent="0.35">
      <c r="A641" s="13" t="s">
        <v>4720</v>
      </c>
      <c r="B641" s="6" t="s">
        <v>4696</v>
      </c>
      <c r="C641" s="5" t="s">
        <v>4697</v>
      </c>
      <c r="D641" s="5" t="s">
        <v>831</v>
      </c>
      <c r="E641" s="5" t="s">
        <v>4721</v>
      </c>
      <c r="F641" s="5" t="s">
        <v>4716</v>
      </c>
      <c r="G641" s="5" t="s">
        <v>1452</v>
      </c>
      <c r="H641" s="5" t="s">
        <v>4722</v>
      </c>
      <c r="I641" s="5" t="s">
        <v>4723</v>
      </c>
      <c r="J641" s="17" t="s">
        <v>121</v>
      </c>
      <c r="K641" s="17" t="s">
        <v>181</v>
      </c>
      <c r="L641" s="5" t="s">
        <v>4724</v>
      </c>
      <c r="M641" s="6" t="s">
        <v>198</v>
      </c>
      <c r="N641" s="6" t="s">
        <v>813</v>
      </c>
      <c r="O641" s="6" t="s">
        <v>121</v>
      </c>
      <c r="P641" s="5" t="s">
        <v>918</v>
      </c>
      <c r="Q641" s="18" t="s">
        <v>186</v>
      </c>
      <c r="R641" s="5" t="s">
        <v>4725</v>
      </c>
      <c r="S641" s="6" t="s">
        <v>964</v>
      </c>
      <c r="T641" s="5" t="s">
        <v>965</v>
      </c>
      <c r="U641" s="6"/>
      <c r="V641" s="6" t="s">
        <v>966</v>
      </c>
      <c r="W641" s="6" t="s">
        <v>333</v>
      </c>
      <c r="X641" s="5" t="s">
        <v>922</v>
      </c>
      <c r="Y641" s="5" t="s">
        <v>4385</v>
      </c>
      <c r="Z641" s="5" t="str">
        <f t="shared" si="18"/>
        <v>Medium</v>
      </c>
      <c r="AA641" s="5" t="s">
        <v>956</v>
      </c>
      <c r="AB641" s="6" t="s">
        <v>924</v>
      </c>
      <c r="AC641" s="6" t="s">
        <v>103</v>
      </c>
      <c r="AD641" s="5" t="s">
        <v>940</v>
      </c>
      <c r="AE641" s="5" t="s">
        <v>354</v>
      </c>
      <c r="AF641" s="5" t="s">
        <v>354</v>
      </c>
      <c r="AG641" s="5" t="s">
        <v>354</v>
      </c>
      <c r="AH641" s="5" t="s">
        <v>354</v>
      </c>
      <c r="AI641" s="6" t="str">
        <f t="shared" si="19"/>
        <v>No</v>
      </c>
      <c r="AJ641" s="6" t="s">
        <v>941</v>
      </c>
      <c r="AK641" s="6" t="s">
        <v>121</v>
      </c>
      <c r="AL641" s="6">
        <f>MATCH(AA641,{"Low","Medium","High"},0)*MATCH(AB641,{"Low","Medium","High"},0)*INDEX({3,2,2,1,1},MATCH(X641,{"Core","Vertical extension","Differentiator","Future","Adjacent"},0))</f>
        <v>6</v>
      </c>
      <c r="AM641" s="5"/>
      <c r="AN641" s="5"/>
      <c r="AO641" s="5"/>
      <c r="AP641" s="5"/>
      <c r="AQ641" s="5"/>
      <c r="AR641" s="5"/>
      <c r="AS641" s="5"/>
      <c r="AT641" s="5"/>
      <c r="AU641" s="6" t="s">
        <v>927</v>
      </c>
      <c r="AV641" s="6" t="s">
        <v>2161</v>
      </c>
      <c r="AW641" s="6" t="s">
        <v>2161</v>
      </c>
      <c r="AX641" s="6" t="s">
        <v>929</v>
      </c>
      <c r="AY641" s="6" t="s">
        <v>930</v>
      </c>
      <c r="AZ641" s="6"/>
      <c r="BA641" s="6"/>
      <c r="BB641" s="6"/>
      <c r="BC641" s="6" t="s">
        <v>97</v>
      </c>
      <c r="BD641" s="6" t="s">
        <v>97</v>
      </c>
    </row>
    <row r="642" spans="1:56" ht="32" customHeight="1" x14ac:dyDescent="0.35">
      <c r="A642" s="13" t="s">
        <v>4726</v>
      </c>
      <c r="B642" s="6" t="s">
        <v>4696</v>
      </c>
      <c r="C642" s="5" t="s">
        <v>4697</v>
      </c>
      <c r="D642" s="5" t="s">
        <v>827</v>
      </c>
      <c r="E642" s="5" t="s">
        <v>4727</v>
      </c>
      <c r="F642" s="5" t="s">
        <v>4728</v>
      </c>
      <c r="G642" s="5" t="s">
        <v>3429</v>
      </c>
      <c r="H642" s="5" t="s">
        <v>4729</v>
      </c>
      <c r="I642" s="5" t="s">
        <v>4730</v>
      </c>
      <c r="J642" s="16" t="s">
        <v>73</v>
      </c>
      <c r="K642" s="17" t="s">
        <v>181</v>
      </c>
      <c r="L642" s="5" t="s">
        <v>4731</v>
      </c>
      <c r="M642" s="6" t="s">
        <v>198</v>
      </c>
      <c r="N642" s="6" t="s">
        <v>813</v>
      </c>
      <c r="O642" s="6" t="s">
        <v>73</v>
      </c>
      <c r="P642" s="5" t="s">
        <v>918</v>
      </c>
      <c r="Q642" s="18" t="s">
        <v>186</v>
      </c>
      <c r="R642" s="5" t="s">
        <v>4602</v>
      </c>
      <c r="S642" s="6" t="s">
        <v>1030</v>
      </c>
      <c r="T642" s="5" t="s">
        <v>827</v>
      </c>
      <c r="U642" s="6"/>
      <c r="V642" s="6" t="s">
        <v>1764</v>
      </c>
      <c r="W642" s="6" t="s">
        <v>333</v>
      </c>
      <c r="X642" s="5" t="s">
        <v>922</v>
      </c>
      <c r="Y642" s="5" t="s">
        <v>4385</v>
      </c>
      <c r="Z642" s="5" t="str">
        <f t="shared" ref="Z642:Z705" si="20">IF(AL642&gt;=18,"Critical",IF(AL642&gt;=9,"High",IF(AL642&gt;=4,"Medium","Low")))</f>
        <v>Critical</v>
      </c>
      <c r="AA642" s="5" t="s">
        <v>923</v>
      </c>
      <c r="AB642" s="6" t="s">
        <v>956</v>
      </c>
      <c r="AC642" s="6" t="s">
        <v>78</v>
      </c>
      <c r="AD642" s="5" t="s">
        <v>940</v>
      </c>
      <c r="AE642" s="5" t="s">
        <v>354</v>
      </c>
      <c r="AF642" s="5" t="s">
        <v>354</v>
      </c>
      <c r="AG642" s="5" t="s">
        <v>354</v>
      </c>
      <c r="AH642" s="5" t="s">
        <v>354</v>
      </c>
      <c r="AI642" s="6" t="str">
        <f t="shared" ref="AI642:AI705" si="21">IF(AND(AU642="Pass",AE642&lt;&gt;"Not verified",AF642&lt;&gt;"Not verified",AG642&lt;&gt;"Not verified",AH642&lt;&gt;"Not verified",BC642="Yes",BD642="Yes"),"Yes","No")</f>
        <v>No</v>
      </c>
      <c r="AJ642" s="6" t="s">
        <v>941</v>
      </c>
      <c r="AK642" s="6" t="s">
        <v>73</v>
      </c>
      <c r="AL642" s="6">
        <f>MATCH(AA642,{"Low","Medium","High"},0)*MATCH(AB642,{"Low","Medium","High"},0)*INDEX({3,2,2,1,1},MATCH(X642,{"Core","Vertical extension","Differentiator","Future","Adjacent"},0))</f>
        <v>18</v>
      </c>
      <c r="AM642" s="5"/>
      <c r="AN642" s="5"/>
      <c r="AO642" s="5"/>
      <c r="AP642" s="5"/>
      <c r="AQ642" s="5"/>
      <c r="AR642" s="5"/>
      <c r="AS642" s="5"/>
      <c r="AT642" s="5"/>
      <c r="AU642" s="6" t="s">
        <v>927</v>
      </c>
      <c r="AV642" s="6" t="s">
        <v>2161</v>
      </c>
      <c r="AW642" s="6" t="s">
        <v>2161</v>
      </c>
      <c r="AX642" s="6" t="s">
        <v>929</v>
      </c>
      <c r="AY642" s="6" t="s">
        <v>1032</v>
      </c>
      <c r="AZ642" s="6"/>
      <c r="BA642" s="6"/>
      <c r="BB642" s="6"/>
      <c r="BC642" s="6" t="s">
        <v>97</v>
      </c>
      <c r="BD642" s="6" t="s">
        <v>97</v>
      </c>
    </row>
    <row r="643" spans="1:56" ht="32" customHeight="1" x14ac:dyDescent="0.35">
      <c r="A643" s="13" t="s">
        <v>4732</v>
      </c>
      <c r="B643" s="6" t="s">
        <v>4696</v>
      </c>
      <c r="C643" s="5" t="s">
        <v>4697</v>
      </c>
      <c r="D643" s="5" t="s">
        <v>827</v>
      </c>
      <c r="E643" s="5" t="s">
        <v>4733</v>
      </c>
      <c r="F643" s="5" t="s">
        <v>4734</v>
      </c>
      <c r="G643" s="5" t="s">
        <v>1623</v>
      </c>
      <c r="H643" s="5" t="s">
        <v>4735</v>
      </c>
      <c r="I643" s="5" t="s">
        <v>4736</v>
      </c>
      <c r="J643" s="17" t="s">
        <v>121</v>
      </c>
      <c r="K643" s="17" t="s">
        <v>181</v>
      </c>
      <c r="L643" s="5" t="s">
        <v>4737</v>
      </c>
      <c r="M643" s="6" t="s">
        <v>198</v>
      </c>
      <c r="N643" s="6" t="s">
        <v>813</v>
      </c>
      <c r="O643" s="6" t="s">
        <v>121</v>
      </c>
      <c r="P643" s="5" t="s">
        <v>918</v>
      </c>
      <c r="Q643" s="17" t="s">
        <v>182</v>
      </c>
      <c r="R643" s="5"/>
      <c r="S643" s="6" t="s">
        <v>1030</v>
      </c>
      <c r="T643" s="5" t="s">
        <v>827</v>
      </c>
      <c r="U643" s="6"/>
      <c r="V643" s="6" t="s">
        <v>1024</v>
      </c>
      <c r="W643" s="6" t="s">
        <v>333</v>
      </c>
      <c r="X643" s="5" t="s">
        <v>922</v>
      </c>
      <c r="Y643" s="5" t="s">
        <v>4385</v>
      </c>
      <c r="Z643" s="5" t="str">
        <f t="shared" si="20"/>
        <v>High</v>
      </c>
      <c r="AA643" s="5" t="s">
        <v>956</v>
      </c>
      <c r="AB643" s="6" t="s">
        <v>956</v>
      </c>
      <c r="AC643" s="6" t="s">
        <v>103</v>
      </c>
      <c r="AD643" s="5" t="s">
        <v>925</v>
      </c>
      <c r="AE643" s="5" t="s">
        <v>354</v>
      </c>
      <c r="AF643" s="5" t="s">
        <v>354</v>
      </c>
      <c r="AG643" s="5" t="s">
        <v>354</v>
      </c>
      <c r="AH643" s="5" t="s">
        <v>354</v>
      </c>
      <c r="AI643" s="6" t="str">
        <f t="shared" si="21"/>
        <v>No</v>
      </c>
      <c r="AJ643" s="6" t="s">
        <v>926</v>
      </c>
      <c r="AK643" s="6" t="s">
        <v>121</v>
      </c>
      <c r="AL643" s="6">
        <f>MATCH(AA643,{"Low","Medium","High"},0)*MATCH(AB643,{"Low","Medium","High"},0)*INDEX({3,2,2,1,1},MATCH(X643,{"Core","Vertical extension","Differentiator","Future","Adjacent"},0))</f>
        <v>12</v>
      </c>
      <c r="AM643" s="5"/>
      <c r="AN643" s="5"/>
      <c r="AO643" s="5"/>
      <c r="AP643" s="5"/>
      <c r="AQ643" s="5"/>
      <c r="AR643" s="5"/>
      <c r="AS643" s="5"/>
      <c r="AT643" s="5"/>
      <c r="AU643" s="6" t="s">
        <v>927</v>
      </c>
      <c r="AV643" s="6" t="s">
        <v>2161</v>
      </c>
      <c r="AW643" s="6" t="s">
        <v>2161</v>
      </c>
      <c r="AX643" s="6" t="s">
        <v>929</v>
      </c>
      <c r="AY643" s="6" t="s">
        <v>1032</v>
      </c>
      <c r="AZ643" s="6"/>
      <c r="BA643" s="6"/>
      <c r="BB643" s="6"/>
      <c r="BC643" s="6" t="s">
        <v>97</v>
      </c>
      <c r="BD643" s="6" t="s">
        <v>97</v>
      </c>
    </row>
    <row r="644" spans="1:56" ht="32" customHeight="1" x14ac:dyDescent="0.35">
      <c r="A644" s="13" t="s">
        <v>4738</v>
      </c>
      <c r="B644" s="6" t="s">
        <v>4696</v>
      </c>
      <c r="C644" s="5" t="s">
        <v>4697</v>
      </c>
      <c r="D644" s="5" t="s">
        <v>827</v>
      </c>
      <c r="E644" s="5" t="s">
        <v>4739</v>
      </c>
      <c r="F644" s="5" t="s">
        <v>4728</v>
      </c>
      <c r="G644" s="5" t="s">
        <v>4740</v>
      </c>
      <c r="H644" s="5" t="s">
        <v>4741</v>
      </c>
      <c r="I644" s="5" t="s">
        <v>4742</v>
      </c>
      <c r="J644" s="17" t="s">
        <v>121</v>
      </c>
      <c r="K644" s="17" t="s">
        <v>181</v>
      </c>
      <c r="L644" s="5" t="s">
        <v>4743</v>
      </c>
      <c r="M644" s="6" t="s">
        <v>198</v>
      </c>
      <c r="N644" s="6" t="s">
        <v>813</v>
      </c>
      <c r="O644" s="6" t="s">
        <v>121</v>
      </c>
      <c r="P644" s="5" t="s">
        <v>918</v>
      </c>
      <c r="Q644" s="17" t="s">
        <v>182</v>
      </c>
      <c r="R644" s="5"/>
      <c r="S644" s="6" t="s">
        <v>1030</v>
      </c>
      <c r="T644" s="5" t="s">
        <v>827</v>
      </c>
      <c r="U644" s="6"/>
      <c r="V644" s="6" t="s">
        <v>982</v>
      </c>
      <c r="W644" s="6" t="s">
        <v>333</v>
      </c>
      <c r="X644" s="5" t="s">
        <v>922</v>
      </c>
      <c r="Y644" s="5" t="s">
        <v>4385</v>
      </c>
      <c r="Z644" s="5" t="str">
        <f t="shared" si="20"/>
        <v>High</v>
      </c>
      <c r="AA644" s="5" t="s">
        <v>956</v>
      </c>
      <c r="AB644" s="6" t="s">
        <v>956</v>
      </c>
      <c r="AC644" s="6" t="s">
        <v>103</v>
      </c>
      <c r="AD644" s="5" t="s">
        <v>925</v>
      </c>
      <c r="AE644" s="5" t="s">
        <v>354</v>
      </c>
      <c r="AF644" s="5" t="s">
        <v>354</v>
      </c>
      <c r="AG644" s="5" t="s">
        <v>354</v>
      </c>
      <c r="AH644" s="5" t="s">
        <v>354</v>
      </c>
      <c r="AI644" s="6" t="str">
        <f t="shared" si="21"/>
        <v>No</v>
      </c>
      <c r="AJ644" s="6" t="s">
        <v>926</v>
      </c>
      <c r="AK644" s="6" t="s">
        <v>121</v>
      </c>
      <c r="AL644" s="6">
        <f>MATCH(AA644,{"Low","Medium","High"},0)*MATCH(AB644,{"Low","Medium","High"},0)*INDEX({3,2,2,1,1},MATCH(X644,{"Core","Vertical extension","Differentiator","Future","Adjacent"},0))</f>
        <v>12</v>
      </c>
      <c r="AM644" s="5"/>
      <c r="AN644" s="5"/>
      <c r="AO644" s="5"/>
      <c r="AP644" s="5"/>
      <c r="AQ644" s="5"/>
      <c r="AR644" s="5"/>
      <c r="AS644" s="5"/>
      <c r="AT644" s="5"/>
      <c r="AU644" s="6" t="s">
        <v>927</v>
      </c>
      <c r="AV644" s="6" t="s">
        <v>2161</v>
      </c>
      <c r="AW644" s="6" t="s">
        <v>2161</v>
      </c>
      <c r="AX644" s="6" t="s">
        <v>929</v>
      </c>
      <c r="AY644" s="6" t="s">
        <v>1032</v>
      </c>
      <c r="AZ644" s="6"/>
      <c r="BA644" s="6"/>
      <c r="BB644" s="6"/>
      <c r="BC644" s="6" t="s">
        <v>97</v>
      </c>
      <c r="BD644" s="6" t="s">
        <v>97</v>
      </c>
    </row>
    <row r="645" spans="1:56" ht="32" customHeight="1" x14ac:dyDescent="0.35">
      <c r="A645" s="13" t="s">
        <v>4744</v>
      </c>
      <c r="B645" s="6" t="s">
        <v>4696</v>
      </c>
      <c r="C645" s="5" t="s">
        <v>4697</v>
      </c>
      <c r="D645" s="5" t="s">
        <v>827</v>
      </c>
      <c r="E645" s="5" t="s">
        <v>4745</v>
      </c>
      <c r="F645" s="5" t="s">
        <v>4746</v>
      </c>
      <c r="G645" s="5" t="s">
        <v>3429</v>
      </c>
      <c r="H645" s="5" t="s">
        <v>4747</v>
      </c>
      <c r="I645" s="5" t="s">
        <v>4748</v>
      </c>
      <c r="J645" s="21" t="s">
        <v>158</v>
      </c>
      <c r="K645" s="17" t="s">
        <v>181</v>
      </c>
      <c r="L645" s="5" t="s">
        <v>4749</v>
      </c>
      <c r="M645" s="6" t="s">
        <v>198</v>
      </c>
      <c r="N645" s="6" t="s">
        <v>813</v>
      </c>
      <c r="O645" s="6" t="s">
        <v>151</v>
      </c>
      <c r="P645" s="5" t="s">
        <v>4283</v>
      </c>
      <c r="Q645" s="17" t="s">
        <v>182</v>
      </c>
      <c r="R645" s="5" t="s">
        <v>4283</v>
      </c>
      <c r="S645" s="6" t="s">
        <v>1030</v>
      </c>
      <c r="T645" s="5" t="s">
        <v>827</v>
      </c>
      <c r="U645" s="6"/>
      <c r="V645" s="6" t="s">
        <v>1764</v>
      </c>
      <c r="W645" s="6" t="s">
        <v>333</v>
      </c>
      <c r="X645" s="5" t="s">
        <v>4284</v>
      </c>
      <c r="Y645" s="5" t="s">
        <v>4385</v>
      </c>
      <c r="Z645" s="5" t="str">
        <f t="shared" si="20"/>
        <v>Low</v>
      </c>
      <c r="AA645" s="5" t="s">
        <v>924</v>
      </c>
      <c r="AB645" s="6" t="s">
        <v>956</v>
      </c>
      <c r="AC645" s="6" t="s">
        <v>11</v>
      </c>
      <c r="AD645" s="5" t="s">
        <v>925</v>
      </c>
      <c r="AE645" s="5" t="s">
        <v>354</v>
      </c>
      <c r="AF645" s="5" t="s">
        <v>354</v>
      </c>
      <c r="AG645" s="5" t="s">
        <v>354</v>
      </c>
      <c r="AH645" s="5" t="s">
        <v>354</v>
      </c>
      <c r="AI645" s="6" t="str">
        <f t="shared" si="21"/>
        <v>No</v>
      </c>
      <c r="AJ645" s="6" t="s">
        <v>926</v>
      </c>
      <c r="AK645" s="6" t="s">
        <v>158</v>
      </c>
      <c r="AL645" s="6">
        <f>MATCH(AA645,{"Low","Medium","High"},0)*MATCH(AB645,{"Low","Medium","High"},0)*INDEX({3,2,2,1,1},MATCH(X645,{"Core","Vertical extension","Differentiator","Future","Adjacent"},0))</f>
        <v>2</v>
      </c>
      <c r="AM645" s="5"/>
      <c r="AN645" s="5"/>
      <c r="AO645" s="5"/>
      <c r="AP645" s="5"/>
      <c r="AQ645" s="5"/>
      <c r="AR645" s="5"/>
      <c r="AS645" s="5"/>
      <c r="AT645" s="5"/>
      <c r="AU645" s="6" t="s">
        <v>927</v>
      </c>
      <c r="AV645" s="6" t="s">
        <v>2161</v>
      </c>
      <c r="AW645" s="6" t="s">
        <v>2161</v>
      </c>
      <c r="AX645" s="6" t="s">
        <v>4285</v>
      </c>
      <c r="AY645" s="6" t="s">
        <v>1032</v>
      </c>
      <c r="AZ645" s="6"/>
      <c r="BA645" s="6"/>
      <c r="BB645" s="6"/>
      <c r="BC645" s="6" t="s">
        <v>97</v>
      </c>
      <c r="BD645" s="6" t="s">
        <v>97</v>
      </c>
    </row>
    <row r="646" spans="1:56" ht="32" customHeight="1" x14ac:dyDescent="0.35">
      <c r="A646" s="13" t="s">
        <v>4750</v>
      </c>
      <c r="B646" s="6" t="s">
        <v>4696</v>
      </c>
      <c r="C646" s="5" t="s">
        <v>4697</v>
      </c>
      <c r="D646" s="5" t="s">
        <v>831</v>
      </c>
      <c r="E646" s="5" t="s">
        <v>4751</v>
      </c>
      <c r="F646" s="5" t="s">
        <v>3228</v>
      </c>
      <c r="G646" s="5" t="s">
        <v>1322</v>
      </c>
      <c r="H646" s="5" t="s">
        <v>4752</v>
      </c>
      <c r="I646" s="5" t="s">
        <v>4753</v>
      </c>
      <c r="J646" s="17" t="s">
        <v>121</v>
      </c>
      <c r="K646" s="17" t="s">
        <v>181</v>
      </c>
      <c r="L646" s="5" t="s">
        <v>4754</v>
      </c>
      <c r="M646" s="6" t="s">
        <v>198</v>
      </c>
      <c r="N646" s="6" t="s">
        <v>813</v>
      </c>
      <c r="O646" s="6" t="s">
        <v>121</v>
      </c>
      <c r="P646" s="5" t="s">
        <v>918</v>
      </c>
      <c r="Q646" s="18" t="s">
        <v>186</v>
      </c>
      <c r="R646" s="5" t="s">
        <v>963</v>
      </c>
      <c r="S646" s="6" t="s">
        <v>964</v>
      </c>
      <c r="T646" s="5" t="s">
        <v>965</v>
      </c>
      <c r="U646" s="6"/>
      <c r="V646" s="6" t="s">
        <v>966</v>
      </c>
      <c r="W646" s="6" t="s">
        <v>333</v>
      </c>
      <c r="X646" s="5" t="s">
        <v>922</v>
      </c>
      <c r="Y646" s="5" t="s">
        <v>4385</v>
      </c>
      <c r="Z646" s="5" t="str">
        <f t="shared" si="20"/>
        <v>Medium</v>
      </c>
      <c r="AA646" s="5" t="s">
        <v>956</v>
      </c>
      <c r="AB646" s="6" t="s">
        <v>924</v>
      </c>
      <c r="AC646" s="6" t="s">
        <v>103</v>
      </c>
      <c r="AD646" s="5" t="s">
        <v>940</v>
      </c>
      <c r="AE646" s="5" t="s">
        <v>354</v>
      </c>
      <c r="AF646" s="5" t="s">
        <v>354</v>
      </c>
      <c r="AG646" s="5" t="s">
        <v>354</v>
      </c>
      <c r="AH646" s="5" t="s">
        <v>354</v>
      </c>
      <c r="AI646" s="6" t="str">
        <f t="shared" si="21"/>
        <v>No</v>
      </c>
      <c r="AJ646" s="6" t="s">
        <v>941</v>
      </c>
      <c r="AK646" s="6" t="s">
        <v>121</v>
      </c>
      <c r="AL646" s="6">
        <f>MATCH(AA646,{"Low","Medium","High"},0)*MATCH(AB646,{"Low","Medium","High"},0)*INDEX({3,2,2,1,1},MATCH(X646,{"Core","Vertical extension","Differentiator","Future","Adjacent"},0))</f>
        <v>6</v>
      </c>
      <c r="AM646" s="5"/>
      <c r="AN646" s="5"/>
      <c r="AO646" s="5"/>
      <c r="AP646" s="5"/>
      <c r="AQ646" s="5"/>
      <c r="AR646" s="5"/>
      <c r="AS646" s="5"/>
      <c r="AT646" s="5"/>
      <c r="AU646" s="6" t="s">
        <v>927</v>
      </c>
      <c r="AV646" s="6" t="s">
        <v>2161</v>
      </c>
      <c r="AW646" s="6" t="s">
        <v>2161</v>
      </c>
      <c r="AX646" s="6" t="s">
        <v>929</v>
      </c>
      <c r="AY646" s="6" t="s">
        <v>930</v>
      </c>
      <c r="AZ646" s="6"/>
      <c r="BA646" s="6" t="s">
        <v>967</v>
      </c>
      <c r="BB646" s="6" t="s">
        <v>968</v>
      </c>
      <c r="BC646" s="6" t="s">
        <v>97</v>
      </c>
      <c r="BD646" s="6" t="s">
        <v>97</v>
      </c>
    </row>
    <row r="647" spans="1:56" ht="32" customHeight="1" x14ac:dyDescent="0.35">
      <c r="A647" s="13" t="s">
        <v>4755</v>
      </c>
      <c r="B647" s="6" t="s">
        <v>4696</v>
      </c>
      <c r="C647" s="5" t="s">
        <v>4697</v>
      </c>
      <c r="D647" s="5" t="s">
        <v>827</v>
      </c>
      <c r="E647" s="5" t="s">
        <v>4756</v>
      </c>
      <c r="F647" s="5" t="s">
        <v>4757</v>
      </c>
      <c r="G647" s="5" t="s">
        <v>1596</v>
      </c>
      <c r="H647" s="5" t="s">
        <v>4758</v>
      </c>
      <c r="I647" s="5" t="s">
        <v>4759</v>
      </c>
      <c r="J647" s="16" t="s">
        <v>73</v>
      </c>
      <c r="K647" s="17" t="s">
        <v>181</v>
      </c>
      <c r="L647" s="5" t="s">
        <v>4760</v>
      </c>
      <c r="M647" s="6" t="s">
        <v>198</v>
      </c>
      <c r="N647" s="6" t="s">
        <v>813</v>
      </c>
      <c r="O647" s="6" t="s">
        <v>73</v>
      </c>
      <c r="P647" s="5" t="s">
        <v>918</v>
      </c>
      <c r="Q647" s="17" t="s">
        <v>182</v>
      </c>
      <c r="R647" s="5"/>
      <c r="S647" s="6" t="s">
        <v>1030</v>
      </c>
      <c r="T647" s="5" t="s">
        <v>827</v>
      </c>
      <c r="U647" s="6"/>
      <c r="V647" s="6" t="s">
        <v>1764</v>
      </c>
      <c r="W647" s="6" t="s">
        <v>333</v>
      </c>
      <c r="X647" s="5" t="s">
        <v>922</v>
      </c>
      <c r="Y647" s="5" t="s">
        <v>4385</v>
      </c>
      <c r="Z647" s="5" t="str">
        <f t="shared" si="20"/>
        <v>Critical</v>
      </c>
      <c r="AA647" s="5" t="s">
        <v>923</v>
      </c>
      <c r="AB647" s="6" t="s">
        <v>956</v>
      </c>
      <c r="AC647" s="6" t="s">
        <v>78</v>
      </c>
      <c r="AD647" s="5" t="s">
        <v>925</v>
      </c>
      <c r="AE647" s="5" t="s">
        <v>354</v>
      </c>
      <c r="AF647" s="5" t="s">
        <v>354</v>
      </c>
      <c r="AG647" s="5" t="s">
        <v>354</v>
      </c>
      <c r="AH647" s="5" t="s">
        <v>354</v>
      </c>
      <c r="AI647" s="6" t="str">
        <f t="shared" si="21"/>
        <v>No</v>
      </c>
      <c r="AJ647" s="6" t="s">
        <v>926</v>
      </c>
      <c r="AK647" s="6" t="s">
        <v>73</v>
      </c>
      <c r="AL647" s="6">
        <f>MATCH(AA647,{"Low","Medium","High"},0)*MATCH(AB647,{"Low","Medium","High"},0)*INDEX({3,2,2,1,1},MATCH(X647,{"Core","Vertical extension","Differentiator","Future","Adjacent"},0))</f>
        <v>18</v>
      </c>
      <c r="AM647" s="5"/>
      <c r="AN647" s="5"/>
      <c r="AO647" s="5"/>
      <c r="AP647" s="5"/>
      <c r="AQ647" s="5"/>
      <c r="AR647" s="5"/>
      <c r="AS647" s="5"/>
      <c r="AT647" s="5"/>
      <c r="AU647" s="6" t="s">
        <v>927</v>
      </c>
      <c r="AV647" s="6" t="s">
        <v>2161</v>
      </c>
      <c r="AW647" s="6" t="s">
        <v>2161</v>
      </c>
      <c r="AX647" s="6" t="s">
        <v>929</v>
      </c>
      <c r="AY647" s="6" t="s">
        <v>1032</v>
      </c>
      <c r="AZ647" s="6"/>
      <c r="BA647" s="6"/>
      <c r="BB647" s="6"/>
      <c r="BC647" s="6" t="s">
        <v>97</v>
      </c>
      <c r="BD647" s="6" t="s">
        <v>97</v>
      </c>
    </row>
    <row r="648" spans="1:56" ht="32" customHeight="1" x14ac:dyDescent="0.35">
      <c r="A648" s="13" t="s">
        <v>4761</v>
      </c>
      <c r="B648" s="6" t="s">
        <v>4696</v>
      </c>
      <c r="C648" s="5" t="s">
        <v>4697</v>
      </c>
      <c r="D648" s="5" t="s">
        <v>840</v>
      </c>
      <c r="E648" s="5" t="s">
        <v>4762</v>
      </c>
      <c r="F648" s="5" t="s">
        <v>4763</v>
      </c>
      <c r="G648" s="5" t="s">
        <v>1596</v>
      </c>
      <c r="H648" s="5" t="s">
        <v>4764</v>
      </c>
      <c r="I648" s="5" t="s">
        <v>4765</v>
      </c>
      <c r="J648" s="17" t="s">
        <v>121</v>
      </c>
      <c r="K648" s="17" t="s">
        <v>181</v>
      </c>
      <c r="L648" s="5" t="s">
        <v>4766</v>
      </c>
      <c r="M648" s="6" t="s">
        <v>198</v>
      </c>
      <c r="N648" s="6" t="s">
        <v>813</v>
      </c>
      <c r="O648" s="6" t="s">
        <v>121</v>
      </c>
      <c r="P648" s="5" t="s">
        <v>918</v>
      </c>
      <c r="Q648" s="17" t="s">
        <v>182</v>
      </c>
      <c r="R648" s="5"/>
      <c r="S648" s="6" t="s">
        <v>1022</v>
      </c>
      <c r="T648" s="5" t="s">
        <v>1023</v>
      </c>
      <c r="U648" s="6"/>
      <c r="V648" s="6" t="s">
        <v>1024</v>
      </c>
      <c r="W648" s="6" t="s">
        <v>337</v>
      </c>
      <c r="X648" s="5" t="s">
        <v>922</v>
      </c>
      <c r="Y648" s="5" t="s">
        <v>4385</v>
      </c>
      <c r="Z648" s="5" t="str">
        <f t="shared" si="20"/>
        <v>Medium</v>
      </c>
      <c r="AA648" s="5" t="s">
        <v>956</v>
      </c>
      <c r="AB648" s="6" t="s">
        <v>924</v>
      </c>
      <c r="AC648" s="6" t="s">
        <v>11</v>
      </c>
      <c r="AD648" s="5" t="s">
        <v>925</v>
      </c>
      <c r="AE648" s="5" t="s">
        <v>354</v>
      </c>
      <c r="AF648" s="5" t="s">
        <v>354</v>
      </c>
      <c r="AG648" s="5" t="s">
        <v>354</v>
      </c>
      <c r="AH648" s="5" t="s">
        <v>354</v>
      </c>
      <c r="AI648" s="6" t="str">
        <f t="shared" si="21"/>
        <v>No</v>
      </c>
      <c r="AJ648" s="6" t="s">
        <v>926</v>
      </c>
      <c r="AK648" s="6" t="s">
        <v>151</v>
      </c>
      <c r="AL648" s="6">
        <f>MATCH(AA648,{"Low","Medium","High"},0)*MATCH(AB648,{"Low","Medium","High"},0)*INDEX({3,2,2,1,1},MATCH(X648,{"Core","Vertical extension","Differentiator","Future","Adjacent"},0))</f>
        <v>6</v>
      </c>
      <c r="AM648" s="5"/>
      <c r="AN648" s="5"/>
      <c r="AO648" s="5"/>
      <c r="AP648" s="5"/>
      <c r="AQ648" s="5"/>
      <c r="AR648" s="5"/>
      <c r="AS648" s="5"/>
      <c r="AT648" s="5"/>
      <c r="AU648" s="6" t="s">
        <v>927</v>
      </c>
      <c r="AV648" s="6" t="s">
        <v>2161</v>
      </c>
      <c r="AW648" s="6" t="s">
        <v>2161</v>
      </c>
      <c r="AX648" s="6" t="s">
        <v>929</v>
      </c>
      <c r="AY648" s="6" t="s">
        <v>930</v>
      </c>
      <c r="AZ648" s="6"/>
      <c r="BA648" s="6"/>
      <c r="BB648" s="6"/>
      <c r="BC648" s="6" t="s">
        <v>97</v>
      </c>
      <c r="BD648" s="6" t="s">
        <v>97</v>
      </c>
    </row>
    <row r="649" spans="1:56" ht="32" customHeight="1" x14ac:dyDescent="0.35">
      <c r="A649" s="13" t="s">
        <v>4767</v>
      </c>
      <c r="B649" s="6" t="s">
        <v>4696</v>
      </c>
      <c r="C649" s="5" t="s">
        <v>4697</v>
      </c>
      <c r="D649" s="5" t="s">
        <v>838</v>
      </c>
      <c r="E649" s="5" t="s">
        <v>4768</v>
      </c>
      <c r="F649" s="5" t="s">
        <v>4769</v>
      </c>
      <c r="G649" s="5" t="s">
        <v>3046</v>
      </c>
      <c r="H649" s="5" t="s">
        <v>4770</v>
      </c>
      <c r="I649" s="5" t="s">
        <v>4771</v>
      </c>
      <c r="J649" s="17" t="s">
        <v>121</v>
      </c>
      <c r="K649" s="17" t="s">
        <v>181</v>
      </c>
      <c r="L649" s="5" t="s">
        <v>4772</v>
      </c>
      <c r="M649" s="6" t="s">
        <v>198</v>
      </c>
      <c r="N649" s="6" t="s">
        <v>813</v>
      </c>
      <c r="O649" s="6" t="s">
        <v>121</v>
      </c>
      <c r="P649" s="5" t="s">
        <v>999</v>
      </c>
      <c r="Q649" s="17" t="s">
        <v>182</v>
      </c>
      <c r="R649" s="5" t="s">
        <v>999</v>
      </c>
      <c r="S649" s="6" t="s">
        <v>990</v>
      </c>
      <c r="T649" s="5" t="s">
        <v>991</v>
      </c>
      <c r="U649" s="6"/>
      <c r="V649" s="6" t="s">
        <v>992</v>
      </c>
      <c r="W649" s="6" t="s">
        <v>337</v>
      </c>
      <c r="X649" s="5" t="s">
        <v>922</v>
      </c>
      <c r="Y649" s="5" t="s">
        <v>4385</v>
      </c>
      <c r="Z649" s="5" t="str">
        <f t="shared" si="20"/>
        <v>Medium</v>
      </c>
      <c r="AA649" s="5" t="s">
        <v>956</v>
      </c>
      <c r="AB649" s="6" t="s">
        <v>924</v>
      </c>
      <c r="AC649" s="6" t="s">
        <v>11</v>
      </c>
      <c r="AD649" s="5" t="s">
        <v>925</v>
      </c>
      <c r="AE649" s="5" t="s">
        <v>354</v>
      </c>
      <c r="AF649" s="5" t="s">
        <v>354</v>
      </c>
      <c r="AG649" s="5" t="s">
        <v>354</v>
      </c>
      <c r="AH649" s="5" t="s">
        <v>354</v>
      </c>
      <c r="AI649" s="6" t="str">
        <f t="shared" si="21"/>
        <v>No</v>
      </c>
      <c r="AJ649" s="6" t="s">
        <v>926</v>
      </c>
      <c r="AK649" s="6" t="s">
        <v>151</v>
      </c>
      <c r="AL649" s="6">
        <f>MATCH(AA649,{"Low","Medium","High"},0)*MATCH(AB649,{"Low","Medium","High"},0)*INDEX({3,2,2,1,1},MATCH(X649,{"Core","Vertical extension","Differentiator","Future","Adjacent"},0))</f>
        <v>6</v>
      </c>
      <c r="AM649" s="5"/>
      <c r="AN649" s="5"/>
      <c r="AO649" s="5"/>
      <c r="AP649" s="5"/>
      <c r="AQ649" s="5"/>
      <c r="AR649" s="5"/>
      <c r="AS649" s="5"/>
      <c r="AT649" s="5"/>
      <c r="AU649" s="6" t="s">
        <v>927</v>
      </c>
      <c r="AV649" s="6" t="s">
        <v>2161</v>
      </c>
      <c r="AW649" s="6" t="s">
        <v>2161</v>
      </c>
      <c r="AX649" s="6" t="s">
        <v>1003</v>
      </c>
      <c r="AY649" s="6" t="s">
        <v>930</v>
      </c>
      <c r="AZ649" s="6"/>
      <c r="BA649" s="6"/>
      <c r="BB649" s="6"/>
      <c r="BC649" s="6" t="s">
        <v>97</v>
      </c>
      <c r="BD649" s="6" t="s">
        <v>97</v>
      </c>
    </row>
    <row r="650" spans="1:56" ht="32" customHeight="1" x14ac:dyDescent="0.35">
      <c r="A650" s="13" t="s">
        <v>4773</v>
      </c>
      <c r="B650" s="6" t="s">
        <v>4696</v>
      </c>
      <c r="C650" s="5" t="s">
        <v>4697</v>
      </c>
      <c r="D650" s="5" t="s">
        <v>836</v>
      </c>
      <c r="E650" s="5" t="s">
        <v>4774</v>
      </c>
      <c r="F650" s="5" t="s">
        <v>4775</v>
      </c>
      <c r="G650" s="5" t="s">
        <v>4776</v>
      </c>
      <c r="H650" s="5" t="s">
        <v>4777</v>
      </c>
      <c r="I650" s="5" t="s">
        <v>4778</v>
      </c>
      <c r="J650" s="17" t="s">
        <v>121</v>
      </c>
      <c r="K650" s="17" t="s">
        <v>181</v>
      </c>
      <c r="L650" s="5" t="s">
        <v>4779</v>
      </c>
      <c r="M650" s="6" t="s">
        <v>198</v>
      </c>
      <c r="N650" s="6" t="s">
        <v>813</v>
      </c>
      <c r="O650" s="6" t="s">
        <v>121</v>
      </c>
      <c r="P650" s="5" t="s">
        <v>918</v>
      </c>
      <c r="Q650" s="17" t="s">
        <v>182</v>
      </c>
      <c r="R650" s="5"/>
      <c r="S650" s="6" t="s">
        <v>1061</v>
      </c>
      <c r="T650" s="5" t="s">
        <v>1062</v>
      </c>
      <c r="U650" s="6"/>
      <c r="V650" s="6" t="s">
        <v>1055</v>
      </c>
      <c r="W650" s="6" t="s">
        <v>333</v>
      </c>
      <c r="X650" s="5" t="s">
        <v>922</v>
      </c>
      <c r="Y650" s="5" t="s">
        <v>4385</v>
      </c>
      <c r="Z650" s="5" t="str">
        <f t="shared" si="20"/>
        <v>Medium</v>
      </c>
      <c r="AA650" s="5" t="s">
        <v>956</v>
      </c>
      <c r="AB650" s="6" t="s">
        <v>924</v>
      </c>
      <c r="AC650" s="6" t="s">
        <v>103</v>
      </c>
      <c r="AD650" s="5" t="s">
        <v>925</v>
      </c>
      <c r="AE650" s="5" t="s">
        <v>354</v>
      </c>
      <c r="AF650" s="5" t="s">
        <v>354</v>
      </c>
      <c r="AG650" s="5" t="s">
        <v>354</v>
      </c>
      <c r="AH650" s="5" t="s">
        <v>354</v>
      </c>
      <c r="AI650" s="6" t="str">
        <f t="shared" si="21"/>
        <v>No</v>
      </c>
      <c r="AJ650" s="6" t="s">
        <v>926</v>
      </c>
      <c r="AK650" s="6" t="s">
        <v>121</v>
      </c>
      <c r="AL650" s="6">
        <f>MATCH(AA650,{"Low","Medium","High"},0)*MATCH(AB650,{"Low","Medium","High"},0)*INDEX({3,2,2,1,1},MATCH(X650,{"Core","Vertical extension","Differentiator","Future","Adjacent"},0))</f>
        <v>6</v>
      </c>
      <c r="AM650" s="5"/>
      <c r="AN650" s="5"/>
      <c r="AO650" s="5"/>
      <c r="AP650" s="5"/>
      <c r="AQ650" s="5"/>
      <c r="AR650" s="5"/>
      <c r="AS650" s="5"/>
      <c r="AT650" s="5"/>
      <c r="AU650" s="6" t="s">
        <v>927</v>
      </c>
      <c r="AV650" s="6" t="s">
        <v>2161</v>
      </c>
      <c r="AW650" s="6" t="s">
        <v>2161</v>
      </c>
      <c r="AX650" s="6" t="s">
        <v>929</v>
      </c>
      <c r="AY650" s="6" t="s">
        <v>930</v>
      </c>
      <c r="AZ650" s="6"/>
      <c r="BA650" s="6"/>
      <c r="BB650" s="6"/>
      <c r="BC650" s="6" t="s">
        <v>97</v>
      </c>
      <c r="BD650" s="6" t="s">
        <v>97</v>
      </c>
    </row>
    <row r="651" spans="1:56" ht="32" customHeight="1" x14ac:dyDescent="0.35">
      <c r="A651" s="13" t="s">
        <v>4780</v>
      </c>
      <c r="B651" s="6" t="s">
        <v>4696</v>
      </c>
      <c r="C651" s="5" t="s">
        <v>4697</v>
      </c>
      <c r="D651" s="5" t="s">
        <v>827</v>
      </c>
      <c r="E651" s="5" t="s">
        <v>4781</v>
      </c>
      <c r="F651" s="5" t="s">
        <v>4782</v>
      </c>
      <c r="G651" s="5" t="s">
        <v>1596</v>
      </c>
      <c r="H651" s="5" t="s">
        <v>4783</v>
      </c>
      <c r="I651" s="5" t="s">
        <v>4784</v>
      </c>
      <c r="J651" s="21" t="s">
        <v>158</v>
      </c>
      <c r="K651" s="17" t="s">
        <v>181</v>
      </c>
      <c r="L651" s="5" t="s">
        <v>4785</v>
      </c>
      <c r="M651" s="6" t="s">
        <v>198</v>
      </c>
      <c r="N651" s="6" t="s">
        <v>813</v>
      </c>
      <c r="O651" s="6" t="s">
        <v>151</v>
      </c>
      <c r="P651" s="5" t="s">
        <v>4283</v>
      </c>
      <c r="Q651" s="17" t="s">
        <v>182</v>
      </c>
      <c r="R651" s="5" t="s">
        <v>4283</v>
      </c>
      <c r="S651" s="6" t="s">
        <v>1030</v>
      </c>
      <c r="T651" s="5" t="s">
        <v>827</v>
      </c>
      <c r="U651" s="6"/>
      <c r="V651" s="6" t="s">
        <v>1031</v>
      </c>
      <c r="W651" s="6" t="s">
        <v>333</v>
      </c>
      <c r="X651" s="5" t="s">
        <v>4284</v>
      </c>
      <c r="Y651" s="5" t="s">
        <v>4385</v>
      </c>
      <c r="Z651" s="5" t="str">
        <f t="shared" si="20"/>
        <v>Low</v>
      </c>
      <c r="AA651" s="5" t="s">
        <v>924</v>
      </c>
      <c r="AB651" s="6" t="s">
        <v>956</v>
      </c>
      <c r="AC651" s="6" t="s">
        <v>11</v>
      </c>
      <c r="AD651" s="5" t="s">
        <v>925</v>
      </c>
      <c r="AE651" s="5" t="s">
        <v>354</v>
      </c>
      <c r="AF651" s="5" t="s">
        <v>354</v>
      </c>
      <c r="AG651" s="5" t="s">
        <v>354</v>
      </c>
      <c r="AH651" s="5" t="s">
        <v>354</v>
      </c>
      <c r="AI651" s="6" t="str">
        <f t="shared" si="21"/>
        <v>No</v>
      </c>
      <c r="AJ651" s="6" t="s">
        <v>926</v>
      </c>
      <c r="AK651" s="6" t="s">
        <v>158</v>
      </c>
      <c r="AL651" s="6">
        <f>MATCH(AA651,{"Low","Medium","High"},0)*MATCH(AB651,{"Low","Medium","High"},0)*INDEX({3,2,2,1,1},MATCH(X651,{"Core","Vertical extension","Differentiator","Future","Adjacent"},0))</f>
        <v>2</v>
      </c>
      <c r="AM651" s="5"/>
      <c r="AN651" s="5"/>
      <c r="AO651" s="5"/>
      <c r="AP651" s="5"/>
      <c r="AQ651" s="5"/>
      <c r="AR651" s="5"/>
      <c r="AS651" s="5"/>
      <c r="AT651" s="5"/>
      <c r="AU651" s="6" t="s">
        <v>927</v>
      </c>
      <c r="AV651" s="6" t="s">
        <v>1390</v>
      </c>
      <c r="AW651" s="6" t="s">
        <v>1390</v>
      </c>
      <c r="AX651" s="6" t="s">
        <v>4285</v>
      </c>
      <c r="AY651" s="6" t="s">
        <v>1032</v>
      </c>
      <c r="AZ651" s="6"/>
      <c r="BA651" s="6"/>
      <c r="BB651" s="6"/>
      <c r="BC651" s="6" t="s">
        <v>97</v>
      </c>
      <c r="BD651" s="6" t="s">
        <v>97</v>
      </c>
    </row>
    <row r="652" spans="1:56" ht="32" customHeight="1" x14ac:dyDescent="0.35">
      <c r="A652" s="13" t="s">
        <v>4786</v>
      </c>
      <c r="B652" s="6" t="s">
        <v>4787</v>
      </c>
      <c r="C652" s="5" t="s">
        <v>4788</v>
      </c>
      <c r="D652" s="5" t="s">
        <v>833</v>
      </c>
      <c r="E652" s="5" t="s">
        <v>4789</v>
      </c>
      <c r="F652" s="5" t="s">
        <v>913</v>
      </c>
      <c r="G652" s="5" t="s">
        <v>914</v>
      </c>
      <c r="H652" s="5" t="s">
        <v>4790</v>
      </c>
      <c r="I652" s="5" t="s">
        <v>4791</v>
      </c>
      <c r="J652" s="16" t="s">
        <v>73</v>
      </c>
      <c r="K652" s="17" t="s">
        <v>181</v>
      </c>
      <c r="L652" s="5" t="s">
        <v>4792</v>
      </c>
      <c r="M652" s="6" t="s">
        <v>198</v>
      </c>
      <c r="N652" s="6" t="s">
        <v>813</v>
      </c>
      <c r="O652" s="6" t="s">
        <v>73</v>
      </c>
      <c r="P652" s="5" t="s">
        <v>918</v>
      </c>
      <c r="Q652" s="17" t="s">
        <v>182</v>
      </c>
      <c r="R652" s="5"/>
      <c r="S652" s="6" t="s">
        <v>919</v>
      </c>
      <c r="T652" s="5" t="s">
        <v>920</v>
      </c>
      <c r="U652" s="6"/>
      <c r="V652" s="6" t="s">
        <v>921</v>
      </c>
      <c r="W652" s="6" t="s">
        <v>331</v>
      </c>
      <c r="X652" s="5" t="s">
        <v>4373</v>
      </c>
      <c r="Y652" s="5" t="s">
        <v>4385</v>
      </c>
      <c r="Z652" s="5" t="str">
        <f t="shared" si="20"/>
        <v>Medium</v>
      </c>
      <c r="AA652" s="5" t="s">
        <v>923</v>
      </c>
      <c r="AB652" s="6" t="s">
        <v>924</v>
      </c>
      <c r="AC652" s="6" t="s">
        <v>78</v>
      </c>
      <c r="AD652" s="5" t="s">
        <v>925</v>
      </c>
      <c r="AE652" s="5" t="s">
        <v>354</v>
      </c>
      <c r="AF652" s="5" t="s">
        <v>354</v>
      </c>
      <c r="AG652" s="5" t="s">
        <v>354</v>
      </c>
      <c r="AH652" s="5" t="s">
        <v>354</v>
      </c>
      <c r="AI652" s="6" t="str">
        <f t="shared" si="21"/>
        <v>No</v>
      </c>
      <c r="AJ652" s="6" t="s">
        <v>926</v>
      </c>
      <c r="AK652" s="6" t="s">
        <v>73</v>
      </c>
      <c r="AL652" s="6">
        <f>MATCH(AA652,{"Low","Medium","High"},0)*MATCH(AB652,{"Low","Medium","High"},0)*INDEX({3,2,2,1,1},MATCH(X652,{"Core","Vertical extension","Differentiator","Future","Adjacent"},0))</f>
        <v>6</v>
      </c>
      <c r="AM652" s="5"/>
      <c r="AN652" s="5"/>
      <c r="AO652" s="5"/>
      <c r="AP652" s="5"/>
      <c r="AQ652" s="5"/>
      <c r="AR652" s="5"/>
      <c r="AS652" s="5"/>
      <c r="AT652" s="5"/>
      <c r="AU652" s="6" t="s">
        <v>927</v>
      </c>
      <c r="AV652" s="6" t="s">
        <v>2161</v>
      </c>
      <c r="AW652" s="6" t="s">
        <v>928</v>
      </c>
      <c r="AX652" s="6" t="s">
        <v>929</v>
      </c>
      <c r="AY652" s="6" t="s">
        <v>930</v>
      </c>
      <c r="AZ652" s="6"/>
      <c r="BA652" s="6"/>
      <c r="BB652" s="6"/>
      <c r="BC652" s="6" t="s">
        <v>97</v>
      </c>
      <c r="BD652" s="6" t="s">
        <v>97</v>
      </c>
    </row>
    <row r="653" spans="1:56" ht="32" customHeight="1" x14ac:dyDescent="0.35">
      <c r="A653" s="13" t="s">
        <v>4793</v>
      </c>
      <c r="B653" s="6" t="s">
        <v>4787</v>
      </c>
      <c r="C653" s="5" t="s">
        <v>4788</v>
      </c>
      <c r="D653" s="5" t="s">
        <v>833</v>
      </c>
      <c r="E653" s="5" t="s">
        <v>4794</v>
      </c>
      <c r="F653" s="5" t="s">
        <v>913</v>
      </c>
      <c r="G653" s="5" t="s">
        <v>914</v>
      </c>
      <c r="H653" s="5" t="s">
        <v>4795</v>
      </c>
      <c r="I653" s="5" t="s">
        <v>4796</v>
      </c>
      <c r="J653" s="17" t="s">
        <v>121</v>
      </c>
      <c r="K653" s="17" t="s">
        <v>181</v>
      </c>
      <c r="L653" s="5" t="s">
        <v>4797</v>
      </c>
      <c r="M653" s="6" t="s">
        <v>198</v>
      </c>
      <c r="N653" s="6" t="s">
        <v>813</v>
      </c>
      <c r="O653" s="6" t="s">
        <v>121</v>
      </c>
      <c r="P653" s="5" t="s">
        <v>918</v>
      </c>
      <c r="Q653" s="17" t="s">
        <v>182</v>
      </c>
      <c r="R653" s="5"/>
      <c r="S653" s="6" t="s">
        <v>919</v>
      </c>
      <c r="T653" s="5" t="s">
        <v>920</v>
      </c>
      <c r="U653" s="6"/>
      <c r="V653" s="6" t="s">
        <v>921</v>
      </c>
      <c r="W653" s="6" t="s">
        <v>331</v>
      </c>
      <c r="X653" s="5" t="s">
        <v>4373</v>
      </c>
      <c r="Y653" s="5" t="s">
        <v>4385</v>
      </c>
      <c r="Z653" s="5" t="str">
        <f t="shared" si="20"/>
        <v>Medium</v>
      </c>
      <c r="AA653" s="5" t="s">
        <v>956</v>
      </c>
      <c r="AB653" s="6" t="s">
        <v>924</v>
      </c>
      <c r="AC653" s="6" t="s">
        <v>11</v>
      </c>
      <c r="AD653" s="5" t="s">
        <v>925</v>
      </c>
      <c r="AE653" s="5" t="s">
        <v>354</v>
      </c>
      <c r="AF653" s="5" t="s">
        <v>354</v>
      </c>
      <c r="AG653" s="5" t="s">
        <v>354</v>
      </c>
      <c r="AH653" s="5" t="s">
        <v>354</v>
      </c>
      <c r="AI653" s="6" t="str">
        <f t="shared" si="21"/>
        <v>No</v>
      </c>
      <c r="AJ653" s="6" t="s">
        <v>926</v>
      </c>
      <c r="AK653" s="6" t="s">
        <v>151</v>
      </c>
      <c r="AL653" s="6">
        <f>MATCH(AA653,{"Low","Medium","High"},0)*MATCH(AB653,{"Low","Medium","High"},0)*INDEX({3,2,2,1,1},MATCH(X653,{"Core","Vertical extension","Differentiator","Future","Adjacent"},0))</f>
        <v>4</v>
      </c>
      <c r="AM653" s="5"/>
      <c r="AN653" s="5"/>
      <c r="AO653" s="5"/>
      <c r="AP653" s="5"/>
      <c r="AQ653" s="5"/>
      <c r="AR653" s="5"/>
      <c r="AS653" s="5"/>
      <c r="AT653" s="5"/>
      <c r="AU653" s="6" t="s">
        <v>927</v>
      </c>
      <c r="AV653" s="6" t="s">
        <v>2161</v>
      </c>
      <c r="AW653" s="6" t="s">
        <v>928</v>
      </c>
      <c r="AX653" s="6" t="s">
        <v>929</v>
      </c>
      <c r="AY653" s="6" t="s">
        <v>930</v>
      </c>
      <c r="AZ653" s="6"/>
      <c r="BA653" s="6"/>
      <c r="BB653" s="6"/>
      <c r="BC653" s="6" t="s">
        <v>97</v>
      </c>
      <c r="BD653" s="6" t="s">
        <v>97</v>
      </c>
    </row>
    <row r="654" spans="1:56" ht="32" customHeight="1" x14ac:dyDescent="0.35">
      <c r="A654" s="13" t="s">
        <v>4798</v>
      </c>
      <c r="B654" s="6" t="s">
        <v>4787</v>
      </c>
      <c r="C654" s="5" t="s">
        <v>4788</v>
      </c>
      <c r="D654" s="5" t="s">
        <v>833</v>
      </c>
      <c r="E654" s="5" t="s">
        <v>4799</v>
      </c>
      <c r="F654" s="5" t="s">
        <v>4800</v>
      </c>
      <c r="G654" s="5" t="s">
        <v>914</v>
      </c>
      <c r="H654" s="5" t="s">
        <v>4801</v>
      </c>
      <c r="I654" s="5" t="s">
        <v>4802</v>
      </c>
      <c r="J654" s="17" t="s">
        <v>121</v>
      </c>
      <c r="K654" s="17" t="s">
        <v>181</v>
      </c>
      <c r="L654" s="5" t="s">
        <v>4803</v>
      </c>
      <c r="M654" s="6" t="s">
        <v>198</v>
      </c>
      <c r="N654" s="6" t="s">
        <v>813</v>
      </c>
      <c r="O654" s="6" t="s">
        <v>121</v>
      </c>
      <c r="P654" s="5" t="s">
        <v>918</v>
      </c>
      <c r="Q654" s="17" t="s">
        <v>182</v>
      </c>
      <c r="R654" s="5"/>
      <c r="S654" s="6" t="s">
        <v>919</v>
      </c>
      <c r="T654" s="5" t="s">
        <v>920</v>
      </c>
      <c r="U654" s="6"/>
      <c r="V654" s="6" t="s">
        <v>921</v>
      </c>
      <c r="W654" s="6" t="s">
        <v>331</v>
      </c>
      <c r="X654" s="5" t="s">
        <v>4373</v>
      </c>
      <c r="Y654" s="5" t="s">
        <v>4385</v>
      </c>
      <c r="Z654" s="5" t="str">
        <f t="shared" si="20"/>
        <v>Medium</v>
      </c>
      <c r="AA654" s="5" t="s">
        <v>956</v>
      </c>
      <c r="AB654" s="6" t="s">
        <v>924</v>
      </c>
      <c r="AC654" s="6" t="s">
        <v>11</v>
      </c>
      <c r="AD654" s="5" t="s">
        <v>925</v>
      </c>
      <c r="AE654" s="5" t="s">
        <v>354</v>
      </c>
      <c r="AF654" s="5" t="s">
        <v>354</v>
      </c>
      <c r="AG654" s="5" t="s">
        <v>354</v>
      </c>
      <c r="AH654" s="5" t="s">
        <v>354</v>
      </c>
      <c r="AI654" s="6" t="str">
        <f t="shared" si="21"/>
        <v>No</v>
      </c>
      <c r="AJ654" s="6" t="s">
        <v>926</v>
      </c>
      <c r="AK654" s="6" t="s">
        <v>151</v>
      </c>
      <c r="AL654" s="6">
        <f>MATCH(AA654,{"Low","Medium","High"},0)*MATCH(AB654,{"Low","Medium","High"},0)*INDEX({3,2,2,1,1},MATCH(X654,{"Core","Vertical extension","Differentiator","Future","Adjacent"},0))</f>
        <v>4</v>
      </c>
      <c r="AM654" s="5"/>
      <c r="AN654" s="5"/>
      <c r="AO654" s="5"/>
      <c r="AP654" s="5"/>
      <c r="AQ654" s="5"/>
      <c r="AR654" s="5"/>
      <c r="AS654" s="5"/>
      <c r="AT654" s="5"/>
      <c r="AU654" s="6" t="s">
        <v>927</v>
      </c>
      <c r="AV654" s="6" t="s">
        <v>2161</v>
      </c>
      <c r="AW654" s="6" t="s">
        <v>53</v>
      </c>
      <c r="AX654" s="6" t="s">
        <v>929</v>
      </c>
      <c r="AY654" s="6" t="s">
        <v>930</v>
      </c>
      <c r="AZ654" s="6"/>
      <c r="BA654" s="6"/>
      <c r="BB654" s="6"/>
      <c r="BC654" s="6" t="s">
        <v>97</v>
      </c>
      <c r="BD654" s="6" t="s">
        <v>97</v>
      </c>
    </row>
    <row r="655" spans="1:56" ht="32" customHeight="1" x14ac:dyDescent="0.35">
      <c r="A655" s="13" t="s">
        <v>4804</v>
      </c>
      <c r="B655" s="6" t="s">
        <v>4787</v>
      </c>
      <c r="C655" s="5" t="s">
        <v>4788</v>
      </c>
      <c r="D655" s="5" t="s">
        <v>833</v>
      </c>
      <c r="E655" s="5" t="s">
        <v>4805</v>
      </c>
      <c r="F655" s="5" t="s">
        <v>1623</v>
      </c>
      <c r="G655" s="5" t="s">
        <v>914</v>
      </c>
      <c r="H655" s="5" t="s">
        <v>4806</v>
      </c>
      <c r="I655" s="5" t="s">
        <v>4807</v>
      </c>
      <c r="J655" s="21" t="s">
        <v>158</v>
      </c>
      <c r="K655" s="17" t="s">
        <v>181</v>
      </c>
      <c r="L655" s="5" t="s">
        <v>4808</v>
      </c>
      <c r="M655" s="6" t="s">
        <v>198</v>
      </c>
      <c r="N655" s="6" t="s">
        <v>813</v>
      </c>
      <c r="O655" s="6" t="s">
        <v>151</v>
      </c>
      <c r="P655" s="5" t="s">
        <v>4283</v>
      </c>
      <c r="Q655" s="17" t="s">
        <v>182</v>
      </c>
      <c r="R655" s="5" t="s">
        <v>4283</v>
      </c>
      <c r="S655" s="6" t="s">
        <v>919</v>
      </c>
      <c r="T655" s="5" t="s">
        <v>920</v>
      </c>
      <c r="U655" s="6"/>
      <c r="V655" s="6" t="s">
        <v>921</v>
      </c>
      <c r="W655" s="6" t="s">
        <v>331</v>
      </c>
      <c r="X655" s="5" t="s">
        <v>4284</v>
      </c>
      <c r="Y655" s="5" t="s">
        <v>4385</v>
      </c>
      <c r="Z655" s="5" t="str">
        <f t="shared" si="20"/>
        <v>Low</v>
      </c>
      <c r="AA655" s="5" t="s">
        <v>924</v>
      </c>
      <c r="AB655" s="6" t="s">
        <v>924</v>
      </c>
      <c r="AC655" s="6" t="s">
        <v>11</v>
      </c>
      <c r="AD655" s="5" t="s">
        <v>925</v>
      </c>
      <c r="AE655" s="5" t="s">
        <v>354</v>
      </c>
      <c r="AF655" s="5" t="s">
        <v>354</v>
      </c>
      <c r="AG655" s="5" t="s">
        <v>354</v>
      </c>
      <c r="AH655" s="5" t="s">
        <v>354</v>
      </c>
      <c r="AI655" s="6" t="str">
        <f t="shared" si="21"/>
        <v>No</v>
      </c>
      <c r="AJ655" s="6" t="s">
        <v>926</v>
      </c>
      <c r="AK655" s="6" t="s">
        <v>158</v>
      </c>
      <c r="AL655" s="6">
        <f>MATCH(AA655,{"Low","Medium","High"},0)*MATCH(AB655,{"Low","Medium","High"},0)*INDEX({3,2,2,1,1},MATCH(X655,{"Core","Vertical extension","Differentiator","Future","Adjacent"},0))</f>
        <v>1</v>
      </c>
      <c r="AM655" s="5"/>
      <c r="AN655" s="5"/>
      <c r="AO655" s="5"/>
      <c r="AP655" s="5"/>
      <c r="AQ655" s="5"/>
      <c r="AR655" s="5"/>
      <c r="AS655" s="5"/>
      <c r="AT655" s="5"/>
      <c r="AU655" s="6" t="s">
        <v>927</v>
      </c>
      <c r="AV655" s="6" t="s">
        <v>2161</v>
      </c>
      <c r="AW655" s="6" t="s">
        <v>928</v>
      </c>
      <c r="AX655" s="6" t="s">
        <v>4285</v>
      </c>
      <c r="AY655" s="6" t="s">
        <v>930</v>
      </c>
      <c r="AZ655" s="6"/>
      <c r="BA655" s="6"/>
      <c r="BB655" s="6"/>
      <c r="BC655" s="6" t="s">
        <v>97</v>
      </c>
      <c r="BD655" s="6" t="s">
        <v>97</v>
      </c>
    </row>
    <row r="656" spans="1:56" ht="32" customHeight="1" x14ac:dyDescent="0.35">
      <c r="A656" s="13" t="s">
        <v>4809</v>
      </c>
      <c r="B656" s="6" t="s">
        <v>4787</v>
      </c>
      <c r="C656" s="5" t="s">
        <v>4788</v>
      </c>
      <c r="D656" s="5" t="s">
        <v>833</v>
      </c>
      <c r="E656" s="5" t="s">
        <v>4810</v>
      </c>
      <c r="F656" s="5" t="s">
        <v>4811</v>
      </c>
      <c r="G656" s="5" t="s">
        <v>951</v>
      </c>
      <c r="H656" s="5" t="s">
        <v>4812</v>
      </c>
      <c r="I656" s="5" t="s">
        <v>4813</v>
      </c>
      <c r="J656" s="16" t="s">
        <v>73</v>
      </c>
      <c r="K656" s="17" t="s">
        <v>181</v>
      </c>
      <c r="L656" s="5" t="s">
        <v>4814</v>
      </c>
      <c r="M656" s="6" t="s">
        <v>198</v>
      </c>
      <c r="N656" s="6" t="s">
        <v>813</v>
      </c>
      <c r="O656" s="6" t="s">
        <v>73</v>
      </c>
      <c r="P656" s="5" t="s">
        <v>918</v>
      </c>
      <c r="Q656" s="17" t="s">
        <v>182</v>
      </c>
      <c r="R656" s="5"/>
      <c r="S656" s="6" t="s">
        <v>919</v>
      </c>
      <c r="T656" s="5" t="s">
        <v>920</v>
      </c>
      <c r="U656" s="6"/>
      <c r="V656" s="6" t="s">
        <v>921</v>
      </c>
      <c r="W656" s="6" t="s">
        <v>331</v>
      </c>
      <c r="X656" s="5" t="s">
        <v>4373</v>
      </c>
      <c r="Y656" s="5" t="s">
        <v>4385</v>
      </c>
      <c r="Z656" s="5" t="str">
        <f t="shared" si="20"/>
        <v>Medium</v>
      </c>
      <c r="AA656" s="5" t="s">
        <v>923</v>
      </c>
      <c r="AB656" s="6" t="s">
        <v>924</v>
      </c>
      <c r="AC656" s="6" t="s">
        <v>78</v>
      </c>
      <c r="AD656" s="5" t="s">
        <v>925</v>
      </c>
      <c r="AE656" s="5" t="s">
        <v>354</v>
      </c>
      <c r="AF656" s="5" t="s">
        <v>354</v>
      </c>
      <c r="AG656" s="5" t="s">
        <v>354</v>
      </c>
      <c r="AH656" s="5" t="s">
        <v>354</v>
      </c>
      <c r="AI656" s="6" t="str">
        <f t="shared" si="21"/>
        <v>No</v>
      </c>
      <c r="AJ656" s="6" t="s">
        <v>926</v>
      </c>
      <c r="AK656" s="6" t="s">
        <v>73</v>
      </c>
      <c r="AL656" s="6">
        <f>MATCH(AA656,{"Low","Medium","High"},0)*MATCH(AB656,{"Low","Medium","High"},0)*INDEX({3,2,2,1,1},MATCH(X656,{"Core","Vertical extension","Differentiator","Future","Adjacent"},0))</f>
        <v>6</v>
      </c>
      <c r="AM656" s="5"/>
      <c r="AN656" s="5"/>
      <c r="AO656" s="5"/>
      <c r="AP656" s="5"/>
      <c r="AQ656" s="5"/>
      <c r="AR656" s="5"/>
      <c r="AS656" s="5"/>
      <c r="AT656" s="5"/>
      <c r="AU656" s="6" t="s">
        <v>927</v>
      </c>
      <c r="AV656" s="6" t="s">
        <v>2161</v>
      </c>
      <c r="AW656" s="6" t="s">
        <v>928</v>
      </c>
      <c r="AX656" s="6" t="s">
        <v>929</v>
      </c>
      <c r="AY656" s="6" t="s">
        <v>930</v>
      </c>
      <c r="AZ656" s="6"/>
      <c r="BA656" s="6"/>
      <c r="BB656" s="6"/>
      <c r="BC656" s="6" t="s">
        <v>97</v>
      </c>
      <c r="BD656" s="6" t="s">
        <v>97</v>
      </c>
    </row>
    <row r="657" spans="1:56" ht="32" customHeight="1" x14ac:dyDescent="0.35">
      <c r="A657" s="13" t="s">
        <v>4815</v>
      </c>
      <c r="B657" s="6" t="s">
        <v>4787</v>
      </c>
      <c r="C657" s="5" t="s">
        <v>4788</v>
      </c>
      <c r="D657" s="5" t="s">
        <v>829</v>
      </c>
      <c r="E657" s="5" t="s">
        <v>4816</v>
      </c>
      <c r="F657" s="5" t="s">
        <v>1347</v>
      </c>
      <c r="G657" s="5" t="s">
        <v>951</v>
      </c>
      <c r="H657" s="5" t="s">
        <v>4817</v>
      </c>
      <c r="I657" s="5" t="s">
        <v>4818</v>
      </c>
      <c r="J657" s="17" t="s">
        <v>121</v>
      </c>
      <c r="K657" s="17" t="s">
        <v>181</v>
      </c>
      <c r="L657" s="5" t="s">
        <v>4819</v>
      </c>
      <c r="M657" s="6" t="s">
        <v>198</v>
      </c>
      <c r="N657" s="6" t="s">
        <v>813</v>
      </c>
      <c r="O657" s="6" t="s">
        <v>121</v>
      </c>
      <c r="P657" s="5" t="s">
        <v>918</v>
      </c>
      <c r="Q657" s="17" t="s">
        <v>182</v>
      </c>
      <c r="R657" s="5"/>
      <c r="S657" s="6" t="s">
        <v>980</v>
      </c>
      <c r="T657" s="5" t="s">
        <v>981</v>
      </c>
      <c r="U657" s="6"/>
      <c r="V657" s="6" t="s">
        <v>982</v>
      </c>
      <c r="W657" s="6" t="s">
        <v>331</v>
      </c>
      <c r="X657" s="5" t="s">
        <v>4373</v>
      </c>
      <c r="Y657" s="5" t="s">
        <v>4385</v>
      </c>
      <c r="Z657" s="5" t="str">
        <f t="shared" si="20"/>
        <v>Medium</v>
      </c>
      <c r="AA657" s="5" t="s">
        <v>923</v>
      </c>
      <c r="AB657" s="6" t="s">
        <v>924</v>
      </c>
      <c r="AC657" s="6" t="s">
        <v>11</v>
      </c>
      <c r="AD657" s="5" t="s">
        <v>925</v>
      </c>
      <c r="AE657" s="5" t="s">
        <v>354</v>
      </c>
      <c r="AF657" s="5" t="s">
        <v>354</v>
      </c>
      <c r="AG657" s="5" t="s">
        <v>354</v>
      </c>
      <c r="AH657" s="5" t="s">
        <v>354</v>
      </c>
      <c r="AI657" s="6" t="str">
        <f t="shared" si="21"/>
        <v>No</v>
      </c>
      <c r="AJ657" s="6" t="s">
        <v>926</v>
      </c>
      <c r="AK657" s="6" t="s">
        <v>151</v>
      </c>
      <c r="AL657" s="6">
        <f>MATCH(AA657,{"Low","Medium","High"},0)*MATCH(AB657,{"Low","Medium","High"},0)*INDEX({3,2,2,1,1},MATCH(X657,{"Core","Vertical extension","Differentiator","Future","Adjacent"},0))</f>
        <v>6</v>
      </c>
      <c r="AM657" s="5"/>
      <c r="AN657" s="5"/>
      <c r="AO657" s="5"/>
      <c r="AP657" s="5"/>
      <c r="AQ657" s="5"/>
      <c r="AR657" s="5"/>
      <c r="AS657" s="5"/>
      <c r="AT657" s="5"/>
      <c r="AU657" s="6" t="s">
        <v>927</v>
      </c>
      <c r="AV657" s="6" t="s">
        <v>2161</v>
      </c>
      <c r="AW657" s="6" t="s">
        <v>1296</v>
      </c>
      <c r="AX657" s="6" t="s">
        <v>929</v>
      </c>
      <c r="AY657" s="6" t="s">
        <v>930</v>
      </c>
      <c r="AZ657" s="6"/>
      <c r="BA657" s="6"/>
      <c r="BB657" s="6"/>
      <c r="BC657" s="6" t="s">
        <v>97</v>
      </c>
      <c r="BD657" s="6" t="s">
        <v>97</v>
      </c>
    </row>
    <row r="658" spans="1:56" ht="32" customHeight="1" x14ac:dyDescent="0.35">
      <c r="A658" s="13" t="s">
        <v>4820</v>
      </c>
      <c r="B658" s="6" t="s">
        <v>4787</v>
      </c>
      <c r="C658" s="5" t="s">
        <v>4821</v>
      </c>
      <c r="D658" s="5" t="s">
        <v>840</v>
      </c>
      <c r="E658" s="5" t="s">
        <v>4822</v>
      </c>
      <c r="F658" s="5" t="s">
        <v>4823</v>
      </c>
      <c r="G658" s="5" t="s">
        <v>4824</v>
      </c>
      <c r="H658" s="5" t="s">
        <v>4825</v>
      </c>
      <c r="I658" s="5" t="s">
        <v>4826</v>
      </c>
      <c r="J658" s="17" t="s">
        <v>121</v>
      </c>
      <c r="K658" s="17" t="s">
        <v>181</v>
      </c>
      <c r="L658" s="5" t="s">
        <v>4827</v>
      </c>
      <c r="M658" s="6" t="s">
        <v>198</v>
      </c>
      <c r="N658" s="6" t="s">
        <v>813</v>
      </c>
      <c r="O658" s="6" t="s">
        <v>121</v>
      </c>
      <c r="P658" s="5" t="s">
        <v>918</v>
      </c>
      <c r="Q658" s="18" t="s">
        <v>186</v>
      </c>
      <c r="R658" s="5" t="s">
        <v>1021</v>
      </c>
      <c r="S658" s="6" t="s">
        <v>1022</v>
      </c>
      <c r="T658" s="5" t="s">
        <v>1023</v>
      </c>
      <c r="U658" s="6"/>
      <c r="V658" s="6" t="s">
        <v>1024</v>
      </c>
      <c r="W658" s="6" t="s">
        <v>337</v>
      </c>
      <c r="X658" s="5" t="s">
        <v>4373</v>
      </c>
      <c r="Y658" s="5" t="s">
        <v>4385</v>
      </c>
      <c r="Z658" s="5" t="str">
        <f t="shared" si="20"/>
        <v>Medium</v>
      </c>
      <c r="AA658" s="5" t="s">
        <v>956</v>
      </c>
      <c r="AB658" s="6" t="s">
        <v>924</v>
      </c>
      <c r="AC658" s="6" t="s">
        <v>11</v>
      </c>
      <c r="AD658" s="5" t="s">
        <v>940</v>
      </c>
      <c r="AE658" s="5" t="s">
        <v>354</v>
      </c>
      <c r="AF658" s="5" t="s">
        <v>354</v>
      </c>
      <c r="AG658" s="5" t="s">
        <v>354</v>
      </c>
      <c r="AH658" s="5" t="s">
        <v>354</v>
      </c>
      <c r="AI658" s="6" t="str">
        <f t="shared" si="21"/>
        <v>No</v>
      </c>
      <c r="AJ658" s="6" t="s">
        <v>941</v>
      </c>
      <c r="AK658" s="6" t="s">
        <v>151</v>
      </c>
      <c r="AL658" s="6">
        <f>MATCH(AA658,{"Low","Medium","High"},0)*MATCH(AB658,{"Low","Medium","High"},0)*INDEX({3,2,2,1,1},MATCH(X658,{"Core","Vertical extension","Differentiator","Future","Adjacent"},0))</f>
        <v>4</v>
      </c>
      <c r="AM658" s="5"/>
      <c r="AN658" s="5"/>
      <c r="AO658" s="5"/>
      <c r="AP658" s="5"/>
      <c r="AQ658" s="5"/>
      <c r="AR658" s="5"/>
      <c r="AS658" s="5"/>
      <c r="AT658" s="5"/>
      <c r="AU658" s="6" t="s">
        <v>927</v>
      </c>
      <c r="AV658" s="6" t="s">
        <v>2161</v>
      </c>
      <c r="AW658" s="6" t="s">
        <v>2161</v>
      </c>
      <c r="AX658" s="6" t="s">
        <v>929</v>
      </c>
      <c r="AY658" s="6" t="s">
        <v>930</v>
      </c>
      <c r="AZ658" s="6"/>
      <c r="BA658" s="6"/>
      <c r="BB658" s="6"/>
      <c r="BC658" s="6" t="s">
        <v>97</v>
      </c>
      <c r="BD658" s="6" t="s">
        <v>97</v>
      </c>
    </row>
    <row r="659" spans="1:56" ht="32" customHeight="1" x14ac:dyDescent="0.35">
      <c r="A659" s="13" t="s">
        <v>4828</v>
      </c>
      <c r="B659" s="6" t="s">
        <v>4787</v>
      </c>
      <c r="C659" s="5" t="s">
        <v>4821</v>
      </c>
      <c r="D659" s="5" t="s">
        <v>837</v>
      </c>
      <c r="E659" s="5" t="s">
        <v>4829</v>
      </c>
      <c r="F659" s="5" t="s">
        <v>4830</v>
      </c>
      <c r="G659" s="5" t="s">
        <v>1017</v>
      </c>
      <c r="H659" s="5" t="s">
        <v>4831</v>
      </c>
      <c r="I659" s="5" t="s">
        <v>4832</v>
      </c>
      <c r="J659" s="17" t="s">
        <v>121</v>
      </c>
      <c r="K659" s="17" t="s">
        <v>181</v>
      </c>
      <c r="L659" s="5" t="s">
        <v>4833</v>
      </c>
      <c r="M659" s="6" t="s">
        <v>198</v>
      </c>
      <c r="N659" s="6" t="s">
        <v>813</v>
      </c>
      <c r="O659" s="6" t="s">
        <v>121</v>
      </c>
      <c r="P659" s="5" t="s">
        <v>918</v>
      </c>
      <c r="Q659" s="17" t="s">
        <v>182</v>
      </c>
      <c r="R659" s="5"/>
      <c r="S659" s="6" t="s">
        <v>937</v>
      </c>
      <c r="T659" s="5" t="s">
        <v>938</v>
      </c>
      <c r="U659" s="6"/>
      <c r="V659" s="6" t="s">
        <v>939</v>
      </c>
      <c r="W659" s="6" t="s">
        <v>331</v>
      </c>
      <c r="X659" s="5" t="s">
        <v>4373</v>
      </c>
      <c r="Y659" s="5" t="s">
        <v>4385</v>
      </c>
      <c r="Z659" s="5" t="str">
        <f t="shared" si="20"/>
        <v>Medium</v>
      </c>
      <c r="AA659" s="5" t="s">
        <v>923</v>
      </c>
      <c r="AB659" s="6" t="s">
        <v>924</v>
      </c>
      <c r="AC659" s="6" t="s">
        <v>11</v>
      </c>
      <c r="AD659" s="5" t="s">
        <v>925</v>
      </c>
      <c r="AE659" s="5" t="s">
        <v>354</v>
      </c>
      <c r="AF659" s="5" t="s">
        <v>354</v>
      </c>
      <c r="AG659" s="5" t="s">
        <v>354</v>
      </c>
      <c r="AH659" s="5" t="s">
        <v>354</v>
      </c>
      <c r="AI659" s="6" t="str">
        <f t="shared" si="21"/>
        <v>No</v>
      </c>
      <c r="AJ659" s="6" t="s">
        <v>926</v>
      </c>
      <c r="AK659" s="6" t="s">
        <v>151</v>
      </c>
      <c r="AL659" s="6">
        <f>MATCH(AA659,{"Low","Medium","High"},0)*MATCH(AB659,{"Low","Medium","High"},0)*INDEX({3,2,2,1,1},MATCH(X659,{"Core","Vertical extension","Differentiator","Future","Adjacent"},0))</f>
        <v>6</v>
      </c>
      <c r="AM659" s="5"/>
      <c r="AN659" s="5"/>
      <c r="AO659" s="5"/>
      <c r="AP659" s="5"/>
      <c r="AQ659" s="5"/>
      <c r="AR659" s="5"/>
      <c r="AS659" s="5"/>
      <c r="AT659" s="5"/>
      <c r="AU659" s="6" t="s">
        <v>927</v>
      </c>
      <c r="AV659" s="6" t="s">
        <v>2161</v>
      </c>
      <c r="AW659" s="6" t="s">
        <v>55</v>
      </c>
      <c r="AX659" s="6" t="s">
        <v>929</v>
      </c>
      <c r="AY659" s="6" t="s">
        <v>930</v>
      </c>
      <c r="AZ659" s="6"/>
      <c r="BA659" s="6"/>
      <c r="BB659" s="6"/>
      <c r="BC659" s="6" t="s">
        <v>97</v>
      </c>
      <c r="BD659" s="6" t="s">
        <v>97</v>
      </c>
    </row>
    <row r="660" spans="1:56" ht="32" customHeight="1" x14ac:dyDescent="0.35">
      <c r="A660" s="13" t="s">
        <v>4834</v>
      </c>
      <c r="B660" s="6" t="s">
        <v>4787</v>
      </c>
      <c r="C660" s="5" t="s">
        <v>4821</v>
      </c>
      <c r="D660" s="5" t="s">
        <v>837</v>
      </c>
      <c r="E660" s="5" t="s">
        <v>4835</v>
      </c>
      <c r="F660" s="5" t="s">
        <v>457</v>
      </c>
      <c r="G660" s="5" t="s">
        <v>1017</v>
      </c>
      <c r="H660" s="5" t="s">
        <v>4836</v>
      </c>
      <c r="I660" s="5" t="s">
        <v>4837</v>
      </c>
      <c r="J660" s="17" t="s">
        <v>121</v>
      </c>
      <c r="K660" s="17" t="s">
        <v>181</v>
      </c>
      <c r="L660" s="5" t="s">
        <v>4838</v>
      </c>
      <c r="M660" s="6" t="s">
        <v>198</v>
      </c>
      <c r="N660" s="6" t="s">
        <v>813</v>
      </c>
      <c r="O660" s="6" t="s">
        <v>121</v>
      </c>
      <c r="P660" s="5" t="s">
        <v>918</v>
      </c>
      <c r="Q660" s="17" t="s">
        <v>182</v>
      </c>
      <c r="R660" s="5"/>
      <c r="S660" s="6" t="s">
        <v>937</v>
      </c>
      <c r="T660" s="5" t="s">
        <v>938</v>
      </c>
      <c r="U660" s="6"/>
      <c r="V660" s="6" t="s">
        <v>939</v>
      </c>
      <c r="W660" s="6" t="s">
        <v>331</v>
      </c>
      <c r="X660" s="5" t="s">
        <v>4373</v>
      </c>
      <c r="Y660" s="5" t="s">
        <v>4385</v>
      </c>
      <c r="Z660" s="5" t="str">
        <f t="shared" si="20"/>
        <v>Medium</v>
      </c>
      <c r="AA660" s="5" t="s">
        <v>923</v>
      </c>
      <c r="AB660" s="6" t="s">
        <v>924</v>
      </c>
      <c r="AC660" s="6" t="s">
        <v>11</v>
      </c>
      <c r="AD660" s="5" t="s">
        <v>925</v>
      </c>
      <c r="AE660" s="5" t="s">
        <v>354</v>
      </c>
      <c r="AF660" s="5" t="s">
        <v>354</v>
      </c>
      <c r="AG660" s="5" t="s">
        <v>354</v>
      </c>
      <c r="AH660" s="5" t="s">
        <v>354</v>
      </c>
      <c r="AI660" s="6" t="str">
        <f t="shared" si="21"/>
        <v>No</v>
      </c>
      <c r="AJ660" s="6" t="s">
        <v>926</v>
      </c>
      <c r="AK660" s="6" t="s">
        <v>151</v>
      </c>
      <c r="AL660" s="6">
        <f>MATCH(AA660,{"Low","Medium","High"},0)*MATCH(AB660,{"Low","Medium","High"},0)*INDEX({3,2,2,1,1},MATCH(X660,{"Core","Vertical extension","Differentiator","Future","Adjacent"},0))</f>
        <v>6</v>
      </c>
      <c r="AM660" s="5"/>
      <c r="AN660" s="5"/>
      <c r="AO660" s="5"/>
      <c r="AP660" s="5"/>
      <c r="AQ660" s="5"/>
      <c r="AR660" s="5"/>
      <c r="AS660" s="5"/>
      <c r="AT660" s="5"/>
      <c r="AU660" s="6" t="s">
        <v>927</v>
      </c>
      <c r="AV660" s="6" t="s">
        <v>2161</v>
      </c>
      <c r="AW660" s="6" t="s">
        <v>55</v>
      </c>
      <c r="AX660" s="6" t="s">
        <v>929</v>
      </c>
      <c r="AY660" s="6" t="s">
        <v>930</v>
      </c>
      <c r="AZ660" s="6"/>
      <c r="BA660" s="6"/>
      <c r="BB660" s="6"/>
      <c r="BC660" s="6" t="s">
        <v>97</v>
      </c>
      <c r="BD660" s="6" t="s">
        <v>97</v>
      </c>
    </row>
    <row r="661" spans="1:56" ht="32" customHeight="1" x14ac:dyDescent="0.35">
      <c r="A661" s="13" t="s">
        <v>4839</v>
      </c>
      <c r="B661" s="6" t="s">
        <v>4787</v>
      </c>
      <c r="C661" s="5" t="s">
        <v>4821</v>
      </c>
      <c r="D661" s="5" t="s">
        <v>825</v>
      </c>
      <c r="E661" s="5" t="s">
        <v>4840</v>
      </c>
      <c r="F661" s="5" t="s">
        <v>2236</v>
      </c>
      <c r="G661" s="5" t="s">
        <v>4564</v>
      </c>
      <c r="H661" s="5" t="s">
        <v>4841</v>
      </c>
      <c r="I661" s="5" t="s">
        <v>4842</v>
      </c>
      <c r="J661" s="17" t="s">
        <v>121</v>
      </c>
      <c r="K661" s="17" t="s">
        <v>181</v>
      </c>
      <c r="L661" s="5" t="s">
        <v>4843</v>
      </c>
      <c r="M661" s="6" t="s">
        <v>198</v>
      </c>
      <c r="N661" s="6" t="s">
        <v>813</v>
      </c>
      <c r="O661" s="6" t="s">
        <v>121</v>
      </c>
      <c r="P661" s="5" t="s">
        <v>918</v>
      </c>
      <c r="Q661" s="17" t="s">
        <v>182</v>
      </c>
      <c r="R661" s="5"/>
      <c r="S661" s="6" t="s">
        <v>1053</v>
      </c>
      <c r="T661" s="5" t="s">
        <v>1054</v>
      </c>
      <c r="U661" s="6"/>
      <c r="V661" s="6" t="s">
        <v>1055</v>
      </c>
      <c r="W661" s="6" t="s">
        <v>333</v>
      </c>
      <c r="X661" s="5" t="s">
        <v>4373</v>
      </c>
      <c r="Y661" s="5" t="s">
        <v>4385</v>
      </c>
      <c r="Z661" s="5" t="str">
        <f t="shared" si="20"/>
        <v>Critical</v>
      </c>
      <c r="AA661" s="5" t="s">
        <v>923</v>
      </c>
      <c r="AB661" s="6" t="s">
        <v>923</v>
      </c>
      <c r="AC661" s="6" t="s">
        <v>11</v>
      </c>
      <c r="AD661" s="5" t="s">
        <v>925</v>
      </c>
      <c r="AE661" s="5" t="s">
        <v>354</v>
      </c>
      <c r="AF661" s="5" t="s">
        <v>354</v>
      </c>
      <c r="AG661" s="5" t="s">
        <v>354</v>
      </c>
      <c r="AH661" s="5" t="s">
        <v>354</v>
      </c>
      <c r="AI661" s="6" t="str">
        <f t="shared" si="21"/>
        <v>No</v>
      </c>
      <c r="AJ661" s="6" t="s">
        <v>926</v>
      </c>
      <c r="AK661" s="6" t="s">
        <v>151</v>
      </c>
      <c r="AL661" s="6">
        <f>MATCH(AA661,{"Low","Medium","High"},0)*MATCH(AB661,{"Low","Medium","High"},0)*INDEX({3,2,2,1,1},MATCH(X661,{"Core","Vertical extension","Differentiator","Future","Adjacent"},0))</f>
        <v>18</v>
      </c>
      <c r="AM661" s="5"/>
      <c r="AN661" s="5"/>
      <c r="AO661" s="5"/>
      <c r="AP661" s="5"/>
      <c r="AQ661" s="5"/>
      <c r="AR661" s="5"/>
      <c r="AS661" s="5"/>
      <c r="AT661" s="5"/>
      <c r="AU661" s="6" t="s">
        <v>927</v>
      </c>
      <c r="AV661" s="6" t="s">
        <v>2161</v>
      </c>
      <c r="AW661" s="6" t="s">
        <v>2161</v>
      </c>
      <c r="AX661" s="6" t="s">
        <v>929</v>
      </c>
      <c r="AY661" s="6" t="s">
        <v>930</v>
      </c>
      <c r="AZ661" s="6"/>
      <c r="BA661" s="6"/>
      <c r="BB661" s="6"/>
      <c r="BC661" s="6" t="s">
        <v>97</v>
      </c>
      <c r="BD661" s="6" t="s">
        <v>97</v>
      </c>
    </row>
    <row r="662" spans="1:56" ht="32" customHeight="1" x14ac:dyDescent="0.35">
      <c r="A662" s="13" t="s">
        <v>4844</v>
      </c>
      <c r="B662" s="6" t="s">
        <v>4787</v>
      </c>
      <c r="C662" s="5" t="s">
        <v>4821</v>
      </c>
      <c r="D662" s="5" t="s">
        <v>825</v>
      </c>
      <c r="E662" s="5" t="s">
        <v>4845</v>
      </c>
      <c r="F662" s="5" t="s">
        <v>4846</v>
      </c>
      <c r="G662" s="5" t="s">
        <v>4194</v>
      </c>
      <c r="H662" s="5" t="s">
        <v>4847</v>
      </c>
      <c r="I662" s="5" t="s">
        <v>4848</v>
      </c>
      <c r="J662" s="16" t="s">
        <v>73</v>
      </c>
      <c r="K662" s="17" t="s">
        <v>181</v>
      </c>
      <c r="L662" s="5" t="s">
        <v>4849</v>
      </c>
      <c r="M662" s="6" t="s">
        <v>198</v>
      </c>
      <c r="N662" s="6" t="s">
        <v>813</v>
      </c>
      <c r="O662" s="6" t="s">
        <v>73</v>
      </c>
      <c r="P662" s="5" t="s">
        <v>918</v>
      </c>
      <c r="Q662" s="17" t="s">
        <v>182</v>
      </c>
      <c r="R662" s="5"/>
      <c r="S662" s="6" t="s">
        <v>1053</v>
      </c>
      <c r="T662" s="5" t="s">
        <v>1054</v>
      </c>
      <c r="U662" s="6"/>
      <c r="V662" s="6" t="s">
        <v>1055</v>
      </c>
      <c r="W662" s="6" t="s">
        <v>333</v>
      </c>
      <c r="X662" s="5" t="s">
        <v>4373</v>
      </c>
      <c r="Y662" s="5" t="s">
        <v>4385</v>
      </c>
      <c r="Z662" s="5" t="str">
        <f t="shared" si="20"/>
        <v>Critical</v>
      </c>
      <c r="AA662" s="5" t="s">
        <v>923</v>
      </c>
      <c r="AB662" s="6" t="s">
        <v>923</v>
      </c>
      <c r="AC662" s="6" t="s">
        <v>78</v>
      </c>
      <c r="AD662" s="5" t="s">
        <v>925</v>
      </c>
      <c r="AE662" s="5" t="s">
        <v>354</v>
      </c>
      <c r="AF662" s="5" t="s">
        <v>354</v>
      </c>
      <c r="AG662" s="5" t="s">
        <v>354</v>
      </c>
      <c r="AH662" s="5" t="s">
        <v>354</v>
      </c>
      <c r="AI662" s="6" t="str">
        <f t="shared" si="21"/>
        <v>No</v>
      </c>
      <c r="AJ662" s="6" t="s">
        <v>926</v>
      </c>
      <c r="AK662" s="6" t="s">
        <v>73</v>
      </c>
      <c r="AL662" s="6">
        <f>MATCH(AA662,{"Low","Medium","High"},0)*MATCH(AB662,{"Low","Medium","High"},0)*INDEX({3,2,2,1,1},MATCH(X662,{"Core","Vertical extension","Differentiator","Future","Adjacent"},0))</f>
        <v>18</v>
      </c>
      <c r="AM662" s="5"/>
      <c r="AN662" s="5"/>
      <c r="AO662" s="5"/>
      <c r="AP662" s="5"/>
      <c r="AQ662" s="5"/>
      <c r="AR662" s="5"/>
      <c r="AS662" s="5"/>
      <c r="AT662" s="5"/>
      <c r="AU662" s="6" t="s">
        <v>927</v>
      </c>
      <c r="AV662" s="6" t="s">
        <v>2161</v>
      </c>
      <c r="AW662" s="6" t="s">
        <v>2161</v>
      </c>
      <c r="AX662" s="6" t="s">
        <v>929</v>
      </c>
      <c r="AY662" s="6" t="s">
        <v>930</v>
      </c>
      <c r="AZ662" s="6"/>
      <c r="BA662" s="6"/>
      <c r="BB662" s="6"/>
      <c r="BC662" s="6" t="s">
        <v>97</v>
      </c>
      <c r="BD662" s="6" t="s">
        <v>97</v>
      </c>
    </row>
    <row r="663" spans="1:56" ht="32" customHeight="1" x14ac:dyDescent="0.35">
      <c r="A663" s="13" t="s">
        <v>4850</v>
      </c>
      <c r="B663" s="6" t="s">
        <v>4787</v>
      </c>
      <c r="C663" s="5" t="s">
        <v>4821</v>
      </c>
      <c r="D663" s="5" t="s">
        <v>837</v>
      </c>
      <c r="E663" s="5" t="s">
        <v>4851</v>
      </c>
      <c r="F663" s="5" t="s">
        <v>1452</v>
      </c>
      <c r="G663" s="5" t="s">
        <v>4558</v>
      </c>
      <c r="H663" s="5" t="s">
        <v>4852</v>
      </c>
      <c r="I663" s="5" t="s">
        <v>4853</v>
      </c>
      <c r="J663" s="17" t="s">
        <v>121</v>
      </c>
      <c r="K663" s="17" t="s">
        <v>181</v>
      </c>
      <c r="L663" s="5" t="s">
        <v>4854</v>
      </c>
      <c r="M663" s="6" t="s">
        <v>198</v>
      </c>
      <c r="N663" s="6" t="s">
        <v>813</v>
      </c>
      <c r="O663" s="6" t="s">
        <v>121</v>
      </c>
      <c r="P663" s="5" t="s">
        <v>918</v>
      </c>
      <c r="Q663" s="17" t="s">
        <v>182</v>
      </c>
      <c r="R663" s="5"/>
      <c r="S663" s="6" t="s">
        <v>937</v>
      </c>
      <c r="T663" s="5" t="s">
        <v>938</v>
      </c>
      <c r="U663" s="6"/>
      <c r="V663" s="6" t="s">
        <v>939</v>
      </c>
      <c r="W663" s="6" t="s">
        <v>331</v>
      </c>
      <c r="X663" s="5" t="s">
        <v>4373</v>
      </c>
      <c r="Y663" s="5" t="s">
        <v>4385</v>
      </c>
      <c r="Z663" s="5" t="str">
        <f t="shared" si="20"/>
        <v>Medium</v>
      </c>
      <c r="AA663" s="5" t="s">
        <v>923</v>
      </c>
      <c r="AB663" s="6" t="s">
        <v>924</v>
      </c>
      <c r="AC663" s="6" t="s">
        <v>11</v>
      </c>
      <c r="AD663" s="5" t="s">
        <v>925</v>
      </c>
      <c r="AE663" s="5" t="s">
        <v>354</v>
      </c>
      <c r="AF663" s="5" t="s">
        <v>354</v>
      </c>
      <c r="AG663" s="5" t="s">
        <v>354</v>
      </c>
      <c r="AH663" s="5" t="s">
        <v>354</v>
      </c>
      <c r="AI663" s="6" t="str">
        <f t="shared" si="21"/>
        <v>No</v>
      </c>
      <c r="AJ663" s="6" t="s">
        <v>926</v>
      </c>
      <c r="AK663" s="6" t="s">
        <v>151</v>
      </c>
      <c r="AL663" s="6">
        <f>MATCH(AA663,{"Low","Medium","High"},0)*MATCH(AB663,{"Low","Medium","High"},0)*INDEX({3,2,2,1,1},MATCH(X663,{"Core","Vertical extension","Differentiator","Future","Adjacent"},0))</f>
        <v>6</v>
      </c>
      <c r="AM663" s="5"/>
      <c r="AN663" s="5"/>
      <c r="AO663" s="5"/>
      <c r="AP663" s="5"/>
      <c r="AQ663" s="5"/>
      <c r="AR663" s="5"/>
      <c r="AS663" s="5"/>
      <c r="AT663" s="5"/>
      <c r="AU663" s="6" t="s">
        <v>927</v>
      </c>
      <c r="AV663" s="6" t="s">
        <v>2161</v>
      </c>
      <c r="AW663" s="6" t="s">
        <v>55</v>
      </c>
      <c r="AX663" s="6" t="s">
        <v>929</v>
      </c>
      <c r="AY663" s="6" t="s">
        <v>930</v>
      </c>
      <c r="AZ663" s="6"/>
      <c r="BA663" s="6"/>
      <c r="BB663" s="6"/>
      <c r="BC663" s="6" t="s">
        <v>97</v>
      </c>
      <c r="BD663" s="6" t="s">
        <v>97</v>
      </c>
    </row>
    <row r="664" spans="1:56" ht="32" customHeight="1" x14ac:dyDescent="0.35">
      <c r="A664" s="13" t="s">
        <v>4855</v>
      </c>
      <c r="B664" s="6" t="s">
        <v>4787</v>
      </c>
      <c r="C664" s="5" t="s">
        <v>4821</v>
      </c>
      <c r="D664" s="5" t="s">
        <v>838</v>
      </c>
      <c r="E664" s="5" t="s">
        <v>4856</v>
      </c>
      <c r="F664" s="5" t="s">
        <v>4388</v>
      </c>
      <c r="G664" s="5" t="s">
        <v>4142</v>
      </c>
      <c r="H664" s="5" t="s">
        <v>4857</v>
      </c>
      <c r="I664" s="5" t="s">
        <v>4858</v>
      </c>
      <c r="J664" s="17" t="s">
        <v>121</v>
      </c>
      <c r="K664" s="17" t="s">
        <v>181</v>
      </c>
      <c r="L664" s="5" t="s">
        <v>4859</v>
      </c>
      <c r="M664" s="6" t="s">
        <v>198</v>
      </c>
      <c r="N664" s="6" t="s">
        <v>813</v>
      </c>
      <c r="O664" s="6" t="s">
        <v>121</v>
      </c>
      <c r="P664" s="5" t="s">
        <v>918</v>
      </c>
      <c r="Q664" s="17" t="s">
        <v>182</v>
      </c>
      <c r="R664" s="5"/>
      <c r="S664" s="6" t="s">
        <v>990</v>
      </c>
      <c r="T664" s="5" t="s">
        <v>991</v>
      </c>
      <c r="U664" s="6"/>
      <c r="V664" s="6" t="s">
        <v>992</v>
      </c>
      <c r="W664" s="6" t="s">
        <v>337</v>
      </c>
      <c r="X664" s="5" t="s">
        <v>4373</v>
      </c>
      <c r="Y664" s="5" t="s">
        <v>4385</v>
      </c>
      <c r="Z664" s="5" t="str">
        <f t="shared" si="20"/>
        <v>Medium</v>
      </c>
      <c r="AA664" s="5" t="s">
        <v>956</v>
      </c>
      <c r="AB664" s="6" t="s">
        <v>924</v>
      </c>
      <c r="AC664" s="6" t="s">
        <v>11</v>
      </c>
      <c r="AD664" s="5" t="s">
        <v>925</v>
      </c>
      <c r="AE664" s="5" t="s">
        <v>354</v>
      </c>
      <c r="AF664" s="5" t="s">
        <v>354</v>
      </c>
      <c r="AG664" s="5" t="s">
        <v>354</v>
      </c>
      <c r="AH664" s="5" t="s">
        <v>354</v>
      </c>
      <c r="AI664" s="6" t="str">
        <f t="shared" si="21"/>
        <v>No</v>
      </c>
      <c r="AJ664" s="6" t="s">
        <v>926</v>
      </c>
      <c r="AK664" s="6" t="s">
        <v>151</v>
      </c>
      <c r="AL664" s="6">
        <f>MATCH(AA664,{"Low","Medium","High"},0)*MATCH(AB664,{"Low","Medium","High"},0)*INDEX({3,2,2,1,1},MATCH(X664,{"Core","Vertical extension","Differentiator","Future","Adjacent"},0))</f>
        <v>4</v>
      </c>
      <c r="AM664" s="5"/>
      <c r="AN664" s="5"/>
      <c r="AO664" s="5"/>
      <c r="AP664" s="5"/>
      <c r="AQ664" s="5"/>
      <c r="AR664" s="5"/>
      <c r="AS664" s="5"/>
      <c r="AT664" s="5"/>
      <c r="AU664" s="6" t="s">
        <v>927</v>
      </c>
      <c r="AV664" s="6" t="s">
        <v>2161</v>
      </c>
      <c r="AW664" s="6" t="s">
        <v>55</v>
      </c>
      <c r="AX664" s="6" t="s">
        <v>929</v>
      </c>
      <c r="AY664" s="6" t="s">
        <v>930</v>
      </c>
      <c r="AZ664" s="6"/>
      <c r="BA664" s="6"/>
      <c r="BB664" s="6"/>
      <c r="BC664" s="6" t="s">
        <v>97</v>
      </c>
      <c r="BD664" s="6" t="s">
        <v>97</v>
      </c>
    </row>
    <row r="665" spans="1:56" ht="32" customHeight="1" x14ac:dyDescent="0.35">
      <c r="A665" s="13" t="s">
        <v>4860</v>
      </c>
      <c r="B665" s="6" t="s">
        <v>4787</v>
      </c>
      <c r="C665" s="5" t="s">
        <v>4821</v>
      </c>
      <c r="D665" s="5" t="s">
        <v>843</v>
      </c>
      <c r="E665" s="5" t="s">
        <v>4861</v>
      </c>
      <c r="F665" s="5" t="s">
        <v>1300</v>
      </c>
      <c r="G665" s="5" t="s">
        <v>2001</v>
      </c>
      <c r="H665" s="5" t="s">
        <v>4862</v>
      </c>
      <c r="I665" s="5" t="s">
        <v>4863</v>
      </c>
      <c r="J665" s="21" t="s">
        <v>158</v>
      </c>
      <c r="K665" s="17" t="s">
        <v>181</v>
      </c>
      <c r="L665" s="5" t="s">
        <v>4864</v>
      </c>
      <c r="M665" s="6" t="s">
        <v>198</v>
      </c>
      <c r="N665" s="6" t="s">
        <v>813</v>
      </c>
      <c r="O665" s="6" t="s">
        <v>151</v>
      </c>
      <c r="P665" s="5" t="s">
        <v>4283</v>
      </c>
      <c r="Q665" s="17" t="s">
        <v>182</v>
      </c>
      <c r="R665" s="5" t="s">
        <v>4283</v>
      </c>
      <c r="S665" s="6" t="s">
        <v>3845</v>
      </c>
      <c r="T665" s="5" t="s">
        <v>3846</v>
      </c>
      <c r="U665" s="6"/>
      <c r="V665" s="6" t="s">
        <v>921</v>
      </c>
      <c r="W665" s="6" t="s">
        <v>331</v>
      </c>
      <c r="X665" s="5" t="s">
        <v>4284</v>
      </c>
      <c r="Y665" s="5" t="s">
        <v>4385</v>
      </c>
      <c r="Z665" s="5" t="str">
        <f t="shared" si="20"/>
        <v>Low</v>
      </c>
      <c r="AA665" s="5" t="s">
        <v>924</v>
      </c>
      <c r="AB665" s="6" t="s">
        <v>924</v>
      </c>
      <c r="AC665" s="6" t="s">
        <v>11</v>
      </c>
      <c r="AD665" s="5" t="s">
        <v>925</v>
      </c>
      <c r="AE665" s="5" t="s">
        <v>354</v>
      </c>
      <c r="AF665" s="5" t="s">
        <v>354</v>
      </c>
      <c r="AG665" s="5" t="s">
        <v>354</v>
      </c>
      <c r="AH665" s="5" t="s">
        <v>354</v>
      </c>
      <c r="AI665" s="6" t="str">
        <f t="shared" si="21"/>
        <v>No</v>
      </c>
      <c r="AJ665" s="6" t="s">
        <v>926</v>
      </c>
      <c r="AK665" s="6" t="s">
        <v>158</v>
      </c>
      <c r="AL665" s="6">
        <f>MATCH(AA665,{"Low","Medium","High"},0)*MATCH(AB665,{"Low","Medium","High"},0)*INDEX({3,2,2,1,1},MATCH(X665,{"Core","Vertical extension","Differentiator","Future","Adjacent"},0))</f>
        <v>1</v>
      </c>
      <c r="AM665" s="5"/>
      <c r="AN665" s="5"/>
      <c r="AO665" s="5"/>
      <c r="AP665" s="5"/>
      <c r="AQ665" s="5"/>
      <c r="AR665" s="5"/>
      <c r="AS665" s="5"/>
      <c r="AT665" s="5"/>
      <c r="AU665" s="6" t="s">
        <v>927</v>
      </c>
      <c r="AV665" s="6" t="s">
        <v>2161</v>
      </c>
      <c r="AW665" s="6" t="s">
        <v>1306</v>
      </c>
      <c r="AX665" s="6" t="s">
        <v>4285</v>
      </c>
      <c r="AY665" s="6" t="s">
        <v>930</v>
      </c>
      <c r="AZ665" s="6"/>
      <c r="BA665" s="6"/>
      <c r="BB665" s="6"/>
      <c r="BC665" s="6" t="s">
        <v>97</v>
      </c>
      <c r="BD665" s="6" t="s">
        <v>97</v>
      </c>
    </row>
    <row r="666" spans="1:56" ht="32" customHeight="1" x14ac:dyDescent="0.35">
      <c r="A666" s="13" t="s">
        <v>4865</v>
      </c>
      <c r="B666" s="6" t="s">
        <v>4787</v>
      </c>
      <c r="C666" s="5" t="s">
        <v>4821</v>
      </c>
      <c r="D666" s="5" t="s">
        <v>840</v>
      </c>
      <c r="E666" s="5" t="s">
        <v>4866</v>
      </c>
      <c r="F666" s="5" t="s">
        <v>4823</v>
      </c>
      <c r="G666" s="5" t="s">
        <v>1017</v>
      </c>
      <c r="H666" s="5" t="s">
        <v>4867</v>
      </c>
      <c r="I666" s="5" t="s">
        <v>4868</v>
      </c>
      <c r="J666" s="17" t="s">
        <v>121</v>
      </c>
      <c r="K666" s="17" t="s">
        <v>181</v>
      </c>
      <c r="L666" s="5" t="s">
        <v>4869</v>
      </c>
      <c r="M666" s="6" t="s">
        <v>198</v>
      </c>
      <c r="N666" s="6" t="s">
        <v>813</v>
      </c>
      <c r="O666" s="6" t="s">
        <v>121</v>
      </c>
      <c r="P666" s="5" t="s">
        <v>918</v>
      </c>
      <c r="Q666" s="17" t="s">
        <v>182</v>
      </c>
      <c r="R666" s="5"/>
      <c r="S666" s="6" t="s">
        <v>1022</v>
      </c>
      <c r="T666" s="5" t="s">
        <v>1023</v>
      </c>
      <c r="U666" s="6"/>
      <c r="V666" s="6" t="s">
        <v>1024</v>
      </c>
      <c r="W666" s="6" t="s">
        <v>337</v>
      </c>
      <c r="X666" s="5" t="s">
        <v>4373</v>
      </c>
      <c r="Y666" s="5" t="s">
        <v>4385</v>
      </c>
      <c r="Z666" s="5" t="str">
        <f t="shared" si="20"/>
        <v>Medium</v>
      </c>
      <c r="AA666" s="5" t="s">
        <v>956</v>
      </c>
      <c r="AB666" s="6" t="s">
        <v>924</v>
      </c>
      <c r="AC666" s="6" t="s">
        <v>11</v>
      </c>
      <c r="AD666" s="5" t="s">
        <v>925</v>
      </c>
      <c r="AE666" s="5" t="s">
        <v>354</v>
      </c>
      <c r="AF666" s="5" t="s">
        <v>354</v>
      </c>
      <c r="AG666" s="5" t="s">
        <v>354</v>
      </c>
      <c r="AH666" s="5" t="s">
        <v>354</v>
      </c>
      <c r="AI666" s="6" t="str">
        <f t="shared" si="21"/>
        <v>No</v>
      </c>
      <c r="AJ666" s="6" t="s">
        <v>926</v>
      </c>
      <c r="AK666" s="6" t="s">
        <v>151</v>
      </c>
      <c r="AL666" s="6">
        <f>MATCH(AA666,{"Low","Medium","High"},0)*MATCH(AB666,{"Low","Medium","High"},0)*INDEX({3,2,2,1,1},MATCH(X666,{"Core","Vertical extension","Differentiator","Future","Adjacent"},0))</f>
        <v>4</v>
      </c>
      <c r="AM666" s="5"/>
      <c r="AN666" s="5"/>
      <c r="AO666" s="5"/>
      <c r="AP666" s="5"/>
      <c r="AQ666" s="5"/>
      <c r="AR666" s="5"/>
      <c r="AS666" s="5"/>
      <c r="AT666" s="5"/>
      <c r="AU666" s="6" t="s">
        <v>927</v>
      </c>
      <c r="AV666" s="6" t="s">
        <v>2161</v>
      </c>
      <c r="AW666" s="6" t="s">
        <v>2161</v>
      </c>
      <c r="AX666" s="6" t="s">
        <v>929</v>
      </c>
      <c r="AY666" s="6" t="s">
        <v>930</v>
      </c>
      <c r="AZ666" s="6"/>
      <c r="BA666" s="6"/>
      <c r="BB666" s="6"/>
      <c r="BC666" s="6" t="s">
        <v>97</v>
      </c>
      <c r="BD666" s="6" t="s">
        <v>97</v>
      </c>
    </row>
    <row r="667" spans="1:56" ht="32" customHeight="1" x14ac:dyDescent="0.35">
      <c r="A667" s="13" t="s">
        <v>4870</v>
      </c>
      <c r="B667" s="6" t="s">
        <v>4871</v>
      </c>
      <c r="C667" s="5" t="s">
        <v>4872</v>
      </c>
      <c r="D667" s="5" t="s">
        <v>827</v>
      </c>
      <c r="E667" s="5" t="s">
        <v>4873</v>
      </c>
      <c r="F667" s="5" t="s">
        <v>4874</v>
      </c>
      <c r="G667" s="5" t="s">
        <v>951</v>
      </c>
      <c r="H667" s="5" t="s">
        <v>4875</v>
      </c>
      <c r="I667" s="5" t="s">
        <v>4876</v>
      </c>
      <c r="J667" s="16" t="s">
        <v>73</v>
      </c>
      <c r="K667" s="17" t="s">
        <v>181</v>
      </c>
      <c r="L667" s="5" t="s">
        <v>4877</v>
      </c>
      <c r="M667" s="6" t="s">
        <v>198</v>
      </c>
      <c r="N667" s="6" t="s">
        <v>813</v>
      </c>
      <c r="O667" s="6" t="s">
        <v>73</v>
      </c>
      <c r="P667" s="5" t="s">
        <v>918</v>
      </c>
      <c r="Q667" s="17" t="s">
        <v>182</v>
      </c>
      <c r="R667" s="5"/>
      <c r="S667" s="6" t="s">
        <v>1030</v>
      </c>
      <c r="T667" s="5" t="s">
        <v>827</v>
      </c>
      <c r="U667" s="6"/>
      <c r="V667" s="6" t="s">
        <v>1031</v>
      </c>
      <c r="W667" s="6" t="s">
        <v>333</v>
      </c>
      <c r="X667" s="5" t="s">
        <v>4878</v>
      </c>
      <c r="Y667" s="5" t="s">
        <v>4385</v>
      </c>
      <c r="Z667" s="5" t="str">
        <f t="shared" si="20"/>
        <v>Medium</v>
      </c>
      <c r="AA667" s="5" t="s">
        <v>923</v>
      </c>
      <c r="AB667" s="6" t="s">
        <v>956</v>
      </c>
      <c r="AC667" s="6" t="s">
        <v>78</v>
      </c>
      <c r="AD667" s="5" t="s">
        <v>925</v>
      </c>
      <c r="AE667" s="5" t="s">
        <v>354</v>
      </c>
      <c r="AF667" s="5" t="s">
        <v>354</v>
      </c>
      <c r="AG667" s="5" t="s">
        <v>354</v>
      </c>
      <c r="AH667" s="5" t="s">
        <v>354</v>
      </c>
      <c r="AI667" s="6" t="str">
        <f t="shared" si="21"/>
        <v>No</v>
      </c>
      <c r="AJ667" s="6" t="s">
        <v>926</v>
      </c>
      <c r="AK667" s="6" t="s">
        <v>73</v>
      </c>
      <c r="AL667" s="6">
        <f>MATCH(AA667,{"Low","Medium","High"},0)*MATCH(AB667,{"Low","Medium","High"},0)*INDEX({3,2,2,1,1},MATCH(X667,{"Core","Vertical extension","Differentiator","Future","Adjacent"},0))</f>
        <v>6</v>
      </c>
      <c r="AM667" s="5"/>
      <c r="AN667" s="5"/>
      <c r="AO667" s="5"/>
      <c r="AP667" s="5"/>
      <c r="AQ667" s="5"/>
      <c r="AR667" s="5"/>
      <c r="AS667" s="5"/>
      <c r="AT667" s="5"/>
      <c r="AU667" s="6" t="s">
        <v>927</v>
      </c>
      <c r="AV667" s="6" t="s">
        <v>1390</v>
      </c>
      <c r="AW667" s="6" t="s">
        <v>928</v>
      </c>
      <c r="AX667" s="6" t="s">
        <v>929</v>
      </c>
      <c r="AY667" s="6" t="s">
        <v>1032</v>
      </c>
      <c r="AZ667" s="6"/>
      <c r="BA667" s="6" t="s">
        <v>1602</v>
      </c>
      <c r="BB667" s="6" t="s">
        <v>1603</v>
      </c>
      <c r="BC667" s="6" t="s">
        <v>97</v>
      </c>
      <c r="BD667" s="6" t="s">
        <v>97</v>
      </c>
    </row>
    <row r="668" spans="1:56" ht="32" customHeight="1" x14ac:dyDescent="0.35">
      <c r="A668" s="13" t="s">
        <v>4879</v>
      </c>
      <c r="B668" s="6" t="s">
        <v>4871</v>
      </c>
      <c r="C668" s="5" t="s">
        <v>4872</v>
      </c>
      <c r="D668" s="5" t="s">
        <v>838</v>
      </c>
      <c r="E668" s="5" t="s">
        <v>4880</v>
      </c>
      <c r="F668" s="5" t="s">
        <v>4881</v>
      </c>
      <c r="G668" s="5" t="s">
        <v>951</v>
      </c>
      <c r="H668" s="5" t="s">
        <v>4882</v>
      </c>
      <c r="I668" s="5" t="s">
        <v>4883</v>
      </c>
      <c r="J668" s="17" t="s">
        <v>121</v>
      </c>
      <c r="K668" s="17" t="s">
        <v>181</v>
      </c>
      <c r="L668" s="5" t="s">
        <v>4884</v>
      </c>
      <c r="M668" s="6" t="s">
        <v>198</v>
      </c>
      <c r="N668" s="6" t="s">
        <v>813</v>
      </c>
      <c r="O668" s="6" t="s">
        <v>121</v>
      </c>
      <c r="P668" s="5" t="s">
        <v>918</v>
      </c>
      <c r="Q668" s="17" t="s">
        <v>182</v>
      </c>
      <c r="R668" s="5"/>
      <c r="S668" s="6" t="s">
        <v>990</v>
      </c>
      <c r="T668" s="5" t="s">
        <v>991</v>
      </c>
      <c r="U668" s="6"/>
      <c r="V668" s="6" t="s">
        <v>992</v>
      </c>
      <c r="W668" s="6" t="s">
        <v>337</v>
      </c>
      <c r="X668" s="5" t="s">
        <v>4878</v>
      </c>
      <c r="Y668" s="5" t="s">
        <v>4385</v>
      </c>
      <c r="Z668" s="5" t="str">
        <f t="shared" si="20"/>
        <v>Low</v>
      </c>
      <c r="AA668" s="5" t="s">
        <v>956</v>
      </c>
      <c r="AB668" s="6" t="s">
        <v>924</v>
      </c>
      <c r="AC668" s="6" t="s">
        <v>11</v>
      </c>
      <c r="AD668" s="5" t="s">
        <v>925</v>
      </c>
      <c r="AE668" s="5" t="s">
        <v>354</v>
      </c>
      <c r="AF668" s="5" t="s">
        <v>354</v>
      </c>
      <c r="AG668" s="5" t="s">
        <v>354</v>
      </c>
      <c r="AH668" s="5" t="s">
        <v>354</v>
      </c>
      <c r="AI668" s="6" t="str">
        <f t="shared" si="21"/>
        <v>No</v>
      </c>
      <c r="AJ668" s="6" t="s">
        <v>926</v>
      </c>
      <c r="AK668" s="6" t="s">
        <v>151</v>
      </c>
      <c r="AL668" s="6">
        <f>MATCH(AA668,{"Low","Medium","High"},0)*MATCH(AB668,{"Low","Medium","High"},0)*INDEX({3,2,2,1,1},MATCH(X668,{"Core","Vertical extension","Differentiator","Future","Adjacent"},0))</f>
        <v>2</v>
      </c>
      <c r="AM668" s="5"/>
      <c r="AN668" s="5"/>
      <c r="AO668" s="5"/>
      <c r="AP668" s="5"/>
      <c r="AQ668" s="5"/>
      <c r="AR668" s="5"/>
      <c r="AS668" s="5"/>
      <c r="AT668" s="5"/>
      <c r="AU668" s="6" t="s">
        <v>927</v>
      </c>
      <c r="AV668" s="6" t="s">
        <v>1390</v>
      </c>
      <c r="AW668" s="6" t="s">
        <v>1322</v>
      </c>
      <c r="AX668" s="6" t="s">
        <v>929</v>
      </c>
      <c r="AY668" s="6" t="s">
        <v>930</v>
      </c>
      <c r="AZ668" s="6"/>
      <c r="BA668" s="6"/>
      <c r="BB668" s="6"/>
      <c r="BC668" s="6" t="s">
        <v>97</v>
      </c>
      <c r="BD668" s="6" t="s">
        <v>97</v>
      </c>
    </row>
    <row r="669" spans="1:56" ht="32" customHeight="1" x14ac:dyDescent="0.35">
      <c r="A669" s="13" t="s">
        <v>4885</v>
      </c>
      <c r="B669" s="6" t="s">
        <v>4871</v>
      </c>
      <c r="C669" s="5" t="s">
        <v>4872</v>
      </c>
      <c r="D669" s="5" t="s">
        <v>827</v>
      </c>
      <c r="E669" s="5" t="s">
        <v>4886</v>
      </c>
      <c r="F669" s="5" t="s">
        <v>4887</v>
      </c>
      <c r="G669" s="5" t="s">
        <v>3429</v>
      </c>
      <c r="H669" s="5" t="s">
        <v>4888</v>
      </c>
      <c r="I669" s="5" t="s">
        <v>4889</v>
      </c>
      <c r="J669" s="16" t="s">
        <v>73</v>
      </c>
      <c r="K669" s="17" t="s">
        <v>181</v>
      </c>
      <c r="L669" s="5" t="s">
        <v>4890</v>
      </c>
      <c r="M669" s="6" t="s">
        <v>198</v>
      </c>
      <c r="N669" s="6" t="s">
        <v>813</v>
      </c>
      <c r="O669" s="6" t="s">
        <v>73</v>
      </c>
      <c r="P669" s="5" t="s">
        <v>918</v>
      </c>
      <c r="Q669" s="17" t="s">
        <v>182</v>
      </c>
      <c r="R669" s="5"/>
      <c r="S669" s="6" t="s">
        <v>1030</v>
      </c>
      <c r="T669" s="5" t="s">
        <v>827</v>
      </c>
      <c r="U669" s="6"/>
      <c r="V669" s="6" t="s">
        <v>1031</v>
      </c>
      <c r="W669" s="6" t="s">
        <v>333</v>
      </c>
      <c r="X669" s="5" t="s">
        <v>4878</v>
      </c>
      <c r="Y669" s="5" t="s">
        <v>4385</v>
      </c>
      <c r="Z669" s="5" t="str">
        <f t="shared" si="20"/>
        <v>Medium</v>
      </c>
      <c r="AA669" s="5" t="s">
        <v>923</v>
      </c>
      <c r="AB669" s="6" t="s">
        <v>956</v>
      </c>
      <c r="AC669" s="6" t="s">
        <v>78</v>
      </c>
      <c r="AD669" s="5" t="s">
        <v>925</v>
      </c>
      <c r="AE669" s="5" t="s">
        <v>354</v>
      </c>
      <c r="AF669" s="5" t="s">
        <v>354</v>
      </c>
      <c r="AG669" s="5" t="s">
        <v>354</v>
      </c>
      <c r="AH669" s="5" t="s">
        <v>354</v>
      </c>
      <c r="AI669" s="6" t="str">
        <f t="shared" si="21"/>
        <v>No</v>
      </c>
      <c r="AJ669" s="6" t="s">
        <v>926</v>
      </c>
      <c r="AK669" s="6" t="s">
        <v>73</v>
      </c>
      <c r="AL669" s="6">
        <f>MATCH(AA669,{"Low","Medium","High"},0)*MATCH(AB669,{"Low","Medium","High"},0)*INDEX({3,2,2,1,1},MATCH(X669,{"Core","Vertical extension","Differentiator","Future","Adjacent"},0))</f>
        <v>6</v>
      </c>
      <c r="AM669" s="5"/>
      <c r="AN669" s="5"/>
      <c r="AO669" s="5"/>
      <c r="AP669" s="5"/>
      <c r="AQ669" s="5"/>
      <c r="AR669" s="5"/>
      <c r="AS669" s="5"/>
      <c r="AT669" s="5"/>
      <c r="AU669" s="6" t="s">
        <v>927</v>
      </c>
      <c r="AV669" s="6" t="s">
        <v>1390</v>
      </c>
      <c r="AW669" s="6" t="s">
        <v>2161</v>
      </c>
      <c r="AX669" s="6" t="s">
        <v>929</v>
      </c>
      <c r="AY669" s="6" t="s">
        <v>1032</v>
      </c>
      <c r="AZ669" s="6"/>
      <c r="BA669" s="6"/>
      <c r="BB669" s="6"/>
      <c r="BC669" s="6" t="s">
        <v>97</v>
      </c>
      <c r="BD669" s="6" t="s">
        <v>97</v>
      </c>
    </row>
    <row r="670" spans="1:56" ht="32" customHeight="1" x14ac:dyDescent="0.35">
      <c r="A670" s="13" t="s">
        <v>4891</v>
      </c>
      <c r="B670" s="6" t="s">
        <v>4871</v>
      </c>
      <c r="C670" s="5" t="s">
        <v>4872</v>
      </c>
      <c r="D670" s="5" t="s">
        <v>837</v>
      </c>
      <c r="E670" s="5" t="s">
        <v>4892</v>
      </c>
      <c r="F670" s="5" t="s">
        <v>3386</v>
      </c>
      <c r="G670" s="5" t="s">
        <v>1322</v>
      </c>
      <c r="H670" s="5" t="s">
        <v>4893</v>
      </c>
      <c r="I670" s="5" t="s">
        <v>4894</v>
      </c>
      <c r="J670" s="16" t="s">
        <v>73</v>
      </c>
      <c r="K670" s="17" t="s">
        <v>181</v>
      </c>
      <c r="L670" s="5" t="s">
        <v>4895</v>
      </c>
      <c r="M670" s="6" t="s">
        <v>198</v>
      </c>
      <c r="N670" s="6" t="s">
        <v>813</v>
      </c>
      <c r="O670" s="6" t="s">
        <v>73</v>
      </c>
      <c r="P670" s="5" t="s">
        <v>918</v>
      </c>
      <c r="Q670" s="17" t="s">
        <v>182</v>
      </c>
      <c r="R670" s="5"/>
      <c r="S670" s="6" t="s">
        <v>937</v>
      </c>
      <c r="T670" s="5" t="s">
        <v>938</v>
      </c>
      <c r="U670" s="6"/>
      <c r="V670" s="6" t="s">
        <v>939</v>
      </c>
      <c r="W670" s="6" t="s">
        <v>331</v>
      </c>
      <c r="X670" s="5" t="s">
        <v>4878</v>
      </c>
      <c r="Y670" s="5" t="s">
        <v>4385</v>
      </c>
      <c r="Z670" s="5" t="str">
        <f t="shared" si="20"/>
        <v>Low</v>
      </c>
      <c r="AA670" s="5" t="s">
        <v>923</v>
      </c>
      <c r="AB670" s="6" t="s">
        <v>924</v>
      </c>
      <c r="AC670" s="6" t="s">
        <v>78</v>
      </c>
      <c r="AD670" s="5" t="s">
        <v>925</v>
      </c>
      <c r="AE670" s="5" t="s">
        <v>354</v>
      </c>
      <c r="AF670" s="5" t="s">
        <v>354</v>
      </c>
      <c r="AG670" s="5" t="s">
        <v>354</v>
      </c>
      <c r="AH670" s="5" t="s">
        <v>354</v>
      </c>
      <c r="AI670" s="6" t="str">
        <f t="shared" si="21"/>
        <v>No</v>
      </c>
      <c r="AJ670" s="6" t="s">
        <v>926</v>
      </c>
      <c r="AK670" s="6" t="s">
        <v>73</v>
      </c>
      <c r="AL670" s="6">
        <f>MATCH(AA670,{"Low","Medium","High"},0)*MATCH(AB670,{"Low","Medium","High"},0)*INDEX({3,2,2,1,1},MATCH(X670,{"Core","Vertical extension","Differentiator","Future","Adjacent"},0))</f>
        <v>3</v>
      </c>
      <c r="AM670" s="5"/>
      <c r="AN670" s="5"/>
      <c r="AO670" s="5"/>
      <c r="AP670" s="5"/>
      <c r="AQ670" s="5"/>
      <c r="AR670" s="5"/>
      <c r="AS670" s="5"/>
      <c r="AT670" s="5"/>
      <c r="AU670" s="6" t="s">
        <v>927</v>
      </c>
      <c r="AV670" s="6" t="s">
        <v>1390</v>
      </c>
      <c r="AW670" s="6" t="s">
        <v>2161</v>
      </c>
      <c r="AX670" s="6" t="s">
        <v>929</v>
      </c>
      <c r="AY670" s="6" t="s">
        <v>930</v>
      </c>
      <c r="AZ670" s="6"/>
      <c r="BA670" s="6"/>
      <c r="BB670" s="6"/>
      <c r="BC670" s="6" t="s">
        <v>97</v>
      </c>
      <c r="BD670" s="6" t="s">
        <v>97</v>
      </c>
    </row>
    <row r="671" spans="1:56" ht="32" customHeight="1" x14ac:dyDescent="0.35">
      <c r="A671" s="13" t="s">
        <v>4896</v>
      </c>
      <c r="B671" s="6" t="s">
        <v>4871</v>
      </c>
      <c r="C671" s="5" t="s">
        <v>4872</v>
      </c>
      <c r="D671" s="5" t="s">
        <v>827</v>
      </c>
      <c r="E671" s="5" t="s">
        <v>4897</v>
      </c>
      <c r="F671" s="5" t="s">
        <v>4887</v>
      </c>
      <c r="G671" s="5" t="s">
        <v>1322</v>
      </c>
      <c r="H671" s="5" t="s">
        <v>4898</v>
      </c>
      <c r="I671" s="5" t="s">
        <v>4899</v>
      </c>
      <c r="J671" s="17" t="s">
        <v>121</v>
      </c>
      <c r="K671" s="17" t="s">
        <v>181</v>
      </c>
      <c r="L671" s="5" t="s">
        <v>4900</v>
      </c>
      <c r="M671" s="6" t="s">
        <v>198</v>
      </c>
      <c r="N671" s="6" t="s">
        <v>813</v>
      </c>
      <c r="O671" s="6" t="s">
        <v>121</v>
      </c>
      <c r="P671" s="5" t="s">
        <v>918</v>
      </c>
      <c r="Q671" s="17" t="s">
        <v>182</v>
      </c>
      <c r="R671" s="5"/>
      <c r="S671" s="6" t="s">
        <v>1030</v>
      </c>
      <c r="T671" s="5" t="s">
        <v>827</v>
      </c>
      <c r="U671" s="6"/>
      <c r="V671" s="6" t="s">
        <v>1031</v>
      </c>
      <c r="W671" s="6" t="s">
        <v>333</v>
      </c>
      <c r="X671" s="5" t="s">
        <v>4878</v>
      </c>
      <c r="Y671" s="5" t="s">
        <v>4385</v>
      </c>
      <c r="Z671" s="5" t="str">
        <f t="shared" si="20"/>
        <v>Medium</v>
      </c>
      <c r="AA671" s="5" t="s">
        <v>956</v>
      </c>
      <c r="AB671" s="6" t="s">
        <v>956</v>
      </c>
      <c r="AC671" s="6" t="s">
        <v>11</v>
      </c>
      <c r="AD671" s="5" t="s">
        <v>925</v>
      </c>
      <c r="AE671" s="5" t="s">
        <v>354</v>
      </c>
      <c r="AF671" s="5" t="s">
        <v>354</v>
      </c>
      <c r="AG671" s="5" t="s">
        <v>354</v>
      </c>
      <c r="AH671" s="5" t="s">
        <v>354</v>
      </c>
      <c r="AI671" s="6" t="str">
        <f t="shared" si="21"/>
        <v>No</v>
      </c>
      <c r="AJ671" s="6" t="s">
        <v>926</v>
      </c>
      <c r="AK671" s="6" t="s">
        <v>151</v>
      </c>
      <c r="AL671" s="6">
        <f>MATCH(AA671,{"Low","Medium","High"},0)*MATCH(AB671,{"Low","Medium","High"},0)*INDEX({3,2,2,1,1},MATCH(X671,{"Core","Vertical extension","Differentiator","Future","Adjacent"},0))</f>
        <v>4</v>
      </c>
      <c r="AM671" s="5"/>
      <c r="AN671" s="5"/>
      <c r="AO671" s="5"/>
      <c r="AP671" s="5"/>
      <c r="AQ671" s="5"/>
      <c r="AR671" s="5"/>
      <c r="AS671" s="5"/>
      <c r="AT671" s="5"/>
      <c r="AU671" s="6" t="s">
        <v>927</v>
      </c>
      <c r="AV671" s="6" t="s">
        <v>1390</v>
      </c>
      <c r="AW671" s="6" t="s">
        <v>2161</v>
      </c>
      <c r="AX671" s="6" t="s">
        <v>929</v>
      </c>
      <c r="AY671" s="6" t="s">
        <v>1032</v>
      </c>
      <c r="AZ671" s="6"/>
      <c r="BA671" s="6"/>
      <c r="BB671" s="6"/>
      <c r="BC671" s="6" t="s">
        <v>97</v>
      </c>
      <c r="BD671" s="6" t="s">
        <v>97</v>
      </c>
    </row>
    <row r="672" spans="1:56" ht="32" customHeight="1" x14ac:dyDescent="0.35">
      <c r="A672" s="13" t="s">
        <v>4901</v>
      </c>
      <c r="B672" s="6" t="s">
        <v>4871</v>
      </c>
      <c r="C672" s="5" t="s">
        <v>4872</v>
      </c>
      <c r="D672" s="5" t="s">
        <v>838</v>
      </c>
      <c r="E672" s="5" t="s">
        <v>4902</v>
      </c>
      <c r="F672" s="5" t="s">
        <v>1596</v>
      </c>
      <c r="G672" s="5" t="s">
        <v>1322</v>
      </c>
      <c r="H672" s="5" t="s">
        <v>4903</v>
      </c>
      <c r="I672" s="5" t="s">
        <v>4904</v>
      </c>
      <c r="J672" s="17" t="s">
        <v>121</v>
      </c>
      <c r="K672" s="17" t="s">
        <v>181</v>
      </c>
      <c r="L672" s="5" t="s">
        <v>4905</v>
      </c>
      <c r="M672" s="6" t="s">
        <v>198</v>
      </c>
      <c r="N672" s="6" t="s">
        <v>813</v>
      </c>
      <c r="O672" s="6" t="s">
        <v>121</v>
      </c>
      <c r="P672" s="5" t="s">
        <v>918</v>
      </c>
      <c r="Q672" s="17" t="s">
        <v>182</v>
      </c>
      <c r="R672" s="5"/>
      <c r="S672" s="6" t="s">
        <v>990</v>
      </c>
      <c r="T672" s="5" t="s">
        <v>991</v>
      </c>
      <c r="U672" s="6"/>
      <c r="V672" s="6" t="s">
        <v>992</v>
      </c>
      <c r="W672" s="6" t="s">
        <v>337</v>
      </c>
      <c r="X672" s="5" t="s">
        <v>4878</v>
      </c>
      <c r="Y672" s="5" t="s">
        <v>4385</v>
      </c>
      <c r="Z672" s="5" t="str">
        <f t="shared" si="20"/>
        <v>Low</v>
      </c>
      <c r="AA672" s="5" t="s">
        <v>956</v>
      </c>
      <c r="AB672" s="6" t="s">
        <v>924</v>
      </c>
      <c r="AC672" s="6" t="s">
        <v>11</v>
      </c>
      <c r="AD672" s="5" t="s">
        <v>925</v>
      </c>
      <c r="AE672" s="5" t="s">
        <v>354</v>
      </c>
      <c r="AF672" s="5" t="s">
        <v>354</v>
      </c>
      <c r="AG672" s="5" t="s">
        <v>354</v>
      </c>
      <c r="AH672" s="5" t="s">
        <v>354</v>
      </c>
      <c r="AI672" s="6" t="str">
        <f t="shared" si="21"/>
        <v>No</v>
      </c>
      <c r="AJ672" s="6" t="s">
        <v>926</v>
      </c>
      <c r="AK672" s="6" t="s">
        <v>151</v>
      </c>
      <c r="AL672" s="6">
        <f>MATCH(AA672,{"Low","Medium","High"},0)*MATCH(AB672,{"Low","Medium","High"},0)*INDEX({3,2,2,1,1},MATCH(X672,{"Core","Vertical extension","Differentiator","Future","Adjacent"},0))</f>
        <v>2</v>
      </c>
      <c r="AM672" s="5"/>
      <c r="AN672" s="5"/>
      <c r="AO672" s="5"/>
      <c r="AP672" s="5"/>
      <c r="AQ672" s="5"/>
      <c r="AR672" s="5"/>
      <c r="AS672" s="5"/>
      <c r="AT672" s="5"/>
      <c r="AU672" s="6" t="s">
        <v>927</v>
      </c>
      <c r="AV672" s="6" t="s">
        <v>1390</v>
      </c>
      <c r="AW672" s="6" t="s">
        <v>1390</v>
      </c>
      <c r="AX672" s="6" t="s">
        <v>929</v>
      </c>
      <c r="AY672" s="6" t="s">
        <v>930</v>
      </c>
      <c r="AZ672" s="6"/>
      <c r="BA672" s="6"/>
      <c r="BB672" s="6"/>
      <c r="BC672" s="6" t="s">
        <v>97</v>
      </c>
      <c r="BD672" s="6" t="s">
        <v>97</v>
      </c>
    </row>
    <row r="673" spans="1:56" ht="32" customHeight="1" x14ac:dyDescent="0.35">
      <c r="A673" s="13" t="s">
        <v>4906</v>
      </c>
      <c r="B673" s="6" t="s">
        <v>4871</v>
      </c>
      <c r="C673" s="5" t="s">
        <v>4872</v>
      </c>
      <c r="D673" s="5" t="s">
        <v>836</v>
      </c>
      <c r="E673" s="5" t="s">
        <v>4907</v>
      </c>
      <c r="F673" s="5" t="s">
        <v>1322</v>
      </c>
      <c r="G673" s="5" t="s">
        <v>951</v>
      </c>
      <c r="H673" s="5" t="s">
        <v>4908</v>
      </c>
      <c r="I673" s="5" t="s">
        <v>4909</v>
      </c>
      <c r="J673" s="17" t="s">
        <v>121</v>
      </c>
      <c r="K673" s="17" t="s">
        <v>181</v>
      </c>
      <c r="L673" s="5" t="s">
        <v>4910</v>
      </c>
      <c r="M673" s="6" t="s">
        <v>198</v>
      </c>
      <c r="N673" s="6" t="s">
        <v>813</v>
      </c>
      <c r="O673" s="6" t="s">
        <v>121</v>
      </c>
      <c r="P673" s="5" t="s">
        <v>918</v>
      </c>
      <c r="Q673" s="17" t="s">
        <v>182</v>
      </c>
      <c r="R673" s="5"/>
      <c r="S673" s="6" t="s">
        <v>1061</v>
      </c>
      <c r="T673" s="5" t="s">
        <v>1062</v>
      </c>
      <c r="U673" s="6"/>
      <c r="V673" s="6" t="s">
        <v>1055</v>
      </c>
      <c r="W673" s="6" t="s">
        <v>333</v>
      </c>
      <c r="X673" s="5" t="s">
        <v>4878</v>
      </c>
      <c r="Y673" s="5" t="s">
        <v>4385</v>
      </c>
      <c r="Z673" s="5" t="str">
        <f t="shared" si="20"/>
        <v>Low</v>
      </c>
      <c r="AA673" s="5" t="s">
        <v>956</v>
      </c>
      <c r="AB673" s="6" t="s">
        <v>924</v>
      </c>
      <c r="AC673" s="6" t="s">
        <v>11</v>
      </c>
      <c r="AD673" s="5" t="s">
        <v>925</v>
      </c>
      <c r="AE673" s="5" t="s">
        <v>354</v>
      </c>
      <c r="AF673" s="5" t="s">
        <v>354</v>
      </c>
      <c r="AG673" s="5" t="s">
        <v>354</v>
      </c>
      <c r="AH673" s="5" t="s">
        <v>354</v>
      </c>
      <c r="AI673" s="6" t="str">
        <f t="shared" si="21"/>
        <v>No</v>
      </c>
      <c r="AJ673" s="6" t="s">
        <v>926</v>
      </c>
      <c r="AK673" s="6" t="s">
        <v>151</v>
      </c>
      <c r="AL673" s="6">
        <f>MATCH(AA673,{"Low","Medium","High"},0)*MATCH(AB673,{"Low","Medium","High"},0)*INDEX({3,2,2,1,1},MATCH(X673,{"Core","Vertical extension","Differentiator","Future","Adjacent"},0))</f>
        <v>2</v>
      </c>
      <c r="AM673" s="5"/>
      <c r="AN673" s="5"/>
      <c r="AO673" s="5"/>
      <c r="AP673" s="5"/>
      <c r="AQ673" s="5"/>
      <c r="AR673" s="5"/>
      <c r="AS673" s="5"/>
      <c r="AT673" s="5"/>
      <c r="AU673" s="6" t="s">
        <v>927</v>
      </c>
      <c r="AV673" s="6" t="s">
        <v>1390</v>
      </c>
      <c r="AW673" s="6" t="s">
        <v>1322</v>
      </c>
      <c r="AX673" s="6" t="s">
        <v>929</v>
      </c>
      <c r="AY673" s="6" t="s">
        <v>930</v>
      </c>
      <c r="AZ673" s="6"/>
      <c r="BA673" s="6"/>
      <c r="BB673" s="6"/>
      <c r="BC673" s="6" t="s">
        <v>97</v>
      </c>
      <c r="BD673" s="6" t="s">
        <v>97</v>
      </c>
    </row>
    <row r="674" spans="1:56" ht="32" customHeight="1" x14ac:dyDescent="0.35">
      <c r="A674" s="13" t="s">
        <v>4911</v>
      </c>
      <c r="B674" s="6" t="s">
        <v>4871</v>
      </c>
      <c r="C674" s="5" t="s">
        <v>4872</v>
      </c>
      <c r="D674" s="5" t="s">
        <v>827</v>
      </c>
      <c r="E674" s="5" t="s">
        <v>4912</v>
      </c>
      <c r="F674" s="5" t="s">
        <v>1596</v>
      </c>
      <c r="G674" s="5" t="s">
        <v>1322</v>
      </c>
      <c r="H674" s="5" t="s">
        <v>4913</v>
      </c>
      <c r="I674" s="5" t="s">
        <v>4914</v>
      </c>
      <c r="J674" s="17" t="s">
        <v>121</v>
      </c>
      <c r="K674" s="17" t="s">
        <v>181</v>
      </c>
      <c r="L674" s="5" t="s">
        <v>4915</v>
      </c>
      <c r="M674" s="6" t="s">
        <v>198</v>
      </c>
      <c r="N674" s="6" t="s">
        <v>813</v>
      </c>
      <c r="O674" s="6" t="s">
        <v>121</v>
      </c>
      <c r="P674" s="5" t="s">
        <v>918</v>
      </c>
      <c r="Q674" s="17" t="s">
        <v>182</v>
      </c>
      <c r="R674" s="5"/>
      <c r="S674" s="6" t="s">
        <v>1030</v>
      </c>
      <c r="T674" s="5" t="s">
        <v>827</v>
      </c>
      <c r="U674" s="6"/>
      <c r="V674" s="6" t="s">
        <v>1031</v>
      </c>
      <c r="W674" s="6" t="s">
        <v>333</v>
      </c>
      <c r="X674" s="5" t="s">
        <v>4878</v>
      </c>
      <c r="Y674" s="5" t="s">
        <v>4385</v>
      </c>
      <c r="Z674" s="5" t="str">
        <f t="shared" si="20"/>
        <v>Medium</v>
      </c>
      <c r="AA674" s="5" t="s">
        <v>956</v>
      </c>
      <c r="AB674" s="6" t="s">
        <v>956</v>
      </c>
      <c r="AC674" s="6" t="s">
        <v>11</v>
      </c>
      <c r="AD674" s="5" t="s">
        <v>925</v>
      </c>
      <c r="AE674" s="5" t="s">
        <v>354</v>
      </c>
      <c r="AF674" s="5" t="s">
        <v>354</v>
      </c>
      <c r="AG674" s="5" t="s">
        <v>354</v>
      </c>
      <c r="AH674" s="5" t="s">
        <v>354</v>
      </c>
      <c r="AI674" s="6" t="str">
        <f t="shared" si="21"/>
        <v>No</v>
      </c>
      <c r="AJ674" s="6" t="s">
        <v>926</v>
      </c>
      <c r="AK674" s="6" t="s">
        <v>151</v>
      </c>
      <c r="AL674" s="6">
        <f>MATCH(AA674,{"Low","Medium","High"},0)*MATCH(AB674,{"Low","Medium","High"},0)*INDEX({3,2,2,1,1},MATCH(X674,{"Core","Vertical extension","Differentiator","Future","Adjacent"},0))</f>
        <v>4</v>
      </c>
      <c r="AM674" s="5"/>
      <c r="AN674" s="5"/>
      <c r="AO674" s="5"/>
      <c r="AP674" s="5"/>
      <c r="AQ674" s="5"/>
      <c r="AR674" s="5"/>
      <c r="AS674" s="5"/>
      <c r="AT674" s="5"/>
      <c r="AU674" s="6" t="s">
        <v>927</v>
      </c>
      <c r="AV674" s="6" t="s">
        <v>1390</v>
      </c>
      <c r="AW674" s="6" t="s">
        <v>1390</v>
      </c>
      <c r="AX674" s="6" t="s">
        <v>929</v>
      </c>
      <c r="AY674" s="6" t="s">
        <v>1032</v>
      </c>
      <c r="AZ674" s="6"/>
      <c r="BA674" s="6"/>
      <c r="BB674" s="6"/>
      <c r="BC674" s="6" t="s">
        <v>97</v>
      </c>
      <c r="BD674" s="6" t="s">
        <v>97</v>
      </c>
    </row>
    <row r="675" spans="1:56" ht="32" customHeight="1" x14ac:dyDescent="0.35">
      <c r="A675" s="13" t="s">
        <v>4916</v>
      </c>
      <c r="B675" s="6" t="s">
        <v>4871</v>
      </c>
      <c r="C675" s="5" t="s">
        <v>4872</v>
      </c>
      <c r="D675" s="5" t="s">
        <v>838</v>
      </c>
      <c r="E675" s="5" t="s">
        <v>4917</v>
      </c>
      <c r="F675" s="5" t="s">
        <v>4918</v>
      </c>
      <c r="G675" s="5" t="s">
        <v>951</v>
      </c>
      <c r="H675" s="5" t="s">
        <v>4919</v>
      </c>
      <c r="I675" s="5" t="s">
        <v>4920</v>
      </c>
      <c r="J675" s="21" t="s">
        <v>158</v>
      </c>
      <c r="K675" s="17" t="s">
        <v>181</v>
      </c>
      <c r="L675" s="5" t="s">
        <v>4921</v>
      </c>
      <c r="M675" s="6" t="s">
        <v>198</v>
      </c>
      <c r="N675" s="6" t="s">
        <v>813</v>
      </c>
      <c r="O675" s="6" t="s">
        <v>151</v>
      </c>
      <c r="P675" s="5" t="s">
        <v>4283</v>
      </c>
      <c r="Q675" s="17" t="s">
        <v>182</v>
      </c>
      <c r="R675" s="5" t="s">
        <v>4283</v>
      </c>
      <c r="S675" s="6" t="s">
        <v>990</v>
      </c>
      <c r="T675" s="5" t="s">
        <v>991</v>
      </c>
      <c r="U675" s="6"/>
      <c r="V675" s="6" t="s">
        <v>992</v>
      </c>
      <c r="W675" s="6" t="s">
        <v>337</v>
      </c>
      <c r="X675" s="5" t="s">
        <v>4284</v>
      </c>
      <c r="Y675" s="5" t="s">
        <v>4385</v>
      </c>
      <c r="Z675" s="5" t="str">
        <f t="shared" si="20"/>
        <v>Low</v>
      </c>
      <c r="AA675" s="5" t="s">
        <v>924</v>
      </c>
      <c r="AB675" s="6" t="s">
        <v>924</v>
      </c>
      <c r="AC675" s="6" t="s">
        <v>11</v>
      </c>
      <c r="AD675" s="5" t="s">
        <v>925</v>
      </c>
      <c r="AE675" s="5" t="s">
        <v>354</v>
      </c>
      <c r="AF675" s="5" t="s">
        <v>354</v>
      </c>
      <c r="AG675" s="5" t="s">
        <v>354</v>
      </c>
      <c r="AH675" s="5" t="s">
        <v>354</v>
      </c>
      <c r="AI675" s="6" t="str">
        <f t="shared" si="21"/>
        <v>No</v>
      </c>
      <c r="AJ675" s="6" t="s">
        <v>926</v>
      </c>
      <c r="AK675" s="6" t="s">
        <v>158</v>
      </c>
      <c r="AL675" s="6">
        <f>MATCH(AA675,{"Low","Medium","High"},0)*MATCH(AB675,{"Low","Medium","High"},0)*INDEX({3,2,2,1,1},MATCH(X675,{"Core","Vertical extension","Differentiator","Future","Adjacent"},0))</f>
        <v>1</v>
      </c>
      <c r="AM675" s="5"/>
      <c r="AN675" s="5"/>
      <c r="AO675" s="5"/>
      <c r="AP675" s="5"/>
      <c r="AQ675" s="5"/>
      <c r="AR675" s="5"/>
      <c r="AS675" s="5"/>
      <c r="AT675" s="5"/>
      <c r="AU675" s="6" t="s">
        <v>927</v>
      </c>
      <c r="AV675" s="6" t="s">
        <v>1390</v>
      </c>
      <c r="AW675" s="6" t="s">
        <v>1285</v>
      </c>
      <c r="AX675" s="6" t="s">
        <v>4285</v>
      </c>
      <c r="AY675" s="6" t="s">
        <v>930</v>
      </c>
      <c r="AZ675" s="6"/>
      <c r="BA675" s="6"/>
      <c r="BB675" s="6"/>
      <c r="BC675" s="6" t="s">
        <v>97</v>
      </c>
      <c r="BD675" s="6" t="s">
        <v>97</v>
      </c>
    </row>
    <row r="676" spans="1:56" ht="32" customHeight="1" x14ac:dyDescent="0.35">
      <c r="A676" s="13" t="s">
        <v>4922</v>
      </c>
      <c r="B676" s="6" t="s">
        <v>4871</v>
      </c>
      <c r="C676" s="5" t="s">
        <v>4872</v>
      </c>
      <c r="D676" s="5" t="s">
        <v>831</v>
      </c>
      <c r="E676" s="5" t="s">
        <v>4923</v>
      </c>
      <c r="F676" s="5" t="s">
        <v>4924</v>
      </c>
      <c r="G676" s="5" t="s">
        <v>4925</v>
      </c>
      <c r="H676" s="5" t="s">
        <v>4926</v>
      </c>
      <c r="I676" s="5" t="s">
        <v>4927</v>
      </c>
      <c r="J676" s="17" t="s">
        <v>121</v>
      </c>
      <c r="K676" s="17" t="s">
        <v>181</v>
      </c>
      <c r="L676" s="5" t="s">
        <v>4928</v>
      </c>
      <c r="M676" s="6" t="s">
        <v>198</v>
      </c>
      <c r="N676" s="6" t="s">
        <v>813</v>
      </c>
      <c r="O676" s="6" t="s">
        <v>121</v>
      </c>
      <c r="P676" s="5" t="s">
        <v>918</v>
      </c>
      <c r="Q676" s="17" t="s">
        <v>182</v>
      </c>
      <c r="R676" s="5"/>
      <c r="S676" s="6" t="s">
        <v>964</v>
      </c>
      <c r="T676" s="5" t="s">
        <v>965</v>
      </c>
      <c r="U676" s="6"/>
      <c r="V676" s="6" t="s">
        <v>966</v>
      </c>
      <c r="W676" s="6" t="s">
        <v>333</v>
      </c>
      <c r="X676" s="5" t="s">
        <v>4878</v>
      </c>
      <c r="Y676" s="5" t="s">
        <v>4385</v>
      </c>
      <c r="Z676" s="5" t="str">
        <f t="shared" si="20"/>
        <v>Low</v>
      </c>
      <c r="AA676" s="5" t="s">
        <v>956</v>
      </c>
      <c r="AB676" s="6" t="s">
        <v>924</v>
      </c>
      <c r="AC676" s="6" t="s">
        <v>11</v>
      </c>
      <c r="AD676" s="5" t="s">
        <v>925</v>
      </c>
      <c r="AE676" s="5" t="s">
        <v>354</v>
      </c>
      <c r="AF676" s="5" t="s">
        <v>354</v>
      </c>
      <c r="AG676" s="5" t="s">
        <v>354</v>
      </c>
      <c r="AH676" s="5" t="s">
        <v>354</v>
      </c>
      <c r="AI676" s="6" t="str">
        <f t="shared" si="21"/>
        <v>No</v>
      </c>
      <c r="AJ676" s="6" t="s">
        <v>926</v>
      </c>
      <c r="AK676" s="6" t="s">
        <v>151</v>
      </c>
      <c r="AL676" s="6">
        <f>MATCH(AA676,{"Low","Medium","High"},0)*MATCH(AB676,{"Low","Medium","High"},0)*INDEX({3,2,2,1,1},MATCH(X676,{"Core","Vertical extension","Differentiator","Future","Adjacent"},0))</f>
        <v>2</v>
      </c>
      <c r="AM676" s="5"/>
      <c r="AN676" s="5"/>
      <c r="AO676" s="5"/>
      <c r="AP676" s="5"/>
      <c r="AQ676" s="5"/>
      <c r="AR676" s="5"/>
      <c r="AS676" s="5"/>
      <c r="AT676" s="5"/>
      <c r="AU676" s="6" t="s">
        <v>927</v>
      </c>
      <c r="AV676" s="6" t="s">
        <v>1390</v>
      </c>
      <c r="AW676" s="6" t="s">
        <v>1390</v>
      </c>
      <c r="AX676" s="6" t="s">
        <v>929</v>
      </c>
      <c r="AY676" s="6" t="s">
        <v>930</v>
      </c>
      <c r="AZ676" s="6"/>
      <c r="BA676" s="6"/>
      <c r="BB676" s="6"/>
      <c r="BC676" s="6" t="s">
        <v>97</v>
      </c>
      <c r="BD676" s="6" t="s">
        <v>97</v>
      </c>
    </row>
    <row r="677" spans="1:56" ht="32" customHeight="1" x14ac:dyDescent="0.35">
      <c r="A677" s="13" t="s">
        <v>4929</v>
      </c>
      <c r="B677" s="6" t="s">
        <v>4871</v>
      </c>
      <c r="C677" s="5" t="s">
        <v>4872</v>
      </c>
      <c r="D677" s="5" t="s">
        <v>838</v>
      </c>
      <c r="E677" s="5" t="s">
        <v>4930</v>
      </c>
      <c r="F677" s="5" t="s">
        <v>4931</v>
      </c>
      <c r="G677" s="5" t="s">
        <v>4932</v>
      </c>
      <c r="H677" s="5" t="s">
        <v>4933</v>
      </c>
      <c r="I677" s="5" t="s">
        <v>4934</v>
      </c>
      <c r="J677" s="17" t="s">
        <v>121</v>
      </c>
      <c r="K677" s="17" t="s">
        <v>181</v>
      </c>
      <c r="L677" s="5" t="s">
        <v>4935</v>
      </c>
      <c r="M677" s="6" t="s">
        <v>198</v>
      </c>
      <c r="N677" s="6" t="s">
        <v>813</v>
      </c>
      <c r="O677" s="6" t="s">
        <v>121</v>
      </c>
      <c r="P677" s="5" t="s">
        <v>999</v>
      </c>
      <c r="Q677" s="17" t="s">
        <v>182</v>
      </c>
      <c r="R677" s="5" t="s">
        <v>999</v>
      </c>
      <c r="S677" s="6" t="s">
        <v>990</v>
      </c>
      <c r="T677" s="5" t="s">
        <v>991</v>
      </c>
      <c r="U677" s="6"/>
      <c r="V677" s="6" t="s">
        <v>992</v>
      </c>
      <c r="W677" s="6" t="s">
        <v>337</v>
      </c>
      <c r="X677" s="5" t="s">
        <v>4878</v>
      </c>
      <c r="Y677" s="5" t="s">
        <v>4385</v>
      </c>
      <c r="Z677" s="5" t="str">
        <f t="shared" si="20"/>
        <v>Low</v>
      </c>
      <c r="AA677" s="5" t="s">
        <v>956</v>
      </c>
      <c r="AB677" s="6" t="s">
        <v>924</v>
      </c>
      <c r="AC677" s="6" t="s">
        <v>11</v>
      </c>
      <c r="AD677" s="5" t="s">
        <v>925</v>
      </c>
      <c r="AE677" s="5" t="s">
        <v>354</v>
      </c>
      <c r="AF677" s="5" t="s">
        <v>354</v>
      </c>
      <c r="AG677" s="5" t="s">
        <v>354</v>
      </c>
      <c r="AH677" s="5" t="s">
        <v>354</v>
      </c>
      <c r="AI677" s="6" t="str">
        <f t="shared" si="21"/>
        <v>No</v>
      </c>
      <c r="AJ677" s="6" t="s">
        <v>926</v>
      </c>
      <c r="AK677" s="6" t="s">
        <v>151</v>
      </c>
      <c r="AL677" s="6">
        <f>MATCH(AA677,{"Low","Medium","High"},0)*MATCH(AB677,{"Low","Medium","High"},0)*INDEX({3,2,2,1,1},MATCH(X677,{"Core","Vertical extension","Differentiator","Future","Adjacent"},0))</f>
        <v>2</v>
      </c>
      <c r="AM677" s="5"/>
      <c r="AN677" s="5"/>
      <c r="AO677" s="5"/>
      <c r="AP677" s="5"/>
      <c r="AQ677" s="5"/>
      <c r="AR677" s="5"/>
      <c r="AS677" s="5"/>
      <c r="AT677" s="5"/>
      <c r="AU677" s="6" t="s">
        <v>927</v>
      </c>
      <c r="AV677" s="6" t="s">
        <v>1390</v>
      </c>
      <c r="AW677" s="6" t="s">
        <v>1390</v>
      </c>
      <c r="AX677" s="6" t="s">
        <v>1003</v>
      </c>
      <c r="AY677" s="6" t="s">
        <v>930</v>
      </c>
      <c r="AZ677" s="6"/>
      <c r="BA677" s="6"/>
      <c r="BB677" s="6"/>
      <c r="BC677" s="6" t="s">
        <v>97</v>
      </c>
      <c r="BD677" s="6" t="s">
        <v>97</v>
      </c>
    </row>
    <row r="678" spans="1:56" ht="32" customHeight="1" x14ac:dyDescent="0.35">
      <c r="A678" s="13" t="s">
        <v>4936</v>
      </c>
      <c r="B678" s="6" t="s">
        <v>4871</v>
      </c>
      <c r="C678" s="5" t="s">
        <v>4872</v>
      </c>
      <c r="D678" s="5" t="s">
        <v>833</v>
      </c>
      <c r="E678" s="5" t="s">
        <v>4937</v>
      </c>
      <c r="F678" s="5" t="s">
        <v>4441</v>
      </c>
      <c r="G678" s="5" t="s">
        <v>4938</v>
      </c>
      <c r="H678" s="5" t="s">
        <v>4939</v>
      </c>
      <c r="I678" s="5" t="s">
        <v>4940</v>
      </c>
      <c r="J678" s="17" t="s">
        <v>121</v>
      </c>
      <c r="K678" s="17" t="s">
        <v>181</v>
      </c>
      <c r="L678" s="5" t="s">
        <v>4941</v>
      </c>
      <c r="M678" s="6" t="s">
        <v>198</v>
      </c>
      <c r="N678" s="6" t="s">
        <v>813</v>
      </c>
      <c r="O678" s="6" t="s">
        <v>121</v>
      </c>
      <c r="P678" s="5" t="s">
        <v>918</v>
      </c>
      <c r="Q678" s="18" t="s">
        <v>186</v>
      </c>
      <c r="R678" s="5" t="s">
        <v>1021</v>
      </c>
      <c r="S678" s="6" t="s">
        <v>919</v>
      </c>
      <c r="T678" s="5" t="s">
        <v>920</v>
      </c>
      <c r="U678" s="6"/>
      <c r="V678" s="6" t="s">
        <v>921</v>
      </c>
      <c r="W678" s="6" t="s">
        <v>331</v>
      </c>
      <c r="X678" s="5" t="s">
        <v>4878</v>
      </c>
      <c r="Y678" s="5" t="s">
        <v>4385</v>
      </c>
      <c r="Z678" s="5" t="str">
        <f t="shared" si="20"/>
        <v>Low</v>
      </c>
      <c r="AA678" s="5" t="s">
        <v>956</v>
      </c>
      <c r="AB678" s="6" t="s">
        <v>924</v>
      </c>
      <c r="AC678" s="6" t="s">
        <v>11</v>
      </c>
      <c r="AD678" s="5" t="s">
        <v>940</v>
      </c>
      <c r="AE678" s="5" t="s">
        <v>354</v>
      </c>
      <c r="AF678" s="5" t="s">
        <v>354</v>
      </c>
      <c r="AG678" s="5" t="s">
        <v>354</v>
      </c>
      <c r="AH678" s="5" t="s">
        <v>354</v>
      </c>
      <c r="AI678" s="6" t="str">
        <f t="shared" si="21"/>
        <v>No</v>
      </c>
      <c r="AJ678" s="6" t="s">
        <v>941</v>
      </c>
      <c r="AK678" s="6" t="s">
        <v>151</v>
      </c>
      <c r="AL678" s="6">
        <f>MATCH(AA678,{"Low","Medium","High"},0)*MATCH(AB678,{"Low","Medium","High"},0)*INDEX({3,2,2,1,1},MATCH(X678,{"Core","Vertical extension","Differentiator","Future","Adjacent"},0))</f>
        <v>2</v>
      </c>
      <c r="AM678" s="5"/>
      <c r="AN678" s="5"/>
      <c r="AO678" s="5"/>
      <c r="AP678" s="5"/>
      <c r="AQ678" s="5"/>
      <c r="AR678" s="5"/>
      <c r="AS678" s="5"/>
      <c r="AT678" s="5"/>
      <c r="AU678" s="6" t="s">
        <v>927</v>
      </c>
      <c r="AV678" s="6" t="s">
        <v>1390</v>
      </c>
      <c r="AW678" s="6" t="s">
        <v>1962</v>
      </c>
      <c r="AX678" s="6" t="s">
        <v>929</v>
      </c>
      <c r="AY678" s="6" t="s">
        <v>930</v>
      </c>
      <c r="AZ678" s="6"/>
      <c r="BA678" s="6"/>
      <c r="BB678" s="6"/>
      <c r="BC678" s="6" t="s">
        <v>97</v>
      </c>
      <c r="BD678" s="6" t="s">
        <v>97</v>
      </c>
    </row>
    <row r="679" spans="1:56" ht="32" customHeight="1" x14ac:dyDescent="0.35">
      <c r="A679" s="13" t="s">
        <v>4942</v>
      </c>
      <c r="B679" s="6" t="s">
        <v>4871</v>
      </c>
      <c r="C679" s="5" t="s">
        <v>4872</v>
      </c>
      <c r="D679" s="5" t="s">
        <v>827</v>
      </c>
      <c r="E679" s="5" t="s">
        <v>4943</v>
      </c>
      <c r="F679" s="5" t="s">
        <v>2088</v>
      </c>
      <c r="G679" s="5" t="s">
        <v>4944</v>
      </c>
      <c r="H679" s="5" t="s">
        <v>4945</v>
      </c>
      <c r="I679" s="5" t="s">
        <v>4946</v>
      </c>
      <c r="J679" s="16" t="s">
        <v>73</v>
      </c>
      <c r="K679" s="17" t="s">
        <v>181</v>
      </c>
      <c r="L679" s="5" t="s">
        <v>4947</v>
      </c>
      <c r="M679" s="6" t="s">
        <v>198</v>
      </c>
      <c r="N679" s="6" t="s">
        <v>813</v>
      </c>
      <c r="O679" s="6" t="s">
        <v>73</v>
      </c>
      <c r="P679" s="5" t="s">
        <v>918</v>
      </c>
      <c r="Q679" s="17" t="s">
        <v>182</v>
      </c>
      <c r="R679" s="5"/>
      <c r="S679" s="6" t="s">
        <v>1030</v>
      </c>
      <c r="T679" s="5" t="s">
        <v>827</v>
      </c>
      <c r="U679" s="6"/>
      <c r="V679" s="6" t="s">
        <v>1031</v>
      </c>
      <c r="W679" s="6" t="s">
        <v>333</v>
      </c>
      <c r="X679" s="5" t="s">
        <v>4878</v>
      </c>
      <c r="Y679" s="5" t="s">
        <v>4385</v>
      </c>
      <c r="Z679" s="5" t="str">
        <f t="shared" si="20"/>
        <v>Medium</v>
      </c>
      <c r="AA679" s="5" t="s">
        <v>923</v>
      </c>
      <c r="AB679" s="6" t="s">
        <v>956</v>
      </c>
      <c r="AC679" s="6" t="s">
        <v>78</v>
      </c>
      <c r="AD679" s="5" t="s">
        <v>925</v>
      </c>
      <c r="AE679" s="5" t="s">
        <v>354</v>
      </c>
      <c r="AF679" s="5" t="s">
        <v>354</v>
      </c>
      <c r="AG679" s="5" t="s">
        <v>354</v>
      </c>
      <c r="AH679" s="5" t="s">
        <v>354</v>
      </c>
      <c r="AI679" s="6" t="str">
        <f t="shared" si="21"/>
        <v>No</v>
      </c>
      <c r="AJ679" s="6" t="s">
        <v>926</v>
      </c>
      <c r="AK679" s="6" t="s">
        <v>73</v>
      </c>
      <c r="AL679" s="6">
        <f>MATCH(AA679,{"Low","Medium","High"},0)*MATCH(AB679,{"Low","Medium","High"},0)*INDEX({3,2,2,1,1},MATCH(X679,{"Core","Vertical extension","Differentiator","Future","Adjacent"},0))</f>
        <v>6</v>
      </c>
      <c r="AM679" s="5"/>
      <c r="AN679" s="5"/>
      <c r="AO679" s="5"/>
      <c r="AP679" s="5"/>
      <c r="AQ679" s="5"/>
      <c r="AR679" s="5"/>
      <c r="AS679" s="5"/>
      <c r="AT679" s="5"/>
      <c r="AU679" s="6" t="s">
        <v>927</v>
      </c>
      <c r="AV679" s="6" t="s">
        <v>1390</v>
      </c>
      <c r="AW679" s="6" t="s">
        <v>1390</v>
      </c>
      <c r="AX679" s="6" t="s">
        <v>929</v>
      </c>
      <c r="AY679" s="6" t="s">
        <v>1032</v>
      </c>
      <c r="AZ679" s="6"/>
      <c r="BA679" s="6"/>
      <c r="BB679" s="6"/>
      <c r="BC679" s="6" t="s">
        <v>97</v>
      </c>
      <c r="BD679" s="6" t="s">
        <v>97</v>
      </c>
    </row>
    <row r="680" spans="1:56" ht="32" customHeight="1" x14ac:dyDescent="0.35">
      <c r="A680" s="13" t="s">
        <v>4948</v>
      </c>
      <c r="B680" s="6" t="s">
        <v>4871</v>
      </c>
      <c r="C680" s="5" t="s">
        <v>4872</v>
      </c>
      <c r="D680" s="5" t="s">
        <v>827</v>
      </c>
      <c r="E680" s="5" t="s">
        <v>4949</v>
      </c>
      <c r="F680" s="5" t="s">
        <v>3104</v>
      </c>
      <c r="G680" s="5" t="s">
        <v>4950</v>
      </c>
      <c r="H680" s="5" t="s">
        <v>4951</v>
      </c>
      <c r="I680" s="5" t="s">
        <v>4952</v>
      </c>
      <c r="J680" s="17" t="s">
        <v>121</v>
      </c>
      <c r="K680" s="17" t="s">
        <v>181</v>
      </c>
      <c r="L680" s="5" t="s">
        <v>4953</v>
      </c>
      <c r="M680" s="6" t="s">
        <v>198</v>
      </c>
      <c r="N680" s="6" t="s">
        <v>813</v>
      </c>
      <c r="O680" s="6" t="s">
        <v>121</v>
      </c>
      <c r="P680" s="5" t="s">
        <v>918</v>
      </c>
      <c r="Q680" s="17" t="s">
        <v>182</v>
      </c>
      <c r="R680" s="5"/>
      <c r="S680" s="6" t="s">
        <v>1030</v>
      </c>
      <c r="T680" s="5" t="s">
        <v>827</v>
      </c>
      <c r="U680" s="6"/>
      <c r="V680" s="6" t="s">
        <v>1031</v>
      </c>
      <c r="W680" s="6" t="s">
        <v>333</v>
      </c>
      <c r="X680" s="5" t="s">
        <v>4878</v>
      </c>
      <c r="Y680" s="5" t="s">
        <v>4385</v>
      </c>
      <c r="Z680" s="5" t="str">
        <f t="shared" si="20"/>
        <v>Medium</v>
      </c>
      <c r="AA680" s="5" t="s">
        <v>956</v>
      </c>
      <c r="AB680" s="6" t="s">
        <v>956</v>
      </c>
      <c r="AC680" s="6" t="s">
        <v>11</v>
      </c>
      <c r="AD680" s="5" t="s">
        <v>925</v>
      </c>
      <c r="AE680" s="5" t="s">
        <v>354</v>
      </c>
      <c r="AF680" s="5" t="s">
        <v>354</v>
      </c>
      <c r="AG680" s="5" t="s">
        <v>354</v>
      </c>
      <c r="AH680" s="5" t="s">
        <v>354</v>
      </c>
      <c r="AI680" s="6" t="str">
        <f t="shared" si="21"/>
        <v>No</v>
      </c>
      <c r="AJ680" s="6" t="s">
        <v>926</v>
      </c>
      <c r="AK680" s="6" t="s">
        <v>151</v>
      </c>
      <c r="AL680" s="6">
        <f>MATCH(AA680,{"Low","Medium","High"},0)*MATCH(AB680,{"Low","Medium","High"},0)*INDEX({3,2,2,1,1},MATCH(X680,{"Core","Vertical extension","Differentiator","Future","Adjacent"},0))</f>
        <v>4</v>
      </c>
      <c r="AM680" s="5"/>
      <c r="AN680" s="5"/>
      <c r="AO680" s="5"/>
      <c r="AP680" s="5"/>
      <c r="AQ680" s="5"/>
      <c r="AR680" s="5"/>
      <c r="AS680" s="5"/>
      <c r="AT680" s="5"/>
      <c r="AU680" s="6" t="s">
        <v>927</v>
      </c>
      <c r="AV680" s="6" t="s">
        <v>1390</v>
      </c>
      <c r="AW680" s="6" t="s">
        <v>1315</v>
      </c>
      <c r="AX680" s="6" t="s">
        <v>929</v>
      </c>
      <c r="AY680" s="6" t="s">
        <v>1032</v>
      </c>
      <c r="AZ680" s="6"/>
      <c r="BA680" s="6"/>
      <c r="BB680" s="6"/>
      <c r="BC680" s="6" t="s">
        <v>97</v>
      </c>
      <c r="BD680" s="6" t="s">
        <v>97</v>
      </c>
    </row>
    <row r="681" spans="1:56" ht="32" customHeight="1" x14ac:dyDescent="0.35">
      <c r="A681" s="13" t="s">
        <v>4954</v>
      </c>
      <c r="B681" s="6" t="s">
        <v>4871</v>
      </c>
      <c r="C681" s="5" t="s">
        <v>4872</v>
      </c>
      <c r="D681" s="5" t="s">
        <v>840</v>
      </c>
      <c r="E681" s="5" t="s">
        <v>4955</v>
      </c>
      <c r="F681" s="5" t="s">
        <v>4381</v>
      </c>
      <c r="G681" s="5" t="s">
        <v>4956</v>
      </c>
      <c r="H681" s="5" t="s">
        <v>4957</v>
      </c>
      <c r="I681" s="5" t="s">
        <v>4958</v>
      </c>
      <c r="J681" s="21" t="s">
        <v>158</v>
      </c>
      <c r="K681" s="17" t="s">
        <v>181</v>
      </c>
      <c r="L681" s="5" t="s">
        <v>4959</v>
      </c>
      <c r="M681" s="6" t="s">
        <v>198</v>
      </c>
      <c r="N681" s="6" t="s">
        <v>813</v>
      </c>
      <c r="O681" s="6" t="s">
        <v>151</v>
      </c>
      <c r="P681" s="5" t="s">
        <v>4283</v>
      </c>
      <c r="Q681" s="17" t="s">
        <v>182</v>
      </c>
      <c r="R681" s="5" t="s">
        <v>4283</v>
      </c>
      <c r="S681" s="6" t="s">
        <v>1022</v>
      </c>
      <c r="T681" s="5" t="s">
        <v>1023</v>
      </c>
      <c r="U681" s="6"/>
      <c r="V681" s="6" t="s">
        <v>1024</v>
      </c>
      <c r="W681" s="6" t="s">
        <v>337</v>
      </c>
      <c r="X681" s="5" t="s">
        <v>4284</v>
      </c>
      <c r="Y681" s="5" t="s">
        <v>4385</v>
      </c>
      <c r="Z681" s="5" t="str">
        <f t="shared" si="20"/>
        <v>Low</v>
      </c>
      <c r="AA681" s="5" t="s">
        <v>924</v>
      </c>
      <c r="AB681" s="6" t="s">
        <v>924</v>
      </c>
      <c r="AC681" s="6" t="s">
        <v>11</v>
      </c>
      <c r="AD681" s="5" t="s">
        <v>925</v>
      </c>
      <c r="AE681" s="5" t="s">
        <v>354</v>
      </c>
      <c r="AF681" s="5" t="s">
        <v>354</v>
      </c>
      <c r="AG681" s="5" t="s">
        <v>354</v>
      </c>
      <c r="AH681" s="5" t="s">
        <v>354</v>
      </c>
      <c r="AI681" s="6" t="str">
        <f t="shared" si="21"/>
        <v>No</v>
      </c>
      <c r="AJ681" s="6" t="s">
        <v>926</v>
      </c>
      <c r="AK681" s="6" t="s">
        <v>158</v>
      </c>
      <c r="AL681" s="6">
        <f>MATCH(AA681,{"Low","Medium","High"},0)*MATCH(AB681,{"Low","Medium","High"},0)*INDEX({3,2,2,1,1},MATCH(X681,{"Core","Vertical extension","Differentiator","Future","Adjacent"},0))</f>
        <v>1</v>
      </c>
      <c r="AM681" s="5"/>
      <c r="AN681" s="5"/>
      <c r="AO681" s="5"/>
      <c r="AP681" s="5"/>
      <c r="AQ681" s="5"/>
      <c r="AR681" s="5"/>
      <c r="AS681" s="5"/>
      <c r="AT681" s="5"/>
      <c r="AU681" s="6" t="s">
        <v>927</v>
      </c>
      <c r="AV681" s="6" t="s">
        <v>1390</v>
      </c>
      <c r="AW681" s="6" t="s">
        <v>1322</v>
      </c>
      <c r="AX681" s="6" t="s">
        <v>4285</v>
      </c>
      <c r="AY681" s="6" t="s">
        <v>930</v>
      </c>
      <c r="AZ681" s="6"/>
      <c r="BA681" s="6"/>
      <c r="BB681" s="6"/>
      <c r="BC681" s="6" t="s">
        <v>97</v>
      </c>
      <c r="BD681" s="6" t="s">
        <v>97</v>
      </c>
    </row>
    <row r="682" spans="1:56" ht="32" customHeight="1" x14ac:dyDescent="0.35">
      <c r="A682" s="13" t="s">
        <v>4960</v>
      </c>
      <c r="B682" s="6" t="s">
        <v>4961</v>
      </c>
      <c r="C682" s="5" t="s">
        <v>4962</v>
      </c>
      <c r="D682" s="5" t="s">
        <v>835</v>
      </c>
      <c r="E682" s="5" t="s">
        <v>4963</v>
      </c>
      <c r="F682" s="5" t="s">
        <v>4064</v>
      </c>
      <c r="G682" s="5" t="s">
        <v>1101</v>
      </c>
      <c r="H682" s="5" t="s">
        <v>4964</v>
      </c>
      <c r="I682" s="5" t="s">
        <v>4965</v>
      </c>
      <c r="J682" s="16" t="s">
        <v>73</v>
      </c>
      <c r="K682" s="17" t="s">
        <v>181</v>
      </c>
      <c r="L682" s="5" t="s">
        <v>4966</v>
      </c>
      <c r="M682" s="6" t="s">
        <v>198</v>
      </c>
      <c r="N682" s="6" t="s">
        <v>813</v>
      </c>
      <c r="O682" s="6" t="s">
        <v>73</v>
      </c>
      <c r="P682" s="5" t="s">
        <v>918</v>
      </c>
      <c r="Q682" s="17" t="s">
        <v>182</v>
      </c>
      <c r="R682" s="5"/>
      <c r="S682" s="6" t="s">
        <v>1076</v>
      </c>
      <c r="T682" s="5" t="s">
        <v>1077</v>
      </c>
      <c r="U682" s="6"/>
      <c r="V682" s="6" t="s">
        <v>1078</v>
      </c>
      <c r="W682" s="6" t="s">
        <v>331</v>
      </c>
      <c r="X682" s="5" t="s">
        <v>4284</v>
      </c>
      <c r="Y682" s="5" t="s">
        <v>4385</v>
      </c>
      <c r="Z682" s="5" t="str">
        <f t="shared" si="20"/>
        <v>Low</v>
      </c>
      <c r="AA682" s="5" t="s">
        <v>923</v>
      </c>
      <c r="AB682" s="6" t="s">
        <v>924</v>
      </c>
      <c r="AC682" s="6" t="s">
        <v>78</v>
      </c>
      <c r="AD682" s="5" t="s">
        <v>925</v>
      </c>
      <c r="AE682" s="5" t="s">
        <v>354</v>
      </c>
      <c r="AF682" s="5" t="s">
        <v>354</v>
      </c>
      <c r="AG682" s="5" t="s">
        <v>354</v>
      </c>
      <c r="AH682" s="5" t="s">
        <v>354</v>
      </c>
      <c r="AI682" s="6" t="str">
        <f t="shared" si="21"/>
        <v>No</v>
      </c>
      <c r="AJ682" s="6" t="s">
        <v>926</v>
      </c>
      <c r="AK682" s="6" t="s">
        <v>73</v>
      </c>
      <c r="AL682" s="6">
        <f>MATCH(AA682,{"Low","Medium","High"},0)*MATCH(AB682,{"Low","Medium","High"},0)*INDEX({3,2,2,1,1},MATCH(X682,{"Core","Vertical extension","Differentiator","Future","Adjacent"},0))</f>
        <v>3</v>
      </c>
      <c r="AM682" s="5"/>
      <c r="AN682" s="5"/>
      <c r="AO682" s="5"/>
      <c r="AP682" s="5"/>
      <c r="AQ682" s="5"/>
      <c r="AR682" s="5"/>
      <c r="AS682" s="5"/>
      <c r="AT682" s="5"/>
      <c r="AU682" s="6" t="s">
        <v>927</v>
      </c>
      <c r="AV682" s="6" t="s">
        <v>55</v>
      </c>
      <c r="AW682" s="6" t="s">
        <v>55</v>
      </c>
      <c r="AX682" s="6" t="s">
        <v>929</v>
      </c>
      <c r="AY682" s="6" t="s">
        <v>930</v>
      </c>
      <c r="AZ682" s="6"/>
      <c r="BA682" s="6"/>
      <c r="BB682" s="6"/>
      <c r="BC682" s="6" t="s">
        <v>97</v>
      </c>
      <c r="BD682" s="6" t="s">
        <v>97</v>
      </c>
    </row>
    <row r="683" spans="1:56" ht="32" customHeight="1" x14ac:dyDescent="0.35">
      <c r="A683" s="13" t="s">
        <v>4967</v>
      </c>
      <c r="B683" s="6" t="s">
        <v>4961</v>
      </c>
      <c r="C683" s="5" t="s">
        <v>4962</v>
      </c>
      <c r="D683" s="5" t="s">
        <v>833</v>
      </c>
      <c r="E683" s="5" t="s">
        <v>4968</v>
      </c>
      <c r="F683" s="5" t="s">
        <v>4969</v>
      </c>
      <c r="G683" s="5" t="s">
        <v>4970</v>
      </c>
      <c r="H683" s="5" t="s">
        <v>4971</v>
      </c>
      <c r="I683" s="5" t="s">
        <v>4972</v>
      </c>
      <c r="J683" s="21" t="s">
        <v>158</v>
      </c>
      <c r="K683" s="17" t="s">
        <v>181</v>
      </c>
      <c r="L683" s="5" t="s">
        <v>4973</v>
      </c>
      <c r="M683" s="6" t="s">
        <v>198</v>
      </c>
      <c r="N683" s="6" t="s">
        <v>813</v>
      </c>
      <c r="O683" s="6" t="s">
        <v>121</v>
      </c>
      <c r="P683" s="5" t="s">
        <v>4974</v>
      </c>
      <c r="Q683" s="17" t="s">
        <v>182</v>
      </c>
      <c r="R683" s="5" t="s">
        <v>4974</v>
      </c>
      <c r="S683" s="6" t="s">
        <v>919</v>
      </c>
      <c r="T683" s="5" t="s">
        <v>920</v>
      </c>
      <c r="U683" s="6"/>
      <c r="V683" s="6" t="s">
        <v>921</v>
      </c>
      <c r="W683" s="6" t="s">
        <v>331</v>
      </c>
      <c r="X683" s="5" t="s">
        <v>4284</v>
      </c>
      <c r="Y683" s="5" t="s">
        <v>4385</v>
      </c>
      <c r="Z683" s="5" t="str">
        <f t="shared" si="20"/>
        <v>Low</v>
      </c>
      <c r="AA683" s="5" t="s">
        <v>924</v>
      </c>
      <c r="AB683" s="6" t="s">
        <v>924</v>
      </c>
      <c r="AC683" s="6" t="s">
        <v>11</v>
      </c>
      <c r="AD683" s="5" t="s">
        <v>925</v>
      </c>
      <c r="AE683" s="5" t="s">
        <v>354</v>
      </c>
      <c r="AF683" s="5" t="s">
        <v>354</v>
      </c>
      <c r="AG683" s="5" t="s">
        <v>354</v>
      </c>
      <c r="AH683" s="5" t="s">
        <v>354</v>
      </c>
      <c r="AI683" s="6" t="str">
        <f t="shared" si="21"/>
        <v>No</v>
      </c>
      <c r="AJ683" s="6" t="s">
        <v>926</v>
      </c>
      <c r="AK683" s="6" t="s">
        <v>158</v>
      </c>
      <c r="AL683" s="6">
        <f>MATCH(AA683,{"Low","Medium","High"},0)*MATCH(AB683,{"Low","Medium","High"},0)*INDEX({3,2,2,1,1},MATCH(X683,{"Core","Vertical extension","Differentiator","Future","Adjacent"},0))</f>
        <v>1</v>
      </c>
      <c r="AM683" s="5"/>
      <c r="AN683" s="5"/>
      <c r="AO683" s="5"/>
      <c r="AP683" s="5"/>
      <c r="AQ683" s="5"/>
      <c r="AR683" s="5"/>
      <c r="AS683" s="5"/>
      <c r="AT683" s="5"/>
      <c r="AU683" s="6" t="s">
        <v>927</v>
      </c>
      <c r="AV683" s="6" t="s">
        <v>928</v>
      </c>
      <c r="AW683" s="6" t="s">
        <v>928</v>
      </c>
      <c r="AX683" s="6" t="s">
        <v>4285</v>
      </c>
      <c r="AY683" s="6" t="s">
        <v>930</v>
      </c>
      <c r="AZ683" s="6"/>
      <c r="BA683" s="6"/>
      <c r="BB683" s="6"/>
      <c r="BC683" s="6" t="s">
        <v>97</v>
      </c>
      <c r="BD683" s="6" t="s">
        <v>97</v>
      </c>
    </row>
    <row r="684" spans="1:56" ht="32" customHeight="1" x14ac:dyDescent="0.35">
      <c r="A684" s="13" t="s">
        <v>4975</v>
      </c>
      <c r="B684" s="6" t="s">
        <v>4961</v>
      </c>
      <c r="C684" s="5" t="s">
        <v>4962</v>
      </c>
      <c r="D684" s="5" t="s">
        <v>829</v>
      </c>
      <c r="E684" s="5" t="s">
        <v>4976</v>
      </c>
      <c r="F684" s="5" t="s">
        <v>4070</v>
      </c>
      <c r="G684" s="5" t="s">
        <v>1344</v>
      </c>
      <c r="H684" s="5" t="s">
        <v>4977</v>
      </c>
      <c r="I684" s="5" t="s">
        <v>4978</v>
      </c>
      <c r="J684" s="17" t="s">
        <v>121</v>
      </c>
      <c r="K684" s="17" t="s">
        <v>181</v>
      </c>
      <c r="L684" s="5" t="s">
        <v>4979</v>
      </c>
      <c r="M684" s="6" t="s">
        <v>198</v>
      </c>
      <c r="N684" s="6" t="s">
        <v>813</v>
      </c>
      <c r="O684" s="6" t="s">
        <v>121</v>
      </c>
      <c r="P684" s="5" t="s">
        <v>918</v>
      </c>
      <c r="Q684" s="17" t="s">
        <v>182</v>
      </c>
      <c r="R684" s="5"/>
      <c r="S684" s="6" t="s">
        <v>980</v>
      </c>
      <c r="T684" s="5" t="s">
        <v>981</v>
      </c>
      <c r="U684" s="6"/>
      <c r="V684" s="6" t="s">
        <v>982</v>
      </c>
      <c r="W684" s="6" t="s">
        <v>331</v>
      </c>
      <c r="X684" s="5" t="s">
        <v>4284</v>
      </c>
      <c r="Y684" s="5" t="s">
        <v>4385</v>
      </c>
      <c r="Z684" s="5" t="str">
        <f t="shared" si="20"/>
        <v>Low</v>
      </c>
      <c r="AA684" s="5" t="s">
        <v>923</v>
      </c>
      <c r="AB684" s="6" t="s">
        <v>924</v>
      </c>
      <c r="AC684" s="6" t="s">
        <v>11</v>
      </c>
      <c r="AD684" s="5" t="s">
        <v>925</v>
      </c>
      <c r="AE684" s="5" t="s">
        <v>354</v>
      </c>
      <c r="AF684" s="5" t="s">
        <v>354</v>
      </c>
      <c r="AG684" s="5" t="s">
        <v>354</v>
      </c>
      <c r="AH684" s="5" t="s">
        <v>354</v>
      </c>
      <c r="AI684" s="6" t="str">
        <f t="shared" si="21"/>
        <v>No</v>
      </c>
      <c r="AJ684" s="6" t="s">
        <v>926</v>
      </c>
      <c r="AK684" s="6" t="s">
        <v>151</v>
      </c>
      <c r="AL684" s="6">
        <f>MATCH(AA684,{"Low","Medium","High"},0)*MATCH(AB684,{"Low","Medium","High"},0)*INDEX({3,2,2,1,1},MATCH(X684,{"Core","Vertical extension","Differentiator","Future","Adjacent"},0))</f>
        <v>3</v>
      </c>
      <c r="AM684" s="5"/>
      <c r="AN684" s="5"/>
      <c r="AO684" s="5"/>
      <c r="AP684" s="5"/>
      <c r="AQ684" s="5"/>
      <c r="AR684" s="5"/>
      <c r="AS684" s="5"/>
      <c r="AT684" s="5"/>
      <c r="AU684" s="6" t="s">
        <v>927</v>
      </c>
      <c r="AV684" s="6" t="s">
        <v>2161</v>
      </c>
      <c r="AW684" s="6" t="s">
        <v>2161</v>
      </c>
      <c r="AX684" s="6" t="s">
        <v>929</v>
      </c>
      <c r="AY684" s="6" t="s">
        <v>930</v>
      </c>
      <c r="AZ684" s="6"/>
      <c r="BA684" s="6"/>
      <c r="BB684" s="6"/>
      <c r="BC684" s="6" t="s">
        <v>97</v>
      </c>
      <c r="BD684" s="6" t="s">
        <v>97</v>
      </c>
    </row>
    <row r="685" spans="1:56" ht="32" customHeight="1" x14ac:dyDescent="0.35">
      <c r="A685" s="13" t="s">
        <v>4980</v>
      </c>
      <c r="B685" s="6" t="s">
        <v>4961</v>
      </c>
      <c r="C685" s="5" t="s">
        <v>4962</v>
      </c>
      <c r="D685" s="5" t="s">
        <v>831</v>
      </c>
      <c r="E685" s="5" t="s">
        <v>4981</v>
      </c>
      <c r="F685" s="5" t="s">
        <v>4076</v>
      </c>
      <c r="G685" s="5" t="s">
        <v>1322</v>
      </c>
      <c r="H685" s="5" t="s">
        <v>4982</v>
      </c>
      <c r="I685" s="5" t="s">
        <v>4983</v>
      </c>
      <c r="J685" s="16" t="s">
        <v>73</v>
      </c>
      <c r="K685" s="17" t="s">
        <v>181</v>
      </c>
      <c r="L685" s="5" t="s">
        <v>4984</v>
      </c>
      <c r="M685" s="6" t="s">
        <v>198</v>
      </c>
      <c r="N685" s="6" t="s">
        <v>813</v>
      </c>
      <c r="O685" s="6" t="s">
        <v>73</v>
      </c>
      <c r="P685" s="5" t="s">
        <v>918</v>
      </c>
      <c r="Q685" s="17" t="s">
        <v>182</v>
      </c>
      <c r="R685" s="5"/>
      <c r="S685" s="6" t="s">
        <v>964</v>
      </c>
      <c r="T685" s="5" t="s">
        <v>965</v>
      </c>
      <c r="U685" s="6"/>
      <c r="V685" s="6" t="s">
        <v>966</v>
      </c>
      <c r="W685" s="6" t="s">
        <v>333</v>
      </c>
      <c r="X685" s="5" t="s">
        <v>4284</v>
      </c>
      <c r="Y685" s="5" t="s">
        <v>4385</v>
      </c>
      <c r="Z685" s="5" t="str">
        <f t="shared" si="20"/>
        <v>Low</v>
      </c>
      <c r="AA685" s="5" t="s">
        <v>923</v>
      </c>
      <c r="AB685" s="6" t="s">
        <v>924</v>
      </c>
      <c r="AC685" s="6" t="s">
        <v>78</v>
      </c>
      <c r="AD685" s="5" t="s">
        <v>925</v>
      </c>
      <c r="AE685" s="5" t="s">
        <v>354</v>
      </c>
      <c r="AF685" s="5" t="s">
        <v>354</v>
      </c>
      <c r="AG685" s="5" t="s">
        <v>354</v>
      </c>
      <c r="AH685" s="5" t="s">
        <v>354</v>
      </c>
      <c r="AI685" s="6" t="str">
        <f t="shared" si="21"/>
        <v>No</v>
      </c>
      <c r="AJ685" s="6" t="s">
        <v>926</v>
      </c>
      <c r="AK685" s="6" t="s">
        <v>73</v>
      </c>
      <c r="AL685" s="6">
        <f>MATCH(AA685,{"Low","Medium","High"},0)*MATCH(AB685,{"Low","Medium","High"},0)*INDEX({3,2,2,1,1},MATCH(X685,{"Core","Vertical extension","Differentiator","Future","Adjacent"},0))</f>
        <v>3</v>
      </c>
      <c r="AM685" s="5"/>
      <c r="AN685" s="5"/>
      <c r="AO685" s="5"/>
      <c r="AP685" s="5"/>
      <c r="AQ685" s="5"/>
      <c r="AR685" s="5"/>
      <c r="AS685" s="5"/>
      <c r="AT685" s="5"/>
      <c r="AU685" s="6" t="s">
        <v>927</v>
      </c>
      <c r="AV685" s="6" t="s">
        <v>2161</v>
      </c>
      <c r="AW685" s="6" t="s">
        <v>2161</v>
      </c>
      <c r="AX685" s="6" t="s">
        <v>929</v>
      </c>
      <c r="AY685" s="6" t="s">
        <v>930</v>
      </c>
      <c r="AZ685" s="6"/>
      <c r="BA685" s="6"/>
      <c r="BB685" s="6"/>
      <c r="BC685" s="6" t="s">
        <v>97</v>
      </c>
      <c r="BD685" s="6" t="s">
        <v>97</v>
      </c>
    </row>
    <row r="686" spans="1:56" ht="32" customHeight="1" x14ac:dyDescent="0.35">
      <c r="A686" s="13" t="s">
        <v>4985</v>
      </c>
      <c r="B686" s="6" t="s">
        <v>4961</v>
      </c>
      <c r="C686" s="5" t="s">
        <v>4962</v>
      </c>
      <c r="D686" s="5" t="s">
        <v>831</v>
      </c>
      <c r="E686" s="5" t="s">
        <v>4986</v>
      </c>
      <c r="F686" s="5" t="s">
        <v>4082</v>
      </c>
      <c r="G686" s="5" t="s">
        <v>1694</v>
      </c>
      <c r="H686" s="5" t="s">
        <v>4987</v>
      </c>
      <c r="I686" s="5" t="s">
        <v>4988</v>
      </c>
      <c r="J686" s="17" t="s">
        <v>121</v>
      </c>
      <c r="K686" s="17" t="s">
        <v>181</v>
      </c>
      <c r="L686" s="5" t="s">
        <v>4989</v>
      </c>
      <c r="M686" s="6" t="s">
        <v>198</v>
      </c>
      <c r="N686" s="6" t="s">
        <v>813</v>
      </c>
      <c r="O686" s="6" t="s">
        <v>121</v>
      </c>
      <c r="P686" s="5" t="s">
        <v>918</v>
      </c>
      <c r="Q686" s="17" t="s">
        <v>182</v>
      </c>
      <c r="R686" s="5"/>
      <c r="S686" s="6" t="s">
        <v>964</v>
      </c>
      <c r="T686" s="5" t="s">
        <v>965</v>
      </c>
      <c r="U686" s="6"/>
      <c r="V686" s="6" t="s">
        <v>966</v>
      </c>
      <c r="W686" s="6" t="s">
        <v>333</v>
      </c>
      <c r="X686" s="5" t="s">
        <v>4284</v>
      </c>
      <c r="Y686" s="5" t="s">
        <v>4385</v>
      </c>
      <c r="Z686" s="5" t="str">
        <f t="shared" si="20"/>
        <v>Low</v>
      </c>
      <c r="AA686" s="5" t="s">
        <v>956</v>
      </c>
      <c r="AB686" s="6" t="s">
        <v>924</v>
      </c>
      <c r="AC686" s="6" t="s">
        <v>11</v>
      </c>
      <c r="AD686" s="5" t="s">
        <v>925</v>
      </c>
      <c r="AE686" s="5" t="s">
        <v>354</v>
      </c>
      <c r="AF686" s="5" t="s">
        <v>354</v>
      </c>
      <c r="AG686" s="5" t="s">
        <v>354</v>
      </c>
      <c r="AH686" s="5" t="s">
        <v>354</v>
      </c>
      <c r="AI686" s="6" t="str">
        <f t="shared" si="21"/>
        <v>No</v>
      </c>
      <c r="AJ686" s="6" t="s">
        <v>926</v>
      </c>
      <c r="AK686" s="6" t="s">
        <v>151</v>
      </c>
      <c r="AL686" s="6">
        <f>MATCH(AA686,{"Low","Medium","High"},0)*MATCH(AB686,{"Low","Medium","High"},0)*INDEX({3,2,2,1,1},MATCH(X686,{"Core","Vertical extension","Differentiator","Future","Adjacent"},0))</f>
        <v>2</v>
      </c>
      <c r="AM686" s="5"/>
      <c r="AN686" s="5"/>
      <c r="AO686" s="5"/>
      <c r="AP686" s="5"/>
      <c r="AQ686" s="5"/>
      <c r="AR686" s="5"/>
      <c r="AS686" s="5"/>
      <c r="AT686" s="5"/>
      <c r="AU686" s="6" t="s">
        <v>927</v>
      </c>
      <c r="AV686" s="6" t="s">
        <v>2161</v>
      </c>
      <c r="AW686" s="6" t="s">
        <v>2161</v>
      </c>
      <c r="AX686" s="6" t="s">
        <v>929</v>
      </c>
      <c r="AY686" s="6" t="s">
        <v>930</v>
      </c>
      <c r="AZ686" s="6"/>
      <c r="BA686" s="6"/>
      <c r="BB686" s="6"/>
      <c r="BC686" s="6" t="s">
        <v>97</v>
      </c>
      <c r="BD686" s="6" t="s">
        <v>97</v>
      </c>
    </row>
    <row r="687" spans="1:56" ht="32" customHeight="1" x14ac:dyDescent="0.35">
      <c r="A687" s="13" t="s">
        <v>4990</v>
      </c>
      <c r="B687" s="6" t="s">
        <v>4961</v>
      </c>
      <c r="C687" s="5" t="s">
        <v>4962</v>
      </c>
      <c r="D687" s="5" t="s">
        <v>843</v>
      </c>
      <c r="E687" s="5" t="s">
        <v>4991</v>
      </c>
      <c r="F687" s="5" t="s">
        <v>4125</v>
      </c>
      <c r="G687" s="5" t="s">
        <v>2001</v>
      </c>
      <c r="H687" s="5" t="s">
        <v>4992</v>
      </c>
      <c r="I687" s="5" t="s">
        <v>4993</v>
      </c>
      <c r="J687" s="17" t="s">
        <v>121</v>
      </c>
      <c r="K687" s="17" t="s">
        <v>181</v>
      </c>
      <c r="L687" s="5" t="s">
        <v>4994</v>
      </c>
      <c r="M687" s="6" t="s">
        <v>198</v>
      </c>
      <c r="N687" s="6" t="s">
        <v>813</v>
      </c>
      <c r="O687" s="6" t="s">
        <v>121</v>
      </c>
      <c r="P687" s="5" t="s">
        <v>918</v>
      </c>
      <c r="Q687" s="17" t="s">
        <v>182</v>
      </c>
      <c r="R687" s="5"/>
      <c r="S687" s="6" t="s">
        <v>3845</v>
      </c>
      <c r="T687" s="5" t="s">
        <v>3846</v>
      </c>
      <c r="U687" s="6"/>
      <c r="V687" s="6" t="s">
        <v>921</v>
      </c>
      <c r="W687" s="6" t="s">
        <v>331</v>
      </c>
      <c r="X687" s="5" t="s">
        <v>4284</v>
      </c>
      <c r="Y687" s="5" t="s">
        <v>4385</v>
      </c>
      <c r="Z687" s="5" t="str">
        <f t="shared" si="20"/>
        <v>Low</v>
      </c>
      <c r="AA687" s="5" t="s">
        <v>956</v>
      </c>
      <c r="AB687" s="6" t="s">
        <v>924</v>
      </c>
      <c r="AC687" s="6" t="s">
        <v>11</v>
      </c>
      <c r="AD687" s="5" t="s">
        <v>925</v>
      </c>
      <c r="AE687" s="5" t="s">
        <v>354</v>
      </c>
      <c r="AF687" s="5" t="s">
        <v>354</v>
      </c>
      <c r="AG687" s="5" t="s">
        <v>354</v>
      </c>
      <c r="AH687" s="5" t="s">
        <v>354</v>
      </c>
      <c r="AI687" s="6" t="str">
        <f t="shared" si="21"/>
        <v>No</v>
      </c>
      <c r="AJ687" s="6" t="s">
        <v>926</v>
      </c>
      <c r="AK687" s="6" t="s">
        <v>151</v>
      </c>
      <c r="AL687" s="6">
        <f>MATCH(AA687,{"Low","Medium","High"},0)*MATCH(AB687,{"Low","Medium","High"},0)*INDEX({3,2,2,1,1},MATCH(X687,{"Core","Vertical extension","Differentiator","Future","Adjacent"},0))</f>
        <v>2</v>
      </c>
      <c r="AM687" s="5"/>
      <c r="AN687" s="5"/>
      <c r="AO687" s="5"/>
      <c r="AP687" s="5"/>
      <c r="AQ687" s="5"/>
      <c r="AR687" s="5"/>
      <c r="AS687" s="5"/>
      <c r="AT687" s="5"/>
      <c r="AU687" s="6" t="s">
        <v>927</v>
      </c>
      <c r="AV687" s="6" t="s">
        <v>1322</v>
      </c>
      <c r="AW687" s="6" t="s">
        <v>1322</v>
      </c>
      <c r="AX687" s="6" t="s">
        <v>929</v>
      </c>
      <c r="AY687" s="6" t="s">
        <v>930</v>
      </c>
      <c r="AZ687" s="6"/>
      <c r="BA687" s="6"/>
      <c r="BB687" s="6"/>
      <c r="BC687" s="6" t="s">
        <v>97</v>
      </c>
      <c r="BD687" s="6" t="s">
        <v>97</v>
      </c>
    </row>
    <row r="688" spans="1:56" ht="32" customHeight="1" x14ac:dyDescent="0.35">
      <c r="A688" s="13" t="s">
        <v>4995</v>
      </c>
      <c r="B688" s="6" t="s">
        <v>4961</v>
      </c>
      <c r="C688" s="5" t="s">
        <v>4962</v>
      </c>
      <c r="D688" s="5" t="s">
        <v>834</v>
      </c>
      <c r="E688" s="5" t="s">
        <v>4996</v>
      </c>
      <c r="F688" s="5" t="s">
        <v>4997</v>
      </c>
      <c r="G688" s="5" t="s">
        <v>4998</v>
      </c>
      <c r="H688" s="5" t="s">
        <v>4999</v>
      </c>
      <c r="I688" s="5" t="s">
        <v>5000</v>
      </c>
      <c r="J688" s="17" t="s">
        <v>121</v>
      </c>
      <c r="K688" s="17" t="s">
        <v>181</v>
      </c>
      <c r="L688" s="5" t="s">
        <v>5001</v>
      </c>
      <c r="M688" s="6" t="s">
        <v>198</v>
      </c>
      <c r="N688" s="6" t="s">
        <v>813</v>
      </c>
      <c r="O688" s="6" t="s">
        <v>121</v>
      </c>
      <c r="P688" s="5" t="s">
        <v>918</v>
      </c>
      <c r="Q688" s="17" t="s">
        <v>182</v>
      </c>
      <c r="R688" s="5"/>
      <c r="S688" s="6" t="s">
        <v>1000</v>
      </c>
      <c r="T688" s="5" t="s">
        <v>1001</v>
      </c>
      <c r="U688" s="6"/>
      <c r="V688" s="6" t="s">
        <v>1002</v>
      </c>
      <c r="W688" s="6" t="s">
        <v>333</v>
      </c>
      <c r="X688" s="5" t="s">
        <v>4284</v>
      </c>
      <c r="Y688" s="5" t="s">
        <v>4385</v>
      </c>
      <c r="Z688" s="5" t="str">
        <f t="shared" si="20"/>
        <v>Medium</v>
      </c>
      <c r="AA688" s="5" t="s">
        <v>923</v>
      </c>
      <c r="AB688" s="6" t="s">
        <v>956</v>
      </c>
      <c r="AC688" s="6" t="s">
        <v>11</v>
      </c>
      <c r="AD688" s="5" t="s">
        <v>925</v>
      </c>
      <c r="AE688" s="5" t="s">
        <v>354</v>
      </c>
      <c r="AF688" s="5" t="s">
        <v>354</v>
      </c>
      <c r="AG688" s="5" t="s">
        <v>354</v>
      </c>
      <c r="AH688" s="5" t="s">
        <v>354</v>
      </c>
      <c r="AI688" s="6" t="str">
        <f t="shared" si="21"/>
        <v>No</v>
      </c>
      <c r="AJ688" s="6" t="s">
        <v>926</v>
      </c>
      <c r="AK688" s="6" t="s">
        <v>151</v>
      </c>
      <c r="AL688" s="6">
        <f>MATCH(AA688,{"Low","Medium","High"},0)*MATCH(AB688,{"Low","Medium","High"},0)*INDEX({3,2,2,1,1},MATCH(X688,{"Core","Vertical extension","Differentiator","Future","Adjacent"},0))</f>
        <v>6</v>
      </c>
      <c r="AM688" s="5"/>
      <c r="AN688" s="5"/>
      <c r="AO688" s="5"/>
      <c r="AP688" s="5"/>
      <c r="AQ688" s="5"/>
      <c r="AR688" s="5"/>
      <c r="AS688" s="5"/>
      <c r="AT688" s="5"/>
      <c r="AU688" s="6" t="s">
        <v>927</v>
      </c>
      <c r="AV688" s="6" t="s">
        <v>2161</v>
      </c>
      <c r="AW688" s="6" t="s">
        <v>2161</v>
      </c>
      <c r="AX688" s="6" t="s">
        <v>929</v>
      </c>
      <c r="AY688" s="6" t="s">
        <v>930</v>
      </c>
      <c r="AZ688" s="6"/>
      <c r="BA688" s="6"/>
      <c r="BB688" s="6"/>
      <c r="BC688" s="6" t="s">
        <v>97</v>
      </c>
      <c r="BD688" s="6" t="s">
        <v>97</v>
      </c>
    </row>
    <row r="689" spans="1:56" ht="32" customHeight="1" x14ac:dyDescent="0.35">
      <c r="A689" s="13" t="s">
        <v>5002</v>
      </c>
      <c r="B689" s="6" t="s">
        <v>4961</v>
      </c>
      <c r="C689" s="5" t="s">
        <v>4962</v>
      </c>
      <c r="D689" s="5" t="s">
        <v>835</v>
      </c>
      <c r="E689" s="5" t="s">
        <v>5003</v>
      </c>
      <c r="F689" s="5" t="s">
        <v>4088</v>
      </c>
      <c r="G689" s="5" t="s">
        <v>1344</v>
      </c>
      <c r="H689" s="5" t="s">
        <v>5004</v>
      </c>
      <c r="I689" s="5" t="s">
        <v>5005</v>
      </c>
      <c r="J689" s="17" t="s">
        <v>121</v>
      </c>
      <c r="K689" s="17" t="s">
        <v>181</v>
      </c>
      <c r="L689" s="5" t="s">
        <v>5006</v>
      </c>
      <c r="M689" s="6" t="s">
        <v>198</v>
      </c>
      <c r="N689" s="6" t="s">
        <v>813</v>
      </c>
      <c r="O689" s="6" t="s">
        <v>121</v>
      </c>
      <c r="P689" s="5" t="s">
        <v>918</v>
      </c>
      <c r="Q689" s="17" t="s">
        <v>182</v>
      </c>
      <c r="R689" s="5"/>
      <c r="S689" s="6" t="s">
        <v>1076</v>
      </c>
      <c r="T689" s="5" t="s">
        <v>1077</v>
      </c>
      <c r="U689" s="6"/>
      <c r="V689" s="6" t="s">
        <v>1078</v>
      </c>
      <c r="W689" s="6" t="s">
        <v>331</v>
      </c>
      <c r="X689" s="5" t="s">
        <v>4284</v>
      </c>
      <c r="Y689" s="5" t="s">
        <v>4385</v>
      </c>
      <c r="Z689" s="5" t="str">
        <f t="shared" si="20"/>
        <v>Low</v>
      </c>
      <c r="AA689" s="5" t="s">
        <v>956</v>
      </c>
      <c r="AB689" s="6" t="s">
        <v>924</v>
      </c>
      <c r="AC689" s="6" t="s">
        <v>11</v>
      </c>
      <c r="AD689" s="5" t="s">
        <v>925</v>
      </c>
      <c r="AE689" s="5" t="s">
        <v>354</v>
      </c>
      <c r="AF689" s="5" t="s">
        <v>354</v>
      </c>
      <c r="AG689" s="5" t="s">
        <v>354</v>
      </c>
      <c r="AH689" s="5" t="s">
        <v>354</v>
      </c>
      <c r="AI689" s="6" t="str">
        <f t="shared" si="21"/>
        <v>No</v>
      </c>
      <c r="AJ689" s="6" t="s">
        <v>926</v>
      </c>
      <c r="AK689" s="6" t="s">
        <v>151</v>
      </c>
      <c r="AL689" s="6">
        <f>MATCH(AA689,{"Low","Medium","High"},0)*MATCH(AB689,{"Low","Medium","High"},0)*INDEX({3,2,2,1,1},MATCH(X689,{"Core","Vertical extension","Differentiator","Future","Adjacent"},0))</f>
        <v>2</v>
      </c>
      <c r="AM689" s="5"/>
      <c r="AN689" s="5"/>
      <c r="AO689" s="5"/>
      <c r="AP689" s="5"/>
      <c r="AQ689" s="5"/>
      <c r="AR689" s="5"/>
      <c r="AS689" s="5"/>
      <c r="AT689" s="5"/>
      <c r="AU689" s="6" t="s">
        <v>927</v>
      </c>
      <c r="AV689" s="6" t="s">
        <v>2161</v>
      </c>
      <c r="AW689" s="6" t="s">
        <v>2161</v>
      </c>
      <c r="AX689" s="6" t="s">
        <v>929</v>
      </c>
      <c r="AY689" s="6" t="s">
        <v>930</v>
      </c>
      <c r="AZ689" s="6"/>
      <c r="BA689" s="6"/>
      <c r="BB689" s="6"/>
      <c r="BC689" s="6" t="s">
        <v>97</v>
      </c>
      <c r="BD689" s="6" t="s">
        <v>97</v>
      </c>
    </row>
    <row r="690" spans="1:56" ht="32" customHeight="1" x14ac:dyDescent="0.35">
      <c r="A690" s="13" t="s">
        <v>5007</v>
      </c>
      <c r="B690" s="6" t="s">
        <v>4961</v>
      </c>
      <c r="C690" s="5" t="s">
        <v>4962</v>
      </c>
      <c r="D690" s="5" t="s">
        <v>833</v>
      </c>
      <c r="E690" s="5" t="s">
        <v>5008</v>
      </c>
      <c r="F690" s="5" t="s">
        <v>3413</v>
      </c>
      <c r="G690" s="5" t="s">
        <v>2197</v>
      </c>
      <c r="H690" s="5" t="s">
        <v>5009</v>
      </c>
      <c r="I690" s="5" t="s">
        <v>5010</v>
      </c>
      <c r="J690" s="17" t="s">
        <v>121</v>
      </c>
      <c r="K690" s="17" t="s">
        <v>181</v>
      </c>
      <c r="L690" s="5" t="s">
        <v>5011</v>
      </c>
      <c r="M690" s="6" t="s">
        <v>198</v>
      </c>
      <c r="N690" s="6" t="s">
        <v>813</v>
      </c>
      <c r="O690" s="6" t="s">
        <v>121</v>
      </c>
      <c r="P690" s="5" t="s">
        <v>918</v>
      </c>
      <c r="Q690" s="17" t="s">
        <v>182</v>
      </c>
      <c r="R690" s="5"/>
      <c r="S690" s="6" t="s">
        <v>919</v>
      </c>
      <c r="T690" s="5" t="s">
        <v>920</v>
      </c>
      <c r="U690" s="6"/>
      <c r="V690" s="6" t="s">
        <v>921</v>
      </c>
      <c r="W690" s="6" t="s">
        <v>331</v>
      </c>
      <c r="X690" s="5" t="s">
        <v>4284</v>
      </c>
      <c r="Y690" s="5" t="s">
        <v>4385</v>
      </c>
      <c r="Z690" s="5" t="str">
        <f t="shared" si="20"/>
        <v>Low</v>
      </c>
      <c r="AA690" s="5" t="s">
        <v>956</v>
      </c>
      <c r="AB690" s="6" t="s">
        <v>924</v>
      </c>
      <c r="AC690" s="6" t="s">
        <v>11</v>
      </c>
      <c r="AD690" s="5" t="s">
        <v>925</v>
      </c>
      <c r="AE690" s="5" t="s">
        <v>354</v>
      </c>
      <c r="AF690" s="5" t="s">
        <v>354</v>
      </c>
      <c r="AG690" s="5" t="s">
        <v>354</v>
      </c>
      <c r="AH690" s="5" t="s">
        <v>354</v>
      </c>
      <c r="AI690" s="6" t="str">
        <f t="shared" si="21"/>
        <v>No</v>
      </c>
      <c r="AJ690" s="6" t="s">
        <v>926</v>
      </c>
      <c r="AK690" s="6" t="s">
        <v>151</v>
      </c>
      <c r="AL690" s="6">
        <f>MATCH(AA690,{"Low","Medium","High"},0)*MATCH(AB690,{"Low","Medium","High"},0)*INDEX({3,2,2,1,1},MATCH(X690,{"Core","Vertical extension","Differentiator","Future","Adjacent"},0))</f>
        <v>2</v>
      </c>
      <c r="AM690" s="5"/>
      <c r="AN690" s="5"/>
      <c r="AO690" s="5"/>
      <c r="AP690" s="5"/>
      <c r="AQ690" s="5"/>
      <c r="AR690" s="5"/>
      <c r="AS690" s="5"/>
      <c r="AT690" s="5"/>
      <c r="AU690" s="6" t="s">
        <v>927</v>
      </c>
      <c r="AV690" s="6" t="s">
        <v>2161</v>
      </c>
      <c r="AW690" s="6" t="s">
        <v>2161</v>
      </c>
      <c r="AX690" s="6" t="s">
        <v>929</v>
      </c>
      <c r="AY690" s="6" t="s">
        <v>930</v>
      </c>
      <c r="AZ690" s="6"/>
      <c r="BA690" s="6"/>
      <c r="BB690" s="6"/>
      <c r="BC690" s="6" t="s">
        <v>97</v>
      </c>
      <c r="BD690" s="6" t="s">
        <v>97</v>
      </c>
    </row>
    <row r="691" spans="1:56" ht="32" customHeight="1" x14ac:dyDescent="0.35">
      <c r="A691" s="13" t="s">
        <v>5012</v>
      </c>
      <c r="B691" s="6" t="s">
        <v>4961</v>
      </c>
      <c r="C691" s="5" t="s">
        <v>4962</v>
      </c>
      <c r="D691" s="5" t="s">
        <v>825</v>
      </c>
      <c r="E691" s="5" t="s">
        <v>5013</v>
      </c>
      <c r="F691" s="5" t="s">
        <v>5014</v>
      </c>
      <c r="G691" s="5" t="s">
        <v>1452</v>
      </c>
      <c r="H691" s="5" t="s">
        <v>5015</v>
      </c>
      <c r="I691" s="5" t="s">
        <v>5016</v>
      </c>
      <c r="J691" s="16" t="s">
        <v>73</v>
      </c>
      <c r="K691" s="17" t="s">
        <v>181</v>
      </c>
      <c r="L691" s="5" t="s">
        <v>5017</v>
      </c>
      <c r="M691" s="6" t="s">
        <v>198</v>
      </c>
      <c r="N691" s="6" t="s">
        <v>813</v>
      </c>
      <c r="O691" s="6" t="s">
        <v>73</v>
      </c>
      <c r="P691" s="5" t="s">
        <v>918</v>
      </c>
      <c r="Q691" s="17" t="s">
        <v>182</v>
      </c>
      <c r="R691" s="5"/>
      <c r="S691" s="6" t="s">
        <v>1053</v>
      </c>
      <c r="T691" s="5" t="s">
        <v>1054</v>
      </c>
      <c r="U691" s="6"/>
      <c r="V691" s="6" t="s">
        <v>1055</v>
      </c>
      <c r="W691" s="6" t="s">
        <v>333</v>
      </c>
      <c r="X691" s="5" t="s">
        <v>4284</v>
      </c>
      <c r="Y691" s="5" t="s">
        <v>4385</v>
      </c>
      <c r="Z691" s="5" t="str">
        <f t="shared" si="20"/>
        <v>High</v>
      </c>
      <c r="AA691" s="5" t="s">
        <v>923</v>
      </c>
      <c r="AB691" s="6" t="s">
        <v>923</v>
      </c>
      <c r="AC691" s="6" t="s">
        <v>78</v>
      </c>
      <c r="AD691" s="5" t="s">
        <v>925</v>
      </c>
      <c r="AE691" s="5" t="s">
        <v>354</v>
      </c>
      <c r="AF691" s="5" t="s">
        <v>354</v>
      </c>
      <c r="AG691" s="5" t="s">
        <v>354</v>
      </c>
      <c r="AH691" s="5" t="s">
        <v>354</v>
      </c>
      <c r="AI691" s="6" t="str">
        <f t="shared" si="21"/>
        <v>No</v>
      </c>
      <c r="AJ691" s="6" t="s">
        <v>926</v>
      </c>
      <c r="AK691" s="6" t="s">
        <v>73</v>
      </c>
      <c r="AL691" s="6">
        <f>MATCH(AA691,{"Low","Medium","High"},0)*MATCH(AB691,{"Low","Medium","High"},0)*INDEX({3,2,2,1,1},MATCH(X691,{"Core","Vertical extension","Differentiator","Future","Adjacent"},0))</f>
        <v>9</v>
      </c>
      <c r="AM691" s="5"/>
      <c r="AN691" s="5"/>
      <c r="AO691" s="5"/>
      <c r="AP691" s="5"/>
      <c r="AQ691" s="5"/>
      <c r="AR691" s="5"/>
      <c r="AS691" s="5"/>
      <c r="AT691" s="5"/>
      <c r="AU691" s="6" t="s">
        <v>927</v>
      </c>
      <c r="AV691" s="6" t="s">
        <v>2161</v>
      </c>
      <c r="AW691" s="6" t="s">
        <v>2161</v>
      </c>
      <c r="AX691" s="6" t="s">
        <v>929</v>
      </c>
      <c r="AY691" s="6" t="s">
        <v>930</v>
      </c>
      <c r="AZ691" s="6"/>
      <c r="BA691" s="6"/>
      <c r="BB691" s="6"/>
      <c r="BC691" s="6" t="s">
        <v>97</v>
      </c>
      <c r="BD691" s="6" t="s">
        <v>97</v>
      </c>
    </row>
    <row r="692" spans="1:56" ht="32" customHeight="1" x14ac:dyDescent="0.35">
      <c r="A692" s="13" t="s">
        <v>5018</v>
      </c>
      <c r="B692" s="6" t="s">
        <v>4961</v>
      </c>
      <c r="C692" s="5" t="s">
        <v>4962</v>
      </c>
      <c r="D692" s="5" t="s">
        <v>833</v>
      </c>
      <c r="E692" s="5" t="s">
        <v>5019</v>
      </c>
      <c r="F692" s="5" t="s">
        <v>5020</v>
      </c>
      <c r="G692" s="5" t="s">
        <v>5021</v>
      </c>
      <c r="H692" s="5" t="s">
        <v>5022</v>
      </c>
      <c r="I692" s="5" t="s">
        <v>5023</v>
      </c>
      <c r="J692" s="17" t="s">
        <v>121</v>
      </c>
      <c r="K692" s="17" t="s">
        <v>181</v>
      </c>
      <c r="L692" s="5" t="s">
        <v>5024</v>
      </c>
      <c r="M692" s="6" t="s">
        <v>198</v>
      </c>
      <c r="N692" s="6" t="s">
        <v>813</v>
      </c>
      <c r="O692" s="6" t="s">
        <v>121</v>
      </c>
      <c r="P692" s="5" t="s">
        <v>918</v>
      </c>
      <c r="Q692" s="17" t="s">
        <v>182</v>
      </c>
      <c r="R692" s="5"/>
      <c r="S692" s="6" t="s">
        <v>919</v>
      </c>
      <c r="T692" s="5" t="s">
        <v>920</v>
      </c>
      <c r="U692" s="6"/>
      <c r="V692" s="6" t="s">
        <v>921</v>
      </c>
      <c r="W692" s="6" t="s">
        <v>331</v>
      </c>
      <c r="X692" s="5" t="s">
        <v>4284</v>
      </c>
      <c r="Y692" s="5" t="s">
        <v>4385</v>
      </c>
      <c r="Z692" s="5" t="str">
        <f t="shared" si="20"/>
        <v>Low</v>
      </c>
      <c r="AA692" s="5" t="s">
        <v>956</v>
      </c>
      <c r="AB692" s="6" t="s">
        <v>924</v>
      </c>
      <c r="AC692" s="6" t="s">
        <v>11</v>
      </c>
      <c r="AD692" s="5" t="s">
        <v>925</v>
      </c>
      <c r="AE692" s="5" t="s">
        <v>354</v>
      </c>
      <c r="AF692" s="5" t="s">
        <v>354</v>
      </c>
      <c r="AG692" s="5" t="s">
        <v>354</v>
      </c>
      <c r="AH692" s="5" t="s">
        <v>354</v>
      </c>
      <c r="AI692" s="6" t="str">
        <f t="shared" si="21"/>
        <v>No</v>
      </c>
      <c r="AJ692" s="6" t="s">
        <v>926</v>
      </c>
      <c r="AK692" s="6" t="s">
        <v>151</v>
      </c>
      <c r="AL692" s="6">
        <f>MATCH(AA692,{"Low","Medium","High"},0)*MATCH(AB692,{"Low","Medium","High"},0)*INDEX({3,2,2,1,1},MATCH(X692,{"Core","Vertical extension","Differentiator","Future","Adjacent"},0))</f>
        <v>2</v>
      </c>
      <c r="AM692" s="5"/>
      <c r="AN692" s="5"/>
      <c r="AO692" s="5"/>
      <c r="AP692" s="5"/>
      <c r="AQ692" s="5"/>
      <c r="AR692" s="5"/>
      <c r="AS692" s="5"/>
      <c r="AT692" s="5"/>
      <c r="AU692" s="6" t="s">
        <v>927</v>
      </c>
      <c r="AV692" s="6" t="s">
        <v>1962</v>
      </c>
      <c r="AW692" s="6" t="s">
        <v>1962</v>
      </c>
      <c r="AX692" s="6" t="s">
        <v>929</v>
      </c>
      <c r="AY692" s="6" t="s">
        <v>930</v>
      </c>
      <c r="AZ692" s="6"/>
      <c r="BA692" s="6"/>
      <c r="BB692" s="6"/>
      <c r="BC692" s="6" t="s">
        <v>97</v>
      </c>
      <c r="BD692" s="6" t="s">
        <v>97</v>
      </c>
    </row>
    <row r="693" spans="1:56" ht="32" customHeight="1" x14ac:dyDescent="0.35">
      <c r="A693" s="13" t="s">
        <v>5025</v>
      </c>
      <c r="B693" s="6" t="s">
        <v>4961</v>
      </c>
      <c r="C693" s="5" t="s">
        <v>4962</v>
      </c>
      <c r="D693" s="5" t="s">
        <v>829</v>
      </c>
      <c r="E693" s="5" t="s">
        <v>5026</v>
      </c>
      <c r="F693" s="5" t="s">
        <v>5027</v>
      </c>
      <c r="G693" s="5" t="s">
        <v>1322</v>
      </c>
      <c r="H693" s="5" t="s">
        <v>5028</v>
      </c>
      <c r="I693" s="5" t="s">
        <v>5029</v>
      </c>
      <c r="J693" s="21" t="s">
        <v>158</v>
      </c>
      <c r="K693" s="17" t="s">
        <v>181</v>
      </c>
      <c r="L693" s="5" t="s">
        <v>5030</v>
      </c>
      <c r="M693" s="6" t="s">
        <v>198</v>
      </c>
      <c r="N693" s="6" t="s">
        <v>813</v>
      </c>
      <c r="O693" s="6" t="s">
        <v>151</v>
      </c>
      <c r="P693" s="5" t="s">
        <v>4283</v>
      </c>
      <c r="Q693" s="17" t="s">
        <v>182</v>
      </c>
      <c r="R693" s="5" t="s">
        <v>4283</v>
      </c>
      <c r="S693" s="6" t="s">
        <v>980</v>
      </c>
      <c r="T693" s="5" t="s">
        <v>981</v>
      </c>
      <c r="U693" s="6"/>
      <c r="V693" s="6" t="s">
        <v>982</v>
      </c>
      <c r="W693" s="6" t="s">
        <v>331</v>
      </c>
      <c r="X693" s="5" t="s">
        <v>4284</v>
      </c>
      <c r="Y693" s="5" t="s">
        <v>4385</v>
      </c>
      <c r="Z693" s="5" t="str">
        <f t="shared" si="20"/>
        <v>Low</v>
      </c>
      <c r="AA693" s="5" t="s">
        <v>923</v>
      </c>
      <c r="AB693" s="6" t="s">
        <v>924</v>
      </c>
      <c r="AC693" s="6" t="s">
        <v>11</v>
      </c>
      <c r="AD693" s="5" t="s">
        <v>925</v>
      </c>
      <c r="AE693" s="5" t="s">
        <v>354</v>
      </c>
      <c r="AF693" s="5" t="s">
        <v>354</v>
      </c>
      <c r="AG693" s="5" t="s">
        <v>354</v>
      </c>
      <c r="AH693" s="5" t="s">
        <v>354</v>
      </c>
      <c r="AI693" s="6" t="str">
        <f t="shared" si="21"/>
        <v>No</v>
      </c>
      <c r="AJ693" s="6" t="s">
        <v>926</v>
      </c>
      <c r="AK693" s="6" t="s">
        <v>158</v>
      </c>
      <c r="AL693" s="6">
        <f>MATCH(AA693,{"Low","Medium","High"},0)*MATCH(AB693,{"Low","Medium","High"},0)*INDEX({3,2,2,1,1},MATCH(X693,{"Core","Vertical extension","Differentiator","Future","Adjacent"},0))</f>
        <v>3</v>
      </c>
      <c r="AM693" s="5"/>
      <c r="AN693" s="5"/>
      <c r="AO693" s="5"/>
      <c r="AP693" s="5"/>
      <c r="AQ693" s="5"/>
      <c r="AR693" s="5"/>
      <c r="AS693" s="5"/>
      <c r="AT693" s="5"/>
      <c r="AU693" s="6" t="s">
        <v>927</v>
      </c>
      <c r="AV693" s="6" t="s">
        <v>2161</v>
      </c>
      <c r="AW693" s="6" t="s">
        <v>2161</v>
      </c>
      <c r="AX693" s="6" t="s">
        <v>4285</v>
      </c>
      <c r="AY693" s="6" t="s">
        <v>930</v>
      </c>
      <c r="AZ693" s="6"/>
      <c r="BA693" s="6"/>
      <c r="BB693" s="6"/>
      <c r="BC693" s="6" t="s">
        <v>97</v>
      </c>
      <c r="BD693" s="6" t="s">
        <v>97</v>
      </c>
    </row>
    <row r="694" spans="1:56" ht="32" customHeight="1" x14ac:dyDescent="0.35">
      <c r="A694" s="13" t="s">
        <v>5031</v>
      </c>
      <c r="B694" s="6" t="s">
        <v>4961</v>
      </c>
      <c r="C694" s="5" t="s">
        <v>4962</v>
      </c>
      <c r="D694" s="5" t="s">
        <v>838</v>
      </c>
      <c r="E694" s="5" t="s">
        <v>5032</v>
      </c>
      <c r="F694" s="5" t="s">
        <v>5033</v>
      </c>
      <c r="G694" s="5" t="s">
        <v>5034</v>
      </c>
      <c r="H694" s="5" t="s">
        <v>5035</v>
      </c>
      <c r="I694" s="5" t="s">
        <v>5036</v>
      </c>
      <c r="J694" s="16" t="s">
        <v>73</v>
      </c>
      <c r="K694" s="17" t="s">
        <v>181</v>
      </c>
      <c r="L694" s="5" t="s">
        <v>5037</v>
      </c>
      <c r="M694" s="6" t="s">
        <v>198</v>
      </c>
      <c r="N694" s="6" t="s">
        <v>813</v>
      </c>
      <c r="O694" s="6" t="s">
        <v>73</v>
      </c>
      <c r="P694" s="5" t="s">
        <v>918</v>
      </c>
      <c r="Q694" s="17" t="s">
        <v>182</v>
      </c>
      <c r="R694" s="5"/>
      <c r="S694" s="6" t="s">
        <v>990</v>
      </c>
      <c r="T694" s="5" t="s">
        <v>991</v>
      </c>
      <c r="U694" s="6"/>
      <c r="V694" s="6" t="s">
        <v>992</v>
      </c>
      <c r="W694" s="6" t="s">
        <v>337</v>
      </c>
      <c r="X694" s="5" t="s">
        <v>4284</v>
      </c>
      <c r="Y694" s="5" t="s">
        <v>4385</v>
      </c>
      <c r="Z694" s="5" t="str">
        <f t="shared" si="20"/>
        <v>Low</v>
      </c>
      <c r="AA694" s="5" t="s">
        <v>923</v>
      </c>
      <c r="AB694" s="6" t="s">
        <v>924</v>
      </c>
      <c r="AC694" s="6" t="s">
        <v>78</v>
      </c>
      <c r="AD694" s="5" t="s">
        <v>925</v>
      </c>
      <c r="AE694" s="5" t="s">
        <v>354</v>
      </c>
      <c r="AF694" s="5" t="s">
        <v>354</v>
      </c>
      <c r="AG694" s="5" t="s">
        <v>354</v>
      </c>
      <c r="AH694" s="5" t="s">
        <v>354</v>
      </c>
      <c r="AI694" s="6" t="str">
        <f t="shared" si="21"/>
        <v>No</v>
      </c>
      <c r="AJ694" s="6" t="s">
        <v>926</v>
      </c>
      <c r="AK694" s="6" t="s">
        <v>73</v>
      </c>
      <c r="AL694" s="6">
        <f>MATCH(AA694,{"Low","Medium","High"},0)*MATCH(AB694,{"Low","Medium","High"},0)*INDEX({3,2,2,1,1},MATCH(X694,{"Core","Vertical extension","Differentiator","Future","Adjacent"},0))</f>
        <v>3</v>
      </c>
      <c r="AM694" s="5"/>
      <c r="AN694" s="5"/>
      <c r="AO694" s="5"/>
      <c r="AP694" s="5"/>
      <c r="AQ694" s="5"/>
      <c r="AR694" s="5"/>
      <c r="AS694" s="5"/>
      <c r="AT694" s="5"/>
      <c r="AU694" s="6" t="s">
        <v>927</v>
      </c>
      <c r="AV694" s="6" t="s">
        <v>2161</v>
      </c>
      <c r="AW694" s="6" t="s">
        <v>2161</v>
      </c>
      <c r="AX694" s="6" t="s">
        <v>929</v>
      </c>
      <c r="AY694" s="6" t="s">
        <v>930</v>
      </c>
      <c r="AZ694" s="6"/>
      <c r="BA694" s="6"/>
      <c r="BB694" s="6"/>
      <c r="BC694" s="6" t="s">
        <v>97</v>
      </c>
      <c r="BD694" s="6" t="s">
        <v>97</v>
      </c>
    </row>
    <row r="695" spans="1:56" ht="32" customHeight="1" x14ac:dyDescent="0.35">
      <c r="A695" s="13" t="s">
        <v>5038</v>
      </c>
      <c r="B695" s="6" t="s">
        <v>4961</v>
      </c>
      <c r="C695" s="5" t="s">
        <v>4962</v>
      </c>
      <c r="D695" s="5" t="s">
        <v>838</v>
      </c>
      <c r="E695" s="5" t="s">
        <v>5039</v>
      </c>
      <c r="F695" s="5" t="s">
        <v>5040</v>
      </c>
      <c r="G695" s="5" t="s">
        <v>1623</v>
      </c>
      <c r="H695" s="5" t="s">
        <v>5041</v>
      </c>
      <c r="I695" s="5" t="s">
        <v>5042</v>
      </c>
      <c r="J695" s="17" t="s">
        <v>121</v>
      </c>
      <c r="K695" s="17" t="s">
        <v>181</v>
      </c>
      <c r="L695" s="5" t="s">
        <v>5043</v>
      </c>
      <c r="M695" s="6" t="s">
        <v>198</v>
      </c>
      <c r="N695" s="6" t="s">
        <v>813</v>
      </c>
      <c r="O695" s="6" t="s">
        <v>121</v>
      </c>
      <c r="P695" s="5" t="s">
        <v>918</v>
      </c>
      <c r="Q695" s="17" t="s">
        <v>182</v>
      </c>
      <c r="R695" s="5"/>
      <c r="S695" s="6" t="s">
        <v>990</v>
      </c>
      <c r="T695" s="5" t="s">
        <v>991</v>
      </c>
      <c r="U695" s="6"/>
      <c r="V695" s="6" t="s">
        <v>992</v>
      </c>
      <c r="W695" s="6" t="s">
        <v>337</v>
      </c>
      <c r="X695" s="5" t="s">
        <v>4284</v>
      </c>
      <c r="Y695" s="5" t="s">
        <v>4385</v>
      </c>
      <c r="Z695" s="5" t="str">
        <f t="shared" si="20"/>
        <v>Low</v>
      </c>
      <c r="AA695" s="5" t="s">
        <v>956</v>
      </c>
      <c r="AB695" s="6" t="s">
        <v>924</v>
      </c>
      <c r="AC695" s="6" t="s">
        <v>11</v>
      </c>
      <c r="AD695" s="5" t="s">
        <v>925</v>
      </c>
      <c r="AE695" s="5" t="s">
        <v>354</v>
      </c>
      <c r="AF695" s="5" t="s">
        <v>354</v>
      </c>
      <c r="AG695" s="5" t="s">
        <v>354</v>
      </c>
      <c r="AH695" s="5" t="s">
        <v>354</v>
      </c>
      <c r="AI695" s="6" t="str">
        <f t="shared" si="21"/>
        <v>No</v>
      </c>
      <c r="AJ695" s="6" t="s">
        <v>926</v>
      </c>
      <c r="AK695" s="6" t="s">
        <v>151</v>
      </c>
      <c r="AL695" s="6">
        <f>MATCH(AA695,{"Low","Medium","High"},0)*MATCH(AB695,{"Low","Medium","High"},0)*INDEX({3,2,2,1,1},MATCH(X695,{"Core","Vertical extension","Differentiator","Future","Adjacent"},0))</f>
        <v>2</v>
      </c>
      <c r="AM695" s="5"/>
      <c r="AN695" s="5"/>
      <c r="AO695" s="5"/>
      <c r="AP695" s="5"/>
      <c r="AQ695" s="5"/>
      <c r="AR695" s="5"/>
      <c r="AS695" s="5"/>
      <c r="AT695" s="5"/>
      <c r="AU695" s="6" t="s">
        <v>927</v>
      </c>
      <c r="AV695" s="6" t="s">
        <v>2161</v>
      </c>
      <c r="AW695" s="6" t="s">
        <v>2161</v>
      </c>
      <c r="AX695" s="6" t="s">
        <v>929</v>
      </c>
      <c r="AY695" s="6" t="s">
        <v>930</v>
      </c>
      <c r="AZ695" s="6"/>
      <c r="BA695" s="6"/>
      <c r="BB695" s="6"/>
      <c r="BC695" s="6" t="s">
        <v>97</v>
      </c>
      <c r="BD695" s="6" t="s">
        <v>97</v>
      </c>
    </row>
    <row r="696" spans="1:56" ht="32" customHeight="1" x14ac:dyDescent="0.35">
      <c r="A696" s="13" t="s">
        <v>5044</v>
      </c>
      <c r="B696" s="6" t="s">
        <v>4961</v>
      </c>
      <c r="C696" s="5" t="s">
        <v>4962</v>
      </c>
      <c r="D696" s="5" t="s">
        <v>831</v>
      </c>
      <c r="E696" s="5" t="s">
        <v>5045</v>
      </c>
      <c r="F696" s="5" t="s">
        <v>5046</v>
      </c>
      <c r="G696" s="5" t="s">
        <v>1322</v>
      </c>
      <c r="H696" s="5" t="s">
        <v>5047</v>
      </c>
      <c r="I696" s="5" t="s">
        <v>5048</v>
      </c>
      <c r="J696" s="17" t="s">
        <v>121</v>
      </c>
      <c r="K696" s="17" t="s">
        <v>181</v>
      </c>
      <c r="L696" s="5" t="s">
        <v>5049</v>
      </c>
      <c r="M696" s="6" t="s">
        <v>198</v>
      </c>
      <c r="N696" s="6" t="s">
        <v>813</v>
      </c>
      <c r="O696" s="6" t="s">
        <v>121</v>
      </c>
      <c r="P696" s="5" t="s">
        <v>5050</v>
      </c>
      <c r="Q696" s="18" t="s">
        <v>186</v>
      </c>
      <c r="R696" s="5" t="s">
        <v>5051</v>
      </c>
      <c r="S696" s="6" t="s">
        <v>964</v>
      </c>
      <c r="T696" s="5" t="s">
        <v>965</v>
      </c>
      <c r="U696" s="6"/>
      <c r="V696" s="6" t="s">
        <v>966</v>
      </c>
      <c r="W696" s="6" t="s">
        <v>333</v>
      </c>
      <c r="X696" s="5" t="s">
        <v>4284</v>
      </c>
      <c r="Y696" s="5" t="s">
        <v>4385</v>
      </c>
      <c r="Z696" s="5" t="str">
        <f t="shared" si="20"/>
        <v>Low</v>
      </c>
      <c r="AA696" s="5" t="s">
        <v>956</v>
      </c>
      <c r="AB696" s="6" t="s">
        <v>924</v>
      </c>
      <c r="AC696" s="6" t="s">
        <v>11</v>
      </c>
      <c r="AD696" s="5" t="s">
        <v>940</v>
      </c>
      <c r="AE696" s="5" t="s">
        <v>354</v>
      </c>
      <c r="AF696" s="5" t="s">
        <v>354</v>
      </c>
      <c r="AG696" s="5" t="s">
        <v>354</v>
      </c>
      <c r="AH696" s="5" t="s">
        <v>354</v>
      </c>
      <c r="AI696" s="6" t="str">
        <f t="shared" si="21"/>
        <v>No</v>
      </c>
      <c r="AJ696" s="6" t="s">
        <v>941</v>
      </c>
      <c r="AK696" s="6" t="s">
        <v>151</v>
      </c>
      <c r="AL696" s="6">
        <f>MATCH(AA696,{"Low","Medium","High"},0)*MATCH(AB696,{"Low","Medium","High"},0)*INDEX({3,2,2,1,1},MATCH(X696,{"Core","Vertical extension","Differentiator","Future","Adjacent"},0))</f>
        <v>2</v>
      </c>
      <c r="AM696" s="5"/>
      <c r="AN696" s="5"/>
      <c r="AO696" s="5"/>
      <c r="AP696" s="5"/>
      <c r="AQ696" s="5"/>
      <c r="AR696" s="5"/>
      <c r="AS696" s="5"/>
      <c r="AT696" s="5"/>
      <c r="AU696" s="6" t="s">
        <v>927</v>
      </c>
      <c r="AV696" s="6" t="s">
        <v>2161</v>
      </c>
      <c r="AW696" s="6" t="s">
        <v>2161</v>
      </c>
      <c r="AX696" s="6" t="s">
        <v>1003</v>
      </c>
      <c r="AY696" s="6" t="s">
        <v>930</v>
      </c>
      <c r="AZ696" s="6"/>
      <c r="BA696" s="6"/>
      <c r="BB696" s="6"/>
      <c r="BC696" s="6" t="s">
        <v>97</v>
      </c>
      <c r="BD696" s="6" t="s">
        <v>97</v>
      </c>
    </row>
    <row r="697" spans="1:56" ht="32" customHeight="1" x14ac:dyDescent="0.35">
      <c r="A697" s="13" t="s">
        <v>5052</v>
      </c>
      <c r="B697" s="6" t="s">
        <v>4961</v>
      </c>
      <c r="C697" s="5" t="s">
        <v>4962</v>
      </c>
      <c r="D697" s="5" t="s">
        <v>843</v>
      </c>
      <c r="E697" s="5" t="s">
        <v>5053</v>
      </c>
      <c r="F697" s="5" t="s">
        <v>5054</v>
      </c>
      <c r="G697" s="5" t="s">
        <v>1497</v>
      </c>
      <c r="H697" s="5" t="s">
        <v>5055</v>
      </c>
      <c r="I697" s="5" t="s">
        <v>5056</v>
      </c>
      <c r="J697" s="21" t="s">
        <v>158</v>
      </c>
      <c r="K697" s="17" t="s">
        <v>181</v>
      </c>
      <c r="L697" s="5" t="s">
        <v>5057</v>
      </c>
      <c r="M697" s="6" t="s">
        <v>198</v>
      </c>
      <c r="N697" s="6" t="s">
        <v>813</v>
      </c>
      <c r="O697" s="6" t="s">
        <v>151</v>
      </c>
      <c r="P697" s="5" t="s">
        <v>4283</v>
      </c>
      <c r="Q697" s="17" t="s">
        <v>182</v>
      </c>
      <c r="R697" s="5" t="s">
        <v>4283</v>
      </c>
      <c r="S697" s="6" t="s">
        <v>3845</v>
      </c>
      <c r="T697" s="5" t="s">
        <v>3846</v>
      </c>
      <c r="U697" s="6"/>
      <c r="V697" s="6" t="s">
        <v>921</v>
      </c>
      <c r="W697" s="6" t="s">
        <v>331</v>
      </c>
      <c r="X697" s="5" t="s">
        <v>4284</v>
      </c>
      <c r="Y697" s="5" t="s">
        <v>4385</v>
      </c>
      <c r="Z697" s="5" t="str">
        <f t="shared" si="20"/>
        <v>Low</v>
      </c>
      <c r="AA697" s="5" t="s">
        <v>924</v>
      </c>
      <c r="AB697" s="6" t="s">
        <v>924</v>
      </c>
      <c r="AC697" s="6" t="s">
        <v>11</v>
      </c>
      <c r="AD697" s="5" t="s">
        <v>925</v>
      </c>
      <c r="AE697" s="5" t="s">
        <v>354</v>
      </c>
      <c r="AF697" s="5" t="s">
        <v>354</v>
      </c>
      <c r="AG697" s="5" t="s">
        <v>354</v>
      </c>
      <c r="AH697" s="5" t="s">
        <v>354</v>
      </c>
      <c r="AI697" s="6" t="str">
        <f t="shared" si="21"/>
        <v>No</v>
      </c>
      <c r="AJ697" s="6" t="s">
        <v>926</v>
      </c>
      <c r="AK697" s="6" t="s">
        <v>158</v>
      </c>
      <c r="AL697" s="6">
        <f>MATCH(AA697,{"Low","Medium","High"},0)*MATCH(AB697,{"Low","Medium","High"},0)*INDEX({3,2,2,1,1},MATCH(X697,{"Core","Vertical extension","Differentiator","Future","Adjacent"},0))</f>
        <v>1</v>
      </c>
      <c r="AM697" s="5"/>
      <c r="AN697" s="5"/>
      <c r="AO697" s="5"/>
      <c r="AP697" s="5"/>
      <c r="AQ697" s="5"/>
      <c r="AR697" s="5"/>
      <c r="AS697" s="5"/>
      <c r="AT697" s="5"/>
      <c r="AU697" s="6" t="s">
        <v>927</v>
      </c>
      <c r="AV697" s="6" t="s">
        <v>2161</v>
      </c>
      <c r="AW697" s="6" t="s">
        <v>2161</v>
      </c>
      <c r="AX697" s="6" t="s">
        <v>4285</v>
      </c>
      <c r="AY697" s="6" t="s">
        <v>930</v>
      </c>
      <c r="AZ697" s="6"/>
      <c r="BA697" s="6"/>
      <c r="BB697" s="6"/>
      <c r="BC697" s="6" t="s">
        <v>97</v>
      </c>
      <c r="BD697" s="6" t="s">
        <v>97</v>
      </c>
    </row>
    <row r="698" spans="1:56" ht="32" customHeight="1" x14ac:dyDescent="0.35">
      <c r="A698" s="13" t="s">
        <v>5058</v>
      </c>
      <c r="B698" s="6" t="s">
        <v>4961</v>
      </c>
      <c r="C698" s="5" t="s">
        <v>4962</v>
      </c>
      <c r="D698" s="5" t="s">
        <v>833</v>
      </c>
      <c r="E698" s="5" t="s">
        <v>5059</v>
      </c>
      <c r="F698" s="5" t="s">
        <v>5060</v>
      </c>
      <c r="G698" s="5" t="s">
        <v>5061</v>
      </c>
      <c r="H698" s="5" t="s">
        <v>5062</v>
      </c>
      <c r="I698" s="5" t="s">
        <v>5063</v>
      </c>
      <c r="J698" s="17" t="s">
        <v>121</v>
      </c>
      <c r="K698" s="17" t="s">
        <v>181</v>
      </c>
      <c r="L698" s="5" t="s">
        <v>5064</v>
      </c>
      <c r="M698" s="6" t="s">
        <v>198</v>
      </c>
      <c r="N698" s="6" t="s">
        <v>813</v>
      </c>
      <c r="O698" s="6" t="s">
        <v>121</v>
      </c>
      <c r="P698" s="5" t="s">
        <v>918</v>
      </c>
      <c r="Q698" s="17" t="s">
        <v>182</v>
      </c>
      <c r="R698" s="5"/>
      <c r="S698" s="6" t="s">
        <v>919</v>
      </c>
      <c r="T698" s="5" t="s">
        <v>920</v>
      </c>
      <c r="U698" s="6"/>
      <c r="V698" s="6" t="s">
        <v>921</v>
      </c>
      <c r="W698" s="6" t="s">
        <v>331</v>
      </c>
      <c r="X698" s="5" t="s">
        <v>4284</v>
      </c>
      <c r="Y698" s="5" t="s">
        <v>4385</v>
      </c>
      <c r="Z698" s="5" t="str">
        <f t="shared" si="20"/>
        <v>Low</v>
      </c>
      <c r="AA698" s="5" t="s">
        <v>956</v>
      </c>
      <c r="AB698" s="6" t="s">
        <v>924</v>
      </c>
      <c r="AC698" s="6" t="s">
        <v>11</v>
      </c>
      <c r="AD698" s="5" t="s">
        <v>925</v>
      </c>
      <c r="AE698" s="5" t="s">
        <v>354</v>
      </c>
      <c r="AF698" s="5" t="s">
        <v>354</v>
      </c>
      <c r="AG698" s="5" t="s">
        <v>354</v>
      </c>
      <c r="AH698" s="5" t="s">
        <v>354</v>
      </c>
      <c r="AI698" s="6" t="str">
        <f t="shared" si="21"/>
        <v>No</v>
      </c>
      <c r="AJ698" s="6" t="s">
        <v>926</v>
      </c>
      <c r="AK698" s="6" t="s">
        <v>151</v>
      </c>
      <c r="AL698" s="6">
        <f>MATCH(AA698,{"Low","Medium","High"},0)*MATCH(AB698,{"Low","Medium","High"},0)*INDEX({3,2,2,1,1},MATCH(X698,{"Core","Vertical extension","Differentiator","Future","Adjacent"},0))</f>
        <v>2</v>
      </c>
      <c r="AM698" s="5"/>
      <c r="AN698" s="5"/>
      <c r="AO698" s="5"/>
      <c r="AP698" s="5"/>
      <c r="AQ698" s="5"/>
      <c r="AR698" s="5"/>
      <c r="AS698" s="5"/>
      <c r="AT698" s="5"/>
      <c r="AU698" s="6" t="s">
        <v>927</v>
      </c>
      <c r="AV698" s="6" t="s">
        <v>53</v>
      </c>
      <c r="AW698" s="6" t="s">
        <v>53</v>
      </c>
      <c r="AX698" s="6" t="s">
        <v>929</v>
      </c>
      <c r="AY698" s="6" t="s">
        <v>930</v>
      </c>
      <c r="AZ698" s="6"/>
      <c r="BA698" s="6"/>
      <c r="BB698" s="6"/>
      <c r="BC698" s="6" t="s">
        <v>97</v>
      </c>
      <c r="BD698" s="6" t="s">
        <v>97</v>
      </c>
    </row>
    <row r="699" spans="1:56" ht="32" customHeight="1" x14ac:dyDescent="0.35">
      <c r="A699" s="13" t="s">
        <v>5065</v>
      </c>
      <c r="B699" s="6" t="s">
        <v>4961</v>
      </c>
      <c r="C699" s="5" t="s">
        <v>4962</v>
      </c>
      <c r="D699" s="5" t="s">
        <v>827</v>
      </c>
      <c r="E699" s="5" t="s">
        <v>5066</v>
      </c>
      <c r="F699" s="5" t="s">
        <v>5067</v>
      </c>
      <c r="G699" s="5" t="s">
        <v>2633</v>
      </c>
      <c r="H699" s="5" t="s">
        <v>5068</v>
      </c>
      <c r="I699" s="5" t="s">
        <v>5069</v>
      </c>
      <c r="J699" s="17" t="s">
        <v>121</v>
      </c>
      <c r="K699" s="17" t="s">
        <v>181</v>
      </c>
      <c r="L699" s="5" t="s">
        <v>5070</v>
      </c>
      <c r="M699" s="6" t="s">
        <v>198</v>
      </c>
      <c r="N699" s="6" t="s">
        <v>813</v>
      </c>
      <c r="O699" s="6" t="s">
        <v>121</v>
      </c>
      <c r="P699" s="5" t="s">
        <v>918</v>
      </c>
      <c r="Q699" s="17" t="s">
        <v>182</v>
      </c>
      <c r="R699" s="5"/>
      <c r="S699" s="6" t="s">
        <v>1030</v>
      </c>
      <c r="T699" s="5" t="s">
        <v>827</v>
      </c>
      <c r="U699" s="6"/>
      <c r="V699" s="6" t="s">
        <v>1002</v>
      </c>
      <c r="W699" s="6" t="s">
        <v>333</v>
      </c>
      <c r="X699" s="5" t="s">
        <v>4284</v>
      </c>
      <c r="Y699" s="5" t="s">
        <v>4385</v>
      </c>
      <c r="Z699" s="5" t="str">
        <f t="shared" si="20"/>
        <v>Medium</v>
      </c>
      <c r="AA699" s="5" t="s">
        <v>956</v>
      </c>
      <c r="AB699" s="6" t="s">
        <v>956</v>
      </c>
      <c r="AC699" s="6" t="s">
        <v>11</v>
      </c>
      <c r="AD699" s="5" t="s">
        <v>925</v>
      </c>
      <c r="AE699" s="5" t="s">
        <v>354</v>
      </c>
      <c r="AF699" s="5" t="s">
        <v>354</v>
      </c>
      <c r="AG699" s="5" t="s">
        <v>354</v>
      </c>
      <c r="AH699" s="5" t="s">
        <v>354</v>
      </c>
      <c r="AI699" s="6" t="str">
        <f t="shared" si="21"/>
        <v>No</v>
      </c>
      <c r="AJ699" s="6" t="s">
        <v>926</v>
      </c>
      <c r="AK699" s="6" t="s">
        <v>151</v>
      </c>
      <c r="AL699" s="6">
        <f>MATCH(AA699,{"Low","Medium","High"},0)*MATCH(AB699,{"Low","Medium","High"},0)*INDEX({3,2,2,1,1},MATCH(X699,{"Core","Vertical extension","Differentiator","Future","Adjacent"},0))</f>
        <v>4</v>
      </c>
      <c r="AM699" s="5"/>
      <c r="AN699" s="5"/>
      <c r="AO699" s="5"/>
      <c r="AP699" s="5"/>
      <c r="AQ699" s="5"/>
      <c r="AR699" s="5"/>
      <c r="AS699" s="5"/>
      <c r="AT699" s="5"/>
      <c r="AU699" s="6" t="s">
        <v>927</v>
      </c>
      <c r="AV699" s="6" t="s">
        <v>2161</v>
      </c>
      <c r="AW699" s="6" t="s">
        <v>2161</v>
      </c>
      <c r="AX699" s="6" t="s">
        <v>929</v>
      </c>
      <c r="AY699" s="6" t="s">
        <v>1032</v>
      </c>
      <c r="AZ699" s="6"/>
      <c r="BA699" s="6"/>
      <c r="BB699" s="6"/>
      <c r="BC699" s="6" t="s">
        <v>97</v>
      </c>
      <c r="BD699" s="6" t="s">
        <v>97</v>
      </c>
    </row>
    <row r="700" spans="1:56" ht="32" customHeight="1" x14ac:dyDescent="0.35">
      <c r="A700" s="13" t="s">
        <v>5071</v>
      </c>
      <c r="B700" s="6" t="s">
        <v>4961</v>
      </c>
      <c r="C700" s="5" t="s">
        <v>4962</v>
      </c>
      <c r="D700" s="5" t="s">
        <v>831</v>
      </c>
      <c r="E700" s="5" t="s">
        <v>5072</v>
      </c>
      <c r="F700" s="5" t="s">
        <v>5073</v>
      </c>
      <c r="G700" s="5" t="s">
        <v>1310</v>
      </c>
      <c r="H700" s="5" t="s">
        <v>5074</v>
      </c>
      <c r="I700" s="5" t="s">
        <v>5075</v>
      </c>
      <c r="J700" s="21" t="s">
        <v>158</v>
      </c>
      <c r="K700" s="17" t="s">
        <v>181</v>
      </c>
      <c r="L700" s="5" t="s">
        <v>5076</v>
      </c>
      <c r="M700" s="6" t="s">
        <v>198</v>
      </c>
      <c r="N700" s="6" t="s">
        <v>813</v>
      </c>
      <c r="O700" s="6" t="s">
        <v>151</v>
      </c>
      <c r="P700" s="5" t="s">
        <v>4283</v>
      </c>
      <c r="Q700" s="17" t="s">
        <v>182</v>
      </c>
      <c r="R700" s="5" t="s">
        <v>4283</v>
      </c>
      <c r="S700" s="6" t="s">
        <v>964</v>
      </c>
      <c r="T700" s="5" t="s">
        <v>965</v>
      </c>
      <c r="U700" s="6"/>
      <c r="V700" s="6" t="s">
        <v>966</v>
      </c>
      <c r="W700" s="6" t="s">
        <v>333</v>
      </c>
      <c r="X700" s="5" t="s">
        <v>4284</v>
      </c>
      <c r="Y700" s="5" t="s">
        <v>4385</v>
      </c>
      <c r="Z700" s="5" t="str">
        <f t="shared" si="20"/>
        <v>Low</v>
      </c>
      <c r="AA700" s="5" t="s">
        <v>924</v>
      </c>
      <c r="AB700" s="6" t="s">
        <v>924</v>
      </c>
      <c r="AC700" s="6" t="s">
        <v>11</v>
      </c>
      <c r="AD700" s="5" t="s">
        <v>925</v>
      </c>
      <c r="AE700" s="5" t="s">
        <v>354</v>
      </c>
      <c r="AF700" s="5" t="s">
        <v>354</v>
      </c>
      <c r="AG700" s="5" t="s">
        <v>354</v>
      </c>
      <c r="AH700" s="5" t="s">
        <v>354</v>
      </c>
      <c r="AI700" s="6" t="str">
        <f t="shared" si="21"/>
        <v>No</v>
      </c>
      <c r="AJ700" s="6" t="s">
        <v>926</v>
      </c>
      <c r="AK700" s="6" t="s">
        <v>158</v>
      </c>
      <c r="AL700" s="6">
        <f>MATCH(AA700,{"Low","Medium","High"},0)*MATCH(AB700,{"Low","Medium","High"},0)*INDEX({3,2,2,1,1},MATCH(X700,{"Core","Vertical extension","Differentiator","Future","Adjacent"},0))</f>
        <v>1</v>
      </c>
      <c r="AM700" s="5"/>
      <c r="AN700" s="5"/>
      <c r="AO700" s="5"/>
      <c r="AP700" s="5"/>
      <c r="AQ700" s="5"/>
      <c r="AR700" s="5"/>
      <c r="AS700" s="5"/>
      <c r="AT700" s="5"/>
      <c r="AU700" s="6" t="s">
        <v>927</v>
      </c>
      <c r="AV700" s="6" t="s">
        <v>2161</v>
      </c>
      <c r="AW700" s="6" t="s">
        <v>2161</v>
      </c>
      <c r="AX700" s="6" t="s">
        <v>4285</v>
      </c>
      <c r="AY700" s="6" t="s">
        <v>930</v>
      </c>
      <c r="AZ700" s="6"/>
      <c r="BA700" s="6"/>
      <c r="BB700" s="6"/>
      <c r="BC700" s="6" t="s">
        <v>97</v>
      </c>
      <c r="BD700" s="6" t="s">
        <v>97</v>
      </c>
    </row>
    <row r="701" spans="1:56" ht="32" customHeight="1" x14ac:dyDescent="0.35">
      <c r="A701" s="13" t="s">
        <v>5077</v>
      </c>
      <c r="B701" s="6" t="s">
        <v>4961</v>
      </c>
      <c r="C701" s="5" t="s">
        <v>4962</v>
      </c>
      <c r="D701" s="5" t="s">
        <v>840</v>
      </c>
      <c r="E701" s="5" t="s">
        <v>5078</v>
      </c>
      <c r="F701" s="5" t="s">
        <v>5079</v>
      </c>
      <c r="G701" s="5" t="s">
        <v>5080</v>
      </c>
      <c r="H701" s="5" t="s">
        <v>5081</v>
      </c>
      <c r="I701" s="5" t="s">
        <v>5082</v>
      </c>
      <c r="J701" s="21" t="s">
        <v>158</v>
      </c>
      <c r="K701" s="17" t="s">
        <v>181</v>
      </c>
      <c r="L701" s="5" t="s">
        <v>5083</v>
      </c>
      <c r="M701" s="6" t="s">
        <v>198</v>
      </c>
      <c r="N701" s="6" t="s">
        <v>813</v>
      </c>
      <c r="O701" s="6" t="s">
        <v>151</v>
      </c>
      <c r="P701" s="5" t="s">
        <v>4283</v>
      </c>
      <c r="Q701" s="17" t="s">
        <v>182</v>
      </c>
      <c r="R701" s="5" t="s">
        <v>4283</v>
      </c>
      <c r="S701" s="6" t="s">
        <v>1022</v>
      </c>
      <c r="T701" s="5" t="s">
        <v>1023</v>
      </c>
      <c r="U701" s="6"/>
      <c r="V701" s="6" t="s">
        <v>1024</v>
      </c>
      <c r="W701" s="6" t="s">
        <v>337</v>
      </c>
      <c r="X701" s="5" t="s">
        <v>4284</v>
      </c>
      <c r="Y701" s="5" t="s">
        <v>4385</v>
      </c>
      <c r="Z701" s="5" t="str">
        <f t="shared" si="20"/>
        <v>Low</v>
      </c>
      <c r="AA701" s="5" t="s">
        <v>924</v>
      </c>
      <c r="AB701" s="6" t="s">
        <v>924</v>
      </c>
      <c r="AC701" s="6" t="s">
        <v>11</v>
      </c>
      <c r="AD701" s="5" t="s">
        <v>925</v>
      </c>
      <c r="AE701" s="5" t="s">
        <v>354</v>
      </c>
      <c r="AF701" s="5" t="s">
        <v>354</v>
      </c>
      <c r="AG701" s="5" t="s">
        <v>354</v>
      </c>
      <c r="AH701" s="5" t="s">
        <v>354</v>
      </c>
      <c r="AI701" s="6" t="str">
        <f t="shared" si="21"/>
        <v>No</v>
      </c>
      <c r="AJ701" s="6" t="s">
        <v>926</v>
      </c>
      <c r="AK701" s="6" t="s">
        <v>158</v>
      </c>
      <c r="AL701" s="6">
        <f>MATCH(AA701,{"Low","Medium","High"},0)*MATCH(AB701,{"Low","Medium","High"},0)*INDEX({3,2,2,1,1},MATCH(X701,{"Core","Vertical extension","Differentiator","Future","Adjacent"},0))</f>
        <v>1</v>
      </c>
      <c r="AM701" s="5"/>
      <c r="AN701" s="5"/>
      <c r="AO701" s="5"/>
      <c r="AP701" s="5"/>
      <c r="AQ701" s="5"/>
      <c r="AR701" s="5"/>
      <c r="AS701" s="5"/>
      <c r="AT701" s="5"/>
      <c r="AU701" s="6" t="s">
        <v>927</v>
      </c>
      <c r="AV701" s="6" t="s">
        <v>2161</v>
      </c>
      <c r="AW701" s="6" t="s">
        <v>2161</v>
      </c>
      <c r="AX701" s="6" t="s">
        <v>4285</v>
      </c>
      <c r="AY701" s="6" t="s">
        <v>930</v>
      </c>
      <c r="AZ701" s="6"/>
      <c r="BA701" s="6"/>
      <c r="BB701" s="6"/>
      <c r="BC701" s="6" t="s">
        <v>97</v>
      </c>
      <c r="BD701" s="6" t="s">
        <v>97</v>
      </c>
    </row>
    <row r="702" spans="1:56" ht="32" customHeight="1" x14ac:dyDescent="0.35">
      <c r="A702" s="13" t="s">
        <v>5084</v>
      </c>
      <c r="B702" s="6" t="s">
        <v>2114</v>
      </c>
      <c r="C702" s="5" t="s">
        <v>2115</v>
      </c>
      <c r="D702" s="5" t="s">
        <v>833</v>
      </c>
      <c r="E702" s="5" t="s">
        <v>5085</v>
      </c>
      <c r="F702" s="5" t="s">
        <v>5086</v>
      </c>
      <c r="G702" s="5" t="s">
        <v>1017</v>
      </c>
      <c r="H702" s="5" t="s">
        <v>5087</v>
      </c>
      <c r="I702" s="5" t="s">
        <v>5088</v>
      </c>
      <c r="J702" s="16" t="s">
        <v>73</v>
      </c>
      <c r="K702" s="17" t="s">
        <v>181</v>
      </c>
      <c r="L702" s="5" t="s">
        <v>5089</v>
      </c>
      <c r="M702" s="6" t="s">
        <v>198</v>
      </c>
      <c r="N702" s="6" t="s">
        <v>812</v>
      </c>
      <c r="O702" s="6" t="s">
        <v>73</v>
      </c>
      <c r="P702" s="5" t="s">
        <v>918</v>
      </c>
      <c r="Q702" s="18" t="s">
        <v>186</v>
      </c>
      <c r="R702" s="5" t="s">
        <v>1198</v>
      </c>
      <c r="S702" s="6" t="s">
        <v>919</v>
      </c>
      <c r="T702" s="5" t="s">
        <v>920</v>
      </c>
      <c r="U702" s="6"/>
      <c r="V702" s="6" t="s">
        <v>921</v>
      </c>
      <c r="W702" s="6" t="s">
        <v>331</v>
      </c>
      <c r="X702" s="5" t="s">
        <v>922</v>
      </c>
      <c r="Y702" s="5" t="s">
        <v>812</v>
      </c>
      <c r="Z702" s="5" t="str">
        <f t="shared" si="20"/>
        <v>High</v>
      </c>
      <c r="AA702" s="5" t="s">
        <v>923</v>
      </c>
      <c r="AB702" s="6" t="s">
        <v>924</v>
      </c>
      <c r="AC702" s="6" t="s">
        <v>78</v>
      </c>
      <c r="AD702" s="5" t="s">
        <v>940</v>
      </c>
      <c r="AE702" s="5" t="s">
        <v>354</v>
      </c>
      <c r="AF702" s="5" t="s">
        <v>354</v>
      </c>
      <c r="AG702" s="5" t="s">
        <v>354</v>
      </c>
      <c r="AH702" s="5" t="s">
        <v>354</v>
      </c>
      <c r="AI702" s="6" t="str">
        <f t="shared" si="21"/>
        <v>No</v>
      </c>
      <c r="AJ702" s="6" t="s">
        <v>941</v>
      </c>
      <c r="AK702" s="6" t="s">
        <v>73</v>
      </c>
      <c r="AL702" s="6">
        <f>MATCH(AA702,{"Low","Medium","High"},0)*MATCH(AB702,{"Low","Medium","High"},0)*INDEX({3,2,2,1,1},MATCH(X702,{"Core","Vertical extension","Differentiator","Future","Adjacent"},0))</f>
        <v>9</v>
      </c>
      <c r="AM702" s="5"/>
      <c r="AN702" s="5"/>
      <c r="AO702" s="5"/>
      <c r="AP702" s="5"/>
      <c r="AQ702" s="5"/>
      <c r="AR702" s="5"/>
      <c r="AS702" s="5"/>
      <c r="AT702" s="5"/>
      <c r="AU702" s="6" t="s">
        <v>927</v>
      </c>
      <c r="AV702" s="6" t="s">
        <v>2161</v>
      </c>
      <c r="AW702" s="6" t="s">
        <v>2161</v>
      </c>
      <c r="AX702" s="6" t="s">
        <v>929</v>
      </c>
      <c r="AY702" s="6" t="s">
        <v>930</v>
      </c>
      <c r="AZ702" s="6"/>
      <c r="BA702" s="6" t="s">
        <v>983</v>
      </c>
      <c r="BB702" s="6" t="s">
        <v>984</v>
      </c>
      <c r="BC702" s="6" t="s">
        <v>97</v>
      </c>
      <c r="BD702" s="6" t="s">
        <v>97</v>
      </c>
    </row>
    <row r="703" spans="1:56" ht="32" customHeight="1" x14ac:dyDescent="0.35">
      <c r="A703" s="13" t="s">
        <v>5090</v>
      </c>
      <c r="B703" s="6" t="s">
        <v>2114</v>
      </c>
      <c r="C703" s="5" t="s">
        <v>2115</v>
      </c>
      <c r="D703" s="5" t="s">
        <v>833</v>
      </c>
      <c r="E703" s="5" t="s">
        <v>5091</v>
      </c>
      <c r="F703" s="5" t="s">
        <v>5092</v>
      </c>
      <c r="G703" s="5" t="s">
        <v>1017</v>
      </c>
      <c r="H703" s="5" t="s">
        <v>5093</v>
      </c>
      <c r="I703" s="5" t="s">
        <v>5094</v>
      </c>
      <c r="J703" s="16" t="s">
        <v>73</v>
      </c>
      <c r="K703" s="17" t="s">
        <v>181</v>
      </c>
      <c r="L703" s="5" t="s">
        <v>5095</v>
      </c>
      <c r="M703" s="6" t="s">
        <v>198</v>
      </c>
      <c r="N703" s="6" t="s">
        <v>812</v>
      </c>
      <c r="O703" s="6" t="s">
        <v>121</v>
      </c>
      <c r="P703" s="5" t="s">
        <v>4365</v>
      </c>
      <c r="Q703" s="17" t="s">
        <v>182</v>
      </c>
      <c r="R703" s="5" t="s">
        <v>4365</v>
      </c>
      <c r="S703" s="6" t="s">
        <v>919</v>
      </c>
      <c r="T703" s="5" t="s">
        <v>920</v>
      </c>
      <c r="U703" s="6"/>
      <c r="V703" s="6" t="s">
        <v>921</v>
      </c>
      <c r="W703" s="6" t="s">
        <v>331</v>
      </c>
      <c r="X703" s="5" t="s">
        <v>922</v>
      </c>
      <c r="Y703" s="5" t="s">
        <v>812</v>
      </c>
      <c r="Z703" s="5" t="str">
        <f t="shared" si="20"/>
        <v>High</v>
      </c>
      <c r="AA703" s="5" t="s">
        <v>923</v>
      </c>
      <c r="AB703" s="6" t="s">
        <v>924</v>
      </c>
      <c r="AC703" s="6" t="s">
        <v>78</v>
      </c>
      <c r="AD703" s="5" t="s">
        <v>925</v>
      </c>
      <c r="AE703" s="5" t="s">
        <v>354</v>
      </c>
      <c r="AF703" s="5" t="s">
        <v>354</v>
      </c>
      <c r="AG703" s="5" t="s">
        <v>354</v>
      </c>
      <c r="AH703" s="5" t="s">
        <v>354</v>
      </c>
      <c r="AI703" s="6" t="str">
        <f t="shared" si="21"/>
        <v>No</v>
      </c>
      <c r="AJ703" s="6" t="s">
        <v>926</v>
      </c>
      <c r="AK703" s="6" t="s">
        <v>73</v>
      </c>
      <c r="AL703" s="6">
        <f>MATCH(AA703,{"Low","Medium","High"},0)*MATCH(AB703,{"Low","Medium","High"},0)*INDEX({3,2,2,1,1},MATCH(X703,{"Core","Vertical extension","Differentiator","Future","Adjacent"},0))</f>
        <v>9</v>
      </c>
      <c r="AM703" s="5"/>
      <c r="AN703" s="5"/>
      <c r="AO703" s="5"/>
      <c r="AP703" s="5"/>
      <c r="AQ703" s="5"/>
      <c r="AR703" s="5"/>
      <c r="AS703" s="5"/>
      <c r="AT703" s="5"/>
      <c r="AU703" s="6" t="s">
        <v>927</v>
      </c>
      <c r="AV703" s="6" t="s">
        <v>1322</v>
      </c>
      <c r="AW703" s="6" t="s">
        <v>1322</v>
      </c>
      <c r="AX703" s="6" t="s">
        <v>4285</v>
      </c>
      <c r="AY703" s="6" t="s">
        <v>930</v>
      </c>
      <c r="AZ703" s="6"/>
      <c r="BA703" s="6"/>
      <c r="BB703" s="6"/>
      <c r="BC703" s="6" t="s">
        <v>97</v>
      </c>
      <c r="BD703" s="6" t="s">
        <v>97</v>
      </c>
    </row>
    <row r="704" spans="1:56" ht="32" customHeight="1" x14ac:dyDescent="0.35">
      <c r="A704" s="13" t="s">
        <v>5096</v>
      </c>
      <c r="B704" s="6" t="s">
        <v>2114</v>
      </c>
      <c r="C704" s="5" t="s">
        <v>2115</v>
      </c>
      <c r="D704" s="5" t="s">
        <v>837</v>
      </c>
      <c r="E704" s="5" t="s">
        <v>5097</v>
      </c>
      <c r="F704" s="5" t="s">
        <v>1333</v>
      </c>
      <c r="G704" s="5" t="s">
        <v>1017</v>
      </c>
      <c r="H704" s="5" t="s">
        <v>5098</v>
      </c>
      <c r="I704" s="5" t="s">
        <v>5099</v>
      </c>
      <c r="J704" s="17" t="s">
        <v>121</v>
      </c>
      <c r="K704" s="17" t="s">
        <v>181</v>
      </c>
      <c r="L704" s="5" t="s">
        <v>5100</v>
      </c>
      <c r="M704" s="6" t="s">
        <v>198</v>
      </c>
      <c r="N704" s="6" t="s">
        <v>812</v>
      </c>
      <c r="O704" s="6" t="s">
        <v>121</v>
      </c>
      <c r="P704" s="5" t="s">
        <v>918</v>
      </c>
      <c r="Q704" s="18" t="s">
        <v>186</v>
      </c>
      <c r="R704" s="5" t="s">
        <v>2192</v>
      </c>
      <c r="S704" s="6" t="s">
        <v>937</v>
      </c>
      <c r="T704" s="5" t="s">
        <v>938</v>
      </c>
      <c r="U704" s="6"/>
      <c r="V704" s="6" t="s">
        <v>939</v>
      </c>
      <c r="W704" s="6" t="s">
        <v>331</v>
      </c>
      <c r="X704" s="5" t="s">
        <v>922</v>
      </c>
      <c r="Y704" s="5" t="s">
        <v>812</v>
      </c>
      <c r="Z704" s="5" t="str">
        <f t="shared" si="20"/>
        <v>High</v>
      </c>
      <c r="AA704" s="5" t="s">
        <v>923</v>
      </c>
      <c r="AB704" s="6" t="s">
        <v>924</v>
      </c>
      <c r="AC704" s="6" t="s">
        <v>103</v>
      </c>
      <c r="AD704" s="5" t="s">
        <v>940</v>
      </c>
      <c r="AE704" s="5" t="s">
        <v>354</v>
      </c>
      <c r="AF704" s="5" t="s">
        <v>354</v>
      </c>
      <c r="AG704" s="5" t="s">
        <v>354</v>
      </c>
      <c r="AH704" s="5" t="s">
        <v>354</v>
      </c>
      <c r="AI704" s="6" t="str">
        <f t="shared" si="21"/>
        <v>No</v>
      </c>
      <c r="AJ704" s="6" t="s">
        <v>941</v>
      </c>
      <c r="AK704" s="6" t="s">
        <v>121</v>
      </c>
      <c r="AL704" s="6">
        <f>MATCH(AA704,{"Low","Medium","High"},0)*MATCH(AB704,{"Low","Medium","High"},0)*INDEX({3,2,2,1,1},MATCH(X704,{"Core","Vertical extension","Differentiator","Future","Adjacent"},0))</f>
        <v>9</v>
      </c>
      <c r="AM704" s="5"/>
      <c r="AN704" s="5"/>
      <c r="AO704" s="5"/>
      <c r="AP704" s="5"/>
      <c r="AQ704" s="5"/>
      <c r="AR704" s="5"/>
      <c r="AS704" s="5"/>
      <c r="AT704" s="5"/>
      <c r="AU704" s="6" t="s">
        <v>927</v>
      </c>
      <c r="AV704" s="6" t="s">
        <v>55</v>
      </c>
      <c r="AW704" s="6" t="s">
        <v>55</v>
      </c>
      <c r="AX704" s="6" t="s">
        <v>929</v>
      </c>
      <c r="AY704" s="6" t="s">
        <v>930</v>
      </c>
      <c r="AZ704" s="6"/>
      <c r="BA704" s="6" t="s">
        <v>2193</v>
      </c>
      <c r="BB704" s="6" t="s">
        <v>2194</v>
      </c>
      <c r="BC704" s="6" t="s">
        <v>97</v>
      </c>
      <c r="BD704" s="6" t="s">
        <v>97</v>
      </c>
    </row>
    <row r="705" spans="1:56" ht="32" customHeight="1" x14ac:dyDescent="0.35">
      <c r="A705" s="13" t="s">
        <v>5101</v>
      </c>
      <c r="B705" s="6" t="s">
        <v>2114</v>
      </c>
      <c r="C705" s="5" t="s">
        <v>2115</v>
      </c>
      <c r="D705" s="5" t="s">
        <v>835</v>
      </c>
      <c r="E705" s="5" t="s">
        <v>5102</v>
      </c>
      <c r="F705" s="5" t="s">
        <v>3728</v>
      </c>
      <c r="G705" s="5" t="s">
        <v>1101</v>
      </c>
      <c r="H705" s="5" t="s">
        <v>5103</v>
      </c>
      <c r="I705" s="5" t="s">
        <v>5104</v>
      </c>
      <c r="J705" s="17" t="s">
        <v>121</v>
      </c>
      <c r="K705" s="17" t="s">
        <v>181</v>
      </c>
      <c r="L705" s="5" t="s">
        <v>5105</v>
      </c>
      <c r="M705" s="6" t="s">
        <v>198</v>
      </c>
      <c r="N705" s="6" t="s">
        <v>812</v>
      </c>
      <c r="O705" s="6" t="s">
        <v>121</v>
      </c>
      <c r="P705" s="5" t="s">
        <v>918</v>
      </c>
      <c r="Q705" s="17" t="s">
        <v>182</v>
      </c>
      <c r="R705" s="5"/>
      <c r="S705" s="6" t="s">
        <v>1076</v>
      </c>
      <c r="T705" s="5" t="s">
        <v>1077</v>
      </c>
      <c r="U705" s="6"/>
      <c r="V705" s="6" t="s">
        <v>1078</v>
      </c>
      <c r="W705" s="6" t="s">
        <v>331</v>
      </c>
      <c r="X705" s="5" t="s">
        <v>922</v>
      </c>
      <c r="Y705" s="5" t="s">
        <v>812</v>
      </c>
      <c r="Z705" s="5" t="str">
        <f t="shared" si="20"/>
        <v>Medium</v>
      </c>
      <c r="AA705" s="5" t="s">
        <v>956</v>
      </c>
      <c r="AB705" s="6" t="s">
        <v>924</v>
      </c>
      <c r="AC705" s="6" t="s">
        <v>103</v>
      </c>
      <c r="AD705" s="5" t="s">
        <v>925</v>
      </c>
      <c r="AE705" s="5" t="s">
        <v>354</v>
      </c>
      <c r="AF705" s="5" t="s">
        <v>354</v>
      </c>
      <c r="AG705" s="5" t="s">
        <v>354</v>
      </c>
      <c r="AH705" s="5" t="s">
        <v>354</v>
      </c>
      <c r="AI705" s="6" t="str">
        <f t="shared" si="21"/>
        <v>No</v>
      </c>
      <c r="AJ705" s="6" t="s">
        <v>926</v>
      </c>
      <c r="AK705" s="6" t="s">
        <v>121</v>
      </c>
      <c r="AL705" s="6">
        <f>MATCH(AA705,{"Low","Medium","High"},0)*MATCH(AB705,{"Low","Medium","High"},0)*INDEX({3,2,2,1,1},MATCH(X705,{"Core","Vertical extension","Differentiator","Future","Adjacent"},0))</f>
        <v>6</v>
      </c>
      <c r="AM705" s="5"/>
      <c r="AN705" s="5"/>
      <c r="AO705" s="5"/>
      <c r="AP705" s="5"/>
      <c r="AQ705" s="5"/>
      <c r="AR705" s="5"/>
      <c r="AS705" s="5"/>
      <c r="AT705" s="5"/>
      <c r="AU705" s="6" t="s">
        <v>927</v>
      </c>
      <c r="AV705" s="6" t="s">
        <v>55</v>
      </c>
      <c r="AW705" s="6" t="s">
        <v>55</v>
      </c>
      <c r="AX705" s="6" t="s">
        <v>929</v>
      </c>
      <c r="AY705" s="6" t="s">
        <v>930</v>
      </c>
      <c r="AZ705" s="6"/>
      <c r="BA705" s="6"/>
      <c r="BB705" s="6"/>
      <c r="BC705" s="6" t="s">
        <v>97</v>
      </c>
      <c r="BD705" s="6" t="s">
        <v>97</v>
      </c>
    </row>
    <row r="706" spans="1:56" ht="32" customHeight="1" x14ac:dyDescent="0.35">
      <c r="A706" s="13" t="s">
        <v>5106</v>
      </c>
      <c r="B706" s="6" t="s">
        <v>2114</v>
      </c>
      <c r="C706" s="5" t="s">
        <v>2115</v>
      </c>
      <c r="D706" s="5" t="s">
        <v>841</v>
      </c>
      <c r="E706" s="5" t="s">
        <v>5107</v>
      </c>
      <c r="F706" s="5" t="s">
        <v>5108</v>
      </c>
      <c r="G706" s="5" t="s">
        <v>1017</v>
      </c>
      <c r="H706" s="5" t="s">
        <v>5109</v>
      </c>
      <c r="I706" s="5" t="s">
        <v>5110</v>
      </c>
      <c r="J706" s="17" t="s">
        <v>121</v>
      </c>
      <c r="K706" s="17" t="s">
        <v>181</v>
      </c>
      <c r="L706" s="5" t="s">
        <v>5111</v>
      </c>
      <c r="M706" s="6" t="s">
        <v>198</v>
      </c>
      <c r="N706" s="6" t="s">
        <v>812</v>
      </c>
      <c r="O706" s="6" t="s">
        <v>121</v>
      </c>
      <c r="P706" s="5" t="s">
        <v>918</v>
      </c>
      <c r="Q706" s="18" t="s">
        <v>186</v>
      </c>
      <c r="R706" s="5" t="s">
        <v>1368</v>
      </c>
      <c r="S706" s="6" t="s">
        <v>1038</v>
      </c>
      <c r="T706" s="5" t="s">
        <v>1039</v>
      </c>
      <c r="U706" s="6"/>
      <c r="V706" s="6" t="s">
        <v>921</v>
      </c>
      <c r="W706" s="6" t="s">
        <v>331</v>
      </c>
      <c r="X706" s="5" t="s">
        <v>922</v>
      </c>
      <c r="Y706" s="5" t="s">
        <v>812</v>
      </c>
      <c r="Z706" s="5" t="str">
        <f t="shared" ref="Z706:Z771" si="22">IF(AL706&gt;=18,"Critical",IF(AL706&gt;=9,"High",IF(AL706&gt;=4,"Medium","Low")))</f>
        <v>Medium</v>
      </c>
      <c r="AA706" s="5" t="s">
        <v>956</v>
      </c>
      <c r="AB706" s="6" t="s">
        <v>924</v>
      </c>
      <c r="AC706" s="6" t="s">
        <v>103</v>
      </c>
      <c r="AD706" s="5" t="s">
        <v>940</v>
      </c>
      <c r="AE706" s="5" t="s">
        <v>354</v>
      </c>
      <c r="AF706" s="5" t="s">
        <v>354</v>
      </c>
      <c r="AG706" s="5" t="s">
        <v>354</v>
      </c>
      <c r="AH706" s="5" t="s">
        <v>354</v>
      </c>
      <c r="AI706" s="6" t="str">
        <f t="shared" ref="AI706:AI769" si="23">IF(AND(AU706="Pass",AE706&lt;&gt;"Not verified",AF706&lt;&gt;"Not verified",AG706&lt;&gt;"Not verified",AH706&lt;&gt;"Not verified",BC706="Yes",BD706="Yes"),"Yes","No")</f>
        <v>No</v>
      </c>
      <c r="AJ706" s="6" t="s">
        <v>941</v>
      </c>
      <c r="AK706" s="6" t="s">
        <v>121</v>
      </c>
      <c r="AL706" s="6">
        <f>MATCH(AA706,{"Low","Medium","High"},0)*MATCH(AB706,{"Low","Medium","High"},0)*INDEX({3,2,2,1,1},MATCH(X706,{"Core","Vertical extension","Differentiator","Future","Adjacent"},0))</f>
        <v>6</v>
      </c>
      <c r="AM706" s="5"/>
      <c r="AN706" s="5"/>
      <c r="AO706" s="5"/>
      <c r="AP706" s="5"/>
      <c r="AQ706" s="5"/>
      <c r="AR706" s="5"/>
      <c r="AS706" s="5"/>
      <c r="AT706" s="5"/>
      <c r="AU706" s="6" t="s">
        <v>927</v>
      </c>
      <c r="AV706" s="6" t="s">
        <v>3101</v>
      </c>
      <c r="AW706" s="6" t="s">
        <v>3101</v>
      </c>
      <c r="AX706" s="6" t="s">
        <v>929</v>
      </c>
      <c r="AY706" s="6" t="s">
        <v>930</v>
      </c>
      <c r="AZ706" s="6"/>
      <c r="BA706" s="6" t="s">
        <v>5112</v>
      </c>
      <c r="BB706" s="6" t="s">
        <v>1370</v>
      </c>
      <c r="BC706" s="6" t="s">
        <v>97</v>
      </c>
      <c r="BD706" s="6" t="s">
        <v>97</v>
      </c>
    </row>
    <row r="707" spans="1:56" ht="32" customHeight="1" x14ac:dyDescent="0.35">
      <c r="A707" s="13" t="s">
        <v>5113</v>
      </c>
      <c r="B707" s="6" t="s">
        <v>2114</v>
      </c>
      <c r="C707" s="5" t="s">
        <v>2115</v>
      </c>
      <c r="D707" s="5" t="s">
        <v>839</v>
      </c>
      <c r="E707" s="5" t="s">
        <v>5114</v>
      </c>
      <c r="F707" s="5" t="s">
        <v>1300</v>
      </c>
      <c r="G707" s="5" t="s">
        <v>5115</v>
      </c>
      <c r="H707" s="5" t="s">
        <v>5116</v>
      </c>
      <c r="I707" s="5" t="s">
        <v>5117</v>
      </c>
      <c r="J707" s="16" t="s">
        <v>73</v>
      </c>
      <c r="K707" s="17" t="s">
        <v>181</v>
      </c>
      <c r="L707" s="5" t="s">
        <v>5118</v>
      </c>
      <c r="M707" s="6" t="s">
        <v>198</v>
      </c>
      <c r="N707" s="6" t="s">
        <v>812</v>
      </c>
      <c r="O707" s="6" t="s">
        <v>121</v>
      </c>
      <c r="P707" s="5" t="s">
        <v>4365</v>
      </c>
      <c r="Q707" s="17" t="s">
        <v>182</v>
      </c>
      <c r="R707" s="5" t="s">
        <v>4365</v>
      </c>
      <c r="S707" s="6" t="s">
        <v>1359</v>
      </c>
      <c r="T707" s="5" t="s">
        <v>1360</v>
      </c>
      <c r="U707" s="6"/>
      <c r="V707" s="6" t="s">
        <v>982</v>
      </c>
      <c r="W707" s="6" t="s">
        <v>331</v>
      </c>
      <c r="X707" s="5" t="s">
        <v>922</v>
      </c>
      <c r="Y707" s="5" t="s">
        <v>812</v>
      </c>
      <c r="Z707" s="5" t="str">
        <f t="shared" si="22"/>
        <v>High</v>
      </c>
      <c r="AA707" s="5" t="s">
        <v>923</v>
      </c>
      <c r="AB707" s="6" t="s">
        <v>924</v>
      </c>
      <c r="AC707" s="6" t="s">
        <v>78</v>
      </c>
      <c r="AD707" s="5" t="s">
        <v>925</v>
      </c>
      <c r="AE707" s="5" t="s">
        <v>354</v>
      </c>
      <c r="AF707" s="5" t="s">
        <v>354</v>
      </c>
      <c r="AG707" s="5" t="s">
        <v>354</v>
      </c>
      <c r="AH707" s="5" t="s">
        <v>354</v>
      </c>
      <c r="AI707" s="6" t="str">
        <f t="shared" si="23"/>
        <v>No</v>
      </c>
      <c r="AJ707" s="6" t="s">
        <v>926</v>
      </c>
      <c r="AK707" s="6" t="s">
        <v>73</v>
      </c>
      <c r="AL707" s="6">
        <f>MATCH(AA707,{"Low","Medium","High"},0)*MATCH(AB707,{"Low","Medium","High"},0)*INDEX({3,2,2,1,1},MATCH(X707,{"Core","Vertical extension","Differentiator","Future","Adjacent"},0))</f>
        <v>9</v>
      </c>
      <c r="AM707" s="5"/>
      <c r="AN707" s="5"/>
      <c r="AO707" s="5"/>
      <c r="AP707" s="5"/>
      <c r="AQ707" s="5"/>
      <c r="AR707" s="5"/>
      <c r="AS707" s="5"/>
      <c r="AT707" s="5"/>
      <c r="AU707" s="6" t="s">
        <v>927</v>
      </c>
      <c r="AV707" s="6" t="s">
        <v>1306</v>
      </c>
      <c r="AW707" s="6" t="s">
        <v>1306</v>
      </c>
      <c r="AX707" s="6" t="s">
        <v>4285</v>
      </c>
      <c r="AY707" s="6" t="s">
        <v>930</v>
      </c>
      <c r="AZ707" s="6"/>
      <c r="BA707" s="6"/>
      <c r="BB707" s="6"/>
      <c r="BC707" s="6" t="s">
        <v>97</v>
      </c>
      <c r="BD707" s="6" t="s">
        <v>97</v>
      </c>
    </row>
    <row r="708" spans="1:56" ht="32" customHeight="1" x14ac:dyDescent="0.35">
      <c r="A708" s="13" t="s">
        <v>5119</v>
      </c>
      <c r="B708" s="6" t="s">
        <v>2114</v>
      </c>
      <c r="C708" s="5" t="s">
        <v>2115</v>
      </c>
      <c r="D708" s="5" t="s">
        <v>825</v>
      </c>
      <c r="E708" s="5" t="s">
        <v>5120</v>
      </c>
      <c r="F708" s="5" t="s">
        <v>5014</v>
      </c>
      <c r="G708" s="5" t="s">
        <v>3728</v>
      </c>
      <c r="H708" s="5" t="s">
        <v>5121</v>
      </c>
      <c r="I708" s="5" t="s">
        <v>5122</v>
      </c>
      <c r="J708" s="16" t="s">
        <v>73</v>
      </c>
      <c r="K708" s="17" t="s">
        <v>181</v>
      </c>
      <c r="L708" s="5" t="s">
        <v>5123</v>
      </c>
      <c r="M708" s="6" t="s">
        <v>198</v>
      </c>
      <c r="N708" s="6" t="s">
        <v>812</v>
      </c>
      <c r="O708" s="6" t="s">
        <v>73</v>
      </c>
      <c r="P708" s="5" t="s">
        <v>918</v>
      </c>
      <c r="Q708" s="17" t="s">
        <v>182</v>
      </c>
      <c r="R708" s="5"/>
      <c r="S708" s="6" t="s">
        <v>1053</v>
      </c>
      <c r="T708" s="5" t="s">
        <v>1054</v>
      </c>
      <c r="U708" s="6"/>
      <c r="V708" s="6" t="s">
        <v>1055</v>
      </c>
      <c r="W708" s="6" t="s">
        <v>333</v>
      </c>
      <c r="X708" s="5" t="s">
        <v>922</v>
      </c>
      <c r="Y708" s="5" t="s">
        <v>812</v>
      </c>
      <c r="Z708" s="5" t="str">
        <f t="shared" si="22"/>
        <v>Critical</v>
      </c>
      <c r="AA708" s="5" t="s">
        <v>923</v>
      </c>
      <c r="AB708" s="6" t="s">
        <v>923</v>
      </c>
      <c r="AC708" s="6" t="s">
        <v>78</v>
      </c>
      <c r="AD708" s="5" t="s">
        <v>925</v>
      </c>
      <c r="AE708" s="5" t="s">
        <v>354</v>
      </c>
      <c r="AF708" s="5" t="s">
        <v>354</v>
      </c>
      <c r="AG708" s="5" t="s">
        <v>354</v>
      </c>
      <c r="AH708" s="5" t="s">
        <v>354</v>
      </c>
      <c r="AI708" s="6" t="str">
        <f t="shared" si="23"/>
        <v>No</v>
      </c>
      <c r="AJ708" s="6" t="s">
        <v>926</v>
      </c>
      <c r="AK708" s="6" t="s">
        <v>73</v>
      </c>
      <c r="AL708" s="6">
        <f>MATCH(AA708,{"Low","Medium","High"},0)*MATCH(AB708,{"Low","Medium","High"},0)*INDEX({3,2,2,1,1},MATCH(X708,{"Core","Vertical extension","Differentiator","Future","Adjacent"},0))</f>
        <v>27</v>
      </c>
      <c r="AM708" s="5"/>
      <c r="AN708" s="5"/>
      <c r="AO708" s="5"/>
      <c r="AP708" s="5"/>
      <c r="AQ708" s="5"/>
      <c r="AR708" s="5"/>
      <c r="AS708" s="5"/>
      <c r="AT708" s="5"/>
      <c r="AU708" s="6" t="s">
        <v>927</v>
      </c>
      <c r="AV708" s="6" t="s">
        <v>2161</v>
      </c>
      <c r="AW708" s="6" t="s">
        <v>2161</v>
      </c>
      <c r="AX708" s="6" t="s">
        <v>929</v>
      </c>
      <c r="AY708" s="6" t="s">
        <v>930</v>
      </c>
      <c r="AZ708" s="6"/>
      <c r="BA708" s="6"/>
      <c r="BB708" s="6"/>
      <c r="BC708" s="6" t="s">
        <v>97</v>
      </c>
      <c r="BD708" s="6" t="s">
        <v>97</v>
      </c>
    </row>
    <row r="709" spans="1:56" ht="32" customHeight="1" x14ac:dyDescent="0.35">
      <c r="A709" s="13" t="s">
        <v>5124</v>
      </c>
      <c r="B709" s="6" t="s">
        <v>2114</v>
      </c>
      <c r="C709" s="5" t="s">
        <v>2115</v>
      </c>
      <c r="D709" s="5" t="s">
        <v>827</v>
      </c>
      <c r="E709" s="5" t="s">
        <v>5125</v>
      </c>
      <c r="F709" s="5" t="s">
        <v>913</v>
      </c>
      <c r="G709" s="5" t="s">
        <v>914</v>
      </c>
      <c r="H709" s="5" t="s">
        <v>5126</v>
      </c>
      <c r="I709" s="5" t="s">
        <v>5127</v>
      </c>
      <c r="J709" s="17" t="s">
        <v>121</v>
      </c>
      <c r="K709" s="17" t="s">
        <v>181</v>
      </c>
      <c r="L709" s="5" t="s">
        <v>5128</v>
      </c>
      <c r="M709" s="6" t="s">
        <v>198</v>
      </c>
      <c r="N709" s="6" t="s">
        <v>812</v>
      </c>
      <c r="O709" s="6" t="s">
        <v>121</v>
      </c>
      <c r="P709" s="5" t="s">
        <v>918</v>
      </c>
      <c r="Q709" s="17" t="s">
        <v>182</v>
      </c>
      <c r="R709" s="5"/>
      <c r="S709" s="6" t="s">
        <v>1030</v>
      </c>
      <c r="T709" s="5" t="s">
        <v>827</v>
      </c>
      <c r="U709" s="6"/>
      <c r="V709" s="6" t="s">
        <v>921</v>
      </c>
      <c r="W709" s="6" t="s">
        <v>333</v>
      </c>
      <c r="X709" s="5" t="s">
        <v>922</v>
      </c>
      <c r="Y709" s="5" t="s">
        <v>812</v>
      </c>
      <c r="Z709" s="5" t="str">
        <f t="shared" si="22"/>
        <v>High</v>
      </c>
      <c r="AA709" s="5" t="s">
        <v>956</v>
      </c>
      <c r="AB709" s="6" t="s">
        <v>956</v>
      </c>
      <c r="AC709" s="6" t="s">
        <v>103</v>
      </c>
      <c r="AD709" s="5" t="s">
        <v>925</v>
      </c>
      <c r="AE709" s="5" t="s">
        <v>354</v>
      </c>
      <c r="AF709" s="5" t="s">
        <v>354</v>
      </c>
      <c r="AG709" s="5" t="s">
        <v>354</v>
      </c>
      <c r="AH709" s="5" t="s">
        <v>354</v>
      </c>
      <c r="AI709" s="6" t="str">
        <f t="shared" si="23"/>
        <v>No</v>
      </c>
      <c r="AJ709" s="6" t="s">
        <v>926</v>
      </c>
      <c r="AK709" s="6" t="s">
        <v>121</v>
      </c>
      <c r="AL709" s="6">
        <f>MATCH(AA709,{"Low","Medium","High"},0)*MATCH(AB709,{"Low","Medium","High"},0)*INDEX({3,2,2,1,1},MATCH(X709,{"Core","Vertical extension","Differentiator","Future","Adjacent"},0))</f>
        <v>12</v>
      </c>
      <c r="AM709" s="5"/>
      <c r="AN709" s="5"/>
      <c r="AO709" s="5"/>
      <c r="AP709" s="5"/>
      <c r="AQ709" s="5"/>
      <c r="AR709" s="5"/>
      <c r="AS709" s="5"/>
      <c r="AT709" s="5"/>
      <c r="AU709" s="6" t="s">
        <v>927</v>
      </c>
      <c r="AV709" s="6" t="s">
        <v>928</v>
      </c>
      <c r="AW709" s="6" t="s">
        <v>928</v>
      </c>
      <c r="AX709" s="6" t="s">
        <v>929</v>
      </c>
      <c r="AY709" s="6" t="s">
        <v>1032</v>
      </c>
      <c r="AZ709" s="6"/>
      <c r="BA709" s="6"/>
      <c r="BB709" s="6"/>
      <c r="BC709" s="6" t="s">
        <v>97</v>
      </c>
      <c r="BD709" s="6" t="s">
        <v>97</v>
      </c>
    </row>
    <row r="710" spans="1:56" ht="32" customHeight="1" x14ac:dyDescent="0.35">
      <c r="A710" s="13" t="s">
        <v>5129</v>
      </c>
      <c r="B710" s="6" t="s">
        <v>2114</v>
      </c>
      <c r="C710" s="5" t="s">
        <v>2115</v>
      </c>
      <c r="D710" s="5" t="s">
        <v>834</v>
      </c>
      <c r="E710" s="5" t="s">
        <v>5130</v>
      </c>
      <c r="F710" s="5" t="s">
        <v>5131</v>
      </c>
      <c r="G710" s="5" t="s">
        <v>1017</v>
      </c>
      <c r="H710" s="5" t="s">
        <v>5132</v>
      </c>
      <c r="I710" s="5" t="s">
        <v>5133</v>
      </c>
      <c r="J710" s="17" t="s">
        <v>121</v>
      </c>
      <c r="K710" s="17" t="s">
        <v>181</v>
      </c>
      <c r="L710" s="5" t="s">
        <v>5134</v>
      </c>
      <c r="M710" s="6" t="s">
        <v>198</v>
      </c>
      <c r="N710" s="6" t="s">
        <v>812</v>
      </c>
      <c r="O710" s="6" t="s">
        <v>121</v>
      </c>
      <c r="P710" s="5" t="s">
        <v>999</v>
      </c>
      <c r="Q710" s="17" t="s">
        <v>182</v>
      </c>
      <c r="R710" s="5" t="s">
        <v>999</v>
      </c>
      <c r="S710" s="6" t="s">
        <v>1000</v>
      </c>
      <c r="T710" s="5" t="s">
        <v>1001</v>
      </c>
      <c r="U710" s="6"/>
      <c r="V710" s="6" t="s">
        <v>1002</v>
      </c>
      <c r="W710" s="6" t="s">
        <v>333</v>
      </c>
      <c r="X710" s="5" t="s">
        <v>922</v>
      </c>
      <c r="Y710" s="5" t="s">
        <v>812</v>
      </c>
      <c r="Z710" s="5" t="str">
        <f t="shared" si="22"/>
        <v>Critical</v>
      </c>
      <c r="AA710" s="5" t="s">
        <v>923</v>
      </c>
      <c r="AB710" s="6" t="s">
        <v>956</v>
      </c>
      <c r="AC710" s="6" t="s">
        <v>103</v>
      </c>
      <c r="AD710" s="5" t="s">
        <v>925</v>
      </c>
      <c r="AE710" s="5" t="s">
        <v>354</v>
      </c>
      <c r="AF710" s="5" t="s">
        <v>354</v>
      </c>
      <c r="AG710" s="5" t="s">
        <v>354</v>
      </c>
      <c r="AH710" s="5" t="s">
        <v>354</v>
      </c>
      <c r="AI710" s="6" t="str">
        <f t="shared" si="23"/>
        <v>No</v>
      </c>
      <c r="AJ710" s="6" t="s">
        <v>926</v>
      </c>
      <c r="AK710" s="6" t="s">
        <v>121</v>
      </c>
      <c r="AL710" s="6">
        <f>MATCH(AA710,{"Low","Medium","High"},0)*MATCH(AB710,{"Low","Medium","High"},0)*INDEX({3,2,2,1,1},MATCH(X710,{"Core","Vertical extension","Differentiator","Future","Adjacent"},0))</f>
        <v>18</v>
      </c>
      <c r="AM710" s="5"/>
      <c r="AN710" s="5"/>
      <c r="AO710" s="5"/>
      <c r="AP710" s="5"/>
      <c r="AQ710" s="5"/>
      <c r="AR710" s="5"/>
      <c r="AS710" s="5"/>
      <c r="AT710" s="5"/>
      <c r="AU710" s="6" t="s">
        <v>927</v>
      </c>
      <c r="AV710" s="6" t="s">
        <v>55</v>
      </c>
      <c r="AW710" s="6" t="s">
        <v>55</v>
      </c>
      <c r="AX710" s="6" t="s">
        <v>1003</v>
      </c>
      <c r="AY710" s="6" t="s">
        <v>930</v>
      </c>
      <c r="AZ710" s="6"/>
      <c r="BA710" s="6"/>
      <c r="BB710" s="6"/>
      <c r="BC710" s="6" t="s">
        <v>97</v>
      </c>
      <c r="BD710" s="6" t="s">
        <v>97</v>
      </c>
    </row>
    <row r="711" spans="1:56" ht="32" customHeight="1" x14ac:dyDescent="0.35">
      <c r="A711" s="13" t="s">
        <v>5135</v>
      </c>
      <c r="B711" s="6" t="s">
        <v>2114</v>
      </c>
      <c r="C711" s="5" t="s">
        <v>2115</v>
      </c>
      <c r="D711" s="5" t="s">
        <v>829</v>
      </c>
      <c r="E711" s="5" t="s">
        <v>5136</v>
      </c>
      <c r="F711" s="5" t="s">
        <v>5137</v>
      </c>
      <c r="G711" s="5" t="s">
        <v>5138</v>
      </c>
      <c r="H711" s="5" t="s">
        <v>5139</v>
      </c>
      <c r="I711" s="5" t="s">
        <v>5140</v>
      </c>
      <c r="J711" s="16" t="s">
        <v>73</v>
      </c>
      <c r="K711" s="17" t="s">
        <v>181</v>
      </c>
      <c r="L711" s="5" t="s">
        <v>5141</v>
      </c>
      <c r="M711" s="6" t="s">
        <v>198</v>
      </c>
      <c r="N711" s="6" t="s">
        <v>812</v>
      </c>
      <c r="O711" s="6" t="s">
        <v>73</v>
      </c>
      <c r="P711" s="5" t="s">
        <v>918</v>
      </c>
      <c r="Q711" s="18" t="s">
        <v>186</v>
      </c>
      <c r="R711" s="5" t="s">
        <v>5142</v>
      </c>
      <c r="S711" s="6" t="s">
        <v>980</v>
      </c>
      <c r="T711" s="5" t="s">
        <v>981</v>
      </c>
      <c r="U711" s="6"/>
      <c r="V711" s="6" t="s">
        <v>982</v>
      </c>
      <c r="W711" s="6" t="s">
        <v>331</v>
      </c>
      <c r="X711" s="5" t="s">
        <v>922</v>
      </c>
      <c r="Y711" s="5" t="s">
        <v>812</v>
      </c>
      <c r="Z711" s="5" t="str">
        <f t="shared" si="22"/>
        <v>High</v>
      </c>
      <c r="AA711" s="5" t="s">
        <v>923</v>
      </c>
      <c r="AB711" s="6" t="s">
        <v>924</v>
      </c>
      <c r="AC711" s="6" t="s">
        <v>78</v>
      </c>
      <c r="AD711" s="5" t="s">
        <v>940</v>
      </c>
      <c r="AE711" s="5" t="s">
        <v>354</v>
      </c>
      <c r="AF711" s="5" t="s">
        <v>354</v>
      </c>
      <c r="AG711" s="5" t="s">
        <v>354</v>
      </c>
      <c r="AH711" s="5" t="s">
        <v>354</v>
      </c>
      <c r="AI711" s="6" t="str">
        <f t="shared" si="23"/>
        <v>No</v>
      </c>
      <c r="AJ711" s="6" t="s">
        <v>941</v>
      </c>
      <c r="AK711" s="6" t="s">
        <v>73</v>
      </c>
      <c r="AL711" s="6">
        <f>MATCH(AA711,{"Low","Medium","High"},0)*MATCH(AB711,{"Low","Medium","High"},0)*INDEX({3,2,2,1,1},MATCH(X711,{"Core","Vertical extension","Differentiator","Future","Adjacent"},0))</f>
        <v>9</v>
      </c>
      <c r="AM711" s="5"/>
      <c r="AN711" s="5"/>
      <c r="AO711" s="5"/>
      <c r="AP711" s="5"/>
      <c r="AQ711" s="5"/>
      <c r="AR711" s="5"/>
      <c r="AS711" s="5"/>
      <c r="AT711" s="5"/>
      <c r="AU711" s="6" t="s">
        <v>927</v>
      </c>
      <c r="AV711" s="6" t="s">
        <v>2161</v>
      </c>
      <c r="AW711" s="6" t="s">
        <v>2161</v>
      </c>
      <c r="AX711" s="6" t="s">
        <v>929</v>
      </c>
      <c r="AY711" s="6" t="s">
        <v>930</v>
      </c>
      <c r="AZ711" s="6"/>
      <c r="BA711" s="6"/>
      <c r="BB711" s="6"/>
      <c r="BC711" s="6" t="s">
        <v>97</v>
      </c>
      <c r="BD711" s="6" t="s">
        <v>97</v>
      </c>
    </row>
    <row r="712" spans="1:56" ht="32" customHeight="1" x14ac:dyDescent="0.35">
      <c r="A712" s="13" t="s">
        <v>5143</v>
      </c>
      <c r="B712" s="6" t="s">
        <v>2114</v>
      </c>
      <c r="C712" s="5" t="s">
        <v>2115</v>
      </c>
      <c r="D712" s="5" t="s">
        <v>836</v>
      </c>
      <c r="E712" s="5" t="s">
        <v>5144</v>
      </c>
      <c r="F712" s="5" t="s">
        <v>5145</v>
      </c>
      <c r="G712" s="5" t="s">
        <v>1453</v>
      </c>
      <c r="H712" s="5" t="s">
        <v>5146</v>
      </c>
      <c r="I712" s="5" t="s">
        <v>5147</v>
      </c>
      <c r="J712" s="17" t="s">
        <v>121</v>
      </c>
      <c r="K712" s="17" t="s">
        <v>181</v>
      </c>
      <c r="L712" s="5" t="s">
        <v>5148</v>
      </c>
      <c r="M712" s="6" t="s">
        <v>198</v>
      </c>
      <c r="N712" s="6" t="s">
        <v>812</v>
      </c>
      <c r="O712" s="6" t="s">
        <v>121</v>
      </c>
      <c r="P712" s="5" t="s">
        <v>918</v>
      </c>
      <c r="Q712" s="18" t="s">
        <v>186</v>
      </c>
      <c r="R712" s="5" t="s">
        <v>5149</v>
      </c>
      <c r="S712" s="6" t="s">
        <v>1061</v>
      </c>
      <c r="T712" s="5" t="s">
        <v>1062</v>
      </c>
      <c r="U712" s="6"/>
      <c r="V712" s="6" t="s">
        <v>1055</v>
      </c>
      <c r="W712" s="6" t="s">
        <v>333</v>
      </c>
      <c r="X712" s="5" t="s">
        <v>922</v>
      </c>
      <c r="Y712" s="5" t="s">
        <v>812</v>
      </c>
      <c r="Z712" s="5" t="str">
        <f t="shared" si="22"/>
        <v>Medium</v>
      </c>
      <c r="AA712" s="5" t="s">
        <v>956</v>
      </c>
      <c r="AB712" s="6" t="s">
        <v>924</v>
      </c>
      <c r="AC712" s="6" t="s">
        <v>103</v>
      </c>
      <c r="AD712" s="5" t="s">
        <v>940</v>
      </c>
      <c r="AE712" s="5" t="s">
        <v>354</v>
      </c>
      <c r="AF712" s="5" t="s">
        <v>354</v>
      </c>
      <c r="AG712" s="5" t="s">
        <v>354</v>
      </c>
      <c r="AH712" s="5" t="s">
        <v>354</v>
      </c>
      <c r="AI712" s="6" t="str">
        <f t="shared" si="23"/>
        <v>No</v>
      </c>
      <c r="AJ712" s="6" t="s">
        <v>941</v>
      </c>
      <c r="AK712" s="6" t="s">
        <v>121</v>
      </c>
      <c r="AL712" s="6">
        <f>MATCH(AA712,{"Low","Medium","High"},0)*MATCH(AB712,{"Low","Medium","High"},0)*INDEX({3,2,2,1,1},MATCH(X712,{"Core","Vertical extension","Differentiator","Future","Adjacent"},0))</f>
        <v>6</v>
      </c>
      <c r="AM712" s="5"/>
      <c r="AN712" s="5"/>
      <c r="AO712" s="5"/>
      <c r="AP712" s="5"/>
      <c r="AQ712" s="5"/>
      <c r="AR712" s="5"/>
      <c r="AS712" s="5"/>
      <c r="AT712" s="5"/>
      <c r="AU712" s="6" t="s">
        <v>927</v>
      </c>
      <c r="AV712" s="6" t="s">
        <v>1322</v>
      </c>
      <c r="AW712" s="6" t="s">
        <v>1322</v>
      </c>
      <c r="AX712" s="6" t="s">
        <v>929</v>
      </c>
      <c r="AY712" s="6" t="s">
        <v>930</v>
      </c>
      <c r="AZ712" s="6"/>
      <c r="BA712" s="6" t="s">
        <v>3832</v>
      </c>
      <c r="BB712" s="6" t="s">
        <v>3833</v>
      </c>
      <c r="BC712" s="6" t="s">
        <v>97</v>
      </c>
      <c r="BD712" s="6" t="s">
        <v>97</v>
      </c>
    </row>
    <row r="713" spans="1:56" ht="32" customHeight="1" x14ac:dyDescent="0.35">
      <c r="A713" s="13" t="s">
        <v>5150</v>
      </c>
      <c r="B713" s="6" t="s">
        <v>2114</v>
      </c>
      <c r="C713" s="5" t="s">
        <v>2115</v>
      </c>
      <c r="D713" s="5" t="s">
        <v>827</v>
      </c>
      <c r="E713" s="5" t="s">
        <v>5151</v>
      </c>
      <c r="F713" s="5" t="s">
        <v>2197</v>
      </c>
      <c r="G713" s="5" t="s">
        <v>1017</v>
      </c>
      <c r="H713" s="5" t="s">
        <v>5152</v>
      </c>
      <c r="I713" s="5" t="s">
        <v>5153</v>
      </c>
      <c r="J713" s="17" t="s">
        <v>121</v>
      </c>
      <c r="K713" s="17" t="s">
        <v>181</v>
      </c>
      <c r="L713" s="5" t="s">
        <v>5154</v>
      </c>
      <c r="M713" s="6" t="s">
        <v>198</v>
      </c>
      <c r="N713" s="6" t="s">
        <v>812</v>
      </c>
      <c r="O713" s="6" t="s">
        <v>121</v>
      </c>
      <c r="P713" s="5" t="s">
        <v>918</v>
      </c>
      <c r="Q713" s="17" t="s">
        <v>182</v>
      </c>
      <c r="R713" s="5"/>
      <c r="S713" s="6" t="s">
        <v>1030</v>
      </c>
      <c r="T713" s="5" t="s">
        <v>827</v>
      </c>
      <c r="U713" s="6"/>
      <c r="V713" s="6" t="s">
        <v>1055</v>
      </c>
      <c r="W713" s="6" t="s">
        <v>333</v>
      </c>
      <c r="X713" s="5" t="s">
        <v>922</v>
      </c>
      <c r="Y713" s="5" t="s">
        <v>812</v>
      </c>
      <c r="Z713" s="5" t="str">
        <f t="shared" si="22"/>
        <v>High</v>
      </c>
      <c r="AA713" s="5" t="s">
        <v>956</v>
      </c>
      <c r="AB713" s="6" t="s">
        <v>956</v>
      </c>
      <c r="AC713" s="6" t="s">
        <v>103</v>
      </c>
      <c r="AD713" s="5" t="s">
        <v>925</v>
      </c>
      <c r="AE713" s="5" t="s">
        <v>354</v>
      </c>
      <c r="AF713" s="5" t="s">
        <v>354</v>
      </c>
      <c r="AG713" s="5" t="s">
        <v>354</v>
      </c>
      <c r="AH713" s="5" t="s">
        <v>354</v>
      </c>
      <c r="AI713" s="6" t="str">
        <f t="shared" si="23"/>
        <v>No</v>
      </c>
      <c r="AJ713" s="6" t="s">
        <v>926</v>
      </c>
      <c r="AK713" s="6" t="s">
        <v>121</v>
      </c>
      <c r="AL713" s="6">
        <f>MATCH(AA713,{"Low","Medium","High"},0)*MATCH(AB713,{"Low","Medium","High"},0)*INDEX({3,2,2,1,1},MATCH(X713,{"Core","Vertical extension","Differentiator","Future","Adjacent"},0))</f>
        <v>12</v>
      </c>
      <c r="AM713" s="5"/>
      <c r="AN713" s="5"/>
      <c r="AO713" s="5"/>
      <c r="AP713" s="5"/>
      <c r="AQ713" s="5"/>
      <c r="AR713" s="5"/>
      <c r="AS713" s="5"/>
      <c r="AT713" s="5"/>
      <c r="AU713" s="6" t="s">
        <v>927</v>
      </c>
      <c r="AV713" s="6" t="s">
        <v>928</v>
      </c>
      <c r="AW713" s="6" t="s">
        <v>928</v>
      </c>
      <c r="AX713" s="6" t="s">
        <v>929</v>
      </c>
      <c r="AY713" s="6" t="s">
        <v>1032</v>
      </c>
      <c r="AZ713" s="6"/>
      <c r="BA713" s="6"/>
      <c r="BB713" s="6"/>
      <c r="BC713" s="6" t="s">
        <v>97</v>
      </c>
      <c r="BD713" s="6" t="s">
        <v>97</v>
      </c>
    </row>
    <row r="714" spans="1:56" ht="32" customHeight="1" x14ac:dyDescent="0.35">
      <c r="A714" s="13" t="s">
        <v>5155</v>
      </c>
      <c r="B714" s="6" t="s">
        <v>2114</v>
      </c>
      <c r="C714" s="5" t="s">
        <v>2115</v>
      </c>
      <c r="D714" s="5" t="s">
        <v>837</v>
      </c>
      <c r="E714" s="5" t="s">
        <v>5156</v>
      </c>
      <c r="F714" s="5" t="s">
        <v>1452</v>
      </c>
      <c r="G714" s="5" t="s">
        <v>4047</v>
      </c>
      <c r="H714" s="5" t="s">
        <v>5157</v>
      </c>
      <c r="I714" s="5" t="s">
        <v>5158</v>
      </c>
      <c r="J714" s="16" t="s">
        <v>73</v>
      </c>
      <c r="K714" s="17" t="s">
        <v>181</v>
      </c>
      <c r="L714" s="5" t="s">
        <v>5159</v>
      </c>
      <c r="M714" s="6" t="s">
        <v>198</v>
      </c>
      <c r="N714" s="6" t="s">
        <v>812</v>
      </c>
      <c r="O714" s="6" t="s">
        <v>73</v>
      </c>
      <c r="P714" s="5" t="s">
        <v>918</v>
      </c>
      <c r="Q714" s="17" t="s">
        <v>182</v>
      </c>
      <c r="R714" s="5"/>
      <c r="S714" s="6" t="s">
        <v>937</v>
      </c>
      <c r="T714" s="5" t="s">
        <v>938</v>
      </c>
      <c r="U714" s="6"/>
      <c r="V714" s="6" t="s">
        <v>939</v>
      </c>
      <c r="W714" s="6" t="s">
        <v>331</v>
      </c>
      <c r="X714" s="5" t="s">
        <v>922</v>
      </c>
      <c r="Y714" s="5" t="s">
        <v>812</v>
      </c>
      <c r="Z714" s="5" t="str">
        <f t="shared" si="22"/>
        <v>High</v>
      </c>
      <c r="AA714" s="5" t="s">
        <v>923</v>
      </c>
      <c r="AB714" s="6" t="s">
        <v>924</v>
      </c>
      <c r="AC714" s="6" t="s">
        <v>78</v>
      </c>
      <c r="AD714" s="5" t="s">
        <v>925</v>
      </c>
      <c r="AE714" s="5" t="s">
        <v>354</v>
      </c>
      <c r="AF714" s="5" t="s">
        <v>354</v>
      </c>
      <c r="AG714" s="5" t="s">
        <v>354</v>
      </c>
      <c r="AH714" s="5" t="s">
        <v>354</v>
      </c>
      <c r="AI714" s="6" t="str">
        <f t="shared" si="23"/>
        <v>No</v>
      </c>
      <c r="AJ714" s="6" t="s">
        <v>926</v>
      </c>
      <c r="AK714" s="6" t="s">
        <v>73</v>
      </c>
      <c r="AL714" s="6">
        <f>MATCH(AA714,{"Low","Medium","High"},0)*MATCH(AB714,{"Low","Medium","High"},0)*INDEX({3,2,2,1,1},MATCH(X714,{"Core","Vertical extension","Differentiator","Future","Adjacent"},0))</f>
        <v>9</v>
      </c>
      <c r="AM714" s="5"/>
      <c r="AN714" s="5"/>
      <c r="AO714" s="5"/>
      <c r="AP714" s="5"/>
      <c r="AQ714" s="5"/>
      <c r="AR714" s="5"/>
      <c r="AS714" s="5"/>
      <c r="AT714" s="5"/>
      <c r="AU714" s="6" t="s">
        <v>927</v>
      </c>
      <c r="AV714" s="6" t="s">
        <v>55</v>
      </c>
      <c r="AW714" s="6" t="s">
        <v>55</v>
      </c>
      <c r="AX714" s="6" t="s">
        <v>929</v>
      </c>
      <c r="AY714" s="6" t="s">
        <v>930</v>
      </c>
      <c r="AZ714" s="6"/>
      <c r="BA714" s="6"/>
      <c r="BB714" s="6"/>
      <c r="BC714" s="6" t="s">
        <v>97</v>
      </c>
      <c r="BD714" s="6" t="s">
        <v>97</v>
      </c>
    </row>
    <row r="715" spans="1:56" ht="32" customHeight="1" x14ac:dyDescent="0.35">
      <c r="A715" s="13" t="s">
        <v>5160</v>
      </c>
      <c r="B715" s="6" t="s">
        <v>2114</v>
      </c>
      <c r="C715" s="5" t="s">
        <v>2115</v>
      </c>
      <c r="D715" s="5" t="s">
        <v>843</v>
      </c>
      <c r="E715" s="5" t="s">
        <v>5161</v>
      </c>
      <c r="F715" s="5" t="s">
        <v>5162</v>
      </c>
      <c r="G715" s="5" t="s">
        <v>5163</v>
      </c>
      <c r="H715" s="5" t="s">
        <v>5164</v>
      </c>
      <c r="I715" s="5" t="s">
        <v>5165</v>
      </c>
      <c r="J715" s="17" t="s">
        <v>121</v>
      </c>
      <c r="K715" s="17" t="s">
        <v>181</v>
      </c>
      <c r="L715" s="5" t="s">
        <v>5166</v>
      </c>
      <c r="M715" s="6" t="s">
        <v>198</v>
      </c>
      <c r="N715" s="6" t="s">
        <v>812</v>
      </c>
      <c r="O715" s="6" t="s">
        <v>121</v>
      </c>
      <c r="P715" s="5" t="s">
        <v>918</v>
      </c>
      <c r="Q715" s="17" t="s">
        <v>182</v>
      </c>
      <c r="R715" s="5"/>
      <c r="S715" s="6" t="s">
        <v>3845</v>
      </c>
      <c r="T715" s="5" t="s">
        <v>3846</v>
      </c>
      <c r="U715" s="6"/>
      <c r="V715" s="6" t="s">
        <v>921</v>
      </c>
      <c r="W715" s="6" t="s">
        <v>331</v>
      </c>
      <c r="X715" s="5" t="s">
        <v>922</v>
      </c>
      <c r="Y715" s="5" t="s">
        <v>812</v>
      </c>
      <c r="Z715" s="5" t="str">
        <f t="shared" si="22"/>
        <v>Medium</v>
      </c>
      <c r="AA715" s="5" t="s">
        <v>956</v>
      </c>
      <c r="AB715" s="6" t="s">
        <v>924</v>
      </c>
      <c r="AC715" s="6" t="s">
        <v>103</v>
      </c>
      <c r="AD715" s="5" t="s">
        <v>925</v>
      </c>
      <c r="AE715" s="5" t="s">
        <v>354</v>
      </c>
      <c r="AF715" s="5" t="s">
        <v>354</v>
      </c>
      <c r="AG715" s="5" t="s">
        <v>354</v>
      </c>
      <c r="AH715" s="5" t="s">
        <v>354</v>
      </c>
      <c r="AI715" s="6" t="str">
        <f t="shared" si="23"/>
        <v>No</v>
      </c>
      <c r="AJ715" s="6" t="s">
        <v>926</v>
      </c>
      <c r="AK715" s="6" t="s">
        <v>121</v>
      </c>
      <c r="AL715" s="6">
        <f>MATCH(AA715,{"Low","Medium","High"},0)*MATCH(AB715,{"Low","Medium","High"},0)*INDEX({3,2,2,1,1},MATCH(X715,{"Core","Vertical extension","Differentiator","Future","Adjacent"},0))</f>
        <v>6</v>
      </c>
      <c r="AM715" s="5"/>
      <c r="AN715" s="5"/>
      <c r="AO715" s="5"/>
      <c r="AP715" s="5"/>
      <c r="AQ715" s="5"/>
      <c r="AR715" s="5"/>
      <c r="AS715" s="5"/>
      <c r="AT715" s="5"/>
      <c r="AU715" s="6" t="s">
        <v>927</v>
      </c>
      <c r="AV715" s="6" t="s">
        <v>55</v>
      </c>
      <c r="AW715" s="6" t="s">
        <v>55</v>
      </c>
      <c r="AX715" s="6" t="s">
        <v>929</v>
      </c>
      <c r="AY715" s="6" t="s">
        <v>930</v>
      </c>
      <c r="AZ715" s="6"/>
      <c r="BA715" s="6"/>
      <c r="BB715" s="6"/>
      <c r="BC715" s="6" t="s">
        <v>97</v>
      </c>
      <c r="BD715" s="6" t="s">
        <v>97</v>
      </c>
    </row>
    <row r="716" spans="1:56" ht="32" customHeight="1" x14ac:dyDescent="0.35">
      <c r="A716" s="13" t="s">
        <v>5167</v>
      </c>
      <c r="B716" s="6" t="s">
        <v>2114</v>
      </c>
      <c r="C716" s="5" t="s">
        <v>2115</v>
      </c>
      <c r="D716" s="5" t="s">
        <v>838</v>
      </c>
      <c r="E716" s="5" t="s">
        <v>5168</v>
      </c>
      <c r="F716" s="5" t="s">
        <v>5169</v>
      </c>
      <c r="G716" s="5" t="s">
        <v>1017</v>
      </c>
      <c r="H716" s="5" t="s">
        <v>5170</v>
      </c>
      <c r="I716" s="5" t="s">
        <v>5171</v>
      </c>
      <c r="J716" s="16" t="s">
        <v>73</v>
      </c>
      <c r="K716" s="17" t="s">
        <v>181</v>
      </c>
      <c r="L716" s="5" t="s">
        <v>5172</v>
      </c>
      <c r="M716" s="6" t="s">
        <v>198</v>
      </c>
      <c r="N716" s="6" t="s">
        <v>812</v>
      </c>
      <c r="O716" s="6" t="s">
        <v>73</v>
      </c>
      <c r="P716" s="5" t="s">
        <v>918</v>
      </c>
      <c r="Q716" s="17" t="s">
        <v>182</v>
      </c>
      <c r="R716" s="5"/>
      <c r="S716" s="6" t="s">
        <v>990</v>
      </c>
      <c r="T716" s="5" t="s">
        <v>991</v>
      </c>
      <c r="U716" s="6"/>
      <c r="V716" s="6" t="s">
        <v>992</v>
      </c>
      <c r="W716" s="6" t="s">
        <v>337</v>
      </c>
      <c r="X716" s="5" t="s">
        <v>922</v>
      </c>
      <c r="Y716" s="5" t="s">
        <v>812</v>
      </c>
      <c r="Z716" s="5" t="str">
        <f t="shared" si="22"/>
        <v>High</v>
      </c>
      <c r="AA716" s="5" t="s">
        <v>923</v>
      </c>
      <c r="AB716" s="6" t="s">
        <v>924</v>
      </c>
      <c r="AC716" s="6" t="s">
        <v>78</v>
      </c>
      <c r="AD716" s="5" t="s">
        <v>925</v>
      </c>
      <c r="AE716" s="5" t="s">
        <v>354</v>
      </c>
      <c r="AF716" s="5" t="s">
        <v>354</v>
      </c>
      <c r="AG716" s="5" t="s">
        <v>354</v>
      </c>
      <c r="AH716" s="5" t="s">
        <v>354</v>
      </c>
      <c r="AI716" s="6" t="str">
        <f t="shared" si="23"/>
        <v>No</v>
      </c>
      <c r="AJ716" s="6" t="s">
        <v>926</v>
      </c>
      <c r="AK716" s="6" t="s">
        <v>73</v>
      </c>
      <c r="AL716" s="6">
        <f>MATCH(AA716,{"Low","Medium","High"},0)*MATCH(AB716,{"Low","Medium","High"},0)*INDEX({3,2,2,1,1},MATCH(X716,{"Core","Vertical extension","Differentiator","Future","Adjacent"},0))</f>
        <v>9</v>
      </c>
      <c r="AM716" s="5"/>
      <c r="AN716" s="5"/>
      <c r="AO716" s="5"/>
      <c r="AP716" s="5"/>
      <c r="AQ716" s="5"/>
      <c r="AR716" s="5"/>
      <c r="AS716" s="5"/>
      <c r="AT716" s="5"/>
      <c r="AU716" s="6" t="s">
        <v>927</v>
      </c>
      <c r="AV716" s="6" t="s">
        <v>1390</v>
      </c>
      <c r="AW716" s="6" t="s">
        <v>1390</v>
      </c>
      <c r="AX716" s="6" t="s">
        <v>929</v>
      </c>
      <c r="AY716" s="6" t="s">
        <v>930</v>
      </c>
      <c r="AZ716" s="6"/>
      <c r="BA716" s="6" t="s">
        <v>942</v>
      </c>
      <c r="BB716" s="6" t="s">
        <v>943</v>
      </c>
      <c r="BC716" s="6" t="s">
        <v>97</v>
      </c>
      <c r="BD716" s="6" t="s">
        <v>97</v>
      </c>
    </row>
    <row r="717" spans="1:56" ht="32" customHeight="1" x14ac:dyDescent="0.35">
      <c r="A717" s="13" t="s">
        <v>5173</v>
      </c>
      <c r="B717" s="6" t="s">
        <v>5174</v>
      </c>
      <c r="C717" s="5" t="s">
        <v>5175</v>
      </c>
      <c r="D717" s="5" t="s">
        <v>849</v>
      </c>
      <c r="E717" s="5" t="s">
        <v>5176</v>
      </c>
      <c r="F717" s="5" t="s">
        <v>5177</v>
      </c>
      <c r="G717" s="5" t="s">
        <v>5178</v>
      </c>
      <c r="H717" s="5" t="s">
        <v>5179</v>
      </c>
      <c r="I717" s="5" t="s">
        <v>5180</v>
      </c>
      <c r="J717" s="17" t="s">
        <v>121</v>
      </c>
      <c r="K717" s="19" t="s">
        <v>94</v>
      </c>
      <c r="L717" s="5" t="s">
        <v>5181</v>
      </c>
      <c r="M717" s="6" t="s">
        <v>199</v>
      </c>
      <c r="N717" s="6" t="s">
        <v>811</v>
      </c>
      <c r="O717" s="6" t="s">
        <v>121</v>
      </c>
      <c r="P717" s="5" t="s">
        <v>918</v>
      </c>
      <c r="Q717" s="18" t="s">
        <v>186</v>
      </c>
      <c r="R717" s="5" t="s">
        <v>5182</v>
      </c>
      <c r="S717" s="6" t="s">
        <v>5183</v>
      </c>
      <c r="T717" s="5" t="s">
        <v>5184</v>
      </c>
      <c r="U717" s="6"/>
      <c r="V717" s="6" t="s">
        <v>1774</v>
      </c>
      <c r="W717" s="6" t="s">
        <v>335</v>
      </c>
      <c r="X717" s="5" t="s">
        <v>922</v>
      </c>
      <c r="Y717" s="5" t="s">
        <v>5185</v>
      </c>
      <c r="Z717" s="5" t="str">
        <f t="shared" si="22"/>
        <v>Medium</v>
      </c>
      <c r="AA717" s="5" t="s">
        <v>956</v>
      </c>
      <c r="AB717" s="6" t="s">
        <v>924</v>
      </c>
      <c r="AC717" s="6" t="s">
        <v>11</v>
      </c>
      <c r="AD717" s="5" t="s">
        <v>940</v>
      </c>
      <c r="AE717" s="5" t="s">
        <v>354</v>
      </c>
      <c r="AF717" s="5" t="s">
        <v>354</v>
      </c>
      <c r="AG717" s="5" t="s">
        <v>354</v>
      </c>
      <c r="AH717" s="5" t="s">
        <v>354</v>
      </c>
      <c r="AI717" s="6" t="str">
        <f t="shared" si="23"/>
        <v>No</v>
      </c>
      <c r="AJ717" s="6" t="s">
        <v>941</v>
      </c>
      <c r="AK717" s="6" t="s">
        <v>151</v>
      </c>
      <c r="AL717" s="6">
        <f>MATCH(AA717,{"Low","Medium","High"},0)*MATCH(AB717,{"Low","Medium","High"},0)*INDEX({3,2,2,1,1},MATCH(X717,{"Core","Vertical extension","Differentiator","Future","Adjacent"},0))</f>
        <v>6</v>
      </c>
      <c r="AM717" s="5"/>
      <c r="AN717" s="5"/>
      <c r="AO717" s="5"/>
      <c r="AP717" s="5"/>
      <c r="AQ717" s="5"/>
      <c r="AR717" s="5"/>
      <c r="AS717" s="5"/>
      <c r="AT717" s="5"/>
      <c r="AU717" s="6" t="s">
        <v>927</v>
      </c>
      <c r="AV717" s="6" t="s">
        <v>1315</v>
      </c>
      <c r="AW717" s="6" t="s">
        <v>1315</v>
      </c>
      <c r="AX717" s="6" t="s">
        <v>929</v>
      </c>
      <c r="AY717" s="6" t="s">
        <v>930</v>
      </c>
      <c r="AZ717" s="6"/>
      <c r="BA717" s="6"/>
      <c r="BB717" s="6"/>
      <c r="BC717" s="6" t="s">
        <v>97</v>
      </c>
      <c r="BD717" s="6" t="s">
        <v>97</v>
      </c>
    </row>
    <row r="718" spans="1:56" ht="32" customHeight="1" x14ac:dyDescent="0.35">
      <c r="A718" s="13" t="s">
        <v>5186</v>
      </c>
      <c r="B718" s="6" t="s">
        <v>5174</v>
      </c>
      <c r="C718" s="5" t="s">
        <v>5175</v>
      </c>
      <c r="D718" s="5" t="s">
        <v>849</v>
      </c>
      <c r="E718" s="5" t="s">
        <v>5187</v>
      </c>
      <c r="F718" s="5" t="s">
        <v>5177</v>
      </c>
      <c r="G718" s="5" t="s">
        <v>3059</v>
      </c>
      <c r="H718" s="5" t="s">
        <v>5188</v>
      </c>
      <c r="I718" s="5" t="s">
        <v>5189</v>
      </c>
      <c r="J718" s="17" t="s">
        <v>121</v>
      </c>
      <c r="K718" s="19" t="s">
        <v>94</v>
      </c>
      <c r="L718" s="5" t="s">
        <v>5190</v>
      </c>
      <c r="M718" s="6" t="s">
        <v>199</v>
      </c>
      <c r="N718" s="6" t="s">
        <v>811</v>
      </c>
      <c r="O718" s="6" t="s">
        <v>121</v>
      </c>
      <c r="P718" s="5" t="s">
        <v>918</v>
      </c>
      <c r="Q718" s="18" t="s">
        <v>186</v>
      </c>
      <c r="R718" s="5" t="s">
        <v>5191</v>
      </c>
      <c r="S718" s="6" t="s">
        <v>5183</v>
      </c>
      <c r="T718" s="5" t="s">
        <v>5184</v>
      </c>
      <c r="U718" s="6"/>
      <c r="V718" s="6" t="s">
        <v>1774</v>
      </c>
      <c r="W718" s="6" t="s">
        <v>335</v>
      </c>
      <c r="X718" s="5" t="s">
        <v>922</v>
      </c>
      <c r="Y718" s="5" t="s">
        <v>5185</v>
      </c>
      <c r="Z718" s="5" t="str">
        <f t="shared" si="22"/>
        <v>Medium</v>
      </c>
      <c r="AA718" s="5" t="s">
        <v>956</v>
      </c>
      <c r="AB718" s="6" t="s">
        <v>924</v>
      </c>
      <c r="AC718" s="6" t="s">
        <v>11</v>
      </c>
      <c r="AD718" s="5" t="s">
        <v>940</v>
      </c>
      <c r="AE718" s="5" t="s">
        <v>354</v>
      </c>
      <c r="AF718" s="5" t="s">
        <v>354</v>
      </c>
      <c r="AG718" s="5" t="s">
        <v>354</v>
      </c>
      <c r="AH718" s="5" t="s">
        <v>354</v>
      </c>
      <c r="AI718" s="6" t="str">
        <f t="shared" si="23"/>
        <v>No</v>
      </c>
      <c r="AJ718" s="6" t="s">
        <v>941</v>
      </c>
      <c r="AK718" s="6" t="s">
        <v>151</v>
      </c>
      <c r="AL718" s="6">
        <f>MATCH(AA718,{"Low","Medium","High"},0)*MATCH(AB718,{"Low","Medium","High"},0)*INDEX({3,2,2,1,1},MATCH(X718,{"Core","Vertical extension","Differentiator","Future","Adjacent"},0))</f>
        <v>6</v>
      </c>
      <c r="AM718" s="5"/>
      <c r="AN718" s="5"/>
      <c r="AO718" s="5"/>
      <c r="AP718" s="5"/>
      <c r="AQ718" s="5"/>
      <c r="AR718" s="5"/>
      <c r="AS718" s="5"/>
      <c r="AT718" s="5"/>
      <c r="AU718" s="6" t="s">
        <v>927</v>
      </c>
      <c r="AV718" s="6" t="s">
        <v>1315</v>
      </c>
      <c r="AW718" s="6" t="s">
        <v>1315</v>
      </c>
      <c r="AX718" s="6" t="s">
        <v>929</v>
      </c>
      <c r="AY718" s="6" t="s">
        <v>930</v>
      </c>
      <c r="AZ718" s="6"/>
      <c r="BA718" s="6"/>
      <c r="BB718" s="6"/>
      <c r="BC718" s="6" t="s">
        <v>97</v>
      </c>
      <c r="BD718" s="6" t="s">
        <v>97</v>
      </c>
    </row>
    <row r="719" spans="1:56" ht="32" customHeight="1" x14ac:dyDescent="0.35">
      <c r="A719" s="13" t="s">
        <v>5192</v>
      </c>
      <c r="B719" s="6" t="s">
        <v>5174</v>
      </c>
      <c r="C719" s="5" t="s">
        <v>5175</v>
      </c>
      <c r="D719" s="5" t="s">
        <v>849</v>
      </c>
      <c r="E719" s="5" t="s">
        <v>5193</v>
      </c>
      <c r="F719" s="5" t="s">
        <v>5177</v>
      </c>
      <c r="G719" s="5" t="s">
        <v>5194</v>
      </c>
      <c r="H719" s="5" t="s">
        <v>5195</v>
      </c>
      <c r="I719" s="5" t="s">
        <v>5196</v>
      </c>
      <c r="J719" s="17" t="s">
        <v>121</v>
      </c>
      <c r="K719" s="19" t="s">
        <v>94</v>
      </c>
      <c r="L719" s="5" t="s">
        <v>5197</v>
      </c>
      <c r="M719" s="6" t="s">
        <v>199</v>
      </c>
      <c r="N719" s="6" t="s">
        <v>811</v>
      </c>
      <c r="O719" s="6" t="s">
        <v>121</v>
      </c>
      <c r="P719" s="5" t="s">
        <v>918</v>
      </c>
      <c r="Q719" s="18" t="s">
        <v>186</v>
      </c>
      <c r="R719" s="5" t="s">
        <v>5198</v>
      </c>
      <c r="S719" s="6" t="s">
        <v>5183</v>
      </c>
      <c r="T719" s="5" t="s">
        <v>5184</v>
      </c>
      <c r="U719" s="6"/>
      <c r="V719" s="6" t="s">
        <v>1774</v>
      </c>
      <c r="W719" s="6" t="s">
        <v>335</v>
      </c>
      <c r="X719" s="5" t="s">
        <v>922</v>
      </c>
      <c r="Y719" s="5" t="s">
        <v>5185</v>
      </c>
      <c r="Z719" s="5" t="str">
        <f t="shared" si="22"/>
        <v>Medium</v>
      </c>
      <c r="AA719" s="5" t="s">
        <v>956</v>
      </c>
      <c r="AB719" s="6" t="s">
        <v>924</v>
      </c>
      <c r="AC719" s="6" t="s">
        <v>11</v>
      </c>
      <c r="AD719" s="5" t="s">
        <v>940</v>
      </c>
      <c r="AE719" s="5" t="s">
        <v>354</v>
      </c>
      <c r="AF719" s="5" t="s">
        <v>354</v>
      </c>
      <c r="AG719" s="5" t="s">
        <v>354</v>
      </c>
      <c r="AH719" s="5" t="s">
        <v>354</v>
      </c>
      <c r="AI719" s="6" t="str">
        <f t="shared" si="23"/>
        <v>No</v>
      </c>
      <c r="AJ719" s="6" t="s">
        <v>941</v>
      </c>
      <c r="AK719" s="6" t="s">
        <v>151</v>
      </c>
      <c r="AL719" s="6">
        <f>MATCH(AA719,{"Low","Medium","High"},0)*MATCH(AB719,{"Low","Medium","High"},0)*INDEX({3,2,2,1,1},MATCH(X719,{"Core","Vertical extension","Differentiator","Future","Adjacent"},0))</f>
        <v>6</v>
      </c>
      <c r="AM719" s="5"/>
      <c r="AN719" s="5"/>
      <c r="AO719" s="5"/>
      <c r="AP719" s="5"/>
      <c r="AQ719" s="5"/>
      <c r="AR719" s="5"/>
      <c r="AS719" s="5"/>
      <c r="AT719" s="5"/>
      <c r="AU719" s="6" t="s">
        <v>927</v>
      </c>
      <c r="AV719" s="6" t="s">
        <v>1315</v>
      </c>
      <c r="AW719" s="6" t="s">
        <v>1315</v>
      </c>
      <c r="AX719" s="6" t="s">
        <v>929</v>
      </c>
      <c r="AY719" s="6" t="s">
        <v>930</v>
      </c>
      <c r="AZ719" s="6"/>
      <c r="BA719" s="6"/>
      <c r="BB719" s="6"/>
      <c r="BC719" s="6" t="s">
        <v>97</v>
      </c>
      <c r="BD719" s="6" t="s">
        <v>97</v>
      </c>
    </row>
    <row r="720" spans="1:56" ht="32" customHeight="1" x14ac:dyDescent="0.35">
      <c r="A720" s="13" t="s">
        <v>5199</v>
      </c>
      <c r="B720" s="6" t="s">
        <v>5174</v>
      </c>
      <c r="C720" s="5" t="s">
        <v>5175</v>
      </c>
      <c r="D720" s="5" t="s">
        <v>849</v>
      </c>
      <c r="E720" s="5" t="s">
        <v>5200</v>
      </c>
      <c r="F720" s="5" t="s">
        <v>5177</v>
      </c>
      <c r="G720" s="5" t="s">
        <v>5201</v>
      </c>
      <c r="H720" s="5" t="s">
        <v>5202</v>
      </c>
      <c r="I720" s="5" t="s">
        <v>5203</v>
      </c>
      <c r="J720" s="19" t="s">
        <v>151</v>
      </c>
      <c r="K720" s="19" t="s">
        <v>94</v>
      </c>
      <c r="L720" s="5" t="s">
        <v>5204</v>
      </c>
      <c r="M720" s="6" t="s">
        <v>199</v>
      </c>
      <c r="N720" s="6" t="s">
        <v>811</v>
      </c>
      <c r="O720" s="6" t="s">
        <v>151</v>
      </c>
      <c r="P720" s="5" t="s">
        <v>918</v>
      </c>
      <c r="Q720" s="17" t="s">
        <v>182</v>
      </c>
      <c r="R720" s="5"/>
      <c r="S720" s="6" t="s">
        <v>5183</v>
      </c>
      <c r="T720" s="5" t="s">
        <v>5184</v>
      </c>
      <c r="U720" s="6"/>
      <c r="V720" s="6" t="s">
        <v>1774</v>
      </c>
      <c r="W720" s="6" t="s">
        <v>335</v>
      </c>
      <c r="X720" s="5" t="s">
        <v>922</v>
      </c>
      <c r="Y720" s="5" t="s">
        <v>5185</v>
      </c>
      <c r="Z720" s="5" t="str">
        <f t="shared" si="22"/>
        <v>Medium</v>
      </c>
      <c r="AA720" s="5" t="s">
        <v>956</v>
      </c>
      <c r="AB720" s="6" t="s">
        <v>924</v>
      </c>
      <c r="AC720" s="6" t="s">
        <v>11</v>
      </c>
      <c r="AD720" s="5" t="s">
        <v>940</v>
      </c>
      <c r="AE720" s="5" t="s">
        <v>354</v>
      </c>
      <c r="AF720" s="5" t="s">
        <v>354</v>
      </c>
      <c r="AG720" s="5" t="s">
        <v>354</v>
      </c>
      <c r="AH720" s="5" t="s">
        <v>354</v>
      </c>
      <c r="AI720" s="6" t="str">
        <f t="shared" si="23"/>
        <v>No</v>
      </c>
      <c r="AJ720" s="6" t="s">
        <v>941</v>
      </c>
      <c r="AK720" s="6" t="s">
        <v>151</v>
      </c>
      <c r="AL720" s="6">
        <f>MATCH(AA720,{"Low","Medium","High"},0)*MATCH(AB720,{"Low","Medium","High"},0)*INDEX({3,2,2,1,1},MATCH(X720,{"Core","Vertical extension","Differentiator","Future","Adjacent"},0))</f>
        <v>6</v>
      </c>
      <c r="AM720" s="5"/>
      <c r="AN720" s="5"/>
      <c r="AO720" s="5"/>
      <c r="AP720" s="5"/>
      <c r="AQ720" s="5"/>
      <c r="AR720" s="5"/>
      <c r="AS720" s="5"/>
      <c r="AT720" s="5"/>
      <c r="AU720" s="6" t="s">
        <v>927</v>
      </c>
      <c r="AV720" s="6" t="s">
        <v>1315</v>
      </c>
      <c r="AW720" s="6" t="s">
        <v>1315</v>
      </c>
      <c r="AX720" s="6" t="s">
        <v>929</v>
      </c>
      <c r="AY720" s="6" t="s">
        <v>930</v>
      </c>
      <c r="AZ720" s="6"/>
      <c r="BA720" s="6"/>
      <c r="BB720" s="6"/>
      <c r="BC720" s="6" t="s">
        <v>97</v>
      </c>
      <c r="BD720" s="6" t="s">
        <v>97</v>
      </c>
    </row>
    <row r="721" spans="1:56" ht="32" customHeight="1" x14ac:dyDescent="0.35">
      <c r="A721" s="13" t="s">
        <v>5205</v>
      </c>
      <c r="B721" s="6" t="s">
        <v>5174</v>
      </c>
      <c r="C721" s="5" t="s">
        <v>5206</v>
      </c>
      <c r="D721" s="5" t="s">
        <v>850</v>
      </c>
      <c r="E721" s="5" t="s">
        <v>5207</v>
      </c>
      <c r="F721" s="5" t="s">
        <v>5206</v>
      </c>
      <c r="G721" s="5" t="s">
        <v>1596</v>
      </c>
      <c r="H721" s="5" t="s">
        <v>5208</v>
      </c>
      <c r="I721" s="5" t="s">
        <v>5209</v>
      </c>
      <c r="J721" s="17" t="s">
        <v>121</v>
      </c>
      <c r="K721" s="19" t="s">
        <v>94</v>
      </c>
      <c r="L721" s="5" t="s">
        <v>5210</v>
      </c>
      <c r="M721" s="6" t="s">
        <v>199</v>
      </c>
      <c r="N721" s="6" t="s">
        <v>811</v>
      </c>
      <c r="O721" s="6" t="s">
        <v>121</v>
      </c>
      <c r="P721" s="5" t="s">
        <v>918</v>
      </c>
      <c r="Q721" s="18" t="s">
        <v>186</v>
      </c>
      <c r="R721" s="5" t="s">
        <v>5211</v>
      </c>
      <c r="S721" s="6" t="s">
        <v>5212</v>
      </c>
      <c r="T721" s="5" t="s">
        <v>5213</v>
      </c>
      <c r="U721" s="6"/>
      <c r="V721" s="6" t="s">
        <v>1774</v>
      </c>
      <c r="W721" s="6" t="s">
        <v>335</v>
      </c>
      <c r="X721" s="5" t="s">
        <v>922</v>
      </c>
      <c r="Y721" s="5" t="s">
        <v>5185</v>
      </c>
      <c r="Z721" s="5" t="str">
        <f t="shared" si="22"/>
        <v>Medium</v>
      </c>
      <c r="AA721" s="5" t="s">
        <v>956</v>
      </c>
      <c r="AB721" s="6" t="s">
        <v>924</v>
      </c>
      <c r="AC721" s="6" t="s">
        <v>11</v>
      </c>
      <c r="AD721" s="5" t="s">
        <v>940</v>
      </c>
      <c r="AE721" s="5" t="s">
        <v>354</v>
      </c>
      <c r="AF721" s="5" t="s">
        <v>354</v>
      </c>
      <c r="AG721" s="5" t="s">
        <v>354</v>
      </c>
      <c r="AH721" s="5" t="s">
        <v>354</v>
      </c>
      <c r="AI721" s="6" t="str">
        <f t="shared" si="23"/>
        <v>No</v>
      </c>
      <c r="AJ721" s="6" t="s">
        <v>941</v>
      </c>
      <c r="AK721" s="6" t="s">
        <v>151</v>
      </c>
      <c r="AL721" s="6">
        <f>MATCH(AA721,{"Low","Medium","High"},0)*MATCH(AB721,{"Low","Medium","High"},0)*INDEX({3,2,2,1,1},MATCH(X721,{"Core","Vertical extension","Differentiator","Future","Adjacent"},0))</f>
        <v>6</v>
      </c>
      <c r="AM721" s="5"/>
      <c r="AN721" s="5"/>
      <c r="AO721" s="5"/>
      <c r="AP721" s="5"/>
      <c r="AQ721" s="5"/>
      <c r="AR721" s="5"/>
      <c r="AS721" s="5"/>
      <c r="AT721" s="5"/>
      <c r="AU721" s="6" t="s">
        <v>927</v>
      </c>
      <c r="AV721" s="6" t="s">
        <v>1315</v>
      </c>
      <c r="AW721" s="6" t="s">
        <v>1315</v>
      </c>
      <c r="AX721" s="6" t="s">
        <v>929</v>
      </c>
      <c r="AY721" s="6" t="s">
        <v>930</v>
      </c>
      <c r="AZ721" s="6"/>
      <c r="BA721" s="6"/>
      <c r="BB721" s="6"/>
      <c r="BC721" s="6" t="s">
        <v>97</v>
      </c>
      <c r="BD721" s="6" t="s">
        <v>97</v>
      </c>
    </row>
    <row r="722" spans="1:56" ht="32" customHeight="1" x14ac:dyDescent="0.35">
      <c r="A722" s="13" t="s">
        <v>109</v>
      </c>
      <c r="B722" s="6" t="s">
        <v>5174</v>
      </c>
      <c r="C722" s="5" t="s">
        <v>5206</v>
      </c>
      <c r="D722" s="5" t="s">
        <v>850</v>
      </c>
      <c r="E722" s="5" t="s">
        <v>5214</v>
      </c>
      <c r="F722" s="5" t="s">
        <v>5206</v>
      </c>
      <c r="G722" s="5" t="s">
        <v>3059</v>
      </c>
      <c r="H722" s="5" t="s">
        <v>5215</v>
      </c>
      <c r="I722" s="5" t="s">
        <v>5216</v>
      </c>
      <c r="J722" s="16" t="s">
        <v>73</v>
      </c>
      <c r="K722" s="19" t="s">
        <v>94</v>
      </c>
      <c r="L722" s="5" t="s">
        <v>5217</v>
      </c>
      <c r="M722" s="6" t="s">
        <v>199</v>
      </c>
      <c r="N722" s="6" t="s">
        <v>811</v>
      </c>
      <c r="O722" s="6" t="s">
        <v>73</v>
      </c>
      <c r="P722" s="5" t="s">
        <v>918</v>
      </c>
      <c r="Q722" s="17" t="s">
        <v>182</v>
      </c>
      <c r="R722" s="5"/>
      <c r="S722" s="6" t="s">
        <v>5212</v>
      </c>
      <c r="T722" s="5" t="s">
        <v>5213</v>
      </c>
      <c r="U722" s="6"/>
      <c r="V722" s="6" t="s">
        <v>1774</v>
      </c>
      <c r="W722" s="6" t="s">
        <v>335</v>
      </c>
      <c r="X722" s="5" t="s">
        <v>922</v>
      </c>
      <c r="Y722" s="5" t="s">
        <v>5185</v>
      </c>
      <c r="Z722" s="5" t="str">
        <f t="shared" si="22"/>
        <v>High</v>
      </c>
      <c r="AA722" s="5" t="s">
        <v>923</v>
      </c>
      <c r="AB722" s="6" t="s">
        <v>924</v>
      </c>
      <c r="AC722" s="6" t="s">
        <v>78</v>
      </c>
      <c r="AD722" s="5" t="s">
        <v>940</v>
      </c>
      <c r="AE722" s="5" t="s">
        <v>354</v>
      </c>
      <c r="AF722" s="5" t="s">
        <v>354</v>
      </c>
      <c r="AG722" s="5" t="s">
        <v>354</v>
      </c>
      <c r="AH722" s="5" t="s">
        <v>354</v>
      </c>
      <c r="AI722" s="6" t="str">
        <f t="shared" si="23"/>
        <v>No</v>
      </c>
      <c r="AJ722" s="6" t="s">
        <v>941</v>
      </c>
      <c r="AK722" s="6" t="s">
        <v>73</v>
      </c>
      <c r="AL722" s="6">
        <f>MATCH(AA722,{"Low","Medium","High"},0)*MATCH(AB722,{"Low","Medium","High"},0)*INDEX({3,2,2,1,1},MATCH(X722,{"Core","Vertical extension","Differentiator","Future","Adjacent"},0))</f>
        <v>9</v>
      </c>
      <c r="AM722" s="5"/>
      <c r="AN722" s="5"/>
      <c r="AO722" s="5"/>
      <c r="AP722" s="5"/>
      <c r="AQ722" s="5"/>
      <c r="AR722" s="5"/>
      <c r="AS722" s="5"/>
      <c r="AT722" s="5"/>
      <c r="AU722" s="6" t="s">
        <v>927</v>
      </c>
      <c r="AV722" s="6" t="s">
        <v>1315</v>
      </c>
      <c r="AW722" s="6" t="s">
        <v>1315</v>
      </c>
      <c r="AX722" s="6" t="s">
        <v>929</v>
      </c>
      <c r="AY722" s="6" t="s">
        <v>930</v>
      </c>
      <c r="AZ722" s="6"/>
      <c r="BA722" s="6"/>
      <c r="BB722" s="6"/>
      <c r="BC722" s="6" t="s">
        <v>97</v>
      </c>
      <c r="BD722" s="6" t="s">
        <v>97</v>
      </c>
    </row>
    <row r="723" spans="1:56" ht="32" customHeight="1" x14ac:dyDescent="0.35">
      <c r="A723" s="13" t="s">
        <v>5218</v>
      </c>
      <c r="B723" s="6" t="s">
        <v>5174</v>
      </c>
      <c r="C723" s="5" t="s">
        <v>5219</v>
      </c>
      <c r="D723" s="5" t="s">
        <v>850</v>
      </c>
      <c r="E723" s="5" t="s">
        <v>5220</v>
      </c>
      <c r="F723" s="5" t="s">
        <v>5219</v>
      </c>
      <c r="G723" s="5" t="s">
        <v>3059</v>
      </c>
      <c r="H723" s="5" t="s">
        <v>5221</v>
      </c>
      <c r="I723" s="5" t="s">
        <v>5222</v>
      </c>
      <c r="J723" s="17" t="s">
        <v>121</v>
      </c>
      <c r="K723" s="19" t="s">
        <v>94</v>
      </c>
      <c r="L723" s="5" t="s">
        <v>5223</v>
      </c>
      <c r="M723" s="6" t="s">
        <v>199</v>
      </c>
      <c r="N723" s="6" t="s">
        <v>811</v>
      </c>
      <c r="O723" s="6" t="s">
        <v>121</v>
      </c>
      <c r="P723" s="5" t="s">
        <v>918</v>
      </c>
      <c r="Q723" s="17" t="s">
        <v>182</v>
      </c>
      <c r="R723" s="5"/>
      <c r="S723" s="6" t="s">
        <v>5212</v>
      </c>
      <c r="T723" s="5" t="s">
        <v>5213</v>
      </c>
      <c r="U723" s="6"/>
      <c r="V723" s="6" t="s">
        <v>1774</v>
      </c>
      <c r="W723" s="6" t="s">
        <v>335</v>
      </c>
      <c r="X723" s="5" t="s">
        <v>922</v>
      </c>
      <c r="Y723" s="5" t="s">
        <v>1775</v>
      </c>
      <c r="Z723" s="5" t="str">
        <f t="shared" si="22"/>
        <v>Medium</v>
      </c>
      <c r="AA723" s="5" t="s">
        <v>956</v>
      </c>
      <c r="AB723" s="6" t="s">
        <v>924</v>
      </c>
      <c r="AC723" s="6" t="s">
        <v>11</v>
      </c>
      <c r="AD723" s="5" t="s">
        <v>940</v>
      </c>
      <c r="AE723" s="5" t="s">
        <v>354</v>
      </c>
      <c r="AF723" s="5" t="s">
        <v>354</v>
      </c>
      <c r="AG723" s="5" t="s">
        <v>354</v>
      </c>
      <c r="AH723" s="5" t="s">
        <v>354</v>
      </c>
      <c r="AI723" s="6" t="str">
        <f t="shared" si="23"/>
        <v>No</v>
      </c>
      <c r="AJ723" s="6" t="s">
        <v>941</v>
      </c>
      <c r="AK723" s="6" t="s">
        <v>151</v>
      </c>
      <c r="AL723" s="6">
        <f>MATCH(AA723,{"Low","Medium","High"},0)*MATCH(AB723,{"Low","Medium","High"},0)*INDEX({3,2,2,1,1},MATCH(X723,{"Core","Vertical extension","Differentiator","Future","Adjacent"},0))</f>
        <v>6</v>
      </c>
      <c r="AM723" s="5"/>
      <c r="AN723" s="5"/>
      <c r="AO723" s="5"/>
      <c r="AP723" s="5"/>
      <c r="AQ723" s="5"/>
      <c r="AR723" s="5"/>
      <c r="AS723" s="5"/>
      <c r="AT723" s="5"/>
      <c r="AU723" s="6" t="s">
        <v>927</v>
      </c>
      <c r="AV723" s="6" t="s">
        <v>1315</v>
      </c>
      <c r="AW723" s="6" t="s">
        <v>1315</v>
      </c>
      <c r="AX723" s="6" t="s">
        <v>929</v>
      </c>
      <c r="AY723" s="6" t="s">
        <v>930</v>
      </c>
      <c r="AZ723" s="6"/>
      <c r="BA723" s="6"/>
      <c r="BB723" s="6"/>
      <c r="BC723" s="6" t="s">
        <v>97</v>
      </c>
      <c r="BD723" s="6" t="s">
        <v>97</v>
      </c>
    </row>
    <row r="724" spans="1:56" ht="32" customHeight="1" x14ac:dyDescent="0.35">
      <c r="A724" s="13" t="s">
        <v>5224</v>
      </c>
      <c r="B724" s="6" t="s">
        <v>5174</v>
      </c>
      <c r="C724" s="5" t="s">
        <v>3059</v>
      </c>
      <c r="D724" s="5" t="s">
        <v>850</v>
      </c>
      <c r="E724" s="5" t="s">
        <v>5225</v>
      </c>
      <c r="F724" s="5" t="s">
        <v>3059</v>
      </c>
      <c r="G724" s="5" t="s">
        <v>5226</v>
      </c>
      <c r="H724" s="5" t="s">
        <v>5227</v>
      </c>
      <c r="I724" s="5" t="s">
        <v>5228</v>
      </c>
      <c r="J724" s="17" t="s">
        <v>121</v>
      </c>
      <c r="K724" s="19" t="s">
        <v>94</v>
      </c>
      <c r="L724" s="5" t="s">
        <v>5229</v>
      </c>
      <c r="M724" s="6" t="s">
        <v>199</v>
      </c>
      <c r="N724" s="6" t="s">
        <v>811</v>
      </c>
      <c r="O724" s="6" t="s">
        <v>121</v>
      </c>
      <c r="P724" s="5" t="s">
        <v>918</v>
      </c>
      <c r="Q724" s="18" t="s">
        <v>186</v>
      </c>
      <c r="R724" s="5" t="s">
        <v>5230</v>
      </c>
      <c r="S724" s="6" t="s">
        <v>5212</v>
      </c>
      <c r="T724" s="5" t="s">
        <v>5213</v>
      </c>
      <c r="U724" s="6"/>
      <c r="V724" s="6" t="s">
        <v>1774</v>
      </c>
      <c r="W724" s="6" t="s">
        <v>335</v>
      </c>
      <c r="X724" s="5" t="s">
        <v>922</v>
      </c>
      <c r="Y724" s="5" t="s">
        <v>1775</v>
      </c>
      <c r="Z724" s="5" t="str">
        <f t="shared" si="22"/>
        <v>Medium</v>
      </c>
      <c r="AA724" s="5" t="s">
        <v>956</v>
      </c>
      <c r="AB724" s="6" t="s">
        <v>924</v>
      </c>
      <c r="AC724" s="6" t="s">
        <v>11</v>
      </c>
      <c r="AD724" s="5" t="s">
        <v>940</v>
      </c>
      <c r="AE724" s="5" t="s">
        <v>354</v>
      </c>
      <c r="AF724" s="5" t="s">
        <v>354</v>
      </c>
      <c r="AG724" s="5" t="s">
        <v>354</v>
      </c>
      <c r="AH724" s="5" t="s">
        <v>354</v>
      </c>
      <c r="AI724" s="6" t="str">
        <f t="shared" si="23"/>
        <v>No</v>
      </c>
      <c r="AJ724" s="6" t="s">
        <v>941</v>
      </c>
      <c r="AK724" s="6" t="s">
        <v>151</v>
      </c>
      <c r="AL724" s="6">
        <f>MATCH(AA724,{"Low","Medium","High"},0)*MATCH(AB724,{"Low","Medium","High"},0)*INDEX({3,2,2,1,1},MATCH(X724,{"Core","Vertical extension","Differentiator","Future","Adjacent"},0))</f>
        <v>6</v>
      </c>
      <c r="AM724" s="5"/>
      <c r="AN724" s="5"/>
      <c r="AO724" s="5"/>
      <c r="AP724" s="5"/>
      <c r="AQ724" s="5"/>
      <c r="AR724" s="5"/>
      <c r="AS724" s="5"/>
      <c r="AT724" s="5"/>
      <c r="AU724" s="6" t="s">
        <v>927</v>
      </c>
      <c r="AV724" s="6" t="s">
        <v>1315</v>
      </c>
      <c r="AW724" s="6" t="s">
        <v>1315</v>
      </c>
      <c r="AX724" s="6" t="s">
        <v>929</v>
      </c>
      <c r="AY724" s="6" t="s">
        <v>930</v>
      </c>
      <c r="AZ724" s="6"/>
      <c r="BA724" s="6" t="s">
        <v>5231</v>
      </c>
      <c r="BB724" s="6" t="s">
        <v>5232</v>
      </c>
      <c r="BC724" s="6" t="s">
        <v>97</v>
      </c>
      <c r="BD724" s="6" t="s">
        <v>97</v>
      </c>
    </row>
    <row r="725" spans="1:56" ht="32" customHeight="1" x14ac:dyDescent="0.35">
      <c r="A725" s="13" t="s">
        <v>5233</v>
      </c>
      <c r="B725" s="6" t="s">
        <v>5174</v>
      </c>
      <c r="C725" s="5" t="s">
        <v>3059</v>
      </c>
      <c r="D725" s="5" t="s">
        <v>851</v>
      </c>
      <c r="E725" s="5" t="s">
        <v>5234</v>
      </c>
      <c r="F725" s="5" t="s">
        <v>3059</v>
      </c>
      <c r="G725" s="5" t="s">
        <v>1881</v>
      </c>
      <c r="H725" s="5" t="s">
        <v>5235</v>
      </c>
      <c r="I725" s="5" t="s">
        <v>5236</v>
      </c>
      <c r="J725" s="17" t="s">
        <v>121</v>
      </c>
      <c r="K725" s="19" t="s">
        <v>94</v>
      </c>
      <c r="L725" s="5" t="s">
        <v>5237</v>
      </c>
      <c r="M725" s="6" t="s">
        <v>199</v>
      </c>
      <c r="N725" s="6" t="s">
        <v>811</v>
      </c>
      <c r="O725" s="6" t="s">
        <v>121</v>
      </c>
      <c r="P725" s="5" t="s">
        <v>918</v>
      </c>
      <c r="Q725" s="18" t="s">
        <v>186</v>
      </c>
      <c r="R725" s="5" t="s">
        <v>5238</v>
      </c>
      <c r="S725" s="6" t="s">
        <v>5239</v>
      </c>
      <c r="T725" s="5" t="s">
        <v>5240</v>
      </c>
      <c r="U725" s="6"/>
      <c r="V725" s="6" t="s">
        <v>1774</v>
      </c>
      <c r="W725" s="6" t="s">
        <v>335</v>
      </c>
      <c r="X725" s="5" t="s">
        <v>922</v>
      </c>
      <c r="Y725" s="5" t="s">
        <v>1775</v>
      </c>
      <c r="Z725" s="5" t="str">
        <f t="shared" si="22"/>
        <v>Medium</v>
      </c>
      <c r="AA725" s="5" t="s">
        <v>956</v>
      </c>
      <c r="AB725" s="6" t="s">
        <v>924</v>
      </c>
      <c r="AC725" s="6" t="s">
        <v>11</v>
      </c>
      <c r="AD725" s="5" t="s">
        <v>940</v>
      </c>
      <c r="AE725" s="5" t="s">
        <v>354</v>
      </c>
      <c r="AF725" s="5" t="s">
        <v>354</v>
      </c>
      <c r="AG725" s="5" t="s">
        <v>354</v>
      </c>
      <c r="AH725" s="5" t="s">
        <v>354</v>
      </c>
      <c r="AI725" s="6" t="str">
        <f t="shared" si="23"/>
        <v>No</v>
      </c>
      <c r="AJ725" s="6" t="s">
        <v>941</v>
      </c>
      <c r="AK725" s="6" t="s">
        <v>151</v>
      </c>
      <c r="AL725" s="6">
        <f>MATCH(AA725,{"Low","Medium","High"},0)*MATCH(AB725,{"Low","Medium","High"},0)*INDEX({3,2,2,1,1},MATCH(X725,{"Core","Vertical extension","Differentiator","Future","Adjacent"},0))</f>
        <v>6</v>
      </c>
      <c r="AM725" s="5"/>
      <c r="AN725" s="5"/>
      <c r="AO725" s="5"/>
      <c r="AP725" s="5"/>
      <c r="AQ725" s="5"/>
      <c r="AR725" s="5"/>
      <c r="AS725" s="5"/>
      <c r="AT725" s="5"/>
      <c r="AU725" s="6" t="s">
        <v>927</v>
      </c>
      <c r="AV725" s="6" t="s">
        <v>1315</v>
      </c>
      <c r="AW725" s="6" t="s">
        <v>1315</v>
      </c>
      <c r="AX725" s="6" t="s">
        <v>929</v>
      </c>
      <c r="AY725" s="6" t="s">
        <v>930</v>
      </c>
      <c r="AZ725" s="6"/>
      <c r="BA725" s="6" t="s">
        <v>5241</v>
      </c>
      <c r="BB725" s="6" t="s">
        <v>5242</v>
      </c>
      <c r="BC725" s="6" t="s">
        <v>97</v>
      </c>
      <c r="BD725" s="6" t="s">
        <v>97</v>
      </c>
    </row>
    <row r="726" spans="1:56" ht="32" customHeight="1" x14ac:dyDescent="0.35">
      <c r="A726" s="13" t="s">
        <v>5243</v>
      </c>
      <c r="B726" s="6" t="s">
        <v>5174</v>
      </c>
      <c r="C726" s="5" t="s">
        <v>5244</v>
      </c>
      <c r="D726" s="5" t="s">
        <v>851</v>
      </c>
      <c r="E726" s="5" t="s">
        <v>5245</v>
      </c>
      <c r="F726" s="5" t="s">
        <v>5244</v>
      </c>
      <c r="G726" s="5" t="s">
        <v>5194</v>
      </c>
      <c r="H726" s="5" t="s">
        <v>5246</v>
      </c>
      <c r="I726" s="5" t="s">
        <v>5247</v>
      </c>
      <c r="J726" s="17" t="s">
        <v>121</v>
      </c>
      <c r="K726" s="19" t="s">
        <v>94</v>
      </c>
      <c r="L726" s="5" t="s">
        <v>5248</v>
      </c>
      <c r="M726" s="6" t="s">
        <v>199</v>
      </c>
      <c r="N726" s="6" t="s">
        <v>811</v>
      </c>
      <c r="O726" s="6" t="s">
        <v>121</v>
      </c>
      <c r="P726" s="5" t="s">
        <v>918</v>
      </c>
      <c r="Q726" s="18" t="s">
        <v>186</v>
      </c>
      <c r="R726" s="5" t="s">
        <v>5249</v>
      </c>
      <c r="S726" s="6" t="s">
        <v>5239</v>
      </c>
      <c r="T726" s="5" t="s">
        <v>5240</v>
      </c>
      <c r="U726" s="6"/>
      <c r="V726" s="6" t="s">
        <v>1774</v>
      </c>
      <c r="W726" s="6" t="s">
        <v>335</v>
      </c>
      <c r="X726" s="5" t="s">
        <v>922</v>
      </c>
      <c r="Y726" s="5" t="s">
        <v>1775</v>
      </c>
      <c r="Z726" s="5" t="str">
        <f t="shared" si="22"/>
        <v>Medium</v>
      </c>
      <c r="AA726" s="5" t="s">
        <v>956</v>
      </c>
      <c r="AB726" s="6" t="s">
        <v>924</v>
      </c>
      <c r="AC726" s="6" t="s">
        <v>11</v>
      </c>
      <c r="AD726" s="5" t="s">
        <v>940</v>
      </c>
      <c r="AE726" s="5" t="s">
        <v>354</v>
      </c>
      <c r="AF726" s="5" t="s">
        <v>354</v>
      </c>
      <c r="AG726" s="5" t="s">
        <v>354</v>
      </c>
      <c r="AH726" s="5" t="s">
        <v>354</v>
      </c>
      <c r="AI726" s="6" t="str">
        <f t="shared" si="23"/>
        <v>No</v>
      </c>
      <c r="AJ726" s="6" t="s">
        <v>941</v>
      </c>
      <c r="AK726" s="6" t="s">
        <v>151</v>
      </c>
      <c r="AL726" s="6">
        <f>MATCH(AA726,{"Low","Medium","High"},0)*MATCH(AB726,{"Low","Medium","High"},0)*INDEX({3,2,2,1,1},MATCH(X726,{"Core","Vertical extension","Differentiator","Future","Adjacent"},0))</f>
        <v>6</v>
      </c>
      <c r="AM726" s="5"/>
      <c r="AN726" s="5"/>
      <c r="AO726" s="5"/>
      <c r="AP726" s="5"/>
      <c r="AQ726" s="5"/>
      <c r="AR726" s="5"/>
      <c r="AS726" s="5"/>
      <c r="AT726" s="5"/>
      <c r="AU726" s="6" t="s">
        <v>927</v>
      </c>
      <c r="AV726" s="6" t="s">
        <v>1315</v>
      </c>
      <c r="AW726" s="6" t="s">
        <v>1315</v>
      </c>
      <c r="AX726" s="6" t="s">
        <v>929</v>
      </c>
      <c r="AY726" s="6" t="s">
        <v>930</v>
      </c>
      <c r="AZ726" s="6"/>
      <c r="BA726" s="6"/>
      <c r="BB726" s="6"/>
      <c r="BC726" s="6" t="s">
        <v>97</v>
      </c>
      <c r="BD726" s="6" t="s">
        <v>97</v>
      </c>
    </row>
    <row r="727" spans="1:56" ht="32" customHeight="1" x14ac:dyDescent="0.35">
      <c r="A727" s="13" t="s">
        <v>5250</v>
      </c>
      <c r="B727" s="6" t="s">
        <v>5174</v>
      </c>
      <c r="C727" s="5" t="s">
        <v>5251</v>
      </c>
      <c r="D727" s="5" t="s">
        <v>851</v>
      </c>
      <c r="E727" s="5" t="s">
        <v>5252</v>
      </c>
      <c r="F727" s="5" t="s">
        <v>5251</v>
      </c>
      <c r="G727" s="5" t="s">
        <v>5253</v>
      </c>
      <c r="H727" s="5" t="s">
        <v>5254</v>
      </c>
      <c r="I727" s="5" t="s">
        <v>5255</v>
      </c>
      <c r="J727" s="17" t="s">
        <v>121</v>
      </c>
      <c r="K727" s="19" t="s">
        <v>94</v>
      </c>
      <c r="L727" s="5" t="s">
        <v>5256</v>
      </c>
      <c r="M727" s="6" t="s">
        <v>199</v>
      </c>
      <c r="N727" s="6" t="s">
        <v>811</v>
      </c>
      <c r="O727" s="6" t="s">
        <v>121</v>
      </c>
      <c r="P727" s="5" t="s">
        <v>918</v>
      </c>
      <c r="Q727" s="18" t="s">
        <v>186</v>
      </c>
      <c r="R727" s="5" t="s">
        <v>5257</v>
      </c>
      <c r="S727" s="6" t="s">
        <v>5239</v>
      </c>
      <c r="T727" s="5" t="s">
        <v>5240</v>
      </c>
      <c r="U727" s="6"/>
      <c r="V727" s="6" t="s">
        <v>1774</v>
      </c>
      <c r="W727" s="6" t="s">
        <v>335</v>
      </c>
      <c r="X727" s="5" t="s">
        <v>922</v>
      </c>
      <c r="Y727" s="5" t="s">
        <v>810</v>
      </c>
      <c r="Z727" s="5" t="str">
        <f t="shared" si="22"/>
        <v>Medium</v>
      </c>
      <c r="AA727" s="5" t="s">
        <v>956</v>
      </c>
      <c r="AB727" s="6" t="s">
        <v>924</v>
      </c>
      <c r="AC727" s="6" t="s">
        <v>11</v>
      </c>
      <c r="AD727" s="5" t="s">
        <v>940</v>
      </c>
      <c r="AE727" s="5" t="s">
        <v>354</v>
      </c>
      <c r="AF727" s="5" t="s">
        <v>354</v>
      </c>
      <c r="AG727" s="5" t="s">
        <v>354</v>
      </c>
      <c r="AH727" s="5" t="s">
        <v>354</v>
      </c>
      <c r="AI727" s="6" t="str">
        <f t="shared" si="23"/>
        <v>No</v>
      </c>
      <c r="AJ727" s="6" t="s">
        <v>941</v>
      </c>
      <c r="AK727" s="6" t="s">
        <v>151</v>
      </c>
      <c r="AL727" s="6">
        <f>MATCH(AA727,{"Low","Medium","High"},0)*MATCH(AB727,{"Low","Medium","High"},0)*INDEX({3,2,2,1,1},MATCH(X727,{"Core","Vertical extension","Differentiator","Future","Adjacent"},0))</f>
        <v>6</v>
      </c>
      <c r="AM727" s="5"/>
      <c r="AN727" s="5"/>
      <c r="AO727" s="5"/>
      <c r="AP727" s="5"/>
      <c r="AQ727" s="5"/>
      <c r="AR727" s="5"/>
      <c r="AS727" s="5"/>
      <c r="AT727" s="5"/>
      <c r="AU727" s="6" t="s">
        <v>927</v>
      </c>
      <c r="AV727" s="6" t="s">
        <v>55</v>
      </c>
      <c r="AW727" s="6" t="s">
        <v>55</v>
      </c>
      <c r="AX727" s="6" t="s">
        <v>929</v>
      </c>
      <c r="AY727" s="6" t="s">
        <v>930</v>
      </c>
      <c r="AZ727" s="6"/>
      <c r="BA727" s="6"/>
      <c r="BB727" s="6"/>
      <c r="BC727" s="6" t="s">
        <v>97</v>
      </c>
      <c r="BD727" s="6" t="s">
        <v>97</v>
      </c>
    </row>
    <row r="728" spans="1:56" ht="32" customHeight="1" x14ac:dyDescent="0.35">
      <c r="A728" s="13" t="s">
        <v>5258</v>
      </c>
      <c r="B728" s="6" t="s">
        <v>5174</v>
      </c>
      <c r="C728" s="5" t="s">
        <v>5244</v>
      </c>
      <c r="D728" s="5" t="s">
        <v>851</v>
      </c>
      <c r="E728" s="5" t="s">
        <v>5259</v>
      </c>
      <c r="F728" s="5" t="s">
        <v>5244</v>
      </c>
      <c r="G728" s="5" t="s">
        <v>5260</v>
      </c>
      <c r="H728" s="5" t="s">
        <v>5261</v>
      </c>
      <c r="I728" s="5" t="s">
        <v>5262</v>
      </c>
      <c r="J728" s="19" t="s">
        <v>151</v>
      </c>
      <c r="K728" s="19" t="s">
        <v>94</v>
      </c>
      <c r="L728" s="5" t="s">
        <v>5263</v>
      </c>
      <c r="M728" s="6" t="s">
        <v>199</v>
      </c>
      <c r="N728" s="6" t="s">
        <v>811</v>
      </c>
      <c r="O728" s="6" t="s">
        <v>151</v>
      </c>
      <c r="P728" s="5" t="s">
        <v>918</v>
      </c>
      <c r="Q728" s="18" t="s">
        <v>186</v>
      </c>
      <c r="R728" s="5" t="s">
        <v>5264</v>
      </c>
      <c r="S728" s="6" t="s">
        <v>5239</v>
      </c>
      <c r="T728" s="5" t="s">
        <v>5240</v>
      </c>
      <c r="U728" s="6"/>
      <c r="V728" s="6" t="s">
        <v>1774</v>
      </c>
      <c r="W728" s="6" t="s">
        <v>335</v>
      </c>
      <c r="X728" s="5" t="s">
        <v>922</v>
      </c>
      <c r="Y728" s="5" t="s">
        <v>1775</v>
      </c>
      <c r="Z728" s="5" t="str">
        <f t="shared" si="22"/>
        <v>Medium</v>
      </c>
      <c r="AA728" s="5" t="s">
        <v>956</v>
      </c>
      <c r="AB728" s="6" t="s">
        <v>924</v>
      </c>
      <c r="AC728" s="6" t="s">
        <v>11</v>
      </c>
      <c r="AD728" s="5" t="s">
        <v>940</v>
      </c>
      <c r="AE728" s="5" t="s">
        <v>354</v>
      </c>
      <c r="AF728" s="5" t="s">
        <v>354</v>
      </c>
      <c r="AG728" s="5" t="s">
        <v>354</v>
      </c>
      <c r="AH728" s="5" t="s">
        <v>354</v>
      </c>
      <c r="AI728" s="6" t="str">
        <f t="shared" si="23"/>
        <v>No</v>
      </c>
      <c r="AJ728" s="6" t="s">
        <v>941</v>
      </c>
      <c r="AK728" s="6" t="s">
        <v>151</v>
      </c>
      <c r="AL728" s="6">
        <f>MATCH(AA728,{"Low","Medium","High"},0)*MATCH(AB728,{"Low","Medium","High"},0)*INDEX({3,2,2,1,1},MATCH(X728,{"Core","Vertical extension","Differentiator","Future","Adjacent"},0))</f>
        <v>6</v>
      </c>
      <c r="AM728" s="5"/>
      <c r="AN728" s="5"/>
      <c r="AO728" s="5"/>
      <c r="AP728" s="5"/>
      <c r="AQ728" s="5"/>
      <c r="AR728" s="5"/>
      <c r="AS728" s="5"/>
      <c r="AT728" s="5"/>
      <c r="AU728" s="6" t="s">
        <v>927</v>
      </c>
      <c r="AV728" s="6" t="s">
        <v>1315</v>
      </c>
      <c r="AW728" s="6" t="s">
        <v>1315</v>
      </c>
      <c r="AX728" s="6" t="s">
        <v>929</v>
      </c>
      <c r="AY728" s="6" t="s">
        <v>930</v>
      </c>
      <c r="AZ728" s="6"/>
      <c r="BA728" s="6"/>
      <c r="BB728" s="6"/>
      <c r="BC728" s="6" t="s">
        <v>97</v>
      </c>
      <c r="BD728" s="6" t="s">
        <v>97</v>
      </c>
    </row>
    <row r="729" spans="1:56" ht="32" customHeight="1" x14ac:dyDescent="0.35">
      <c r="A729" s="13" t="s">
        <v>5265</v>
      </c>
      <c r="B729" s="6" t="s">
        <v>5174</v>
      </c>
      <c r="C729" s="5" t="s">
        <v>5266</v>
      </c>
      <c r="D729" s="5" t="s">
        <v>852</v>
      </c>
      <c r="E729" s="5" t="s">
        <v>5267</v>
      </c>
      <c r="F729" s="5" t="s">
        <v>5266</v>
      </c>
      <c r="G729" s="5" t="s">
        <v>3059</v>
      </c>
      <c r="H729" s="5" t="s">
        <v>5268</v>
      </c>
      <c r="I729" s="5" t="s">
        <v>5269</v>
      </c>
      <c r="J729" s="17" t="s">
        <v>121</v>
      </c>
      <c r="K729" s="19" t="s">
        <v>94</v>
      </c>
      <c r="L729" s="5" t="s">
        <v>5270</v>
      </c>
      <c r="M729" s="6" t="s">
        <v>199</v>
      </c>
      <c r="N729" s="6" t="s">
        <v>811</v>
      </c>
      <c r="O729" s="6" t="s">
        <v>121</v>
      </c>
      <c r="P729" s="5" t="s">
        <v>918</v>
      </c>
      <c r="Q729" s="18" t="s">
        <v>186</v>
      </c>
      <c r="R729" s="5" t="s">
        <v>5271</v>
      </c>
      <c r="S729" s="6" t="s">
        <v>5272</v>
      </c>
      <c r="T729" s="5" t="s">
        <v>5273</v>
      </c>
      <c r="U729" s="6"/>
      <c r="V729" s="6" t="s">
        <v>1774</v>
      </c>
      <c r="W729" s="6" t="s">
        <v>335</v>
      </c>
      <c r="X729" s="5" t="s">
        <v>922</v>
      </c>
      <c r="Y729" s="5" t="s">
        <v>5185</v>
      </c>
      <c r="Z729" s="5" t="str">
        <f t="shared" si="22"/>
        <v>Medium</v>
      </c>
      <c r="AA729" s="5" t="s">
        <v>956</v>
      </c>
      <c r="AB729" s="6" t="s">
        <v>924</v>
      </c>
      <c r="AC729" s="6" t="s">
        <v>11</v>
      </c>
      <c r="AD729" s="5" t="s">
        <v>940</v>
      </c>
      <c r="AE729" s="5" t="s">
        <v>354</v>
      </c>
      <c r="AF729" s="5" t="s">
        <v>354</v>
      </c>
      <c r="AG729" s="5" t="s">
        <v>354</v>
      </c>
      <c r="AH729" s="5" t="s">
        <v>354</v>
      </c>
      <c r="AI729" s="6" t="str">
        <f t="shared" si="23"/>
        <v>No</v>
      </c>
      <c r="AJ729" s="6" t="s">
        <v>941</v>
      </c>
      <c r="AK729" s="6" t="s">
        <v>151</v>
      </c>
      <c r="AL729" s="6">
        <f>MATCH(AA729,{"Low","Medium","High"},0)*MATCH(AB729,{"Low","Medium","High"},0)*INDEX({3,2,2,1,1},MATCH(X729,{"Core","Vertical extension","Differentiator","Future","Adjacent"},0))</f>
        <v>6</v>
      </c>
      <c r="AM729" s="5"/>
      <c r="AN729" s="5"/>
      <c r="AO729" s="5"/>
      <c r="AP729" s="5"/>
      <c r="AQ729" s="5"/>
      <c r="AR729" s="5"/>
      <c r="AS729" s="5"/>
      <c r="AT729" s="5"/>
      <c r="AU729" s="6" t="s">
        <v>927</v>
      </c>
      <c r="AV729" s="6" t="s">
        <v>1315</v>
      </c>
      <c r="AW729" s="6" t="s">
        <v>1315</v>
      </c>
      <c r="AX729" s="6" t="s">
        <v>929</v>
      </c>
      <c r="AY729" s="6" t="s">
        <v>930</v>
      </c>
      <c r="AZ729" s="6"/>
      <c r="BA729" s="6"/>
      <c r="BB729" s="6"/>
      <c r="BC729" s="6" t="s">
        <v>97</v>
      </c>
      <c r="BD729" s="6" t="s">
        <v>97</v>
      </c>
    </row>
    <row r="730" spans="1:56" ht="32" customHeight="1" x14ac:dyDescent="0.35">
      <c r="A730" s="13" t="s">
        <v>5274</v>
      </c>
      <c r="B730" s="6" t="s">
        <v>5174</v>
      </c>
      <c r="C730" s="5" t="s">
        <v>5275</v>
      </c>
      <c r="D730" s="5" t="s">
        <v>852</v>
      </c>
      <c r="E730" s="5" t="s">
        <v>5276</v>
      </c>
      <c r="F730" s="5" t="s">
        <v>5275</v>
      </c>
      <c r="G730" s="5" t="s">
        <v>5277</v>
      </c>
      <c r="H730" s="5" t="s">
        <v>5278</v>
      </c>
      <c r="I730" s="5" t="s">
        <v>5279</v>
      </c>
      <c r="J730" s="17" t="s">
        <v>121</v>
      </c>
      <c r="K730" s="19" t="s">
        <v>94</v>
      </c>
      <c r="L730" s="5" t="s">
        <v>5280</v>
      </c>
      <c r="M730" s="6" t="s">
        <v>199</v>
      </c>
      <c r="N730" s="6" t="s">
        <v>811</v>
      </c>
      <c r="O730" s="6" t="s">
        <v>121</v>
      </c>
      <c r="P730" s="5" t="s">
        <v>918</v>
      </c>
      <c r="Q730" s="18" t="s">
        <v>186</v>
      </c>
      <c r="R730" s="5" t="s">
        <v>5281</v>
      </c>
      <c r="S730" s="6" t="s">
        <v>5272</v>
      </c>
      <c r="T730" s="5" t="s">
        <v>5273</v>
      </c>
      <c r="U730" s="6"/>
      <c r="V730" s="6" t="s">
        <v>1774</v>
      </c>
      <c r="W730" s="6" t="s">
        <v>335</v>
      </c>
      <c r="X730" s="5" t="s">
        <v>922</v>
      </c>
      <c r="Y730" s="5" t="s">
        <v>485</v>
      </c>
      <c r="Z730" s="5" t="str">
        <f t="shared" si="22"/>
        <v>Medium</v>
      </c>
      <c r="AA730" s="5" t="s">
        <v>956</v>
      </c>
      <c r="AB730" s="6" t="s">
        <v>924</v>
      </c>
      <c r="AC730" s="6" t="s">
        <v>11</v>
      </c>
      <c r="AD730" s="5" t="s">
        <v>940</v>
      </c>
      <c r="AE730" s="5" t="s">
        <v>354</v>
      </c>
      <c r="AF730" s="5" t="s">
        <v>354</v>
      </c>
      <c r="AG730" s="5" t="s">
        <v>354</v>
      </c>
      <c r="AH730" s="5" t="s">
        <v>354</v>
      </c>
      <c r="AI730" s="6" t="str">
        <f t="shared" si="23"/>
        <v>No</v>
      </c>
      <c r="AJ730" s="6" t="s">
        <v>941</v>
      </c>
      <c r="AK730" s="6" t="s">
        <v>151</v>
      </c>
      <c r="AL730" s="6">
        <f>MATCH(AA730,{"Low","Medium","High"},0)*MATCH(AB730,{"Low","Medium","High"},0)*INDEX({3,2,2,1,1},MATCH(X730,{"Core","Vertical extension","Differentiator","Future","Adjacent"},0))</f>
        <v>6</v>
      </c>
      <c r="AM730" s="5"/>
      <c r="AN730" s="5"/>
      <c r="AO730" s="5"/>
      <c r="AP730" s="5"/>
      <c r="AQ730" s="5"/>
      <c r="AR730" s="5"/>
      <c r="AS730" s="5"/>
      <c r="AT730" s="5"/>
      <c r="AU730" s="6" t="s">
        <v>927</v>
      </c>
      <c r="AV730" s="6" t="s">
        <v>2161</v>
      </c>
      <c r="AW730" s="6" t="s">
        <v>2161</v>
      </c>
      <c r="AX730" s="6" t="s">
        <v>929</v>
      </c>
      <c r="AY730" s="6" t="s">
        <v>930</v>
      </c>
      <c r="AZ730" s="6"/>
      <c r="BA730" s="6" t="s">
        <v>5282</v>
      </c>
      <c r="BB730" s="6" t="s">
        <v>5283</v>
      </c>
      <c r="BC730" s="6" t="s">
        <v>97</v>
      </c>
      <c r="BD730" s="6" t="s">
        <v>97</v>
      </c>
    </row>
    <row r="731" spans="1:56" ht="32" customHeight="1" x14ac:dyDescent="0.35">
      <c r="A731" s="13" t="s">
        <v>5284</v>
      </c>
      <c r="B731" s="6" t="s">
        <v>5174</v>
      </c>
      <c r="C731" s="5" t="s">
        <v>5285</v>
      </c>
      <c r="D731" s="5" t="s">
        <v>852</v>
      </c>
      <c r="E731" s="5" t="s">
        <v>5286</v>
      </c>
      <c r="F731" s="5" t="s">
        <v>5285</v>
      </c>
      <c r="G731" s="5" t="s">
        <v>1322</v>
      </c>
      <c r="H731" s="5" t="s">
        <v>5287</v>
      </c>
      <c r="I731" s="5" t="s">
        <v>5288</v>
      </c>
      <c r="J731" s="17" t="s">
        <v>121</v>
      </c>
      <c r="K731" s="19" t="s">
        <v>94</v>
      </c>
      <c r="L731" s="5" t="s">
        <v>5289</v>
      </c>
      <c r="M731" s="6" t="s">
        <v>199</v>
      </c>
      <c r="N731" s="6" t="s">
        <v>811</v>
      </c>
      <c r="O731" s="6" t="s">
        <v>121</v>
      </c>
      <c r="P731" s="5" t="s">
        <v>918</v>
      </c>
      <c r="Q731" s="18" t="s">
        <v>186</v>
      </c>
      <c r="R731" s="5" t="s">
        <v>5290</v>
      </c>
      <c r="S731" s="6" t="s">
        <v>5272</v>
      </c>
      <c r="T731" s="5" t="s">
        <v>5273</v>
      </c>
      <c r="U731" s="6"/>
      <c r="V731" s="6" t="s">
        <v>1774</v>
      </c>
      <c r="W731" s="6" t="s">
        <v>335</v>
      </c>
      <c r="X731" s="5" t="s">
        <v>922</v>
      </c>
      <c r="Y731" s="5" t="s">
        <v>810</v>
      </c>
      <c r="Z731" s="5" t="str">
        <f t="shared" si="22"/>
        <v>Medium</v>
      </c>
      <c r="AA731" s="5" t="s">
        <v>956</v>
      </c>
      <c r="AB731" s="6" t="s">
        <v>924</v>
      </c>
      <c r="AC731" s="6" t="s">
        <v>11</v>
      </c>
      <c r="AD731" s="5" t="s">
        <v>940</v>
      </c>
      <c r="AE731" s="5" t="s">
        <v>354</v>
      </c>
      <c r="AF731" s="5" t="s">
        <v>354</v>
      </c>
      <c r="AG731" s="5" t="s">
        <v>354</v>
      </c>
      <c r="AH731" s="5" t="s">
        <v>354</v>
      </c>
      <c r="AI731" s="6" t="str">
        <f t="shared" si="23"/>
        <v>No</v>
      </c>
      <c r="AJ731" s="6" t="s">
        <v>941</v>
      </c>
      <c r="AK731" s="6" t="s">
        <v>151</v>
      </c>
      <c r="AL731" s="6">
        <f>MATCH(AA731,{"Low","Medium","High"},0)*MATCH(AB731,{"Low","Medium","High"},0)*INDEX({3,2,2,1,1},MATCH(X731,{"Core","Vertical extension","Differentiator","Future","Adjacent"},0))</f>
        <v>6</v>
      </c>
      <c r="AM731" s="5"/>
      <c r="AN731" s="5"/>
      <c r="AO731" s="5"/>
      <c r="AP731" s="5"/>
      <c r="AQ731" s="5"/>
      <c r="AR731" s="5"/>
      <c r="AS731" s="5"/>
      <c r="AT731" s="5"/>
      <c r="AU731" s="6" t="s">
        <v>927</v>
      </c>
      <c r="AV731" s="6" t="s">
        <v>55</v>
      </c>
      <c r="AW731" s="6" t="s">
        <v>55</v>
      </c>
      <c r="AX731" s="6" t="s">
        <v>929</v>
      </c>
      <c r="AY731" s="6" t="s">
        <v>930</v>
      </c>
      <c r="AZ731" s="6"/>
      <c r="BA731" s="6"/>
      <c r="BB731" s="6"/>
      <c r="BC731" s="6" t="s">
        <v>97</v>
      </c>
      <c r="BD731" s="6" t="s">
        <v>97</v>
      </c>
    </row>
    <row r="732" spans="1:56" ht="32" customHeight="1" x14ac:dyDescent="0.35">
      <c r="A732" s="13" t="s">
        <v>5291</v>
      </c>
      <c r="B732" s="6" t="s">
        <v>5174</v>
      </c>
      <c r="C732" s="5" t="s">
        <v>5292</v>
      </c>
      <c r="D732" s="5" t="s">
        <v>852</v>
      </c>
      <c r="E732" s="5" t="s">
        <v>5293</v>
      </c>
      <c r="F732" s="5" t="s">
        <v>5292</v>
      </c>
      <c r="G732" s="5" t="s">
        <v>1322</v>
      </c>
      <c r="H732" s="5" t="s">
        <v>5294</v>
      </c>
      <c r="I732" s="5" t="s">
        <v>5295</v>
      </c>
      <c r="J732" s="19" t="s">
        <v>151</v>
      </c>
      <c r="K732" s="19" t="s">
        <v>94</v>
      </c>
      <c r="L732" s="5" t="s">
        <v>5296</v>
      </c>
      <c r="M732" s="6" t="s">
        <v>199</v>
      </c>
      <c r="N732" s="6" t="s">
        <v>811</v>
      </c>
      <c r="O732" s="6" t="s">
        <v>151</v>
      </c>
      <c r="P732" s="5" t="s">
        <v>918</v>
      </c>
      <c r="Q732" s="18" t="s">
        <v>186</v>
      </c>
      <c r="R732" s="5" t="s">
        <v>5297</v>
      </c>
      <c r="S732" s="6" t="s">
        <v>5272</v>
      </c>
      <c r="T732" s="5" t="s">
        <v>5273</v>
      </c>
      <c r="U732" s="6"/>
      <c r="V732" s="6" t="s">
        <v>1774</v>
      </c>
      <c r="W732" s="6" t="s">
        <v>335</v>
      </c>
      <c r="X732" s="5" t="s">
        <v>922</v>
      </c>
      <c r="Y732" s="5" t="s">
        <v>5185</v>
      </c>
      <c r="Z732" s="5" t="str">
        <f t="shared" si="22"/>
        <v>Medium</v>
      </c>
      <c r="AA732" s="5" t="s">
        <v>956</v>
      </c>
      <c r="AB732" s="6" t="s">
        <v>924</v>
      </c>
      <c r="AC732" s="6" t="s">
        <v>11</v>
      </c>
      <c r="AD732" s="5" t="s">
        <v>940</v>
      </c>
      <c r="AE732" s="5" t="s">
        <v>354</v>
      </c>
      <c r="AF732" s="5" t="s">
        <v>354</v>
      </c>
      <c r="AG732" s="5" t="s">
        <v>354</v>
      </c>
      <c r="AH732" s="5" t="s">
        <v>354</v>
      </c>
      <c r="AI732" s="6" t="str">
        <f t="shared" si="23"/>
        <v>No</v>
      </c>
      <c r="AJ732" s="6" t="s">
        <v>941</v>
      </c>
      <c r="AK732" s="6" t="s">
        <v>151</v>
      </c>
      <c r="AL732" s="6">
        <f>MATCH(AA732,{"Low","Medium","High"},0)*MATCH(AB732,{"Low","Medium","High"},0)*INDEX({3,2,2,1,1},MATCH(X732,{"Core","Vertical extension","Differentiator","Future","Adjacent"},0))</f>
        <v>6</v>
      </c>
      <c r="AM732" s="5"/>
      <c r="AN732" s="5"/>
      <c r="AO732" s="5"/>
      <c r="AP732" s="5"/>
      <c r="AQ732" s="5"/>
      <c r="AR732" s="5"/>
      <c r="AS732" s="5"/>
      <c r="AT732" s="5"/>
      <c r="AU732" s="6" t="s">
        <v>927</v>
      </c>
      <c r="AV732" s="6" t="s">
        <v>1315</v>
      </c>
      <c r="AW732" s="6" t="s">
        <v>1315</v>
      </c>
      <c r="AX732" s="6" t="s">
        <v>929</v>
      </c>
      <c r="AY732" s="6" t="s">
        <v>930</v>
      </c>
      <c r="AZ732" s="6"/>
      <c r="BA732" s="6"/>
      <c r="BB732" s="6"/>
      <c r="BC732" s="6" t="s">
        <v>97</v>
      </c>
      <c r="BD732" s="6" t="s">
        <v>97</v>
      </c>
    </row>
    <row r="733" spans="1:56" ht="32" customHeight="1" x14ac:dyDescent="0.35">
      <c r="A733" s="13" t="s">
        <v>5298</v>
      </c>
      <c r="B733" s="6" t="s">
        <v>5174</v>
      </c>
      <c r="C733" s="5" t="s">
        <v>5299</v>
      </c>
      <c r="D733" s="5" t="s">
        <v>853</v>
      </c>
      <c r="E733" s="5" t="s">
        <v>5300</v>
      </c>
      <c r="F733" s="5" t="s">
        <v>5299</v>
      </c>
      <c r="G733" s="5" t="s">
        <v>5277</v>
      </c>
      <c r="H733" s="5" t="s">
        <v>5301</v>
      </c>
      <c r="I733" s="5" t="s">
        <v>5302</v>
      </c>
      <c r="J733" s="17" t="s">
        <v>121</v>
      </c>
      <c r="K733" s="19" t="s">
        <v>94</v>
      </c>
      <c r="L733" s="5" t="s">
        <v>5303</v>
      </c>
      <c r="M733" s="6" t="s">
        <v>199</v>
      </c>
      <c r="N733" s="6" t="s">
        <v>811</v>
      </c>
      <c r="O733" s="6" t="s">
        <v>121</v>
      </c>
      <c r="P733" s="5" t="s">
        <v>918</v>
      </c>
      <c r="Q733" s="18" t="s">
        <v>186</v>
      </c>
      <c r="R733" s="5" t="s">
        <v>5304</v>
      </c>
      <c r="S733" s="6" t="s">
        <v>5305</v>
      </c>
      <c r="T733" s="5" t="s">
        <v>5306</v>
      </c>
      <c r="U733" s="6"/>
      <c r="V733" s="6" t="s">
        <v>5307</v>
      </c>
      <c r="W733" s="6" t="s">
        <v>335</v>
      </c>
      <c r="X733" s="5" t="s">
        <v>922</v>
      </c>
      <c r="Y733" s="5" t="s">
        <v>810</v>
      </c>
      <c r="Z733" s="5" t="str">
        <f t="shared" si="22"/>
        <v>Medium</v>
      </c>
      <c r="AA733" s="5" t="s">
        <v>956</v>
      </c>
      <c r="AB733" s="6" t="s">
        <v>924</v>
      </c>
      <c r="AC733" s="6" t="s">
        <v>11</v>
      </c>
      <c r="AD733" s="5" t="s">
        <v>940</v>
      </c>
      <c r="AE733" s="5" t="s">
        <v>354</v>
      </c>
      <c r="AF733" s="5" t="s">
        <v>354</v>
      </c>
      <c r="AG733" s="5" t="s">
        <v>354</v>
      </c>
      <c r="AH733" s="5" t="s">
        <v>354</v>
      </c>
      <c r="AI733" s="6" t="str">
        <f t="shared" si="23"/>
        <v>No</v>
      </c>
      <c r="AJ733" s="6" t="s">
        <v>941</v>
      </c>
      <c r="AK733" s="6" t="s">
        <v>151</v>
      </c>
      <c r="AL733" s="6">
        <f>MATCH(AA733,{"Low","Medium","High"},0)*MATCH(AB733,{"Low","Medium","High"},0)*INDEX({3,2,2,1,1},MATCH(X733,{"Core","Vertical extension","Differentiator","Future","Adjacent"},0))</f>
        <v>6</v>
      </c>
      <c r="AM733" s="5"/>
      <c r="AN733" s="5"/>
      <c r="AO733" s="5"/>
      <c r="AP733" s="5"/>
      <c r="AQ733" s="5"/>
      <c r="AR733" s="5"/>
      <c r="AS733" s="5"/>
      <c r="AT733" s="5"/>
      <c r="AU733" s="6" t="s">
        <v>927</v>
      </c>
      <c r="AV733" s="6" t="s">
        <v>1315</v>
      </c>
      <c r="AW733" s="6" t="s">
        <v>1315</v>
      </c>
      <c r="AX733" s="6" t="s">
        <v>929</v>
      </c>
      <c r="AY733" s="6" t="s">
        <v>930</v>
      </c>
      <c r="AZ733" s="6"/>
      <c r="BA733" s="6"/>
      <c r="BB733" s="6"/>
      <c r="BC733" s="6" t="s">
        <v>97</v>
      </c>
      <c r="BD733" s="6" t="s">
        <v>97</v>
      </c>
    </row>
    <row r="734" spans="1:56" ht="32" customHeight="1" x14ac:dyDescent="0.35">
      <c r="A734" s="13" t="s">
        <v>5308</v>
      </c>
      <c r="B734" s="6" t="s">
        <v>5174</v>
      </c>
      <c r="C734" s="5" t="s">
        <v>5299</v>
      </c>
      <c r="D734" s="5" t="s">
        <v>853</v>
      </c>
      <c r="E734" s="5" t="s">
        <v>5309</v>
      </c>
      <c r="F734" s="5" t="s">
        <v>5299</v>
      </c>
      <c r="G734" s="5" t="s">
        <v>5310</v>
      </c>
      <c r="H734" s="5" t="s">
        <v>5311</v>
      </c>
      <c r="I734" s="5" t="s">
        <v>5312</v>
      </c>
      <c r="J734" s="17" t="s">
        <v>121</v>
      </c>
      <c r="K734" s="19" t="s">
        <v>94</v>
      </c>
      <c r="L734" s="5" t="s">
        <v>5313</v>
      </c>
      <c r="M734" s="6" t="s">
        <v>199</v>
      </c>
      <c r="N734" s="6" t="s">
        <v>811</v>
      </c>
      <c r="O734" s="6" t="s">
        <v>121</v>
      </c>
      <c r="P734" s="5" t="s">
        <v>918</v>
      </c>
      <c r="Q734" s="18" t="s">
        <v>186</v>
      </c>
      <c r="R734" s="5" t="s">
        <v>5314</v>
      </c>
      <c r="S734" s="6" t="s">
        <v>5305</v>
      </c>
      <c r="T734" s="5" t="s">
        <v>5306</v>
      </c>
      <c r="U734" s="6"/>
      <c r="V734" s="6" t="s">
        <v>5307</v>
      </c>
      <c r="W734" s="6" t="s">
        <v>335</v>
      </c>
      <c r="X734" s="5" t="s">
        <v>922</v>
      </c>
      <c r="Y734" s="5" t="s">
        <v>810</v>
      </c>
      <c r="Z734" s="5" t="str">
        <f t="shared" si="22"/>
        <v>Medium</v>
      </c>
      <c r="AA734" s="5" t="s">
        <v>956</v>
      </c>
      <c r="AB734" s="6" t="s">
        <v>924</v>
      </c>
      <c r="AC734" s="6" t="s">
        <v>11</v>
      </c>
      <c r="AD734" s="5" t="s">
        <v>940</v>
      </c>
      <c r="AE734" s="5" t="s">
        <v>354</v>
      </c>
      <c r="AF734" s="5" t="s">
        <v>354</v>
      </c>
      <c r="AG734" s="5" t="s">
        <v>354</v>
      </c>
      <c r="AH734" s="5" t="s">
        <v>354</v>
      </c>
      <c r="AI734" s="6" t="str">
        <f t="shared" si="23"/>
        <v>No</v>
      </c>
      <c r="AJ734" s="6" t="s">
        <v>941</v>
      </c>
      <c r="AK734" s="6" t="s">
        <v>151</v>
      </c>
      <c r="AL734" s="6">
        <f>MATCH(AA734,{"Low","Medium","High"},0)*MATCH(AB734,{"Low","Medium","High"},0)*INDEX({3,2,2,1,1},MATCH(X734,{"Core","Vertical extension","Differentiator","Future","Adjacent"},0))</f>
        <v>6</v>
      </c>
      <c r="AM734" s="5"/>
      <c r="AN734" s="5"/>
      <c r="AO734" s="5"/>
      <c r="AP734" s="5"/>
      <c r="AQ734" s="5"/>
      <c r="AR734" s="5"/>
      <c r="AS734" s="5"/>
      <c r="AT734" s="5"/>
      <c r="AU734" s="6" t="s">
        <v>927</v>
      </c>
      <c r="AV734" s="6" t="s">
        <v>1315</v>
      </c>
      <c r="AW734" s="6" t="s">
        <v>1315</v>
      </c>
      <c r="AX734" s="6" t="s">
        <v>929</v>
      </c>
      <c r="AY734" s="6" t="s">
        <v>930</v>
      </c>
      <c r="AZ734" s="6"/>
      <c r="BA734" s="6"/>
      <c r="BB734" s="6"/>
      <c r="BC734" s="6" t="s">
        <v>97</v>
      </c>
      <c r="BD734" s="6" t="s">
        <v>97</v>
      </c>
    </row>
    <row r="735" spans="1:56" ht="32" customHeight="1" x14ac:dyDescent="0.35">
      <c r="A735" s="13" t="s">
        <v>5315</v>
      </c>
      <c r="B735" s="6" t="s">
        <v>5174</v>
      </c>
      <c r="C735" s="5" t="s">
        <v>5310</v>
      </c>
      <c r="D735" s="5" t="s">
        <v>853</v>
      </c>
      <c r="E735" s="5" t="s">
        <v>5316</v>
      </c>
      <c r="F735" s="5" t="s">
        <v>5310</v>
      </c>
      <c r="G735" s="5" t="s">
        <v>3129</v>
      </c>
      <c r="H735" s="5" t="s">
        <v>5317</v>
      </c>
      <c r="I735" s="5" t="s">
        <v>5318</v>
      </c>
      <c r="J735" s="17" t="s">
        <v>121</v>
      </c>
      <c r="K735" s="19" t="s">
        <v>94</v>
      </c>
      <c r="L735" s="5" t="s">
        <v>5319</v>
      </c>
      <c r="M735" s="6" t="s">
        <v>199</v>
      </c>
      <c r="N735" s="6" t="s">
        <v>811</v>
      </c>
      <c r="O735" s="6" t="s">
        <v>121</v>
      </c>
      <c r="P735" s="5" t="s">
        <v>918</v>
      </c>
      <c r="Q735" s="18" t="s">
        <v>186</v>
      </c>
      <c r="R735" s="5" t="s">
        <v>5320</v>
      </c>
      <c r="S735" s="6" t="s">
        <v>5305</v>
      </c>
      <c r="T735" s="5" t="s">
        <v>5306</v>
      </c>
      <c r="U735" s="6"/>
      <c r="V735" s="6" t="s">
        <v>5307</v>
      </c>
      <c r="W735" s="6" t="s">
        <v>335</v>
      </c>
      <c r="X735" s="5" t="s">
        <v>922</v>
      </c>
      <c r="Y735" s="5" t="s">
        <v>810</v>
      </c>
      <c r="Z735" s="5" t="str">
        <f t="shared" si="22"/>
        <v>Medium</v>
      </c>
      <c r="AA735" s="5" t="s">
        <v>956</v>
      </c>
      <c r="AB735" s="6" t="s">
        <v>924</v>
      </c>
      <c r="AC735" s="6" t="s">
        <v>11</v>
      </c>
      <c r="AD735" s="5" t="s">
        <v>940</v>
      </c>
      <c r="AE735" s="5" t="s">
        <v>354</v>
      </c>
      <c r="AF735" s="5" t="s">
        <v>354</v>
      </c>
      <c r="AG735" s="5" t="s">
        <v>354</v>
      </c>
      <c r="AH735" s="5" t="s">
        <v>354</v>
      </c>
      <c r="AI735" s="6" t="str">
        <f t="shared" si="23"/>
        <v>No</v>
      </c>
      <c r="AJ735" s="6" t="s">
        <v>941</v>
      </c>
      <c r="AK735" s="6" t="s">
        <v>151</v>
      </c>
      <c r="AL735" s="6">
        <f>MATCH(AA735,{"Low","Medium","High"},0)*MATCH(AB735,{"Low","Medium","High"},0)*INDEX({3,2,2,1,1},MATCH(X735,{"Core","Vertical extension","Differentiator","Future","Adjacent"},0))</f>
        <v>6</v>
      </c>
      <c r="AM735" s="5"/>
      <c r="AN735" s="5"/>
      <c r="AO735" s="5"/>
      <c r="AP735" s="5"/>
      <c r="AQ735" s="5"/>
      <c r="AR735" s="5"/>
      <c r="AS735" s="5"/>
      <c r="AT735" s="5"/>
      <c r="AU735" s="6" t="s">
        <v>927</v>
      </c>
      <c r="AV735" s="6" t="s">
        <v>3133</v>
      </c>
      <c r="AW735" s="6" t="s">
        <v>3133</v>
      </c>
      <c r="AX735" s="6" t="s">
        <v>929</v>
      </c>
      <c r="AY735" s="6" t="s">
        <v>930</v>
      </c>
      <c r="AZ735" s="6"/>
      <c r="BA735" s="6"/>
      <c r="BB735" s="6"/>
      <c r="BC735" s="6" t="s">
        <v>97</v>
      </c>
      <c r="BD735" s="6" t="s">
        <v>97</v>
      </c>
    </row>
    <row r="736" spans="1:56" ht="32" customHeight="1" x14ac:dyDescent="0.35">
      <c r="A736" s="13" t="s">
        <v>5321</v>
      </c>
      <c r="B736" s="6" t="s">
        <v>5174</v>
      </c>
      <c r="C736" s="5" t="s">
        <v>5322</v>
      </c>
      <c r="D736" s="5" t="s">
        <v>853</v>
      </c>
      <c r="E736" s="5" t="s">
        <v>5323</v>
      </c>
      <c r="F736" s="5" t="s">
        <v>5322</v>
      </c>
      <c r="G736" s="5" t="s">
        <v>1017</v>
      </c>
      <c r="H736" s="5" t="s">
        <v>5324</v>
      </c>
      <c r="I736" s="5" t="s">
        <v>5325</v>
      </c>
      <c r="J736" s="17" t="s">
        <v>121</v>
      </c>
      <c r="K736" s="19" t="s">
        <v>94</v>
      </c>
      <c r="L736" s="5" t="s">
        <v>5326</v>
      </c>
      <c r="M736" s="6" t="s">
        <v>199</v>
      </c>
      <c r="N736" s="6" t="s">
        <v>811</v>
      </c>
      <c r="O736" s="6" t="s">
        <v>121</v>
      </c>
      <c r="P736" s="5" t="s">
        <v>918</v>
      </c>
      <c r="Q736" s="18" t="s">
        <v>186</v>
      </c>
      <c r="R736" s="5" t="s">
        <v>5327</v>
      </c>
      <c r="S736" s="6" t="s">
        <v>5305</v>
      </c>
      <c r="T736" s="5" t="s">
        <v>5306</v>
      </c>
      <c r="U736" s="6"/>
      <c r="V736" s="6" t="s">
        <v>5307</v>
      </c>
      <c r="W736" s="6" t="s">
        <v>335</v>
      </c>
      <c r="X736" s="5" t="s">
        <v>922</v>
      </c>
      <c r="Y736" s="5" t="s">
        <v>810</v>
      </c>
      <c r="Z736" s="5" t="str">
        <f t="shared" si="22"/>
        <v>Medium</v>
      </c>
      <c r="AA736" s="5" t="s">
        <v>956</v>
      </c>
      <c r="AB736" s="6" t="s">
        <v>924</v>
      </c>
      <c r="AC736" s="6" t="s">
        <v>11</v>
      </c>
      <c r="AD736" s="5" t="s">
        <v>940</v>
      </c>
      <c r="AE736" s="5" t="s">
        <v>354</v>
      </c>
      <c r="AF736" s="5" t="s">
        <v>354</v>
      </c>
      <c r="AG736" s="5" t="s">
        <v>354</v>
      </c>
      <c r="AH736" s="5" t="s">
        <v>354</v>
      </c>
      <c r="AI736" s="6" t="str">
        <f t="shared" si="23"/>
        <v>No</v>
      </c>
      <c r="AJ736" s="6" t="s">
        <v>941</v>
      </c>
      <c r="AK736" s="6" t="s">
        <v>151</v>
      </c>
      <c r="AL736" s="6">
        <f>MATCH(AA736,{"Low","Medium","High"},0)*MATCH(AB736,{"Low","Medium","High"},0)*INDEX({3,2,2,1,1},MATCH(X736,{"Core","Vertical extension","Differentiator","Future","Adjacent"},0))</f>
        <v>6</v>
      </c>
      <c r="AM736" s="5"/>
      <c r="AN736" s="5"/>
      <c r="AO736" s="5"/>
      <c r="AP736" s="5"/>
      <c r="AQ736" s="5"/>
      <c r="AR736" s="5"/>
      <c r="AS736" s="5"/>
      <c r="AT736" s="5"/>
      <c r="AU736" s="6" t="s">
        <v>927</v>
      </c>
      <c r="AV736" s="6" t="s">
        <v>1315</v>
      </c>
      <c r="AW736" s="6" t="s">
        <v>1315</v>
      </c>
      <c r="AX736" s="6" t="s">
        <v>929</v>
      </c>
      <c r="AY736" s="6" t="s">
        <v>930</v>
      </c>
      <c r="AZ736" s="6"/>
      <c r="BA736" s="6"/>
      <c r="BB736" s="6"/>
      <c r="BC736" s="6" t="s">
        <v>97</v>
      </c>
      <c r="BD736" s="6" t="s">
        <v>97</v>
      </c>
    </row>
    <row r="737" spans="1:56" ht="32" customHeight="1" x14ac:dyDescent="0.35">
      <c r="A737" s="13" t="s">
        <v>5328</v>
      </c>
      <c r="B737" s="6" t="s">
        <v>5174</v>
      </c>
      <c r="C737" s="5" t="s">
        <v>5329</v>
      </c>
      <c r="D737" s="5" t="s">
        <v>854</v>
      </c>
      <c r="E737" s="5" t="s">
        <v>5330</v>
      </c>
      <c r="F737" s="5" t="s">
        <v>5329</v>
      </c>
      <c r="G737" s="5" t="s">
        <v>5331</v>
      </c>
      <c r="H737" s="5" t="s">
        <v>5332</v>
      </c>
      <c r="I737" s="5" t="s">
        <v>5333</v>
      </c>
      <c r="J737" s="17" t="s">
        <v>121</v>
      </c>
      <c r="K737" s="19" t="s">
        <v>94</v>
      </c>
      <c r="L737" s="5" t="s">
        <v>5334</v>
      </c>
      <c r="M737" s="6" t="s">
        <v>199</v>
      </c>
      <c r="N737" s="6" t="s">
        <v>811</v>
      </c>
      <c r="O737" s="6" t="s">
        <v>121</v>
      </c>
      <c r="P737" s="5" t="s">
        <v>918</v>
      </c>
      <c r="Q737" s="18" t="s">
        <v>186</v>
      </c>
      <c r="R737" s="5" t="s">
        <v>5335</v>
      </c>
      <c r="S737" s="6" t="s">
        <v>5336</v>
      </c>
      <c r="T737" s="5" t="s">
        <v>5337</v>
      </c>
      <c r="U737" s="6"/>
      <c r="V737" s="6" t="s">
        <v>5338</v>
      </c>
      <c r="W737" s="6" t="s">
        <v>335</v>
      </c>
      <c r="X737" s="5" t="s">
        <v>922</v>
      </c>
      <c r="Y737" s="5" t="s">
        <v>810</v>
      </c>
      <c r="Z737" s="5" t="str">
        <f t="shared" si="22"/>
        <v>Medium</v>
      </c>
      <c r="AA737" s="5" t="s">
        <v>956</v>
      </c>
      <c r="AB737" s="6" t="s">
        <v>924</v>
      </c>
      <c r="AC737" s="6" t="s">
        <v>11</v>
      </c>
      <c r="AD737" s="5" t="s">
        <v>940</v>
      </c>
      <c r="AE737" s="5" t="s">
        <v>354</v>
      </c>
      <c r="AF737" s="5" t="s">
        <v>354</v>
      </c>
      <c r="AG737" s="5" t="s">
        <v>354</v>
      </c>
      <c r="AH737" s="5" t="s">
        <v>354</v>
      </c>
      <c r="AI737" s="6" t="str">
        <f t="shared" si="23"/>
        <v>No</v>
      </c>
      <c r="AJ737" s="6" t="s">
        <v>941</v>
      </c>
      <c r="AK737" s="6" t="s">
        <v>151</v>
      </c>
      <c r="AL737" s="6">
        <f>MATCH(AA737,{"Low","Medium","High"},0)*MATCH(AB737,{"Low","Medium","High"},0)*INDEX({3,2,2,1,1},MATCH(X737,{"Core","Vertical extension","Differentiator","Future","Adjacent"},0))</f>
        <v>6</v>
      </c>
      <c r="AM737" s="5"/>
      <c r="AN737" s="5"/>
      <c r="AO737" s="5"/>
      <c r="AP737" s="5"/>
      <c r="AQ737" s="5"/>
      <c r="AR737" s="5"/>
      <c r="AS737" s="5"/>
      <c r="AT737" s="5"/>
      <c r="AU737" s="6" t="s">
        <v>927</v>
      </c>
      <c r="AV737" s="6" t="s">
        <v>3101</v>
      </c>
      <c r="AW737" s="6" t="s">
        <v>3101</v>
      </c>
      <c r="AX737" s="6" t="s">
        <v>929</v>
      </c>
      <c r="AY737" s="6" t="s">
        <v>930</v>
      </c>
      <c r="AZ737" s="6"/>
      <c r="BA737" s="6"/>
      <c r="BB737" s="6"/>
      <c r="BC737" s="6" t="s">
        <v>97</v>
      </c>
      <c r="BD737" s="6" t="s">
        <v>97</v>
      </c>
    </row>
    <row r="738" spans="1:56" ht="32" customHeight="1" x14ac:dyDescent="0.35">
      <c r="A738" s="13" t="s">
        <v>113</v>
      </c>
      <c r="B738" s="6" t="s">
        <v>5174</v>
      </c>
      <c r="C738" s="5" t="s">
        <v>5339</v>
      </c>
      <c r="D738" s="5" t="s">
        <v>854</v>
      </c>
      <c r="E738" s="5" t="s">
        <v>5340</v>
      </c>
      <c r="F738" s="5" t="s">
        <v>5339</v>
      </c>
      <c r="G738" s="5" t="s">
        <v>5341</v>
      </c>
      <c r="H738" s="5" t="s">
        <v>5342</v>
      </c>
      <c r="I738" s="5" t="s">
        <v>5343</v>
      </c>
      <c r="J738" s="16" t="s">
        <v>73</v>
      </c>
      <c r="K738" s="19" t="s">
        <v>94</v>
      </c>
      <c r="L738" s="5" t="s">
        <v>5344</v>
      </c>
      <c r="M738" s="6" t="s">
        <v>199</v>
      </c>
      <c r="N738" s="6" t="s">
        <v>811</v>
      </c>
      <c r="O738" s="6" t="s">
        <v>73</v>
      </c>
      <c r="P738" s="5" t="s">
        <v>918</v>
      </c>
      <c r="Q738" s="18" t="s">
        <v>186</v>
      </c>
      <c r="R738" s="5" t="s">
        <v>5345</v>
      </c>
      <c r="S738" s="6" t="s">
        <v>5336</v>
      </c>
      <c r="T738" s="5" t="s">
        <v>5337</v>
      </c>
      <c r="U738" s="6"/>
      <c r="V738" s="6" t="s">
        <v>5338</v>
      </c>
      <c r="W738" s="6" t="s">
        <v>335</v>
      </c>
      <c r="X738" s="5" t="s">
        <v>922</v>
      </c>
      <c r="Y738" s="5" t="s">
        <v>810</v>
      </c>
      <c r="Z738" s="5" t="str">
        <f t="shared" si="22"/>
        <v>High</v>
      </c>
      <c r="AA738" s="5" t="s">
        <v>923</v>
      </c>
      <c r="AB738" s="6" t="s">
        <v>924</v>
      </c>
      <c r="AC738" s="6" t="s">
        <v>78</v>
      </c>
      <c r="AD738" s="5" t="s">
        <v>940</v>
      </c>
      <c r="AE738" s="5" t="s">
        <v>354</v>
      </c>
      <c r="AF738" s="5" t="s">
        <v>354</v>
      </c>
      <c r="AG738" s="5" t="s">
        <v>354</v>
      </c>
      <c r="AH738" s="5" t="s">
        <v>354</v>
      </c>
      <c r="AI738" s="6" t="str">
        <f t="shared" si="23"/>
        <v>No</v>
      </c>
      <c r="AJ738" s="6" t="s">
        <v>941</v>
      </c>
      <c r="AK738" s="6" t="s">
        <v>73</v>
      </c>
      <c r="AL738" s="6">
        <f>MATCH(AA738,{"Low","Medium","High"},0)*MATCH(AB738,{"Low","Medium","High"},0)*INDEX({3,2,2,1,1},MATCH(X738,{"Core","Vertical extension","Differentiator","Future","Adjacent"},0))</f>
        <v>9</v>
      </c>
      <c r="AM738" s="5"/>
      <c r="AN738" s="5"/>
      <c r="AO738" s="5"/>
      <c r="AP738" s="5"/>
      <c r="AQ738" s="5"/>
      <c r="AR738" s="5"/>
      <c r="AS738" s="5"/>
      <c r="AT738" s="5"/>
      <c r="AU738" s="6" t="s">
        <v>927</v>
      </c>
      <c r="AV738" s="6" t="s">
        <v>55</v>
      </c>
      <c r="AW738" s="6" t="s">
        <v>55</v>
      </c>
      <c r="AX738" s="6" t="s">
        <v>929</v>
      </c>
      <c r="AY738" s="6" t="s">
        <v>930</v>
      </c>
      <c r="AZ738" s="6"/>
      <c r="BA738" s="6"/>
      <c r="BB738" s="6"/>
      <c r="BC738" s="6" t="s">
        <v>97</v>
      </c>
      <c r="BD738" s="6" t="s">
        <v>97</v>
      </c>
    </row>
    <row r="739" spans="1:56" ht="32" customHeight="1" x14ac:dyDescent="0.35">
      <c r="A739" s="13" t="s">
        <v>5346</v>
      </c>
      <c r="B739" s="6" t="s">
        <v>5174</v>
      </c>
      <c r="C739" s="5" t="s">
        <v>5347</v>
      </c>
      <c r="D739" s="5" t="s">
        <v>854</v>
      </c>
      <c r="E739" s="5" t="s">
        <v>5348</v>
      </c>
      <c r="F739" s="5" t="s">
        <v>5347</v>
      </c>
      <c r="G739" s="5" t="s">
        <v>1344</v>
      </c>
      <c r="H739" s="5" t="s">
        <v>5349</v>
      </c>
      <c r="I739" s="5" t="s">
        <v>5350</v>
      </c>
      <c r="J739" s="17" t="s">
        <v>121</v>
      </c>
      <c r="K739" s="19" t="s">
        <v>94</v>
      </c>
      <c r="L739" s="5" t="s">
        <v>5351</v>
      </c>
      <c r="M739" s="6" t="s">
        <v>199</v>
      </c>
      <c r="N739" s="6" t="s">
        <v>811</v>
      </c>
      <c r="O739" s="6" t="s">
        <v>121</v>
      </c>
      <c r="P739" s="5" t="s">
        <v>918</v>
      </c>
      <c r="Q739" s="18" t="s">
        <v>186</v>
      </c>
      <c r="R739" s="5" t="s">
        <v>5352</v>
      </c>
      <c r="S739" s="6" t="s">
        <v>5336</v>
      </c>
      <c r="T739" s="5" t="s">
        <v>5337</v>
      </c>
      <c r="U739" s="6"/>
      <c r="V739" s="6" t="s">
        <v>5338</v>
      </c>
      <c r="W739" s="6" t="s">
        <v>335</v>
      </c>
      <c r="X739" s="5" t="s">
        <v>922</v>
      </c>
      <c r="Y739" s="5" t="s">
        <v>1405</v>
      </c>
      <c r="Z739" s="5" t="str">
        <f t="shared" si="22"/>
        <v>Medium</v>
      </c>
      <c r="AA739" s="5" t="s">
        <v>956</v>
      </c>
      <c r="AB739" s="6" t="s">
        <v>924</v>
      </c>
      <c r="AC739" s="6" t="s">
        <v>11</v>
      </c>
      <c r="AD739" s="5" t="s">
        <v>940</v>
      </c>
      <c r="AE739" s="5" t="s">
        <v>354</v>
      </c>
      <c r="AF739" s="5" t="s">
        <v>354</v>
      </c>
      <c r="AG739" s="5" t="s">
        <v>354</v>
      </c>
      <c r="AH739" s="5" t="s">
        <v>354</v>
      </c>
      <c r="AI739" s="6" t="str">
        <f t="shared" si="23"/>
        <v>No</v>
      </c>
      <c r="AJ739" s="6" t="s">
        <v>941</v>
      </c>
      <c r="AK739" s="6" t="s">
        <v>151</v>
      </c>
      <c r="AL739" s="6">
        <f>MATCH(AA739,{"Low","Medium","High"},0)*MATCH(AB739,{"Low","Medium","High"},0)*INDEX({3,2,2,1,1},MATCH(X739,{"Core","Vertical extension","Differentiator","Future","Adjacent"},0))</f>
        <v>6</v>
      </c>
      <c r="AM739" s="5"/>
      <c r="AN739" s="5"/>
      <c r="AO739" s="5"/>
      <c r="AP739" s="5"/>
      <c r="AQ739" s="5"/>
      <c r="AR739" s="5"/>
      <c r="AS739" s="5"/>
      <c r="AT739" s="5"/>
      <c r="AU739" s="6" t="s">
        <v>927</v>
      </c>
      <c r="AV739" s="6" t="s">
        <v>1315</v>
      </c>
      <c r="AW739" s="6" t="s">
        <v>1315</v>
      </c>
      <c r="AX739" s="6" t="s">
        <v>929</v>
      </c>
      <c r="AY739" s="6" t="s">
        <v>930</v>
      </c>
      <c r="AZ739" s="6"/>
      <c r="BA739" s="6"/>
      <c r="BB739" s="6"/>
      <c r="BC739" s="6" t="s">
        <v>97</v>
      </c>
      <c r="BD739" s="6" t="s">
        <v>97</v>
      </c>
    </row>
    <row r="740" spans="1:56" ht="32" customHeight="1" x14ac:dyDescent="0.35">
      <c r="A740" s="13" t="s">
        <v>116</v>
      </c>
      <c r="B740" s="6" t="s">
        <v>5174</v>
      </c>
      <c r="C740" s="5" t="s">
        <v>5353</v>
      </c>
      <c r="D740" s="5" t="s">
        <v>854</v>
      </c>
      <c r="E740" s="5" t="s">
        <v>5354</v>
      </c>
      <c r="F740" s="5" t="s">
        <v>5353</v>
      </c>
      <c r="G740" s="5" t="s">
        <v>5355</v>
      </c>
      <c r="H740" s="5" t="s">
        <v>5356</v>
      </c>
      <c r="I740" s="5" t="s">
        <v>5357</v>
      </c>
      <c r="J740" s="16" t="s">
        <v>73</v>
      </c>
      <c r="K740" s="19" t="s">
        <v>94</v>
      </c>
      <c r="L740" s="5" t="s">
        <v>5358</v>
      </c>
      <c r="M740" s="6" t="s">
        <v>199</v>
      </c>
      <c r="N740" s="6" t="s">
        <v>811</v>
      </c>
      <c r="O740" s="6" t="s">
        <v>73</v>
      </c>
      <c r="P740" s="5" t="s">
        <v>918</v>
      </c>
      <c r="Q740" s="18" t="s">
        <v>186</v>
      </c>
      <c r="R740" s="5" t="s">
        <v>5359</v>
      </c>
      <c r="S740" s="6" t="s">
        <v>5336</v>
      </c>
      <c r="T740" s="5" t="s">
        <v>5337</v>
      </c>
      <c r="U740" s="6"/>
      <c r="V740" s="6" t="s">
        <v>5338</v>
      </c>
      <c r="W740" s="6" t="s">
        <v>335</v>
      </c>
      <c r="X740" s="5" t="s">
        <v>922</v>
      </c>
      <c r="Y740" s="5" t="s">
        <v>1830</v>
      </c>
      <c r="Z740" s="5" t="str">
        <f t="shared" si="22"/>
        <v>High</v>
      </c>
      <c r="AA740" s="5" t="s">
        <v>923</v>
      </c>
      <c r="AB740" s="6" t="s">
        <v>924</v>
      </c>
      <c r="AC740" s="6" t="s">
        <v>78</v>
      </c>
      <c r="AD740" s="5" t="s">
        <v>940</v>
      </c>
      <c r="AE740" s="5" t="s">
        <v>354</v>
      </c>
      <c r="AF740" s="5" t="s">
        <v>354</v>
      </c>
      <c r="AG740" s="5" t="s">
        <v>354</v>
      </c>
      <c r="AH740" s="5" t="s">
        <v>354</v>
      </c>
      <c r="AI740" s="6" t="str">
        <f t="shared" si="23"/>
        <v>No</v>
      </c>
      <c r="AJ740" s="6" t="s">
        <v>941</v>
      </c>
      <c r="AK740" s="6" t="s">
        <v>73</v>
      </c>
      <c r="AL740" s="6">
        <f>MATCH(AA740,{"Low","Medium","High"},0)*MATCH(AB740,{"Low","Medium","High"},0)*INDEX({3,2,2,1,1},MATCH(X740,{"Core","Vertical extension","Differentiator","Future","Adjacent"},0))</f>
        <v>9</v>
      </c>
      <c r="AM740" s="5"/>
      <c r="AN740" s="5"/>
      <c r="AO740" s="5"/>
      <c r="AP740" s="5"/>
      <c r="AQ740" s="5"/>
      <c r="AR740" s="5"/>
      <c r="AS740" s="5"/>
      <c r="AT740" s="5"/>
      <c r="AU740" s="6" t="s">
        <v>927</v>
      </c>
      <c r="AV740" s="6" t="s">
        <v>55</v>
      </c>
      <c r="AW740" s="6" t="s">
        <v>55</v>
      </c>
      <c r="AX740" s="6" t="s">
        <v>929</v>
      </c>
      <c r="AY740" s="6" t="s">
        <v>930</v>
      </c>
      <c r="AZ740" s="6"/>
      <c r="BA740" s="6"/>
      <c r="BB740" s="6"/>
      <c r="BC740" s="6" t="s">
        <v>97</v>
      </c>
      <c r="BD740" s="6" t="s">
        <v>97</v>
      </c>
    </row>
    <row r="741" spans="1:56" ht="32" customHeight="1" x14ac:dyDescent="0.35">
      <c r="A741" s="13" t="s">
        <v>5360</v>
      </c>
      <c r="B741" s="6" t="s">
        <v>5174</v>
      </c>
      <c r="C741" s="5" t="s">
        <v>5361</v>
      </c>
      <c r="D741" s="5" t="s">
        <v>856</v>
      </c>
      <c r="E741" s="5" t="s">
        <v>5362</v>
      </c>
      <c r="F741" s="5" t="s">
        <v>5361</v>
      </c>
      <c r="G741" s="5" t="s">
        <v>5363</v>
      </c>
      <c r="H741" s="5" t="s">
        <v>5364</v>
      </c>
      <c r="I741" s="5" t="s">
        <v>5365</v>
      </c>
      <c r="J741" s="17" t="s">
        <v>121</v>
      </c>
      <c r="K741" s="19" t="s">
        <v>94</v>
      </c>
      <c r="L741" s="5" t="s">
        <v>5366</v>
      </c>
      <c r="M741" s="6" t="s">
        <v>199</v>
      </c>
      <c r="N741" s="6" t="s">
        <v>811</v>
      </c>
      <c r="O741" s="6" t="s">
        <v>121</v>
      </c>
      <c r="P741" s="5" t="s">
        <v>918</v>
      </c>
      <c r="Q741" s="18" t="s">
        <v>186</v>
      </c>
      <c r="R741" s="5" t="s">
        <v>5367</v>
      </c>
      <c r="S741" s="6" t="s">
        <v>5368</v>
      </c>
      <c r="T741" s="5" t="s">
        <v>5369</v>
      </c>
      <c r="U741" s="6"/>
      <c r="V741" s="6" t="s">
        <v>5370</v>
      </c>
      <c r="W741" s="6" t="s">
        <v>335</v>
      </c>
      <c r="X741" s="5" t="s">
        <v>922</v>
      </c>
      <c r="Y741" s="5" t="s">
        <v>810</v>
      </c>
      <c r="Z741" s="5" t="str">
        <f t="shared" si="22"/>
        <v>Medium</v>
      </c>
      <c r="AA741" s="5" t="s">
        <v>956</v>
      </c>
      <c r="AB741" s="6" t="s">
        <v>924</v>
      </c>
      <c r="AC741" s="6" t="s">
        <v>11</v>
      </c>
      <c r="AD741" s="5" t="s">
        <v>940</v>
      </c>
      <c r="AE741" s="5" t="s">
        <v>354</v>
      </c>
      <c r="AF741" s="5" t="s">
        <v>354</v>
      </c>
      <c r="AG741" s="5" t="s">
        <v>354</v>
      </c>
      <c r="AH741" s="5" t="s">
        <v>354</v>
      </c>
      <c r="AI741" s="6" t="str">
        <f t="shared" si="23"/>
        <v>No</v>
      </c>
      <c r="AJ741" s="6" t="s">
        <v>941</v>
      </c>
      <c r="AK741" s="6" t="s">
        <v>151</v>
      </c>
      <c r="AL741" s="6">
        <f>MATCH(AA741,{"Low","Medium","High"},0)*MATCH(AB741,{"Low","Medium","High"},0)*INDEX({3,2,2,1,1},MATCH(X741,{"Core","Vertical extension","Differentiator","Future","Adjacent"},0))</f>
        <v>6</v>
      </c>
      <c r="AM741" s="5"/>
      <c r="AN741" s="5"/>
      <c r="AO741" s="5"/>
      <c r="AP741" s="5"/>
      <c r="AQ741" s="5"/>
      <c r="AR741" s="5"/>
      <c r="AS741" s="5"/>
      <c r="AT741" s="5"/>
      <c r="AU741" s="6" t="s">
        <v>927</v>
      </c>
      <c r="AV741" s="6" t="s">
        <v>1322</v>
      </c>
      <c r="AW741" s="6" t="s">
        <v>1322</v>
      </c>
      <c r="AX741" s="6" t="s">
        <v>929</v>
      </c>
      <c r="AY741" s="6" t="s">
        <v>930</v>
      </c>
      <c r="AZ741" s="6"/>
      <c r="BA741" s="6" t="s">
        <v>5371</v>
      </c>
      <c r="BB741" s="6"/>
      <c r="BC741" s="6" t="s">
        <v>97</v>
      </c>
      <c r="BD741" s="6" t="s">
        <v>97</v>
      </c>
    </row>
    <row r="742" spans="1:56" ht="32" customHeight="1" x14ac:dyDescent="0.35">
      <c r="A742" s="13" t="s">
        <v>5372</v>
      </c>
      <c r="B742" s="6" t="s">
        <v>5373</v>
      </c>
      <c r="C742" s="5" t="s">
        <v>1605</v>
      </c>
      <c r="D742" s="5" t="s">
        <v>845</v>
      </c>
      <c r="E742" s="5" t="s">
        <v>5374</v>
      </c>
      <c r="F742" s="5" t="s">
        <v>471</v>
      </c>
      <c r="G742" s="5" t="s">
        <v>5375</v>
      </c>
      <c r="H742" s="5" t="s">
        <v>5376</v>
      </c>
      <c r="I742" s="5" t="s">
        <v>5377</v>
      </c>
      <c r="J742" s="17" t="s">
        <v>121</v>
      </c>
      <c r="K742" s="18" t="s">
        <v>193</v>
      </c>
      <c r="L742" s="5" t="s">
        <v>5378</v>
      </c>
      <c r="M742" s="6" t="s">
        <v>200</v>
      </c>
      <c r="N742" s="6" t="s">
        <v>809</v>
      </c>
      <c r="O742" s="6" t="s">
        <v>121</v>
      </c>
      <c r="P742" s="5" t="s">
        <v>918</v>
      </c>
      <c r="Q742" s="18" t="s">
        <v>186</v>
      </c>
      <c r="R742" s="5" t="s">
        <v>5379</v>
      </c>
      <c r="S742" s="6" t="s">
        <v>5380</v>
      </c>
      <c r="T742" s="5" t="s">
        <v>5381</v>
      </c>
      <c r="U742" s="6" t="s">
        <v>228</v>
      </c>
      <c r="V742" s="6" t="s">
        <v>5382</v>
      </c>
      <c r="W742" s="6" t="s">
        <v>333</v>
      </c>
      <c r="X742" s="5" t="s">
        <v>5383</v>
      </c>
      <c r="Y742" s="5" t="s">
        <v>459</v>
      </c>
      <c r="Z742" s="5" t="str">
        <f t="shared" si="22"/>
        <v>Critical</v>
      </c>
      <c r="AA742" s="5" t="s">
        <v>923</v>
      </c>
      <c r="AB742" s="6" t="s">
        <v>923</v>
      </c>
      <c r="AC742" s="6" t="s">
        <v>11</v>
      </c>
      <c r="AD742" s="5" t="s">
        <v>940</v>
      </c>
      <c r="AE742" s="5" t="s">
        <v>354</v>
      </c>
      <c r="AF742" s="5" t="s">
        <v>354</v>
      </c>
      <c r="AG742" s="5" t="s">
        <v>354</v>
      </c>
      <c r="AH742" s="5" t="s">
        <v>354</v>
      </c>
      <c r="AI742" s="6" t="str">
        <f t="shared" si="23"/>
        <v>No</v>
      </c>
      <c r="AJ742" s="6" t="s">
        <v>941</v>
      </c>
      <c r="AK742" s="6" t="s">
        <v>151</v>
      </c>
      <c r="AL742" s="6">
        <f>MATCH(AA742,{"Low","Medium","High"},0)*MATCH(AB742,{"Low","Medium","High"},0)*INDEX({3,2,2,1,1},MATCH(X742,{"Core","Vertical extension","Differentiator","Future","Adjacent"},0))</f>
        <v>18</v>
      </c>
      <c r="AM742" s="5"/>
      <c r="AN742" s="5"/>
      <c r="AO742" s="5"/>
      <c r="AP742" s="5"/>
      <c r="AQ742" s="5"/>
      <c r="AR742" s="5"/>
      <c r="AS742" s="5"/>
      <c r="AT742" s="5"/>
      <c r="AU742" s="6" t="s">
        <v>927</v>
      </c>
      <c r="AV742" s="6" t="s">
        <v>55</v>
      </c>
      <c r="AW742" s="6" t="s">
        <v>55</v>
      </c>
      <c r="AX742" s="6" t="s">
        <v>929</v>
      </c>
      <c r="AY742" s="6" t="s">
        <v>930</v>
      </c>
      <c r="AZ742" s="6"/>
      <c r="BA742" s="6"/>
      <c r="BB742" s="6"/>
      <c r="BC742" s="6" t="s">
        <v>97</v>
      </c>
      <c r="BD742" s="6" t="s">
        <v>97</v>
      </c>
    </row>
    <row r="743" spans="1:56" ht="32" customHeight="1" x14ac:dyDescent="0.35">
      <c r="A743" s="13" t="s">
        <v>5384</v>
      </c>
      <c r="B743" s="6" t="s">
        <v>5373</v>
      </c>
      <c r="C743" s="5" t="s">
        <v>1605</v>
      </c>
      <c r="D743" s="5" t="s">
        <v>845</v>
      </c>
      <c r="E743" s="5" t="s">
        <v>5385</v>
      </c>
      <c r="F743" s="5" t="s">
        <v>471</v>
      </c>
      <c r="G743" s="5" t="s">
        <v>1453</v>
      </c>
      <c r="H743" s="5" t="s">
        <v>5386</v>
      </c>
      <c r="I743" s="5" t="s">
        <v>5387</v>
      </c>
      <c r="J743" s="17" t="s">
        <v>121</v>
      </c>
      <c r="K743" s="18" t="s">
        <v>193</v>
      </c>
      <c r="L743" s="5" t="s">
        <v>5388</v>
      </c>
      <c r="M743" s="6" t="s">
        <v>200</v>
      </c>
      <c r="N743" s="6" t="s">
        <v>809</v>
      </c>
      <c r="O743" s="6" t="s">
        <v>121</v>
      </c>
      <c r="P743" s="5" t="s">
        <v>918</v>
      </c>
      <c r="Q743" s="18" t="s">
        <v>186</v>
      </c>
      <c r="R743" s="5" t="s">
        <v>5389</v>
      </c>
      <c r="S743" s="6" t="s">
        <v>5380</v>
      </c>
      <c r="T743" s="5" t="s">
        <v>5381</v>
      </c>
      <c r="U743" s="6" t="s">
        <v>232</v>
      </c>
      <c r="V743" s="6" t="s">
        <v>5382</v>
      </c>
      <c r="W743" s="6" t="s">
        <v>333</v>
      </c>
      <c r="X743" s="5" t="s">
        <v>5383</v>
      </c>
      <c r="Y743" s="5" t="s">
        <v>459</v>
      </c>
      <c r="Z743" s="5" t="str">
        <f t="shared" si="22"/>
        <v>Critical</v>
      </c>
      <c r="AA743" s="5" t="s">
        <v>923</v>
      </c>
      <c r="AB743" s="6" t="s">
        <v>923</v>
      </c>
      <c r="AC743" s="6" t="s">
        <v>11</v>
      </c>
      <c r="AD743" s="5" t="s">
        <v>940</v>
      </c>
      <c r="AE743" s="5" t="s">
        <v>354</v>
      </c>
      <c r="AF743" s="5" t="s">
        <v>354</v>
      </c>
      <c r="AG743" s="5" t="s">
        <v>354</v>
      </c>
      <c r="AH743" s="5" t="s">
        <v>354</v>
      </c>
      <c r="AI743" s="6" t="str">
        <f t="shared" si="23"/>
        <v>No</v>
      </c>
      <c r="AJ743" s="6" t="s">
        <v>941</v>
      </c>
      <c r="AK743" s="6" t="s">
        <v>151</v>
      </c>
      <c r="AL743" s="6">
        <f>MATCH(AA743,{"Low","Medium","High"},0)*MATCH(AB743,{"Low","Medium","High"},0)*INDEX({3,2,2,1,1},MATCH(X743,{"Core","Vertical extension","Differentiator","Future","Adjacent"},0))</f>
        <v>18</v>
      </c>
      <c r="AM743" s="5"/>
      <c r="AN743" s="5"/>
      <c r="AO743" s="5"/>
      <c r="AP743" s="5" t="s">
        <v>5372</v>
      </c>
      <c r="AQ743" s="5"/>
      <c r="AR743" s="5"/>
      <c r="AS743" s="5"/>
      <c r="AT743" s="5"/>
      <c r="AU743" s="6" t="s">
        <v>927</v>
      </c>
      <c r="AV743" s="6" t="s">
        <v>55</v>
      </c>
      <c r="AW743" s="6" t="s">
        <v>55</v>
      </c>
      <c r="AX743" s="6" t="s">
        <v>929</v>
      </c>
      <c r="AY743" s="6" t="s">
        <v>930</v>
      </c>
      <c r="AZ743" s="6"/>
      <c r="BA743" s="6" t="s">
        <v>5390</v>
      </c>
      <c r="BB743" s="6" t="s">
        <v>5391</v>
      </c>
      <c r="BC743" s="6" t="s">
        <v>97</v>
      </c>
      <c r="BD743" s="6" t="s">
        <v>97</v>
      </c>
    </row>
    <row r="744" spans="1:56" ht="32" customHeight="1" x14ac:dyDescent="0.35">
      <c r="A744" s="13" t="s">
        <v>5392</v>
      </c>
      <c r="B744" s="6" t="s">
        <v>5373</v>
      </c>
      <c r="C744" s="5" t="s">
        <v>1605</v>
      </c>
      <c r="D744" s="5" t="s">
        <v>845</v>
      </c>
      <c r="E744" s="5" t="s">
        <v>5393</v>
      </c>
      <c r="F744" s="5" t="s">
        <v>471</v>
      </c>
      <c r="G744" s="5" t="s">
        <v>1453</v>
      </c>
      <c r="H744" s="5" t="s">
        <v>5394</v>
      </c>
      <c r="I744" s="5" t="s">
        <v>5395</v>
      </c>
      <c r="J744" s="17" t="s">
        <v>121</v>
      </c>
      <c r="K744" s="18" t="s">
        <v>193</v>
      </c>
      <c r="L744" s="5" t="s">
        <v>5396</v>
      </c>
      <c r="M744" s="6" t="s">
        <v>200</v>
      </c>
      <c r="N744" s="6" t="s">
        <v>809</v>
      </c>
      <c r="O744" s="6" t="s">
        <v>121</v>
      </c>
      <c r="P744" s="5" t="s">
        <v>918</v>
      </c>
      <c r="Q744" s="18" t="s">
        <v>186</v>
      </c>
      <c r="R744" s="5" t="s">
        <v>5389</v>
      </c>
      <c r="S744" s="6" t="s">
        <v>5380</v>
      </c>
      <c r="T744" s="5" t="s">
        <v>5381</v>
      </c>
      <c r="U744" s="6" t="s">
        <v>236</v>
      </c>
      <c r="V744" s="6" t="s">
        <v>5382</v>
      </c>
      <c r="W744" s="6" t="s">
        <v>333</v>
      </c>
      <c r="X744" s="5" t="s">
        <v>5383</v>
      </c>
      <c r="Y744" s="5" t="s">
        <v>459</v>
      </c>
      <c r="Z744" s="5" t="str">
        <f t="shared" si="22"/>
        <v>Critical</v>
      </c>
      <c r="AA744" s="5" t="s">
        <v>923</v>
      </c>
      <c r="AB744" s="6" t="s">
        <v>923</v>
      </c>
      <c r="AC744" s="6" t="s">
        <v>11</v>
      </c>
      <c r="AD744" s="5" t="s">
        <v>940</v>
      </c>
      <c r="AE744" s="5" t="s">
        <v>354</v>
      </c>
      <c r="AF744" s="5" t="s">
        <v>354</v>
      </c>
      <c r="AG744" s="5" t="s">
        <v>354</v>
      </c>
      <c r="AH744" s="5" t="s">
        <v>354</v>
      </c>
      <c r="AI744" s="6" t="str">
        <f t="shared" si="23"/>
        <v>No</v>
      </c>
      <c r="AJ744" s="6" t="s">
        <v>941</v>
      </c>
      <c r="AK744" s="6" t="s">
        <v>151</v>
      </c>
      <c r="AL744" s="6">
        <f>MATCH(AA744,{"Low","Medium","High"},0)*MATCH(AB744,{"Low","Medium","High"},0)*INDEX({3,2,2,1,1},MATCH(X744,{"Core","Vertical extension","Differentiator","Future","Adjacent"},0))</f>
        <v>18</v>
      </c>
      <c r="AM744" s="5"/>
      <c r="AN744" s="5"/>
      <c r="AO744" s="5"/>
      <c r="AP744" s="5" t="s">
        <v>5384</v>
      </c>
      <c r="AQ744" s="5"/>
      <c r="AR744" s="5"/>
      <c r="AS744" s="5"/>
      <c r="AT744" s="5"/>
      <c r="AU744" s="6" t="s">
        <v>927</v>
      </c>
      <c r="AV744" s="6" t="s">
        <v>55</v>
      </c>
      <c r="AW744" s="6" t="s">
        <v>55</v>
      </c>
      <c r="AX744" s="6" t="s">
        <v>929</v>
      </c>
      <c r="AY744" s="6" t="s">
        <v>930</v>
      </c>
      <c r="AZ744" s="6"/>
      <c r="BA744" s="6" t="s">
        <v>5390</v>
      </c>
      <c r="BB744" s="6" t="s">
        <v>5391</v>
      </c>
      <c r="BC744" s="6" t="s">
        <v>97</v>
      </c>
      <c r="BD744" s="6" t="s">
        <v>97</v>
      </c>
    </row>
    <row r="745" spans="1:56" ht="32" customHeight="1" x14ac:dyDescent="0.35">
      <c r="A745" s="13" t="s">
        <v>5397</v>
      </c>
      <c r="B745" s="6" t="s">
        <v>5373</v>
      </c>
      <c r="C745" s="5" t="s">
        <v>1605</v>
      </c>
      <c r="D745" s="5" t="s">
        <v>845</v>
      </c>
      <c r="E745" s="5" t="s">
        <v>5398</v>
      </c>
      <c r="F745" s="5" t="s">
        <v>471</v>
      </c>
      <c r="G745" s="5" t="s">
        <v>5375</v>
      </c>
      <c r="H745" s="5" t="s">
        <v>5399</v>
      </c>
      <c r="I745" s="5" t="s">
        <v>5400</v>
      </c>
      <c r="J745" s="17" t="s">
        <v>121</v>
      </c>
      <c r="K745" s="18" t="s">
        <v>193</v>
      </c>
      <c r="L745" s="5" t="s">
        <v>5401</v>
      </c>
      <c r="M745" s="6" t="s">
        <v>200</v>
      </c>
      <c r="N745" s="6" t="s">
        <v>809</v>
      </c>
      <c r="O745" s="6" t="s">
        <v>121</v>
      </c>
      <c r="P745" s="5" t="s">
        <v>918</v>
      </c>
      <c r="Q745" s="18" t="s">
        <v>186</v>
      </c>
      <c r="R745" s="5" t="s">
        <v>5402</v>
      </c>
      <c r="S745" s="6" t="s">
        <v>5380</v>
      </c>
      <c r="T745" s="5" t="s">
        <v>5381</v>
      </c>
      <c r="U745" s="6" t="s">
        <v>240</v>
      </c>
      <c r="V745" s="6" t="s">
        <v>5382</v>
      </c>
      <c r="W745" s="6" t="s">
        <v>333</v>
      </c>
      <c r="X745" s="5" t="s">
        <v>5383</v>
      </c>
      <c r="Y745" s="5" t="s">
        <v>459</v>
      </c>
      <c r="Z745" s="5" t="str">
        <f t="shared" si="22"/>
        <v>Critical</v>
      </c>
      <c r="AA745" s="5" t="s">
        <v>923</v>
      </c>
      <c r="AB745" s="6" t="s">
        <v>923</v>
      </c>
      <c r="AC745" s="6" t="s">
        <v>11</v>
      </c>
      <c r="AD745" s="5" t="s">
        <v>940</v>
      </c>
      <c r="AE745" s="5" t="s">
        <v>354</v>
      </c>
      <c r="AF745" s="5" t="s">
        <v>354</v>
      </c>
      <c r="AG745" s="5" t="s">
        <v>354</v>
      </c>
      <c r="AH745" s="5" t="s">
        <v>354</v>
      </c>
      <c r="AI745" s="6" t="str">
        <f t="shared" si="23"/>
        <v>No</v>
      </c>
      <c r="AJ745" s="6" t="s">
        <v>941</v>
      </c>
      <c r="AK745" s="6" t="s">
        <v>151</v>
      </c>
      <c r="AL745" s="6">
        <f>MATCH(AA745,{"Low","Medium","High"},0)*MATCH(AB745,{"Low","Medium","High"},0)*INDEX({3,2,2,1,1},MATCH(X745,{"Core","Vertical extension","Differentiator","Future","Adjacent"},0))</f>
        <v>18</v>
      </c>
      <c r="AM745" s="5"/>
      <c r="AN745" s="5"/>
      <c r="AO745" s="5"/>
      <c r="AP745" s="5" t="s">
        <v>5392</v>
      </c>
      <c r="AQ745" s="5"/>
      <c r="AR745" s="5"/>
      <c r="AS745" s="5"/>
      <c r="AT745" s="5"/>
      <c r="AU745" s="6" t="s">
        <v>927</v>
      </c>
      <c r="AV745" s="6" t="s">
        <v>55</v>
      </c>
      <c r="AW745" s="6" t="s">
        <v>55</v>
      </c>
      <c r="AX745" s="6" t="s">
        <v>929</v>
      </c>
      <c r="AY745" s="6" t="s">
        <v>930</v>
      </c>
      <c r="AZ745" s="6"/>
      <c r="BA745" s="6" t="s">
        <v>5403</v>
      </c>
      <c r="BB745" s="6" t="s">
        <v>5404</v>
      </c>
      <c r="BC745" s="6" t="s">
        <v>97</v>
      </c>
      <c r="BD745" s="6" t="s">
        <v>97</v>
      </c>
    </row>
    <row r="746" spans="1:56" ht="32" customHeight="1" x14ac:dyDescent="0.35">
      <c r="A746" s="13" t="s">
        <v>5405</v>
      </c>
      <c r="B746" s="6" t="s">
        <v>5373</v>
      </c>
      <c r="C746" s="5" t="s">
        <v>1605</v>
      </c>
      <c r="D746" s="5" t="s">
        <v>845</v>
      </c>
      <c r="E746" s="5" t="s">
        <v>5406</v>
      </c>
      <c r="F746" s="5" t="s">
        <v>471</v>
      </c>
      <c r="G746" s="5" t="s">
        <v>5407</v>
      </c>
      <c r="H746" s="5" t="s">
        <v>5408</v>
      </c>
      <c r="I746" s="5" t="s">
        <v>5409</v>
      </c>
      <c r="J746" s="17" t="s">
        <v>121</v>
      </c>
      <c r="K746" s="18" t="s">
        <v>193</v>
      </c>
      <c r="L746" s="5" t="s">
        <v>5410</v>
      </c>
      <c r="M746" s="6" t="s">
        <v>200</v>
      </c>
      <c r="N746" s="6" t="s">
        <v>809</v>
      </c>
      <c r="O746" s="6" t="s">
        <v>121</v>
      </c>
      <c r="P746" s="5" t="s">
        <v>918</v>
      </c>
      <c r="Q746" s="18" t="s">
        <v>186</v>
      </c>
      <c r="R746" s="5" t="s">
        <v>5411</v>
      </c>
      <c r="S746" s="6" t="s">
        <v>5380</v>
      </c>
      <c r="T746" s="5" t="s">
        <v>5381</v>
      </c>
      <c r="U746" s="6" t="s">
        <v>244</v>
      </c>
      <c r="V746" s="6" t="s">
        <v>5382</v>
      </c>
      <c r="W746" s="6" t="s">
        <v>333</v>
      </c>
      <c r="X746" s="5" t="s">
        <v>5383</v>
      </c>
      <c r="Y746" s="5" t="s">
        <v>459</v>
      </c>
      <c r="Z746" s="5" t="str">
        <f t="shared" si="22"/>
        <v>Critical</v>
      </c>
      <c r="AA746" s="5" t="s">
        <v>923</v>
      </c>
      <c r="AB746" s="6" t="s">
        <v>923</v>
      </c>
      <c r="AC746" s="6" t="s">
        <v>11</v>
      </c>
      <c r="AD746" s="5" t="s">
        <v>940</v>
      </c>
      <c r="AE746" s="5" t="s">
        <v>354</v>
      </c>
      <c r="AF746" s="5" t="s">
        <v>354</v>
      </c>
      <c r="AG746" s="5" t="s">
        <v>354</v>
      </c>
      <c r="AH746" s="5" t="s">
        <v>354</v>
      </c>
      <c r="AI746" s="6" t="str">
        <f t="shared" si="23"/>
        <v>No</v>
      </c>
      <c r="AJ746" s="6" t="s">
        <v>941</v>
      </c>
      <c r="AK746" s="6" t="s">
        <v>151</v>
      </c>
      <c r="AL746" s="6">
        <f>MATCH(AA746,{"Low","Medium","High"},0)*MATCH(AB746,{"Low","Medium","High"},0)*INDEX({3,2,2,1,1},MATCH(X746,{"Core","Vertical extension","Differentiator","Future","Adjacent"},0))</f>
        <v>18</v>
      </c>
      <c r="AM746" s="5"/>
      <c r="AN746" s="5"/>
      <c r="AO746" s="5"/>
      <c r="AP746" s="5" t="s">
        <v>5397</v>
      </c>
      <c r="AQ746" s="5"/>
      <c r="AR746" s="5"/>
      <c r="AS746" s="5"/>
      <c r="AT746" s="5"/>
      <c r="AU746" s="6" t="s">
        <v>927</v>
      </c>
      <c r="AV746" s="6" t="s">
        <v>55</v>
      </c>
      <c r="AW746" s="6" t="s">
        <v>55</v>
      </c>
      <c r="AX746" s="6" t="s">
        <v>929</v>
      </c>
      <c r="AY746" s="6" t="s">
        <v>930</v>
      </c>
      <c r="AZ746" s="6"/>
      <c r="BA746" s="6" t="s">
        <v>5412</v>
      </c>
      <c r="BB746" s="6" t="s">
        <v>5413</v>
      </c>
      <c r="BC746" s="6" t="s">
        <v>97</v>
      </c>
      <c r="BD746" s="6" t="s">
        <v>97</v>
      </c>
    </row>
    <row r="747" spans="1:56" ht="32" customHeight="1" x14ac:dyDescent="0.35">
      <c r="A747" s="13" t="s">
        <v>5414</v>
      </c>
      <c r="B747" s="6" t="s">
        <v>5373</v>
      </c>
      <c r="C747" s="5" t="s">
        <v>1605</v>
      </c>
      <c r="D747" s="5" t="s">
        <v>845</v>
      </c>
      <c r="E747" s="5" t="s">
        <v>5415</v>
      </c>
      <c r="F747" s="5" t="s">
        <v>471</v>
      </c>
      <c r="G747" s="5" t="s">
        <v>5375</v>
      </c>
      <c r="H747" s="5" t="s">
        <v>5416</v>
      </c>
      <c r="I747" s="5" t="s">
        <v>5417</v>
      </c>
      <c r="J747" s="16" t="s">
        <v>73</v>
      </c>
      <c r="K747" s="18" t="s">
        <v>193</v>
      </c>
      <c r="L747" s="5" t="s">
        <v>5418</v>
      </c>
      <c r="M747" s="6" t="s">
        <v>200</v>
      </c>
      <c r="N747" s="6" t="s">
        <v>809</v>
      </c>
      <c r="O747" s="6" t="s">
        <v>73</v>
      </c>
      <c r="P747" s="5" t="s">
        <v>918</v>
      </c>
      <c r="Q747" s="18" t="s">
        <v>186</v>
      </c>
      <c r="R747" s="5" t="s">
        <v>5411</v>
      </c>
      <c r="S747" s="6" t="s">
        <v>5380</v>
      </c>
      <c r="T747" s="5" t="s">
        <v>5381</v>
      </c>
      <c r="U747" s="6" t="s">
        <v>248</v>
      </c>
      <c r="V747" s="6" t="s">
        <v>5382</v>
      </c>
      <c r="W747" s="6" t="s">
        <v>333</v>
      </c>
      <c r="X747" s="5" t="s">
        <v>5383</v>
      </c>
      <c r="Y747" s="5" t="s">
        <v>459</v>
      </c>
      <c r="Z747" s="5" t="str">
        <f t="shared" si="22"/>
        <v>Critical</v>
      </c>
      <c r="AA747" s="5" t="s">
        <v>923</v>
      </c>
      <c r="AB747" s="6" t="s">
        <v>923</v>
      </c>
      <c r="AC747" s="6" t="s">
        <v>78</v>
      </c>
      <c r="AD747" s="5" t="s">
        <v>940</v>
      </c>
      <c r="AE747" s="5" t="s">
        <v>354</v>
      </c>
      <c r="AF747" s="5" t="s">
        <v>354</v>
      </c>
      <c r="AG747" s="5" t="s">
        <v>354</v>
      </c>
      <c r="AH747" s="5" t="s">
        <v>354</v>
      </c>
      <c r="AI747" s="6" t="str">
        <f t="shared" si="23"/>
        <v>No</v>
      </c>
      <c r="AJ747" s="6" t="s">
        <v>941</v>
      </c>
      <c r="AK747" s="6" t="s">
        <v>73</v>
      </c>
      <c r="AL747" s="6">
        <f>MATCH(AA747,{"Low","Medium","High"},0)*MATCH(AB747,{"Low","Medium","High"},0)*INDEX({3,2,2,1,1},MATCH(X747,{"Core","Vertical extension","Differentiator","Future","Adjacent"},0))</f>
        <v>18</v>
      </c>
      <c r="AM747" s="5"/>
      <c r="AN747" s="5"/>
      <c r="AO747" s="5"/>
      <c r="AP747" s="5" t="s">
        <v>5405</v>
      </c>
      <c r="AQ747" s="5"/>
      <c r="AR747" s="5"/>
      <c r="AS747" s="5"/>
      <c r="AT747" s="5"/>
      <c r="AU747" s="6" t="s">
        <v>927</v>
      </c>
      <c r="AV747" s="6" t="s">
        <v>55</v>
      </c>
      <c r="AW747" s="6" t="s">
        <v>55</v>
      </c>
      <c r="AX747" s="6" t="s">
        <v>929</v>
      </c>
      <c r="AY747" s="6" t="s">
        <v>930</v>
      </c>
      <c r="AZ747" s="6"/>
      <c r="BA747" s="6" t="s">
        <v>5412</v>
      </c>
      <c r="BB747" s="6" t="s">
        <v>5413</v>
      </c>
      <c r="BC747" s="6" t="s">
        <v>97</v>
      </c>
      <c r="BD747" s="6" t="s">
        <v>97</v>
      </c>
    </row>
    <row r="748" spans="1:56" ht="32" customHeight="1" x14ac:dyDescent="0.35">
      <c r="A748" s="13" t="s">
        <v>5419</v>
      </c>
      <c r="B748" s="6" t="s">
        <v>5373</v>
      </c>
      <c r="C748" s="5" t="s">
        <v>1605</v>
      </c>
      <c r="D748" s="5" t="s">
        <v>845</v>
      </c>
      <c r="E748" s="5" t="s">
        <v>5420</v>
      </c>
      <c r="F748" s="5" t="s">
        <v>471</v>
      </c>
      <c r="G748" s="5" t="s">
        <v>1453</v>
      </c>
      <c r="H748" s="5" t="s">
        <v>5421</v>
      </c>
      <c r="I748" s="5" t="s">
        <v>5422</v>
      </c>
      <c r="J748" s="17" t="s">
        <v>121</v>
      </c>
      <c r="K748" s="18" t="s">
        <v>193</v>
      </c>
      <c r="L748" s="5" t="s">
        <v>5423</v>
      </c>
      <c r="M748" s="6" t="s">
        <v>200</v>
      </c>
      <c r="N748" s="6" t="s">
        <v>809</v>
      </c>
      <c r="O748" s="6" t="s">
        <v>121</v>
      </c>
      <c r="P748" s="5" t="s">
        <v>918</v>
      </c>
      <c r="Q748" s="18" t="s">
        <v>186</v>
      </c>
      <c r="R748" s="5" t="s">
        <v>5424</v>
      </c>
      <c r="S748" s="6" t="s">
        <v>5380</v>
      </c>
      <c r="T748" s="5" t="s">
        <v>5381</v>
      </c>
      <c r="U748" s="6" t="s">
        <v>204</v>
      </c>
      <c r="V748" s="6" t="s">
        <v>5382</v>
      </c>
      <c r="W748" s="6" t="s">
        <v>333</v>
      </c>
      <c r="X748" s="5" t="s">
        <v>5383</v>
      </c>
      <c r="Y748" s="5" t="s">
        <v>459</v>
      </c>
      <c r="Z748" s="5" t="str">
        <f t="shared" si="22"/>
        <v>Critical</v>
      </c>
      <c r="AA748" s="5" t="s">
        <v>923</v>
      </c>
      <c r="AB748" s="6" t="s">
        <v>923</v>
      </c>
      <c r="AC748" s="6" t="s">
        <v>11</v>
      </c>
      <c r="AD748" s="5" t="s">
        <v>940</v>
      </c>
      <c r="AE748" s="5" t="s">
        <v>354</v>
      </c>
      <c r="AF748" s="5" t="s">
        <v>354</v>
      </c>
      <c r="AG748" s="5" t="s">
        <v>354</v>
      </c>
      <c r="AH748" s="5" t="s">
        <v>354</v>
      </c>
      <c r="AI748" s="6" t="str">
        <f t="shared" si="23"/>
        <v>No</v>
      </c>
      <c r="AJ748" s="6" t="s">
        <v>941</v>
      </c>
      <c r="AK748" s="6" t="s">
        <v>151</v>
      </c>
      <c r="AL748" s="6">
        <f>MATCH(AA748,{"Low","Medium","High"},0)*MATCH(AB748,{"Low","Medium","High"},0)*INDEX({3,2,2,1,1},MATCH(X748,{"Core","Vertical extension","Differentiator","Future","Adjacent"},0))</f>
        <v>18</v>
      </c>
      <c r="AM748" s="5"/>
      <c r="AN748" s="5"/>
      <c r="AO748" s="5"/>
      <c r="AP748" s="5" t="s">
        <v>5414</v>
      </c>
      <c r="AQ748" s="5"/>
      <c r="AR748" s="5"/>
      <c r="AS748" s="5"/>
      <c r="AT748" s="5"/>
      <c r="AU748" s="6" t="s">
        <v>927</v>
      </c>
      <c r="AV748" s="6" t="s">
        <v>55</v>
      </c>
      <c r="AW748" s="6" t="s">
        <v>55</v>
      </c>
      <c r="AX748" s="6" t="s">
        <v>929</v>
      </c>
      <c r="AY748" s="6" t="s">
        <v>930</v>
      </c>
      <c r="AZ748" s="6"/>
      <c r="BA748" s="6" t="s">
        <v>5425</v>
      </c>
      <c r="BB748" s="6" t="s">
        <v>5413</v>
      </c>
      <c r="BC748" s="6" t="s">
        <v>97</v>
      </c>
      <c r="BD748" s="6" t="s">
        <v>97</v>
      </c>
    </row>
    <row r="749" spans="1:56" ht="32" customHeight="1" x14ac:dyDescent="0.35">
      <c r="A749" s="13" t="s">
        <v>5426</v>
      </c>
      <c r="B749" s="6" t="s">
        <v>5373</v>
      </c>
      <c r="C749" s="5" t="s">
        <v>5427</v>
      </c>
      <c r="D749" s="5" t="s">
        <v>847</v>
      </c>
      <c r="E749" s="5" t="s">
        <v>5428</v>
      </c>
      <c r="F749" s="5" t="s">
        <v>469</v>
      </c>
      <c r="G749" s="5" t="s">
        <v>1017</v>
      </c>
      <c r="H749" s="5" t="s">
        <v>5429</v>
      </c>
      <c r="I749" s="5" t="s">
        <v>5430</v>
      </c>
      <c r="J749" s="17" t="s">
        <v>121</v>
      </c>
      <c r="K749" s="18" t="s">
        <v>193</v>
      </c>
      <c r="L749" s="5" t="s">
        <v>5431</v>
      </c>
      <c r="M749" s="6" t="s">
        <v>200</v>
      </c>
      <c r="N749" s="6" t="s">
        <v>810</v>
      </c>
      <c r="O749" s="6" t="s">
        <v>121</v>
      </c>
      <c r="P749" s="5" t="s">
        <v>918</v>
      </c>
      <c r="Q749" s="18" t="s">
        <v>186</v>
      </c>
      <c r="R749" s="5" t="s">
        <v>5432</v>
      </c>
      <c r="S749" s="6" t="s">
        <v>5433</v>
      </c>
      <c r="T749" s="5" t="s">
        <v>5434</v>
      </c>
      <c r="U749" s="6" t="s">
        <v>228</v>
      </c>
      <c r="V749" s="6" t="s">
        <v>5435</v>
      </c>
      <c r="W749" s="6" t="s">
        <v>331</v>
      </c>
      <c r="X749" s="5" t="s">
        <v>5383</v>
      </c>
      <c r="Y749" s="5" t="s">
        <v>5436</v>
      </c>
      <c r="Z749" s="5" t="str">
        <f t="shared" si="22"/>
        <v>Medium</v>
      </c>
      <c r="AA749" s="5" t="s">
        <v>956</v>
      </c>
      <c r="AB749" s="6" t="s">
        <v>924</v>
      </c>
      <c r="AC749" s="6" t="s">
        <v>11</v>
      </c>
      <c r="AD749" s="5" t="s">
        <v>940</v>
      </c>
      <c r="AE749" s="5" t="s">
        <v>354</v>
      </c>
      <c r="AF749" s="5" t="s">
        <v>354</v>
      </c>
      <c r="AG749" s="5" t="s">
        <v>354</v>
      </c>
      <c r="AH749" s="5" t="s">
        <v>354</v>
      </c>
      <c r="AI749" s="6" t="str">
        <f t="shared" si="23"/>
        <v>No</v>
      </c>
      <c r="AJ749" s="6" t="s">
        <v>941</v>
      </c>
      <c r="AK749" s="6" t="s">
        <v>151</v>
      </c>
      <c r="AL749" s="6">
        <f>MATCH(AA749,{"Low","Medium","High"},0)*MATCH(AB749,{"Low","Medium","High"},0)*INDEX({3,2,2,1,1},MATCH(X749,{"Core","Vertical extension","Differentiator","Future","Adjacent"},0))</f>
        <v>4</v>
      </c>
      <c r="AM749" s="5"/>
      <c r="AN749" s="5"/>
      <c r="AO749" s="5"/>
      <c r="AP749" s="5"/>
      <c r="AQ749" s="5"/>
      <c r="AR749" s="5"/>
      <c r="AS749" s="5"/>
      <c r="AT749" s="5"/>
      <c r="AU749" s="6" t="s">
        <v>927</v>
      </c>
      <c r="AV749" s="6" t="s">
        <v>3133</v>
      </c>
      <c r="AW749" s="6" t="s">
        <v>3133</v>
      </c>
      <c r="AX749" s="6" t="s">
        <v>929</v>
      </c>
      <c r="AY749" s="6" t="s">
        <v>930</v>
      </c>
      <c r="AZ749" s="6"/>
      <c r="BA749" s="6" t="s">
        <v>3218</v>
      </c>
      <c r="BB749" s="6" t="s">
        <v>3219</v>
      </c>
      <c r="BC749" s="6" t="s">
        <v>97</v>
      </c>
      <c r="BD749" s="6" t="s">
        <v>97</v>
      </c>
    </row>
    <row r="750" spans="1:56" ht="32" customHeight="1" x14ac:dyDescent="0.35">
      <c r="A750" s="13" t="s">
        <v>5437</v>
      </c>
      <c r="B750" s="6" t="s">
        <v>5373</v>
      </c>
      <c r="C750" s="5" t="s">
        <v>5427</v>
      </c>
      <c r="D750" s="5" t="s">
        <v>847</v>
      </c>
      <c r="E750" s="5" t="s">
        <v>5438</v>
      </c>
      <c r="F750" s="5" t="s">
        <v>469</v>
      </c>
      <c r="G750" s="5" t="s">
        <v>5439</v>
      </c>
      <c r="H750" s="5" t="s">
        <v>5440</v>
      </c>
      <c r="I750" s="5" t="s">
        <v>5441</v>
      </c>
      <c r="J750" s="17" t="s">
        <v>121</v>
      </c>
      <c r="K750" s="18" t="s">
        <v>193</v>
      </c>
      <c r="L750" s="5" t="s">
        <v>5442</v>
      </c>
      <c r="M750" s="6" t="s">
        <v>200</v>
      </c>
      <c r="N750" s="6" t="s">
        <v>810</v>
      </c>
      <c r="O750" s="6" t="s">
        <v>121</v>
      </c>
      <c r="P750" s="5" t="s">
        <v>918</v>
      </c>
      <c r="Q750" s="18" t="s">
        <v>186</v>
      </c>
      <c r="R750" s="5" t="s">
        <v>1601</v>
      </c>
      <c r="S750" s="6" t="s">
        <v>5433</v>
      </c>
      <c r="T750" s="5" t="s">
        <v>5434</v>
      </c>
      <c r="U750" s="6" t="s">
        <v>232</v>
      </c>
      <c r="V750" s="6" t="s">
        <v>5435</v>
      </c>
      <c r="W750" s="6" t="s">
        <v>331</v>
      </c>
      <c r="X750" s="5" t="s">
        <v>5383</v>
      </c>
      <c r="Y750" s="5" t="s">
        <v>5436</v>
      </c>
      <c r="Z750" s="5" t="str">
        <f t="shared" si="22"/>
        <v>Medium</v>
      </c>
      <c r="AA750" s="5" t="s">
        <v>956</v>
      </c>
      <c r="AB750" s="6" t="s">
        <v>924</v>
      </c>
      <c r="AC750" s="6" t="s">
        <v>11</v>
      </c>
      <c r="AD750" s="5" t="s">
        <v>940</v>
      </c>
      <c r="AE750" s="5" t="s">
        <v>354</v>
      </c>
      <c r="AF750" s="5" t="s">
        <v>354</v>
      </c>
      <c r="AG750" s="5" t="s">
        <v>354</v>
      </c>
      <c r="AH750" s="5" t="s">
        <v>354</v>
      </c>
      <c r="AI750" s="6" t="str">
        <f t="shared" si="23"/>
        <v>No</v>
      </c>
      <c r="AJ750" s="6" t="s">
        <v>941</v>
      </c>
      <c r="AK750" s="6" t="s">
        <v>151</v>
      </c>
      <c r="AL750" s="6">
        <f>MATCH(AA750,{"Low","Medium","High"},0)*MATCH(AB750,{"Low","Medium","High"},0)*INDEX({3,2,2,1,1},MATCH(X750,{"Core","Vertical extension","Differentiator","Future","Adjacent"},0))</f>
        <v>4</v>
      </c>
      <c r="AM750" s="5"/>
      <c r="AN750" s="5"/>
      <c r="AO750" s="5"/>
      <c r="AP750" s="5" t="s">
        <v>5426</v>
      </c>
      <c r="AQ750" s="5"/>
      <c r="AR750" s="5"/>
      <c r="AS750" s="5"/>
      <c r="AT750" s="5"/>
      <c r="AU750" s="6" t="s">
        <v>927</v>
      </c>
      <c r="AV750" s="6" t="s">
        <v>3133</v>
      </c>
      <c r="AW750" s="6" t="s">
        <v>3133</v>
      </c>
      <c r="AX750" s="6" t="s">
        <v>929</v>
      </c>
      <c r="AY750" s="6" t="s">
        <v>930</v>
      </c>
      <c r="AZ750" s="6"/>
      <c r="BA750" s="6" t="s">
        <v>5443</v>
      </c>
      <c r="BB750" s="6" t="s">
        <v>3219</v>
      </c>
      <c r="BC750" s="6" t="s">
        <v>97</v>
      </c>
      <c r="BD750" s="6" t="s">
        <v>97</v>
      </c>
    </row>
    <row r="751" spans="1:56" ht="32" customHeight="1" x14ac:dyDescent="0.35">
      <c r="A751" s="13" t="s">
        <v>5444</v>
      </c>
      <c r="B751" s="6" t="s">
        <v>5373</v>
      </c>
      <c r="C751" s="5" t="s">
        <v>5427</v>
      </c>
      <c r="D751" s="5" t="s">
        <v>847</v>
      </c>
      <c r="E751" s="5" t="s">
        <v>5445</v>
      </c>
      <c r="F751" s="5" t="s">
        <v>5439</v>
      </c>
      <c r="G751" s="5" t="s">
        <v>455</v>
      </c>
      <c r="H751" s="5" t="s">
        <v>5446</v>
      </c>
      <c r="I751" s="5" t="s">
        <v>5447</v>
      </c>
      <c r="J751" s="17" t="s">
        <v>121</v>
      </c>
      <c r="K751" s="18" t="s">
        <v>193</v>
      </c>
      <c r="L751" s="5" t="s">
        <v>5448</v>
      </c>
      <c r="M751" s="6" t="s">
        <v>200</v>
      </c>
      <c r="N751" s="6" t="s">
        <v>810</v>
      </c>
      <c r="O751" s="6" t="s">
        <v>121</v>
      </c>
      <c r="P751" s="5" t="s">
        <v>918</v>
      </c>
      <c r="Q751" s="18" t="s">
        <v>186</v>
      </c>
      <c r="R751" s="5" t="s">
        <v>5449</v>
      </c>
      <c r="S751" s="6" t="s">
        <v>5433</v>
      </c>
      <c r="T751" s="5" t="s">
        <v>5434</v>
      </c>
      <c r="U751" s="6" t="s">
        <v>236</v>
      </c>
      <c r="V751" s="6" t="s">
        <v>5435</v>
      </c>
      <c r="W751" s="6" t="s">
        <v>331</v>
      </c>
      <c r="X751" s="5" t="s">
        <v>5383</v>
      </c>
      <c r="Y751" s="5" t="s">
        <v>5436</v>
      </c>
      <c r="Z751" s="5" t="str">
        <f t="shared" si="22"/>
        <v>Medium</v>
      </c>
      <c r="AA751" s="5" t="s">
        <v>956</v>
      </c>
      <c r="AB751" s="6" t="s">
        <v>924</v>
      </c>
      <c r="AC751" s="6" t="s">
        <v>11</v>
      </c>
      <c r="AD751" s="5" t="s">
        <v>940</v>
      </c>
      <c r="AE751" s="5" t="s">
        <v>354</v>
      </c>
      <c r="AF751" s="5" t="s">
        <v>354</v>
      </c>
      <c r="AG751" s="5" t="s">
        <v>354</v>
      </c>
      <c r="AH751" s="5" t="s">
        <v>354</v>
      </c>
      <c r="AI751" s="6" t="str">
        <f t="shared" si="23"/>
        <v>No</v>
      </c>
      <c r="AJ751" s="6" t="s">
        <v>941</v>
      </c>
      <c r="AK751" s="6" t="s">
        <v>151</v>
      </c>
      <c r="AL751" s="6">
        <f>MATCH(AA751,{"Low","Medium","High"},0)*MATCH(AB751,{"Low","Medium","High"},0)*INDEX({3,2,2,1,1},MATCH(X751,{"Core","Vertical extension","Differentiator","Future","Adjacent"},0))</f>
        <v>4</v>
      </c>
      <c r="AM751" s="5"/>
      <c r="AN751" s="5"/>
      <c r="AO751" s="5"/>
      <c r="AP751" s="5" t="s">
        <v>5437</v>
      </c>
      <c r="AQ751" s="5"/>
      <c r="AR751" s="5"/>
      <c r="AS751" s="5"/>
      <c r="AT751" s="5"/>
      <c r="AU751" s="6" t="s">
        <v>927</v>
      </c>
      <c r="AV751" s="6" t="s">
        <v>3133</v>
      </c>
      <c r="AW751" s="6" t="s">
        <v>3133</v>
      </c>
      <c r="AX751" s="6" t="s">
        <v>929</v>
      </c>
      <c r="AY751" s="6" t="s">
        <v>930</v>
      </c>
      <c r="AZ751" s="6"/>
      <c r="BA751" s="6" t="s">
        <v>5450</v>
      </c>
      <c r="BB751" s="6" t="s">
        <v>5451</v>
      </c>
      <c r="BC751" s="6" t="s">
        <v>97</v>
      </c>
      <c r="BD751" s="6" t="s">
        <v>97</v>
      </c>
    </row>
    <row r="752" spans="1:56" ht="32" customHeight="1" x14ac:dyDescent="0.35">
      <c r="A752" s="13" t="s">
        <v>5452</v>
      </c>
      <c r="B752" s="6" t="s">
        <v>5373</v>
      </c>
      <c r="C752" s="5" t="s">
        <v>5427</v>
      </c>
      <c r="D752" s="5" t="s">
        <v>847</v>
      </c>
      <c r="E752" s="5" t="s">
        <v>5453</v>
      </c>
      <c r="F752" s="5" t="s">
        <v>469</v>
      </c>
      <c r="G752" s="5" t="s">
        <v>457</v>
      </c>
      <c r="H752" s="5" t="s">
        <v>5454</v>
      </c>
      <c r="I752" s="5" t="s">
        <v>5455</v>
      </c>
      <c r="J752" s="17" t="s">
        <v>121</v>
      </c>
      <c r="K752" s="18" t="s">
        <v>193</v>
      </c>
      <c r="L752" s="5" t="s">
        <v>5456</v>
      </c>
      <c r="M752" s="6" t="s">
        <v>200</v>
      </c>
      <c r="N752" s="6" t="s">
        <v>810</v>
      </c>
      <c r="O752" s="6" t="s">
        <v>121</v>
      </c>
      <c r="P752" s="5" t="s">
        <v>918</v>
      </c>
      <c r="Q752" s="18" t="s">
        <v>186</v>
      </c>
      <c r="R752" s="5" t="s">
        <v>5457</v>
      </c>
      <c r="S752" s="6" t="s">
        <v>5433</v>
      </c>
      <c r="T752" s="5" t="s">
        <v>5434</v>
      </c>
      <c r="U752" s="6" t="s">
        <v>240</v>
      </c>
      <c r="V752" s="6" t="s">
        <v>5435</v>
      </c>
      <c r="W752" s="6" t="s">
        <v>331</v>
      </c>
      <c r="X752" s="5" t="s">
        <v>5383</v>
      </c>
      <c r="Y752" s="5" t="s">
        <v>5436</v>
      </c>
      <c r="Z752" s="5" t="str">
        <f t="shared" si="22"/>
        <v>Medium</v>
      </c>
      <c r="AA752" s="5" t="s">
        <v>956</v>
      </c>
      <c r="AB752" s="6" t="s">
        <v>924</v>
      </c>
      <c r="AC752" s="6" t="s">
        <v>11</v>
      </c>
      <c r="AD752" s="5" t="s">
        <v>940</v>
      </c>
      <c r="AE752" s="5" t="s">
        <v>354</v>
      </c>
      <c r="AF752" s="5" t="s">
        <v>354</v>
      </c>
      <c r="AG752" s="5" t="s">
        <v>354</v>
      </c>
      <c r="AH752" s="5" t="s">
        <v>354</v>
      </c>
      <c r="AI752" s="6" t="str">
        <f t="shared" si="23"/>
        <v>No</v>
      </c>
      <c r="AJ752" s="6" t="s">
        <v>941</v>
      </c>
      <c r="AK752" s="6" t="s">
        <v>151</v>
      </c>
      <c r="AL752" s="6">
        <f>MATCH(AA752,{"Low","Medium","High"},0)*MATCH(AB752,{"Low","Medium","High"},0)*INDEX({3,2,2,1,1},MATCH(X752,{"Core","Vertical extension","Differentiator","Future","Adjacent"},0))</f>
        <v>4</v>
      </c>
      <c r="AM752" s="5"/>
      <c r="AN752" s="5"/>
      <c r="AO752" s="5"/>
      <c r="AP752" s="5" t="s">
        <v>5444</v>
      </c>
      <c r="AQ752" s="5"/>
      <c r="AR752" s="5"/>
      <c r="AS752" s="5"/>
      <c r="AT752" s="5"/>
      <c r="AU752" s="6" t="s">
        <v>927</v>
      </c>
      <c r="AV752" s="6" t="s">
        <v>3133</v>
      </c>
      <c r="AW752" s="6" t="s">
        <v>3133</v>
      </c>
      <c r="AX752" s="6" t="s">
        <v>929</v>
      </c>
      <c r="AY752" s="6" t="s">
        <v>930</v>
      </c>
      <c r="AZ752" s="6"/>
      <c r="BA752" s="6" t="s">
        <v>5458</v>
      </c>
      <c r="BB752" s="6" t="s">
        <v>943</v>
      </c>
      <c r="BC752" s="6" t="s">
        <v>97</v>
      </c>
      <c r="BD752" s="6" t="s">
        <v>97</v>
      </c>
    </row>
    <row r="753" spans="1:56" ht="32" customHeight="1" x14ac:dyDescent="0.35">
      <c r="A753" s="13" t="s">
        <v>5459</v>
      </c>
      <c r="B753" s="6" t="s">
        <v>5373</v>
      </c>
      <c r="C753" s="5" t="s">
        <v>5427</v>
      </c>
      <c r="D753" s="5" t="s">
        <v>847</v>
      </c>
      <c r="E753" s="5" t="s">
        <v>5460</v>
      </c>
      <c r="F753" s="5" t="s">
        <v>469</v>
      </c>
      <c r="G753" s="5" t="s">
        <v>1017</v>
      </c>
      <c r="H753" s="5" t="s">
        <v>5461</v>
      </c>
      <c r="I753" s="5" t="s">
        <v>5462</v>
      </c>
      <c r="J753" s="19" t="s">
        <v>151</v>
      </c>
      <c r="K753" s="18" t="s">
        <v>193</v>
      </c>
      <c r="L753" s="5" t="s">
        <v>5463</v>
      </c>
      <c r="M753" s="6" t="s">
        <v>200</v>
      </c>
      <c r="N753" s="6" t="s">
        <v>810</v>
      </c>
      <c r="O753" s="6" t="s">
        <v>151</v>
      </c>
      <c r="P753" s="5" t="s">
        <v>918</v>
      </c>
      <c r="Q753" s="18" t="s">
        <v>186</v>
      </c>
      <c r="R753" s="5" t="s">
        <v>5457</v>
      </c>
      <c r="S753" s="6" t="s">
        <v>5433</v>
      </c>
      <c r="T753" s="5" t="s">
        <v>5434</v>
      </c>
      <c r="U753" s="6" t="s">
        <v>244</v>
      </c>
      <c r="V753" s="6" t="s">
        <v>5435</v>
      </c>
      <c r="W753" s="6" t="s">
        <v>331</v>
      </c>
      <c r="X753" s="5" t="s">
        <v>5383</v>
      </c>
      <c r="Y753" s="5" t="s">
        <v>5436</v>
      </c>
      <c r="Z753" s="5" t="str">
        <f t="shared" si="22"/>
        <v>Medium</v>
      </c>
      <c r="AA753" s="5" t="s">
        <v>956</v>
      </c>
      <c r="AB753" s="6" t="s">
        <v>924</v>
      </c>
      <c r="AC753" s="6" t="s">
        <v>11</v>
      </c>
      <c r="AD753" s="5" t="s">
        <v>940</v>
      </c>
      <c r="AE753" s="5" t="s">
        <v>354</v>
      </c>
      <c r="AF753" s="5" t="s">
        <v>354</v>
      </c>
      <c r="AG753" s="5" t="s">
        <v>354</v>
      </c>
      <c r="AH753" s="5" t="s">
        <v>354</v>
      </c>
      <c r="AI753" s="6" t="str">
        <f t="shared" si="23"/>
        <v>No</v>
      </c>
      <c r="AJ753" s="6" t="s">
        <v>941</v>
      </c>
      <c r="AK753" s="6" t="s">
        <v>151</v>
      </c>
      <c r="AL753" s="6">
        <f>MATCH(AA753,{"Low","Medium","High"},0)*MATCH(AB753,{"Low","Medium","High"},0)*INDEX({3,2,2,1,1},MATCH(X753,{"Core","Vertical extension","Differentiator","Future","Adjacent"},0))</f>
        <v>4</v>
      </c>
      <c r="AM753" s="5"/>
      <c r="AN753" s="5"/>
      <c r="AO753" s="5"/>
      <c r="AP753" s="5" t="s">
        <v>5452</v>
      </c>
      <c r="AQ753" s="5"/>
      <c r="AR753" s="5"/>
      <c r="AS753" s="5"/>
      <c r="AT753" s="5"/>
      <c r="AU753" s="6" t="s">
        <v>927</v>
      </c>
      <c r="AV753" s="6" t="s">
        <v>3133</v>
      </c>
      <c r="AW753" s="6" t="s">
        <v>3133</v>
      </c>
      <c r="AX753" s="6" t="s">
        <v>929</v>
      </c>
      <c r="AY753" s="6" t="s">
        <v>930</v>
      </c>
      <c r="AZ753" s="6"/>
      <c r="BA753" s="6" t="s">
        <v>5464</v>
      </c>
      <c r="BB753" s="6" t="s">
        <v>3219</v>
      </c>
      <c r="BC753" s="6" t="s">
        <v>97</v>
      </c>
      <c r="BD753" s="6" t="s">
        <v>97</v>
      </c>
    </row>
    <row r="754" spans="1:56" ht="32" customHeight="1" x14ac:dyDescent="0.35">
      <c r="A754" s="13" t="s">
        <v>5465</v>
      </c>
      <c r="B754" s="6" t="s">
        <v>5373</v>
      </c>
      <c r="C754" s="5" t="s">
        <v>3917</v>
      </c>
      <c r="D754" s="5" t="s">
        <v>855</v>
      </c>
      <c r="E754" s="5" t="s">
        <v>5466</v>
      </c>
      <c r="F754" s="5" t="s">
        <v>466</v>
      </c>
      <c r="G754" s="5" t="s">
        <v>5467</v>
      </c>
      <c r="H754" s="5" t="s">
        <v>5468</v>
      </c>
      <c r="I754" s="5" t="s">
        <v>5469</v>
      </c>
      <c r="J754" s="17" t="s">
        <v>121</v>
      </c>
      <c r="K754" s="18" t="s">
        <v>193</v>
      </c>
      <c r="L754" s="5" t="s">
        <v>5470</v>
      </c>
      <c r="M754" s="6" t="s">
        <v>200</v>
      </c>
      <c r="N754" s="6" t="s">
        <v>809</v>
      </c>
      <c r="O754" s="6" t="s">
        <v>121</v>
      </c>
      <c r="P754" s="5" t="s">
        <v>918</v>
      </c>
      <c r="Q754" s="18" t="s">
        <v>186</v>
      </c>
      <c r="R754" s="5" t="s">
        <v>5471</v>
      </c>
      <c r="S754" s="6" t="s">
        <v>3923</v>
      </c>
      <c r="T754" s="5" t="s">
        <v>3924</v>
      </c>
      <c r="U754" s="6" t="s">
        <v>232</v>
      </c>
      <c r="V754" s="6" t="s">
        <v>3925</v>
      </c>
      <c r="W754" s="6" t="s">
        <v>331</v>
      </c>
      <c r="X754" s="5" t="s">
        <v>5383</v>
      </c>
      <c r="Y754" s="5" t="s">
        <v>3926</v>
      </c>
      <c r="Z754" s="5" t="str">
        <f t="shared" si="22"/>
        <v>Medium</v>
      </c>
      <c r="AA754" s="5" t="s">
        <v>956</v>
      </c>
      <c r="AB754" s="6" t="s">
        <v>924</v>
      </c>
      <c r="AC754" s="6" t="s">
        <v>11</v>
      </c>
      <c r="AD754" s="5" t="s">
        <v>940</v>
      </c>
      <c r="AE754" s="5" t="s">
        <v>354</v>
      </c>
      <c r="AF754" s="5" t="s">
        <v>354</v>
      </c>
      <c r="AG754" s="5" t="s">
        <v>354</v>
      </c>
      <c r="AH754" s="5" t="s">
        <v>354</v>
      </c>
      <c r="AI754" s="6" t="str">
        <f t="shared" si="23"/>
        <v>No</v>
      </c>
      <c r="AJ754" s="6" t="s">
        <v>941</v>
      </c>
      <c r="AK754" s="6" t="s">
        <v>151</v>
      </c>
      <c r="AL754" s="6">
        <f>MATCH(AA754,{"Low","Medium","High"},0)*MATCH(AB754,{"Low","Medium","High"},0)*INDEX({3,2,2,1,1},MATCH(X754,{"Core","Vertical extension","Differentiator","Future","Adjacent"},0))</f>
        <v>4</v>
      </c>
      <c r="AM754" s="5"/>
      <c r="AN754" s="5"/>
      <c r="AO754" s="5"/>
      <c r="AP754" s="5" t="s">
        <v>3916</v>
      </c>
      <c r="AQ754" s="5"/>
      <c r="AR754" s="5"/>
      <c r="AS754" s="5"/>
      <c r="AT754" s="5"/>
      <c r="AU754" s="6" t="s">
        <v>927</v>
      </c>
      <c r="AV754" s="6" t="s">
        <v>3133</v>
      </c>
      <c r="AW754" s="6" t="s">
        <v>3133</v>
      </c>
      <c r="AX754" s="6" t="s">
        <v>929</v>
      </c>
      <c r="AY754" s="6" t="s">
        <v>930</v>
      </c>
      <c r="AZ754" s="6"/>
      <c r="BA754" s="6" t="s">
        <v>5472</v>
      </c>
      <c r="BB754" s="6" t="s">
        <v>5473</v>
      </c>
      <c r="BC754" s="6" t="s">
        <v>97</v>
      </c>
      <c r="BD754" s="6" t="s">
        <v>97</v>
      </c>
    </row>
    <row r="755" spans="1:56" ht="32" customHeight="1" x14ac:dyDescent="0.35">
      <c r="A755" s="13" t="s">
        <v>3933</v>
      </c>
      <c r="B755" s="6" t="s">
        <v>5373</v>
      </c>
      <c r="C755" s="5" t="s">
        <v>3917</v>
      </c>
      <c r="D755" s="5" t="s">
        <v>855</v>
      </c>
      <c r="E755" s="5" t="s">
        <v>5474</v>
      </c>
      <c r="F755" s="5" t="s">
        <v>466</v>
      </c>
      <c r="G755" s="5" t="s">
        <v>455</v>
      </c>
      <c r="H755" s="5" t="s">
        <v>5475</v>
      </c>
      <c r="I755" s="5" t="s">
        <v>5476</v>
      </c>
      <c r="J755" s="17" t="s">
        <v>121</v>
      </c>
      <c r="K755" s="18" t="s">
        <v>193</v>
      </c>
      <c r="L755" s="5" t="s">
        <v>5477</v>
      </c>
      <c r="M755" s="6" t="s">
        <v>200</v>
      </c>
      <c r="N755" s="6" t="s">
        <v>809</v>
      </c>
      <c r="O755" s="6" t="s">
        <v>121</v>
      </c>
      <c r="P755" s="5" t="s">
        <v>918</v>
      </c>
      <c r="Q755" s="18" t="s">
        <v>186</v>
      </c>
      <c r="R755" s="5" t="s">
        <v>5478</v>
      </c>
      <c r="S755" s="6" t="s">
        <v>3923</v>
      </c>
      <c r="T755" s="5" t="s">
        <v>3924</v>
      </c>
      <c r="U755" s="6" t="s">
        <v>236</v>
      </c>
      <c r="V755" s="6" t="s">
        <v>3925</v>
      </c>
      <c r="W755" s="6" t="s">
        <v>331</v>
      </c>
      <c r="X755" s="5" t="s">
        <v>5383</v>
      </c>
      <c r="Y755" s="5" t="s">
        <v>3926</v>
      </c>
      <c r="Z755" s="5" t="str">
        <f t="shared" si="22"/>
        <v>Medium</v>
      </c>
      <c r="AA755" s="5" t="s">
        <v>956</v>
      </c>
      <c r="AB755" s="6" t="s">
        <v>924</v>
      </c>
      <c r="AC755" s="6" t="s">
        <v>11</v>
      </c>
      <c r="AD755" s="5" t="s">
        <v>940</v>
      </c>
      <c r="AE755" s="5" t="s">
        <v>354</v>
      </c>
      <c r="AF755" s="5" t="s">
        <v>354</v>
      </c>
      <c r="AG755" s="5" t="s">
        <v>354</v>
      </c>
      <c r="AH755" s="5" t="s">
        <v>354</v>
      </c>
      <c r="AI755" s="6" t="str">
        <f t="shared" si="23"/>
        <v>No</v>
      </c>
      <c r="AJ755" s="6" t="s">
        <v>941</v>
      </c>
      <c r="AK755" s="6" t="s">
        <v>151</v>
      </c>
      <c r="AL755" s="6">
        <f>MATCH(AA755,{"Low","Medium","High"},0)*MATCH(AB755,{"Low","Medium","High"},0)*INDEX({3,2,2,1,1},MATCH(X755,{"Core","Vertical extension","Differentiator","Future","Adjacent"},0))</f>
        <v>4</v>
      </c>
      <c r="AM755" s="5"/>
      <c r="AN755" s="5"/>
      <c r="AO755" s="5"/>
      <c r="AP755" s="5" t="s">
        <v>5465</v>
      </c>
      <c r="AQ755" s="5"/>
      <c r="AR755" s="5"/>
      <c r="AS755" s="5"/>
      <c r="AT755" s="5"/>
      <c r="AU755" s="6" t="s">
        <v>927</v>
      </c>
      <c r="AV755" s="6" t="s">
        <v>3133</v>
      </c>
      <c r="AW755" s="6" t="s">
        <v>3133</v>
      </c>
      <c r="AX755" s="6" t="s">
        <v>929</v>
      </c>
      <c r="AY755" s="6" t="s">
        <v>930</v>
      </c>
      <c r="AZ755" s="6"/>
      <c r="BA755" s="6" t="s">
        <v>5479</v>
      </c>
      <c r="BB755" s="6" t="s">
        <v>5473</v>
      </c>
      <c r="BC755" s="6" t="s">
        <v>97</v>
      </c>
      <c r="BD755" s="6" t="s">
        <v>97</v>
      </c>
    </row>
    <row r="756" spans="1:56" ht="32" customHeight="1" x14ac:dyDescent="0.35">
      <c r="A756" s="13" t="s">
        <v>3947</v>
      </c>
      <c r="B756" s="6" t="s">
        <v>5373</v>
      </c>
      <c r="C756" s="5" t="s">
        <v>3917</v>
      </c>
      <c r="D756" s="5" t="s">
        <v>855</v>
      </c>
      <c r="E756" s="5" t="s">
        <v>5480</v>
      </c>
      <c r="F756" s="5" t="s">
        <v>466</v>
      </c>
      <c r="G756" s="5" t="s">
        <v>455</v>
      </c>
      <c r="H756" s="5" t="s">
        <v>5481</v>
      </c>
      <c r="I756" s="5" t="s">
        <v>5482</v>
      </c>
      <c r="J756" s="17" t="s">
        <v>121</v>
      </c>
      <c r="K756" s="18" t="s">
        <v>193</v>
      </c>
      <c r="L756" s="5" t="s">
        <v>5483</v>
      </c>
      <c r="M756" s="6" t="s">
        <v>200</v>
      </c>
      <c r="N756" s="6" t="s">
        <v>809</v>
      </c>
      <c r="O756" s="6" t="s">
        <v>121</v>
      </c>
      <c r="P756" s="5" t="s">
        <v>918</v>
      </c>
      <c r="Q756" s="18" t="s">
        <v>186</v>
      </c>
      <c r="R756" s="5" t="s">
        <v>5484</v>
      </c>
      <c r="S756" s="6" t="s">
        <v>3923</v>
      </c>
      <c r="T756" s="5" t="s">
        <v>3924</v>
      </c>
      <c r="U756" s="6" t="s">
        <v>244</v>
      </c>
      <c r="V756" s="6" t="s">
        <v>3925</v>
      </c>
      <c r="W756" s="6" t="s">
        <v>331</v>
      </c>
      <c r="X756" s="5" t="s">
        <v>5383</v>
      </c>
      <c r="Y756" s="5" t="s">
        <v>3926</v>
      </c>
      <c r="Z756" s="5" t="str">
        <f t="shared" si="22"/>
        <v>Medium</v>
      </c>
      <c r="AA756" s="5" t="s">
        <v>956</v>
      </c>
      <c r="AB756" s="6" t="s">
        <v>924</v>
      </c>
      <c r="AC756" s="6" t="s">
        <v>11</v>
      </c>
      <c r="AD756" s="5" t="s">
        <v>940</v>
      </c>
      <c r="AE756" s="5" t="s">
        <v>354</v>
      </c>
      <c r="AF756" s="5" t="s">
        <v>354</v>
      </c>
      <c r="AG756" s="5" t="s">
        <v>354</v>
      </c>
      <c r="AH756" s="5" t="s">
        <v>354</v>
      </c>
      <c r="AI756" s="6" t="str">
        <f t="shared" si="23"/>
        <v>No</v>
      </c>
      <c r="AJ756" s="6" t="s">
        <v>941</v>
      </c>
      <c r="AK756" s="6" t="s">
        <v>151</v>
      </c>
      <c r="AL756" s="6">
        <f>MATCH(AA756,{"Low","Medium","High"},0)*MATCH(AB756,{"Low","Medium","High"},0)*INDEX({3,2,2,1,1},MATCH(X756,{"Core","Vertical extension","Differentiator","Future","Adjacent"},0))</f>
        <v>4</v>
      </c>
      <c r="AM756" s="5"/>
      <c r="AN756" s="5"/>
      <c r="AO756" s="5"/>
      <c r="AP756" s="5" t="s">
        <v>3927</v>
      </c>
      <c r="AQ756" s="5"/>
      <c r="AR756" s="5"/>
      <c r="AS756" s="5"/>
      <c r="AT756" s="5"/>
      <c r="AU756" s="6" t="s">
        <v>927</v>
      </c>
      <c r="AV756" s="6" t="s">
        <v>3133</v>
      </c>
      <c r="AW756" s="6" t="s">
        <v>3133</v>
      </c>
      <c r="AX756" s="6" t="s">
        <v>929</v>
      </c>
      <c r="AY756" s="6" t="s">
        <v>930</v>
      </c>
      <c r="AZ756" s="6"/>
      <c r="BA756" s="6" t="s">
        <v>5485</v>
      </c>
      <c r="BB756" s="6" t="s">
        <v>5486</v>
      </c>
      <c r="BC756" s="6" t="s">
        <v>97</v>
      </c>
      <c r="BD756" s="6" t="s">
        <v>97</v>
      </c>
    </row>
    <row r="757" spans="1:56" ht="32" customHeight="1" x14ac:dyDescent="0.35">
      <c r="A757" s="13" t="s">
        <v>5487</v>
      </c>
      <c r="B757" s="6" t="s">
        <v>5373</v>
      </c>
      <c r="C757" s="5" t="s">
        <v>3917</v>
      </c>
      <c r="D757" s="5" t="s">
        <v>855</v>
      </c>
      <c r="E757" s="5" t="s">
        <v>5488</v>
      </c>
      <c r="F757" s="5" t="s">
        <v>466</v>
      </c>
      <c r="G757" s="5" t="s">
        <v>455</v>
      </c>
      <c r="H757" s="5" t="s">
        <v>5489</v>
      </c>
      <c r="I757" s="5" t="s">
        <v>5490</v>
      </c>
      <c r="J757" s="19" t="s">
        <v>151</v>
      </c>
      <c r="K757" s="18" t="s">
        <v>193</v>
      </c>
      <c r="L757" s="5" t="s">
        <v>5491</v>
      </c>
      <c r="M757" s="6" t="s">
        <v>200</v>
      </c>
      <c r="N757" s="6" t="s">
        <v>809</v>
      </c>
      <c r="O757" s="6" t="s">
        <v>151</v>
      </c>
      <c r="P757" s="5" t="s">
        <v>918</v>
      </c>
      <c r="Q757" s="18" t="s">
        <v>186</v>
      </c>
      <c r="R757" s="5" t="s">
        <v>3940</v>
      </c>
      <c r="S757" s="6" t="s">
        <v>3923</v>
      </c>
      <c r="T757" s="5" t="s">
        <v>3924</v>
      </c>
      <c r="U757" s="6" t="s">
        <v>204</v>
      </c>
      <c r="V757" s="6" t="s">
        <v>3925</v>
      </c>
      <c r="W757" s="6" t="s">
        <v>331</v>
      </c>
      <c r="X757" s="5" t="s">
        <v>5383</v>
      </c>
      <c r="Y757" s="5" t="s">
        <v>3926</v>
      </c>
      <c r="Z757" s="5" t="str">
        <f t="shared" si="22"/>
        <v>Medium</v>
      </c>
      <c r="AA757" s="5" t="s">
        <v>956</v>
      </c>
      <c r="AB757" s="6" t="s">
        <v>924</v>
      </c>
      <c r="AC757" s="6" t="s">
        <v>11</v>
      </c>
      <c r="AD757" s="5" t="s">
        <v>940</v>
      </c>
      <c r="AE757" s="5" t="s">
        <v>354</v>
      </c>
      <c r="AF757" s="5" t="s">
        <v>354</v>
      </c>
      <c r="AG757" s="5" t="s">
        <v>354</v>
      </c>
      <c r="AH757" s="5" t="s">
        <v>354</v>
      </c>
      <c r="AI757" s="6" t="str">
        <f t="shared" si="23"/>
        <v>No</v>
      </c>
      <c r="AJ757" s="6" t="s">
        <v>941</v>
      </c>
      <c r="AK757" s="6" t="s">
        <v>151</v>
      </c>
      <c r="AL757" s="6">
        <f>MATCH(AA757,{"Low","Medium","High"},0)*MATCH(AB757,{"Low","Medium","High"},0)*INDEX({3,2,2,1,1},MATCH(X757,{"Core","Vertical extension","Differentiator","Future","Adjacent"},0))</f>
        <v>4</v>
      </c>
      <c r="AM757" s="5"/>
      <c r="AN757" s="5"/>
      <c r="AO757" s="5"/>
      <c r="AP757" s="5" t="s">
        <v>3941</v>
      </c>
      <c r="AQ757" s="5"/>
      <c r="AR757" s="5"/>
      <c r="AS757" s="5"/>
      <c r="AT757" s="5"/>
      <c r="AU757" s="6" t="s">
        <v>927</v>
      </c>
      <c r="AV757" s="6" t="s">
        <v>3133</v>
      </c>
      <c r="AW757" s="6" t="s">
        <v>3133</v>
      </c>
      <c r="AX757" s="6" t="s">
        <v>929</v>
      </c>
      <c r="AY757" s="6" t="s">
        <v>930</v>
      </c>
      <c r="AZ757" s="6"/>
      <c r="BA757" s="6" t="s">
        <v>5492</v>
      </c>
      <c r="BB757" s="6" t="s">
        <v>5473</v>
      </c>
      <c r="BC757" s="6" t="s">
        <v>97</v>
      </c>
      <c r="BD757" s="6" t="s">
        <v>97</v>
      </c>
    </row>
    <row r="758" spans="1:56" ht="32" customHeight="1" x14ac:dyDescent="0.35">
      <c r="A758" s="13" t="s">
        <v>5493</v>
      </c>
      <c r="B758" s="6" t="s">
        <v>5373</v>
      </c>
      <c r="C758" s="5" t="s">
        <v>1322</v>
      </c>
      <c r="D758" s="5" t="s">
        <v>848</v>
      </c>
      <c r="E758" s="5" t="s">
        <v>5494</v>
      </c>
      <c r="F758" s="5" t="s">
        <v>5495</v>
      </c>
      <c r="G758" s="5" t="s">
        <v>1017</v>
      </c>
      <c r="H758" s="5" t="s">
        <v>5496</v>
      </c>
      <c r="I758" s="5" t="s">
        <v>5497</v>
      </c>
      <c r="J758" s="17" t="s">
        <v>121</v>
      </c>
      <c r="K758" s="18" t="s">
        <v>193</v>
      </c>
      <c r="L758" s="5" t="s">
        <v>5498</v>
      </c>
      <c r="M758" s="6" t="s">
        <v>200</v>
      </c>
      <c r="N758" s="6" t="s">
        <v>809</v>
      </c>
      <c r="O758" s="6" t="s">
        <v>121</v>
      </c>
      <c r="P758" s="5" t="s">
        <v>918</v>
      </c>
      <c r="Q758" s="18" t="s">
        <v>186</v>
      </c>
      <c r="R758" s="5" t="s">
        <v>5499</v>
      </c>
      <c r="S758" s="6" t="s">
        <v>5500</v>
      </c>
      <c r="T758" s="5" t="s">
        <v>5501</v>
      </c>
      <c r="U758" s="6" t="s">
        <v>228</v>
      </c>
      <c r="V758" s="6" t="s">
        <v>5502</v>
      </c>
      <c r="W758" s="6" t="s">
        <v>331</v>
      </c>
      <c r="X758" s="5" t="s">
        <v>5383</v>
      </c>
      <c r="Y758" s="5" t="s">
        <v>658</v>
      </c>
      <c r="Z758" s="5" t="str">
        <f t="shared" si="22"/>
        <v>Medium</v>
      </c>
      <c r="AA758" s="5" t="s">
        <v>956</v>
      </c>
      <c r="AB758" s="6" t="s">
        <v>924</v>
      </c>
      <c r="AC758" s="6" t="s">
        <v>11</v>
      </c>
      <c r="AD758" s="5" t="s">
        <v>940</v>
      </c>
      <c r="AE758" s="5" t="s">
        <v>354</v>
      </c>
      <c r="AF758" s="5" t="s">
        <v>354</v>
      </c>
      <c r="AG758" s="5" t="s">
        <v>354</v>
      </c>
      <c r="AH758" s="5" t="s">
        <v>354</v>
      </c>
      <c r="AI758" s="6" t="str">
        <f t="shared" si="23"/>
        <v>No</v>
      </c>
      <c r="AJ758" s="6" t="s">
        <v>941</v>
      </c>
      <c r="AK758" s="6" t="s">
        <v>151</v>
      </c>
      <c r="AL758" s="6">
        <f>MATCH(AA758,{"Low","Medium","High"},0)*MATCH(AB758,{"Low","Medium","High"},0)*INDEX({3,2,2,1,1},MATCH(X758,{"Core","Vertical extension","Differentiator","Future","Adjacent"},0))</f>
        <v>4</v>
      </c>
      <c r="AM758" s="5"/>
      <c r="AN758" s="5"/>
      <c r="AO758" s="5"/>
      <c r="AP758" s="5"/>
      <c r="AQ758" s="5"/>
      <c r="AR758" s="5"/>
      <c r="AS758" s="5"/>
      <c r="AT758" s="5"/>
      <c r="AU758" s="6" t="s">
        <v>927</v>
      </c>
      <c r="AV758" s="6" t="s">
        <v>1322</v>
      </c>
      <c r="AW758" s="6" t="s">
        <v>1322</v>
      </c>
      <c r="AX758" s="6" t="s">
        <v>929</v>
      </c>
      <c r="AY758" s="6" t="s">
        <v>930</v>
      </c>
      <c r="AZ758" s="6"/>
      <c r="BA758" s="6"/>
      <c r="BB758" s="6"/>
      <c r="BC758" s="6" t="s">
        <v>97</v>
      </c>
      <c r="BD758" s="6" t="s">
        <v>97</v>
      </c>
    </row>
    <row r="759" spans="1:56" ht="32" customHeight="1" x14ac:dyDescent="0.35">
      <c r="A759" s="13" t="s">
        <v>5503</v>
      </c>
      <c r="B759" s="6" t="s">
        <v>5373</v>
      </c>
      <c r="C759" s="5" t="s">
        <v>1322</v>
      </c>
      <c r="D759" s="5" t="s">
        <v>848</v>
      </c>
      <c r="E759" s="5" t="s">
        <v>5504</v>
      </c>
      <c r="F759" s="5" t="s">
        <v>5495</v>
      </c>
      <c r="G759" s="5" t="s">
        <v>459</v>
      </c>
      <c r="H759" s="5" t="s">
        <v>5505</v>
      </c>
      <c r="I759" s="5" t="s">
        <v>5506</v>
      </c>
      <c r="J759" s="17" t="s">
        <v>121</v>
      </c>
      <c r="K759" s="18" t="s">
        <v>193</v>
      </c>
      <c r="L759" s="5" t="s">
        <v>5507</v>
      </c>
      <c r="M759" s="6" t="s">
        <v>200</v>
      </c>
      <c r="N759" s="6" t="s">
        <v>809</v>
      </c>
      <c r="O759" s="6" t="s">
        <v>121</v>
      </c>
      <c r="P759" s="5" t="s">
        <v>918</v>
      </c>
      <c r="Q759" s="18" t="s">
        <v>186</v>
      </c>
      <c r="R759" s="5" t="s">
        <v>5508</v>
      </c>
      <c r="S759" s="6" t="s">
        <v>5500</v>
      </c>
      <c r="T759" s="5" t="s">
        <v>5501</v>
      </c>
      <c r="U759" s="6" t="s">
        <v>232</v>
      </c>
      <c r="V759" s="6" t="s">
        <v>5502</v>
      </c>
      <c r="W759" s="6" t="s">
        <v>331</v>
      </c>
      <c r="X759" s="5" t="s">
        <v>5383</v>
      </c>
      <c r="Y759" s="5" t="s">
        <v>658</v>
      </c>
      <c r="Z759" s="5" t="str">
        <f t="shared" si="22"/>
        <v>Medium</v>
      </c>
      <c r="AA759" s="5" t="s">
        <v>956</v>
      </c>
      <c r="AB759" s="6" t="s">
        <v>924</v>
      </c>
      <c r="AC759" s="6" t="s">
        <v>11</v>
      </c>
      <c r="AD759" s="5" t="s">
        <v>940</v>
      </c>
      <c r="AE759" s="5" t="s">
        <v>354</v>
      </c>
      <c r="AF759" s="5" t="s">
        <v>354</v>
      </c>
      <c r="AG759" s="5" t="s">
        <v>354</v>
      </c>
      <c r="AH759" s="5" t="s">
        <v>354</v>
      </c>
      <c r="AI759" s="6" t="str">
        <f t="shared" si="23"/>
        <v>No</v>
      </c>
      <c r="AJ759" s="6" t="s">
        <v>941</v>
      </c>
      <c r="AK759" s="6" t="s">
        <v>151</v>
      </c>
      <c r="AL759" s="6">
        <f>MATCH(AA759,{"Low","Medium","High"},0)*MATCH(AB759,{"Low","Medium","High"},0)*INDEX({3,2,2,1,1},MATCH(X759,{"Core","Vertical extension","Differentiator","Future","Adjacent"},0))</f>
        <v>4</v>
      </c>
      <c r="AM759" s="5"/>
      <c r="AN759" s="5"/>
      <c r="AO759" s="5"/>
      <c r="AP759" s="5" t="s">
        <v>5493</v>
      </c>
      <c r="AQ759" s="5"/>
      <c r="AR759" s="5"/>
      <c r="AS759" s="5"/>
      <c r="AT759" s="5"/>
      <c r="AU759" s="6" t="s">
        <v>927</v>
      </c>
      <c r="AV759" s="6" t="s">
        <v>1322</v>
      </c>
      <c r="AW759" s="6" t="s">
        <v>1322</v>
      </c>
      <c r="AX759" s="6" t="s">
        <v>929</v>
      </c>
      <c r="AY759" s="6" t="s">
        <v>930</v>
      </c>
      <c r="AZ759" s="6"/>
      <c r="BA759" s="6" t="s">
        <v>5509</v>
      </c>
      <c r="BB759" s="6" t="s">
        <v>5242</v>
      </c>
      <c r="BC759" s="6" t="s">
        <v>97</v>
      </c>
      <c r="BD759" s="6" t="s">
        <v>97</v>
      </c>
    </row>
    <row r="760" spans="1:56" ht="32" customHeight="1" x14ac:dyDescent="0.35">
      <c r="A760" s="13" t="s">
        <v>5510</v>
      </c>
      <c r="B760" s="6" t="s">
        <v>5373</v>
      </c>
      <c r="C760" s="5" t="s">
        <v>1322</v>
      </c>
      <c r="D760" s="5" t="s">
        <v>848</v>
      </c>
      <c r="E760" s="5" t="s">
        <v>5511</v>
      </c>
      <c r="F760" s="5" t="s">
        <v>5495</v>
      </c>
      <c r="G760" s="5" t="s">
        <v>459</v>
      </c>
      <c r="H760" s="5" t="s">
        <v>5512</v>
      </c>
      <c r="I760" s="5" t="s">
        <v>5513</v>
      </c>
      <c r="J760" s="17" t="s">
        <v>121</v>
      </c>
      <c r="K760" s="18" t="s">
        <v>193</v>
      </c>
      <c r="L760" s="5" t="s">
        <v>5514</v>
      </c>
      <c r="M760" s="6" t="s">
        <v>200</v>
      </c>
      <c r="N760" s="6" t="s">
        <v>809</v>
      </c>
      <c r="O760" s="6" t="s">
        <v>121</v>
      </c>
      <c r="P760" s="5" t="s">
        <v>918</v>
      </c>
      <c r="Q760" s="18" t="s">
        <v>186</v>
      </c>
      <c r="R760" s="5" t="s">
        <v>5515</v>
      </c>
      <c r="S760" s="6" t="s">
        <v>5500</v>
      </c>
      <c r="T760" s="5" t="s">
        <v>5501</v>
      </c>
      <c r="U760" s="6" t="s">
        <v>236</v>
      </c>
      <c r="V760" s="6" t="s">
        <v>5502</v>
      </c>
      <c r="W760" s="6" t="s">
        <v>331</v>
      </c>
      <c r="X760" s="5" t="s">
        <v>5383</v>
      </c>
      <c r="Y760" s="5" t="s">
        <v>658</v>
      </c>
      <c r="Z760" s="5" t="str">
        <f t="shared" si="22"/>
        <v>Medium</v>
      </c>
      <c r="AA760" s="5" t="s">
        <v>956</v>
      </c>
      <c r="AB760" s="6" t="s">
        <v>924</v>
      </c>
      <c r="AC760" s="6" t="s">
        <v>11</v>
      </c>
      <c r="AD760" s="5" t="s">
        <v>940</v>
      </c>
      <c r="AE760" s="5" t="s">
        <v>354</v>
      </c>
      <c r="AF760" s="5" t="s">
        <v>354</v>
      </c>
      <c r="AG760" s="5" t="s">
        <v>354</v>
      </c>
      <c r="AH760" s="5" t="s">
        <v>354</v>
      </c>
      <c r="AI760" s="6" t="str">
        <f t="shared" si="23"/>
        <v>No</v>
      </c>
      <c r="AJ760" s="6" t="s">
        <v>941</v>
      </c>
      <c r="AK760" s="6" t="s">
        <v>151</v>
      </c>
      <c r="AL760" s="6">
        <f>MATCH(AA760,{"Low","Medium","High"},0)*MATCH(AB760,{"Low","Medium","High"},0)*INDEX({3,2,2,1,1},MATCH(X760,{"Core","Vertical extension","Differentiator","Future","Adjacent"},0))</f>
        <v>4</v>
      </c>
      <c r="AM760" s="5"/>
      <c r="AN760" s="5"/>
      <c r="AO760" s="5"/>
      <c r="AP760" s="5" t="s">
        <v>5503</v>
      </c>
      <c r="AQ760" s="5"/>
      <c r="AR760" s="5"/>
      <c r="AS760" s="5"/>
      <c r="AT760" s="5"/>
      <c r="AU760" s="6" t="s">
        <v>927</v>
      </c>
      <c r="AV760" s="6" t="s">
        <v>1322</v>
      </c>
      <c r="AW760" s="6" t="s">
        <v>1322</v>
      </c>
      <c r="AX760" s="6" t="s">
        <v>929</v>
      </c>
      <c r="AY760" s="6" t="s">
        <v>930</v>
      </c>
      <c r="AZ760" s="6"/>
      <c r="BA760" s="6" t="s">
        <v>5516</v>
      </c>
      <c r="BB760" s="6" t="s">
        <v>5242</v>
      </c>
      <c r="BC760" s="6" t="s">
        <v>97</v>
      </c>
      <c r="BD760" s="6" t="s">
        <v>97</v>
      </c>
    </row>
    <row r="761" spans="1:56" ht="32" customHeight="1" x14ac:dyDescent="0.35">
      <c r="A761" s="13" t="s">
        <v>5517</v>
      </c>
      <c r="B761" s="6" t="s">
        <v>5373</v>
      </c>
      <c r="C761" s="5" t="s">
        <v>1322</v>
      </c>
      <c r="D761" s="5" t="s">
        <v>848</v>
      </c>
      <c r="E761" s="5" t="s">
        <v>5518</v>
      </c>
      <c r="F761" s="5" t="s">
        <v>459</v>
      </c>
      <c r="G761" s="5" t="s">
        <v>1017</v>
      </c>
      <c r="H761" s="5" t="s">
        <v>5519</v>
      </c>
      <c r="I761" s="5" t="s">
        <v>5520</v>
      </c>
      <c r="J761" s="17" t="s">
        <v>121</v>
      </c>
      <c r="K761" s="18" t="s">
        <v>193</v>
      </c>
      <c r="L761" s="5" t="s">
        <v>5521</v>
      </c>
      <c r="M761" s="6" t="s">
        <v>200</v>
      </c>
      <c r="N761" s="6" t="s">
        <v>809</v>
      </c>
      <c r="O761" s="6" t="s">
        <v>121</v>
      </c>
      <c r="P761" s="5" t="s">
        <v>918</v>
      </c>
      <c r="Q761" s="18" t="s">
        <v>186</v>
      </c>
      <c r="R761" s="5" t="s">
        <v>5515</v>
      </c>
      <c r="S761" s="6" t="s">
        <v>5500</v>
      </c>
      <c r="T761" s="5" t="s">
        <v>5501</v>
      </c>
      <c r="U761" s="6" t="s">
        <v>240</v>
      </c>
      <c r="V761" s="6" t="s">
        <v>5502</v>
      </c>
      <c r="W761" s="6" t="s">
        <v>331</v>
      </c>
      <c r="X761" s="5" t="s">
        <v>5383</v>
      </c>
      <c r="Y761" s="5" t="s">
        <v>658</v>
      </c>
      <c r="Z761" s="5" t="str">
        <f t="shared" si="22"/>
        <v>Medium</v>
      </c>
      <c r="AA761" s="5" t="s">
        <v>956</v>
      </c>
      <c r="AB761" s="6" t="s">
        <v>924</v>
      </c>
      <c r="AC761" s="6" t="s">
        <v>11</v>
      </c>
      <c r="AD761" s="5" t="s">
        <v>940</v>
      </c>
      <c r="AE761" s="5" t="s">
        <v>354</v>
      </c>
      <c r="AF761" s="5" t="s">
        <v>354</v>
      </c>
      <c r="AG761" s="5" t="s">
        <v>354</v>
      </c>
      <c r="AH761" s="5" t="s">
        <v>354</v>
      </c>
      <c r="AI761" s="6" t="str">
        <f t="shared" si="23"/>
        <v>No</v>
      </c>
      <c r="AJ761" s="6" t="s">
        <v>941</v>
      </c>
      <c r="AK761" s="6" t="s">
        <v>151</v>
      </c>
      <c r="AL761" s="6">
        <f>MATCH(AA761,{"Low","Medium","High"},0)*MATCH(AB761,{"Low","Medium","High"},0)*INDEX({3,2,2,1,1},MATCH(X761,{"Core","Vertical extension","Differentiator","Future","Adjacent"},0))</f>
        <v>4</v>
      </c>
      <c r="AM761" s="5"/>
      <c r="AN761" s="5"/>
      <c r="AO761" s="5"/>
      <c r="AP761" s="5" t="s">
        <v>5510</v>
      </c>
      <c r="AQ761" s="5"/>
      <c r="AR761" s="5"/>
      <c r="AS761" s="5"/>
      <c r="AT761" s="5"/>
      <c r="AU761" s="6" t="s">
        <v>927</v>
      </c>
      <c r="AV761" s="6" t="s">
        <v>1322</v>
      </c>
      <c r="AW761" s="6" t="s">
        <v>55</v>
      </c>
      <c r="AX761" s="6" t="s">
        <v>929</v>
      </c>
      <c r="AY761" s="6" t="s">
        <v>930</v>
      </c>
      <c r="AZ761" s="6"/>
      <c r="BA761" s="6" t="s">
        <v>5522</v>
      </c>
      <c r="BB761" s="6"/>
      <c r="BC761" s="6" t="s">
        <v>97</v>
      </c>
      <c r="BD761" s="6" t="s">
        <v>97</v>
      </c>
    </row>
    <row r="762" spans="1:56" ht="32" customHeight="1" x14ac:dyDescent="0.35">
      <c r="A762" s="13" t="s">
        <v>5523</v>
      </c>
      <c r="B762" s="6" t="s">
        <v>5373</v>
      </c>
      <c r="C762" s="5" t="s">
        <v>1322</v>
      </c>
      <c r="D762" s="5" t="s">
        <v>848</v>
      </c>
      <c r="E762" s="5" t="s">
        <v>5524</v>
      </c>
      <c r="F762" s="5" t="s">
        <v>5495</v>
      </c>
      <c r="G762" s="5" t="s">
        <v>459</v>
      </c>
      <c r="H762" s="5" t="s">
        <v>5525</v>
      </c>
      <c r="I762" s="5" t="s">
        <v>5526</v>
      </c>
      <c r="J762" s="19" t="s">
        <v>151</v>
      </c>
      <c r="K762" s="18" t="s">
        <v>193</v>
      </c>
      <c r="L762" s="5" t="s">
        <v>5527</v>
      </c>
      <c r="M762" s="6" t="s">
        <v>200</v>
      </c>
      <c r="N762" s="6" t="s">
        <v>809</v>
      </c>
      <c r="O762" s="6" t="s">
        <v>151</v>
      </c>
      <c r="P762" s="5" t="s">
        <v>918</v>
      </c>
      <c r="Q762" s="18" t="s">
        <v>186</v>
      </c>
      <c r="R762" s="5" t="s">
        <v>5515</v>
      </c>
      <c r="S762" s="6" t="s">
        <v>5500</v>
      </c>
      <c r="T762" s="5" t="s">
        <v>5501</v>
      </c>
      <c r="U762" s="6" t="s">
        <v>244</v>
      </c>
      <c r="V762" s="6" t="s">
        <v>5502</v>
      </c>
      <c r="W762" s="6" t="s">
        <v>331</v>
      </c>
      <c r="X762" s="5" t="s">
        <v>5383</v>
      </c>
      <c r="Y762" s="5" t="s">
        <v>658</v>
      </c>
      <c r="Z762" s="5" t="str">
        <f t="shared" si="22"/>
        <v>Medium</v>
      </c>
      <c r="AA762" s="5" t="s">
        <v>956</v>
      </c>
      <c r="AB762" s="6" t="s">
        <v>924</v>
      </c>
      <c r="AC762" s="6" t="s">
        <v>11</v>
      </c>
      <c r="AD762" s="5" t="s">
        <v>940</v>
      </c>
      <c r="AE762" s="5" t="s">
        <v>354</v>
      </c>
      <c r="AF762" s="5" t="s">
        <v>354</v>
      </c>
      <c r="AG762" s="5" t="s">
        <v>354</v>
      </c>
      <c r="AH762" s="5" t="s">
        <v>354</v>
      </c>
      <c r="AI762" s="6" t="str">
        <f t="shared" si="23"/>
        <v>No</v>
      </c>
      <c r="AJ762" s="6" t="s">
        <v>941</v>
      </c>
      <c r="AK762" s="6" t="s">
        <v>151</v>
      </c>
      <c r="AL762" s="6">
        <f>MATCH(AA762,{"Low","Medium","High"},0)*MATCH(AB762,{"Low","Medium","High"},0)*INDEX({3,2,2,1,1},MATCH(X762,{"Core","Vertical extension","Differentiator","Future","Adjacent"},0))</f>
        <v>4</v>
      </c>
      <c r="AM762" s="5"/>
      <c r="AN762" s="5"/>
      <c r="AO762" s="5"/>
      <c r="AP762" s="5" t="s">
        <v>5517</v>
      </c>
      <c r="AQ762" s="5"/>
      <c r="AR762" s="5"/>
      <c r="AS762" s="5"/>
      <c r="AT762" s="5"/>
      <c r="AU762" s="6" t="s">
        <v>927</v>
      </c>
      <c r="AV762" s="6" t="s">
        <v>1322</v>
      </c>
      <c r="AW762" s="6" t="s">
        <v>1322</v>
      </c>
      <c r="AX762" s="6" t="s">
        <v>929</v>
      </c>
      <c r="AY762" s="6" t="s">
        <v>930</v>
      </c>
      <c r="AZ762" s="6"/>
      <c r="BA762" s="6" t="s">
        <v>5522</v>
      </c>
      <c r="BB762" s="6"/>
      <c r="BC762" s="6" t="s">
        <v>97</v>
      </c>
      <c r="BD762" s="6" t="s">
        <v>97</v>
      </c>
    </row>
    <row r="763" spans="1:56" ht="32" customHeight="1" x14ac:dyDescent="0.35">
      <c r="A763" s="13" t="s">
        <v>5528</v>
      </c>
      <c r="B763" s="6" t="s">
        <v>5373</v>
      </c>
      <c r="C763" s="5" t="s">
        <v>451</v>
      </c>
      <c r="D763" s="5" t="s">
        <v>844</v>
      </c>
      <c r="E763" s="5" t="s">
        <v>5529</v>
      </c>
      <c r="F763" s="5" t="s">
        <v>5530</v>
      </c>
      <c r="G763" s="5" t="s">
        <v>5531</v>
      </c>
      <c r="H763" s="5" t="s">
        <v>5532</v>
      </c>
      <c r="I763" s="5" t="s">
        <v>5533</v>
      </c>
      <c r="J763" s="17" t="s">
        <v>121</v>
      </c>
      <c r="K763" s="18" t="s">
        <v>193</v>
      </c>
      <c r="L763" s="5" t="s">
        <v>5534</v>
      </c>
      <c r="M763" s="6" t="s">
        <v>200</v>
      </c>
      <c r="N763" s="6" t="s">
        <v>809</v>
      </c>
      <c r="O763" s="6" t="s">
        <v>121</v>
      </c>
      <c r="P763" s="5" t="s">
        <v>918</v>
      </c>
      <c r="Q763" s="18" t="s">
        <v>186</v>
      </c>
      <c r="R763" s="5" t="s">
        <v>5535</v>
      </c>
      <c r="S763" s="6" t="s">
        <v>5536</v>
      </c>
      <c r="T763" s="5" t="s">
        <v>5537</v>
      </c>
      <c r="U763" s="6" t="s">
        <v>228</v>
      </c>
      <c r="V763" s="6" t="s">
        <v>5538</v>
      </c>
      <c r="W763" s="6" t="s">
        <v>335</v>
      </c>
      <c r="X763" s="5" t="s">
        <v>5383</v>
      </c>
      <c r="Y763" s="5" t="s">
        <v>1775</v>
      </c>
      <c r="Z763" s="5" t="str">
        <f t="shared" si="22"/>
        <v>Medium</v>
      </c>
      <c r="AA763" s="5" t="s">
        <v>956</v>
      </c>
      <c r="AB763" s="6" t="s">
        <v>924</v>
      </c>
      <c r="AC763" s="6" t="s">
        <v>11</v>
      </c>
      <c r="AD763" s="5" t="s">
        <v>940</v>
      </c>
      <c r="AE763" s="5" t="s">
        <v>354</v>
      </c>
      <c r="AF763" s="5" t="s">
        <v>354</v>
      </c>
      <c r="AG763" s="5" t="s">
        <v>354</v>
      </c>
      <c r="AH763" s="5" t="s">
        <v>354</v>
      </c>
      <c r="AI763" s="6" t="str">
        <f t="shared" si="23"/>
        <v>No</v>
      </c>
      <c r="AJ763" s="6" t="s">
        <v>941</v>
      </c>
      <c r="AK763" s="6" t="s">
        <v>151</v>
      </c>
      <c r="AL763" s="6">
        <f>MATCH(AA763,{"Low","Medium","High"},0)*MATCH(AB763,{"Low","Medium","High"},0)*INDEX({3,2,2,1,1},MATCH(X763,{"Core","Vertical extension","Differentiator","Future","Adjacent"},0))</f>
        <v>4</v>
      </c>
      <c r="AM763" s="5"/>
      <c r="AN763" s="5"/>
      <c r="AO763" s="5"/>
      <c r="AP763" s="5"/>
      <c r="AQ763" s="5"/>
      <c r="AR763" s="5"/>
      <c r="AS763" s="5"/>
      <c r="AT763" s="5"/>
      <c r="AU763" s="6" t="s">
        <v>927</v>
      </c>
      <c r="AV763" s="6" t="s">
        <v>1315</v>
      </c>
      <c r="AW763" s="6" t="s">
        <v>1315</v>
      </c>
      <c r="AX763" s="6" t="s">
        <v>929</v>
      </c>
      <c r="AY763" s="6" t="s">
        <v>930</v>
      </c>
      <c r="AZ763" s="6"/>
      <c r="BA763" s="6" t="s">
        <v>5539</v>
      </c>
      <c r="BB763" s="6" t="s">
        <v>5540</v>
      </c>
      <c r="BC763" s="6" t="s">
        <v>97</v>
      </c>
      <c r="BD763" s="6" t="s">
        <v>97</v>
      </c>
    </row>
    <row r="764" spans="1:56" ht="32" customHeight="1" x14ac:dyDescent="0.35">
      <c r="A764" s="13" t="s">
        <v>5541</v>
      </c>
      <c r="B764" s="6" t="s">
        <v>5373</v>
      </c>
      <c r="C764" s="5" t="s">
        <v>451</v>
      </c>
      <c r="D764" s="5" t="s">
        <v>844</v>
      </c>
      <c r="E764" s="5" t="s">
        <v>5542</v>
      </c>
      <c r="F764" s="5" t="s">
        <v>5530</v>
      </c>
      <c r="G764" s="5" t="s">
        <v>1017</v>
      </c>
      <c r="H764" s="5" t="s">
        <v>5543</v>
      </c>
      <c r="I764" s="5" t="s">
        <v>5544</v>
      </c>
      <c r="J764" s="17" t="s">
        <v>121</v>
      </c>
      <c r="K764" s="18" t="s">
        <v>193</v>
      </c>
      <c r="L764" s="5" t="s">
        <v>5545</v>
      </c>
      <c r="M764" s="6" t="s">
        <v>200</v>
      </c>
      <c r="N764" s="6" t="s">
        <v>809</v>
      </c>
      <c r="O764" s="6" t="s">
        <v>121</v>
      </c>
      <c r="P764" s="5" t="s">
        <v>918</v>
      </c>
      <c r="Q764" s="18" t="s">
        <v>186</v>
      </c>
      <c r="R764" s="5" t="s">
        <v>5546</v>
      </c>
      <c r="S764" s="6" t="s">
        <v>5536</v>
      </c>
      <c r="T764" s="5" t="s">
        <v>5537</v>
      </c>
      <c r="U764" s="6" t="s">
        <v>232</v>
      </c>
      <c r="V764" s="6" t="s">
        <v>5538</v>
      </c>
      <c r="W764" s="6" t="s">
        <v>335</v>
      </c>
      <c r="X764" s="5" t="s">
        <v>5383</v>
      </c>
      <c r="Y764" s="5" t="s">
        <v>1775</v>
      </c>
      <c r="Z764" s="5" t="str">
        <f t="shared" si="22"/>
        <v>Medium</v>
      </c>
      <c r="AA764" s="5" t="s">
        <v>956</v>
      </c>
      <c r="AB764" s="6" t="s">
        <v>924</v>
      </c>
      <c r="AC764" s="6" t="s">
        <v>11</v>
      </c>
      <c r="AD764" s="5" t="s">
        <v>940</v>
      </c>
      <c r="AE764" s="5" t="s">
        <v>354</v>
      </c>
      <c r="AF764" s="5" t="s">
        <v>354</v>
      </c>
      <c r="AG764" s="5" t="s">
        <v>354</v>
      </c>
      <c r="AH764" s="5" t="s">
        <v>354</v>
      </c>
      <c r="AI764" s="6" t="str">
        <f t="shared" si="23"/>
        <v>No</v>
      </c>
      <c r="AJ764" s="6" t="s">
        <v>941</v>
      </c>
      <c r="AK764" s="6" t="s">
        <v>151</v>
      </c>
      <c r="AL764" s="6">
        <f>MATCH(AA764,{"Low","Medium","High"},0)*MATCH(AB764,{"Low","Medium","High"},0)*INDEX({3,2,2,1,1},MATCH(X764,{"Core","Vertical extension","Differentiator","Future","Adjacent"},0))</f>
        <v>4</v>
      </c>
      <c r="AM764" s="5"/>
      <c r="AN764" s="5"/>
      <c r="AO764" s="5"/>
      <c r="AP764" s="5" t="s">
        <v>5528</v>
      </c>
      <c r="AQ764" s="5"/>
      <c r="AR764" s="5"/>
      <c r="AS764" s="5"/>
      <c r="AT764" s="5"/>
      <c r="AU764" s="6" t="s">
        <v>927</v>
      </c>
      <c r="AV764" s="6" t="s">
        <v>1315</v>
      </c>
      <c r="AW764" s="6" t="s">
        <v>1315</v>
      </c>
      <c r="AX764" s="6" t="s">
        <v>929</v>
      </c>
      <c r="AY764" s="6" t="s">
        <v>930</v>
      </c>
      <c r="AZ764" s="6"/>
      <c r="BA764" s="6" t="s">
        <v>5547</v>
      </c>
      <c r="BB764" s="6" t="s">
        <v>5548</v>
      </c>
      <c r="BC764" s="6" t="s">
        <v>97</v>
      </c>
      <c r="BD764" s="6" t="s">
        <v>97</v>
      </c>
    </row>
    <row r="765" spans="1:56" ht="32" customHeight="1" x14ac:dyDescent="0.35">
      <c r="A765" s="13" t="s">
        <v>5549</v>
      </c>
      <c r="B765" s="6" t="s">
        <v>5373</v>
      </c>
      <c r="C765" s="5" t="s">
        <v>451</v>
      </c>
      <c r="D765" s="5" t="s">
        <v>844</v>
      </c>
      <c r="E765" s="5" t="s">
        <v>5550</v>
      </c>
      <c r="F765" s="5" t="s">
        <v>5530</v>
      </c>
      <c r="G765" s="5" t="s">
        <v>1017</v>
      </c>
      <c r="H765" s="5" t="s">
        <v>5551</v>
      </c>
      <c r="I765" s="5" t="s">
        <v>5552</v>
      </c>
      <c r="J765" s="17" t="s">
        <v>121</v>
      </c>
      <c r="K765" s="18" t="s">
        <v>193</v>
      </c>
      <c r="L765" s="5" t="s">
        <v>5553</v>
      </c>
      <c r="M765" s="6" t="s">
        <v>200</v>
      </c>
      <c r="N765" s="6" t="s">
        <v>809</v>
      </c>
      <c r="O765" s="6" t="s">
        <v>121</v>
      </c>
      <c r="P765" s="5" t="s">
        <v>918</v>
      </c>
      <c r="Q765" s="18" t="s">
        <v>186</v>
      </c>
      <c r="R765" s="5" t="s">
        <v>5554</v>
      </c>
      <c r="S765" s="6" t="s">
        <v>5536</v>
      </c>
      <c r="T765" s="5" t="s">
        <v>5537</v>
      </c>
      <c r="U765" s="6" t="s">
        <v>236</v>
      </c>
      <c r="V765" s="6" t="s">
        <v>5538</v>
      </c>
      <c r="W765" s="6" t="s">
        <v>335</v>
      </c>
      <c r="X765" s="5" t="s">
        <v>5383</v>
      </c>
      <c r="Y765" s="5" t="s">
        <v>1775</v>
      </c>
      <c r="Z765" s="5" t="str">
        <f t="shared" si="22"/>
        <v>Medium</v>
      </c>
      <c r="AA765" s="5" t="s">
        <v>956</v>
      </c>
      <c r="AB765" s="6" t="s">
        <v>924</v>
      </c>
      <c r="AC765" s="6" t="s">
        <v>11</v>
      </c>
      <c r="AD765" s="5" t="s">
        <v>940</v>
      </c>
      <c r="AE765" s="5" t="s">
        <v>354</v>
      </c>
      <c r="AF765" s="5" t="s">
        <v>354</v>
      </c>
      <c r="AG765" s="5" t="s">
        <v>354</v>
      </c>
      <c r="AH765" s="5" t="s">
        <v>354</v>
      </c>
      <c r="AI765" s="6" t="str">
        <f t="shared" si="23"/>
        <v>No</v>
      </c>
      <c r="AJ765" s="6" t="s">
        <v>941</v>
      </c>
      <c r="AK765" s="6" t="s">
        <v>151</v>
      </c>
      <c r="AL765" s="6">
        <f>MATCH(AA765,{"Low","Medium","High"},0)*MATCH(AB765,{"Low","Medium","High"},0)*INDEX({3,2,2,1,1},MATCH(X765,{"Core","Vertical extension","Differentiator","Future","Adjacent"},0))</f>
        <v>4</v>
      </c>
      <c r="AM765" s="5"/>
      <c r="AN765" s="5"/>
      <c r="AO765" s="5"/>
      <c r="AP765" s="5" t="s">
        <v>5541</v>
      </c>
      <c r="AQ765" s="5"/>
      <c r="AR765" s="5"/>
      <c r="AS765" s="5"/>
      <c r="AT765" s="5"/>
      <c r="AU765" s="6" t="s">
        <v>927</v>
      </c>
      <c r="AV765" s="6" t="s">
        <v>1315</v>
      </c>
      <c r="AW765" s="6" t="s">
        <v>1315</v>
      </c>
      <c r="AX765" s="6" t="s">
        <v>929</v>
      </c>
      <c r="AY765" s="6" t="s">
        <v>930</v>
      </c>
      <c r="AZ765" s="6"/>
      <c r="BA765" s="6"/>
      <c r="BB765" s="6"/>
      <c r="BC765" s="6" t="s">
        <v>97</v>
      </c>
      <c r="BD765" s="6" t="s">
        <v>97</v>
      </c>
    </row>
    <row r="766" spans="1:56" ht="32" customHeight="1" x14ac:dyDescent="0.35">
      <c r="A766" s="13" t="s">
        <v>5555</v>
      </c>
      <c r="B766" s="6" t="s">
        <v>5373</v>
      </c>
      <c r="C766" s="5" t="s">
        <v>451</v>
      </c>
      <c r="D766" s="5" t="s">
        <v>844</v>
      </c>
      <c r="E766" s="5" t="s">
        <v>5556</v>
      </c>
      <c r="F766" s="5" t="s">
        <v>5530</v>
      </c>
      <c r="G766" s="5" t="s">
        <v>5531</v>
      </c>
      <c r="H766" s="5" t="s">
        <v>5557</v>
      </c>
      <c r="I766" s="5" t="s">
        <v>5558</v>
      </c>
      <c r="J766" s="17" t="s">
        <v>121</v>
      </c>
      <c r="K766" s="18" t="s">
        <v>193</v>
      </c>
      <c r="L766" s="5" t="s">
        <v>5559</v>
      </c>
      <c r="M766" s="6" t="s">
        <v>200</v>
      </c>
      <c r="N766" s="6" t="s">
        <v>809</v>
      </c>
      <c r="O766" s="6" t="s">
        <v>121</v>
      </c>
      <c r="P766" s="5" t="s">
        <v>918</v>
      </c>
      <c r="Q766" s="18" t="s">
        <v>186</v>
      </c>
      <c r="R766" s="5" t="s">
        <v>5560</v>
      </c>
      <c r="S766" s="6" t="s">
        <v>5536</v>
      </c>
      <c r="T766" s="5" t="s">
        <v>5537</v>
      </c>
      <c r="U766" s="6" t="s">
        <v>240</v>
      </c>
      <c r="V766" s="6" t="s">
        <v>5538</v>
      </c>
      <c r="W766" s="6" t="s">
        <v>335</v>
      </c>
      <c r="X766" s="5" t="s">
        <v>5383</v>
      </c>
      <c r="Y766" s="5" t="s">
        <v>1775</v>
      </c>
      <c r="Z766" s="5" t="str">
        <f t="shared" si="22"/>
        <v>Medium</v>
      </c>
      <c r="AA766" s="5" t="s">
        <v>956</v>
      </c>
      <c r="AB766" s="6" t="s">
        <v>924</v>
      </c>
      <c r="AC766" s="6" t="s">
        <v>11</v>
      </c>
      <c r="AD766" s="5" t="s">
        <v>940</v>
      </c>
      <c r="AE766" s="5" t="s">
        <v>354</v>
      </c>
      <c r="AF766" s="5" t="s">
        <v>354</v>
      </c>
      <c r="AG766" s="5" t="s">
        <v>354</v>
      </c>
      <c r="AH766" s="5" t="s">
        <v>354</v>
      </c>
      <c r="AI766" s="6" t="str">
        <f t="shared" si="23"/>
        <v>No</v>
      </c>
      <c r="AJ766" s="6" t="s">
        <v>941</v>
      </c>
      <c r="AK766" s="6" t="s">
        <v>151</v>
      </c>
      <c r="AL766" s="6">
        <f>MATCH(AA766,{"Low","Medium","High"},0)*MATCH(AB766,{"Low","Medium","High"},0)*INDEX({3,2,2,1,1},MATCH(X766,{"Core","Vertical extension","Differentiator","Future","Adjacent"},0))</f>
        <v>4</v>
      </c>
      <c r="AM766" s="5"/>
      <c r="AN766" s="5"/>
      <c r="AO766" s="5"/>
      <c r="AP766" s="5" t="s">
        <v>5549</v>
      </c>
      <c r="AQ766" s="5"/>
      <c r="AR766" s="5"/>
      <c r="AS766" s="5"/>
      <c r="AT766" s="5"/>
      <c r="AU766" s="6" t="s">
        <v>927</v>
      </c>
      <c r="AV766" s="6" t="s">
        <v>1315</v>
      </c>
      <c r="AW766" s="6" t="s">
        <v>1315</v>
      </c>
      <c r="AX766" s="6" t="s">
        <v>929</v>
      </c>
      <c r="AY766" s="6" t="s">
        <v>930</v>
      </c>
      <c r="AZ766" s="6"/>
      <c r="BA766" s="6" t="s">
        <v>5561</v>
      </c>
      <c r="BB766" s="6"/>
      <c r="BC766" s="6" t="s">
        <v>97</v>
      </c>
      <c r="BD766" s="6" t="s">
        <v>97</v>
      </c>
    </row>
    <row r="767" spans="1:56" ht="32" customHeight="1" x14ac:dyDescent="0.35">
      <c r="A767" s="13" t="s">
        <v>5562</v>
      </c>
      <c r="B767" s="6" t="s">
        <v>5373</v>
      </c>
      <c r="C767" s="5" t="s">
        <v>1605</v>
      </c>
      <c r="D767" s="5" t="s">
        <v>844</v>
      </c>
      <c r="E767" s="5" t="s">
        <v>5563</v>
      </c>
      <c r="F767" s="5" t="s">
        <v>459</v>
      </c>
      <c r="G767" s="5" t="s">
        <v>5530</v>
      </c>
      <c r="H767" s="5" t="s">
        <v>5564</v>
      </c>
      <c r="I767" s="5" t="s">
        <v>5565</v>
      </c>
      <c r="J767" s="17" t="s">
        <v>121</v>
      </c>
      <c r="K767" s="18" t="s">
        <v>193</v>
      </c>
      <c r="L767" s="5" t="s">
        <v>5566</v>
      </c>
      <c r="M767" s="6" t="s">
        <v>200</v>
      </c>
      <c r="N767" s="6" t="s">
        <v>809</v>
      </c>
      <c r="O767" s="6" t="s">
        <v>121</v>
      </c>
      <c r="P767" s="5" t="s">
        <v>918</v>
      </c>
      <c r="Q767" s="18" t="s">
        <v>186</v>
      </c>
      <c r="R767" s="5" t="s">
        <v>5567</v>
      </c>
      <c r="S767" s="6" t="s">
        <v>5536</v>
      </c>
      <c r="T767" s="5" t="s">
        <v>5537</v>
      </c>
      <c r="U767" s="6" t="s">
        <v>244</v>
      </c>
      <c r="V767" s="6" t="s">
        <v>5538</v>
      </c>
      <c r="W767" s="6" t="s">
        <v>335</v>
      </c>
      <c r="X767" s="5" t="s">
        <v>5383</v>
      </c>
      <c r="Y767" s="5" t="s">
        <v>459</v>
      </c>
      <c r="Z767" s="5" t="str">
        <f t="shared" si="22"/>
        <v>Medium</v>
      </c>
      <c r="AA767" s="5" t="s">
        <v>956</v>
      </c>
      <c r="AB767" s="6" t="s">
        <v>924</v>
      </c>
      <c r="AC767" s="6" t="s">
        <v>11</v>
      </c>
      <c r="AD767" s="5" t="s">
        <v>940</v>
      </c>
      <c r="AE767" s="5" t="s">
        <v>354</v>
      </c>
      <c r="AF767" s="5" t="s">
        <v>354</v>
      </c>
      <c r="AG767" s="5" t="s">
        <v>354</v>
      </c>
      <c r="AH767" s="5" t="s">
        <v>354</v>
      </c>
      <c r="AI767" s="6" t="str">
        <f t="shared" si="23"/>
        <v>No</v>
      </c>
      <c r="AJ767" s="6" t="s">
        <v>941</v>
      </c>
      <c r="AK767" s="6" t="s">
        <v>151</v>
      </c>
      <c r="AL767" s="6">
        <f>MATCH(AA767,{"Low","Medium","High"},0)*MATCH(AB767,{"Low","Medium","High"},0)*INDEX({3,2,2,1,1},MATCH(X767,{"Core","Vertical extension","Differentiator","Future","Adjacent"},0))</f>
        <v>4</v>
      </c>
      <c r="AM767" s="5"/>
      <c r="AN767" s="5"/>
      <c r="AO767" s="5"/>
      <c r="AP767" s="5" t="s">
        <v>5555</v>
      </c>
      <c r="AQ767" s="5"/>
      <c r="AR767" s="5"/>
      <c r="AS767" s="5"/>
      <c r="AT767" s="5"/>
      <c r="AU767" s="6" t="s">
        <v>927</v>
      </c>
      <c r="AV767" s="6" t="s">
        <v>55</v>
      </c>
      <c r="AW767" s="6" t="s">
        <v>55</v>
      </c>
      <c r="AX767" s="6" t="s">
        <v>929</v>
      </c>
      <c r="AY767" s="6" t="s">
        <v>930</v>
      </c>
      <c r="AZ767" s="6"/>
      <c r="BA767" s="6" t="s">
        <v>5568</v>
      </c>
      <c r="BB767" s="6" t="s">
        <v>5569</v>
      </c>
      <c r="BC767" s="6" t="s">
        <v>97</v>
      </c>
      <c r="BD767" s="6" t="s">
        <v>97</v>
      </c>
    </row>
    <row r="768" spans="1:56" ht="32" customHeight="1" x14ac:dyDescent="0.35">
      <c r="A768" s="13" t="s">
        <v>5570</v>
      </c>
      <c r="B768" s="6" t="s">
        <v>5373</v>
      </c>
      <c r="C768" s="5" t="s">
        <v>1605</v>
      </c>
      <c r="D768" s="5" t="s">
        <v>844</v>
      </c>
      <c r="E768" s="5" t="s">
        <v>5571</v>
      </c>
      <c r="F768" s="5" t="s">
        <v>459</v>
      </c>
      <c r="G768" s="5" t="s">
        <v>5531</v>
      </c>
      <c r="H768" s="5" t="s">
        <v>5572</v>
      </c>
      <c r="I768" s="5" t="s">
        <v>5573</v>
      </c>
      <c r="J768" s="17" t="s">
        <v>121</v>
      </c>
      <c r="K768" s="18" t="s">
        <v>193</v>
      </c>
      <c r="L768" s="5" t="s">
        <v>5574</v>
      </c>
      <c r="M768" s="6" t="s">
        <v>200</v>
      </c>
      <c r="N768" s="6" t="s">
        <v>809</v>
      </c>
      <c r="O768" s="6" t="s">
        <v>121</v>
      </c>
      <c r="P768" s="5" t="s">
        <v>918</v>
      </c>
      <c r="Q768" s="18" t="s">
        <v>186</v>
      </c>
      <c r="R768" s="5" t="s">
        <v>5567</v>
      </c>
      <c r="S768" s="6" t="s">
        <v>5536</v>
      </c>
      <c r="T768" s="5" t="s">
        <v>5537</v>
      </c>
      <c r="U768" s="6" t="s">
        <v>248</v>
      </c>
      <c r="V768" s="6" t="s">
        <v>5538</v>
      </c>
      <c r="W768" s="6" t="s">
        <v>335</v>
      </c>
      <c r="X768" s="5" t="s">
        <v>5383</v>
      </c>
      <c r="Y768" s="5" t="s">
        <v>459</v>
      </c>
      <c r="Z768" s="5" t="str">
        <f t="shared" si="22"/>
        <v>Medium</v>
      </c>
      <c r="AA768" s="5" t="s">
        <v>956</v>
      </c>
      <c r="AB768" s="6" t="s">
        <v>924</v>
      </c>
      <c r="AC768" s="6" t="s">
        <v>11</v>
      </c>
      <c r="AD768" s="5" t="s">
        <v>940</v>
      </c>
      <c r="AE768" s="5" t="s">
        <v>354</v>
      </c>
      <c r="AF768" s="5" t="s">
        <v>354</v>
      </c>
      <c r="AG768" s="5" t="s">
        <v>354</v>
      </c>
      <c r="AH768" s="5" t="s">
        <v>354</v>
      </c>
      <c r="AI768" s="6" t="str">
        <f t="shared" si="23"/>
        <v>No</v>
      </c>
      <c r="AJ768" s="6" t="s">
        <v>941</v>
      </c>
      <c r="AK768" s="6" t="s">
        <v>151</v>
      </c>
      <c r="AL768" s="6">
        <f>MATCH(AA768,{"Low","Medium","High"},0)*MATCH(AB768,{"Low","Medium","High"},0)*INDEX({3,2,2,1,1},MATCH(X768,{"Core","Vertical extension","Differentiator","Future","Adjacent"},0))</f>
        <v>4</v>
      </c>
      <c r="AM768" s="5"/>
      <c r="AN768" s="5"/>
      <c r="AO768" s="5"/>
      <c r="AP768" s="5" t="s">
        <v>5562</v>
      </c>
      <c r="AQ768" s="5"/>
      <c r="AR768" s="5"/>
      <c r="AS768" s="5"/>
      <c r="AT768" s="5"/>
      <c r="AU768" s="6" t="s">
        <v>927</v>
      </c>
      <c r="AV768" s="6" t="s">
        <v>55</v>
      </c>
      <c r="AW768" s="6" t="s">
        <v>55</v>
      </c>
      <c r="AX768" s="6" t="s">
        <v>929</v>
      </c>
      <c r="AY768" s="6" t="s">
        <v>930</v>
      </c>
      <c r="AZ768" s="6"/>
      <c r="BA768" s="6" t="s">
        <v>5568</v>
      </c>
      <c r="BB768" s="6" t="s">
        <v>5569</v>
      </c>
      <c r="BC768" s="6" t="s">
        <v>97</v>
      </c>
      <c r="BD768" s="6" t="s">
        <v>97</v>
      </c>
    </row>
    <row r="769" spans="1:56" ht="32" customHeight="1" x14ac:dyDescent="0.35">
      <c r="A769" s="13" t="s">
        <v>5575</v>
      </c>
      <c r="B769" s="6" t="s">
        <v>5373</v>
      </c>
      <c r="C769" s="5" t="s">
        <v>451</v>
      </c>
      <c r="D769" s="5" t="s">
        <v>844</v>
      </c>
      <c r="E769" s="5" t="s">
        <v>5576</v>
      </c>
      <c r="F769" s="5" t="s">
        <v>5530</v>
      </c>
      <c r="G769" s="5" t="s">
        <v>1017</v>
      </c>
      <c r="H769" s="5" t="s">
        <v>5577</v>
      </c>
      <c r="I769" s="5" t="s">
        <v>5578</v>
      </c>
      <c r="J769" s="17" t="s">
        <v>121</v>
      </c>
      <c r="K769" s="18" t="s">
        <v>193</v>
      </c>
      <c r="L769" s="5" t="s">
        <v>5579</v>
      </c>
      <c r="M769" s="6" t="s">
        <v>200</v>
      </c>
      <c r="N769" s="6" t="s">
        <v>809</v>
      </c>
      <c r="O769" s="6" t="s">
        <v>121</v>
      </c>
      <c r="P769" s="5" t="s">
        <v>918</v>
      </c>
      <c r="Q769" s="18" t="s">
        <v>186</v>
      </c>
      <c r="R769" s="5" t="s">
        <v>5580</v>
      </c>
      <c r="S769" s="6" t="s">
        <v>5536</v>
      </c>
      <c r="T769" s="5" t="s">
        <v>5537</v>
      </c>
      <c r="U769" s="6" t="s">
        <v>204</v>
      </c>
      <c r="V769" s="6" t="s">
        <v>5538</v>
      </c>
      <c r="W769" s="6" t="s">
        <v>335</v>
      </c>
      <c r="X769" s="5" t="s">
        <v>5383</v>
      </c>
      <c r="Y769" s="5" t="s">
        <v>1775</v>
      </c>
      <c r="Z769" s="5" t="str">
        <f t="shared" si="22"/>
        <v>Medium</v>
      </c>
      <c r="AA769" s="5" t="s">
        <v>956</v>
      </c>
      <c r="AB769" s="6" t="s">
        <v>924</v>
      </c>
      <c r="AC769" s="6" t="s">
        <v>11</v>
      </c>
      <c r="AD769" s="5" t="s">
        <v>940</v>
      </c>
      <c r="AE769" s="5" t="s">
        <v>354</v>
      </c>
      <c r="AF769" s="5" t="s">
        <v>354</v>
      </c>
      <c r="AG769" s="5" t="s">
        <v>354</v>
      </c>
      <c r="AH769" s="5" t="s">
        <v>354</v>
      </c>
      <c r="AI769" s="6" t="str">
        <f t="shared" si="23"/>
        <v>No</v>
      </c>
      <c r="AJ769" s="6" t="s">
        <v>941</v>
      </c>
      <c r="AK769" s="6" t="s">
        <v>151</v>
      </c>
      <c r="AL769" s="6">
        <f>MATCH(AA769,{"Low","Medium","High"},0)*MATCH(AB769,{"Low","Medium","High"},0)*INDEX({3,2,2,1,1},MATCH(X769,{"Core","Vertical extension","Differentiator","Future","Adjacent"},0))</f>
        <v>4</v>
      </c>
      <c r="AM769" s="5"/>
      <c r="AN769" s="5"/>
      <c r="AO769" s="5"/>
      <c r="AP769" s="5" t="s">
        <v>5570</v>
      </c>
      <c r="AQ769" s="5"/>
      <c r="AR769" s="5"/>
      <c r="AS769" s="5"/>
      <c r="AT769" s="5"/>
      <c r="AU769" s="6" t="s">
        <v>927</v>
      </c>
      <c r="AV769" s="6" t="s">
        <v>1315</v>
      </c>
      <c r="AW769" s="6" t="s">
        <v>1315</v>
      </c>
      <c r="AX769" s="6" t="s">
        <v>929</v>
      </c>
      <c r="AY769" s="6" t="s">
        <v>930</v>
      </c>
      <c r="AZ769" s="6"/>
      <c r="BA769" s="6" t="s">
        <v>5581</v>
      </c>
      <c r="BB769" s="6"/>
      <c r="BC769" s="6" t="s">
        <v>97</v>
      </c>
      <c r="BD769" s="6" t="s">
        <v>97</v>
      </c>
    </row>
    <row r="770" spans="1:56" ht="32" customHeight="1" x14ac:dyDescent="0.35">
      <c r="A770" s="13" t="s">
        <v>5582</v>
      </c>
      <c r="B770" s="6" t="s">
        <v>5373</v>
      </c>
      <c r="C770" s="5" t="s">
        <v>451</v>
      </c>
      <c r="D770" s="5" t="s">
        <v>844</v>
      </c>
      <c r="E770" s="5" t="s">
        <v>5583</v>
      </c>
      <c r="F770" s="5" t="s">
        <v>5530</v>
      </c>
      <c r="G770" s="5" t="s">
        <v>1017</v>
      </c>
      <c r="H770" s="5" t="s">
        <v>5584</v>
      </c>
      <c r="I770" s="5" t="s">
        <v>5585</v>
      </c>
      <c r="J770" s="17" t="s">
        <v>121</v>
      </c>
      <c r="K770" s="18" t="s">
        <v>193</v>
      </c>
      <c r="L770" s="5" t="s">
        <v>5586</v>
      </c>
      <c r="M770" s="6" t="s">
        <v>200</v>
      </c>
      <c r="N770" s="6" t="s">
        <v>809</v>
      </c>
      <c r="O770" s="6" t="s">
        <v>121</v>
      </c>
      <c r="P770" s="5" t="s">
        <v>918</v>
      </c>
      <c r="Q770" s="18" t="s">
        <v>186</v>
      </c>
      <c r="R770" s="5" t="s">
        <v>5587</v>
      </c>
      <c r="S770" s="6" t="s">
        <v>5536</v>
      </c>
      <c r="T770" s="5" t="s">
        <v>5537</v>
      </c>
      <c r="U770" s="6" t="s">
        <v>5588</v>
      </c>
      <c r="V770" s="6" t="s">
        <v>5538</v>
      </c>
      <c r="W770" s="6" t="s">
        <v>335</v>
      </c>
      <c r="X770" s="5" t="s">
        <v>5383</v>
      </c>
      <c r="Y770" s="5" t="s">
        <v>1775</v>
      </c>
      <c r="Z770" s="5" t="str">
        <f t="shared" si="22"/>
        <v>Medium</v>
      </c>
      <c r="AA770" s="5" t="s">
        <v>956</v>
      </c>
      <c r="AB770" s="6" t="s">
        <v>924</v>
      </c>
      <c r="AC770" s="6" t="s">
        <v>11</v>
      </c>
      <c r="AD770" s="5" t="s">
        <v>940</v>
      </c>
      <c r="AE770" s="5" t="s">
        <v>354</v>
      </c>
      <c r="AF770" s="5" t="s">
        <v>354</v>
      </c>
      <c r="AG770" s="5" t="s">
        <v>354</v>
      </c>
      <c r="AH770" s="5" t="s">
        <v>354</v>
      </c>
      <c r="AI770" s="6" t="str">
        <f t="shared" ref="AI770:AI833" si="24">IF(AND(AU770="Pass",AE770&lt;&gt;"Not verified",AF770&lt;&gt;"Not verified",AG770&lt;&gt;"Not verified",AH770&lt;&gt;"Not verified",BC770="Yes",BD770="Yes"),"Yes","No")</f>
        <v>No</v>
      </c>
      <c r="AJ770" s="6" t="s">
        <v>941</v>
      </c>
      <c r="AK770" s="6" t="s">
        <v>151</v>
      </c>
      <c r="AL770" s="6">
        <f>MATCH(AA770,{"Low","Medium","High"},0)*MATCH(AB770,{"Low","Medium","High"},0)*INDEX({3,2,2,1,1},MATCH(X770,{"Core","Vertical extension","Differentiator","Future","Adjacent"},0))</f>
        <v>4</v>
      </c>
      <c r="AM770" s="5"/>
      <c r="AN770" s="5"/>
      <c r="AO770" s="5"/>
      <c r="AP770" s="5" t="s">
        <v>5575</v>
      </c>
      <c r="AQ770" s="5"/>
      <c r="AR770" s="5"/>
      <c r="AS770" s="5"/>
      <c r="AT770" s="5"/>
      <c r="AU770" s="6" t="s">
        <v>927</v>
      </c>
      <c r="AV770" s="6" t="s">
        <v>1315</v>
      </c>
      <c r="AW770" s="6" t="s">
        <v>1315</v>
      </c>
      <c r="AX770" s="6" t="s">
        <v>929</v>
      </c>
      <c r="AY770" s="6" t="s">
        <v>930</v>
      </c>
      <c r="AZ770" s="6"/>
      <c r="BA770" s="6" t="s">
        <v>5589</v>
      </c>
      <c r="BB770" s="6"/>
      <c r="BC770" s="6" t="s">
        <v>97</v>
      </c>
      <c r="BD770" s="6" t="s">
        <v>97</v>
      </c>
    </row>
    <row r="771" spans="1:56" ht="32" customHeight="1" x14ac:dyDescent="0.35">
      <c r="A771" s="13" t="s">
        <v>5590</v>
      </c>
      <c r="B771" s="6" t="s">
        <v>5373</v>
      </c>
      <c r="C771" s="5" t="s">
        <v>451</v>
      </c>
      <c r="D771" s="5" t="s">
        <v>844</v>
      </c>
      <c r="E771" s="5" t="s">
        <v>5591</v>
      </c>
      <c r="F771" s="5" t="s">
        <v>5530</v>
      </c>
      <c r="G771" s="5" t="s">
        <v>1017</v>
      </c>
      <c r="H771" s="5" t="s">
        <v>5592</v>
      </c>
      <c r="I771" s="5" t="s">
        <v>5593</v>
      </c>
      <c r="J771" s="17" t="s">
        <v>121</v>
      </c>
      <c r="K771" s="18" t="s">
        <v>193</v>
      </c>
      <c r="L771" s="5" t="s">
        <v>5594</v>
      </c>
      <c r="M771" s="6" t="s">
        <v>200</v>
      </c>
      <c r="N771" s="6" t="s">
        <v>809</v>
      </c>
      <c r="O771" s="6" t="s">
        <v>121</v>
      </c>
      <c r="P771" s="5" t="s">
        <v>918</v>
      </c>
      <c r="Q771" s="18" t="s">
        <v>186</v>
      </c>
      <c r="R771" s="5" t="s">
        <v>5595</v>
      </c>
      <c r="S771" s="6" t="s">
        <v>5536</v>
      </c>
      <c r="T771" s="5" t="s">
        <v>5537</v>
      </c>
      <c r="U771" s="6" t="s">
        <v>205</v>
      </c>
      <c r="V771" s="6" t="s">
        <v>5538</v>
      </c>
      <c r="W771" s="6" t="s">
        <v>335</v>
      </c>
      <c r="X771" s="5" t="s">
        <v>5383</v>
      </c>
      <c r="Y771" s="5" t="s">
        <v>1775</v>
      </c>
      <c r="Z771" s="5" t="str">
        <f t="shared" si="22"/>
        <v>Medium</v>
      </c>
      <c r="AA771" s="5" t="s">
        <v>956</v>
      </c>
      <c r="AB771" s="6" t="s">
        <v>924</v>
      </c>
      <c r="AC771" s="6" t="s">
        <v>11</v>
      </c>
      <c r="AD771" s="5" t="s">
        <v>940</v>
      </c>
      <c r="AE771" s="5" t="s">
        <v>354</v>
      </c>
      <c r="AF771" s="5" t="s">
        <v>354</v>
      </c>
      <c r="AG771" s="5" t="s">
        <v>354</v>
      </c>
      <c r="AH771" s="5" t="s">
        <v>354</v>
      </c>
      <c r="AI771" s="6" t="str">
        <f t="shared" si="24"/>
        <v>No</v>
      </c>
      <c r="AJ771" s="6" t="s">
        <v>941</v>
      </c>
      <c r="AK771" s="6" t="s">
        <v>151</v>
      </c>
      <c r="AL771" s="6">
        <f>MATCH(AA771,{"Low","Medium","High"},0)*MATCH(AB771,{"Low","Medium","High"},0)*INDEX({3,2,2,1,1},MATCH(X771,{"Core","Vertical extension","Differentiator","Future","Adjacent"},0))</f>
        <v>4</v>
      </c>
      <c r="AM771" s="5"/>
      <c r="AN771" s="5"/>
      <c r="AO771" s="5"/>
      <c r="AP771" s="5" t="s">
        <v>5582</v>
      </c>
      <c r="AQ771" s="5"/>
      <c r="AR771" s="5"/>
      <c r="AS771" s="5"/>
      <c r="AT771" s="5"/>
      <c r="AU771" s="6" t="s">
        <v>927</v>
      </c>
      <c r="AV771" s="6" t="s">
        <v>1315</v>
      </c>
      <c r="AW771" s="6" t="s">
        <v>1315</v>
      </c>
      <c r="AX771" s="6" t="s">
        <v>929</v>
      </c>
      <c r="AY771" s="6" t="s">
        <v>930</v>
      </c>
      <c r="AZ771" s="6"/>
      <c r="BA771" s="6" t="s">
        <v>5596</v>
      </c>
      <c r="BB771" s="6"/>
      <c r="BC771" s="6" t="s">
        <v>97</v>
      </c>
      <c r="BD771" s="6" t="s">
        <v>97</v>
      </c>
    </row>
  </sheetData>
  <conditionalFormatting sqref="AU2:AU771">
    <cfRule type="cellIs" dxfId="1" priority="1" operator="equal">
      <formula>"Pass"</formula>
    </cfRule>
    <cfRule type="cellIs" dxfId="0" priority="2" operator="equal">
      <formula>"Fail"</formula>
    </cfRule>
  </conditionalFormatting>
  <dataValidations count="4">
    <dataValidation type="list" allowBlank="1" showErrorMessage="1" sqref="AU2:AU771" xr:uid="{00000000-0002-0000-1500-000000000000}">
      <formula1>"Not run,Pass,Partial,Fail,Blocked"</formula1>
    </dataValidation>
    <dataValidation type="list" allowBlank="1" showErrorMessage="1" sqref="AJ2:AJ771" xr:uid="{00000000-0002-0000-1500-000001000000}">
      <formula1>"Claimed - unverified,Built - unverified,Built - partial,Gap"</formula1>
    </dataValidation>
    <dataValidation type="list" allowBlank="1" showErrorMessage="1" sqref="AC2:AC771" xr:uid="{00000000-0002-0000-1500-000002000000}">
      <formula1>"MVP,Pilot,Later"</formula1>
    </dataValidation>
    <dataValidation type="list" allowBlank="1" showErrorMessage="1" sqref="BC2:BD771" xr:uid="{00000000-0002-0000-1500-000003000000}">
      <formula1>"Yes,No"</formula1>
    </dataValidation>
  </dataValidations>
  <pageMargins left="0.75" right="0.75" top="1" bottom="1" header="0.5" footer="0.5"/>
  <pageSetup paperSize="3" fitToHeight="0" orientation="landscape"/>
  <headerFooter>
    <oddHeader>&amp;LBizBoard task register</oddHeader>
    <oddFooter>&amp;RPage &amp;P of &amp;N</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277BD"/>
    <pageSetUpPr fitToPage="1"/>
  </sheetPr>
  <dimension ref="A1:G30"/>
  <sheetViews>
    <sheetView showGridLines="0" workbookViewId="0">
      <pane ySplit="3" topLeftCell="A4" activePane="bottomLeft" state="frozen"/>
      <selection pane="bottomLeft"/>
    </sheetView>
  </sheetViews>
  <sheetFormatPr defaultRowHeight="14.5" x14ac:dyDescent="0.35"/>
  <cols>
    <col min="1" max="1" width="14" customWidth="1"/>
    <col min="2" max="2" width="40" customWidth="1"/>
    <col min="3" max="3" width="16" customWidth="1"/>
    <col min="4" max="4" width="12" customWidth="1"/>
    <col min="5" max="6" width="62" customWidth="1"/>
    <col min="7" max="7" width="16" customWidth="1"/>
  </cols>
  <sheetData>
    <row r="1" spans="1:7" ht="21" x14ac:dyDescent="0.5">
      <c r="A1" s="1" t="s">
        <v>5597</v>
      </c>
    </row>
    <row r="2" spans="1:7" ht="28" customHeight="1" x14ac:dyDescent="0.35">
      <c r="A2" s="31" t="s">
        <v>5598</v>
      </c>
      <c r="B2" s="27"/>
      <c r="C2" s="27"/>
      <c r="D2" s="27"/>
      <c r="E2" s="27"/>
      <c r="F2" s="27"/>
    </row>
    <row r="3" spans="1:7" x14ac:dyDescent="0.35">
      <c r="A3" s="3" t="s">
        <v>878</v>
      </c>
      <c r="B3" s="3" t="s">
        <v>879</v>
      </c>
      <c r="C3" s="3" t="s">
        <v>881</v>
      </c>
      <c r="D3" s="3" t="s">
        <v>5</v>
      </c>
      <c r="E3" s="3" t="s">
        <v>330</v>
      </c>
      <c r="F3" s="3" t="s">
        <v>5599</v>
      </c>
      <c r="G3" s="3" t="s">
        <v>5600</v>
      </c>
    </row>
    <row r="4" spans="1:7" ht="36" customHeight="1" x14ac:dyDescent="0.35">
      <c r="A4" s="13" t="s">
        <v>5380</v>
      </c>
      <c r="B4" s="5" t="s">
        <v>5381</v>
      </c>
      <c r="C4" s="6" t="s">
        <v>5382</v>
      </c>
      <c r="D4" s="13">
        <f>COUNTIF(TaskRegister[Flow ID],A4)</f>
        <v>7</v>
      </c>
      <c r="E4" s="5" t="s">
        <v>5601</v>
      </c>
      <c r="F4" s="5" t="s">
        <v>5602</v>
      </c>
      <c r="G4" s="5" t="s">
        <v>5603</v>
      </c>
    </row>
    <row r="5" spans="1:7" ht="36" customHeight="1" x14ac:dyDescent="0.35">
      <c r="A5" s="13" t="s">
        <v>5433</v>
      </c>
      <c r="B5" s="5" t="s">
        <v>5434</v>
      </c>
      <c r="C5" s="6" t="s">
        <v>5435</v>
      </c>
      <c r="D5" s="13">
        <f>COUNTIF(TaskRegister[Flow ID],A5)</f>
        <v>5</v>
      </c>
      <c r="E5" s="5" t="s">
        <v>5604</v>
      </c>
      <c r="F5" s="5" t="s">
        <v>5605</v>
      </c>
      <c r="G5" s="5" t="s">
        <v>5603</v>
      </c>
    </row>
    <row r="6" spans="1:7" ht="36" customHeight="1" x14ac:dyDescent="0.35">
      <c r="A6" s="13" t="s">
        <v>3923</v>
      </c>
      <c r="B6" s="5" t="s">
        <v>3924</v>
      </c>
      <c r="C6" s="6" t="s">
        <v>3925</v>
      </c>
      <c r="D6" s="13">
        <f>COUNTIF(TaskRegister[Flow ID],A6)</f>
        <v>7</v>
      </c>
      <c r="E6" s="5" t="s">
        <v>5606</v>
      </c>
      <c r="F6" s="5" t="s">
        <v>5607</v>
      </c>
      <c r="G6" s="5" t="s">
        <v>5603</v>
      </c>
    </row>
    <row r="7" spans="1:7" ht="36" customHeight="1" x14ac:dyDescent="0.35">
      <c r="A7" s="13" t="s">
        <v>5500</v>
      </c>
      <c r="B7" s="5" t="s">
        <v>5501</v>
      </c>
      <c r="C7" s="6" t="s">
        <v>5502</v>
      </c>
      <c r="D7" s="13">
        <f>COUNTIF(TaskRegister[Flow ID],A7)</f>
        <v>5</v>
      </c>
      <c r="E7" s="5" t="s">
        <v>5608</v>
      </c>
      <c r="F7" s="5" t="s">
        <v>5609</v>
      </c>
      <c r="G7" s="5" t="s">
        <v>5603</v>
      </c>
    </row>
    <row r="8" spans="1:7" ht="36" customHeight="1" x14ac:dyDescent="0.35">
      <c r="A8" s="13" t="s">
        <v>5536</v>
      </c>
      <c r="B8" s="5" t="s">
        <v>5537</v>
      </c>
      <c r="C8" s="6" t="s">
        <v>5538</v>
      </c>
      <c r="D8" s="13">
        <f>COUNTIF(TaskRegister[Flow ID],A8)</f>
        <v>9</v>
      </c>
      <c r="E8" s="5" t="s">
        <v>5610</v>
      </c>
      <c r="F8" s="5" t="s">
        <v>5611</v>
      </c>
      <c r="G8" s="5" t="s">
        <v>5603</v>
      </c>
    </row>
    <row r="9" spans="1:7" ht="36" customHeight="1" x14ac:dyDescent="0.35">
      <c r="A9" s="13" t="s">
        <v>919</v>
      </c>
      <c r="B9" s="5" t="s">
        <v>920</v>
      </c>
      <c r="C9" s="6" t="s">
        <v>921</v>
      </c>
      <c r="D9" s="13">
        <f>COUNTIF(TaskRegister[Flow ID],A9)</f>
        <v>60</v>
      </c>
      <c r="E9" s="5" t="s">
        <v>5612</v>
      </c>
      <c r="F9" s="5" t="s">
        <v>5613</v>
      </c>
      <c r="G9" s="5" t="s">
        <v>5614</v>
      </c>
    </row>
    <row r="10" spans="1:7" ht="36" customHeight="1" x14ac:dyDescent="0.35">
      <c r="A10" s="13" t="s">
        <v>937</v>
      </c>
      <c r="B10" s="5" t="s">
        <v>938</v>
      </c>
      <c r="C10" s="6" t="s">
        <v>939</v>
      </c>
      <c r="D10" s="13">
        <f>COUNTIF(TaskRegister[Flow ID],A10)</f>
        <v>36</v>
      </c>
      <c r="E10" s="5" t="s">
        <v>5612</v>
      </c>
      <c r="F10" s="5" t="s">
        <v>5613</v>
      </c>
      <c r="G10" s="5" t="s">
        <v>5614</v>
      </c>
    </row>
    <row r="11" spans="1:7" ht="36" customHeight="1" x14ac:dyDescent="0.35">
      <c r="A11" s="13" t="s">
        <v>980</v>
      </c>
      <c r="B11" s="5" t="s">
        <v>981</v>
      </c>
      <c r="C11" s="6" t="s">
        <v>982</v>
      </c>
      <c r="D11" s="13">
        <f>COUNTIF(TaskRegister[Flow ID],A11)</f>
        <v>70</v>
      </c>
      <c r="E11" s="5" t="s">
        <v>5612</v>
      </c>
      <c r="F11" s="5" t="s">
        <v>5613</v>
      </c>
      <c r="G11" s="5" t="s">
        <v>5614</v>
      </c>
    </row>
    <row r="12" spans="1:7" ht="36" customHeight="1" x14ac:dyDescent="0.35">
      <c r="A12" s="13" t="s">
        <v>1053</v>
      </c>
      <c r="B12" s="5" t="s">
        <v>1054</v>
      </c>
      <c r="C12" s="6" t="s">
        <v>1055</v>
      </c>
      <c r="D12" s="13">
        <f>COUNTIF(TaskRegister[Flow ID],A12)</f>
        <v>92</v>
      </c>
      <c r="E12" s="5" t="s">
        <v>5612</v>
      </c>
      <c r="F12" s="5" t="s">
        <v>5613</v>
      </c>
      <c r="G12" s="5" t="s">
        <v>5614</v>
      </c>
    </row>
    <row r="13" spans="1:7" ht="36" customHeight="1" x14ac:dyDescent="0.35">
      <c r="A13" s="13" t="s">
        <v>1000</v>
      </c>
      <c r="B13" s="5" t="s">
        <v>1001</v>
      </c>
      <c r="C13" s="6" t="s">
        <v>1002</v>
      </c>
      <c r="D13" s="13">
        <f>COUNTIF(TaskRegister[Flow ID],A13)</f>
        <v>58</v>
      </c>
      <c r="E13" s="5" t="s">
        <v>5612</v>
      </c>
      <c r="F13" s="5" t="s">
        <v>5613</v>
      </c>
      <c r="G13" s="5" t="s">
        <v>5614</v>
      </c>
    </row>
    <row r="14" spans="1:7" ht="36" customHeight="1" x14ac:dyDescent="0.35">
      <c r="A14" s="13" t="s">
        <v>964</v>
      </c>
      <c r="B14" s="5" t="s">
        <v>965</v>
      </c>
      <c r="C14" s="6" t="s">
        <v>966</v>
      </c>
      <c r="D14" s="13">
        <f>COUNTIF(TaskRegister[Flow ID],A14)</f>
        <v>61</v>
      </c>
      <c r="E14" s="5" t="s">
        <v>5612</v>
      </c>
      <c r="F14" s="5" t="s">
        <v>5613</v>
      </c>
      <c r="G14" s="5" t="s">
        <v>5614</v>
      </c>
    </row>
    <row r="15" spans="1:7" ht="36" customHeight="1" x14ac:dyDescent="0.35">
      <c r="A15" s="13" t="s">
        <v>1076</v>
      </c>
      <c r="B15" s="5" t="s">
        <v>1077</v>
      </c>
      <c r="C15" s="6" t="s">
        <v>1078</v>
      </c>
      <c r="D15" s="13">
        <f>COUNTIF(TaskRegister[Flow ID],A15)</f>
        <v>46</v>
      </c>
      <c r="E15" s="5" t="s">
        <v>5612</v>
      </c>
      <c r="F15" s="5" t="s">
        <v>5613</v>
      </c>
      <c r="G15" s="5" t="s">
        <v>5614</v>
      </c>
    </row>
    <row r="16" spans="1:7" ht="36" customHeight="1" x14ac:dyDescent="0.35">
      <c r="A16" s="13" t="s">
        <v>1061</v>
      </c>
      <c r="B16" s="5" t="s">
        <v>1062</v>
      </c>
      <c r="C16" s="6" t="s">
        <v>1055</v>
      </c>
      <c r="D16" s="13">
        <f>COUNTIF(TaskRegister[Flow ID],A16)</f>
        <v>43</v>
      </c>
      <c r="E16" s="5" t="s">
        <v>5612</v>
      </c>
      <c r="F16" s="5" t="s">
        <v>5613</v>
      </c>
      <c r="G16" s="5" t="s">
        <v>5614</v>
      </c>
    </row>
    <row r="17" spans="1:7" ht="36" customHeight="1" x14ac:dyDescent="0.35">
      <c r="A17" s="13" t="s">
        <v>990</v>
      </c>
      <c r="B17" s="5" t="s">
        <v>991</v>
      </c>
      <c r="C17" s="6" t="s">
        <v>992</v>
      </c>
      <c r="D17" s="13">
        <f>COUNTIF(TaskRegister[Flow ID],A17)</f>
        <v>34</v>
      </c>
      <c r="E17" s="5" t="s">
        <v>5612</v>
      </c>
      <c r="F17" s="5" t="s">
        <v>5613</v>
      </c>
      <c r="G17" s="5" t="s">
        <v>5614</v>
      </c>
    </row>
    <row r="18" spans="1:7" ht="36" customHeight="1" x14ac:dyDescent="0.35">
      <c r="A18" s="13" t="s">
        <v>1359</v>
      </c>
      <c r="B18" s="5" t="s">
        <v>1360</v>
      </c>
      <c r="C18" s="6" t="s">
        <v>982</v>
      </c>
      <c r="D18" s="13">
        <f>COUNTIF(TaskRegister[Flow ID],A18)</f>
        <v>34</v>
      </c>
      <c r="E18" s="5" t="s">
        <v>5612</v>
      </c>
      <c r="F18" s="5" t="s">
        <v>5613</v>
      </c>
      <c r="G18" s="5" t="s">
        <v>5614</v>
      </c>
    </row>
    <row r="19" spans="1:7" ht="36" customHeight="1" x14ac:dyDescent="0.35">
      <c r="A19" s="13" t="s">
        <v>1022</v>
      </c>
      <c r="B19" s="5" t="s">
        <v>1023</v>
      </c>
      <c r="C19" s="6" t="s">
        <v>1024</v>
      </c>
      <c r="D19" s="13">
        <f>COUNTIF(TaskRegister[Flow ID],A19)</f>
        <v>26</v>
      </c>
      <c r="E19" s="5" t="s">
        <v>5612</v>
      </c>
      <c r="F19" s="5" t="s">
        <v>5613</v>
      </c>
      <c r="G19" s="5" t="s">
        <v>5614</v>
      </c>
    </row>
    <row r="20" spans="1:7" ht="36" customHeight="1" x14ac:dyDescent="0.35">
      <c r="A20" s="13" t="s">
        <v>1038</v>
      </c>
      <c r="B20" s="5" t="s">
        <v>1039</v>
      </c>
      <c r="C20" s="6" t="s">
        <v>921</v>
      </c>
      <c r="D20" s="13">
        <f>COUNTIF(TaskRegister[Flow ID],A20)</f>
        <v>26</v>
      </c>
      <c r="E20" s="5" t="s">
        <v>5612</v>
      </c>
      <c r="F20" s="5" t="s">
        <v>5613</v>
      </c>
      <c r="G20" s="5" t="s">
        <v>5614</v>
      </c>
    </row>
    <row r="21" spans="1:7" ht="36" customHeight="1" x14ac:dyDescent="0.35">
      <c r="A21" s="13" t="s">
        <v>1772</v>
      </c>
      <c r="B21" s="5" t="s">
        <v>1773</v>
      </c>
      <c r="C21" s="6" t="s">
        <v>1774</v>
      </c>
      <c r="D21" s="13">
        <f>COUNTIF(TaskRegister[Flow ID],A21)</f>
        <v>23</v>
      </c>
      <c r="E21" s="5" t="s">
        <v>5612</v>
      </c>
      <c r="F21" s="5" t="s">
        <v>5613</v>
      </c>
      <c r="G21" s="5" t="s">
        <v>5614</v>
      </c>
    </row>
    <row r="22" spans="1:7" ht="36" customHeight="1" x14ac:dyDescent="0.35">
      <c r="A22" s="13" t="s">
        <v>3845</v>
      </c>
      <c r="B22" s="5" t="s">
        <v>3846</v>
      </c>
      <c r="C22" s="6" t="s">
        <v>921</v>
      </c>
      <c r="D22" s="13">
        <f>COUNTIF(TaskRegister[Flow ID],A22)</f>
        <v>18</v>
      </c>
      <c r="E22" s="5" t="s">
        <v>5612</v>
      </c>
      <c r="F22" s="5" t="s">
        <v>5613</v>
      </c>
      <c r="G22" s="5" t="s">
        <v>5614</v>
      </c>
    </row>
    <row r="23" spans="1:7" ht="36" customHeight="1" x14ac:dyDescent="0.35">
      <c r="A23" s="13" t="s">
        <v>3901</v>
      </c>
      <c r="B23" s="5" t="s">
        <v>3902</v>
      </c>
      <c r="C23" s="6" t="s">
        <v>1055</v>
      </c>
      <c r="D23" s="13">
        <f>COUNTIF(TaskRegister[Flow ID],A23)</f>
        <v>5</v>
      </c>
      <c r="E23" s="5" t="s">
        <v>5612</v>
      </c>
      <c r="F23" s="5" t="s">
        <v>5613</v>
      </c>
      <c r="G23" s="5" t="s">
        <v>5614</v>
      </c>
    </row>
    <row r="24" spans="1:7" ht="36" customHeight="1" x14ac:dyDescent="0.35">
      <c r="A24" s="13" t="s">
        <v>5183</v>
      </c>
      <c r="B24" s="5" t="s">
        <v>5184</v>
      </c>
      <c r="C24" s="6" t="s">
        <v>1774</v>
      </c>
      <c r="D24" s="13">
        <f>COUNTIF(TaskRegister[Flow ID],A24)</f>
        <v>4</v>
      </c>
      <c r="E24" s="5" t="s">
        <v>5612</v>
      </c>
      <c r="F24" s="5" t="s">
        <v>5613</v>
      </c>
      <c r="G24" s="5" t="s">
        <v>5614</v>
      </c>
    </row>
    <row r="25" spans="1:7" ht="36" customHeight="1" x14ac:dyDescent="0.35">
      <c r="A25" s="13" t="s">
        <v>5212</v>
      </c>
      <c r="B25" s="5" t="s">
        <v>5213</v>
      </c>
      <c r="C25" s="6" t="s">
        <v>1774</v>
      </c>
      <c r="D25" s="13">
        <f>COUNTIF(TaskRegister[Flow ID],A25)</f>
        <v>4</v>
      </c>
      <c r="E25" s="5" t="s">
        <v>5612</v>
      </c>
      <c r="F25" s="5" t="s">
        <v>5613</v>
      </c>
      <c r="G25" s="5" t="s">
        <v>5614</v>
      </c>
    </row>
    <row r="26" spans="1:7" ht="36" customHeight="1" x14ac:dyDescent="0.35">
      <c r="A26" s="13" t="s">
        <v>5239</v>
      </c>
      <c r="B26" s="5" t="s">
        <v>5240</v>
      </c>
      <c r="C26" s="6" t="s">
        <v>1774</v>
      </c>
      <c r="D26" s="13">
        <f>COUNTIF(TaskRegister[Flow ID],A26)</f>
        <v>4</v>
      </c>
      <c r="E26" s="5" t="s">
        <v>5612</v>
      </c>
      <c r="F26" s="5" t="s">
        <v>5613</v>
      </c>
      <c r="G26" s="5" t="s">
        <v>5614</v>
      </c>
    </row>
    <row r="27" spans="1:7" ht="36" customHeight="1" x14ac:dyDescent="0.35">
      <c r="A27" s="13" t="s">
        <v>5272</v>
      </c>
      <c r="B27" s="5" t="s">
        <v>5273</v>
      </c>
      <c r="C27" s="6" t="s">
        <v>1774</v>
      </c>
      <c r="D27" s="13">
        <f>COUNTIF(TaskRegister[Flow ID],A27)</f>
        <v>4</v>
      </c>
      <c r="E27" s="5" t="s">
        <v>5612</v>
      </c>
      <c r="F27" s="5" t="s">
        <v>5613</v>
      </c>
      <c r="G27" s="5" t="s">
        <v>5614</v>
      </c>
    </row>
    <row r="28" spans="1:7" ht="36" customHeight="1" x14ac:dyDescent="0.35">
      <c r="A28" s="13" t="s">
        <v>5305</v>
      </c>
      <c r="B28" s="5" t="s">
        <v>5306</v>
      </c>
      <c r="C28" s="6" t="s">
        <v>5307</v>
      </c>
      <c r="D28" s="13">
        <f>COUNTIF(TaskRegister[Flow ID],A28)</f>
        <v>4</v>
      </c>
      <c r="E28" s="5" t="s">
        <v>5612</v>
      </c>
      <c r="F28" s="5" t="s">
        <v>5613</v>
      </c>
      <c r="G28" s="5" t="s">
        <v>5614</v>
      </c>
    </row>
    <row r="29" spans="1:7" ht="36" customHeight="1" x14ac:dyDescent="0.35">
      <c r="A29" s="13" t="s">
        <v>5336</v>
      </c>
      <c r="B29" s="5" t="s">
        <v>5337</v>
      </c>
      <c r="C29" s="6" t="s">
        <v>5338</v>
      </c>
      <c r="D29" s="13">
        <f>COUNTIF(TaskRegister[Flow ID],A29)</f>
        <v>4</v>
      </c>
      <c r="E29" s="5" t="s">
        <v>5612</v>
      </c>
      <c r="F29" s="5" t="s">
        <v>5613</v>
      </c>
      <c r="G29" s="5" t="s">
        <v>5614</v>
      </c>
    </row>
    <row r="30" spans="1:7" ht="36" customHeight="1" x14ac:dyDescent="0.35">
      <c r="A30" s="13" t="s">
        <v>5368</v>
      </c>
      <c r="B30" s="5" t="s">
        <v>5369</v>
      </c>
      <c r="C30" s="6" t="s">
        <v>5370</v>
      </c>
      <c r="D30" s="13">
        <f>COUNTIF(TaskRegister[Flow ID],A30)</f>
        <v>1</v>
      </c>
      <c r="E30" s="5" t="s">
        <v>5612</v>
      </c>
      <c r="F30" s="5" t="s">
        <v>5613</v>
      </c>
      <c r="G30" s="5" t="s">
        <v>5614</v>
      </c>
    </row>
  </sheetData>
  <autoFilter ref="A3:G30" xr:uid="{00000000-0009-0000-0000-000016000000}"/>
  <mergeCells count="1">
    <mergeCell ref="A2:F2"/>
  </mergeCell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H25"/>
  <sheetViews>
    <sheetView showGridLines="0" workbookViewId="0">
      <pane ySplit="3" topLeftCell="A4" activePane="bottomLeft" state="frozen"/>
      <selection pane="bottomLeft"/>
    </sheetView>
  </sheetViews>
  <sheetFormatPr defaultRowHeight="14.5" x14ac:dyDescent="0.35"/>
  <cols>
    <col min="1" max="2" width="36" customWidth="1"/>
    <col min="3" max="3" width="18" customWidth="1"/>
    <col min="4" max="4" width="20" hidden="1" customWidth="1"/>
    <col min="5" max="5" width="28" hidden="1" customWidth="1"/>
    <col min="6" max="6" width="42" customWidth="1"/>
    <col min="7" max="7" width="36" customWidth="1"/>
    <col min="8" max="8" width="40" customWidth="1"/>
  </cols>
  <sheetData>
    <row r="1" spans="1:8" ht="21" x14ac:dyDescent="0.5">
      <c r="A1" s="1" t="s">
        <v>5615</v>
      </c>
    </row>
    <row r="2" spans="1:8" ht="28" customHeight="1" x14ac:dyDescent="0.35">
      <c r="A2" s="31" t="s">
        <v>5616</v>
      </c>
      <c r="B2" s="27"/>
      <c r="C2" s="27"/>
      <c r="D2" s="27"/>
      <c r="E2" s="27"/>
      <c r="F2" s="27"/>
      <c r="G2" s="27"/>
    </row>
    <row r="3" spans="1:8" x14ac:dyDescent="0.35">
      <c r="A3" s="3" t="s">
        <v>5617</v>
      </c>
      <c r="B3" s="3" t="s">
        <v>5618</v>
      </c>
      <c r="C3" s="3" t="s">
        <v>5619</v>
      </c>
      <c r="D3" s="3" t="s">
        <v>5620</v>
      </c>
      <c r="E3" s="3" t="s">
        <v>5621</v>
      </c>
      <c r="F3" s="3" t="s">
        <v>5622</v>
      </c>
      <c r="G3" s="3" t="s">
        <v>5623</v>
      </c>
      <c r="H3" s="3" t="s">
        <v>5624</v>
      </c>
    </row>
    <row r="4" spans="1:8" ht="30" customHeight="1" x14ac:dyDescent="0.35">
      <c r="A4" s="5" t="s">
        <v>5625</v>
      </c>
      <c r="B4" s="5" t="s">
        <v>1322</v>
      </c>
      <c r="C4" s="13">
        <f>COUNTIF(TaskRegister[Persona / Scope],B4)</f>
        <v>18</v>
      </c>
      <c r="D4" s="13">
        <v>13</v>
      </c>
      <c r="E4" s="13" t="str">
        <f t="shared" ref="E4:E13" si="0">IF(C4=D4,"Matches","Does not match")</f>
        <v>Does not match</v>
      </c>
      <c r="F4" s="5" t="s">
        <v>5626</v>
      </c>
      <c r="G4" s="5" t="s">
        <v>5627</v>
      </c>
      <c r="H4" s="5" t="s">
        <v>5628</v>
      </c>
    </row>
    <row r="5" spans="1:8" ht="30" customHeight="1" x14ac:dyDescent="0.35">
      <c r="A5" s="5" t="s">
        <v>1064</v>
      </c>
      <c r="B5" s="5" t="s">
        <v>1064</v>
      </c>
      <c r="C5" s="13">
        <f>COUNTIF(TaskRegister[Persona / Scope],B5)</f>
        <v>20</v>
      </c>
      <c r="D5" s="13">
        <v>20</v>
      </c>
      <c r="E5" s="13" t="str">
        <f t="shared" si="0"/>
        <v>Matches</v>
      </c>
      <c r="F5" s="5" t="s">
        <v>5629</v>
      </c>
      <c r="G5" s="5" t="s">
        <v>5630</v>
      </c>
      <c r="H5" s="5" t="s">
        <v>5631</v>
      </c>
    </row>
    <row r="6" spans="1:8" ht="30" customHeight="1" x14ac:dyDescent="0.35">
      <c r="A6" s="5" t="s">
        <v>911</v>
      </c>
      <c r="B6" s="5" t="s">
        <v>911</v>
      </c>
      <c r="C6" s="13">
        <f>COUNTIF(TaskRegister[Persona / Scope],B6)</f>
        <v>17</v>
      </c>
      <c r="D6" s="13">
        <v>17</v>
      </c>
      <c r="E6" s="13" t="str">
        <f t="shared" si="0"/>
        <v>Matches</v>
      </c>
      <c r="F6" s="5" t="s">
        <v>5632</v>
      </c>
      <c r="G6" s="5" t="s">
        <v>5633</v>
      </c>
      <c r="H6" s="5" t="s">
        <v>5634</v>
      </c>
    </row>
    <row r="7" spans="1:8" ht="30" customHeight="1" x14ac:dyDescent="0.35">
      <c r="A7" s="5" t="s">
        <v>5635</v>
      </c>
      <c r="B7" s="5" t="s">
        <v>1181</v>
      </c>
      <c r="C7" s="13">
        <f>COUNTIF(TaskRegister[Persona / Scope],B7)</f>
        <v>14</v>
      </c>
      <c r="D7" s="13">
        <v>14</v>
      </c>
      <c r="E7" s="13" t="str">
        <f t="shared" si="0"/>
        <v>Matches</v>
      </c>
      <c r="F7" s="5" t="s">
        <v>5636</v>
      </c>
      <c r="G7" s="5" t="s">
        <v>5637</v>
      </c>
      <c r="H7" s="5" t="s">
        <v>5638</v>
      </c>
    </row>
    <row r="8" spans="1:8" ht="30" customHeight="1" x14ac:dyDescent="0.35">
      <c r="A8" s="5" t="s">
        <v>5061</v>
      </c>
      <c r="B8" s="5" t="s">
        <v>54</v>
      </c>
      <c r="C8" s="13">
        <f>COUNTIF(TaskRegister[Persona / Scope],B8)</f>
        <v>16</v>
      </c>
      <c r="D8" s="13">
        <v>16</v>
      </c>
      <c r="E8" s="13" t="str">
        <f t="shared" si="0"/>
        <v>Matches</v>
      </c>
      <c r="F8" s="5" t="s">
        <v>5639</v>
      </c>
      <c r="G8" s="5" t="s">
        <v>5640</v>
      </c>
      <c r="H8" s="5" t="s">
        <v>5641</v>
      </c>
    </row>
    <row r="9" spans="1:8" ht="30" customHeight="1" x14ac:dyDescent="0.35">
      <c r="A9" s="5" t="s">
        <v>1398</v>
      </c>
      <c r="B9" s="5" t="s">
        <v>1398</v>
      </c>
      <c r="C9" s="13">
        <f>COUNTIF(TaskRegister[Persona / Scope],B9)</f>
        <v>11</v>
      </c>
      <c r="D9" s="13">
        <v>11</v>
      </c>
      <c r="E9" s="13" t="str">
        <f t="shared" si="0"/>
        <v>Matches</v>
      </c>
      <c r="F9" s="5" t="s">
        <v>5642</v>
      </c>
      <c r="G9" s="5" t="s">
        <v>5643</v>
      </c>
      <c r="H9" s="5" t="s">
        <v>5644</v>
      </c>
    </row>
    <row r="10" spans="1:8" ht="30" customHeight="1" x14ac:dyDescent="0.35">
      <c r="A10" s="5" t="s">
        <v>1469</v>
      </c>
      <c r="B10" s="5" t="s">
        <v>1469</v>
      </c>
      <c r="C10" s="13">
        <f>COUNTIF(TaskRegister[Persona / Scope],B10)</f>
        <v>10</v>
      </c>
      <c r="D10" s="13">
        <v>10</v>
      </c>
      <c r="E10" s="13" t="str">
        <f t="shared" si="0"/>
        <v>Matches</v>
      </c>
      <c r="F10" s="5" t="s">
        <v>5645</v>
      </c>
      <c r="G10" s="5" t="s">
        <v>5646</v>
      </c>
      <c r="H10" s="5" t="s">
        <v>5647</v>
      </c>
    </row>
    <row r="11" spans="1:8" ht="30" customHeight="1" x14ac:dyDescent="0.35">
      <c r="A11" s="5" t="s">
        <v>1534</v>
      </c>
      <c r="B11" s="5" t="s">
        <v>1534</v>
      </c>
      <c r="C11" s="13">
        <f>COUNTIF(TaskRegister[Persona / Scope],B11)</f>
        <v>11</v>
      </c>
      <c r="D11" s="13">
        <v>11</v>
      </c>
      <c r="E11" s="13" t="str">
        <f t="shared" si="0"/>
        <v>Matches</v>
      </c>
      <c r="F11" s="5" t="s">
        <v>5648</v>
      </c>
      <c r="G11" s="5" t="s">
        <v>5649</v>
      </c>
      <c r="H11" s="5" t="s">
        <v>5650</v>
      </c>
    </row>
    <row r="12" spans="1:8" ht="30" customHeight="1" x14ac:dyDescent="0.35">
      <c r="A12" s="5" t="s">
        <v>5651</v>
      </c>
      <c r="B12" s="5" t="s">
        <v>1605</v>
      </c>
      <c r="C12" s="13">
        <f>COUNTIF(TaskRegister[Persona / Scope],B12)</f>
        <v>25</v>
      </c>
      <c r="D12" s="13">
        <v>16</v>
      </c>
      <c r="E12" s="13" t="str">
        <f t="shared" si="0"/>
        <v>Does not match</v>
      </c>
      <c r="F12" s="5" t="s">
        <v>5652</v>
      </c>
      <c r="G12" s="5" t="s">
        <v>5653</v>
      </c>
      <c r="H12" s="5" t="s">
        <v>5654</v>
      </c>
    </row>
    <row r="13" spans="1:8" ht="30" customHeight="1" x14ac:dyDescent="0.35">
      <c r="A13" s="5" t="s">
        <v>5655</v>
      </c>
      <c r="B13" s="5" t="s">
        <v>451</v>
      </c>
      <c r="C13" s="13">
        <f>COUNTIF(TaskRegister[Persona / Scope],B13)</f>
        <v>17</v>
      </c>
      <c r="D13" s="13">
        <v>10</v>
      </c>
      <c r="E13" s="13" t="str">
        <f t="shared" si="0"/>
        <v>Does not match</v>
      </c>
      <c r="F13" s="5" t="s">
        <v>5656</v>
      </c>
      <c r="G13" s="5" t="s">
        <v>5657</v>
      </c>
      <c r="H13" s="5" t="s">
        <v>5658</v>
      </c>
    </row>
    <row r="14" spans="1:8" ht="30" customHeight="1" x14ac:dyDescent="0.35">
      <c r="A14" s="5" t="s">
        <v>5177</v>
      </c>
      <c r="B14" s="5"/>
      <c r="C14" s="13"/>
      <c r="D14" s="13">
        <v>10</v>
      </c>
      <c r="E14" s="13" t="s">
        <v>5659</v>
      </c>
      <c r="F14" s="5" t="s">
        <v>5660</v>
      </c>
      <c r="G14" s="5" t="s">
        <v>5661</v>
      </c>
      <c r="H14" s="5" t="s">
        <v>5662</v>
      </c>
    </row>
    <row r="15" spans="1:8" ht="30" customHeight="1" x14ac:dyDescent="0.35">
      <c r="A15" s="5" t="s">
        <v>5663</v>
      </c>
      <c r="B15" s="5"/>
      <c r="C15" s="13"/>
      <c r="D15" s="13">
        <v>9</v>
      </c>
      <c r="E15" s="13" t="s">
        <v>5659</v>
      </c>
      <c r="F15" s="5" t="s">
        <v>5664</v>
      </c>
      <c r="G15" s="5" t="s">
        <v>5665</v>
      </c>
      <c r="H15" s="5" t="s">
        <v>5666</v>
      </c>
    </row>
    <row r="16" spans="1:8" ht="30" customHeight="1" x14ac:dyDescent="0.35">
      <c r="A16" s="5" t="s">
        <v>1344</v>
      </c>
      <c r="B16" s="5" t="s">
        <v>1344</v>
      </c>
      <c r="C16" s="13">
        <f>COUNTIF(TaskRegister[Persona / Scope],B16)</f>
        <v>10</v>
      </c>
      <c r="D16" s="13">
        <v>10</v>
      </c>
      <c r="E16" s="13" t="str">
        <f t="shared" ref="E16:E23" si="1">IF(C16=D16,"Matches","Does not match")</f>
        <v>Matches</v>
      </c>
      <c r="F16" s="5" t="s">
        <v>5667</v>
      </c>
      <c r="G16" s="5" t="s">
        <v>5668</v>
      </c>
      <c r="H16" s="5" t="s">
        <v>5669</v>
      </c>
    </row>
    <row r="17" spans="1:8" ht="30" customHeight="1" x14ac:dyDescent="0.35">
      <c r="A17" s="5" t="s">
        <v>5670</v>
      </c>
      <c r="B17" s="5" t="s">
        <v>1881</v>
      </c>
      <c r="C17" s="13">
        <f>COUNTIF(TaskRegister[Persona / Scope],B17)</f>
        <v>13</v>
      </c>
      <c r="D17" s="13">
        <v>13</v>
      </c>
      <c r="E17" s="13" t="str">
        <f t="shared" si="1"/>
        <v>Matches</v>
      </c>
      <c r="F17" s="5" t="s">
        <v>5671</v>
      </c>
      <c r="G17" s="5" t="s">
        <v>5672</v>
      </c>
      <c r="H17" s="5" t="s">
        <v>5673</v>
      </c>
    </row>
    <row r="18" spans="1:8" ht="30" customHeight="1" x14ac:dyDescent="0.35">
      <c r="A18" s="5" t="s">
        <v>5674</v>
      </c>
      <c r="B18" s="5" t="s">
        <v>3840</v>
      </c>
      <c r="C18" s="13">
        <f>COUNTIF(TaskRegister[Persona / Scope],B18)</f>
        <v>7</v>
      </c>
      <c r="D18" s="13">
        <v>7</v>
      </c>
      <c r="E18" s="13" t="str">
        <f t="shared" si="1"/>
        <v>Matches</v>
      </c>
      <c r="F18" s="5" t="s">
        <v>5675</v>
      </c>
      <c r="G18" s="5" t="s">
        <v>5676</v>
      </c>
      <c r="H18" s="5" t="s">
        <v>5677</v>
      </c>
    </row>
    <row r="19" spans="1:8" ht="30" customHeight="1" x14ac:dyDescent="0.35">
      <c r="A19" s="5" t="s">
        <v>3881</v>
      </c>
      <c r="B19" s="5" t="s">
        <v>3881</v>
      </c>
      <c r="C19" s="13">
        <f>COUNTIF(TaskRegister[Persona / Scope],B19)</f>
        <v>7</v>
      </c>
      <c r="D19" s="13">
        <v>7</v>
      </c>
      <c r="E19" s="13" t="str">
        <f t="shared" si="1"/>
        <v>Matches</v>
      </c>
      <c r="F19" s="5" t="s">
        <v>5678</v>
      </c>
      <c r="G19" s="5" t="s">
        <v>5679</v>
      </c>
      <c r="H19" s="5" t="s">
        <v>5680</v>
      </c>
    </row>
    <row r="20" spans="1:8" ht="30" customHeight="1" x14ac:dyDescent="0.35">
      <c r="A20" s="5" t="s">
        <v>3917</v>
      </c>
      <c r="B20" s="5" t="s">
        <v>3917</v>
      </c>
      <c r="C20" s="13">
        <f>COUNTIF(TaskRegister[Persona / Scope],B20)</f>
        <v>8</v>
      </c>
      <c r="D20" s="13">
        <v>4</v>
      </c>
      <c r="E20" s="13" t="str">
        <f t="shared" si="1"/>
        <v>Does not match</v>
      </c>
      <c r="F20" s="5" t="s">
        <v>5681</v>
      </c>
      <c r="G20" s="5" t="s">
        <v>5682</v>
      </c>
      <c r="H20" s="5" t="s">
        <v>5683</v>
      </c>
    </row>
    <row r="21" spans="1:8" ht="30" customHeight="1" x14ac:dyDescent="0.35">
      <c r="A21" s="5" t="s">
        <v>5684</v>
      </c>
      <c r="B21" s="5" t="s">
        <v>1017</v>
      </c>
      <c r="C21" s="13">
        <f>COUNTIF(TaskRegister[Persona / Scope],B21)</f>
        <v>8</v>
      </c>
      <c r="D21" s="13">
        <v>8</v>
      </c>
      <c r="E21" s="13" t="str">
        <f t="shared" si="1"/>
        <v>Matches</v>
      </c>
      <c r="F21" s="5" t="s">
        <v>5685</v>
      </c>
      <c r="G21" s="5" t="s">
        <v>5686</v>
      </c>
      <c r="H21" s="5" t="s">
        <v>5687</v>
      </c>
    </row>
    <row r="22" spans="1:8" ht="30" customHeight="1" x14ac:dyDescent="0.35">
      <c r="A22" s="5" t="s">
        <v>5688</v>
      </c>
      <c r="B22" s="5" t="s">
        <v>1101</v>
      </c>
      <c r="C22" s="13">
        <f>COUNTIF(TaskRegister[Persona / Scope],B22)</f>
        <v>6</v>
      </c>
      <c r="D22" s="13">
        <v>6</v>
      </c>
      <c r="E22" s="13" t="str">
        <f t="shared" si="1"/>
        <v>Matches</v>
      </c>
      <c r="F22" s="5" t="s">
        <v>5689</v>
      </c>
      <c r="G22" s="5" t="s">
        <v>5690</v>
      </c>
      <c r="H22" s="5" t="s">
        <v>5691</v>
      </c>
    </row>
    <row r="23" spans="1:8" ht="30" customHeight="1" x14ac:dyDescent="0.35">
      <c r="A23" s="5" t="s">
        <v>1596</v>
      </c>
      <c r="B23" s="5" t="s">
        <v>2038</v>
      </c>
      <c r="C23" s="13">
        <f>COUNTIF(TaskRegister[Persona / Scope],B23)</f>
        <v>13</v>
      </c>
      <c r="D23" s="13">
        <v>13</v>
      </c>
      <c r="E23" s="13" t="str">
        <f t="shared" si="1"/>
        <v>Matches</v>
      </c>
      <c r="F23" s="5" t="s">
        <v>5692</v>
      </c>
      <c r="G23" s="5" t="s">
        <v>5693</v>
      </c>
      <c r="H23" s="5" t="s">
        <v>5694</v>
      </c>
    </row>
    <row r="25" spans="1:8" ht="32" customHeight="1" x14ac:dyDescent="0.35">
      <c r="A25" s="28" t="s">
        <v>5695</v>
      </c>
      <c r="B25" s="27"/>
      <c r="C25" s="27"/>
      <c r="D25" s="27"/>
      <c r="E25" s="27"/>
      <c r="F25" s="27"/>
      <c r="G25" s="27"/>
      <c r="H25" s="27"/>
    </row>
  </sheetData>
  <autoFilter ref="A3:H23" xr:uid="{00000000-0009-0000-0000-000017000000}"/>
  <mergeCells count="2">
    <mergeCell ref="A25:H25"/>
    <mergeCell ref="A2:G2"/>
  </mergeCell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22"/>
  <sheetViews>
    <sheetView workbookViewId="0">
      <pane ySplit="3" topLeftCell="A4" activePane="bottomLeft" state="frozen"/>
      <selection pane="bottomLeft"/>
    </sheetView>
  </sheetViews>
  <sheetFormatPr defaultRowHeight="14.5" x14ac:dyDescent="0.35"/>
  <cols>
    <col min="1" max="1" width="38" customWidth="1"/>
    <col min="2" max="2" width="16" customWidth="1"/>
    <col min="3" max="3" width="10" customWidth="1"/>
    <col min="4" max="4" width="14" customWidth="1"/>
    <col min="5" max="5" width="12" customWidth="1"/>
    <col min="6" max="6" width="16" customWidth="1"/>
  </cols>
  <sheetData>
    <row r="1" spans="1:6" ht="21" x14ac:dyDescent="0.5">
      <c r="A1" s="1" t="s">
        <v>5696</v>
      </c>
    </row>
    <row r="2" spans="1:6" ht="65" x14ac:dyDescent="0.35">
      <c r="A2" s="2" t="s">
        <v>5697</v>
      </c>
    </row>
    <row r="3" spans="1:6" ht="29" x14ac:dyDescent="0.35">
      <c r="A3" s="3" t="s">
        <v>293</v>
      </c>
      <c r="B3" s="3" t="s">
        <v>5698</v>
      </c>
      <c r="C3" s="3" t="s">
        <v>73</v>
      </c>
      <c r="D3" s="3" t="s">
        <v>5699</v>
      </c>
      <c r="E3" s="3" t="s">
        <v>5700</v>
      </c>
      <c r="F3" s="3" t="s">
        <v>5701</v>
      </c>
    </row>
    <row r="4" spans="1:6" x14ac:dyDescent="0.35">
      <c r="A4" s="23" t="s">
        <v>1322</v>
      </c>
      <c r="B4" s="23">
        <f>COUNTIF(TaskRegister[Persona canonical],A4)</f>
        <v>52</v>
      </c>
      <c r="C4" s="23">
        <f>COUNTIFS(TaskRegister[Persona canonical],A4,TaskRegister[Priority],"P0")</f>
        <v>6</v>
      </c>
      <c r="D4" s="23">
        <f>COUNTIFS(TaskRegister[Persona canonical],A4,TaskRegister[Proposed priority],"P1")</f>
        <v>29</v>
      </c>
      <c r="E4" s="23">
        <f>COUNTIFS(TaskRegister[Persona canonical],A4,TaskRegister[Work status],"Gap")+COUNTIFS(TaskRegister[Persona canonical],A4,TaskRegister[Work status],"Built - partial")</f>
        <v>3</v>
      </c>
      <c r="F4" s="23">
        <f>COUNTIF(TaskRegister[Primary actor canonical],A4)</f>
        <v>65</v>
      </c>
    </row>
    <row r="5" spans="1:6" x14ac:dyDescent="0.35">
      <c r="A5" s="23" t="s">
        <v>53</v>
      </c>
      <c r="B5" s="23">
        <f>COUNTIF(TaskRegister[Persona canonical],A5)</f>
        <v>39</v>
      </c>
      <c r="C5" s="23">
        <f>COUNTIFS(TaskRegister[Persona canonical],A5,TaskRegister[Priority],"P0")</f>
        <v>6</v>
      </c>
      <c r="D5" s="23">
        <f>COUNTIFS(TaskRegister[Persona canonical],A5,TaskRegister[Proposed priority],"P1")</f>
        <v>23</v>
      </c>
      <c r="E5" s="23">
        <f>COUNTIFS(TaskRegister[Persona canonical],A5,TaskRegister[Work status],"Gap")+COUNTIFS(TaskRegister[Persona canonical],A5,TaskRegister[Work status],"Built - partial")</f>
        <v>0</v>
      </c>
      <c r="F5" s="23">
        <f>COUNTIF(TaskRegister[Primary actor canonical],A5)</f>
        <v>32</v>
      </c>
    </row>
    <row r="6" spans="1:6" x14ac:dyDescent="0.35">
      <c r="A6" s="23" t="s">
        <v>1188</v>
      </c>
      <c r="B6" s="23">
        <f>COUNTIF(TaskRegister[Persona canonical],A6)</f>
        <v>15</v>
      </c>
      <c r="C6" s="23">
        <f>COUNTIFS(TaskRegister[Persona canonical],A6,TaskRegister[Priority],"P0")</f>
        <v>8</v>
      </c>
      <c r="D6" s="23">
        <f>COUNTIFS(TaskRegister[Persona canonical],A6,TaskRegister[Proposed priority],"P1")</f>
        <v>5</v>
      </c>
      <c r="E6" s="23">
        <f>COUNTIFS(TaskRegister[Persona canonical],A6,TaskRegister[Work status],"Gap")+COUNTIFS(TaskRegister[Persona canonical],A6,TaskRegister[Work status],"Built - partial")</f>
        <v>0</v>
      </c>
      <c r="F6" s="23">
        <f>COUNTIF(TaskRegister[Primary actor canonical],A6)</f>
        <v>15</v>
      </c>
    </row>
    <row r="7" spans="1:6" x14ac:dyDescent="0.35">
      <c r="A7" s="23" t="s">
        <v>54</v>
      </c>
      <c r="B7" s="23">
        <f>COUNTIF(TaskRegister[Persona canonical],A7)</f>
        <v>37</v>
      </c>
      <c r="C7" s="23">
        <f>COUNTIFS(TaskRegister[Persona canonical],A7,TaskRegister[Priority],"P0")</f>
        <v>5</v>
      </c>
      <c r="D7" s="23">
        <f>COUNTIFS(TaskRegister[Persona canonical],A7,TaskRegister[Proposed priority],"P1")</f>
        <v>25</v>
      </c>
      <c r="E7" s="23">
        <f>COUNTIFS(TaskRegister[Persona canonical],A7,TaskRegister[Work status],"Gap")+COUNTIFS(TaskRegister[Persona canonical],A7,TaskRegister[Work status],"Built - partial")</f>
        <v>0</v>
      </c>
      <c r="F7" s="23">
        <f>COUNTIF(TaskRegister[Primary actor canonical],A7)</f>
        <v>2</v>
      </c>
    </row>
    <row r="8" spans="1:6" x14ac:dyDescent="0.35">
      <c r="A8" s="23" t="s">
        <v>1534</v>
      </c>
      <c r="B8" s="23">
        <f>COUNTIF(TaskRegister[Persona canonical],A8)</f>
        <v>12</v>
      </c>
      <c r="C8" s="23">
        <f>COUNTIFS(TaskRegister[Persona canonical],A8,TaskRegister[Priority],"P0")</f>
        <v>2</v>
      </c>
      <c r="D8" s="23">
        <f>COUNTIFS(TaskRegister[Persona canonical],A8,TaskRegister[Proposed priority],"P1")</f>
        <v>7</v>
      </c>
      <c r="E8" s="23">
        <f>COUNTIFS(TaskRegister[Persona canonical],A8,TaskRegister[Work status],"Gap")+COUNTIFS(TaskRegister[Persona canonical],A8,TaskRegister[Work status],"Built - partial")</f>
        <v>0</v>
      </c>
      <c r="F8" s="23">
        <f>COUNTIF(TaskRegister[Primary actor canonical],A8)</f>
        <v>2</v>
      </c>
    </row>
    <row r="9" spans="1:6" x14ac:dyDescent="0.35">
      <c r="A9" s="23" t="s">
        <v>55</v>
      </c>
      <c r="B9" s="23">
        <f>COUNTIF(TaskRegister[Persona canonical],A9)</f>
        <v>146</v>
      </c>
      <c r="C9" s="23">
        <f>COUNTIFS(TaskRegister[Persona canonical],A9,TaskRegister[Priority],"P0")</f>
        <v>17</v>
      </c>
      <c r="D9" s="23">
        <f>COUNTIFS(TaskRegister[Persona canonical],A9,TaskRegister[Proposed priority],"P1")</f>
        <v>107</v>
      </c>
      <c r="E9" s="23">
        <f>COUNTIFS(TaskRegister[Persona canonical],A9,TaskRegister[Work status],"Gap")+COUNTIFS(TaskRegister[Persona canonical],A9,TaskRegister[Work status],"Built - partial")</f>
        <v>2</v>
      </c>
      <c r="F9" s="23">
        <f>COUNTIF(TaskRegister[Primary actor canonical],A9)</f>
        <v>157</v>
      </c>
    </row>
    <row r="10" spans="1:6" x14ac:dyDescent="0.35">
      <c r="A10" s="23" t="s">
        <v>928</v>
      </c>
      <c r="B10" s="23">
        <f>COUNTIF(TaskRegister[Persona canonical],A10)</f>
        <v>29</v>
      </c>
      <c r="C10" s="23">
        <f>COUNTIFS(TaskRegister[Persona canonical],A10,TaskRegister[Priority],"P0")</f>
        <v>4</v>
      </c>
      <c r="D10" s="23">
        <f>COUNTIFS(TaskRegister[Persona canonical],A10,TaskRegister[Proposed priority],"P1")</f>
        <v>11</v>
      </c>
      <c r="E10" s="23">
        <f>COUNTIFS(TaskRegister[Persona canonical],A10,TaskRegister[Work status],"Gap")+COUNTIFS(TaskRegister[Persona canonical],A10,TaskRegister[Work status],"Built - partial")</f>
        <v>2</v>
      </c>
      <c r="F10" s="23">
        <f>COUNTIF(TaskRegister[Primary actor canonical],A10)</f>
        <v>42</v>
      </c>
    </row>
    <row r="11" spans="1:6" x14ac:dyDescent="0.35">
      <c r="A11" s="23" t="s">
        <v>1315</v>
      </c>
      <c r="B11" s="23">
        <f>COUNTIF(TaskRegister[Persona canonical],A11)</f>
        <v>56</v>
      </c>
      <c r="C11" s="23">
        <f>COUNTIFS(TaskRegister[Persona canonical],A11,TaskRegister[Priority],"P0")</f>
        <v>2</v>
      </c>
      <c r="D11" s="23">
        <f>COUNTIFS(TaskRegister[Persona canonical],A11,TaskRegister[Proposed priority],"P1")</f>
        <v>14</v>
      </c>
      <c r="E11" s="23">
        <f>COUNTIFS(TaskRegister[Persona canonical],A11,TaskRegister[Work status],"Gap")+COUNTIFS(TaskRegister[Persona canonical],A11,TaskRegister[Work status],"Built - partial")</f>
        <v>0</v>
      </c>
      <c r="F11" s="23">
        <f>COUNTIF(TaskRegister[Primary actor canonical],A11)</f>
        <v>59</v>
      </c>
    </row>
    <row r="12" spans="1:6" x14ac:dyDescent="0.35">
      <c r="A12" s="23" t="s">
        <v>1344</v>
      </c>
      <c r="B12" s="23">
        <f>COUNTIF(TaskRegister[Persona canonical],A12)</f>
        <v>13</v>
      </c>
      <c r="C12" s="23">
        <f>COUNTIFS(TaskRegister[Persona canonical],A12,TaskRegister[Priority],"P0")</f>
        <v>0</v>
      </c>
      <c r="D12" s="23">
        <f>COUNTIFS(TaskRegister[Persona canonical],A12,TaskRegister[Proposed priority],"P1")</f>
        <v>11</v>
      </c>
      <c r="E12" s="23">
        <f>COUNTIFS(TaskRegister[Persona canonical],A12,TaskRegister[Work status],"Gap")+COUNTIFS(TaskRegister[Persona canonical],A12,TaskRegister[Work status],"Built - partial")</f>
        <v>0</v>
      </c>
      <c r="F12" s="23">
        <f>COUNTIF(TaskRegister[Primary actor canonical],A12)</f>
        <v>13</v>
      </c>
    </row>
    <row r="13" spans="1:6" x14ac:dyDescent="0.35">
      <c r="A13" s="23" t="s">
        <v>1296</v>
      </c>
      <c r="B13" s="23">
        <f>COUNTIF(TaskRegister[Persona canonical],A13)</f>
        <v>43</v>
      </c>
      <c r="C13" s="23">
        <f>COUNTIFS(TaskRegister[Persona canonical],A13,TaskRegister[Priority],"P0")</f>
        <v>3</v>
      </c>
      <c r="D13" s="23">
        <f>COUNTIFS(TaskRegister[Persona canonical],A13,TaskRegister[Proposed priority],"P1")</f>
        <v>38</v>
      </c>
      <c r="E13" s="23">
        <f>COUNTIFS(TaskRegister[Persona canonical],A13,TaskRegister[Work status],"Gap")+COUNTIFS(TaskRegister[Persona canonical],A13,TaskRegister[Work status],"Built - partial")</f>
        <v>1</v>
      </c>
      <c r="F13" s="23">
        <f>COUNTIF(TaskRegister[Primary actor canonical],A13)</f>
        <v>59</v>
      </c>
    </row>
    <row r="14" spans="1:6" x14ac:dyDescent="0.35">
      <c r="A14" s="23" t="s">
        <v>1306</v>
      </c>
      <c r="B14" s="23">
        <f>COUNTIF(TaskRegister[Persona canonical],A14)</f>
        <v>22</v>
      </c>
      <c r="C14" s="23">
        <f>COUNTIFS(TaskRegister[Persona canonical],A14,TaskRegister[Priority],"P0")</f>
        <v>4</v>
      </c>
      <c r="D14" s="23">
        <f>COUNTIFS(TaskRegister[Persona canonical],A14,TaskRegister[Proposed priority],"P1")</f>
        <v>16</v>
      </c>
      <c r="E14" s="23">
        <f>COUNTIFS(TaskRegister[Persona canonical],A14,TaskRegister[Work status],"Gap")+COUNTIFS(TaskRegister[Persona canonical],A14,TaskRegister[Work status],"Built - partial")</f>
        <v>0</v>
      </c>
      <c r="F14" s="23">
        <f>COUNTIF(TaskRegister[Primary actor canonical],A14)</f>
        <v>29</v>
      </c>
    </row>
    <row r="15" spans="1:6" x14ac:dyDescent="0.35">
      <c r="A15" s="23" t="s">
        <v>3133</v>
      </c>
      <c r="B15" s="23">
        <f>COUNTIF(TaskRegister[Persona canonical],A15)</f>
        <v>17</v>
      </c>
      <c r="C15" s="23">
        <f>COUNTIFS(TaskRegister[Persona canonical],A15,TaskRegister[Priority],"P0")</f>
        <v>0</v>
      </c>
      <c r="D15" s="23">
        <f>COUNTIFS(TaskRegister[Persona canonical],A15,TaskRegister[Proposed priority],"P1")</f>
        <v>6</v>
      </c>
      <c r="E15" s="23">
        <f>COUNTIFS(TaskRegister[Persona canonical],A15,TaskRegister[Work status],"Gap")+COUNTIFS(TaskRegister[Persona canonical],A15,TaskRegister[Work status],"Built - partial")</f>
        <v>0</v>
      </c>
      <c r="F15" s="23">
        <f>COUNTIF(TaskRegister[Primary actor canonical],A15)</f>
        <v>16</v>
      </c>
    </row>
    <row r="16" spans="1:6" x14ac:dyDescent="0.35">
      <c r="A16" s="23" t="s">
        <v>3101</v>
      </c>
      <c r="B16" s="23">
        <f>COUNTIF(TaskRegister[Persona canonical],A16)</f>
        <v>7</v>
      </c>
      <c r="C16" s="23">
        <f>COUNTIFS(TaskRegister[Persona canonical],A16,TaskRegister[Priority],"P0")</f>
        <v>0</v>
      </c>
      <c r="D16" s="23">
        <f>COUNTIFS(TaskRegister[Persona canonical],A16,TaskRegister[Proposed priority],"P1")</f>
        <v>3</v>
      </c>
      <c r="E16" s="23">
        <f>COUNTIFS(TaskRegister[Persona canonical],A16,TaskRegister[Work status],"Gap")+COUNTIFS(TaskRegister[Persona canonical],A16,TaskRegister[Work status],"Built - partial")</f>
        <v>0</v>
      </c>
      <c r="F16" s="23">
        <f>COUNTIF(TaskRegister[Primary actor canonical],A16)</f>
        <v>7</v>
      </c>
    </row>
    <row r="17" spans="1:6" x14ac:dyDescent="0.35">
      <c r="A17" s="23" t="s">
        <v>1527</v>
      </c>
      <c r="B17" s="23">
        <f>COUNTIF(TaskRegister[Persona canonical],A17)</f>
        <v>9</v>
      </c>
      <c r="C17" s="23">
        <f>COUNTIFS(TaskRegister[Persona canonical],A17,TaskRegister[Priority],"P0")</f>
        <v>4</v>
      </c>
      <c r="D17" s="23">
        <f>COUNTIFS(TaskRegister[Persona canonical],A17,TaskRegister[Proposed priority],"P1")</f>
        <v>5</v>
      </c>
      <c r="E17" s="23">
        <f>COUNTIFS(TaskRegister[Persona canonical],A17,TaskRegister[Work status],"Gap")+COUNTIFS(TaskRegister[Persona canonical],A17,TaskRegister[Work status],"Built - partial")</f>
        <v>1</v>
      </c>
      <c r="F17" s="23">
        <f>COUNTIF(TaskRegister[Primary actor canonical],A17)</f>
        <v>11</v>
      </c>
    </row>
    <row r="18" spans="1:6" x14ac:dyDescent="0.35">
      <c r="A18" s="23" t="s">
        <v>1962</v>
      </c>
      <c r="B18" s="23">
        <f>COUNTIF(TaskRegister[Persona canonical],A18)</f>
        <v>15</v>
      </c>
      <c r="C18" s="23">
        <f>COUNTIFS(TaskRegister[Persona canonical],A18,TaskRegister[Priority],"P0")</f>
        <v>0</v>
      </c>
      <c r="D18" s="23">
        <f>COUNTIFS(TaskRegister[Persona canonical],A18,TaskRegister[Proposed priority],"P1")</f>
        <v>8</v>
      </c>
      <c r="E18" s="23">
        <f>COUNTIFS(TaskRegister[Persona canonical],A18,TaskRegister[Work status],"Gap")+COUNTIFS(TaskRegister[Persona canonical],A18,TaskRegister[Work status],"Built - partial")</f>
        <v>0</v>
      </c>
      <c r="F18" s="23">
        <f>COUNTIF(TaskRegister[Primary actor canonical],A18)</f>
        <v>16</v>
      </c>
    </row>
    <row r="19" spans="1:6" x14ac:dyDescent="0.35">
      <c r="A19" s="23" t="s">
        <v>1390</v>
      </c>
      <c r="B19" s="23">
        <f>COUNTIF(TaskRegister[Persona canonical],A19)</f>
        <v>78</v>
      </c>
      <c r="C19" s="23">
        <f>COUNTIFS(TaskRegister[Persona canonical],A19,TaskRegister[Priority],"P0")</f>
        <v>23</v>
      </c>
      <c r="D19" s="23">
        <f>COUNTIFS(TaskRegister[Persona canonical],A19,TaskRegister[Proposed priority],"P1")</f>
        <v>33</v>
      </c>
      <c r="E19" s="23">
        <f>COUNTIFS(TaskRegister[Persona canonical],A19,TaskRegister[Work status],"Gap")+COUNTIFS(TaskRegister[Persona canonical],A19,TaskRegister[Work status],"Built - partial")</f>
        <v>2</v>
      </c>
      <c r="F19" s="23">
        <f>COUNTIF(TaskRegister[Primary actor canonical],A19)</f>
        <v>56</v>
      </c>
    </row>
    <row r="20" spans="1:6" x14ac:dyDescent="0.35">
      <c r="A20" s="23" t="s">
        <v>2161</v>
      </c>
      <c r="B20" s="23">
        <f>COUNTIF(TaskRegister[Persona canonical],A20)</f>
        <v>180</v>
      </c>
      <c r="C20" s="23">
        <f>COUNTIFS(TaskRegister[Persona canonical],A20,TaskRegister[Priority],"P0")</f>
        <v>32</v>
      </c>
      <c r="D20" s="23">
        <f>COUNTIFS(TaskRegister[Persona canonical],A20,TaskRegister[Proposed priority],"P1")</f>
        <v>96</v>
      </c>
      <c r="E20" s="23">
        <f>COUNTIFS(TaskRegister[Persona canonical],A20,TaskRegister[Work status],"Gap")+COUNTIFS(TaskRegister[Persona canonical],A20,TaskRegister[Work status],"Built - partial")</f>
        <v>5</v>
      </c>
      <c r="F20" s="23">
        <f>COUNTIF(TaskRegister[Primary actor canonical],A20)</f>
        <v>185</v>
      </c>
    </row>
    <row r="21" spans="1:6" x14ac:dyDescent="0.35">
      <c r="A21" s="23" t="s">
        <v>1285</v>
      </c>
      <c r="B21" s="23">
        <f>COUNTIF(TaskRegister[Persona canonical],A21)</f>
        <v>0</v>
      </c>
      <c r="C21" s="23">
        <f>COUNTIFS(TaskRegister[Persona canonical],A21,TaskRegister[Priority],"P0")</f>
        <v>0</v>
      </c>
      <c r="D21" s="23">
        <f>COUNTIFS(TaskRegister[Persona canonical],A21,TaskRegister[Proposed priority],"P1")</f>
        <v>0</v>
      </c>
      <c r="E21" s="23">
        <f>COUNTIFS(TaskRegister[Persona canonical],A21,TaskRegister[Work status],"Gap")+COUNTIFS(TaskRegister[Persona canonical],A21,TaskRegister[Work status],"Built - partial")</f>
        <v>0</v>
      </c>
      <c r="F21" s="23">
        <f>COUNTIF(TaskRegister[Primary actor canonical],A21)</f>
        <v>4</v>
      </c>
    </row>
    <row r="22" spans="1:6" x14ac:dyDescent="0.35">
      <c r="A22" s="23" t="s">
        <v>862</v>
      </c>
      <c r="B22" s="23">
        <f>SUM(B4:B21)</f>
        <v>770</v>
      </c>
      <c r="C22" s="23">
        <f>SUM(C4:C21)</f>
        <v>116</v>
      </c>
      <c r="D22" s="23">
        <f>SUM(D4:D21)</f>
        <v>437</v>
      </c>
      <c r="E22" s="23">
        <f>SUM(E4:E21)</f>
        <v>16</v>
      </c>
      <c r="F22" s="23">
        <f>SUM(F4:F21)</f>
        <v>770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C77"/>
  <sheetViews>
    <sheetView showGridLines="0" workbookViewId="0">
      <pane ySplit="3" topLeftCell="A4" activePane="bottomLeft" state="frozen"/>
      <selection pane="bottomLeft"/>
    </sheetView>
  </sheetViews>
  <sheetFormatPr defaultRowHeight="14.5" x14ac:dyDescent="0.35"/>
  <cols>
    <col min="1" max="1" width="42" customWidth="1"/>
    <col min="2" max="2" width="28" customWidth="1"/>
    <col min="3" max="3" width="12" customWidth="1"/>
  </cols>
  <sheetData>
    <row r="1" spans="1:3" ht="21" x14ac:dyDescent="0.5">
      <c r="A1" s="1" t="s">
        <v>5702</v>
      </c>
    </row>
    <row r="2" spans="1:3" x14ac:dyDescent="0.35">
      <c r="A2" s="10" t="s">
        <v>5703</v>
      </c>
    </row>
    <row r="3" spans="1:3" x14ac:dyDescent="0.35">
      <c r="A3" s="3" t="s">
        <v>866</v>
      </c>
      <c r="B3" s="3" t="s">
        <v>808</v>
      </c>
      <c r="C3" s="3" t="s">
        <v>5</v>
      </c>
    </row>
    <row r="4" spans="1:3" ht="20" customHeight="1" x14ac:dyDescent="0.35">
      <c r="A4" s="5" t="s">
        <v>2115</v>
      </c>
      <c r="B4" s="5" t="s">
        <v>812</v>
      </c>
      <c r="C4" s="13">
        <f>COUNTIF(TaskRegister[Persona / Scope],A4)</f>
        <v>369</v>
      </c>
    </row>
    <row r="5" spans="1:3" ht="20" customHeight="1" x14ac:dyDescent="0.35">
      <c r="A5" s="5" t="s">
        <v>1605</v>
      </c>
      <c r="B5" s="5" t="s">
        <v>809</v>
      </c>
      <c r="C5" s="13">
        <f>COUNTIF(TaskRegister[Persona / Scope],A5)</f>
        <v>25</v>
      </c>
    </row>
    <row r="6" spans="1:3" ht="20" customHeight="1" x14ac:dyDescent="0.35">
      <c r="A6" s="5" t="s">
        <v>1064</v>
      </c>
      <c r="B6" s="5" t="s">
        <v>809</v>
      </c>
      <c r="C6" s="13">
        <f>COUNTIF(TaskRegister[Persona / Scope],A6)</f>
        <v>20</v>
      </c>
    </row>
    <row r="7" spans="1:3" ht="20" customHeight="1" x14ac:dyDescent="0.35">
      <c r="A7" s="5" t="s">
        <v>4479</v>
      </c>
      <c r="B7" s="5" t="s">
        <v>813</v>
      </c>
      <c r="C7" s="13">
        <f>COUNTIF(TaskRegister[Persona / Scope],A7)</f>
        <v>20</v>
      </c>
    </row>
    <row r="8" spans="1:3" ht="20" customHeight="1" x14ac:dyDescent="0.35">
      <c r="A8" s="5" t="s">
        <v>4962</v>
      </c>
      <c r="B8" s="5" t="s">
        <v>813</v>
      </c>
      <c r="C8" s="13">
        <f>COUNTIF(TaskRegister[Persona / Scope],A8)</f>
        <v>20</v>
      </c>
    </row>
    <row r="9" spans="1:3" ht="20" customHeight="1" x14ac:dyDescent="0.35">
      <c r="A9" s="5" t="s">
        <v>1322</v>
      </c>
      <c r="B9" s="5" t="s">
        <v>809</v>
      </c>
      <c r="C9" s="13">
        <f>COUNTIF(TaskRegister[Persona / Scope],A9)</f>
        <v>18</v>
      </c>
    </row>
    <row r="10" spans="1:3" ht="20" customHeight="1" x14ac:dyDescent="0.35">
      <c r="A10" s="5" t="s">
        <v>911</v>
      </c>
      <c r="B10" s="5" t="s">
        <v>809</v>
      </c>
      <c r="C10" s="13">
        <f>COUNTIF(TaskRegister[Persona / Scope],A10)</f>
        <v>17</v>
      </c>
    </row>
    <row r="11" spans="1:3" ht="20" customHeight="1" x14ac:dyDescent="0.35">
      <c r="A11" s="5" t="s">
        <v>451</v>
      </c>
      <c r="B11" s="5" t="s">
        <v>809</v>
      </c>
      <c r="C11" s="13">
        <f>COUNTIF(TaskRegister[Persona / Scope],A11)</f>
        <v>17</v>
      </c>
    </row>
    <row r="12" spans="1:3" ht="20" customHeight="1" x14ac:dyDescent="0.35">
      <c r="A12" s="5" t="s">
        <v>54</v>
      </c>
      <c r="B12" s="5" t="s">
        <v>809</v>
      </c>
      <c r="C12" s="13">
        <f>COUNTIF(TaskRegister[Persona / Scope],A12)</f>
        <v>16</v>
      </c>
    </row>
    <row r="13" spans="1:3" ht="20" customHeight="1" x14ac:dyDescent="0.35">
      <c r="A13" s="5" t="s">
        <v>1596</v>
      </c>
      <c r="B13" s="5" t="s">
        <v>813</v>
      </c>
      <c r="C13" s="13">
        <f>COUNTIF(TaskRegister[Persona / Scope],A13)</f>
        <v>15</v>
      </c>
    </row>
    <row r="14" spans="1:3" ht="20" customHeight="1" x14ac:dyDescent="0.35">
      <c r="A14" s="5" t="s">
        <v>4697</v>
      </c>
      <c r="B14" s="5" t="s">
        <v>813</v>
      </c>
      <c r="C14" s="13">
        <f>COUNTIF(TaskRegister[Persona / Scope],A14)</f>
        <v>15</v>
      </c>
    </row>
    <row r="15" spans="1:3" ht="20" customHeight="1" x14ac:dyDescent="0.35">
      <c r="A15" s="5" t="s">
        <v>4872</v>
      </c>
      <c r="B15" s="5" t="s">
        <v>813</v>
      </c>
      <c r="C15" s="13">
        <f>COUNTIF(TaskRegister[Persona / Scope],A15)</f>
        <v>15</v>
      </c>
    </row>
    <row r="16" spans="1:3" ht="20" customHeight="1" x14ac:dyDescent="0.35">
      <c r="A16" s="5" t="s">
        <v>1181</v>
      </c>
      <c r="B16" s="5" t="s">
        <v>809</v>
      </c>
      <c r="C16" s="13">
        <f>COUNTIF(TaskRegister[Persona / Scope],A16)</f>
        <v>14</v>
      </c>
    </row>
    <row r="17" spans="1:3" ht="20" customHeight="1" x14ac:dyDescent="0.35">
      <c r="A17" s="5" t="s">
        <v>1881</v>
      </c>
      <c r="B17" s="5" t="s">
        <v>809</v>
      </c>
      <c r="C17" s="13">
        <f>COUNTIF(TaskRegister[Persona / Scope],A17)</f>
        <v>13</v>
      </c>
    </row>
    <row r="18" spans="1:3" ht="20" customHeight="1" x14ac:dyDescent="0.35">
      <c r="A18" s="5" t="s">
        <v>2038</v>
      </c>
      <c r="B18" s="5" t="s">
        <v>809</v>
      </c>
      <c r="C18" s="13">
        <f>COUNTIF(TaskRegister[Persona / Scope],A18)</f>
        <v>13</v>
      </c>
    </row>
    <row r="19" spans="1:3" ht="20" customHeight="1" x14ac:dyDescent="0.35">
      <c r="A19" s="5" t="s">
        <v>1398</v>
      </c>
      <c r="B19" s="5" t="s">
        <v>809</v>
      </c>
      <c r="C19" s="13">
        <f>COUNTIF(TaskRegister[Persona / Scope],A19)</f>
        <v>11</v>
      </c>
    </row>
    <row r="20" spans="1:3" ht="20" customHeight="1" x14ac:dyDescent="0.35">
      <c r="A20" s="5" t="s">
        <v>1534</v>
      </c>
      <c r="B20" s="5" t="s">
        <v>809</v>
      </c>
      <c r="C20" s="13">
        <f>COUNTIF(TaskRegister[Persona / Scope],A20)</f>
        <v>11</v>
      </c>
    </row>
    <row r="21" spans="1:3" ht="20" customHeight="1" x14ac:dyDescent="0.35">
      <c r="A21" s="5" t="s">
        <v>1469</v>
      </c>
      <c r="B21" s="5" t="s">
        <v>809</v>
      </c>
      <c r="C21" s="13">
        <f>COUNTIF(TaskRegister[Persona / Scope],A21)</f>
        <v>10</v>
      </c>
    </row>
    <row r="22" spans="1:3" ht="20" customHeight="1" x14ac:dyDescent="0.35">
      <c r="A22" s="5" t="s">
        <v>1344</v>
      </c>
      <c r="B22" s="5" t="s">
        <v>809</v>
      </c>
      <c r="C22" s="13">
        <f>COUNTIF(TaskRegister[Persona / Scope],A22)</f>
        <v>10</v>
      </c>
    </row>
    <row r="23" spans="1:3" ht="20" customHeight="1" x14ac:dyDescent="0.35">
      <c r="A23" s="5" t="s">
        <v>4821</v>
      </c>
      <c r="B23" s="5" t="s">
        <v>813</v>
      </c>
      <c r="C23" s="13">
        <f>COUNTIF(TaskRegister[Persona / Scope],A23)</f>
        <v>9</v>
      </c>
    </row>
    <row r="24" spans="1:3" ht="20" customHeight="1" x14ac:dyDescent="0.35">
      <c r="A24" s="5" t="s">
        <v>1017</v>
      </c>
      <c r="B24" s="5" t="s">
        <v>809</v>
      </c>
      <c r="C24" s="13">
        <f>COUNTIF(TaskRegister[Persona / Scope],A24)</f>
        <v>8</v>
      </c>
    </row>
    <row r="25" spans="1:3" ht="20" customHeight="1" x14ac:dyDescent="0.35">
      <c r="A25" s="5" t="s">
        <v>3917</v>
      </c>
      <c r="B25" s="5" t="s">
        <v>809</v>
      </c>
      <c r="C25" s="13">
        <f>COUNTIF(TaskRegister[Persona / Scope],A25)</f>
        <v>8</v>
      </c>
    </row>
    <row r="26" spans="1:3" ht="20" customHeight="1" x14ac:dyDescent="0.35">
      <c r="A26" s="5" t="s">
        <v>4379</v>
      </c>
      <c r="B26" s="5" t="s">
        <v>813</v>
      </c>
      <c r="C26" s="13">
        <f>COUNTIF(TaskRegister[Persona / Scope],A26)</f>
        <v>8</v>
      </c>
    </row>
    <row r="27" spans="1:3" ht="20" customHeight="1" x14ac:dyDescent="0.35">
      <c r="A27" s="5" t="s">
        <v>3840</v>
      </c>
      <c r="B27" s="5" t="s">
        <v>809</v>
      </c>
      <c r="C27" s="13">
        <f>COUNTIF(TaskRegister[Persona / Scope],A27)</f>
        <v>7</v>
      </c>
    </row>
    <row r="28" spans="1:3" ht="20" customHeight="1" x14ac:dyDescent="0.35">
      <c r="A28" s="5" t="s">
        <v>3881</v>
      </c>
      <c r="B28" s="5" t="s">
        <v>809</v>
      </c>
      <c r="C28" s="13">
        <f>COUNTIF(TaskRegister[Persona / Scope],A28)</f>
        <v>7</v>
      </c>
    </row>
    <row r="29" spans="1:3" ht="20" customHeight="1" x14ac:dyDescent="0.35">
      <c r="A29" s="5" t="s">
        <v>1101</v>
      </c>
      <c r="B29" s="5" t="s">
        <v>809</v>
      </c>
      <c r="C29" s="13">
        <f>COUNTIF(TaskRegister[Persona / Scope],A29)</f>
        <v>6</v>
      </c>
    </row>
    <row r="30" spans="1:3" ht="20" customHeight="1" x14ac:dyDescent="0.35">
      <c r="A30" s="5" t="s">
        <v>4788</v>
      </c>
      <c r="B30" s="5" t="s">
        <v>813</v>
      </c>
      <c r="C30" s="13">
        <f>COUNTIF(TaskRegister[Persona / Scope],A30)</f>
        <v>6</v>
      </c>
    </row>
    <row r="31" spans="1:3" ht="20" customHeight="1" x14ac:dyDescent="0.35">
      <c r="A31" s="5" t="s">
        <v>5427</v>
      </c>
      <c r="B31" s="5" t="s">
        <v>810</v>
      </c>
      <c r="C31" s="13">
        <f>COUNTIF(TaskRegister[Persona / Scope],A31)</f>
        <v>5</v>
      </c>
    </row>
    <row r="32" spans="1:3" ht="20" customHeight="1" x14ac:dyDescent="0.35">
      <c r="A32" s="5" t="s">
        <v>5175</v>
      </c>
      <c r="B32" s="5" t="s">
        <v>811</v>
      </c>
      <c r="C32" s="13">
        <f>COUNTIF(TaskRegister[Persona / Scope],A32)</f>
        <v>4</v>
      </c>
    </row>
    <row r="33" spans="1:3" ht="20" customHeight="1" x14ac:dyDescent="0.35">
      <c r="A33" s="5" t="s">
        <v>1504</v>
      </c>
      <c r="B33" s="5" t="s">
        <v>810</v>
      </c>
      <c r="C33" s="13">
        <f>COUNTIF(TaskRegister[Persona / Scope],A33)</f>
        <v>3</v>
      </c>
    </row>
    <row r="34" spans="1:3" ht="20" customHeight="1" x14ac:dyDescent="0.35">
      <c r="A34" s="5" t="s">
        <v>4368</v>
      </c>
      <c r="B34" s="5" t="s">
        <v>810</v>
      </c>
      <c r="C34" s="13">
        <f>COUNTIF(TaskRegister[Persona / Scope],A34)</f>
        <v>2</v>
      </c>
    </row>
    <row r="35" spans="1:3" ht="20" customHeight="1" x14ac:dyDescent="0.35">
      <c r="A35" s="5" t="s">
        <v>1452</v>
      </c>
      <c r="B35" s="5" t="s">
        <v>810</v>
      </c>
      <c r="C35" s="13">
        <f>COUNTIF(TaskRegister[Persona / Scope],A35)</f>
        <v>2</v>
      </c>
    </row>
    <row r="36" spans="1:3" ht="20" customHeight="1" x14ac:dyDescent="0.35">
      <c r="A36" s="5" t="s">
        <v>1094</v>
      </c>
      <c r="B36" s="5" t="s">
        <v>810</v>
      </c>
      <c r="C36" s="13">
        <f>COUNTIF(TaskRegister[Persona / Scope],A36)</f>
        <v>2</v>
      </c>
    </row>
    <row r="37" spans="1:3" ht="20" customHeight="1" x14ac:dyDescent="0.35">
      <c r="A37" s="5" t="s">
        <v>5206</v>
      </c>
      <c r="B37" s="5" t="s">
        <v>811</v>
      </c>
      <c r="C37" s="13">
        <f>COUNTIF(TaskRegister[Persona / Scope],A37)</f>
        <v>2</v>
      </c>
    </row>
    <row r="38" spans="1:3" ht="20" customHeight="1" x14ac:dyDescent="0.35">
      <c r="A38" s="5" t="s">
        <v>3059</v>
      </c>
      <c r="B38" s="5" t="s">
        <v>811</v>
      </c>
      <c r="C38" s="13">
        <f>COUNTIF(TaskRegister[Persona / Scope],A38)</f>
        <v>2</v>
      </c>
    </row>
    <row r="39" spans="1:3" ht="20" customHeight="1" x14ac:dyDescent="0.35">
      <c r="A39" s="5" t="s">
        <v>5244</v>
      </c>
      <c r="B39" s="5" t="s">
        <v>811</v>
      </c>
      <c r="C39" s="13">
        <f>COUNTIF(TaskRegister[Persona / Scope],A39)</f>
        <v>2</v>
      </c>
    </row>
    <row r="40" spans="1:3" ht="20" customHeight="1" x14ac:dyDescent="0.35">
      <c r="A40" s="5" t="s">
        <v>5299</v>
      </c>
      <c r="B40" s="5" t="s">
        <v>811</v>
      </c>
      <c r="C40" s="13">
        <f>COUNTIF(TaskRegister[Persona / Scope],A40)</f>
        <v>2</v>
      </c>
    </row>
    <row r="41" spans="1:3" ht="20" customHeight="1" x14ac:dyDescent="0.35">
      <c r="A41" s="5" t="s">
        <v>2164</v>
      </c>
      <c r="B41" s="5" t="s">
        <v>814</v>
      </c>
      <c r="C41" s="13">
        <f>COUNTIF(TaskRegister[Persona / Scope],A41)</f>
        <v>1</v>
      </c>
    </row>
    <row r="42" spans="1:3" ht="20" customHeight="1" x14ac:dyDescent="0.35">
      <c r="A42" s="5" t="s">
        <v>4227</v>
      </c>
      <c r="B42" s="5" t="s">
        <v>814</v>
      </c>
      <c r="C42" s="13">
        <f>COUNTIF(TaskRegister[Persona / Scope],A42)</f>
        <v>1</v>
      </c>
    </row>
    <row r="43" spans="1:3" ht="20" customHeight="1" x14ac:dyDescent="0.35">
      <c r="A43" s="5" t="s">
        <v>4235</v>
      </c>
      <c r="B43" s="5" t="s">
        <v>814</v>
      </c>
      <c r="C43" s="13">
        <f>COUNTIF(TaskRegister[Persona / Scope],A43)</f>
        <v>1</v>
      </c>
    </row>
    <row r="44" spans="1:3" ht="20" customHeight="1" x14ac:dyDescent="0.35">
      <c r="A44" s="5" t="s">
        <v>4242</v>
      </c>
      <c r="B44" s="5" t="s">
        <v>814</v>
      </c>
      <c r="C44" s="13">
        <f>COUNTIF(TaskRegister[Persona / Scope],A44)</f>
        <v>1</v>
      </c>
    </row>
    <row r="45" spans="1:3" ht="20" customHeight="1" x14ac:dyDescent="0.35">
      <c r="A45" s="5" t="s">
        <v>4248</v>
      </c>
      <c r="B45" s="5" t="s">
        <v>814</v>
      </c>
      <c r="C45" s="13">
        <f>COUNTIF(TaskRegister[Persona / Scope],A45)</f>
        <v>1</v>
      </c>
    </row>
    <row r="46" spans="1:3" ht="20" customHeight="1" x14ac:dyDescent="0.35">
      <c r="A46" s="5" t="s">
        <v>4255</v>
      </c>
      <c r="B46" s="5" t="s">
        <v>814</v>
      </c>
      <c r="C46" s="13">
        <f>COUNTIF(TaskRegister[Persona / Scope],A46)</f>
        <v>1</v>
      </c>
    </row>
    <row r="47" spans="1:3" ht="20" customHeight="1" x14ac:dyDescent="0.35">
      <c r="A47" s="5" t="s">
        <v>2203</v>
      </c>
      <c r="B47" s="5" t="s">
        <v>814</v>
      </c>
      <c r="C47" s="13">
        <f>COUNTIF(TaskRegister[Persona / Scope],A47)</f>
        <v>1</v>
      </c>
    </row>
    <row r="48" spans="1:3" ht="20" customHeight="1" x14ac:dyDescent="0.35">
      <c r="A48" s="5" t="s">
        <v>4269</v>
      </c>
      <c r="B48" s="5" t="s">
        <v>814</v>
      </c>
      <c r="C48" s="13">
        <f>COUNTIF(TaskRegister[Persona / Scope],A48)</f>
        <v>1</v>
      </c>
    </row>
    <row r="49" spans="1:3" ht="20" customHeight="1" x14ac:dyDescent="0.35">
      <c r="A49" s="5" t="s">
        <v>4276</v>
      </c>
      <c r="B49" s="5" t="s">
        <v>814</v>
      </c>
      <c r="C49" s="13">
        <f>COUNTIF(TaskRegister[Persona / Scope],A49)</f>
        <v>1</v>
      </c>
    </row>
    <row r="50" spans="1:3" ht="20" customHeight="1" x14ac:dyDescent="0.35">
      <c r="A50" s="5" t="s">
        <v>4287</v>
      </c>
      <c r="B50" s="5" t="s">
        <v>814</v>
      </c>
      <c r="C50" s="13">
        <f>COUNTIF(TaskRegister[Persona / Scope],A50)</f>
        <v>1</v>
      </c>
    </row>
    <row r="51" spans="1:3" ht="20" customHeight="1" x14ac:dyDescent="0.35">
      <c r="A51" s="5" t="s">
        <v>4294</v>
      </c>
      <c r="B51" s="5" t="s">
        <v>814</v>
      </c>
      <c r="C51" s="13">
        <f>COUNTIF(TaskRegister[Persona / Scope],A51)</f>
        <v>1</v>
      </c>
    </row>
    <row r="52" spans="1:3" ht="20" customHeight="1" x14ac:dyDescent="0.35">
      <c r="A52" s="5" t="s">
        <v>4301</v>
      </c>
      <c r="B52" s="5" t="s">
        <v>814</v>
      </c>
      <c r="C52" s="13">
        <f>COUNTIF(TaskRegister[Persona / Scope],A52)</f>
        <v>1</v>
      </c>
    </row>
    <row r="53" spans="1:3" ht="20" customHeight="1" x14ac:dyDescent="0.35">
      <c r="A53" s="5" t="s">
        <v>4220</v>
      </c>
      <c r="B53" s="5" t="s">
        <v>814</v>
      </c>
      <c r="C53" s="13">
        <f>COUNTIF(TaskRegister[Persona / Scope],A53)</f>
        <v>1</v>
      </c>
    </row>
    <row r="54" spans="1:3" ht="20" customHeight="1" x14ac:dyDescent="0.35">
      <c r="A54" s="5" t="s">
        <v>4314</v>
      </c>
      <c r="B54" s="5" t="s">
        <v>814</v>
      </c>
      <c r="C54" s="13">
        <f>COUNTIF(TaskRegister[Persona / Scope],A54)</f>
        <v>1</v>
      </c>
    </row>
    <row r="55" spans="1:3" ht="20" customHeight="1" x14ac:dyDescent="0.35">
      <c r="A55" s="5" t="s">
        <v>4321</v>
      </c>
      <c r="B55" s="5" t="s">
        <v>814</v>
      </c>
      <c r="C55" s="13">
        <f>COUNTIF(TaskRegister[Persona / Scope],A55)</f>
        <v>1</v>
      </c>
    </row>
    <row r="56" spans="1:3" ht="20" customHeight="1" x14ac:dyDescent="0.35">
      <c r="A56" s="5" t="s">
        <v>4328</v>
      </c>
      <c r="B56" s="5" t="s">
        <v>814</v>
      </c>
      <c r="C56" s="13">
        <f>COUNTIF(TaskRegister[Persona / Scope],A56)</f>
        <v>1</v>
      </c>
    </row>
    <row r="57" spans="1:3" ht="20" customHeight="1" x14ac:dyDescent="0.35">
      <c r="A57" s="5" t="s">
        <v>4335</v>
      </c>
      <c r="B57" s="5" t="s">
        <v>814</v>
      </c>
      <c r="C57" s="13">
        <f>COUNTIF(TaskRegister[Persona / Scope],A57)</f>
        <v>1</v>
      </c>
    </row>
    <row r="58" spans="1:3" ht="20" customHeight="1" x14ac:dyDescent="0.35">
      <c r="A58" s="5" t="s">
        <v>4342</v>
      </c>
      <c r="B58" s="5" t="s">
        <v>814</v>
      </c>
      <c r="C58" s="13">
        <f>COUNTIF(TaskRegister[Persona / Scope],A58)</f>
        <v>1</v>
      </c>
    </row>
    <row r="59" spans="1:3" ht="20" customHeight="1" x14ac:dyDescent="0.35">
      <c r="A59" s="5" t="s">
        <v>4348</v>
      </c>
      <c r="B59" s="5" t="s">
        <v>814</v>
      </c>
      <c r="C59" s="13">
        <f>COUNTIF(TaskRegister[Persona / Scope],A59)</f>
        <v>1</v>
      </c>
    </row>
    <row r="60" spans="1:3" ht="20" customHeight="1" x14ac:dyDescent="0.35">
      <c r="A60" s="5" t="s">
        <v>4359</v>
      </c>
      <c r="B60" s="5" t="s">
        <v>814</v>
      </c>
      <c r="C60" s="13">
        <f>COUNTIF(TaskRegister[Persona / Scope],A60)</f>
        <v>1</v>
      </c>
    </row>
    <row r="61" spans="1:3" ht="20" customHeight="1" x14ac:dyDescent="0.35">
      <c r="A61" s="5" t="s">
        <v>2197</v>
      </c>
      <c r="B61" s="5" t="s">
        <v>810</v>
      </c>
      <c r="C61" s="13">
        <f>COUNTIF(TaskRegister[Persona / Scope],A61)</f>
        <v>1</v>
      </c>
    </row>
    <row r="62" spans="1:3" ht="20" customHeight="1" x14ac:dyDescent="0.35">
      <c r="A62" s="5" t="s">
        <v>2433</v>
      </c>
      <c r="B62" s="5" t="s">
        <v>810</v>
      </c>
      <c r="C62" s="13">
        <f>COUNTIF(TaskRegister[Persona / Scope],A62)</f>
        <v>1</v>
      </c>
    </row>
    <row r="63" spans="1:3" ht="20" customHeight="1" x14ac:dyDescent="0.35">
      <c r="A63" s="5" t="s">
        <v>1767</v>
      </c>
      <c r="B63" s="5" t="s">
        <v>810</v>
      </c>
      <c r="C63" s="13">
        <f>COUNTIF(TaskRegister[Persona / Scope],A63)</f>
        <v>1</v>
      </c>
    </row>
    <row r="64" spans="1:3" ht="20" customHeight="1" x14ac:dyDescent="0.35">
      <c r="A64" s="5" t="s">
        <v>5219</v>
      </c>
      <c r="B64" s="5" t="s">
        <v>811</v>
      </c>
      <c r="C64" s="13">
        <f>COUNTIF(TaskRegister[Persona / Scope],A64)</f>
        <v>1</v>
      </c>
    </row>
    <row r="65" spans="1:3" ht="20" customHeight="1" x14ac:dyDescent="0.35">
      <c r="A65" s="5" t="s">
        <v>5251</v>
      </c>
      <c r="B65" s="5" t="s">
        <v>811</v>
      </c>
      <c r="C65" s="13">
        <f>COUNTIF(TaskRegister[Persona / Scope],A65)</f>
        <v>1</v>
      </c>
    </row>
    <row r="66" spans="1:3" ht="20" customHeight="1" x14ac:dyDescent="0.35">
      <c r="A66" s="5" t="s">
        <v>5266</v>
      </c>
      <c r="B66" s="5" t="s">
        <v>811</v>
      </c>
      <c r="C66" s="13">
        <f>COUNTIF(TaskRegister[Persona / Scope],A66)</f>
        <v>1</v>
      </c>
    </row>
    <row r="67" spans="1:3" ht="20" customHeight="1" x14ac:dyDescent="0.35">
      <c r="A67" s="5" t="s">
        <v>5275</v>
      </c>
      <c r="B67" s="5" t="s">
        <v>811</v>
      </c>
      <c r="C67" s="13">
        <f>COUNTIF(TaskRegister[Persona / Scope],A67)</f>
        <v>1</v>
      </c>
    </row>
    <row r="68" spans="1:3" ht="20" customHeight="1" x14ac:dyDescent="0.35">
      <c r="A68" s="5" t="s">
        <v>5285</v>
      </c>
      <c r="B68" s="5" t="s">
        <v>811</v>
      </c>
      <c r="C68" s="13">
        <f>COUNTIF(TaskRegister[Persona / Scope],A68)</f>
        <v>1</v>
      </c>
    </row>
    <row r="69" spans="1:3" ht="20" customHeight="1" x14ac:dyDescent="0.35">
      <c r="A69" s="5" t="s">
        <v>5292</v>
      </c>
      <c r="B69" s="5" t="s">
        <v>811</v>
      </c>
      <c r="C69" s="13">
        <f>COUNTIF(TaskRegister[Persona / Scope],A69)</f>
        <v>1</v>
      </c>
    </row>
    <row r="70" spans="1:3" ht="20" customHeight="1" x14ac:dyDescent="0.35">
      <c r="A70" s="5" t="s">
        <v>5310</v>
      </c>
      <c r="B70" s="5" t="s">
        <v>811</v>
      </c>
      <c r="C70" s="13">
        <f>COUNTIF(TaskRegister[Persona / Scope],A70)</f>
        <v>1</v>
      </c>
    </row>
    <row r="71" spans="1:3" ht="20" customHeight="1" x14ac:dyDescent="0.35">
      <c r="A71" s="5" t="s">
        <v>5322</v>
      </c>
      <c r="B71" s="5" t="s">
        <v>811</v>
      </c>
      <c r="C71" s="13">
        <f>COUNTIF(TaskRegister[Persona / Scope],A71)</f>
        <v>1</v>
      </c>
    </row>
    <row r="72" spans="1:3" ht="20" customHeight="1" x14ac:dyDescent="0.35">
      <c r="A72" s="5" t="s">
        <v>5329</v>
      </c>
      <c r="B72" s="5" t="s">
        <v>811</v>
      </c>
      <c r="C72" s="13">
        <f>COUNTIF(TaskRegister[Persona / Scope],A72)</f>
        <v>1</v>
      </c>
    </row>
    <row r="73" spans="1:3" ht="20" customHeight="1" x14ac:dyDescent="0.35">
      <c r="A73" s="5" t="s">
        <v>5339</v>
      </c>
      <c r="B73" s="5" t="s">
        <v>811</v>
      </c>
      <c r="C73" s="13">
        <f>COUNTIF(TaskRegister[Persona / Scope],A73)</f>
        <v>1</v>
      </c>
    </row>
    <row r="74" spans="1:3" ht="20" customHeight="1" x14ac:dyDescent="0.35">
      <c r="A74" s="5" t="s">
        <v>5347</v>
      </c>
      <c r="B74" s="5" t="s">
        <v>811</v>
      </c>
      <c r="C74" s="13">
        <f>COUNTIF(TaskRegister[Persona / Scope],A74)</f>
        <v>1</v>
      </c>
    </row>
    <row r="75" spans="1:3" ht="20" customHeight="1" x14ac:dyDescent="0.35">
      <c r="A75" s="5" t="s">
        <v>5353</v>
      </c>
      <c r="B75" s="5" t="s">
        <v>811</v>
      </c>
      <c r="C75" s="13">
        <f>COUNTIF(TaskRegister[Persona / Scope],A75)</f>
        <v>1</v>
      </c>
    </row>
    <row r="76" spans="1:3" ht="20" customHeight="1" x14ac:dyDescent="0.35">
      <c r="A76" s="5" t="s">
        <v>5361</v>
      </c>
      <c r="B76" s="5" t="s">
        <v>811</v>
      </c>
      <c r="C76" s="13">
        <f>COUNTIF(TaskRegister[Persona / Scope],A76)</f>
        <v>1</v>
      </c>
    </row>
    <row r="77" spans="1:3" x14ac:dyDescent="0.35">
      <c r="A77" s="7" t="s">
        <v>5704</v>
      </c>
      <c r="C77" s="7">
        <f>COUNTA(A4:A76)</f>
        <v>73</v>
      </c>
    </row>
  </sheetData>
  <autoFilter ref="A3:C76" xr:uid="{00000000-0009-0000-0000-000019000000}"/>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F15"/>
  <sheetViews>
    <sheetView showGridLines="0" workbookViewId="0">
      <pane ySplit="3" topLeftCell="A4" activePane="bottomLeft" state="frozen"/>
      <selection pane="bottomLeft"/>
    </sheetView>
  </sheetViews>
  <sheetFormatPr defaultRowHeight="14.5" x14ac:dyDescent="0.35"/>
  <cols>
    <col min="1" max="1" width="24" customWidth="1"/>
    <col min="2" max="3" width="36" customWidth="1"/>
    <col min="4" max="4" width="42" customWidth="1"/>
    <col min="5" max="5" width="40" customWidth="1"/>
    <col min="6" max="6" width="46" customWidth="1"/>
  </cols>
  <sheetData>
    <row r="1" spans="1:6" ht="28" customHeight="1" x14ac:dyDescent="0.5">
      <c r="A1" s="1" t="s">
        <v>5705</v>
      </c>
    </row>
    <row r="3" spans="1:6" x14ac:dyDescent="0.35">
      <c r="A3" s="22" t="s">
        <v>5706</v>
      </c>
      <c r="B3" s="22" t="s">
        <v>5707</v>
      </c>
      <c r="C3" s="22" t="s">
        <v>5708</v>
      </c>
      <c r="D3" s="22" t="s">
        <v>5709</v>
      </c>
      <c r="E3" s="22" t="s">
        <v>5710</v>
      </c>
      <c r="F3" s="22" t="s">
        <v>5711</v>
      </c>
    </row>
    <row r="4" spans="1:6" ht="48" customHeight="1" x14ac:dyDescent="0.35">
      <c r="A4" s="4" t="s">
        <v>5712</v>
      </c>
      <c r="B4" s="5" t="s">
        <v>5713</v>
      </c>
      <c r="C4" s="5" t="s">
        <v>5714</v>
      </c>
      <c r="D4" s="5" t="s">
        <v>5715</v>
      </c>
      <c r="E4" s="5" t="s">
        <v>5716</v>
      </c>
      <c r="F4" s="5" t="s">
        <v>5717</v>
      </c>
    </row>
    <row r="5" spans="1:6" ht="48" customHeight="1" x14ac:dyDescent="0.35">
      <c r="A5" s="4" t="s">
        <v>5718</v>
      </c>
      <c r="B5" s="5" t="s">
        <v>5719</v>
      </c>
      <c r="C5" s="5" t="s">
        <v>5720</v>
      </c>
      <c r="D5" s="5" t="s">
        <v>5721</v>
      </c>
      <c r="E5" s="5" t="s">
        <v>5722</v>
      </c>
      <c r="F5" s="5" t="s">
        <v>5723</v>
      </c>
    </row>
    <row r="6" spans="1:6" ht="48" customHeight="1" x14ac:dyDescent="0.35">
      <c r="A6" s="4" t="s">
        <v>5724</v>
      </c>
      <c r="B6" s="5" t="s">
        <v>5725</v>
      </c>
      <c r="C6" s="5" t="s">
        <v>5726</v>
      </c>
      <c r="D6" s="5" t="s">
        <v>5727</v>
      </c>
      <c r="E6" s="5" t="s">
        <v>5728</v>
      </c>
      <c r="F6" s="5" t="s">
        <v>5729</v>
      </c>
    </row>
    <row r="7" spans="1:6" ht="48" customHeight="1" x14ac:dyDescent="0.35">
      <c r="A7" s="4" t="s">
        <v>5730</v>
      </c>
      <c r="B7" s="5" t="s">
        <v>5731</v>
      </c>
      <c r="C7" s="5" t="s">
        <v>5732</v>
      </c>
      <c r="D7" s="5" t="s">
        <v>5733</v>
      </c>
      <c r="E7" s="5" t="s">
        <v>5734</v>
      </c>
      <c r="F7" s="5" t="s">
        <v>5735</v>
      </c>
    </row>
    <row r="8" spans="1:6" ht="48" customHeight="1" x14ac:dyDescent="0.35">
      <c r="A8" s="4" t="s">
        <v>5736</v>
      </c>
      <c r="B8" s="5" t="s">
        <v>5737</v>
      </c>
      <c r="C8" s="5" t="s">
        <v>5738</v>
      </c>
      <c r="D8" s="5" t="s">
        <v>5739</v>
      </c>
      <c r="E8" s="5" t="s">
        <v>5740</v>
      </c>
      <c r="F8" s="5" t="s">
        <v>5741</v>
      </c>
    </row>
    <row r="9" spans="1:6" ht="48" customHeight="1" x14ac:dyDescent="0.35">
      <c r="A9" s="4" t="s">
        <v>5742</v>
      </c>
      <c r="B9" s="5" t="s">
        <v>5743</v>
      </c>
      <c r="C9" s="5" t="s">
        <v>5744</v>
      </c>
      <c r="D9" s="5" t="s">
        <v>5745</v>
      </c>
      <c r="E9" s="5" t="s">
        <v>5746</v>
      </c>
      <c r="F9" s="5" t="s">
        <v>5747</v>
      </c>
    </row>
    <row r="10" spans="1:6" ht="48" customHeight="1" x14ac:dyDescent="0.35">
      <c r="A10" s="4" t="s">
        <v>5748</v>
      </c>
      <c r="B10" s="5" t="s">
        <v>5749</v>
      </c>
      <c r="C10" s="5" t="s">
        <v>5750</v>
      </c>
      <c r="D10" s="5" t="s">
        <v>5751</v>
      </c>
      <c r="E10" s="5" t="s">
        <v>5752</v>
      </c>
      <c r="F10" s="5" t="s">
        <v>5753</v>
      </c>
    </row>
    <row r="11" spans="1:6" ht="48" customHeight="1" x14ac:dyDescent="0.35">
      <c r="A11" s="4" t="s">
        <v>5754</v>
      </c>
      <c r="B11" s="5" t="s">
        <v>5755</v>
      </c>
      <c r="C11" s="5" t="s">
        <v>5756</v>
      </c>
      <c r="D11" s="5" t="s">
        <v>5757</v>
      </c>
      <c r="E11" s="5" t="s">
        <v>5758</v>
      </c>
      <c r="F11" s="5" t="s">
        <v>5735</v>
      </c>
    </row>
    <row r="12" spans="1:6" ht="48" customHeight="1" x14ac:dyDescent="0.35">
      <c r="A12" s="4" t="s">
        <v>5759</v>
      </c>
      <c r="B12" s="5" t="s">
        <v>5760</v>
      </c>
      <c r="C12" s="5" t="s">
        <v>5761</v>
      </c>
      <c r="D12" s="5" t="s">
        <v>5762</v>
      </c>
      <c r="E12" s="5" t="s">
        <v>5763</v>
      </c>
      <c r="F12" s="5" t="s">
        <v>5735</v>
      </c>
    </row>
    <row r="13" spans="1:6" ht="48" customHeight="1" x14ac:dyDescent="0.35">
      <c r="A13" s="4" t="s">
        <v>5764</v>
      </c>
      <c r="B13" s="5" t="s">
        <v>5765</v>
      </c>
      <c r="C13" s="5" t="s">
        <v>5766</v>
      </c>
      <c r="D13" s="5" t="s">
        <v>5767</v>
      </c>
      <c r="E13" s="5" t="s">
        <v>5768</v>
      </c>
      <c r="F13" s="5" t="s">
        <v>5735</v>
      </c>
    </row>
    <row r="14" spans="1:6" ht="48" customHeight="1" x14ac:dyDescent="0.35">
      <c r="A14" s="4" t="s">
        <v>5769</v>
      </c>
      <c r="B14" s="5" t="s">
        <v>5770</v>
      </c>
      <c r="C14" s="5" t="s">
        <v>5771</v>
      </c>
      <c r="D14" s="5" t="s">
        <v>5772</v>
      </c>
      <c r="E14" s="5" t="s">
        <v>5773</v>
      </c>
      <c r="F14" s="5" t="s">
        <v>5735</v>
      </c>
    </row>
    <row r="15" spans="1:6" ht="48" customHeight="1" x14ac:dyDescent="0.35">
      <c r="A15" s="4" t="s">
        <v>5774</v>
      </c>
      <c r="B15" s="5" t="s">
        <v>5775</v>
      </c>
      <c r="C15" s="5" t="s">
        <v>5776</v>
      </c>
      <c r="D15" s="5" t="s">
        <v>5777</v>
      </c>
      <c r="E15" s="5" t="s">
        <v>5778</v>
      </c>
      <c r="F15" s="5" t="s">
        <v>5779</v>
      </c>
    </row>
  </sheetData>
  <autoFilter ref="A3:F15" xr:uid="{00000000-0009-0000-0000-00001A000000}"/>
  <pageMargins left="0.75" right="0.75" top="1" bottom="1" header="0.5" footer="0.5"/>
  <pageSetup orientation="landscape"/>
  <headerFooter>
    <oddFooter>&amp;RPage &amp;P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F13"/>
  <sheetViews>
    <sheetView showGridLines="0" workbookViewId="0">
      <pane ySplit="3" topLeftCell="A4" activePane="bottomLeft" state="frozen"/>
      <selection pane="bottomLeft"/>
    </sheetView>
  </sheetViews>
  <sheetFormatPr defaultRowHeight="14.5" x14ac:dyDescent="0.35"/>
  <cols>
    <col min="1" max="1" width="28" customWidth="1"/>
    <col min="2" max="2" width="40" customWidth="1"/>
    <col min="3" max="3" width="36" customWidth="1"/>
    <col min="4" max="4" width="40" customWidth="1"/>
    <col min="5" max="5" width="28" customWidth="1"/>
    <col min="6" max="6" width="50" customWidth="1"/>
  </cols>
  <sheetData>
    <row r="1" spans="1:6" ht="28" customHeight="1" x14ac:dyDescent="0.5">
      <c r="A1" s="1" t="s">
        <v>5780</v>
      </c>
    </row>
    <row r="3" spans="1:6" x14ac:dyDescent="0.35">
      <c r="A3" s="22" t="s">
        <v>5781</v>
      </c>
      <c r="B3" s="22" t="s">
        <v>5782</v>
      </c>
      <c r="C3" s="22" t="s">
        <v>5783</v>
      </c>
      <c r="D3" s="22" t="s">
        <v>5784</v>
      </c>
      <c r="E3" s="22" t="s">
        <v>5785</v>
      </c>
      <c r="F3" s="22" t="s">
        <v>5711</v>
      </c>
    </row>
    <row r="4" spans="1:6" ht="48" customHeight="1" x14ac:dyDescent="0.35">
      <c r="A4" s="4" t="s">
        <v>5786</v>
      </c>
      <c r="B4" s="5" t="s">
        <v>5787</v>
      </c>
      <c r="C4" s="5" t="s">
        <v>5788</v>
      </c>
      <c r="D4" s="5" t="s">
        <v>5789</v>
      </c>
      <c r="E4" s="5" t="s">
        <v>5790</v>
      </c>
      <c r="F4" s="5" t="s">
        <v>5791</v>
      </c>
    </row>
    <row r="5" spans="1:6" ht="48" customHeight="1" x14ac:dyDescent="0.35">
      <c r="A5" s="4" t="s">
        <v>5792</v>
      </c>
      <c r="B5" s="5" t="s">
        <v>5793</v>
      </c>
      <c r="C5" s="5" t="s">
        <v>5794</v>
      </c>
      <c r="D5" s="5" t="s">
        <v>5795</v>
      </c>
      <c r="E5" s="5" t="s">
        <v>5796</v>
      </c>
      <c r="F5" s="5" t="s">
        <v>5797</v>
      </c>
    </row>
    <row r="6" spans="1:6" ht="48" customHeight="1" x14ac:dyDescent="0.35">
      <c r="A6" s="4" t="s">
        <v>5798</v>
      </c>
      <c r="B6" s="5" t="s">
        <v>5799</v>
      </c>
      <c r="C6" s="5" t="s">
        <v>5800</v>
      </c>
      <c r="D6" s="5" t="s">
        <v>5801</v>
      </c>
      <c r="E6" s="5" t="s">
        <v>5802</v>
      </c>
      <c r="F6" s="5" t="s">
        <v>5803</v>
      </c>
    </row>
    <row r="7" spans="1:6" ht="48" customHeight="1" x14ac:dyDescent="0.35">
      <c r="A7" s="4" t="s">
        <v>5804</v>
      </c>
      <c r="B7" s="5" t="s">
        <v>5805</v>
      </c>
      <c r="C7" s="5" t="s">
        <v>5806</v>
      </c>
      <c r="D7" s="5" t="s">
        <v>5807</v>
      </c>
      <c r="E7" s="5" t="s">
        <v>5808</v>
      </c>
      <c r="F7" s="5" t="s">
        <v>5809</v>
      </c>
    </row>
    <row r="8" spans="1:6" ht="48" customHeight="1" x14ac:dyDescent="0.35">
      <c r="A8" s="4" t="s">
        <v>5810</v>
      </c>
      <c r="B8" s="5" t="s">
        <v>5811</v>
      </c>
      <c r="C8" s="5" t="s">
        <v>5812</v>
      </c>
      <c r="D8" s="5" t="s">
        <v>5813</v>
      </c>
      <c r="E8" s="5" t="s">
        <v>5814</v>
      </c>
      <c r="F8" s="5" t="s">
        <v>5815</v>
      </c>
    </row>
    <row r="9" spans="1:6" ht="48" customHeight="1" x14ac:dyDescent="0.35">
      <c r="A9" s="4" t="s">
        <v>5816</v>
      </c>
      <c r="B9" s="5" t="s">
        <v>5817</v>
      </c>
      <c r="C9" s="5" t="s">
        <v>5818</v>
      </c>
      <c r="D9" s="5" t="s">
        <v>5819</v>
      </c>
      <c r="E9" s="5" t="s">
        <v>5820</v>
      </c>
      <c r="F9" s="5" t="s">
        <v>5821</v>
      </c>
    </row>
    <row r="10" spans="1:6" ht="48" customHeight="1" x14ac:dyDescent="0.35">
      <c r="A10" s="4" t="s">
        <v>5822</v>
      </c>
      <c r="B10" s="5" t="s">
        <v>5823</v>
      </c>
      <c r="C10" s="5" t="s">
        <v>5824</v>
      </c>
      <c r="D10" s="5" t="s">
        <v>5825</v>
      </c>
      <c r="E10" s="5" t="s">
        <v>5826</v>
      </c>
      <c r="F10" s="5" t="s">
        <v>5827</v>
      </c>
    </row>
    <row r="11" spans="1:6" ht="48" customHeight="1" x14ac:dyDescent="0.35">
      <c r="A11" s="4" t="s">
        <v>5828</v>
      </c>
      <c r="B11" s="5" t="s">
        <v>5829</v>
      </c>
      <c r="C11" s="5" t="s">
        <v>5830</v>
      </c>
      <c r="D11" s="5" t="s">
        <v>5831</v>
      </c>
      <c r="E11" s="5" t="s">
        <v>5832</v>
      </c>
      <c r="F11" s="5" t="s">
        <v>5833</v>
      </c>
    </row>
    <row r="12" spans="1:6" ht="48" customHeight="1" x14ac:dyDescent="0.35">
      <c r="A12" s="4" t="s">
        <v>5834</v>
      </c>
      <c r="B12" s="5" t="s">
        <v>5835</v>
      </c>
      <c r="C12" s="5" t="s">
        <v>5836</v>
      </c>
      <c r="D12" s="5" t="s">
        <v>5837</v>
      </c>
      <c r="E12" s="5" t="s">
        <v>5838</v>
      </c>
      <c r="F12" s="5" t="s">
        <v>5803</v>
      </c>
    </row>
    <row r="13" spans="1:6" ht="48" customHeight="1" x14ac:dyDescent="0.35">
      <c r="A13" s="4" t="s">
        <v>5839</v>
      </c>
      <c r="B13" s="5" t="s">
        <v>5840</v>
      </c>
      <c r="C13" s="5" t="s">
        <v>5841</v>
      </c>
      <c r="D13" s="5" t="s">
        <v>5842</v>
      </c>
      <c r="E13" s="5" t="s">
        <v>5843</v>
      </c>
      <c r="F13" s="5" t="s">
        <v>5844</v>
      </c>
    </row>
  </sheetData>
  <autoFilter ref="A3:F13" xr:uid="{00000000-0009-0000-0000-00001B000000}"/>
  <pageMargins left="0.75" right="0.75" top="1" bottom="1" header="0.5" footer="0.5"/>
  <pageSetup orientation="landscape"/>
  <headerFooter>
    <oddFooter>&amp;RPage &amp;P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F12"/>
  <sheetViews>
    <sheetView showGridLines="0" workbookViewId="0">
      <pane ySplit="3" topLeftCell="A4" activePane="bottomLeft" state="frozen"/>
      <selection pane="bottomLeft"/>
    </sheetView>
  </sheetViews>
  <sheetFormatPr defaultRowHeight="14.5" x14ac:dyDescent="0.35"/>
  <cols>
    <col min="1" max="1" width="24" customWidth="1"/>
    <col min="2" max="2" width="44" customWidth="1"/>
    <col min="3" max="3" width="36" customWidth="1"/>
    <col min="4" max="4" width="32" customWidth="1"/>
    <col min="5" max="5" width="40" customWidth="1"/>
    <col min="6" max="6" width="52" customWidth="1"/>
  </cols>
  <sheetData>
    <row r="1" spans="1:6" ht="28" customHeight="1" x14ac:dyDescent="0.5">
      <c r="A1" s="1" t="s">
        <v>5845</v>
      </c>
    </row>
    <row r="3" spans="1:6" x14ac:dyDescent="0.35">
      <c r="A3" s="22" t="s">
        <v>5846</v>
      </c>
      <c r="B3" s="22" t="s">
        <v>5847</v>
      </c>
      <c r="C3" s="22" t="s">
        <v>5848</v>
      </c>
      <c r="D3" s="22" t="s">
        <v>5849</v>
      </c>
      <c r="E3" s="22" t="s">
        <v>5850</v>
      </c>
      <c r="F3" s="22" t="s">
        <v>5711</v>
      </c>
    </row>
    <row r="4" spans="1:6" ht="48" customHeight="1" x14ac:dyDescent="0.35">
      <c r="A4" s="4" t="s">
        <v>5851</v>
      </c>
      <c r="B4" s="5" t="s">
        <v>5852</v>
      </c>
      <c r="C4" s="5" t="s">
        <v>5853</v>
      </c>
      <c r="D4" s="5" t="s">
        <v>5854</v>
      </c>
      <c r="E4" s="5" t="s">
        <v>5855</v>
      </c>
      <c r="F4" s="5" t="s">
        <v>5856</v>
      </c>
    </row>
    <row r="5" spans="1:6" ht="48" customHeight="1" x14ac:dyDescent="0.35">
      <c r="A5" s="4" t="s">
        <v>5857</v>
      </c>
      <c r="B5" s="5" t="s">
        <v>5858</v>
      </c>
      <c r="C5" s="5" t="s">
        <v>5859</v>
      </c>
      <c r="D5" s="5" t="s">
        <v>5860</v>
      </c>
      <c r="E5" s="5" t="s">
        <v>5861</v>
      </c>
      <c r="F5" s="5" t="s">
        <v>5862</v>
      </c>
    </row>
    <row r="6" spans="1:6" ht="48" customHeight="1" x14ac:dyDescent="0.35">
      <c r="A6" s="4" t="s">
        <v>5863</v>
      </c>
      <c r="B6" s="5" t="s">
        <v>5864</v>
      </c>
      <c r="C6" s="5" t="s">
        <v>5865</v>
      </c>
      <c r="D6" s="5" t="s">
        <v>5866</v>
      </c>
      <c r="E6" s="5" t="s">
        <v>5867</v>
      </c>
      <c r="F6" s="5" t="s">
        <v>5803</v>
      </c>
    </row>
    <row r="7" spans="1:6" ht="48" customHeight="1" x14ac:dyDescent="0.35">
      <c r="A7" s="4" t="s">
        <v>5868</v>
      </c>
      <c r="B7" s="5" t="s">
        <v>5869</v>
      </c>
      <c r="C7" s="5" t="s">
        <v>5870</v>
      </c>
      <c r="D7" s="5" t="s">
        <v>5871</v>
      </c>
      <c r="E7" s="5" t="s">
        <v>5872</v>
      </c>
      <c r="F7" s="5" t="s">
        <v>5873</v>
      </c>
    </row>
    <row r="8" spans="1:6" ht="48" customHeight="1" x14ac:dyDescent="0.35">
      <c r="A8" s="4" t="s">
        <v>5874</v>
      </c>
      <c r="B8" s="5" t="s">
        <v>5875</v>
      </c>
      <c r="C8" s="5" t="s">
        <v>5876</v>
      </c>
      <c r="D8" s="5" t="s">
        <v>5877</v>
      </c>
      <c r="E8" s="5" t="s">
        <v>5878</v>
      </c>
      <c r="F8" s="5" t="s">
        <v>5879</v>
      </c>
    </row>
    <row r="9" spans="1:6" ht="48" customHeight="1" x14ac:dyDescent="0.35">
      <c r="A9" s="4" t="s">
        <v>5880</v>
      </c>
      <c r="B9" s="5" t="s">
        <v>5881</v>
      </c>
      <c r="C9" s="5" t="s">
        <v>5882</v>
      </c>
      <c r="D9" s="5" t="s">
        <v>5883</v>
      </c>
      <c r="E9" s="5" t="s">
        <v>5884</v>
      </c>
      <c r="F9" s="5" t="s">
        <v>5885</v>
      </c>
    </row>
    <row r="10" spans="1:6" ht="48" customHeight="1" x14ac:dyDescent="0.35">
      <c r="A10" s="4" t="s">
        <v>5886</v>
      </c>
      <c r="B10" s="5" t="s">
        <v>5887</v>
      </c>
      <c r="C10" s="5" t="s">
        <v>5888</v>
      </c>
      <c r="D10" s="5" t="s">
        <v>5889</v>
      </c>
      <c r="E10" s="5" t="s">
        <v>5890</v>
      </c>
      <c r="F10" s="5" t="s">
        <v>5891</v>
      </c>
    </row>
    <row r="11" spans="1:6" ht="48" customHeight="1" x14ac:dyDescent="0.35">
      <c r="A11" s="4" t="s">
        <v>5892</v>
      </c>
      <c r="B11" s="5" t="s">
        <v>5893</v>
      </c>
      <c r="C11" s="5" t="s">
        <v>5894</v>
      </c>
      <c r="D11" s="5" t="s">
        <v>5895</v>
      </c>
      <c r="E11" s="5" t="s">
        <v>5896</v>
      </c>
      <c r="F11" s="5" t="s">
        <v>5803</v>
      </c>
    </row>
    <row r="12" spans="1:6" ht="48" customHeight="1" x14ac:dyDescent="0.35">
      <c r="A12" s="4" t="s">
        <v>5897</v>
      </c>
      <c r="B12" s="5" t="s">
        <v>5898</v>
      </c>
      <c r="C12" s="5" t="s">
        <v>5899</v>
      </c>
      <c r="D12" s="5" t="s">
        <v>5900</v>
      </c>
      <c r="E12" s="5" t="s">
        <v>5901</v>
      </c>
      <c r="F12" s="5" t="s">
        <v>5902</v>
      </c>
    </row>
  </sheetData>
  <autoFilter ref="A3:F12" xr:uid="{00000000-0009-0000-0000-00001C000000}"/>
  <pageMargins left="0.75" right="0.75" top="1" bottom="1" header="0.5" footer="0.5"/>
  <pageSetup orientation="landscape"/>
  <headerFooter>
    <oddFooter>&amp;RPage &amp;P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F63"/>
  <sheetViews>
    <sheetView showGridLines="0" workbookViewId="0">
      <pane ySplit="3" topLeftCell="A4" activePane="bottomLeft" state="frozen"/>
      <selection pane="bottomLeft"/>
    </sheetView>
  </sheetViews>
  <sheetFormatPr defaultRowHeight="14.5" x14ac:dyDescent="0.35"/>
  <cols>
    <col min="1" max="1" width="14" customWidth="1"/>
    <col min="2" max="2" width="55" customWidth="1"/>
    <col min="3" max="3" width="20" customWidth="1"/>
    <col min="4" max="4" width="16" customWidth="1"/>
    <col min="5" max="5" width="22" customWidth="1"/>
    <col min="6" max="6" width="70" customWidth="1"/>
  </cols>
  <sheetData>
    <row r="1" spans="1:6" ht="21" x14ac:dyDescent="0.5">
      <c r="A1" s="1" t="s">
        <v>5903</v>
      </c>
    </row>
    <row r="2" spans="1:6" x14ac:dyDescent="0.35">
      <c r="A2" s="31" t="s">
        <v>5904</v>
      </c>
      <c r="B2" s="27"/>
      <c r="C2" s="27"/>
      <c r="D2" s="27"/>
      <c r="E2" s="27"/>
      <c r="F2" s="27"/>
    </row>
    <row r="3" spans="1:6" x14ac:dyDescent="0.35">
      <c r="A3" s="3" t="s">
        <v>60</v>
      </c>
      <c r="B3" s="3" t="s">
        <v>5905</v>
      </c>
      <c r="C3" s="3" t="s">
        <v>875</v>
      </c>
      <c r="D3" s="3" t="s">
        <v>5906</v>
      </c>
      <c r="E3" s="3" t="s">
        <v>5907</v>
      </c>
      <c r="F3" s="3" t="s">
        <v>68</v>
      </c>
    </row>
    <row r="4" spans="1:6" ht="30" customHeight="1" x14ac:dyDescent="0.35">
      <c r="A4" s="5" t="s">
        <v>993</v>
      </c>
      <c r="B4" s="5" t="s">
        <v>994</v>
      </c>
      <c r="C4" s="5" t="s">
        <v>121</v>
      </c>
      <c r="D4" s="5" t="s">
        <v>121</v>
      </c>
      <c r="E4" s="5" t="s">
        <v>73</v>
      </c>
      <c r="F4" s="5" t="s">
        <v>999</v>
      </c>
    </row>
    <row r="5" spans="1:6" ht="30" customHeight="1" x14ac:dyDescent="0.35">
      <c r="A5" s="5" t="s">
        <v>1070</v>
      </c>
      <c r="B5" s="5" t="s">
        <v>1071</v>
      </c>
      <c r="C5" s="5" t="s">
        <v>121</v>
      </c>
      <c r="D5" s="5" t="s">
        <v>121</v>
      </c>
      <c r="E5" s="5" t="s">
        <v>73</v>
      </c>
      <c r="F5" s="5" t="s">
        <v>999</v>
      </c>
    </row>
    <row r="6" spans="1:6" ht="30" customHeight="1" x14ac:dyDescent="0.35">
      <c r="A6" s="5" t="s">
        <v>1110</v>
      </c>
      <c r="B6" s="5" t="s">
        <v>1111</v>
      </c>
      <c r="C6" s="5" t="s">
        <v>151</v>
      </c>
      <c r="D6" s="5" t="s">
        <v>151</v>
      </c>
      <c r="E6" s="5" t="s">
        <v>158</v>
      </c>
      <c r="F6" s="5" t="s">
        <v>1115</v>
      </c>
    </row>
    <row r="7" spans="1:6" ht="30" customHeight="1" x14ac:dyDescent="0.35">
      <c r="A7" s="5" t="s">
        <v>1170</v>
      </c>
      <c r="B7" s="5" t="s">
        <v>1171</v>
      </c>
      <c r="C7" s="5" t="s">
        <v>151</v>
      </c>
      <c r="D7" s="5" t="s">
        <v>151</v>
      </c>
      <c r="E7" s="5" t="s">
        <v>158</v>
      </c>
      <c r="F7" s="5" t="s">
        <v>1115</v>
      </c>
    </row>
    <row r="8" spans="1:6" ht="30" customHeight="1" x14ac:dyDescent="0.35">
      <c r="A8" s="5" t="s">
        <v>1502</v>
      </c>
      <c r="B8" s="5" t="s">
        <v>1503</v>
      </c>
      <c r="C8" s="5" t="s">
        <v>151</v>
      </c>
      <c r="D8" s="5" t="s">
        <v>151</v>
      </c>
      <c r="E8" s="5" t="s">
        <v>158</v>
      </c>
      <c r="F8" s="5" t="s">
        <v>1115</v>
      </c>
    </row>
    <row r="9" spans="1:6" ht="30" customHeight="1" x14ac:dyDescent="0.35">
      <c r="A9" s="5" t="s">
        <v>1509</v>
      </c>
      <c r="B9" s="5" t="s">
        <v>1510</v>
      </c>
      <c r="C9" s="5" t="s">
        <v>151</v>
      </c>
      <c r="D9" s="5" t="s">
        <v>151</v>
      </c>
      <c r="E9" s="5" t="s">
        <v>158</v>
      </c>
      <c r="F9" s="5" t="s">
        <v>1115</v>
      </c>
    </row>
    <row r="10" spans="1:6" ht="30" customHeight="1" x14ac:dyDescent="0.35">
      <c r="A10" s="5" t="s">
        <v>1514</v>
      </c>
      <c r="B10" s="5" t="s">
        <v>1515</v>
      </c>
      <c r="C10" s="5" t="s">
        <v>151</v>
      </c>
      <c r="D10" s="5" t="s">
        <v>151</v>
      </c>
      <c r="E10" s="5" t="s">
        <v>158</v>
      </c>
      <c r="F10" s="5" t="s">
        <v>1115</v>
      </c>
    </row>
    <row r="11" spans="1:6" ht="30" customHeight="1" x14ac:dyDescent="0.35">
      <c r="A11" s="5" t="s">
        <v>1546</v>
      </c>
      <c r="B11" s="5" t="s">
        <v>1547</v>
      </c>
      <c r="C11" s="5" t="s">
        <v>151</v>
      </c>
      <c r="D11" s="5" t="s">
        <v>151</v>
      </c>
      <c r="E11" s="5" t="s">
        <v>158</v>
      </c>
      <c r="F11" s="5" t="s">
        <v>1115</v>
      </c>
    </row>
    <row r="12" spans="1:6" ht="30" customHeight="1" x14ac:dyDescent="0.35">
      <c r="A12" s="5" t="s">
        <v>1582</v>
      </c>
      <c r="B12" s="5" t="s">
        <v>1583</v>
      </c>
      <c r="C12" s="5" t="s">
        <v>151</v>
      </c>
      <c r="D12" s="5" t="s">
        <v>151</v>
      </c>
      <c r="E12" s="5" t="s">
        <v>158</v>
      </c>
      <c r="F12" s="5" t="s">
        <v>1115</v>
      </c>
    </row>
    <row r="13" spans="1:6" ht="30" customHeight="1" x14ac:dyDescent="0.35">
      <c r="A13" s="5" t="s">
        <v>1719</v>
      </c>
      <c r="B13" s="5" t="s">
        <v>1720</v>
      </c>
      <c r="C13" s="5" t="s">
        <v>151</v>
      </c>
      <c r="D13" s="5" t="s">
        <v>151</v>
      </c>
      <c r="E13" s="5" t="s">
        <v>158</v>
      </c>
      <c r="F13" s="5" t="s">
        <v>1115</v>
      </c>
    </row>
    <row r="14" spans="1:6" ht="30" customHeight="1" x14ac:dyDescent="0.35">
      <c r="A14" s="5" t="s">
        <v>1724</v>
      </c>
      <c r="B14" s="5" t="s">
        <v>1725</v>
      </c>
      <c r="C14" s="5" t="s">
        <v>151</v>
      </c>
      <c r="D14" s="5" t="s">
        <v>151</v>
      </c>
      <c r="E14" s="5" t="s">
        <v>158</v>
      </c>
      <c r="F14" s="5" t="s">
        <v>1115</v>
      </c>
    </row>
    <row r="15" spans="1:6" ht="30" customHeight="1" x14ac:dyDescent="0.35">
      <c r="A15" s="5" t="s">
        <v>1729</v>
      </c>
      <c r="B15" s="5" t="s">
        <v>1730</v>
      </c>
      <c r="C15" s="5" t="s">
        <v>151</v>
      </c>
      <c r="D15" s="5" t="s">
        <v>151</v>
      </c>
      <c r="E15" s="5" t="s">
        <v>158</v>
      </c>
      <c r="F15" s="5" t="s">
        <v>1115</v>
      </c>
    </row>
    <row r="16" spans="1:6" ht="30" customHeight="1" x14ac:dyDescent="0.35">
      <c r="A16" s="5" t="s">
        <v>1814</v>
      </c>
      <c r="B16" s="5" t="s">
        <v>1815</v>
      </c>
      <c r="C16" s="5" t="s">
        <v>121</v>
      </c>
      <c r="D16" s="5" t="s">
        <v>121</v>
      </c>
      <c r="E16" s="5" t="s">
        <v>73</v>
      </c>
      <c r="F16" s="5" t="s">
        <v>999</v>
      </c>
    </row>
    <row r="17" spans="1:6" ht="30" customHeight="1" x14ac:dyDescent="0.35">
      <c r="A17" s="5" t="s">
        <v>1819</v>
      </c>
      <c r="B17" s="5" t="s">
        <v>1820</v>
      </c>
      <c r="C17" s="5" t="s">
        <v>151</v>
      </c>
      <c r="D17" s="5" t="s">
        <v>151</v>
      </c>
      <c r="E17" s="5" t="s">
        <v>158</v>
      </c>
      <c r="F17" s="5" t="s">
        <v>1115</v>
      </c>
    </row>
    <row r="18" spans="1:6" ht="30" customHeight="1" x14ac:dyDescent="0.35">
      <c r="A18" s="5" t="s">
        <v>1870</v>
      </c>
      <c r="B18" s="5" t="s">
        <v>1871</v>
      </c>
      <c r="C18" s="5" t="s">
        <v>151</v>
      </c>
      <c r="D18" s="5" t="s">
        <v>151</v>
      </c>
      <c r="E18" s="5" t="s">
        <v>158</v>
      </c>
      <c r="F18" s="5" t="s">
        <v>1115</v>
      </c>
    </row>
    <row r="19" spans="1:6" ht="30" customHeight="1" x14ac:dyDescent="0.35">
      <c r="A19" s="5" t="s">
        <v>1875</v>
      </c>
      <c r="B19" s="5" t="s">
        <v>1876</v>
      </c>
      <c r="C19" s="5" t="s">
        <v>151</v>
      </c>
      <c r="D19" s="5" t="s">
        <v>151</v>
      </c>
      <c r="E19" s="5" t="s">
        <v>158</v>
      </c>
      <c r="F19" s="5" t="s">
        <v>1115</v>
      </c>
    </row>
    <row r="20" spans="1:6" ht="30" customHeight="1" x14ac:dyDescent="0.35">
      <c r="A20" s="5" t="s">
        <v>1939</v>
      </c>
      <c r="B20" s="5" t="s">
        <v>1940</v>
      </c>
      <c r="C20" s="5" t="s">
        <v>151</v>
      </c>
      <c r="D20" s="5" t="s">
        <v>151</v>
      </c>
      <c r="E20" s="5" t="s">
        <v>158</v>
      </c>
      <c r="F20" s="5" t="s">
        <v>1115</v>
      </c>
    </row>
    <row r="21" spans="1:6" ht="30" customHeight="1" x14ac:dyDescent="0.35">
      <c r="A21" s="5" t="s">
        <v>1963</v>
      </c>
      <c r="B21" s="5" t="s">
        <v>1964</v>
      </c>
      <c r="C21" s="5" t="s">
        <v>151</v>
      </c>
      <c r="D21" s="5" t="s">
        <v>151</v>
      </c>
      <c r="E21" s="5" t="s">
        <v>158</v>
      </c>
      <c r="F21" s="5" t="s">
        <v>1115</v>
      </c>
    </row>
    <row r="22" spans="1:6" ht="30" customHeight="1" x14ac:dyDescent="0.35">
      <c r="A22" s="5" t="s">
        <v>1986</v>
      </c>
      <c r="B22" s="5" t="s">
        <v>1987</v>
      </c>
      <c r="C22" s="5" t="s">
        <v>151</v>
      </c>
      <c r="D22" s="5" t="s">
        <v>151</v>
      </c>
      <c r="E22" s="5" t="s">
        <v>158</v>
      </c>
      <c r="F22" s="5" t="s">
        <v>1115</v>
      </c>
    </row>
    <row r="23" spans="1:6" ht="30" customHeight="1" x14ac:dyDescent="0.35">
      <c r="A23" s="5" t="s">
        <v>1992</v>
      </c>
      <c r="B23" s="5" t="s">
        <v>1993</v>
      </c>
      <c r="C23" s="5" t="s">
        <v>151</v>
      </c>
      <c r="D23" s="5" t="s">
        <v>151</v>
      </c>
      <c r="E23" s="5" t="s">
        <v>158</v>
      </c>
      <c r="F23" s="5" t="s">
        <v>1115</v>
      </c>
    </row>
    <row r="24" spans="1:6" ht="30" customHeight="1" x14ac:dyDescent="0.35">
      <c r="A24" s="5" t="s">
        <v>1999</v>
      </c>
      <c r="B24" s="5" t="s">
        <v>2000</v>
      </c>
      <c r="C24" s="5" t="s">
        <v>151</v>
      </c>
      <c r="D24" s="5" t="s">
        <v>151</v>
      </c>
      <c r="E24" s="5" t="s">
        <v>158</v>
      </c>
      <c r="F24" s="5" t="s">
        <v>1115</v>
      </c>
    </row>
    <row r="25" spans="1:6" ht="30" customHeight="1" x14ac:dyDescent="0.35">
      <c r="A25" s="5" t="s">
        <v>2016</v>
      </c>
      <c r="B25" s="5" t="s">
        <v>2017</v>
      </c>
      <c r="C25" s="5" t="s">
        <v>151</v>
      </c>
      <c r="D25" s="5" t="s">
        <v>151</v>
      </c>
      <c r="E25" s="5" t="s">
        <v>158</v>
      </c>
      <c r="F25" s="5" t="s">
        <v>1115</v>
      </c>
    </row>
    <row r="26" spans="1:6" ht="30" customHeight="1" x14ac:dyDescent="0.35">
      <c r="A26" s="5" t="s">
        <v>2021</v>
      </c>
      <c r="B26" s="5" t="s">
        <v>2022</v>
      </c>
      <c r="C26" s="5" t="s">
        <v>151</v>
      </c>
      <c r="D26" s="5" t="s">
        <v>151</v>
      </c>
      <c r="E26" s="5" t="s">
        <v>158</v>
      </c>
      <c r="F26" s="5" t="s">
        <v>1115</v>
      </c>
    </row>
    <row r="27" spans="1:6" ht="30" customHeight="1" x14ac:dyDescent="0.35">
      <c r="A27" s="5" t="s">
        <v>2075</v>
      </c>
      <c r="B27" s="5" t="s">
        <v>2076</v>
      </c>
      <c r="C27" s="5" t="s">
        <v>151</v>
      </c>
      <c r="D27" s="5" t="s">
        <v>151</v>
      </c>
      <c r="E27" s="5" t="s">
        <v>158</v>
      </c>
      <c r="F27" s="5" t="s">
        <v>1115</v>
      </c>
    </row>
    <row r="28" spans="1:6" ht="30" customHeight="1" x14ac:dyDescent="0.35">
      <c r="A28" s="5" t="s">
        <v>2125</v>
      </c>
      <c r="B28" s="5" t="s">
        <v>2126</v>
      </c>
      <c r="C28" s="5" t="s">
        <v>121</v>
      </c>
      <c r="D28" s="5" t="s">
        <v>121</v>
      </c>
      <c r="E28" s="5" t="s">
        <v>73</v>
      </c>
      <c r="F28" s="5" t="s">
        <v>999</v>
      </c>
    </row>
    <row r="29" spans="1:6" ht="30" customHeight="1" x14ac:dyDescent="0.35">
      <c r="A29" s="5" t="s">
        <v>2162</v>
      </c>
      <c r="B29" s="5" t="s">
        <v>2163</v>
      </c>
      <c r="C29" s="5" t="s">
        <v>121</v>
      </c>
      <c r="D29" s="5" t="s">
        <v>121</v>
      </c>
      <c r="E29" s="5" t="s">
        <v>73</v>
      </c>
      <c r="F29" s="5" t="s">
        <v>999</v>
      </c>
    </row>
    <row r="30" spans="1:6" ht="30" customHeight="1" x14ac:dyDescent="0.35">
      <c r="A30" s="5" t="s">
        <v>2219</v>
      </c>
      <c r="B30" s="5" t="s">
        <v>2220</v>
      </c>
      <c r="C30" s="5" t="s">
        <v>121</v>
      </c>
      <c r="D30" s="5" t="s">
        <v>121</v>
      </c>
      <c r="E30" s="5" t="s">
        <v>73</v>
      </c>
      <c r="F30" s="5" t="s">
        <v>999</v>
      </c>
    </row>
    <row r="31" spans="1:6" ht="30" customHeight="1" x14ac:dyDescent="0.35">
      <c r="A31" s="5" t="s">
        <v>2234</v>
      </c>
      <c r="B31" s="5" t="s">
        <v>2235</v>
      </c>
      <c r="C31" s="5" t="s">
        <v>121</v>
      </c>
      <c r="D31" s="5" t="s">
        <v>121</v>
      </c>
      <c r="E31" s="5" t="s">
        <v>73</v>
      </c>
      <c r="F31" s="5" t="s">
        <v>999</v>
      </c>
    </row>
    <row r="32" spans="1:6" ht="30" customHeight="1" x14ac:dyDescent="0.35">
      <c r="A32" s="5" t="s">
        <v>2278</v>
      </c>
      <c r="B32" s="5" t="s">
        <v>2279</v>
      </c>
      <c r="C32" s="5" t="s">
        <v>121</v>
      </c>
      <c r="D32" s="5" t="s">
        <v>121</v>
      </c>
      <c r="E32" s="5" t="s">
        <v>73</v>
      </c>
      <c r="F32" s="5" t="s">
        <v>999</v>
      </c>
    </row>
    <row r="33" spans="1:6" ht="30" customHeight="1" x14ac:dyDescent="0.35">
      <c r="A33" s="5" t="s">
        <v>2322</v>
      </c>
      <c r="B33" s="5" t="s">
        <v>2323</v>
      </c>
      <c r="C33" s="5" t="s">
        <v>121</v>
      </c>
      <c r="D33" s="5" t="s">
        <v>121</v>
      </c>
      <c r="E33" s="5" t="s">
        <v>73</v>
      </c>
      <c r="F33" s="5" t="s">
        <v>999</v>
      </c>
    </row>
    <row r="34" spans="1:6" ht="30" customHeight="1" x14ac:dyDescent="0.35">
      <c r="A34" s="5" t="s">
        <v>2333</v>
      </c>
      <c r="B34" s="5" t="s">
        <v>2334</v>
      </c>
      <c r="C34" s="5" t="s">
        <v>121</v>
      </c>
      <c r="D34" s="5" t="s">
        <v>121</v>
      </c>
      <c r="E34" s="5" t="s">
        <v>73</v>
      </c>
      <c r="F34" s="5" t="s">
        <v>999</v>
      </c>
    </row>
    <row r="35" spans="1:6" ht="30" customHeight="1" x14ac:dyDescent="0.35">
      <c r="A35" s="5" t="s">
        <v>2356</v>
      </c>
      <c r="B35" s="5" t="s">
        <v>2357</v>
      </c>
      <c r="C35" s="5" t="s">
        <v>121</v>
      </c>
      <c r="D35" s="5" t="s">
        <v>121</v>
      </c>
      <c r="E35" s="5" t="s">
        <v>73</v>
      </c>
      <c r="F35" s="5" t="s">
        <v>999</v>
      </c>
    </row>
    <row r="36" spans="1:6" ht="30" customHeight="1" x14ac:dyDescent="0.35">
      <c r="A36" s="5" t="s">
        <v>2370</v>
      </c>
      <c r="B36" s="5" t="s">
        <v>2371</v>
      </c>
      <c r="C36" s="5" t="s">
        <v>121</v>
      </c>
      <c r="D36" s="5" t="s">
        <v>121</v>
      </c>
      <c r="E36" s="5" t="s">
        <v>73</v>
      </c>
      <c r="F36" s="5" t="s">
        <v>999</v>
      </c>
    </row>
    <row r="37" spans="1:6" ht="30" customHeight="1" x14ac:dyDescent="0.35">
      <c r="A37" s="5" t="s">
        <v>2394</v>
      </c>
      <c r="B37" s="5" t="s">
        <v>2395</v>
      </c>
      <c r="C37" s="5" t="s">
        <v>121</v>
      </c>
      <c r="D37" s="5" t="s">
        <v>121</v>
      </c>
      <c r="E37" s="5" t="s">
        <v>73</v>
      </c>
      <c r="F37" s="5" t="s">
        <v>999</v>
      </c>
    </row>
    <row r="38" spans="1:6" ht="30" customHeight="1" x14ac:dyDescent="0.35">
      <c r="A38" s="5" t="s">
        <v>2437</v>
      </c>
      <c r="B38" s="5" t="s">
        <v>2438</v>
      </c>
      <c r="C38" s="5" t="s">
        <v>121</v>
      </c>
      <c r="D38" s="5" t="s">
        <v>121</v>
      </c>
      <c r="E38" s="5" t="s">
        <v>73</v>
      </c>
      <c r="F38" s="5" t="s">
        <v>999</v>
      </c>
    </row>
    <row r="39" spans="1:6" ht="30" customHeight="1" x14ac:dyDescent="0.35">
      <c r="A39" s="5" t="s">
        <v>2452</v>
      </c>
      <c r="B39" s="5" t="s">
        <v>2453</v>
      </c>
      <c r="C39" s="5" t="s">
        <v>73</v>
      </c>
      <c r="D39" s="5" t="s">
        <v>73</v>
      </c>
      <c r="E39" s="5" t="s">
        <v>121</v>
      </c>
      <c r="F39" s="5" t="s">
        <v>2458</v>
      </c>
    </row>
    <row r="40" spans="1:6" ht="30" customHeight="1" x14ac:dyDescent="0.35">
      <c r="A40" s="5" t="s">
        <v>2576</v>
      </c>
      <c r="B40" s="5" t="s">
        <v>2577</v>
      </c>
      <c r="C40" s="5" t="s">
        <v>121</v>
      </c>
      <c r="D40" s="5" t="s">
        <v>121</v>
      </c>
      <c r="E40" s="5" t="s">
        <v>73</v>
      </c>
      <c r="F40" s="5" t="s">
        <v>999</v>
      </c>
    </row>
    <row r="41" spans="1:6" ht="30" customHeight="1" x14ac:dyDescent="0.35">
      <c r="A41" s="5" t="s">
        <v>2637</v>
      </c>
      <c r="B41" s="5" t="s">
        <v>2638</v>
      </c>
      <c r="C41" s="5" t="s">
        <v>121</v>
      </c>
      <c r="D41" s="5" t="s">
        <v>121</v>
      </c>
      <c r="E41" s="5" t="s">
        <v>73</v>
      </c>
      <c r="F41" s="5" t="s">
        <v>999</v>
      </c>
    </row>
    <row r="42" spans="1:6" ht="30" customHeight="1" x14ac:dyDescent="0.35">
      <c r="A42" s="5" t="s">
        <v>2685</v>
      </c>
      <c r="B42" s="5" t="s">
        <v>2686</v>
      </c>
      <c r="C42" s="5" t="s">
        <v>121</v>
      </c>
      <c r="D42" s="5" t="s">
        <v>121</v>
      </c>
      <c r="E42" s="5" t="s">
        <v>73</v>
      </c>
      <c r="F42" s="5" t="s">
        <v>999</v>
      </c>
    </row>
    <row r="43" spans="1:6" ht="30" customHeight="1" x14ac:dyDescent="0.35">
      <c r="A43" s="5" t="s">
        <v>2764</v>
      </c>
      <c r="B43" s="5" t="s">
        <v>2765</v>
      </c>
      <c r="C43" s="5" t="s">
        <v>121</v>
      </c>
      <c r="D43" s="5" t="s">
        <v>121</v>
      </c>
      <c r="E43" s="5" t="s">
        <v>73</v>
      </c>
      <c r="F43" s="5" t="s">
        <v>999</v>
      </c>
    </row>
    <row r="44" spans="1:6" ht="30" customHeight="1" x14ac:dyDescent="0.35">
      <c r="A44" s="5" t="s">
        <v>2801</v>
      </c>
      <c r="B44" s="5" t="s">
        <v>2802</v>
      </c>
      <c r="C44" s="5" t="s">
        <v>121</v>
      </c>
      <c r="D44" s="5" t="s">
        <v>121</v>
      </c>
      <c r="E44" s="5" t="s">
        <v>73</v>
      </c>
      <c r="F44" s="5" t="s">
        <v>999</v>
      </c>
    </row>
    <row r="45" spans="1:6" ht="30" customHeight="1" x14ac:dyDescent="0.35">
      <c r="A45" s="5" t="s">
        <v>2880</v>
      </c>
      <c r="B45" s="5" t="s">
        <v>2881</v>
      </c>
      <c r="C45" s="5" t="s">
        <v>121</v>
      </c>
      <c r="D45" s="5" t="s">
        <v>121</v>
      </c>
      <c r="E45" s="5" t="s">
        <v>73</v>
      </c>
      <c r="F45" s="5" t="s">
        <v>999</v>
      </c>
    </row>
    <row r="46" spans="1:6" ht="30" customHeight="1" x14ac:dyDescent="0.35">
      <c r="A46" s="5" t="s">
        <v>2984</v>
      </c>
      <c r="B46" s="5" t="s">
        <v>2985</v>
      </c>
      <c r="C46" s="5" t="s">
        <v>121</v>
      </c>
      <c r="D46" s="5" t="s">
        <v>121</v>
      </c>
      <c r="E46" s="5" t="s">
        <v>73</v>
      </c>
      <c r="F46" s="5" t="s">
        <v>999</v>
      </c>
    </row>
    <row r="47" spans="1:6" ht="30" customHeight="1" x14ac:dyDescent="0.35">
      <c r="A47" s="5" t="s">
        <v>3044</v>
      </c>
      <c r="B47" s="5" t="s">
        <v>3045</v>
      </c>
      <c r="C47" s="5" t="s">
        <v>121</v>
      </c>
      <c r="D47" s="5" t="s">
        <v>121</v>
      </c>
      <c r="E47" s="5" t="s">
        <v>73</v>
      </c>
      <c r="F47" s="5" t="s">
        <v>999</v>
      </c>
    </row>
    <row r="48" spans="1:6" ht="30" customHeight="1" x14ac:dyDescent="0.35">
      <c r="A48" s="5" t="s">
        <v>3164</v>
      </c>
      <c r="B48" s="5" t="s">
        <v>3165</v>
      </c>
      <c r="C48" s="5" t="s">
        <v>121</v>
      </c>
      <c r="D48" s="5" t="s">
        <v>121</v>
      </c>
      <c r="E48" s="5" t="s">
        <v>73</v>
      </c>
      <c r="F48" s="5" t="s">
        <v>999</v>
      </c>
    </row>
    <row r="49" spans="1:6" ht="30" customHeight="1" x14ac:dyDescent="0.35">
      <c r="A49" s="5" t="s">
        <v>3556</v>
      </c>
      <c r="B49" s="5" t="s">
        <v>3557</v>
      </c>
      <c r="C49" s="5" t="s">
        <v>121</v>
      </c>
      <c r="D49" s="5" t="s">
        <v>121</v>
      </c>
      <c r="E49" s="5" t="s">
        <v>73</v>
      </c>
      <c r="F49" s="5" t="s">
        <v>999</v>
      </c>
    </row>
    <row r="50" spans="1:6" ht="30" customHeight="1" x14ac:dyDescent="0.35">
      <c r="A50" s="5" t="s">
        <v>3561</v>
      </c>
      <c r="B50" s="5" t="s">
        <v>3562</v>
      </c>
      <c r="C50" s="5" t="s">
        <v>121</v>
      </c>
      <c r="D50" s="5" t="s">
        <v>121</v>
      </c>
      <c r="E50" s="5" t="s">
        <v>73</v>
      </c>
      <c r="F50" s="5" t="s">
        <v>999</v>
      </c>
    </row>
    <row r="51" spans="1:6" ht="30" customHeight="1" x14ac:dyDescent="0.35">
      <c r="A51" s="5" t="s">
        <v>3622</v>
      </c>
      <c r="B51" s="5" t="s">
        <v>3623</v>
      </c>
      <c r="C51" s="5" t="s">
        <v>121</v>
      </c>
      <c r="D51" s="5" t="s">
        <v>121</v>
      </c>
      <c r="E51" s="5" t="s">
        <v>73</v>
      </c>
      <c r="F51" s="5" t="s">
        <v>999</v>
      </c>
    </row>
    <row r="52" spans="1:6" ht="30" customHeight="1" x14ac:dyDescent="0.35">
      <c r="A52" s="5" t="s">
        <v>3648</v>
      </c>
      <c r="B52" s="5" t="s">
        <v>3649</v>
      </c>
      <c r="C52" s="5" t="s">
        <v>121</v>
      </c>
      <c r="D52" s="5" t="s">
        <v>121</v>
      </c>
      <c r="E52" s="5" t="s">
        <v>73</v>
      </c>
      <c r="F52" s="5" t="s">
        <v>999</v>
      </c>
    </row>
    <row r="53" spans="1:6" ht="30" customHeight="1" x14ac:dyDescent="0.35">
      <c r="A53" s="5" t="s">
        <v>3655</v>
      </c>
      <c r="B53" s="5" t="s">
        <v>3656</v>
      </c>
      <c r="C53" s="5" t="s">
        <v>121</v>
      </c>
      <c r="D53" s="5" t="s">
        <v>121</v>
      </c>
      <c r="E53" s="5" t="s">
        <v>73</v>
      </c>
      <c r="F53" s="5" t="s">
        <v>999</v>
      </c>
    </row>
    <row r="54" spans="1:6" ht="30" customHeight="1" x14ac:dyDescent="0.35">
      <c r="A54" s="5" t="s">
        <v>3660</v>
      </c>
      <c r="B54" s="5" t="s">
        <v>3661</v>
      </c>
      <c r="C54" s="5" t="s">
        <v>121</v>
      </c>
      <c r="D54" s="5" t="s">
        <v>121</v>
      </c>
      <c r="E54" s="5" t="s">
        <v>73</v>
      </c>
      <c r="F54" s="5" t="s">
        <v>999</v>
      </c>
    </row>
    <row r="55" spans="1:6" ht="30" customHeight="1" x14ac:dyDescent="0.35">
      <c r="A55" s="5" t="s">
        <v>3927</v>
      </c>
      <c r="B55" s="5" t="s">
        <v>3928</v>
      </c>
      <c r="C55" s="5" t="s">
        <v>121</v>
      </c>
      <c r="D55" s="5" t="s">
        <v>121</v>
      </c>
      <c r="E55" s="5" t="s">
        <v>73</v>
      </c>
      <c r="F55" s="5" t="s">
        <v>999</v>
      </c>
    </row>
    <row r="56" spans="1:6" ht="30" customHeight="1" x14ac:dyDescent="0.35">
      <c r="A56" s="5" t="s">
        <v>4023</v>
      </c>
      <c r="B56" s="5" t="s">
        <v>4024</v>
      </c>
      <c r="C56" s="5" t="s">
        <v>151</v>
      </c>
      <c r="D56" s="5" t="s">
        <v>151</v>
      </c>
      <c r="E56" s="5" t="s">
        <v>158</v>
      </c>
      <c r="F56" s="5" t="s">
        <v>1115</v>
      </c>
    </row>
    <row r="57" spans="1:6" ht="30" customHeight="1" x14ac:dyDescent="0.35">
      <c r="A57" s="5" t="s">
        <v>4123</v>
      </c>
      <c r="B57" s="5" t="s">
        <v>4124</v>
      </c>
      <c r="C57" s="5" t="s">
        <v>151</v>
      </c>
      <c r="D57" s="5" t="s">
        <v>151</v>
      </c>
      <c r="E57" s="5" t="s">
        <v>158</v>
      </c>
      <c r="F57" s="5" t="s">
        <v>1115</v>
      </c>
    </row>
    <row r="58" spans="1:6" ht="30" customHeight="1" x14ac:dyDescent="0.35">
      <c r="A58" s="5" t="s">
        <v>156</v>
      </c>
      <c r="B58" s="5" t="s">
        <v>786</v>
      </c>
      <c r="C58" s="5" t="s">
        <v>151</v>
      </c>
      <c r="D58" s="5" t="s">
        <v>158</v>
      </c>
      <c r="E58" s="5" t="s">
        <v>151</v>
      </c>
      <c r="F58" s="5" t="s">
        <v>4426</v>
      </c>
    </row>
    <row r="59" spans="1:6" ht="30" customHeight="1" x14ac:dyDescent="0.35">
      <c r="A59" s="5" t="s">
        <v>4434</v>
      </c>
      <c r="B59" s="5" t="s">
        <v>4435</v>
      </c>
      <c r="C59" s="5" t="s">
        <v>151</v>
      </c>
      <c r="D59" s="5" t="s">
        <v>151</v>
      </c>
      <c r="E59" s="5" t="s">
        <v>158</v>
      </c>
      <c r="F59" s="5" t="s">
        <v>1115</v>
      </c>
    </row>
    <row r="60" spans="1:6" ht="30" customHeight="1" x14ac:dyDescent="0.35">
      <c r="A60" s="5" t="s">
        <v>4767</v>
      </c>
      <c r="B60" s="5" t="s">
        <v>4768</v>
      </c>
      <c r="C60" s="5" t="s">
        <v>121</v>
      </c>
      <c r="D60" s="5" t="s">
        <v>121</v>
      </c>
      <c r="E60" s="5" t="s">
        <v>73</v>
      </c>
      <c r="F60" s="5" t="s">
        <v>999</v>
      </c>
    </row>
    <row r="61" spans="1:6" ht="30" customHeight="1" x14ac:dyDescent="0.35">
      <c r="A61" s="5" t="s">
        <v>4929</v>
      </c>
      <c r="B61" s="5" t="s">
        <v>4930</v>
      </c>
      <c r="C61" s="5" t="s">
        <v>121</v>
      </c>
      <c r="D61" s="5" t="s">
        <v>121</v>
      </c>
      <c r="E61" s="5" t="s">
        <v>73</v>
      </c>
      <c r="F61" s="5" t="s">
        <v>999</v>
      </c>
    </row>
    <row r="62" spans="1:6" ht="30" customHeight="1" x14ac:dyDescent="0.35">
      <c r="A62" s="5" t="s">
        <v>5044</v>
      </c>
      <c r="B62" s="5" t="s">
        <v>5045</v>
      </c>
      <c r="C62" s="5" t="s">
        <v>121</v>
      </c>
      <c r="D62" s="5" t="s">
        <v>121</v>
      </c>
      <c r="E62" s="5" t="s">
        <v>158</v>
      </c>
      <c r="F62" s="5" t="s">
        <v>5050</v>
      </c>
    </row>
    <row r="63" spans="1:6" ht="30" customHeight="1" x14ac:dyDescent="0.35">
      <c r="A63" s="5" t="s">
        <v>5129</v>
      </c>
      <c r="B63" s="5" t="s">
        <v>5130</v>
      </c>
      <c r="C63" s="5" t="s">
        <v>121</v>
      </c>
      <c r="D63" s="5" t="s">
        <v>121</v>
      </c>
      <c r="E63" s="5" t="s">
        <v>73</v>
      </c>
      <c r="F63" s="5" t="s">
        <v>999</v>
      </c>
    </row>
  </sheetData>
  <autoFilter ref="A3:F63" xr:uid="{00000000-0009-0000-0000-00001D000000}"/>
  <mergeCells count="1">
    <mergeCell ref="A2:F2"/>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21</vt:i4>
      </vt:variant>
    </vt:vector>
  </HeadingPairs>
  <TitlesOfParts>
    <vt:vector size="51" baseType="lpstr">
      <vt:lpstr>Founder view</vt:lpstr>
      <vt:lpstr>Pilot readiness</vt:lpstr>
      <vt:lpstr>P0 gap decisions</vt:lpstr>
      <vt:lpstr>Weekly snapshot</vt:lpstr>
      <vt:lpstr>How to read</vt:lpstr>
      <vt:lpstr>Review findings</vt:lpstr>
      <vt:lpstr>Review disposition</vt:lpstr>
      <vt:lpstr>OS architecture</vt:lpstr>
      <vt:lpstr>Business events</vt:lpstr>
      <vt:lpstr>State machines</vt:lpstr>
      <vt:lpstr>Business integrity</vt:lpstr>
      <vt:lpstr>Failure and recovery</vt:lpstr>
      <vt:lpstr>Concurrency</vt:lpstr>
      <vt:lpstr>Security assurance</vt:lpstr>
      <vt:lpstr>Integration reliability</vt:lpstr>
      <vt:lpstr>Performance SLA</vt:lpstr>
      <vt:lpstr>Customer evidence</vt:lpstr>
      <vt:lpstr>Capability evidence</vt:lpstr>
      <vt:lpstr>OS readiness</vt:lpstr>
      <vt:lpstr>Coverage Dashboard</vt:lpstr>
      <vt:lpstr>Priority re-tier</vt:lpstr>
      <vt:lpstr>Task Register</vt:lpstr>
      <vt:lpstr>Flows</vt:lpstr>
      <vt:lpstr>Persona Coverage</vt:lpstr>
      <vt:lpstr>Role rollup</vt:lpstr>
      <vt:lpstr>Scope inventory</vt:lpstr>
      <vt:lpstr>Competitive</vt:lpstr>
      <vt:lpstr>UX and recovery</vt:lpstr>
      <vt:lpstr>Security and SaaS</vt:lpstr>
      <vt:lpstr>Priority decisions</vt:lpstr>
      <vt:lpstr>'Business events'!Print_Titles</vt:lpstr>
      <vt:lpstr>'Business integrity'!Print_Titles</vt:lpstr>
      <vt:lpstr>'Capability evidence'!Print_Titles</vt:lpstr>
      <vt:lpstr>Competitive!Print_Titles</vt:lpstr>
      <vt:lpstr>Concurrency!Print_Titles</vt:lpstr>
      <vt:lpstr>'Customer evidence'!Print_Titles</vt:lpstr>
      <vt:lpstr>'Failure and recovery'!Print_Titles</vt:lpstr>
      <vt:lpstr>Flows!Print_Titles</vt:lpstr>
      <vt:lpstr>'Integration reliability'!Print_Titles</vt:lpstr>
      <vt:lpstr>'Performance SLA'!Print_Titles</vt:lpstr>
      <vt:lpstr>'Persona Coverage'!Print_Titles</vt:lpstr>
      <vt:lpstr>'Priority decisions'!Print_Titles</vt:lpstr>
      <vt:lpstr>'Review disposition'!Print_Titles</vt:lpstr>
      <vt:lpstr>'Review findings'!Print_Titles</vt:lpstr>
      <vt:lpstr>'Scope inventory'!Print_Titles</vt:lpstr>
      <vt:lpstr>'Security and SaaS'!Print_Titles</vt:lpstr>
      <vt:lpstr>'Security assurance'!Print_Titles</vt:lpstr>
      <vt:lpstr>'State machines'!Print_Titles</vt:lpstr>
      <vt:lpstr>'Task Register'!Print_Titles</vt:lpstr>
      <vt:lpstr>'UX and recovery'!Print_Titles</vt:lpstr>
      <vt:lpstr>'Weekly snapshot'!Print_Titles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BizBoard reviewed task register</dc:title>
  <dc:subject>770-task register plus an OS control layer that is not yet proven</dc:subject>
  <dc:creator>BizBoard task register review</dc:creator>
  <cp:lastModifiedBy>paurush kulshrestha</cp:lastModifiedBy>
  <dcterms:created xsi:type="dcterms:W3CDTF">2026-10-04T07:05:36Z</dcterms:created>
  <dcterms:modified xsi:type="dcterms:W3CDTF">2026-10-04T07:21:46Z</dcterms:modified>
</cp:coreProperties>
</file>