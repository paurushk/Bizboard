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aS Checklist" sheetId="2" state="visible" r:id="rId2"/>
    <sheet name="Read Me" sheetId="3" state="visible" r:id="rId3"/>
  </sheets>
  <definedNames>
    <definedName name="_xlnm._FilterDatabase" localSheetId="1" hidden="1">'SaaS Checklist'!$A$1:$K$151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FFFFFF"/>
      <sz val="16"/>
    </font>
    <font>
      <b val="1"/>
    </font>
    <font>
      <b val="1"/>
      <color rgb="00FFFFFF"/>
      <sz val="15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4" fillId="0" borderId="2" pivotButton="0" quotePrefix="0" xfId="0"/>
    <xf numFmtId="0" fontId="0" fillId="0" borderId="2" pivotButton="0" quotePrefix="0" xfId="0"/>
    <xf numFmtId="9" fontId="0" fillId="0" borderId="2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Checklist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'Summary'!E4</f>
            </strRef>
          </tx>
          <spPr>
            <a:ln>
              <a:prstDash val="solid"/>
            </a:ln>
          </spPr>
          <cat>
            <numRef>
              <f>'Summary'!$D$5:$D$9</f>
            </numRef>
          </cat>
          <val>
            <numRef>
              <f>'Summary'!$E$5:$E$9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izboardSaaSChecklist" displayName="BizboardSaaSChecklist" ref="A1:K151" headerRowCount="1">
  <autoFilter ref="A1:K151"/>
  <tableColumns count="11">
    <tableColumn id="1" name="ID"/>
    <tableColumn id="2" name="Category"/>
    <tableColumn id="3" name="Checklist Item"/>
    <tableColumn id="4" name="Priority"/>
    <tableColumn id="5" name="Status"/>
    <tableColumn id="6" name="Owner"/>
    <tableColumn id="7" name="Target Date"/>
    <tableColumn id="8" name="Evidence / Test ID"/>
    <tableColumn id="9" name="Defect / Risk ID"/>
    <tableColumn id="10" name="Launch Blocker?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BIZBOARD — SaaS READINESS DASHBOARD</t>
        </is>
      </c>
    </row>
    <row r="2" ht="32" customHeight="1">
      <c r="A2" s="2" t="inlineStr">
        <is>
          <t>Use the Checklist sheet to update status, owner, due date and evidence. Summary metrics update automatically.</t>
        </is>
      </c>
    </row>
    <row r="3">
      <c r="A3" t="inlineStr">
        <is>
          <t>Status as of 2026-10-23 (deep-review fixes + ops pass recorded; 2026-10-24: 10 engineering items closed, BB-100 walk-through, second pass and F10 done; decisions D-01..D-20 in docs/roadmap/DECISIONS_2026-10-24.md, sign-off pack drafted for 15) from repo evidence. Nothing is proven on hosted staging yet; HO-n = people item n in docs/roadmap/SAAS_READINESS_HANDOVER_2026-10-22.md.</t>
        </is>
      </c>
    </row>
    <row r="4">
      <c r="A4" s="3" t="inlineStr">
        <is>
          <t>Metric</t>
        </is>
      </c>
      <c r="B4" s="3" t="inlineStr">
        <is>
          <t>Value</t>
        </is>
      </c>
      <c r="D4" s="3" t="inlineStr">
        <is>
          <t>Status</t>
        </is>
      </c>
      <c r="E4" s="3" t="inlineStr">
        <is>
          <t>Count</t>
        </is>
      </c>
    </row>
    <row r="5">
      <c r="A5" s="4" t="inlineStr">
        <is>
          <t>Total checklist items</t>
        </is>
      </c>
      <c r="B5" s="5">
        <f>COUNTA('SaaS Checklist'!A2:A151)</f>
        <v/>
      </c>
      <c r="D5" t="inlineStr">
        <is>
          <t>Not Started</t>
        </is>
      </c>
      <c r="E5">
        <f>COUNTIF('SaaS Checklist'!E2:E151,D5)</f>
        <v/>
      </c>
    </row>
    <row r="6">
      <c r="A6" s="4" t="inlineStr">
        <is>
          <t>Passed</t>
        </is>
      </c>
      <c r="B6" s="5">
        <f>COUNTIF('SaaS Checklist'!E2:E151,"Passed")</f>
        <v/>
      </c>
      <c r="D6" t="inlineStr">
        <is>
          <t>In Progress</t>
        </is>
      </c>
      <c r="E6">
        <f>COUNTIF('SaaS Checklist'!E2:E151,D6)</f>
        <v/>
      </c>
    </row>
    <row r="7">
      <c r="A7" s="4" t="inlineStr">
        <is>
          <t>In Progress</t>
        </is>
      </c>
      <c r="B7" s="5">
        <f>COUNTIF('SaaS Checklist'!E2:E151,"In Progress")</f>
        <v/>
      </c>
      <c r="D7" t="inlineStr">
        <is>
          <t>Blocked</t>
        </is>
      </c>
      <c r="E7">
        <f>COUNTIF('SaaS Checklist'!E2:E151,D7)</f>
        <v/>
      </c>
    </row>
    <row r="8">
      <c r="A8" s="4" t="inlineStr">
        <is>
          <t>Blocked</t>
        </is>
      </c>
      <c r="B8" s="5">
        <f>COUNTIF('SaaS Checklist'!E2:E151,"Blocked")</f>
        <v/>
      </c>
      <c r="D8" t="inlineStr">
        <is>
          <t>Passed</t>
        </is>
      </c>
      <c r="E8">
        <f>COUNTIF('SaaS Checklist'!E2:E151,D8)</f>
        <v/>
      </c>
    </row>
    <row r="9">
      <c r="A9" s="4" t="inlineStr">
        <is>
          <t>Not Started</t>
        </is>
      </c>
      <c r="B9" s="5">
        <f>COUNTIF('SaaS Checklist'!E2:E151,"Not Started")</f>
        <v/>
      </c>
      <c r="D9" t="inlineStr">
        <is>
          <t>Accepted Risk</t>
        </is>
      </c>
      <c r="E9">
        <f>COUNTIF('SaaS Checklist'!E2:E151,D9)</f>
        <v/>
      </c>
    </row>
    <row r="10">
      <c r="A10" s="4" t="inlineStr">
        <is>
          <t>Accepted Risk</t>
        </is>
      </c>
      <c r="B10" s="5">
        <f>COUNTIF('SaaS Checklist'!E2:E151,"Accepted Risk")</f>
        <v/>
      </c>
    </row>
    <row r="11">
      <c r="A11" s="4" t="inlineStr">
        <is>
          <t>Completion %</t>
        </is>
      </c>
      <c r="B11" s="6">
        <f>IF(B5=0,0,B6/B5)</f>
        <v/>
      </c>
    </row>
    <row r="14">
      <c r="A14" s="7" t="inlineStr">
        <is>
          <t>Suggested launch gates</t>
        </is>
      </c>
    </row>
    <row r="15" ht="28" customHeight="1">
      <c r="A15" s="2" t="inlineStr">
        <is>
          <t>1. Stabilize core workflows: sales, purchase, inventory, GST and reconciliation.</t>
        </is>
      </c>
    </row>
    <row r="16" ht="28" customHeight="1">
      <c r="A16" s="2" t="inlineStr">
        <is>
          <t>2. Validate with real business users and capture acceptance evidence.</t>
        </is>
      </c>
    </row>
    <row r="17" ht="28" customHeight="1">
      <c r="A17" s="2" t="inlineStr">
        <is>
          <t>3. Prove tenant isolation, access controls and production security.</t>
        </is>
      </c>
    </row>
    <row r="18" ht="28" customHeight="1">
      <c r="A18" s="2" t="inlineStr">
        <is>
          <t>4. Test backup restoration, monitoring, incident response and rollback.</t>
        </is>
      </c>
    </row>
    <row r="19" ht="28" customHeight="1">
      <c r="A19" s="2" t="inlineStr">
        <is>
          <t>5. Launch to a limited cohort only after critical gates pass.</t>
        </is>
      </c>
    </row>
  </sheetData>
  <mergeCells count="8">
    <mergeCell ref="A2:F2"/>
    <mergeCell ref="A16:F16"/>
    <mergeCell ref="A19:F19"/>
    <mergeCell ref="A14:F14"/>
    <mergeCell ref="A1:F1"/>
    <mergeCell ref="A17:F17"/>
    <mergeCell ref="A18:F18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2" customWidth="1" min="3" max="3"/>
    <col width="14" customWidth="1" min="4" max="4"/>
    <col width="18" customWidth="1" min="5" max="5"/>
    <col width="18" customWidth="1" min="6" max="6"/>
    <col width="16" customWidth="1" min="7" max="7"/>
    <col width="55" customWidth="1" min="8" max="8"/>
    <col width="22" customWidth="1" min="9" max="9"/>
    <col width="17" customWidth="1" min="10" max="10"/>
    <col width="50" customWidth="1" min="11" max="11"/>
  </cols>
  <sheetData>
    <row r="1" ht="34" customHeight="1">
      <c r="A1" s="8" t="inlineStr">
        <is>
          <t>ID</t>
        </is>
      </c>
      <c r="B1" s="8" t="inlineStr">
        <is>
          <t>Category</t>
        </is>
      </c>
      <c r="C1" s="8" t="inlineStr">
        <is>
          <t>Checklist Item</t>
        </is>
      </c>
      <c r="D1" s="8" t="inlineStr">
        <is>
          <t>Priority</t>
        </is>
      </c>
      <c r="E1" s="8" t="inlineStr">
        <is>
          <t>Status</t>
        </is>
      </c>
      <c r="F1" s="8" t="inlineStr">
        <is>
          <t>Owner</t>
        </is>
      </c>
      <c r="G1" s="8" t="inlineStr">
        <is>
          <t>Target Date</t>
        </is>
      </c>
      <c r="H1" s="8" t="inlineStr">
        <is>
          <t>Evidence / Test ID</t>
        </is>
      </c>
      <c r="I1" s="8" t="inlineStr">
        <is>
          <t>Defect / Risk ID</t>
        </is>
      </c>
      <c r="J1" s="8" t="inlineStr">
        <is>
          <t>Launch Blocker?</t>
        </is>
      </c>
      <c r="K1" s="8" t="inlineStr">
        <is>
          <t>Notes</t>
        </is>
      </c>
    </row>
    <row r="2">
      <c r="A2" s="9" t="inlineStr">
        <is>
          <t>BB-001</t>
        </is>
      </c>
      <c r="B2" s="10" t="inlineStr">
        <is>
          <t>Product &amp; Scope</t>
        </is>
      </c>
      <c r="C2" s="10" t="inlineStr">
        <is>
          <t>Define target customers and Ideal Customer Profile (ICP)</t>
        </is>
      </c>
      <c r="D2" s="10" t="inlineStr">
        <is>
          <t>High</t>
        </is>
      </c>
      <c r="E2" s="10" t="inlineStr">
        <is>
          <t>In Progress</t>
        </is>
      </c>
      <c r="F2" s="10" t="inlineStr">
        <is>
          <t>Product</t>
        </is>
      </c>
      <c r="G2" s="10" t="n"/>
      <c r="H2" s="10" t="inlineStr">
        <is>
          <t>docs/BUSINESS_ARCHETYPES_AND_PERSONAS.md; docs/roadmap/GROWTH_OS_DECISIONS_2026-09-30.md</t>
        </is>
      </c>
      <c r="I2" s="10" t="n"/>
      <c r="J2" s="10" t="inlineStr">
        <is>
          <t>No</t>
        </is>
      </c>
      <c r="K2" s="10" t="inlineStr">
        <is>
          <t>ICP drafted (archetypes + 3 growth pilots); not signed by founder.</t>
        </is>
      </c>
    </row>
    <row r="3">
      <c r="A3" s="9" t="inlineStr">
        <is>
          <t>BB-002</t>
        </is>
      </c>
      <c r="B3" s="10" t="inlineStr">
        <is>
          <t>Product &amp; Scope</t>
        </is>
      </c>
      <c r="C3" s="10" t="inlineStr">
        <is>
          <t>Finalize supported business types and customer personas</t>
        </is>
      </c>
      <c r="D3" s="10" t="inlineStr">
        <is>
          <t>High</t>
        </is>
      </c>
      <c r="E3" s="10" t="inlineStr">
        <is>
          <t>In Progress</t>
        </is>
      </c>
      <c r="F3" s="10" t="inlineStr">
        <is>
          <t>Product</t>
        </is>
      </c>
      <c r="G3" s="10" t="n"/>
      <c r="H3" s="10" t="inlineStr">
        <is>
          <t>docs/BUSINESS_ARCHETYPES_AND_PERSONAS.md; docs/FULL_SPECTRUM_PERSONA_VALIDATION_PLAN.md</t>
        </is>
      </c>
      <c r="I3" s="10" t="n"/>
      <c r="J3" s="10" t="inlineStr">
        <is>
          <t>No</t>
        </is>
      </c>
      <c r="K3" s="10" t="inlineStr">
        <is>
          <t>Personas written; validation with real businesses not done.</t>
        </is>
      </c>
    </row>
    <row r="4">
      <c r="A4" s="9" t="inlineStr">
        <is>
          <t>BB-003</t>
        </is>
      </c>
      <c r="B4" s="10" t="inlineStr">
        <is>
          <t>Product &amp; Scope</t>
        </is>
      </c>
      <c r="C4" s="10" t="inlineStr">
        <is>
          <t>Freeze MVP scope and defer non-essential features</t>
        </is>
      </c>
      <c r="D4" s="10" t="inlineStr">
        <is>
          <t>Critical</t>
        </is>
      </c>
      <c r="E4" s="10" t="inlineStr">
        <is>
          <t>In Progress</t>
        </is>
      </c>
      <c r="F4" s="10" t="inlineStr">
        <is>
          <t>Product</t>
        </is>
      </c>
      <c r="G4" s="10" t="n"/>
      <c r="H4" s="10" t="inlineStr">
        <is>
          <t>docs/FREEZE_SCOPE.md (D1-D5 resolved 2026-09-08); guard_freeze_table_b_defaults</t>
        </is>
      </c>
      <c r="I4" s="10" t="inlineStr">
        <is>
          <t>SR0-01</t>
        </is>
      </c>
      <c r="J4" s="10" t="inlineStr">
        <is>
          <t>Yes</t>
        </is>
      </c>
      <c r="K4" s="10" t="inlineStr">
        <is>
          <t>Sections A/B/C/G/H still need signature. Scope grew since (mfg, agents) and much of it is uncommitted on feat/mfg-p0-foundations.</t>
        </is>
      </c>
    </row>
    <row r="5">
      <c r="A5" s="9" t="inlineStr">
        <is>
          <t>BB-004</t>
        </is>
      </c>
      <c r="B5" s="10" t="inlineStr">
        <is>
          <t>Product &amp; Scope</t>
        </is>
      </c>
      <c r="C5" s="10" t="inlineStr">
        <is>
          <t>Document functional requirements and user workflows</t>
        </is>
      </c>
      <c r="D5" s="10" t="inlineStr">
        <is>
          <t>High</t>
        </is>
      </c>
      <c r="E5" s="10" t="inlineStr">
        <is>
          <t>In Progress</t>
        </is>
      </c>
      <c r="F5" s="10" t="inlineStr">
        <is>
          <t>Product</t>
        </is>
      </c>
      <c r="G5" s="10" t="n"/>
      <c r="H5" s="10" t="inlineStr">
        <is>
          <t>docs/FREEZE_SCOPE.md; docs/requirements/; 51 journey cells; golden e2e as executable spec; docs/requirements/REQUIREMENTS_BASELINE.md</t>
        </is>
      </c>
      <c r="I5" s="10" t="n"/>
      <c r="J5" s="10" t="inlineStr">
        <is>
          <t>No</t>
        </is>
      </c>
      <c r="K5" s="10" t="inlineStr">
        <is>
          <t>Spread across freeze scope, plans and tests; no single signed requirements doc.; 2026-10-24 A/B pass: Release-1 requirements baseline written (scope, additions since freeze, flags, limits, rules, NFRs). Awaiting founder signature.; 2026-10-25: baseline already consolidated in docs/requirements/REQUIREMENTS_BASELINE.md (sign-off pack B-14); awaiting founder signature only.</t>
        </is>
      </c>
    </row>
    <row r="6">
      <c r="A6" s="9" t="inlineStr">
        <is>
          <t>BB-005</t>
        </is>
      </c>
      <c r="B6" s="10" t="inlineStr">
        <is>
          <t>Product &amp; Scope</t>
        </is>
      </c>
      <c r="C6" s="10" t="inlineStr">
        <is>
          <t>Finalize pricing plans, trial period and feature limits</t>
        </is>
      </c>
      <c r="D6" s="10" t="inlineStr">
        <is>
          <t>High</t>
        </is>
      </c>
      <c r="E6" s="10" t="inlineStr">
        <is>
          <t>In Progress</t>
        </is>
      </c>
      <c r="F6" s="10" t="inlineStr">
        <is>
          <t>Business</t>
        </is>
      </c>
      <c r="G6" s="10" t="n"/>
      <c r="H6" s="10" t="inlineStr">
        <is>
          <t>billing module: plans, trial, quotas, entitlements; docs/roadmap/SIGNOFF_PACK_2026-10-23.md B-1, B-2</t>
        </is>
      </c>
      <c r="I6" s="10" t="inlineStr">
        <is>
          <t>HO-18; SR3-01</t>
        </is>
      </c>
      <c r="J6" s="10" t="inlineStr">
        <is>
          <t>No</t>
        </is>
      </c>
      <c r="K6" s="10" t="inlineStr">
        <is>
          <t>Mechanism built. Prices, trial length and limits not signed by founder.; 2026-10-24 A/B pass: Plans/prices (₹0/499/1,499/4,999) and 14-day trial proposed from the seeded values. Awaiting founder signature (CA for SaaS GST).; 2026-10-25: found - seeded paid plans switch the GSTR-1/3B worksheets off (ENABLE_GSTR in FREEZE_DARK_PLAN_MODULES) while the trial has them, so an upgrading customer would lose them. Awaiting founder decision on which paid plans include them.; 2026-10-25 (D-16): GST worksheets (GSTR-1/3B) granted on all four plans, like the trial (freeze_safe_modules + migration billing 0021). Prices still unsigned.</t>
        </is>
      </c>
    </row>
    <row r="7">
      <c r="A7" s="9" t="inlineStr">
        <is>
          <t>BB-006</t>
        </is>
      </c>
      <c r="B7" s="10" t="inlineStr">
        <is>
          <t>Product &amp; Scope</t>
        </is>
      </c>
      <c r="C7" s="10" t="inlineStr">
        <is>
          <t>Document known issues and limitations</t>
        </is>
      </c>
      <c r="D7" s="10" t="inlineStr">
        <is>
          <t>Medium</t>
        </is>
      </c>
      <c r="E7" s="10" t="inlineStr">
        <is>
          <t>Passed</t>
        </is>
      </c>
      <c r="F7" s="10" t="inlineStr">
        <is>
          <t>Product</t>
        </is>
      </c>
      <c r="G7" s="10" t="n"/>
      <c r="H7" s="10" t="inlineStr">
        <is>
          <t>docs/help/LIMITATIONS.md; in-app /help/pilot-limits and public /limits (en+hi); guard_limitations_page; PilotLimitsPage.test.tsx</t>
        </is>
      </c>
      <c r="I7" s="10" t="n"/>
      <c r="J7" s="10" t="inlineStr">
        <is>
          <t>No</t>
        </is>
      </c>
      <c r="K7" s="10" t="inlineStr">
        <is>
          <t>Kept in step with flags by CI guard.</t>
        </is>
      </c>
    </row>
    <row r="8">
      <c r="A8" s="9" t="inlineStr">
        <is>
          <t>BB-007</t>
        </is>
      </c>
      <c r="B8" s="10" t="inlineStr">
        <is>
          <t>Core Business Functionality</t>
        </is>
      </c>
      <c r="C8" s="10" t="inlineStr">
        <is>
          <t>Validate sales workflow: orders, invoices, payments, returns and credit notes</t>
        </is>
      </c>
      <c r="D8" s="10" t="inlineStr">
        <is>
          <t>Critical</t>
        </is>
      </c>
      <c r="E8" s="10" t="inlineStr">
        <is>
          <t>In Progress</t>
        </is>
      </c>
      <c r="F8" s="10" t="inlineStr">
        <is>
          <t>QA</t>
        </is>
      </c>
      <c r="G8" s="10" t="n"/>
      <c r="H8" s="10" t="inlineStr">
        <is>
          <t>Golden e2e live on Postgres 17 (130 pass, 2 fixed); sales invoice, returns (SRF), credit/debit note suites; test_customer_lock_deadlock_postgres.py</t>
        </is>
      </c>
      <c r="I8" s="10" t="inlineStr">
        <is>
          <t>QOS-0097</t>
        </is>
      </c>
      <c r="J8" s="10" t="inlineStr">
        <is>
          <t>Yes</t>
        </is>
      </c>
      <c r="K8" s="10" t="inlineStr">
        <is>
          <t>Real bugs fixed (deadlock, freight tax, zero-value invoice). Needs run by a real operator on hosted staging and CA sign-off.</t>
        </is>
      </c>
    </row>
    <row r="9">
      <c r="A9" s="9" t="inlineStr">
        <is>
          <t>BB-008</t>
        </is>
      </c>
      <c r="B9" s="10" t="inlineStr">
        <is>
          <t>Core Business Functionality</t>
        </is>
      </c>
      <c r="C9" s="10" t="inlineStr">
        <is>
          <t>Validate purchase workflow: purchase invoices, GRN, payments and debit notes</t>
        </is>
      </c>
      <c r="D9" s="10" t="inlineStr">
        <is>
          <t>Critical</t>
        </is>
      </c>
      <c r="E9" s="10" t="inlineStr">
        <is>
          <t>In Progress</t>
        </is>
      </c>
      <c r="F9" s="10" t="inlineStr">
        <is>
          <t>QA</t>
        </is>
      </c>
      <c r="G9" s="10" t="n"/>
      <c r="H9" s="10" t="inlineStr">
        <is>
          <t>Purchase review fixes (commits c1169a8, f5523be); purchase returns/pay-now Postgres concurrency suites; golden e2e</t>
        </is>
      </c>
      <c r="I9" s="10" t="n"/>
      <c r="J9" s="10" t="inlineStr">
        <is>
          <t>Yes</t>
        </is>
      </c>
      <c r="K9" s="10" t="inlineStr">
        <is>
          <t>2026-10-24: browser check done (purchase bill with a new supplier on local staging: totals, payable and stock correct; BB100_JOURNEY_WALKTHROUGH_2026-10-24.md); purchase orders now take the HSN-table GST rate like bills. Left: CA sign-off, hosted run, PB-01 (CA question), PB-02/PB-03 already fixed (searchable supplier filter on planning, paged server-searched supplier list).</t>
        </is>
      </c>
    </row>
    <row r="10">
      <c r="A10" s="9" t="inlineStr">
        <is>
          <t>BB-009</t>
        </is>
      </c>
      <c r="B10" s="10" t="inlineStr">
        <is>
          <t>Core Business Functionality</t>
        </is>
      </c>
      <c r="C10" s="10" t="inlineStr">
        <is>
          <t>Validate inventory ledger and stock balance accuracy</t>
        </is>
      </c>
      <c r="D10" s="10" t="inlineStr">
        <is>
          <t>Critical</t>
        </is>
      </c>
      <c r="E10" s="10" t="inlineStr">
        <is>
          <t>In Progress</t>
        </is>
      </c>
      <c r="F10" s="10" t="inlineStr">
        <is>
          <t>QA</t>
        </is>
      </c>
      <c r="G10" s="10" t="n"/>
      <c r="H10" s="10" t="inlineStr">
        <is>
          <t>Inventory review WP-00..21 + deep review IDR-01..14 (Postgres races pass); invariant sweep</t>
        </is>
      </c>
      <c r="I10" s="10" t="inlineStr">
        <is>
          <t>QOS-0072; HO-8</t>
        </is>
      </c>
      <c r="J10" s="10" t="inlineStr">
        <is>
          <t>Yes</t>
        </is>
      </c>
      <c r="K10" s="10" t="inlineStr">
        <is>
          <t>Stock value vs inventory account is not an invariant (periodic valuation by design). Stock GL postings flag off until CA signs.</t>
        </is>
      </c>
    </row>
    <row r="11">
      <c r="A11" s="9" t="inlineStr">
        <is>
          <t>BB-010</t>
        </is>
      </c>
      <c r="B11" s="10" t="inlineStr">
        <is>
          <t>Core Business Functionality</t>
        </is>
      </c>
      <c r="C11" s="10" t="inlineStr">
        <is>
          <t>Validate multi-godown stock transfers and reconciliation</t>
        </is>
      </c>
      <c r="D11" s="10" t="inlineStr">
        <is>
          <t>Critical</t>
        </is>
      </c>
      <c r="E11" s="10" t="inlineStr">
        <is>
          <t>In Progress</t>
        </is>
      </c>
      <c r="F11" s="10" t="inlineStr">
        <is>
          <t>QA</t>
        </is>
      </c>
      <c r="G11" s="10" t="n"/>
      <c r="H11" s="10" t="inlineStr">
        <is>
          <t>Inventory review suites (transfers, godowns); test_inventory_idr14_concurrency_postgres.py</t>
        </is>
      </c>
      <c r="I11" s="10" t="n"/>
      <c r="J11" s="10" t="inlineStr">
        <is>
          <t>Yes</t>
        </is>
      </c>
      <c r="K11" s="10" t="inlineStr">
        <is>
          <t>Proven in repo only; no real multi-godown business yet.</t>
        </is>
      </c>
    </row>
    <row r="12">
      <c r="A12" s="9" t="inlineStr">
        <is>
          <t>BB-011</t>
        </is>
      </c>
      <c r="B12" s="10" t="inlineStr">
        <is>
          <t>Core Business Functionality</t>
        </is>
      </c>
      <c r="C12" s="10" t="inlineStr">
        <is>
          <t>Validate batch, serial number and FIFO costing where supported</t>
        </is>
      </c>
      <c r="D12" s="10" t="inlineStr">
        <is>
          <t>High</t>
        </is>
      </c>
      <c r="E12" s="10" t="inlineStr">
        <is>
          <t>Passed</t>
        </is>
      </c>
      <c r="F12" s="10" t="inlineStr">
        <is>
          <t>QA</t>
        </is>
      </c>
      <c r="G12" s="10" t="n"/>
      <c r="H12" s="10" t="inlineStr">
        <is>
          <t>docs/requirements/ITEM_STOCK_GODOWN_EXPIRY.md; inventory suites; 115 batch/serial/expiry/FEFO tests pass (test_inventory_serials_wp02.py, test_wave15_fefo.py, test_inventory_idr06_expiry.py and 9 more)</t>
        </is>
      </c>
      <c r="I12" s="10" t="n"/>
      <c r="J12" s="10" t="inlineStr">
        <is>
          <t>No</t>
        </is>
      </c>
      <c r="K12" s="10" t="inlineStr">
        <is>
          <t>Batch/expiry supported. FIFO not supported: stock cost is weighted average (documented on /limits, key 'cost').; 2026-10-24 A/B pass: Batch, serial and expiry verified; FIFO layers are a documented limitation (weighted average, /limits "cost").</t>
        </is>
      </c>
    </row>
    <row r="13">
      <c r="A13" s="9" t="inlineStr">
        <is>
          <t>BB-012</t>
        </is>
      </c>
      <c r="B13" s="10" t="inlineStr">
        <is>
          <t>Core Business Functionality</t>
        </is>
      </c>
      <c r="C13" s="10" t="inlineStr">
        <is>
          <t>Validate customer and supplier master data</t>
        </is>
      </c>
      <c r="D13" s="10" t="inlineStr">
        <is>
          <t>High</t>
        </is>
      </c>
      <c r="E13" s="10" t="inlineStr">
        <is>
          <t>In Progress</t>
        </is>
      </c>
      <c r="F13" s="10" t="inlineStr">
        <is>
          <t>QA</t>
        </is>
      </c>
      <c r="G13" s="10" t="n"/>
      <c r="H13" s="10" t="inlineStr">
        <is>
          <t>CRM review WP-1..8; test_customers_concurrency_postgres.py; GSTIN tests</t>
        </is>
      </c>
      <c r="I13" s="10" t="n"/>
      <c r="J13" s="10" t="inlineStr">
        <is>
          <t>No</t>
        </is>
      </c>
      <c r="K13" s="10" t="inlineStr">
        <is>
          <t>Needs real customer master import (SR2-01).</t>
        </is>
      </c>
    </row>
    <row r="14">
      <c r="A14" s="9" t="inlineStr">
        <is>
          <t>BB-013</t>
        </is>
      </c>
      <c r="B14" s="10" t="inlineStr">
        <is>
          <t>Core Business Functionality</t>
        </is>
      </c>
      <c r="C14" s="10" t="inlineStr">
        <is>
          <t>Verify receivables, payables and outstanding balances</t>
        </is>
      </c>
      <c r="D14" s="10" t="inlineStr">
        <is>
          <t>Critical</t>
        </is>
      </c>
      <c r="E14" s="10" t="inlineStr">
        <is>
          <t>In Progress</t>
        </is>
      </c>
      <c r="F14" s="10" t="inlineStr">
        <is>
          <t>QA</t>
        </is>
      </c>
      <c r="G14" s="10" t="n"/>
      <c r="H14" s="10" t="inlineStr">
        <is>
          <t>tests/test_gl_parity_invariants.py (AR/AP tie to documents incl. opening balances); Money In phase 2; Money Hub</t>
        </is>
      </c>
      <c r="I14" s="10" t="inlineStr">
        <is>
          <t>QOS-0129</t>
        </is>
      </c>
      <c r="J14" s="10" t="inlineStr">
        <is>
          <t>Yes</t>
        </is>
      </c>
      <c r="K14" s="10" t="inlineStr">
        <is>
          <t>CA sign-off open.</t>
        </is>
      </c>
    </row>
    <row r="15">
      <c r="A15" s="9" t="inlineStr">
        <is>
          <t>BB-014</t>
        </is>
      </c>
      <c r="B15" s="10" t="inlineStr">
        <is>
          <t>Core Business Functionality</t>
        </is>
      </c>
      <c r="C15" s="10" t="inlineStr">
        <is>
          <t>Validate financial reports and dashboards against source transactions</t>
        </is>
      </c>
      <c r="D15" s="10" t="inlineStr">
        <is>
          <t>Critical</t>
        </is>
      </c>
      <c r="E15" s="10" t="inlineStr">
        <is>
          <t>In Progress</t>
        </is>
      </c>
      <c r="F15" s="10" t="inlineStr">
        <is>
          <t>QA</t>
        </is>
      </c>
      <c r="G15" s="10" t="n"/>
      <c r="H15" s="10" t="inlineStr">
        <is>
          <t>Accounting screens ACS-00..73; invariant sweep; Insights INP-00..24; dashboard attention DAN-00..19</t>
        </is>
      </c>
      <c r="I15" s="10" t="inlineStr">
        <is>
          <t>QOS-0130..0133; QOS-0137..0139</t>
        </is>
      </c>
      <c r="J15" s="10" t="inlineStr">
        <is>
          <t>Yes</t>
        </is>
      </c>
      <c r="K15" s="10" t="inlineStr">
        <is>
          <t>CA, Hindi and device sign-offs open.</t>
        </is>
      </c>
    </row>
    <row r="16">
      <c r="A16" s="9" t="inlineStr">
        <is>
          <t>BB-015</t>
        </is>
      </c>
      <c r="B16" s="10" t="inlineStr">
        <is>
          <t>Core Business Functionality</t>
        </is>
      </c>
      <c r="C16" s="10" t="inlineStr">
        <is>
          <t>Validate document numbering, cancellation and audit history</t>
        </is>
      </c>
      <c r="D16" s="10" t="inlineStr">
        <is>
          <t>Critical</t>
        </is>
      </c>
      <c r="E16" s="10" t="inlineStr">
        <is>
          <t>In Progress</t>
        </is>
      </c>
      <c r="F16" s="10" t="inlineStr">
        <is>
          <t>QA</t>
        </is>
      </c>
      <c r="G16" s="10" t="n"/>
      <c r="H16" s="10" t="inlineStr">
        <is>
          <t>core/services/sequences.py (gap-free numbering); audit hash chain; DB trigger on posted entries (test_ledger_trigger_postgres.py)</t>
        </is>
      </c>
      <c r="I16" s="10" t="n"/>
      <c r="J16" s="10" t="inlineStr">
        <is>
          <t>Yes</t>
        </is>
      </c>
      <c r="K16" s="10" t="inlineStr">
        <is>
          <t>Proven in repo/Postgres; not on hosted staging.</t>
        </is>
      </c>
    </row>
    <row r="17">
      <c r="A17" s="9" t="inlineStr">
        <is>
          <t>BB-016</t>
        </is>
      </c>
      <c r="B17" s="10" t="inlineStr">
        <is>
          <t>Core Business Functionality</t>
        </is>
      </c>
      <c r="C17" s="10" t="inlineStr">
        <is>
          <t>Validate data import, export and migration</t>
        </is>
      </c>
      <c r="D17" s="10" t="inlineStr">
        <is>
          <t>High</t>
        </is>
      </c>
      <c r="E17" s="10" t="inlineStr">
        <is>
          <t>In Progress</t>
        </is>
      </c>
      <c r="F17" s="10" t="inlineStr">
        <is>
          <t>QA</t>
        </is>
      </c>
      <c r="G17" s="10" t="n"/>
      <c r="H17" s="10" t="inlineStr">
        <is>
          <t>Tally CSV/XLSX/XML import (test_tally_xml_import.py); Busy/Vyapar/Marg (test_legacy_import_gr1b.py); readable export (test_readable_export_dl1.py); cutover_recon; test_saas_review_fixes.py (import cases)</t>
        </is>
      </c>
      <c r="I17" s="10" t="inlineStr">
        <is>
          <t>HO-15; SR2-01</t>
        </is>
      </c>
      <c r="J17" s="10" t="inlineStr">
        <is>
          <t>No</t>
        </is>
      </c>
      <c r="K17" s="10" t="inlineStr">
        <is>
          <t>No real customer files imported yet; column maps unconfirmed against pilot files.; 2026-10-23 review: Import fixes: Tally XML sub-groups and IGST rate, strict balance parsing, advances listed not dropped, stable item codes, file row numbers in errors.</t>
        </is>
      </c>
    </row>
    <row r="18">
      <c r="A18" s="9" t="inlineStr">
        <is>
          <t>BB-017</t>
        </is>
      </c>
      <c r="B18" s="10" t="inlineStr">
        <is>
          <t>Core Business Functionality</t>
        </is>
      </c>
      <c r="C18" s="10" t="inlineStr">
        <is>
          <t>Run end-to-end regression testing across modules</t>
        </is>
      </c>
      <c r="D18" s="10" t="inlineStr">
        <is>
          <t>Critical</t>
        </is>
      </c>
      <c r="E18" s="10" t="inlineStr">
        <is>
          <t>In Progress</t>
        </is>
      </c>
      <c r="F18" s="10" t="inlineStr">
        <is>
          <t>QA</t>
        </is>
      </c>
      <c r="G18" s="10" t="n"/>
      <c r="H18" s="10" t="inlineStr">
        <is>
          <t>Golden e2e suite (CI merge gate) run live; strict-invariant lane green except laptop timing budgets; Postgres lane 119 pass / 0 skip</t>
        </is>
      </c>
      <c r="I18" s="10" t="inlineStr">
        <is>
          <t>SR0-01</t>
        </is>
      </c>
      <c r="J18" s="10" t="inlineStr">
        <is>
          <t>Yes</t>
        </is>
      </c>
      <c r="K18" s="10" t="inlineStr">
        <is>
          <t>Large part of the tree not yet through CI; not run on hosted staging.; 2026-10-25 (WP, LLM plan): All blocking CI gates run locally (D-20: no commit): ruff, web lint/tsc, migrations check, help codes, register claims, guards, OpenAPI/types regenerated, web build + SW + bundle budget, npm audit/pip-audit clean, 406 web test files pass, backend on Postgres 6975 passed; the 52 that failed under 4-worker load re-run serially: 173/175 pass, the 2 left are timing limits only (Complete 2.7 s vs 2.5 s; 5,000-product index) while another session's mutation run used ~4 CPU cores - CI decides, diff coverage 92%. Left: commit go-ahead and green CI.</t>
        </is>
      </c>
    </row>
    <row r="19">
      <c r="A19" s="9" t="inlineStr">
        <is>
          <t>BB-018</t>
        </is>
      </c>
      <c r="B19" s="10" t="inlineStr">
        <is>
          <t>GST &amp; Regulatory Compliance</t>
        </is>
      </c>
      <c r="C19" s="10" t="inlineStr">
        <is>
          <t>Validate GSTIN and business registration fields</t>
        </is>
      </c>
      <c r="D19" s="10" t="inlineStr">
        <is>
          <t>High</t>
        </is>
      </c>
      <c r="E19" s="10" t="inlineStr">
        <is>
          <t>Passed</t>
        </is>
      </c>
      <c r="F19" s="10" t="inlineStr">
        <is>
          <t>Compliance</t>
        </is>
      </c>
      <c r="G19" s="10" t="n"/>
      <c r="H19" s="10" t="inlineStr">
        <is>
          <t>test_sprint3_series_gstin.py; test_series_gstin_health.py; test_w0_multi_gstin_complete.py; test_b06_020_cross_tenant_membership_gstin.py</t>
        </is>
      </c>
      <c r="I19" s="10" t="n"/>
      <c r="J19" s="10" t="inlineStr">
        <is>
          <t>No</t>
        </is>
      </c>
      <c r="K19" s="10" t="n"/>
    </row>
    <row r="20">
      <c r="A20" s="9" t="inlineStr">
        <is>
          <t>BB-019</t>
        </is>
      </c>
      <c r="B20" s="10" t="inlineStr">
        <is>
          <t>GST &amp; Regulatory Compliance</t>
        </is>
      </c>
      <c r="C20" s="10" t="inlineStr">
        <is>
          <t>Validate HSN/SAC and applicable tax rates</t>
        </is>
      </c>
      <c r="D20" s="10" t="inlineStr">
        <is>
          <t>Critical</t>
        </is>
      </c>
      <c r="E20" s="10" t="inlineStr">
        <is>
          <t>In Progress</t>
        </is>
      </c>
      <c r="F20" s="10" t="inlineStr">
        <is>
          <t>Compliance</t>
        </is>
      </c>
      <c r="G20" s="10" t="n"/>
      <c r="H20" s="10" t="inlineStr">
        <is>
          <t>masters HsnRate with valid_from/valid_to; test_b06_hsn_rate.py; test_hsn_catalog_reseed.py</t>
        </is>
      </c>
      <c r="I20" s="10" t="inlineStr">
        <is>
          <t>QOS-0004</t>
        </is>
      </c>
      <c r="J20" s="10" t="inlineStr">
        <is>
          <t>Yes</t>
        </is>
      </c>
      <c r="K20" s="10" t="inlineStr">
        <is>
          <t>Rate catalogue needs CA review.</t>
        </is>
      </c>
    </row>
    <row r="21">
      <c r="A21" s="9" t="inlineStr">
        <is>
          <t>BB-020</t>
        </is>
      </c>
      <c r="B21" s="10" t="inlineStr">
        <is>
          <t>GST &amp; Regulatory Compliance</t>
        </is>
      </c>
      <c r="C21" s="10" t="inlineStr">
        <is>
          <t>Test CGST, SGST, IGST and place-of-supply scenarios</t>
        </is>
      </c>
      <c r="D21" s="10" t="inlineStr">
        <is>
          <t>Critical</t>
        </is>
      </c>
      <c r="E21" s="10" t="inlineStr">
        <is>
          <t>In Progress</t>
        </is>
      </c>
      <c r="F21" s="10" t="inlineStr">
        <is>
          <t>Compliance</t>
        </is>
      </c>
      <c r="G21" s="10" t="n"/>
      <c r="H21" s="10" t="inlineStr">
        <is>
          <t>Tax parity corpus F1-F8; core/services/place_of_supply.py</t>
        </is>
      </c>
      <c r="I21" s="10" t="inlineStr">
        <is>
          <t>QOS-0004</t>
        </is>
      </c>
      <c r="J21" s="10" t="inlineStr">
        <is>
          <t>Yes</t>
        </is>
      </c>
      <c r="K21" s="10" t="inlineStr">
        <is>
          <t>Automated in repo; no CA sign-off yet.</t>
        </is>
      </c>
    </row>
    <row r="22">
      <c r="A22" s="9" t="inlineStr">
        <is>
          <t>BB-021</t>
        </is>
      </c>
      <c r="B22" s="10" t="inlineStr">
        <is>
          <t>GST &amp; Regulatory Compliance</t>
        </is>
      </c>
      <c r="C22" s="10" t="inlineStr">
        <is>
          <t>Validate GST invoices and credit/debit notes</t>
        </is>
      </c>
      <c r="D22" s="10" t="inlineStr">
        <is>
          <t>Critical</t>
        </is>
      </c>
      <c r="E22" s="10" t="inlineStr">
        <is>
          <t>In Progress</t>
        </is>
      </c>
      <c r="F22" s="10" t="inlineStr">
        <is>
          <t>Compliance</t>
        </is>
      </c>
      <c r="G22" s="10" t="n"/>
      <c r="H22" s="10" t="inlineStr">
        <is>
          <t>Credit/debit notes rev-2 plan built; test_sprint2_cn_einvoice.py; test_credit_debit_notes_concurrency_postgres.py</t>
        </is>
      </c>
      <c r="I22" s="10" t="inlineStr">
        <is>
          <t>QOS-0004</t>
        </is>
      </c>
      <c r="J22" s="10" t="inlineStr">
        <is>
          <t>Yes</t>
        </is>
      </c>
      <c r="K22" s="10" t="inlineStr">
        <is>
          <t>CA sign-off open.</t>
        </is>
      </c>
    </row>
    <row r="23">
      <c r="A23" s="9" t="inlineStr">
        <is>
          <t>BB-022</t>
        </is>
      </c>
      <c r="B23" s="10" t="inlineStr">
        <is>
          <t>GST &amp; Regulatory Compliance</t>
        </is>
      </c>
      <c r="C23" s="10" t="inlineStr">
        <is>
          <t>Validate GST reports and reconciliation outputs</t>
        </is>
      </c>
      <c r="D23" s="10" t="inlineStr">
        <is>
          <t>Critical</t>
        </is>
      </c>
      <c r="E23" s="10" t="inlineStr">
        <is>
          <t>In Progress</t>
        </is>
      </c>
      <c r="F23" s="10" t="inlineStr">
        <is>
          <t>Compliance</t>
        </is>
      </c>
      <c r="G23" s="10" t="n"/>
      <c r="H23" s="10" t="inlineStr">
        <is>
          <t>GSTR-1/3B worksheets snapshot-pinned; test_sprint2_gstr_notes.py; test_reports_rpt07_itc_4b.py</t>
        </is>
      </c>
      <c r="I23" s="10" t="inlineStr">
        <is>
          <t>QOS-0004</t>
        </is>
      </c>
      <c r="J23" s="10" t="inlineStr">
        <is>
          <t>Yes</t>
        </is>
      </c>
      <c r="K23" s="10" t="inlineStr">
        <is>
          <t>No CA has filed from these worksheets yet.; 2026-10-24: bills of supply missing from GSTR-1 Table 8/13 and GSTR-3B 3.1(c)/(e) - options note for the CA in docs/ca/F2_BILLS_OF_SUPPLY_IN_GST_RETURNS.md (D-09: no code change until the CA decides).; 2026-10-25 (D-14): bills-of-supply treatment (options B+A) built behind GST_BILL_OF_SUPPLY_RETURNS, off for every company until the CA agrees; test_bill_of_supply_returns.py.</t>
        </is>
      </c>
    </row>
    <row r="24">
      <c r="A24" s="9" t="inlineStr">
        <is>
          <t>BB-023</t>
        </is>
      </c>
      <c r="B24" s="10" t="inlineStr">
        <is>
          <t>GST &amp; Regulatory Compliance</t>
        </is>
      </c>
      <c r="C24" s="10" t="inlineStr">
        <is>
          <t>Test GST portal integration and credential management</t>
        </is>
      </c>
      <c r="D24" s="10" t="inlineStr">
        <is>
          <t>High</t>
        </is>
      </c>
      <c r="E24" s="10" t="inlineStr">
        <is>
          <t>Accepted Risk</t>
        </is>
      </c>
      <c r="F24" s="10" t="inlineStr">
        <is>
          <t>Integration</t>
        </is>
      </c>
      <c r="G24" s="10" t="n"/>
      <c r="H24" s="10" t="inlineStr">
        <is>
          <t>FREEZE_SCOPE C1; GSP_LIVE_ENABLED off; /limits key 'filing'</t>
        </is>
      </c>
      <c r="I24" s="10" t="n"/>
      <c r="J24" s="10" t="inlineStr">
        <is>
          <t>No</t>
        </is>
      </c>
      <c r="K24" s="10" t="inlineStr">
        <is>
          <t>Not in this release: worksheets for the CA, who files on the portal.</t>
        </is>
      </c>
    </row>
    <row r="25">
      <c r="A25" s="9" t="inlineStr">
        <is>
          <t>BB-024</t>
        </is>
      </c>
      <c r="B25" s="10" t="inlineStr">
        <is>
          <t>GST &amp; Regulatory Compliance</t>
        </is>
      </c>
      <c r="C25" s="10" t="inlineStr">
        <is>
          <t>Document e-invoice/IRN and e-way bill scope and eligibility</t>
        </is>
      </c>
      <c r="D25" s="10" t="inlineStr">
        <is>
          <t>High</t>
        </is>
      </c>
      <c r="E25" s="10" t="inlineStr">
        <is>
          <t>Passed</t>
        </is>
      </c>
      <c r="F25" s="10" t="inlineStr">
        <is>
          <t>Compliance</t>
        </is>
      </c>
      <c r="G25" s="10" t="n"/>
      <c r="H25" s="10" t="inlineStr">
        <is>
          <t>FREEZE_SCOPE C2; /limits key 'einvoice'; test_einvoice_eway.py</t>
        </is>
      </c>
      <c r="I25" s="10" t="n"/>
      <c r="J25" s="10" t="inlineStr">
        <is>
          <t>No</t>
        </is>
      </c>
      <c r="K25" s="10" t="inlineStr">
        <is>
          <t>Scope documented: preview only, no live IRN/e-way bill; customers above threshold keep their current tool.</t>
        </is>
      </c>
    </row>
    <row r="26">
      <c r="A26" s="9" t="inlineStr">
        <is>
          <t>BB-025</t>
        </is>
      </c>
      <c r="B26" s="10" t="inlineStr">
        <is>
          <t>GST &amp; Regulatory Compliance</t>
        </is>
      </c>
      <c r="C26" s="10" t="inlineStr">
        <is>
          <t>Validate IMS and GSTR-2B workflows and ITC deadline calculations</t>
        </is>
      </c>
      <c r="D26" s="10" t="inlineStr">
        <is>
          <t>High</t>
        </is>
      </c>
      <c r="E26" s="10" t="inlineStr">
        <is>
          <t>Accepted Risk</t>
        </is>
      </c>
      <c r="F26" s="10" t="inlineStr">
        <is>
          <t>Compliance</t>
        </is>
      </c>
      <c r="G26" s="10" t="n"/>
      <c r="H26" s="10" t="inlineStr">
        <is>
          <t>/limits key 'itcMatch'; test_b03_ims.py; test_itc_digest_and_lead_reminders.py</t>
        </is>
      </c>
      <c r="I26" s="10" t="n"/>
      <c r="J26" s="10" t="inlineStr">
        <is>
          <t>No</t>
        </is>
      </c>
      <c r="K26" s="10" t="inlineStr">
        <is>
          <t>2B/IMS matching not in this release (C1). ITC expiry digests exist.</t>
        </is>
      </c>
    </row>
    <row r="27">
      <c r="A27" s="9" t="inlineStr">
        <is>
          <t>BB-026</t>
        </is>
      </c>
      <c r="B27" s="10" t="inlineStr">
        <is>
          <t>GST &amp; Regulatory Compliance</t>
        </is>
      </c>
      <c r="C27" s="10" t="inlineStr">
        <is>
          <t>Review statutory requirements with a qualified GST professional</t>
        </is>
      </c>
      <c r="D27" s="10" t="inlineStr">
        <is>
          <t>Critical</t>
        </is>
      </c>
      <c r="E27" s="10" t="inlineStr">
        <is>
          <t>Blocked</t>
        </is>
      </c>
      <c r="F27" s="10" t="inlineStr">
        <is>
          <t>Compliance</t>
        </is>
      </c>
      <c r="G27" s="10" t="n"/>
      <c r="H27" s="10" t="inlineStr">
        <is>
          <t>docs/ca/SAAS_CA_PACK.md (review pack ready)</t>
        </is>
      </c>
      <c r="I27" s="10" t="inlineStr">
        <is>
          <t>HO-7; QOS-0004/0129/0130/0136/0138/0141</t>
        </is>
      </c>
      <c r="J27" s="10" t="inlineStr">
        <is>
          <t>Yes</t>
        </is>
      </c>
      <c r="K27" s="10" t="inlineStr">
        <is>
          <t>CA not yet engaged.; 2026-10-24: CA_SIGN_OFF_CHECKLIST.md row R1 added (bills of supply).</t>
        </is>
      </c>
    </row>
    <row r="28">
      <c r="A28" s="9" t="inlineStr">
        <is>
          <t>BB-027</t>
        </is>
      </c>
      <c r="B28" s="10" t="inlineStr">
        <is>
          <t>SaaS Architecture &amp; Multi-Tenancy</t>
        </is>
      </c>
      <c r="C28" s="10" t="inlineStr">
        <is>
          <t>Verify distinct tenant/company identity for every business</t>
        </is>
      </c>
      <c r="D28" s="10" t="inlineStr">
        <is>
          <t>Critical</t>
        </is>
      </c>
      <c r="E28" s="10" t="inlineStr">
        <is>
          <t>Passed</t>
        </is>
      </c>
      <c r="F28" s="10" t="inlineStr">
        <is>
          <t>Architecture</t>
        </is>
      </c>
      <c r="G28" s="10" t="n"/>
      <c r="H28" s="10" t="inlineStr">
        <is>
          <t>CompanyScopedModel on every tenant table; RLS coverage test; guard_module_readiness (27 apps)</t>
        </is>
      </c>
      <c r="I28" s="10" t="n"/>
      <c r="J28" s="10" t="inlineStr">
        <is>
          <t>Yes</t>
        </is>
      </c>
      <c r="K28" s="10" t="n"/>
    </row>
    <row r="29">
      <c r="A29" s="9" t="inlineStr">
        <is>
          <t>BB-028</t>
        </is>
      </c>
      <c r="B29" s="10" t="inlineStr">
        <is>
          <t>SaaS Architecture &amp; Multi-Tenancy</t>
        </is>
      </c>
      <c r="C29" s="10" t="inlineStr">
        <is>
          <t>Ensure database queries enforce tenant boundaries</t>
        </is>
      </c>
      <c r="D29" s="10" t="inlineStr">
        <is>
          <t>Critical</t>
        </is>
      </c>
      <c r="E29" s="10" t="inlineStr">
        <is>
          <t>In Progress</t>
        </is>
      </c>
      <c r="F29" s="10" t="inlineStr">
        <is>
          <t>Security</t>
        </is>
      </c>
      <c r="G29" s="10" t="n"/>
      <c r="H29" s="10" t="inlineStr">
        <is>
          <t>Postgres RLS with NOSUPERUSER NOBYPASSRLS app role; postgres-rls CI job; guard_compose_rls; local staging enforced</t>
        </is>
      </c>
      <c r="I29" s="10" t="inlineStr">
        <is>
          <t>SR1-02</t>
        </is>
      </c>
      <c r="J29" s="10" t="inlineStr">
        <is>
          <t>Yes</t>
        </is>
      </c>
      <c r="K29" s="10" t="inlineStr">
        <is>
          <t>Proven locally only; needs the tenancy + RLS suites against a hosted DB.; 2026-10-24: Postgres-only suites (row-level security, concurrency, tenancy) re-run on a fresh local Postgres: 543 passed, 1 skipped. Still to run on the hosted database.</t>
        </is>
      </c>
    </row>
    <row r="30">
      <c r="A30" s="9" t="inlineStr">
        <is>
          <t>BB-029</t>
        </is>
      </c>
      <c r="B30" s="10" t="inlineStr">
        <is>
          <t>SaaS Architecture &amp; Multi-Tenancy</t>
        </is>
      </c>
      <c r="C30" s="10" t="inlineStr">
        <is>
          <t>Test cross-tenant access via APIs, reports and exports</t>
        </is>
      </c>
      <c r="D30" s="10" t="inlineStr">
        <is>
          <t>Critical</t>
        </is>
      </c>
      <c r="E30" s="10" t="inlineStr">
        <is>
          <t>In Progress</t>
        </is>
      </c>
      <c r="F30" s="10" t="inlineStr">
        <is>
          <t>Security</t>
        </is>
      </c>
      <c r="G30" s="10" t="n"/>
      <c r="H30" s="10" t="inlineStr">
        <is>
          <t>tests/tenancy/test_endpoint_isolation.py (route matrix); test_preauth_writes_rls_postgres.py</t>
        </is>
      </c>
      <c r="I30" s="10" t="inlineStr">
        <is>
          <t>HO-10</t>
        </is>
      </c>
      <c r="J30" s="10" t="inlineStr">
        <is>
          <t>Yes</t>
        </is>
      </c>
      <c r="K30" s="10" t="inlineStr">
        <is>
          <t>Hosted-staging run and independent pentest pending.; 2026-10-25 (WP, LLM plan): Live cross-tenant probe through nginx with RLS on (scripts/security/tenant_probe.py): 0 leaks on reads and list filters; writes naming the other company refused (400). Sales-staff logins only; owner roles left to the pentest and the Postgres tenancy suites.</t>
        </is>
      </c>
    </row>
    <row r="31">
      <c r="A31" s="9" t="inlineStr">
        <is>
          <t>BB-030</t>
        </is>
      </c>
      <c r="B31" s="10" t="inlineStr">
        <is>
          <t>SaaS Architecture &amp; Multi-Tenancy</t>
        </is>
      </c>
      <c r="C31" s="10" t="inlineStr">
        <is>
          <t>Test tenant isolation for caches, files and background jobs</t>
        </is>
      </c>
      <c r="D31" s="10" t="inlineStr">
        <is>
          <t>Critical</t>
        </is>
      </c>
      <c r="E31" s="10" t="inlineStr">
        <is>
          <t>In Progress</t>
        </is>
      </c>
      <c r="F31" s="10" t="inlineStr">
        <is>
          <t>Security</t>
        </is>
      </c>
      <c r="G31" s="10" t="n"/>
      <c r="H31" s="10" t="inlineStr">
        <is>
          <t>test_beat_tasks_rls_postgres.py (8 beat tasks fixed); guard_no_inline_company_loops; per-company sweep; test_saas_review_fixes_postgres.py</t>
        </is>
      </c>
      <c r="I31" s="10" t="inlineStr">
        <is>
          <t>SR1-02</t>
        </is>
      </c>
      <c r="J31" s="10" t="inlineStr">
        <is>
          <t>Yes</t>
        </is>
      </c>
      <c r="K31" s="10" t="inlineStr">
        <is>
          <t>Proven in repo; hosted run pending.; 2026-10-23 review: Fixed: rls_bypass() did not nest, so staff admin lists (TDS claims, ownership transfers) were empty on Postgres; shared bypass admin mixin.; 2026-10-24: Postgres-only suites (row-level security, concurrency, tenancy) re-run on a fresh local Postgres: 543 passed, 1 skipped. Still to run on the hosted database.</t>
        </is>
      </c>
    </row>
    <row r="32">
      <c r="A32" s="9" t="inlineStr">
        <is>
          <t>BB-031</t>
        </is>
      </c>
      <c r="B32" s="10" t="inlineStr">
        <is>
          <t>SaaS Architecture &amp; Multi-Tenancy</t>
        </is>
      </c>
      <c r="C32" s="10" t="inlineStr">
        <is>
          <t>Support multiple users within one company</t>
        </is>
      </c>
      <c r="D32" s="10" t="inlineStr">
        <is>
          <t>High</t>
        </is>
      </c>
      <c r="E32" s="10" t="inlineStr">
        <is>
          <t>Passed</t>
        </is>
      </c>
      <c r="F32" s="10" t="inlineStr">
        <is>
          <t>Identity</t>
        </is>
      </c>
      <c r="G32" s="10" t="n"/>
      <c r="H32" s="10" t="inlineStr">
        <is>
          <t>CompanyUser roles; test_wave4_rbac.py; test_sprint0_rbac_books.py</t>
        </is>
      </c>
      <c r="I32" s="10" t="n"/>
      <c r="J32" s="10" t="inlineStr">
        <is>
          <t>No</t>
        </is>
      </c>
      <c r="K32" s="10" t="n"/>
    </row>
    <row r="33">
      <c r="A33" s="9" t="inlineStr">
        <is>
          <t>BB-032</t>
        </is>
      </c>
      <c r="B33" s="10" t="inlineStr">
        <is>
          <t>SaaS Architecture &amp; Multi-Tenancy</t>
        </is>
      </c>
      <c r="C33" s="10" t="inlineStr">
        <is>
          <t>Test secure company switching without data leakage</t>
        </is>
      </c>
      <c r="D33" s="10" t="inlineStr">
        <is>
          <t>Critical</t>
        </is>
      </c>
      <c r="E33" s="10" t="inlineStr">
        <is>
          <t>In Progress</t>
        </is>
      </c>
      <c r="F33" s="10" t="inlineStr">
        <is>
          <t>Security</t>
        </is>
      </c>
      <c r="G33" s="10" t="n"/>
      <c r="H33" s="10" t="inlineStr">
        <is>
          <t>tests/tenancy/test_company_switch.py; web companyContext.test.ts, noDirectApiLinks.test.ts; X-Company-Id required for multi-company users; companyContext.test.ts (clear-then-set case)</t>
        </is>
      </c>
      <c r="I33" s="10" t="n"/>
      <c r="J33" s="10" t="inlineStr">
        <is>
          <t>Yes</t>
        </is>
      </c>
      <c r="K33" s="10" t="inlineStr">
        <is>
          <t>Mobile (Capacitor) outbox case not proven on device.; 2026-10-23 review: Fixed: active company stored at sign-in (multi-company first requests had no X-Company-Id); other tabs reload when the company is cleared too.</t>
        </is>
      </c>
    </row>
    <row r="34">
      <c r="A34" s="9" t="inlineStr">
        <is>
          <t>BB-033</t>
        </is>
      </c>
      <c r="B34" s="10" t="inlineStr">
        <is>
          <t>SaaS Architecture &amp; Multi-Tenancy</t>
        </is>
      </c>
      <c r="C34" s="10" t="inlineStr">
        <is>
          <t>Define tenant creation, suspension and deletion workflows</t>
        </is>
      </c>
      <c r="D34" s="10" t="inlineStr">
        <is>
          <t>High</t>
        </is>
      </c>
      <c r="E34" s="10" t="inlineStr">
        <is>
          <t>Passed</t>
        </is>
      </c>
      <c r="F34" s="10" t="inlineStr">
        <is>
          <t>Architecture</t>
        </is>
      </c>
      <c r="G34" s="10" t="n"/>
      <c r="H34" s="10" t="inlineStr">
        <is>
          <t>docs/ops/TENANT_MODEL.md; test_billing_suspend.py; test_erasure.py; docs/ops/ERASURE_PLAYBOOK.md; test_saas_review_fixes.py</t>
        </is>
      </c>
      <c r="I34" s="10" t="n"/>
      <c r="J34" s="10" t="inlineStr">
        <is>
          <t>No</t>
        </is>
      </c>
      <c r="K34" s="10" t="inlineStr">
        <is>
          <t>2026-10-23 review: Fixed: PROTECT links (support grant -&gt; ticket, TDS claim -&gt; certificate) blocked company erasure and restore; erasure now also deletes readable-export ZIPs.</t>
        </is>
      </c>
    </row>
    <row r="35">
      <c r="A35" s="9" t="inlineStr">
        <is>
          <t>BB-034</t>
        </is>
      </c>
      <c r="B35" s="10" t="inlineStr">
        <is>
          <t>SaaS Architecture &amp; Multi-Tenancy</t>
        </is>
      </c>
      <c r="C35" s="10" t="inlineStr">
        <is>
          <t>Define tenant data export and retention policies</t>
        </is>
      </c>
      <c r="D35" s="10" t="inlineStr">
        <is>
          <t>High</t>
        </is>
      </c>
      <c r="E35" s="10" t="inlineStr">
        <is>
          <t>In Progress</t>
        </is>
      </c>
      <c r="F35" s="10" t="inlineStr">
        <is>
          <t>Privacy</t>
        </is>
      </c>
      <c r="G35" s="10" t="n"/>
      <c r="H35" s="10" t="inlineStr">
        <is>
          <t>DL1 readable export; tenant export; core/services/retention.py; docs/ops/DATA_CATEGORIES.md; LOG_RETENTION.md</t>
        </is>
      </c>
      <c r="I35" s="10" t="inlineStr">
        <is>
          <t>HO-9</t>
        </is>
      </c>
      <c r="J35" s="10" t="inlineStr">
        <is>
          <t>No</t>
        </is>
      </c>
      <c r="K35" s="10" t="inlineStr">
        <is>
          <t>Retention policy needs counsel sign-off.; 2026-10-23 review: Export no longer stuck PENDING forever; streamed to disk; all 12 pinned sections now really pinned in the column snapshot.; 2026-10-25: retention period now configurable per company (D-13); see BB-070.</t>
        </is>
      </c>
    </row>
    <row r="36">
      <c r="A36" s="9" t="inlineStr">
        <is>
          <t>BB-035</t>
        </is>
      </c>
      <c r="B36" s="10" t="inlineStr">
        <is>
          <t>User Management &amp; Access Control</t>
        </is>
      </c>
      <c r="C36" s="10" t="inlineStr">
        <is>
          <t>Validate user registration and company onboarding</t>
        </is>
      </c>
      <c r="D36" s="10" t="inlineStr">
        <is>
          <t>High</t>
        </is>
      </c>
      <c r="E36" s="10" t="inlineStr">
        <is>
          <t>In Progress</t>
        </is>
      </c>
      <c r="F36" s="10" t="inlineStr">
        <is>
          <t>Identity</t>
        </is>
      </c>
      <c r="G36" s="10" t="n"/>
      <c r="H36" s="10" t="inlineStr">
        <is>
          <t>Sign-up with bot check (AB2), one trial per business (AB3), legal acceptance, onboarding checklist (GR2); test_google_signin_id5.py</t>
        </is>
      </c>
      <c r="I36" s="10" t="inlineStr">
        <is>
          <t>HO-6; SR2-02</t>
        </is>
      </c>
      <c r="J36" s="10" t="inlineStr">
        <is>
          <t>No</t>
        </is>
      </c>
      <c r="K36" s="10" t="inlineStr">
        <is>
          <t>Turnstile keys pending; unaided onboarding with real users not done.; 2026-10-23 review: Google sign-up now uses the password sign-up rules (state required etc.); bot-check widget reset loop fixed.</t>
        </is>
      </c>
    </row>
    <row r="37">
      <c r="A37" s="9" t="inlineStr">
        <is>
          <t>BB-036</t>
        </is>
      </c>
      <c r="B37" s="10" t="inlineStr">
        <is>
          <t>User Management &amp; Access Control</t>
        </is>
      </c>
      <c r="C37" s="10" t="inlineStr">
        <is>
          <t>Validate login, logout and password reset</t>
        </is>
      </c>
      <c r="D37" s="10" t="inlineStr">
        <is>
          <t>Critical</t>
        </is>
      </c>
      <c r="E37" s="10" t="inlineStr">
        <is>
          <t>In Progress</t>
        </is>
      </c>
      <c r="F37" s="10" t="inlineStr">
        <is>
          <t>Identity</t>
        </is>
      </c>
      <c r="G37" s="10" t="n"/>
      <c r="H37" s="10" t="inlineStr">
        <is>
          <t>test_mfa.py; lockout and throttles; post_deploy_smoke.py --live-comms</t>
        </is>
      </c>
      <c r="I37" s="10" t="inlineStr">
        <is>
          <t>HO-6</t>
        </is>
      </c>
      <c r="J37" s="10" t="inlineStr">
        <is>
          <t>Yes</t>
        </is>
      </c>
      <c r="K37" s="10" t="inlineStr">
        <is>
          <t>Code tested. Phone OTP and reset email cannot reach real users until DLT and SPF/DKIM are done.</t>
        </is>
      </c>
    </row>
    <row r="38">
      <c r="A38" s="9" t="inlineStr">
        <is>
          <t>BB-037</t>
        </is>
      </c>
      <c r="B38" s="10" t="inlineStr">
        <is>
          <t>User Management &amp; Access Control</t>
        </is>
      </c>
      <c r="C38" s="10" t="inlineStr">
        <is>
          <t>Implement email/mobile verification where required</t>
        </is>
      </c>
      <c r="D38" s="10" t="inlineStr">
        <is>
          <t>Medium</t>
        </is>
      </c>
      <c r="E38" s="10" t="inlineStr">
        <is>
          <t>Blocked</t>
        </is>
      </c>
      <c r="F38" s="10" t="inlineStr">
        <is>
          <t>Identity</t>
        </is>
      </c>
      <c r="G38" s="10" t="n"/>
      <c r="H38" s="10" t="inlineStr">
        <is>
          <t>OTP flows; SMS DLT template registry (test_message_templates.py)</t>
        </is>
      </c>
      <c r="I38" s="10" t="inlineStr">
        <is>
          <t>HO-6</t>
        </is>
      </c>
      <c r="J38" s="10" t="inlineStr">
        <is>
          <t>No</t>
        </is>
      </c>
      <c r="K38" s="10" t="inlineStr">
        <is>
          <t>Waiting on TRAI DLT entity/templates and SPF/DKIM/DMARC.</t>
        </is>
      </c>
    </row>
    <row r="39">
      <c r="A39" s="9" t="inlineStr">
        <is>
          <t>BB-038</t>
        </is>
      </c>
      <c r="B39" s="10" t="inlineStr">
        <is>
          <t>User Management &amp; Access Control</t>
        </is>
      </c>
      <c r="C39" s="10" t="inlineStr">
        <is>
          <t>Verify role-based access control</t>
        </is>
      </c>
      <c r="D39" s="10" t="inlineStr">
        <is>
          <t>Critical</t>
        </is>
      </c>
      <c r="E39" s="10" t="inlineStr">
        <is>
          <t>Passed</t>
        </is>
      </c>
      <c r="F39" s="10" t="inlineStr">
        <is>
          <t>Security</t>
        </is>
      </c>
      <c r="G39" s="10" t="n"/>
      <c r="H39" s="10" t="inlineStr">
        <is>
          <t>test_wave4_rbac.py; test_mfg_role_matrix.py; test_inventory_idr12_roles.py; test_next_batch_roles.py</t>
        </is>
      </c>
      <c r="I39" s="10" t="n"/>
      <c r="J39" s="10" t="inlineStr">
        <is>
          <t>Yes</t>
        </is>
      </c>
      <c r="K39" s="10" t="inlineStr">
        <is>
          <t>Pentest will re-check (HO-10).</t>
        </is>
      </c>
    </row>
    <row r="40">
      <c r="A40" s="9" t="inlineStr">
        <is>
          <t>BB-039</t>
        </is>
      </c>
      <c r="B40" s="10" t="inlineStr">
        <is>
          <t>User Management &amp; Access Control</t>
        </is>
      </c>
      <c r="C40" s="10" t="inlineStr">
        <is>
          <t>Test staff invitations and account deactivation</t>
        </is>
      </c>
      <c r="D40" s="10" t="inlineStr">
        <is>
          <t>High</t>
        </is>
      </c>
      <c r="E40" s="10" t="inlineStr">
        <is>
          <t>Passed</t>
        </is>
      </c>
      <c r="F40" s="10" t="inlineStr">
        <is>
          <t>Identity</t>
        </is>
      </c>
      <c r="G40" s="10" t="n"/>
      <c r="H40" s="10" t="inlineStr">
        <is>
          <t>InviteJti invites; last-owner protection (ID1); tests/test_saas_phase1_ops.py</t>
        </is>
      </c>
      <c r="I40" s="10" t="n"/>
      <c r="J40" s="10" t="inlineStr">
        <is>
          <t>No</t>
        </is>
      </c>
      <c r="K40" s="10" t="n"/>
    </row>
    <row r="41">
      <c r="A41" s="9" t="inlineStr">
        <is>
          <t>BB-040</t>
        </is>
      </c>
      <c r="B41" s="10" t="inlineStr">
        <is>
          <t>User Management &amp; Access Control</t>
        </is>
      </c>
      <c r="C41" s="10" t="inlineStr">
        <is>
          <t>Validate session expiry and secure authentication</t>
        </is>
      </c>
      <c r="D41" s="10" t="inlineStr">
        <is>
          <t>Critical</t>
        </is>
      </c>
      <c r="E41" s="10" t="inlineStr">
        <is>
          <t>Passed</t>
        </is>
      </c>
      <c r="F41" s="10" t="inlineStr">
        <is>
          <t>Security</t>
        </is>
      </c>
      <c r="G41" s="10" t="n"/>
      <c r="H41" s="10" t="inlineStr">
        <is>
          <t>httpOnly JWT cookies, 15-min access token, refresh blacklist; MFA on every sign-in path (QOS-0103 closed); sessions screen (test_user_sessions_id3.py); test_user_sessions_id3.py (switch-company, logout cases)</t>
        </is>
      </c>
      <c r="I41" s="10" t="n"/>
      <c r="J41" s="10" t="inlineStr">
        <is>
          <t>Yes</t>
        </is>
      </c>
      <c r="K41" s="10" t="inlineStr">
        <is>
          <t>2026-10-23 review: Fixed a hole: /auth/switch-company/ issued a new 14-day session from an access token, undoing 'sign out this device'. Logout/reset now close sessions; Security page for every user.</t>
        </is>
      </c>
    </row>
    <row r="42">
      <c r="A42" s="9" t="inlineStr">
        <is>
          <t>BB-041</t>
        </is>
      </c>
      <c r="B42" s="10" t="inlineStr">
        <is>
          <t>User Management &amp; Access Control</t>
        </is>
      </c>
      <c r="C42" s="10" t="inlineStr">
        <is>
          <t>Protect sensitive financial and administrative actions</t>
        </is>
      </c>
      <c r="D42" s="10" t="inlineStr">
        <is>
          <t>Critical</t>
        </is>
      </c>
      <c r="E42" s="10" t="inlineStr">
        <is>
          <t>Passed</t>
        </is>
      </c>
      <c r="F42" s="10" t="inlineStr">
        <is>
          <t>Security</t>
        </is>
      </c>
      <c r="G42" s="10" t="n"/>
      <c r="H42" s="10" t="inlineStr">
        <is>
          <t>Password + MFA re-check on sensitive actions; ownership transfer; break-glass (tests/test_saas_phase1_ops.py); test_saas_review_fixes.py (ownership cases)</t>
        </is>
      </c>
      <c r="I42" s="10" t="n"/>
      <c r="J42" s="10" t="inlineStr">
        <is>
          <t>Yes</t>
        </is>
      </c>
      <c r="K42" s="10" t="inlineStr">
        <is>
          <t>2026-10-23 review: Fixed: an ownership offer stayed valid after its owner was demoted; Google sign-in could open an account by email on non-Google mail domains.</t>
        </is>
      </c>
    </row>
    <row r="43">
      <c r="A43" s="9" t="inlineStr">
        <is>
          <t>BB-042</t>
        </is>
      </c>
      <c r="B43" s="10" t="inlineStr">
        <is>
          <t>User Management &amp; Access Control</t>
        </is>
      </c>
      <c r="C43" s="10" t="inlineStr">
        <is>
          <t>Audit important user activities</t>
        </is>
      </c>
      <c r="D43" s="10" t="inlineStr">
        <is>
          <t>High</t>
        </is>
      </c>
      <c r="E43" s="10" t="inlineStr">
        <is>
          <t>Passed</t>
        </is>
      </c>
      <c r="F43" s="10" t="inlineStr">
        <is>
          <t>Security</t>
        </is>
      </c>
      <c r="G43" s="10" t="n"/>
      <c r="H43" s="10" t="inlineStr">
        <is>
          <t>AuditService + audit hash chain; test_plan_audit_seal_session.py; repair trail (test_repair_trail.py)</t>
        </is>
      </c>
      <c r="I43" s="10" t="n"/>
      <c r="J43" s="10" t="inlineStr">
        <is>
          <t>No</t>
        </is>
      </c>
      <c r="K43" s="10" t="inlineStr">
        <is>
          <t>Owner-facing audit log screen deferred to after launch (I-04).</t>
        </is>
      </c>
    </row>
    <row r="44">
      <c r="A44" s="9" t="inlineStr">
        <is>
          <t>BB-043</t>
        </is>
      </c>
      <c r="B44" s="10" t="inlineStr">
        <is>
          <t>Security &amp; Privacy</t>
        </is>
      </c>
      <c r="C44" s="10" t="inlineStr">
        <is>
          <t>Enforce HTTPS</t>
        </is>
      </c>
      <c r="D44" s="10" t="inlineStr">
        <is>
          <t>Critical</t>
        </is>
      </c>
      <c r="E44" s="10" t="inlineStr">
        <is>
          <t>Blocked</t>
        </is>
      </c>
      <c r="F44" s="10" t="inlineStr">
        <is>
          <t>Security</t>
        </is>
      </c>
      <c r="G44" s="10" t="n"/>
      <c r="H44" s="10" t="inlineStr">
        <is>
          <t>Production settings: secure cookies, HSTS; SECURE_SSL_REDIRECT opt-in; edge_tls_smoke.sh</t>
        </is>
      </c>
      <c r="I44" s="10" t="inlineStr">
        <is>
          <t>HO-2; HO-3</t>
        </is>
      </c>
      <c r="J44" s="10" t="inlineStr">
        <is>
          <t>Yes</t>
        </is>
      </c>
      <c r="K44" s="10" t="inlineStr">
        <is>
          <t>No hosted environment yet to verify TLS end to end.</t>
        </is>
      </c>
    </row>
    <row r="45">
      <c r="A45" s="9" t="inlineStr">
        <is>
          <t>BB-044</t>
        </is>
      </c>
      <c r="B45" s="10" t="inlineStr">
        <is>
          <t>Security &amp; Privacy</t>
        </is>
      </c>
      <c r="C45" s="10" t="inlineStr">
        <is>
          <t>Keep API keys and secrets outside source control</t>
        </is>
      </c>
      <c r="D45" s="10" t="inlineStr">
        <is>
          <t>Critical</t>
        </is>
      </c>
      <c r="E45" s="10" t="inlineStr">
        <is>
          <t>Passed</t>
        </is>
      </c>
      <c r="F45" s="10" t="inlineStr">
        <is>
          <t>Security</t>
        </is>
      </c>
      <c r="G45" s="10" t="n"/>
      <c r="H45" s="10" t="inlineStr">
        <is>
          <t>Settings from env; .env.*.example only; boot refuses without required keys; key rotation (test_key_rotation.py)</t>
        </is>
      </c>
      <c r="I45" s="10" t="inlineStr">
        <is>
          <t>SR1-10</t>
        </is>
      </c>
      <c r="J45" s="10" t="inlineStr">
        <is>
          <t>Yes</t>
        </is>
      </c>
      <c r="K45" s="10" t="inlineStr">
        <is>
          <t>Secrets manager on the host still to set up.</t>
        </is>
      </c>
    </row>
    <row r="46">
      <c r="A46" s="9" t="inlineStr">
        <is>
          <t>BB-045</t>
        </is>
      </c>
      <c r="B46" s="10" t="inlineStr">
        <is>
          <t>Security &amp; Privacy</t>
        </is>
      </c>
      <c r="C46" s="10" t="inlineStr">
        <is>
          <t>Test SQL injection, XSS, CSRF and authorization vulnerabilities</t>
        </is>
      </c>
      <c r="D46" s="10" t="inlineStr">
        <is>
          <t>Critical</t>
        </is>
      </c>
      <c r="E46" s="10" t="inlineStr">
        <is>
          <t>In Progress</t>
        </is>
      </c>
      <c r="F46" s="10" t="inlineStr">
        <is>
          <t>Security</t>
        </is>
      </c>
      <c r="G46" s="10" t="n"/>
      <c r="H46" s="10" t="inlineStr">
        <is>
          <t>CSRF on, ORM only, CodeQL workflow, STRIDE.md, test_payment_webhook_adversarial.py</t>
        </is>
      </c>
      <c r="I46" s="10" t="inlineStr">
        <is>
          <t>HO-10</t>
        </is>
      </c>
      <c r="J46" s="10" t="inlineStr">
        <is>
          <t>Yes</t>
        </is>
      </c>
      <c r="K46" s="10" t="inlineStr">
        <is>
          <t>Independent pentest on hosted staging not done.; 2026-10-23 ops pass: Two security fixes this pass: spoofable client IP in rate limits; permanent-lockout counter race (see BB-046). Pentest still pending.; 2026-10-25 (WP, LLM plan): Local ZAP baseline + signed-in API scan (7 batches) + cross-tenant probe: 0 injection, 0 cross-tenant read/write; ZAP SQLi alerts proven false positives (rate-limit 503s); fixed missing Permissions-Policy/COOP/CORP headers and HTML 404s on /api/ (docs/security/LOCAL_SCAN_2026-10-25.md). Pentest brief ready (docs/security/PENTEST_SCOPE.md). Left: independent pentest on hosted staging.</t>
        </is>
      </c>
    </row>
    <row r="47">
      <c r="A47" s="9" t="inlineStr">
        <is>
          <t>BB-046</t>
        </is>
      </c>
      <c r="B47" s="10" t="inlineStr">
        <is>
          <t>Security &amp; Privacy</t>
        </is>
      </c>
      <c r="C47" s="10" t="inlineStr">
        <is>
          <t>Apply rate limiting and abuse protection</t>
        </is>
      </c>
      <c r="D47" s="10" t="inlineStr">
        <is>
          <t>High</t>
        </is>
      </c>
      <c r="E47" s="10" t="inlineStr">
        <is>
          <t>In Progress</t>
        </is>
      </c>
      <c r="F47" s="10" t="inlineStr">
        <is>
          <t>Security</t>
        </is>
      </c>
      <c r="G47" s="10" t="n"/>
      <c r="H47" s="10" t="inlineStr">
        <is>
          <t>DRF throttles (otp, sensitive_action, public_link); SMS guard (test_sms_guard.py); bot check (test_bot_check.py); test_public_pay_rate_limit.py; test_saas_review_fixes.py (SMS, Turnstile); NUM_PROXIES = NUM_TRUSTED_PROXIES (test_throttle_client_ip.py); core/services/counters.py TTL fix (test_cache_counters_ttl.py)</t>
        </is>
      </c>
      <c r="I47" s="10" t="inlineStr">
        <is>
          <t>HO-2</t>
        </is>
      </c>
      <c r="J47" s="10" t="inlineStr">
        <is>
          <t>No</t>
        </is>
      </c>
      <c r="K47" s="10" t="inlineStr">
        <is>
          <t>Turnstile keys not set; no WAF/DDoS layer yet.; 2026-10-23 review: Fixed: dunning SMS shared the OTP number-series budget; Turnstile and public-link spread used the proxy address; Turnstile hostname check added.; 2026-10-23 ops pass: Fixed: anonymous throttles keyed on a client-controlled X-Forwarded-For (a new value per request bypassed every limit); a Redis counter race could leave a rate-limit or lockout key with no expiry, locking a user out of the API until Redis was flushed (seen live on staging).</t>
        </is>
      </c>
    </row>
    <row r="48">
      <c r="A48" s="9" t="inlineStr">
        <is>
          <t>BB-047</t>
        </is>
      </c>
      <c r="B48" s="10" t="inlineStr">
        <is>
          <t>Security &amp; Privacy</t>
        </is>
      </c>
      <c r="C48" s="10" t="inlineStr">
        <is>
          <t>Protect customer financial and personal data</t>
        </is>
      </c>
      <c r="D48" s="10" t="inlineStr">
        <is>
          <t>Critical</t>
        </is>
      </c>
      <c r="E48" s="10" t="inlineStr">
        <is>
          <t>In Progress</t>
        </is>
      </c>
      <c r="F48" s="10" t="inlineStr">
        <is>
          <t>Security</t>
        </is>
      </c>
      <c r="G48" s="10" t="n"/>
      <c r="H48" s="10" t="inlineStr">
        <is>
          <t>RLS; MFA; encrypted secrets at rest; PII kept from AI models (tests/agents); public-link hardening (test_public_link_hardening.py)</t>
        </is>
      </c>
      <c r="I48" s="10" t="inlineStr">
        <is>
          <t>HO-9; HO-10</t>
        </is>
      </c>
      <c r="J48" s="10" t="inlineStr">
        <is>
          <t>Yes</t>
        </is>
      </c>
      <c r="K48" s="10" t="inlineStr">
        <is>
          <t>Counsel/DPIA and pentest pending.; 2026-10-25 (WP, LLM plan): Covered by the DPIA draft (risks R1-R13 with controls); stale RLS/MFA facts corrected in STRIDE.md and PRODUCT_BEHAVIORS_FOR_COUNSEL.md. Left: counsel + pentest.</t>
        </is>
      </c>
    </row>
    <row r="49">
      <c r="A49" s="9" t="inlineStr">
        <is>
          <t>BB-048</t>
        </is>
      </c>
      <c r="B49" s="10" t="inlineStr">
        <is>
          <t>Security &amp; Privacy</t>
        </is>
      </c>
      <c r="C49" s="10" t="inlineStr">
        <is>
          <t>Prevent sensitive information from appearing in logs</t>
        </is>
      </c>
      <c r="D49" s="10" t="inlineStr">
        <is>
          <t>Critical</t>
        </is>
      </c>
      <c r="E49" s="10" t="inlineStr">
        <is>
          <t>Passed</t>
        </is>
      </c>
      <c r="F49" s="10" t="inlineStr">
        <is>
          <t>Security</t>
        </is>
      </c>
      <c r="G49" s="10" t="n"/>
      <c r="H49" s="10" t="inlineStr">
        <is>
          <t>Sentry with request_id + company_hash (no raw tenant ids); agent PII tests; core/log_redaction.py (RedactingFormatter on every console handler); tests/test_log_redaction.py (21 tests incl. repo-wide AST scan)</t>
        </is>
      </c>
      <c r="I49" s="10" t="n"/>
      <c r="J49" s="10" t="inlineStr">
        <is>
          <t>Yes</t>
        </is>
      </c>
      <c r="K49" s="10" t="inlineStr">
        <is>
          <t>No repo-wide log redaction test; check on hosted logs.; 2026-10-24 A/B pass: Repo-wide scan found no logging call passing a password/token/OTP/key; redaction of secrets, JWTs, emails, phones, PAN, Aadhaar, cards added as a safety net, tracebacks included.</t>
        </is>
      </c>
    </row>
    <row r="50">
      <c r="A50" s="9" t="inlineStr">
        <is>
          <t>BB-049</t>
        </is>
      </c>
      <c r="B50" s="10" t="inlineStr">
        <is>
          <t>Security &amp; Privacy</t>
        </is>
      </c>
      <c r="C50" s="10" t="inlineStr">
        <is>
          <t>Configure dependency and vulnerability scanning</t>
        </is>
      </c>
      <c r="D50" s="10" t="inlineStr">
        <is>
          <t>High</t>
        </is>
      </c>
      <c r="E50" s="10" t="inlineStr">
        <is>
          <t>Passed</t>
        </is>
      </c>
      <c r="F50" s="10" t="inlineStr">
        <is>
          <t>Security</t>
        </is>
      </c>
      <c r="G50" s="10" t="n"/>
      <c r="H50" s="10" t="inlineStr">
        <is>
          <t>.github/dependabot.yml (pip, web, mobile); pip-audit; npm audit; CodeQL; supply-chain CI job (Trivy + CycloneDX SBOM)</t>
        </is>
      </c>
      <c r="I50" s="10" t="n"/>
      <c r="J50" s="10" t="inlineStr">
        <is>
          <t>No</t>
        </is>
      </c>
      <c r="K50" s="10" t="inlineStr">
        <is>
          <t>2026-10-23 review: Fixed: supply-chain job lacked PyYAML (would fail every run); backend SBOM had no packages (now from a resolved env); docker scan now honours the allow-list.</t>
        </is>
      </c>
    </row>
    <row r="51">
      <c r="A51" s="9" t="inlineStr">
        <is>
          <t>BB-050</t>
        </is>
      </c>
      <c r="B51" s="10" t="inlineStr">
        <is>
          <t>Security &amp; Privacy</t>
        </is>
      </c>
      <c r="C51" s="10" t="inlineStr">
        <is>
          <t>Publish privacy policy and terms of service</t>
        </is>
      </c>
      <c r="D51" s="10" t="inlineStr">
        <is>
          <t>High</t>
        </is>
      </c>
      <c r="E51" s="10" t="inlineStr">
        <is>
          <t>Blocked</t>
        </is>
      </c>
      <c r="F51" s="10" t="inlineStr">
        <is>
          <t>Legal</t>
        </is>
      </c>
      <c r="G51" s="10" t="n"/>
      <c r="H51" s="10" t="inlineStr">
        <is>
          <t>Acceptance recording + re-accept flow built (test_legal_acceptance.py)</t>
        </is>
      </c>
      <c r="I51" s="10" t="inlineStr">
        <is>
          <t>HO-9</t>
        </is>
      </c>
      <c r="J51" s="10" t="inlineStr">
        <is>
          <t>No</t>
        </is>
      </c>
      <c r="K51" s="10" t="inlineStr">
        <is>
          <t>Counsel to write ToS and privacy policy.; 2026-10-24 (D-07): first drafts for counsel in docs/legal/drafts/ (terms, privacy policy, DPA), with sub-processors and open points listed. Counsel must rewrite and approve.</t>
        </is>
      </c>
    </row>
    <row r="52">
      <c r="A52" s="9" t="inlineStr">
        <is>
          <t>BB-051</t>
        </is>
      </c>
      <c r="B52" s="10" t="inlineStr">
        <is>
          <t>Security &amp; Privacy</t>
        </is>
      </c>
      <c r="C52" s="10" t="inlineStr">
        <is>
          <t>Establish incident response and data breach procedures</t>
        </is>
      </c>
      <c r="D52" s="10" t="inlineStr">
        <is>
          <t>High</t>
        </is>
      </c>
      <c r="E52" s="10" t="inlineStr">
        <is>
          <t>In Progress</t>
        </is>
      </c>
      <c r="F52" s="10" t="inlineStr">
        <is>
          <t>Security</t>
        </is>
      </c>
      <c r="G52" s="10" t="n"/>
      <c r="H52" s="10" t="inlineStr">
        <is>
          <t>docs/ops/INCIDENT_RESPONSE.md (CERT-In 6-hour clock); DPDP_REQUESTS.md breach fields; POSTMORTEM.md; docs/ops/TABLETOP_EXERCISES.md; ONCALL_ROSTER.md filled</t>
        </is>
      </c>
      <c r="I52" s="10" t="inlineStr">
        <is>
          <t>HO-5; SR2-10</t>
        </is>
      </c>
      <c r="J52" s="10" t="inlineStr">
        <is>
          <t>No</t>
        </is>
      </c>
      <c r="K52" s="10" t="inlineStr">
        <is>
          <t>No named on-call; tabletop not held; counsel wording pending.; 2026-10-23 ops pass: On-call primary named (founder); no backup yet (recorded as a risk). Tabletop pack ready; not held.; 2026-10-25 (WP, LLM plan): Incident tabletop run pack (inject cards, scoring sheet, solo record) added to TABLETOP_EXERCISES.md. Left: founder runs it; backup on call.</t>
        </is>
      </c>
    </row>
    <row r="53">
      <c r="A53" s="9" t="inlineStr">
        <is>
          <t>BB-052</t>
        </is>
      </c>
      <c r="B53" s="10" t="inlineStr">
        <is>
          <t>Subscription &amp; Payments</t>
        </is>
      </c>
      <c r="C53" s="10" t="inlineStr">
        <is>
          <t>Define subscription plans and pricing</t>
        </is>
      </c>
      <c r="D53" s="10" t="inlineStr">
        <is>
          <t>High</t>
        </is>
      </c>
      <c r="E53" s="10" t="inlineStr">
        <is>
          <t>In Progress</t>
        </is>
      </c>
      <c r="F53" s="10" t="inlineStr">
        <is>
          <t>Business</t>
        </is>
      </c>
      <c r="G53" s="10" t="n"/>
      <c r="H53" s="10" t="inlineStr">
        <is>
          <t>Plans defined in billing module; docs/roadmap/SIGNOFF_PACK_2026-10-23.md B-1</t>
        </is>
      </c>
      <c r="I53" s="10" t="inlineStr">
        <is>
          <t>HO-18</t>
        </is>
      </c>
      <c r="J53" s="10" t="inlineStr">
        <is>
          <t>No</t>
        </is>
      </c>
      <c r="K53" s="10" t="inlineStr">
        <is>
          <t>Prices not signed.; 2026-10-24 A/B pass: Plan and price proposal drafted. Awaiting founder signature.; 2026-10-25: found - seeded paid plans switch the GSTR-1/3B worksheets off (ENABLE_GSTR in FREEZE_DARK_PLAN_MODULES) while the trial has them, so an upgrading customer would lose them. Awaiting founder decision on which paid plans include them.; 2026-10-25 (D-16): every plan, Free included, now grants the GSTR-1/3B worksheets; pricing page shows it.</t>
        </is>
      </c>
    </row>
    <row r="54">
      <c r="A54" s="9" t="inlineStr">
        <is>
          <t>BB-053</t>
        </is>
      </c>
      <c r="B54" s="10" t="inlineStr">
        <is>
          <t>Subscription &amp; Payments</t>
        </is>
      </c>
      <c r="C54" s="10" t="inlineStr">
        <is>
          <t>Implement free trial and trial expiry</t>
        </is>
      </c>
      <c r="D54" s="10" t="inlineStr">
        <is>
          <t>High</t>
        </is>
      </c>
      <c r="E54" s="10" t="inlineStr">
        <is>
          <t>Passed</t>
        </is>
      </c>
      <c r="F54" s="10" t="inlineStr">
        <is>
          <t>Payments</t>
        </is>
      </c>
      <c r="G54" s="10" t="n"/>
      <c r="H54" s="10" t="inlineStr">
        <is>
          <t>ensure_register_trial; trial expiry write-block; one trial per business (test_tds_claims_trial_guard.py)</t>
        </is>
      </c>
      <c r="I54" s="10" t="inlineStr">
        <is>
          <t>HO-18</t>
        </is>
      </c>
      <c r="J54" s="10" t="inlineStr">
        <is>
          <t>No</t>
        </is>
      </c>
      <c r="K54" s="10" t="inlineStr">
        <is>
          <t>Trial length still to be signed.</t>
        </is>
      </c>
    </row>
    <row r="55">
      <c r="A55" s="9" t="inlineStr">
        <is>
          <t>BB-054</t>
        </is>
      </c>
      <c r="B55" s="10" t="inlineStr">
        <is>
          <t>Subscription &amp; Payments</t>
        </is>
      </c>
      <c r="C55" s="10" t="inlineStr">
        <is>
          <t>Integrate payment gateway and test production readiness</t>
        </is>
      </c>
      <c r="D55" s="10" t="inlineStr">
        <is>
          <t>Critical</t>
        </is>
      </c>
      <c r="E55" s="10" t="inlineStr">
        <is>
          <t>Blocked</t>
        </is>
      </c>
      <c r="F55" s="10" t="inlineStr">
        <is>
          <t>Payments</t>
        </is>
      </c>
      <c r="G55" s="10" t="n"/>
      <c r="H55" s="10" t="inlineStr">
        <is>
          <t>Razorpay integration (sandbox); 152 billing/gateway tests pass (mocked gateway)</t>
        </is>
      </c>
      <c r="I55" s="10" t="inlineStr">
        <is>
          <t>HO-18; QOS-0031</t>
        </is>
      </c>
      <c r="J55" s="10" t="inlineStr">
        <is>
          <t>Yes</t>
        </is>
      </c>
      <c r="K55" s="10" t="inlineStr">
        <is>
          <t>Live Razorpay account, keys and live daily recon pending.; 2026-10-23 ops pass: Sandbox runs skipped: no Razorpay test keys yet.</t>
        </is>
      </c>
    </row>
    <row r="56">
      <c r="A56" s="9" t="inlineStr">
        <is>
          <t>BB-055</t>
        </is>
      </c>
      <c r="B56" s="10" t="inlineStr">
        <is>
          <t>Subscription &amp; Payments</t>
        </is>
      </c>
      <c r="C56" s="10" t="inlineStr">
        <is>
          <t>Handle payment success, failure, refunds and renewals</t>
        </is>
      </c>
      <c r="D56" s="10" t="inlineStr">
        <is>
          <t>Critical</t>
        </is>
      </c>
      <c r="E56" s="10" t="inlineStr">
        <is>
          <t>In Progress</t>
        </is>
      </c>
      <c r="F56" s="10" t="inlineStr">
        <is>
          <t>Payments</t>
        </is>
      </c>
      <c r="G56" s="10" t="n"/>
      <c r="H56" s="10" t="inlineStr">
        <is>
          <t>Webhooks, dunning, BL2 invoice per renewal, BL1 refunds, BL3 proration, BL4 UPI Autopay (test_plan_change_autopay.py); test_plan_change_autopay.py (review-fix tests)</t>
        </is>
      </c>
      <c r="I56" s="10" t="n"/>
      <c r="J56" s="10" t="inlineStr">
        <is>
          <t>Yes</t>
        </is>
      </c>
      <c r="K56" s="10" t="inlineStr">
        <is>
          <t>Razorpay sandbox runs of upgrade/downgrade/re-mandate/renewal pending.; 2026-10-23 review: Fixed money bugs: double charge at renewal on a plan switch, repeat-upgrade re-charge, paid upgrade never expiring, pending plan promoted by the old renewal, paid links dropped.</t>
        </is>
      </c>
    </row>
    <row r="57">
      <c r="A57" s="9" t="inlineStr">
        <is>
          <t>BB-056</t>
        </is>
      </c>
      <c r="B57" s="10" t="inlineStr">
        <is>
          <t>Subscription &amp; Payments</t>
        </is>
      </c>
      <c r="C57" s="10" t="inlineStr">
        <is>
          <t>Validate webhook signatures and duplicate event handling</t>
        </is>
      </c>
      <c r="D57" s="10" t="inlineStr">
        <is>
          <t>Critical</t>
        </is>
      </c>
      <c r="E57" s="10" t="inlineStr">
        <is>
          <t>Passed</t>
        </is>
      </c>
      <c r="F57" s="10" t="inlineStr">
        <is>
          <t>Payments</t>
        </is>
      </c>
      <c r="G57" s="10" t="n"/>
      <c r="H57" s="10" t="inlineStr">
        <is>
          <t>HMAC verification; ProcessedWebhookEvent + event-id/payment-id dedupe; test_payment_webhook_adversarial.py; test_w0_webhook_holding.py</t>
        </is>
      </c>
      <c r="I57" s="10" t="n"/>
      <c r="J57" s="10" t="inlineStr">
        <is>
          <t>Yes</t>
        </is>
      </c>
      <c r="K57" s="10" t="inlineStr">
        <is>
          <t>Signed replay on staging still to do.; 2026-10-23 review: Unknown subscription events are now parked before being applied (no status change from them).</t>
        </is>
      </c>
    </row>
    <row r="58">
      <c r="A58" s="9" t="inlineStr">
        <is>
          <t>BB-057</t>
        </is>
      </c>
      <c r="B58" s="10" t="inlineStr">
        <is>
          <t>Subscription &amp; Payments</t>
        </is>
      </c>
      <c r="C58" s="10" t="inlineStr">
        <is>
          <t>Implement subscription invoices and payment history</t>
        </is>
      </c>
      <c r="D58" s="10" t="inlineStr">
        <is>
          <t>High</t>
        </is>
      </c>
      <c r="E58" s="10" t="inlineStr">
        <is>
          <t>In Progress</t>
        </is>
      </c>
      <c r="F58" s="10" t="inlineStr">
        <is>
          <t>Finance</t>
        </is>
      </c>
      <c r="G58" s="10" t="n"/>
      <c r="H58" s="10" t="inlineStr">
        <is>
          <t>PlatformGstInvoice for every charge incl. Razorpay renewals, PDFs, owner list (test_platform_gst_bl2.py)</t>
        </is>
      </c>
      <c r="I58" s="10" t="inlineStr">
        <is>
          <t>HO-18</t>
        </is>
      </c>
      <c r="J58" s="10" t="inlineStr">
        <is>
          <t>No</t>
        </is>
      </c>
      <c r="K58" s="10" t="inlineStr">
        <is>
          <t>CA to sign invoice format and SAC.; 2026-10-23 review: Fixed: recon would have invoiced every historical charge dated today (now 35-day window + PLATFORM_GST_INVOICES_FROM); CGST/SGST equal halves by GST state code.</t>
        </is>
      </c>
    </row>
    <row r="59">
      <c r="A59" s="9" t="inlineStr">
        <is>
          <t>BB-058</t>
        </is>
      </c>
      <c r="B59" s="10" t="inlineStr">
        <is>
          <t>Subscription &amp; Payments</t>
        </is>
      </c>
      <c r="C59" s="10" t="inlineStr">
        <is>
          <t>Enforce plan-based feature and usage limits on the backend</t>
        </is>
      </c>
      <c r="D59" s="10" t="inlineStr">
        <is>
          <t>Critical</t>
        </is>
      </c>
      <c r="E59" s="10" t="inlineStr">
        <is>
          <t>Passed</t>
        </is>
      </c>
      <c r="F59" s="10" t="inlineStr">
        <is>
          <t>Engineering</t>
        </is>
      </c>
      <c r="G59" s="10" t="n"/>
      <c r="H59" s="10" t="inlineStr">
        <is>
          <t>billing/quotas.py; entitlements; write-block; test_saas_quotas_and_dlq.py</t>
        </is>
      </c>
      <c r="I59" s="10" t="n"/>
      <c r="J59" s="10" t="inlineStr">
        <is>
          <t>Yes</t>
        </is>
      </c>
      <c r="K59" s="10" t="inlineStr">
        <is>
          <t>2026-10-23 review: Upgrade seat limit now applies to invites at once.</t>
        </is>
      </c>
    </row>
    <row r="60">
      <c r="A60" s="9" t="inlineStr">
        <is>
          <t>BB-059</t>
        </is>
      </c>
      <c r="B60" s="10" t="inlineStr">
        <is>
          <t>Subscription &amp; Payments</t>
        </is>
      </c>
      <c r="C60" s="10" t="inlineStr">
        <is>
          <t>Define grace periods for failed payments</t>
        </is>
      </c>
      <c r="D60" s="10" t="inlineStr">
        <is>
          <t>High</t>
        </is>
      </c>
      <c r="E60" s="10" t="inlineStr">
        <is>
          <t>In Progress</t>
        </is>
      </c>
      <c r="F60" s="10" t="inlineStr">
        <is>
          <t>Business</t>
        </is>
      </c>
      <c r="G60" s="10" t="n"/>
      <c r="H60" s="10" t="inlineStr">
        <is>
          <t>SaaS dunning (PAST_DUE); 3-day grace on unpaid proration; docs/roadmap/SIGNOFF_PACK_2026-10-23.md B-3</t>
        </is>
      </c>
      <c r="I60" s="10" t="n"/>
      <c r="J60" s="10" t="inlineStr">
        <is>
          <t>No</t>
        </is>
      </c>
      <c r="K60" s="10" t="inlineStr">
        <is>
          <t>Grace-period policy not signed by founder.; 2026-10-24 A/B pass: Proposal: 7-day grace (today 0) then read-only, data kept. Awaiting founder signature.</t>
        </is>
      </c>
    </row>
    <row r="61">
      <c r="A61" s="9" t="inlineStr">
        <is>
          <t>BB-060</t>
        </is>
      </c>
      <c r="B61" s="10" t="inlineStr">
        <is>
          <t>Subscription &amp; Payments</t>
        </is>
      </c>
      <c r="C61" s="10" t="inlineStr">
        <is>
          <t>Implement subscription cancellation and reactivation</t>
        </is>
      </c>
      <c r="D61" s="10" t="inlineStr">
        <is>
          <t>High</t>
        </is>
      </c>
      <c r="E61" s="10" t="inlineStr">
        <is>
          <t>In Progress</t>
        </is>
      </c>
      <c r="F61" s="10" t="inlineStr">
        <is>
          <t>Payments</t>
        </is>
      </c>
      <c r="G61" s="10" t="n"/>
      <c r="H61" s="10" t="inlineStr">
        <is>
          <t>Billing danger zone (cancel); mandate cancel/resume (BL4)</t>
        </is>
      </c>
      <c r="I61" s="10" t="n"/>
      <c r="J61" s="10" t="inlineStr">
        <is>
          <t>No</t>
        </is>
      </c>
      <c r="K61" s="10" t="inlineStr">
        <is>
          <t>Sandbox run pending.</t>
        </is>
      </c>
    </row>
    <row r="62">
      <c r="A62" s="9" t="inlineStr">
        <is>
          <t>BB-061</t>
        </is>
      </c>
      <c r="B62" s="10" t="inlineStr">
        <is>
          <t>Subscription &amp; Payments</t>
        </is>
      </c>
      <c r="C62" s="10" t="inlineStr">
        <is>
          <t>Preserve customer data during suspension and downgrade</t>
        </is>
      </c>
      <c r="D62" s="10" t="inlineStr">
        <is>
          <t>Critical</t>
        </is>
      </c>
      <c r="E62" s="10" t="inlineStr">
        <is>
          <t>Passed</t>
        </is>
      </c>
      <c r="F62" s="10" t="inlineStr">
        <is>
          <t>Engineering</t>
        </is>
      </c>
      <c r="G62" s="10" t="n"/>
      <c r="H62" s="10" t="inlineStr">
        <is>
          <t>Suspension is read-only, never deletion; downgrade refused over quota; test_billing_suspend.py</t>
        </is>
      </c>
      <c r="I62" s="10" t="n"/>
      <c r="J62" s="10" t="inlineStr">
        <is>
          <t>Yes</t>
        </is>
      </c>
      <c r="K62" s="10" t="n"/>
    </row>
    <row r="63">
      <c r="A63" s="9" t="inlineStr">
        <is>
          <t>BB-062</t>
        </is>
      </c>
      <c r="B63" s="10" t="inlineStr">
        <is>
          <t>Database &amp; Data Integrity</t>
        </is>
      </c>
      <c r="C63" s="10" t="inlineStr">
        <is>
          <t>Review database schema and relationships</t>
        </is>
      </c>
      <c r="D63" s="10" t="inlineStr">
        <is>
          <t>High</t>
        </is>
      </c>
      <c r="E63" s="10" t="inlineStr">
        <is>
          <t>Passed</t>
        </is>
      </c>
      <c r="F63" s="10" t="inlineStr">
        <is>
          <t>Engineering</t>
        </is>
      </c>
      <c r="G63" s="10" t="n"/>
      <c r="H63" s="10" t="inlineStr">
        <is>
          <t>Per-module reviews (sales, purchase, inventory, accounting, CRM, mfg); schema constraints; docs/architecture/SCHEMA_REVIEW_2026-10-23.md; payments migration 0046 (unique receipt/payment numbers)</t>
        </is>
      </c>
      <c r="I63" s="10" t="n"/>
      <c r="J63" s="10" t="inlineStr">
        <is>
          <t>No</t>
        </is>
      </c>
      <c r="K63" s="10" t="inlineStr">
        <is>
          <t>No single signed schema review.; 2026-10-24 A/B pass: 274 models reviewed: tenancy + RLS coverage, no float money, delete rules safe, indexes present. Fixed: receipts and supplier payments now have a DB-level unique number per company.</t>
        </is>
      </c>
    </row>
    <row r="64">
      <c r="A64" s="9" t="inlineStr">
        <is>
          <t>BB-063</t>
        </is>
      </c>
      <c r="B64" s="10" t="inlineStr">
        <is>
          <t>Database &amp; Data Integrity</t>
        </is>
      </c>
      <c r="C64" s="10" t="inlineStr">
        <is>
          <t>Validate transaction integrity for financial postings</t>
        </is>
      </c>
      <c r="D64" s="10" t="inlineStr">
        <is>
          <t>Critical</t>
        </is>
      </c>
      <c r="E64" s="10" t="inlineStr">
        <is>
          <t>Passed</t>
        </is>
      </c>
      <c r="F64" s="10" t="inlineStr">
        <is>
          <t>Engineering</t>
        </is>
      </c>
      <c r="G64" s="10" t="n"/>
      <c r="H64" s="10" t="inlineStr">
        <is>
          <t>Deferred DB triggers reject unbalanced/empty posted entries (test_ledger_trigger_postgres.py); test_a2_posting_atomicity.py; property-based ledger test + nightly-ledger.yml</t>
        </is>
      </c>
      <c r="I64" s="10" t="n"/>
      <c r="J64" s="10" t="inlineStr">
        <is>
          <t>Yes</t>
        </is>
      </c>
      <c r="K64" s="10" t="n"/>
    </row>
    <row r="65">
      <c r="A65" s="9" t="inlineStr">
        <is>
          <t>BB-064</t>
        </is>
      </c>
      <c r="B65" s="10" t="inlineStr">
        <is>
          <t>Database &amp; Data Integrity</t>
        </is>
      </c>
      <c r="C65" s="10" t="inlineStr">
        <is>
          <t>Test concurrent invoice creation and stock updates</t>
        </is>
      </c>
      <c r="D65" s="10" t="inlineStr">
        <is>
          <t>Critical</t>
        </is>
      </c>
      <c r="E65" s="10" t="inlineStr">
        <is>
          <t>Passed</t>
        </is>
      </c>
      <c r="F65" s="10" t="inlineStr">
        <is>
          <t>Engineering</t>
        </is>
      </c>
      <c r="G65" s="10" t="n"/>
      <c r="H65" s="10" t="inlineStr">
        <is>
          <t>15+ *_concurrency_postgres.py suites; test_customer_lock_deadlock_postgres.py; check_postgres_skips.py (no skips in CI)</t>
        </is>
      </c>
      <c r="I65" s="10" t="n"/>
      <c r="J65" s="10" t="inlineStr">
        <is>
          <t>Yes</t>
        </is>
      </c>
      <c r="K65" s="10" t="n"/>
    </row>
    <row r="66">
      <c r="A66" s="9" t="inlineStr">
        <is>
          <t>BB-065</t>
        </is>
      </c>
      <c r="B66" s="10" t="inlineStr">
        <is>
          <t>Database &amp; Data Integrity</t>
        </is>
      </c>
      <c r="C66" s="10" t="inlineStr">
        <is>
          <t>Reconcile inventory ledger with stock balances</t>
        </is>
      </c>
      <c r="D66" s="10" t="inlineStr">
        <is>
          <t>Critical</t>
        </is>
      </c>
      <c r="E66" s="10" t="inlineStr">
        <is>
          <t>In Progress</t>
        </is>
      </c>
      <c r="F66" s="10" t="inlineStr">
        <is>
          <t>Engineering</t>
        </is>
      </c>
      <c r="G66" s="10" t="n"/>
      <c r="H66" s="10" t="inlineStr">
        <is>
          <t>Invariant sweep per tenant (test_tenant_sweep.py); restore drill sweep clean</t>
        </is>
      </c>
      <c r="I66" s="10" t="inlineStr">
        <is>
          <t>QOS-0072; HO-8</t>
        </is>
      </c>
      <c r="J66" s="10" t="inlineStr">
        <is>
          <t>Yes</t>
        </is>
      </c>
      <c r="K66" s="10" t="inlineStr">
        <is>
          <t>Stock value vs inventory account not an invariant by design; stock GL postings off until CA signs.</t>
        </is>
      </c>
    </row>
    <row r="67">
      <c r="A67" s="9" t="inlineStr">
        <is>
          <t>BB-066</t>
        </is>
      </c>
      <c r="B67" s="10" t="inlineStr">
        <is>
          <t>Database &amp; Data Integrity</t>
        </is>
      </c>
      <c r="C67" s="10" t="inlineStr">
        <is>
          <t>Validate database migrations</t>
        </is>
      </c>
      <c r="D67" s="10" t="inlineStr">
        <is>
          <t>Critical</t>
        </is>
      </c>
      <c r="E67" s="10" t="inlineStr">
        <is>
          <t>Passed</t>
        </is>
      </c>
      <c r="F67" s="10" t="inlineStr">
        <is>
          <t>Engineering</t>
        </is>
      </c>
      <c r="G67" s="10" t="n"/>
      <c r="H67" s="10" t="inlineStr">
        <is>
          <t>migration-ledger-gate CI job (required); test_zdt_migrations.py; migration-rehearsal.yml</t>
        </is>
      </c>
      <c r="I67" s="10" t="inlineStr">
        <is>
          <t>QOS-0014</t>
        </is>
      </c>
      <c r="J67" s="10" t="inlineStr">
        <is>
          <t>Yes</t>
        </is>
      </c>
      <c r="K67" s="10" t="inlineStr">
        <is>
          <t>Rehearsal on a copy of real data needs a production dump.</t>
        </is>
      </c>
    </row>
    <row r="68">
      <c r="A68" s="9" t="inlineStr">
        <is>
          <t>BB-067</t>
        </is>
      </c>
      <c r="B68" s="10" t="inlineStr">
        <is>
          <t>Database &amp; Data Integrity</t>
        </is>
      </c>
      <c r="C68" s="10" t="inlineStr">
        <is>
          <t>Add required indexes and review slow queries</t>
        </is>
      </c>
      <c r="D68" s="10" t="inlineStr">
        <is>
          <t>High</t>
        </is>
      </c>
      <c r="E68" s="10" t="inlineStr">
        <is>
          <t>Passed</t>
        </is>
      </c>
      <c r="F68" s="10" t="inlineStr">
        <is>
          <t>Engineering</t>
        </is>
      </c>
      <c r="G68" s="10" t="n"/>
      <c r="H68" s="10" t="inlineStr">
        <is>
          <t>docs/ops/INDEXES.md; test_phase0_api_slas.py; test_ws08_report_performance.py; core/services/lookup_cache.py; tests/test_complete_query_budget.py; docs/architecture/SCHEMA_REVIEW_2026-10-23.md (indexes)</t>
        </is>
      </c>
      <c r="I68" s="10" t="inlineStr">
        <is>
          <t>QOS-0003</t>
        </is>
      </c>
      <c r="J68" s="10" t="inlineStr">
        <is>
          <t>No</t>
        </is>
      </c>
      <c r="K68" s="10" t="inlineStr">
        <is>
          <t>Shadow books add ~50 queries to invoice Complete; reduction tracked.; 2026-10-24 A/B pass: Complete with ledger on: 151 -&gt; 146 queries (ledger overhead 49 -&gt; 44, budget-guarded). Remaining are period locks, numbering and journal writes by design; all hot lookups indexed. 1,124 money-path tests pass.</t>
        </is>
      </c>
    </row>
    <row r="69">
      <c r="A69" s="9" t="inlineStr">
        <is>
          <t>BB-068</t>
        </is>
      </c>
      <c r="B69" s="10" t="inlineStr">
        <is>
          <t>Database &amp; Data Integrity</t>
        </is>
      </c>
      <c r="C69" s="10" t="inlineStr">
        <is>
          <t>Configure connection pooling and transaction handling</t>
        </is>
      </c>
      <c r="D69" s="10" t="inlineStr">
        <is>
          <t>High</t>
        </is>
      </c>
      <c r="E69" s="10" t="inlineStr">
        <is>
          <t>In Progress</t>
        </is>
      </c>
      <c r="F69" s="10" t="inlineStr">
        <is>
          <t>Engineering</t>
        </is>
      </c>
      <c r="G69" s="10" t="n"/>
      <c r="H69" s="10" t="inlineStr">
        <is>
          <t>pgbouncer session mode (guarded); DB_CONN_MAX_AGE; docs/ops/POSTGRES.md</t>
        </is>
      </c>
      <c r="I69" s="10" t="n"/>
      <c r="J69" s="10" t="inlineStr">
        <is>
          <t>No</t>
        </is>
      </c>
      <c r="K69" s="10" t="inlineStr">
        <is>
          <t>Transaction pooling deliberately not built. Not on a host yet.; 2026-10-25 (WP, LLM plan): PgBouncer overlay built and tested locally (docker-compose.pgbouncer.yml, session mode, auth_query, no password on disk); role-level 30s/60s timeouts fixed a silent loss through the pool; boot guard; CI render check. Measured slower than direct on the laptop, so production starts without it (docs/ops/POSTGRES.md). Left: decide/confirm on the host.</t>
        </is>
      </c>
    </row>
    <row r="70">
      <c r="A70" s="9" t="inlineStr">
        <is>
          <t>BB-069</t>
        </is>
      </c>
      <c r="B70" s="10" t="inlineStr">
        <is>
          <t>Database &amp; Data Integrity</t>
        </is>
      </c>
      <c r="C70" s="10" t="inlineStr">
        <is>
          <t>Test large datasets and historical records</t>
        </is>
      </c>
      <c r="D70" s="10" t="inlineStr">
        <is>
          <t>High</t>
        </is>
      </c>
      <c r="E70" s="10" t="inlineStr">
        <is>
          <t>In Progress</t>
        </is>
      </c>
      <c r="F70" s="10" t="inlineStr">
        <is>
          <t>Performance</t>
        </is>
      </c>
      <c r="G70" s="10" t="n"/>
      <c r="H70" s="10" t="inlineStr">
        <is>
          <t>seed_load_tenant; load/SEED_50K.md; dashboard p95 spec (2.8-6.0 s on laptop); seed_load_tenant staff login; seed_draft_pool top-up</t>
        </is>
      </c>
      <c r="I70" s="10" t="inlineStr">
        <is>
          <t>QOS-0003</t>
        </is>
      </c>
      <c r="J70" s="10" t="inlineStr">
        <is>
          <t>No</t>
        </is>
      </c>
      <c r="K70" s="10" t="inlineStr">
        <is>
          <t>Large-tenant run on hosted infra pending.; 2026-10-23 ops pass: Load tenant now has a sales-staff login outside the two-step rule; seed_draft_pool no longer fails on a tenant with opening stock.</t>
        </is>
      </c>
    </row>
    <row r="71">
      <c r="A71" s="9" t="inlineStr">
        <is>
          <t>BB-070</t>
        </is>
      </c>
      <c r="B71" s="10" t="inlineStr">
        <is>
          <t>Database &amp; Data Integrity</t>
        </is>
      </c>
      <c r="C71" s="10" t="inlineStr">
        <is>
          <t>Establish data retention and deletion procedures</t>
        </is>
      </c>
      <c r="D71" s="10" t="inlineStr">
        <is>
          <t>High</t>
        </is>
      </c>
      <c r="E71" s="10" t="inlineStr">
        <is>
          <t>In Progress</t>
        </is>
      </c>
      <c r="F71" s="10" t="inlineStr">
        <is>
          <t>Privacy</t>
        </is>
      </c>
      <c r="G71" s="10" t="n"/>
      <c r="H71" s="10" t="inlineStr">
        <is>
          <t>core/services/retention.py; ERASURE_PLAYBOOK.md; DPDP request register</t>
        </is>
      </c>
      <c r="I71" s="10" t="inlineStr">
        <is>
          <t>HO-9</t>
        </is>
      </c>
      <c r="J71" s="10" t="inlineStr">
        <is>
          <t>No</t>
        </is>
      </c>
      <c r="K71" s="10" t="inlineStr">
        <is>
          <t>Counsel sign-off pending.; 2026-10-25 (D-13): owner-set retention for read-only workspaces (default 90 days, 30-3650), warnings 30 and 7 days ahead, tombstone erasure behind DATA_RETENTION_ENFORCE (off until counsel confirms); docs/ops/DATA_RETENTION.md, test_data_retention.py.</t>
        </is>
      </c>
    </row>
    <row r="72">
      <c r="A72" s="9" t="inlineStr">
        <is>
          <t>BB-071</t>
        </is>
      </c>
      <c r="B72" s="10" t="inlineStr">
        <is>
          <t>Performance &amp; Scalability</t>
        </is>
      </c>
      <c r="C72" s="10" t="inlineStr">
        <is>
          <t>Define performance SLAs for critical workflows</t>
        </is>
      </c>
      <c r="D72" s="10" t="inlineStr">
        <is>
          <t>High</t>
        </is>
      </c>
      <c r="E72" s="10" t="inlineStr">
        <is>
          <t>In Progress</t>
        </is>
      </c>
      <c r="F72" s="10" t="inlineStr">
        <is>
          <t>Performance</t>
        </is>
      </c>
      <c r="G72" s="10" t="n"/>
      <c r="H72" s="10" t="inlineStr">
        <is>
          <t>docs/ops/SLO.md (draft); docs/roadmap/SIGNOFF_PACK_2026-10-23.md B-6; docs/ops/SLO.md</t>
        </is>
      </c>
      <c r="I72" s="10" t="inlineStr">
        <is>
          <t>HO-19</t>
        </is>
      </c>
      <c r="J72" s="10" t="inlineStr">
        <is>
          <t>No</t>
        </is>
      </c>
      <c r="K72" s="10" t="inlineStr">
        <is>
          <t>Not signed.; 2026-10-24 A/B pass: Proposal: sign SLO.md targets as is; keep Complete cap 30/min/company. Awaiting founder signature.; 2026-10-25 (D-11): Complete cap decided - 60 per minute per company (was 30); purchase bills stay at 30. SLO table itself still awaits signature.</t>
        </is>
      </c>
    </row>
    <row r="73">
      <c r="A73" s="9" t="inlineStr">
        <is>
          <t>BB-072</t>
        </is>
      </c>
      <c r="B73" s="10" t="inlineStr">
        <is>
          <t>Performance &amp; Scalability</t>
        </is>
      </c>
      <c r="C73" s="10" t="inlineStr">
        <is>
          <t>Test concurrent users</t>
        </is>
      </c>
      <c r="D73" s="10" t="inlineStr">
        <is>
          <t>High</t>
        </is>
      </c>
      <c r="E73" s="10" t="inlineStr">
        <is>
          <t>Blocked</t>
        </is>
      </c>
      <c r="F73" s="10" t="inlineStr">
        <is>
          <t>Performance</t>
        </is>
      </c>
      <c r="G73" s="10" t="n"/>
      <c r="H73" s="10" t="inlineStr">
        <is>
          <t>load/k6_mixed.js, k6_slo.js, locust_smoke.py; k6 v1.8.1 installed; dry run on local staging (load/README.md)</t>
        </is>
      </c>
      <c r="I73" s="10" t="inlineStr">
        <is>
          <t>HO-11; QOS-0003</t>
        </is>
      </c>
      <c r="J73" s="10" t="inlineStr">
        <is>
          <t>No</t>
        </is>
      </c>
      <c r="K73" s="10" t="inlineStr">
        <is>
          <t>Needs hosted staging.; 2026-10-23 ops pass: Scripts proven locally. Fixed: k6_slo/k6_mixed "passed" with zero work (bearer token staging never sends). Before the hosted run decide: sales_complete cap 30/min per company; one staff login per VU.; 2026-10-24: month_end.js answers the owner two-step challenge (TOTP_SECRETS); dry run on local staging passed. Left: the hosted run.; 2026-10-24 (D-10): seed_load_tenant --staff 25 and k6_mixed.js STAFF_EMAILS give each VU its own login; dry run on local staging 357 requests, 0 failed.; 2026-10-25: k6_slo.js also uses one login per VU and runs Completes at COMPLETES_PER_MIN (default 50, under the 60/min cap); k6_mixed.js writers paced the same. Local dry run: 353 requests, 0 failed, no 429s (Completes were 26% 2xx before). Hosted run still needed.</t>
        </is>
      </c>
    </row>
    <row r="74">
      <c r="A74" s="9" t="inlineStr">
        <is>
          <t>BB-073</t>
        </is>
      </c>
      <c r="B74" s="10" t="inlineStr">
        <is>
          <t>Performance &amp; Scalability</t>
        </is>
      </c>
      <c r="C74" s="10" t="inlineStr">
        <is>
          <t>Test invoice creation, search, reports and dashboards</t>
        </is>
      </c>
      <c r="D74" s="10" t="inlineStr">
        <is>
          <t>High</t>
        </is>
      </c>
      <c r="E74" s="10" t="inlineStr">
        <is>
          <t>In Progress</t>
        </is>
      </c>
      <c r="F74" s="10" t="inlineStr">
        <is>
          <t>Performance</t>
        </is>
      </c>
      <c r="G74" s="10" t="n"/>
      <c r="H74" s="10" t="inlineStr">
        <is>
          <t>test_phase0_api_slas.py; test_acs_performance_budgets.py; v95-dashboard-p95.spec.ts</t>
        </is>
      </c>
      <c r="I74" s="10" t="inlineStr">
        <is>
          <t>QOS-0003; QOS-0016</t>
        </is>
      </c>
      <c r="J74" s="10" t="inlineStr">
        <is>
          <t>No</t>
        </is>
      </c>
      <c r="K74" s="10" t="inlineStr">
        <is>
          <t>Measured on laptop only.</t>
        </is>
      </c>
    </row>
    <row r="75">
      <c r="A75" s="9" t="inlineStr">
        <is>
          <t>BB-074</t>
        </is>
      </c>
      <c r="B75" s="10" t="inlineStr">
        <is>
          <t>Performance &amp; Scalability</t>
        </is>
      </c>
      <c r="C75" s="10" t="inlineStr">
        <is>
          <t>Test large imports and exports</t>
        </is>
      </c>
      <c r="D75" s="10" t="inlineStr">
        <is>
          <t>High</t>
        </is>
      </c>
      <c r="E75" s="10" t="inlineStr">
        <is>
          <t>In Progress</t>
        </is>
      </c>
      <c r="F75" s="10" t="inlineStr">
        <is>
          <t>Performance</t>
        </is>
      </c>
      <c r="G75" s="10" t="n"/>
      <c r="H75" s="10" t="inlineStr">
        <is>
          <t>Import wall-clock test</t>
        </is>
      </c>
      <c r="I75" s="10" t="inlineStr">
        <is>
          <t>QOS-0003</t>
        </is>
      </c>
      <c r="J75" s="10" t="inlineStr">
        <is>
          <t>No</t>
        </is>
      </c>
      <c r="K75" s="10" t="inlineStr">
        <is>
          <t>2026-10-24: import commit loads only the SKUs in the file; 5,000-row catalogue upload + commit 8.7-8.9 s on Postgres, I4 gate passes on Postgres and SQLite (laptop). Left: confirm on the hosted server.; 2026-10-25: looked for more speed; the rest is Django preparing ~225,000 insert values, and bypassing the ORM is not worth the risk. Stays at 8.7-8.9 s against 10 s; confirm on the hosted server.</t>
        </is>
      </c>
    </row>
    <row r="76">
      <c r="A76" s="9" t="inlineStr">
        <is>
          <t>BB-075</t>
        </is>
      </c>
      <c r="B76" s="10" t="inlineStr">
        <is>
          <t>Performance &amp; Scalability</t>
        </is>
      </c>
      <c r="C76" s="10" t="inlineStr">
        <is>
          <t>Identify CPU, memory and database bottlenecks</t>
        </is>
      </c>
      <c r="D76" s="10" t="inlineStr">
        <is>
          <t>Medium</t>
        </is>
      </c>
      <c r="E76" s="10" t="inlineStr">
        <is>
          <t>Blocked</t>
        </is>
      </c>
      <c r="F76" s="10" t="inlineStr">
        <is>
          <t>Performance</t>
        </is>
      </c>
      <c r="G76" s="10" t="n"/>
      <c r="H76" s="10" t="inlineStr">
        <is>
          <t>Prometheus metrics (multiprocess), deploy/prometheus/</t>
        </is>
      </c>
      <c r="I76" s="10" t="inlineStr">
        <is>
          <t>HO-11</t>
        </is>
      </c>
      <c r="J76" s="10" t="inlineStr">
        <is>
          <t>No</t>
        </is>
      </c>
      <c r="K76" s="10" t="inlineStr">
        <is>
          <t>Needs load on hosted infra.; 2026-10-23 ops pass: No change: needs load on hosted infra.</t>
        </is>
      </c>
    </row>
    <row r="77">
      <c r="A77" s="9" t="inlineStr">
        <is>
          <t>BB-076</t>
        </is>
      </c>
      <c r="B77" s="10" t="inlineStr">
        <is>
          <t>Performance &amp; Scalability</t>
        </is>
      </c>
      <c r="C77" s="10" t="inlineStr">
        <is>
          <t>Optimize slow queries and expensive API calls</t>
        </is>
      </c>
      <c r="D77" s="10" t="inlineStr">
        <is>
          <t>High</t>
        </is>
      </c>
      <c r="E77" s="10" t="inlineStr">
        <is>
          <t>In Progress</t>
        </is>
      </c>
      <c r="F77" s="10" t="inlineStr">
        <is>
          <t>Engineering</t>
        </is>
      </c>
      <c r="G77" s="10" t="n"/>
      <c r="H77" s="10" t="inlineStr">
        <is>
          <t>Performance budget tests</t>
        </is>
      </c>
      <c r="I77" s="10" t="inlineStr">
        <is>
          <t>QOS-0003</t>
        </is>
      </c>
      <c r="J77" s="10" t="inlineStr">
        <is>
          <t>No</t>
        </is>
      </c>
      <c r="K77" s="10" t="inlineStr">
        <is>
          <t>Waits on hosted load results.; 2026-10-25 (WP, LLM plan): Initial web load cut from 721.7 KB to 496.6 KB gzip (Hindi catalogue and page-help catalogue now load on demand); bundle budget 530 KB passes again. Left: hosted load results.</t>
        </is>
      </c>
    </row>
    <row r="78">
      <c r="A78" s="9" t="inlineStr">
        <is>
          <t>BB-077</t>
        </is>
      </c>
      <c r="B78" s="10" t="inlineStr">
        <is>
          <t>Performance &amp; Scalability</t>
        </is>
      </c>
      <c r="C78" s="10" t="inlineStr">
        <is>
          <t>Configure background jobs, retries and timeouts</t>
        </is>
      </c>
      <c r="D78" s="10" t="inlineStr">
        <is>
          <t>High</t>
        </is>
      </c>
      <c r="E78" s="10" t="inlineStr">
        <is>
          <t>Passed</t>
        </is>
      </c>
      <c r="F78" s="10" t="inlineStr">
        <is>
          <t>Engineering</t>
        </is>
      </c>
      <c r="G78" s="10" t="n"/>
      <c r="H78" s="10" t="inlineStr">
        <is>
          <t>Separate Celery queues; retries + DLQ/replay; per-company fan-out with crash isolation; guard_no_inline_company_loops</t>
        </is>
      </c>
      <c r="I78" s="10" t="n"/>
      <c r="J78" s="10" t="inlineStr">
        <is>
          <t>No</t>
        </is>
      </c>
      <c r="K78" s="10" t="n"/>
    </row>
    <row r="79">
      <c r="A79" s="9" t="inlineStr">
        <is>
          <t>BB-078</t>
        </is>
      </c>
      <c r="B79" s="10" t="inlineStr">
        <is>
          <t>Performance &amp; Scalability</t>
        </is>
      </c>
      <c r="C79" s="10" t="inlineStr">
        <is>
          <t>Test application behavior under load</t>
        </is>
      </c>
      <c r="D79" s="10" t="inlineStr">
        <is>
          <t>High</t>
        </is>
      </c>
      <c r="E79" s="10" t="inlineStr">
        <is>
          <t>Blocked</t>
        </is>
      </c>
      <c r="F79" s="10" t="inlineStr">
        <is>
          <t>Performance</t>
        </is>
      </c>
      <c r="G79" s="10" t="n"/>
      <c r="H79" s="10" t="inlineStr">
        <is>
          <t>load/ scripts; load/month_end.js; k6 smoke on local staging: 289 requests, 0 failed</t>
        </is>
      </c>
      <c r="I79" s="10" t="inlineStr">
        <is>
          <t>HO-11</t>
        </is>
      </c>
      <c r="J79" s="10" t="inlineStr">
        <is>
          <t>No</t>
        </is>
      </c>
      <c r="K79" s="10" t="inlineStr">
        <is>
          <t>Load and 8-hour soak need hosted staging; k6 not installed locally.; 2026-10-23 review: month_end.js fixed: could not sign in on staging (cookie-only); arrivals now spread over the window.; 2026-10-23 ops pass: k6 is now installed locally (the note above is stale). month_end.js owners need a two-step (TOTP) step before it can run on staging; SOAK_MINUTES added for short dry runs.; 2026-10-24: month_end.js answers the owner two-step challenge (TOTP_SECRETS); dry run on local staging passed. Left: the hosted run.; 2026-10-24 (D-10): seed_load_tenant --staff 25 and k6_mixed.js STAFF_EMAILS give each VU its own login; dry run on local staging 357 requests, 0 failed.; 2026-10-25: k6_slo.js also uses one login per VU and runs Completes at COMPLETES_PER_MIN (default 50, under the 60/min cap); k6_mixed.js writers paced the same. Local dry run: 353 requests, 0 failed, no 429s (Completes were 26% 2xx before). Hosted run still needed.</t>
        </is>
      </c>
    </row>
    <row r="80">
      <c r="A80" s="9" t="inlineStr">
        <is>
          <t>BB-079</t>
        </is>
      </c>
      <c r="B80" s="10" t="inlineStr">
        <is>
          <t>Performance &amp; Scalability</t>
        </is>
      </c>
      <c r="C80" s="10" t="inlineStr">
        <is>
          <t>Define capacity monitoring and scaling thresholds</t>
        </is>
      </c>
      <c r="D80" s="10" t="inlineStr">
        <is>
          <t>Medium</t>
        </is>
      </c>
      <c r="E80" s="10" t="inlineStr">
        <is>
          <t>In Progress</t>
        </is>
      </c>
      <c r="F80" s="10" t="inlineStr">
        <is>
          <t>Operations</t>
        </is>
      </c>
      <c r="G80" s="10" t="n"/>
      <c r="H80" s="10" t="inlineStr">
        <is>
          <t>docs/ops/WORKER_SCALE.md; queue-depth metrics and alerts; docs/roadmap/SIGNOFF_PACK_2026-10-23.md B-7</t>
        </is>
      </c>
      <c r="I80" s="10" t="inlineStr">
        <is>
          <t>HO-19</t>
        </is>
      </c>
      <c r="J80" s="10" t="inlineStr">
        <is>
          <t>No</t>
        </is>
      </c>
      <c r="K80" s="10" t="inlineStr">
        <is>
          <t>Capacity numbers not signed.; 2026-10-24 A/B pass: Scale thresholds proposed (CPU, memory, DB connections, disk, Celery backlog, p95). Awaiting founder signature.</t>
        </is>
      </c>
    </row>
    <row r="81">
      <c r="A81" s="9" t="inlineStr">
        <is>
          <t>BB-080</t>
        </is>
      </c>
      <c r="B81" s="10" t="inlineStr">
        <is>
          <t>Deployment &amp; DevOps</t>
        </is>
      </c>
      <c r="C81" s="10" t="inlineStr">
        <is>
          <t>Separate development, staging and production environments</t>
        </is>
      </c>
      <c r="D81" s="10" t="inlineStr">
        <is>
          <t>Critical</t>
        </is>
      </c>
      <c r="E81" s="10" t="inlineStr">
        <is>
          <t>Blocked</t>
        </is>
      </c>
      <c r="F81" s="10" t="inlineStr">
        <is>
          <t>DevOps</t>
        </is>
      </c>
      <c r="G81" s="10" t="n"/>
      <c r="H81" s="10" t="inlineStr">
        <is>
          <t>Local dev + local staging (port 8081) + prod compose overlay</t>
        </is>
      </c>
      <c r="I81" s="10" t="inlineStr">
        <is>
          <t>HO-2; HO-3</t>
        </is>
      </c>
      <c r="J81" s="10" t="inlineStr">
        <is>
          <t>Yes</t>
        </is>
      </c>
      <c r="K81" s="10" t="inlineStr">
        <is>
          <t>Hosted staging and production not provisioned.; 2026-10-25 (WP, LLM plan): Provider-neutral hosting kit (D-18): scripts/host/bootstrap_vm.sh (--check), render_env.sh (secret store -&gt; .env, refuses placeholders), preflight.py (PASS/FAIL incl. RLS role, timeouts, TLS, HSTS, ports open around ufw, backups, OPS_ALERT_TOKEN); first-boot checklist in HOSTED_STAGING.md. Left: pick provider and run it.</t>
        </is>
      </c>
    </row>
    <row r="82">
      <c r="A82" s="9" t="inlineStr">
        <is>
          <t>BB-081</t>
        </is>
      </c>
      <c r="B82" s="10" t="inlineStr">
        <is>
          <t>Deployment &amp; DevOps</t>
        </is>
      </c>
      <c r="C82" s="10" t="inlineStr">
        <is>
          <t>Configure production environment variables and secrets</t>
        </is>
      </c>
      <c r="D82" s="10" t="inlineStr">
        <is>
          <t>Critical</t>
        </is>
      </c>
      <c r="E82" s="10" t="inlineStr">
        <is>
          <t>In Progress</t>
        </is>
      </c>
      <c r="F82" s="10" t="inlineStr">
        <is>
          <t>DevOps</t>
        </is>
      </c>
      <c r="G82" s="10" t="n"/>
      <c r="H82" s="10" t="inlineStr">
        <is>
          <t>.env.production.example; production boot refusals (RLS, MFA key, Turnstile); web/Dockerfile, cd.yml</t>
        </is>
      </c>
      <c r="I82" s="10" t="inlineStr">
        <is>
          <t>HO-2; SR1-10</t>
        </is>
      </c>
      <c r="J82" s="10" t="inlineStr">
        <is>
          <t>Yes</t>
        </is>
      </c>
      <c r="K82" s="10" t="inlineStr">
        <is>
          <t>Real values and secrets manager need the host.; 2026-10-23 review: Fixed a launch blocker: VITE_TURNSTILE_SITE_KEY / VITE_GOOGLE_CLIENT_ID never reached the built web bundle (production would refuse every sign-up/OTP/reset). Set them as CD repository variables. New: EMAIL_WEBHOOK_USER/PASSWORD (were never defined, bounce webhook refused everything), PLATFORM_GST_INVOICES_FROM, TURNSTILE_ALLOWED_HOSTNAMES.; 2026-10-25 (WP, LLM plan): render_env.sh builds .env from AWS SSM / Azure KV / GCP SM / any command and refuses placeholder values; preflight checks required values. Left: real secrets on the host.</t>
        </is>
      </c>
    </row>
    <row r="83">
      <c r="A83" s="9" t="inlineStr">
        <is>
          <t>BB-082</t>
        </is>
      </c>
      <c r="B83" s="10" t="inlineStr">
        <is>
          <t>Deployment &amp; DevOps</t>
        </is>
      </c>
      <c r="C83" s="10" t="inlineStr">
        <is>
          <t>Automate deployment using CI/CD</t>
        </is>
      </c>
      <c r="D83" s="10" t="inlineStr">
        <is>
          <t>High</t>
        </is>
      </c>
      <c r="E83" s="10" t="inlineStr">
        <is>
          <t>In Progress</t>
        </is>
      </c>
      <c r="F83" s="10" t="inlineStr">
        <is>
          <t>DevOps</t>
        </is>
      </c>
      <c r="G83" s="10" t="n"/>
      <c r="H83" s="10" t="inlineStr">
        <is>
          <t>ci.yml, cd.yml, deploy-staging.yml (deploy from SHA + rollback)</t>
        </is>
      </c>
      <c r="I83" s="10" t="inlineStr">
        <is>
          <t>HO-3</t>
        </is>
      </c>
      <c r="J83" s="10" t="inlineStr">
        <is>
          <t>No</t>
        </is>
      </c>
      <c r="K83" s="10" t="inlineStr">
        <is>
          <t>No hosted target yet.; 2026-10-25 (WP, LLM plan): deploy-staging.yml already reads host/user/dir from the staging environment secrets; documented which secrets to create and a required reviewer. Left: a host to deploy to.</t>
        </is>
      </c>
    </row>
    <row r="84">
      <c r="A84" s="9" t="inlineStr">
        <is>
          <t>BB-083</t>
        </is>
      </c>
      <c r="B84" s="10" t="inlineStr">
        <is>
          <t>Deployment &amp; DevOps</t>
        </is>
      </c>
      <c r="C84" s="10" t="inlineStr">
        <is>
          <t>Run automated tests before deployment</t>
        </is>
      </c>
      <c r="D84" s="10" t="inlineStr">
        <is>
          <t>Critical</t>
        </is>
      </c>
      <c r="E84" s="10" t="inlineStr">
        <is>
          <t>Passed</t>
        </is>
      </c>
      <c r="F84" s="10" t="inlineStr">
        <is>
          <t>DevOps</t>
        </is>
      </c>
      <c r="G84" s="10" t="n"/>
      <c r="H84" s="10" t="inlineStr">
        <is>
          <t>Required CI jobs: backend, golden e2e merge gate, postgres-rls, migration-ledger-gate, supply-chain, guards</t>
        </is>
      </c>
      <c r="I84" s="10" t="inlineStr">
        <is>
          <t>SR0-01</t>
        </is>
      </c>
      <c r="J84" s="10" t="inlineStr">
        <is>
          <t>Yes</t>
        </is>
      </c>
      <c r="K84" s="10" t="inlineStr">
        <is>
          <t>Uncommitted work has not been through CI yet.; 2026-10-23 review: Guards hardened (aliased mail imports, private SMS senders, all Trivy allow-list sections); merge-size reads labels at run time.</t>
        </is>
      </c>
    </row>
    <row r="85">
      <c r="A85" s="9" t="inlineStr">
        <is>
          <t>BB-084</t>
        </is>
      </c>
      <c r="B85" s="10" t="inlineStr">
        <is>
          <t>Deployment &amp; DevOps</t>
        </is>
      </c>
      <c r="C85" s="10" t="inlineStr">
        <is>
          <t>Validate database migrations before release</t>
        </is>
      </c>
      <c r="D85" s="10" t="inlineStr">
        <is>
          <t>Critical</t>
        </is>
      </c>
      <c r="E85" s="10" t="inlineStr">
        <is>
          <t>Passed</t>
        </is>
      </c>
      <c r="F85" s="10" t="inlineStr">
        <is>
          <t>DevOps</t>
        </is>
      </c>
      <c r="G85" s="10" t="n"/>
      <c r="H85" s="10" t="inlineStr">
        <is>
          <t>migration-ledger-gate (required); docs/ops/EXPAND_CONTRACT.md; migration-rehearsal.yml</t>
        </is>
      </c>
      <c r="I85" s="10" t="n"/>
      <c r="J85" s="10" t="inlineStr">
        <is>
          <t>Yes</t>
        </is>
      </c>
      <c r="K85" s="10" t="n"/>
    </row>
    <row r="86">
      <c r="A86" s="9" t="inlineStr">
        <is>
          <t>BB-085</t>
        </is>
      </c>
      <c r="B86" s="10" t="inlineStr">
        <is>
          <t>Deployment &amp; DevOps</t>
        </is>
      </c>
      <c r="C86" s="10" t="inlineStr">
        <is>
          <t>Configure Docker images and production services</t>
        </is>
      </c>
      <c r="D86" s="10" t="inlineStr">
        <is>
          <t>High</t>
        </is>
      </c>
      <c r="E86" s="10" t="inlineStr">
        <is>
          <t>In Progress</t>
        </is>
      </c>
      <c r="F86" s="10" t="inlineStr">
        <is>
          <t>DevOps</t>
        </is>
      </c>
      <c r="G86" s="10" t="n"/>
      <c r="H86" s="10" t="inlineStr">
        <is>
          <t>docker-compose.prod.yml (app role, pinned web image digest); guard_compose_rls</t>
        </is>
      </c>
      <c r="I86" s="10" t="inlineStr">
        <is>
          <t>HO-3</t>
        </is>
      </c>
      <c r="J86" s="10" t="inlineStr">
        <is>
          <t>No</t>
        </is>
      </c>
      <c r="K86" s="10" t="inlineStr">
        <is>
          <t>Not deployed to a host.; 2026-10-25 (WP, LLM plan): Kit + preflight ready; Docker-bypasses-ufw check added. Left: deploy on a host.</t>
        </is>
      </c>
    </row>
    <row r="87">
      <c r="A87" s="9" t="inlineStr">
        <is>
          <t>BB-086</t>
        </is>
      </c>
      <c r="B87" s="10" t="inlineStr">
        <is>
          <t>Deployment &amp; DevOps</t>
        </is>
      </c>
      <c r="C87" s="10" t="inlineStr">
        <is>
          <t>Implement deployment rollback</t>
        </is>
      </c>
      <c r="D87" s="10" t="inlineStr">
        <is>
          <t>Critical</t>
        </is>
      </c>
      <c r="E87" s="10" t="inlineStr">
        <is>
          <t>In Progress</t>
        </is>
      </c>
      <c r="F87" s="10" t="inlineStr">
        <is>
          <t>DevOps</t>
        </is>
      </c>
      <c r="G87" s="10" t="n"/>
      <c r="H87" s="10" t="inlineStr">
        <is>
          <t>deploy-staging.yml rollback; docs/ops/FORWARD_FIX.md; RECREATE_FROM_SHA.md</t>
        </is>
      </c>
      <c r="I87" s="10" t="inlineStr">
        <is>
          <t>SR1-09</t>
        </is>
      </c>
      <c r="J87" s="10" t="inlineStr">
        <is>
          <t>Yes</t>
        </is>
      </c>
      <c r="K87" s="10" t="inlineStr">
        <is>
          <t>Live rollback drill not done.</t>
        </is>
      </c>
    </row>
    <row r="88">
      <c r="A88" s="9" t="inlineStr">
        <is>
          <t>BB-087</t>
        </is>
      </c>
      <c r="B88" s="10" t="inlineStr">
        <is>
          <t>Deployment &amp; DevOps</t>
        </is>
      </c>
      <c r="C88" s="10" t="inlineStr">
        <is>
          <t>Configure domain, DNS and SSL certificates</t>
        </is>
      </c>
      <c r="D88" s="10" t="inlineStr">
        <is>
          <t>High</t>
        </is>
      </c>
      <c r="E88" s="10" t="inlineStr">
        <is>
          <t>Blocked</t>
        </is>
      </c>
      <c r="F88" s="10" t="inlineStr">
        <is>
          <t>DevOps</t>
        </is>
      </c>
      <c r="G88" s="10" t="n"/>
      <c r="H88" s="10" t="inlineStr">
        <is>
          <t>Cloudflare Tunnel compose overlay (db0d317); docs/ops/CDN.md</t>
        </is>
      </c>
      <c r="I88" s="10" t="inlineStr">
        <is>
          <t>HO-2</t>
        </is>
      </c>
      <c r="J88" s="10" t="inlineStr">
        <is>
          <t>No</t>
        </is>
      </c>
      <c r="K88" s="10" t="inlineStr">
        <is>
          <t>Hosting provider/domain not chosen.; 2026-10-25 (WP, LLM plan): Preflight checks TLS validity, HSTS and HTTP-&gt;HTTPS redirect. Left: register domain and DNS.</t>
        </is>
      </c>
    </row>
    <row r="89">
      <c r="A89" s="9" t="inlineStr">
        <is>
          <t>BB-088</t>
        </is>
      </c>
      <c r="B89" s="10" t="inlineStr">
        <is>
          <t>Deployment &amp; DevOps</t>
        </is>
      </c>
      <c r="C89" s="10" t="inlineStr">
        <is>
          <t>Remove development-only settings from production</t>
        </is>
      </c>
      <c r="D89" s="10" t="inlineStr">
        <is>
          <t>Critical</t>
        </is>
      </c>
      <c r="E89" s="10" t="inlineStr">
        <is>
          <t>Passed</t>
        </is>
      </c>
      <c r="F89" s="10" t="inlineStr">
        <is>
          <t>DevOps</t>
        </is>
      </c>
      <c r="G89" s="10" t="n"/>
      <c r="H89" s="10" t="inlineStr">
        <is>
          <t>Production boot refusals; tests/errors/test_freeze_gate_contracts.py</t>
        </is>
      </c>
      <c r="I89" s="10" t="n"/>
      <c r="J89" s="10" t="inlineStr">
        <is>
          <t>Yes</t>
        </is>
      </c>
      <c r="K89" s="10" t="inlineStr">
        <is>
          <t>Re-check on the host at first deploy.</t>
        </is>
      </c>
    </row>
    <row r="90">
      <c r="A90" s="9" t="inlineStr">
        <is>
          <t>BB-089</t>
        </is>
      </c>
      <c r="B90" s="10" t="inlineStr">
        <is>
          <t>Deployment &amp; DevOps</t>
        </is>
      </c>
      <c r="C90" s="10" t="inlineStr">
        <is>
          <t>Document deployment and recovery procedures</t>
        </is>
      </c>
      <c r="D90" s="10" t="inlineStr">
        <is>
          <t>High</t>
        </is>
      </c>
      <c r="E90" s="10" t="inlineStr">
        <is>
          <t>In Progress</t>
        </is>
      </c>
      <c r="F90" s="10" t="inlineStr">
        <is>
          <t>DevOps</t>
        </is>
      </c>
      <c r="G90" s="10" t="n"/>
      <c r="H90" s="10" t="inlineStr">
        <is>
          <t>docs/ops/HOSTED_STAGING.md, RELEASE_CHECKLIST.md, RECREATE_FROM_SHA.md, DB_FAILOVER.md</t>
        </is>
      </c>
      <c r="I90" s="10" t="inlineStr">
        <is>
          <t>HO-3</t>
        </is>
      </c>
      <c r="J90" s="10" t="inlineStr">
        <is>
          <t>No</t>
        </is>
      </c>
      <c r="K90" s="10" t="inlineStr">
        <is>
          <t>Not yet exercised on a host.; 2026-10-25 (WP, LLM plan): First-boot-in-60-minutes runbook added to HOSTED_STAGING.md; drills README. Left: exercise on a host.</t>
        </is>
      </c>
    </row>
    <row r="91">
      <c r="A91" s="9" t="inlineStr">
        <is>
          <t>BB-090</t>
        </is>
      </c>
      <c r="B91" s="10" t="inlineStr">
        <is>
          <t>Monitoring, Backup &amp; Reliability</t>
        </is>
      </c>
      <c r="C91" s="10" t="inlineStr">
        <is>
          <t>Configure application error tracking</t>
        </is>
      </c>
      <c r="D91" s="10" t="inlineStr">
        <is>
          <t>High</t>
        </is>
      </c>
      <c r="E91" s="10" t="inlineStr">
        <is>
          <t>In Progress</t>
        </is>
      </c>
      <c r="F91" s="10" t="inlineStr">
        <is>
          <t>Operations</t>
        </is>
      </c>
      <c r="G91" s="10" t="n"/>
      <c r="H91" s="10" t="inlineStr">
        <is>
          <t>Sentry wiring for API, worker and browser; self-hosted GlitchTip (docker-compose.glitchtip.yml, docs/ops/GLITCHTIP.md); /api/v1/client-errors/ relay; /admin/ops/errors/; test_error_tracker.py, test_client_error_tunnel.py</t>
        </is>
      </c>
      <c r="I91" s="10" t="inlineStr">
        <is>
          <t>HO-4</t>
        </is>
      </c>
      <c r="J91" s="10" t="inlineStr">
        <is>
          <t>No</t>
        </is>
      </c>
      <c r="K91" s="10" t="inlineStr">
        <is>
          <t>No Sentry project/DSN.; 2026-10-23 ops pass: Free self-hosted GlitchTip replaces a paid Sentry. Live on local staging: API test event and a real browser error captured, Support ID search and ticket links work, alert email + phone push sent. Hosted run pending.; 2026-10-25: self-hosted GlitchTip integrated and tested on local staging (docs/ops/GLITCHTIP.md) - replaces the Sentry need; left: run it on the host and set the DSNs.</t>
        </is>
      </c>
    </row>
    <row r="92">
      <c r="A92" s="9" t="inlineStr">
        <is>
          <t>BB-091</t>
        </is>
      </c>
      <c r="B92" s="10" t="inlineStr">
        <is>
          <t>Monitoring, Backup &amp; Reliability</t>
        </is>
      </c>
      <c r="C92" s="10" t="inlineStr">
        <is>
          <t>Implement structured logging</t>
        </is>
      </c>
      <c r="D92" s="10" t="inlineStr">
        <is>
          <t>High</t>
        </is>
      </c>
      <c r="E92" s="10" t="inlineStr">
        <is>
          <t>Passed</t>
        </is>
      </c>
      <c r="F92" s="10" t="inlineStr">
        <is>
          <t>Operations</t>
        </is>
      </c>
      <c r="G92" s="10" t="n"/>
      <c r="H92" s="10" t="inlineStr">
        <is>
          <t>JSON task logs with request_id; Support ID end to end</t>
        </is>
      </c>
      <c r="I92" s="10" t="n"/>
      <c r="J92" s="10" t="inlineStr">
        <is>
          <t>No</t>
        </is>
      </c>
      <c r="K92" s="10" t="n"/>
    </row>
    <row r="93">
      <c r="A93" s="9" t="inlineStr">
        <is>
          <t>BB-092</t>
        </is>
      </c>
      <c r="B93" s="10" t="inlineStr">
        <is>
          <t>Monitoring, Backup &amp; Reliability</t>
        </is>
      </c>
      <c r="C93" s="10" t="inlineStr">
        <is>
          <t>Monitor uptime, API errors and database health</t>
        </is>
      </c>
      <c r="D93" s="10" t="inlineStr">
        <is>
          <t>Critical</t>
        </is>
      </c>
      <c r="E93" s="10" t="inlineStr">
        <is>
          <t>In Progress</t>
        </is>
      </c>
      <c r="F93" s="10" t="inlineStr">
        <is>
          <t>Operations</t>
        </is>
      </c>
      <c r="G93" s="10" t="n"/>
      <c r="H93" s="10" t="inlineStr">
        <is>
          <t>/metrics (multiprocess); health + ready probes; GlitchTip uptime monitors on /api/v1/health/ and ?ready=1; check_error_tracker_task watcher</t>
        </is>
      </c>
      <c r="I93" s="10" t="inlineStr">
        <is>
          <t>HO-4; SR1-06</t>
        </is>
      </c>
      <c r="J93" s="10" t="inlineStr">
        <is>
          <t>Yes</t>
        </is>
      </c>
      <c r="K93" s="10" t="inlineStr">
        <is>
          <t>No external uptime probe or metrics service.; 2026-10-23 ops pass: Uptime monitors green on local staging with down/up alerts to email + ntfy push (fixed GlitchTip 6 private-IP flag). In-stack only: an external probe of the public edge and a status page are still pending.; 2026-10-24: public status page done (BB-128, /status/). Left: an external probe of the public edge and a metrics service on the host.; 2026-10-25 (WP, LLM plan): Fixed: Prometheus could not scrape the API at all (/api/v1/metrics/ 500 from a root-owned multiprocess dir); health probe now answers 503 when the DB is down. Left: external uptime probe on the host.</t>
        </is>
      </c>
    </row>
    <row r="94">
      <c r="A94" s="9" t="inlineStr">
        <is>
          <t>BB-093</t>
        </is>
      </c>
      <c r="B94" s="10" t="inlineStr">
        <is>
          <t>Monitoring, Backup &amp; Reliability</t>
        </is>
      </c>
      <c r="C94" s="10" t="inlineStr">
        <is>
          <t>Configure alerts for critical failures</t>
        </is>
      </c>
      <c r="D94" s="10" t="inlineStr">
        <is>
          <t>Critical</t>
        </is>
      </c>
      <c r="E94" s="10" t="inlineStr">
        <is>
          <t>In Progress</t>
        </is>
      </c>
      <c r="F94" s="10" t="inlineStr">
        <is>
          <t>Operations</t>
        </is>
      </c>
      <c r="G94" s="10" t="n"/>
      <c r="H94" s="10" t="inlineStr">
        <is>
          <t>13+ alert rules with runbook sections (test_alert_rules.py); docs/ops/ALERTS.md; GlitchTip alert rules (new error, API down) to email + ntfy; OPS_NTFY_URL for Bizboard ops pages</t>
        </is>
      </c>
      <c r="I94" s="10" t="inlineStr">
        <is>
          <t>HO-4; HO-5</t>
        </is>
      </c>
      <c r="J94" s="10" t="inlineStr">
        <is>
          <t>Yes</t>
        </is>
      </c>
      <c r="K94" s="10" t="inlineStr">
        <is>
          <t>No receiver/on-call phone; no test page received.; 2026-10-23 review: Fixed: SMS cap-80% page missed the first crossing after a restart; pumping alert no longer fires on the kill switch.; 2026-10-23 ops pass: Alerts now reach a person on local staging: email to the founder and ntfy phone push (delivery to the topic confirmed). Prometheus rules still need test-fires on the host.; 2026-10-25: receiver chosen (D-02: founder email + ntfy phone push); left: a backup on-call person and a live alert test on the host.; 2026-10-25 (WP, LLM plan): Alert paths verified end to end locally (GlitchTip monitors 20-50 s, Prometheus worker 5 min / beat 10 min, ops relay); Alertmanager overlay + relay accepts Bearer and formats Alertmanager pages. Left: backup on call, host test.</t>
        </is>
      </c>
    </row>
    <row r="95">
      <c r="A95" s="9" t="inlineStr">
        <is>
          <t>BB-094</t>
        </is>
      </c>
      <c r="B95" s="10" t="inlineStr">
        <is>
          <t>Monitoring, Backup &amp; Reliability</t>
        </is>
      </c>
      <c r="C95" s="10" t="inlineStr">
        <is>
          <t>Monitor disk space, CPU and memory</t>
        </is>
      </c>
      <c r="D95" s="10" t="inlineStr">
        <is>
          <t>High</t>
        </is>
      </c>
      <c r="E95" s="10" t="inlineStr">
        <is>
          <t>Blocked</t>
        </is>
      </c>
      <c r="F95" s="10" t="inlineStr">
        <is>
          <t>Operations</t>
        </is>
      </c>
      <c r="G95" s="10" t="n"/>
      <c r="H95" s="10" t="inlineStr">
        <is>
          <t>Alert rules ready</t>
        </is>
      </c>
      <c r="I95" s="10" t="inlineStr">
        <is>
          <t>HO-4</t>
        </is>
      </c>
      <c r="J95" s="10" t="inlineStr">
        <is>
          <t>No</t>
        </is>
      </c>
      <c r="K95" s="10" t="inlineStr">
        <is>
          <t>Needs host metrics.; 2026-10-23 ops pass: No change: needs host metrics.</t>
        </is>
      </c>
    </row>
    <row r="96">
      <c r="A96" s="9" t="inlineStr">
        <is>
          <t>BB-095</t>
        </is>
      </c>
      <c r="B96" s="10" t="inlineStr">
        <is>
          <t>Monitoring, Backup &amp; Reliability</t>
        </is>
      </c>
      <c r="C96" s="10" t="inlineStr">
        <is>
          <t>Schedule automated database backups</t>
        </is>
      </c>
      <c r="D96" s="10" t="inlineStr">
        <is>
          <t>Critical</t>
        </is>
      </c>
      <c r="E96" s="10" t="inlineStr">
        <is>
          <t>In Progress</t>
        </is>
      </c>
      <c r="F96" s="10" t="inlineStr">
        <is>
          <t>Operations</t>
        </is>
      </c>
      <c r="G96" s="10" t="n"/>
      <c r="H96" s="10" t="inlineStr">
        <is>
          <t>Scheduled backups beat task (test_settings_scheduled_backup.py); backup refuses RLS-empty dump; BACKUP_ALERT.md; glitchtip-backup service (scripts/backup.sh BACKUP_KIND=glitchtip); test_backup_scripts.py</t>
        </is>
      </c>
      <c r="I96" s="10" t="inlineStr">
        <is>
          <t>HO-12</t>
        </is>
      </c>
      <c r="J96" s="10" t="inlineStr">
        <is>
          <t>Yes</t>
        </is>
      </c>
      <c r="K96" s="10" t="inlineStr">
        <is>
          <t>Off-host encrypted backups and PITR need the host.; 2026-10-23 ops pass: Error-tracker database added to the nightly backup with the same encryption/off-site/retention rules; tested on local staging (163 tables).</t>
        </is>
      </c>
    </row>
    <row r="97">
      <c r="A97" s="9" t="inlineStr">
        <is>
          <t>BB-096</t>
        </is>
      </c>
      <c r="B97" s="10" t="inlineStr">
        <is>
          <t>Monitoring, Backup &amp; Reliability</t>
        </is>
      </c>
      <c r="C97" s="10" t="inlineStr">
        <is>
          <t>Define backup retention policies</t>
        </is>
      </c>
      <c r="D97" s="10" t="inlineStr">
        <is>
          <t>High</t>
        </is>
      </c>
      <c r="E97" s="10" t="inlineStr">
        <is>
          <t>In Progress</t>
        </is>
      </c>
      <c r="F97" s="10" t="inlineStr">
        <is>
          <t>Operations</t>
        </is>
      </c>
      <c r="G97" s="10" t="n"/>
      <c r="H97" s="10" t="inlineStr">
        <is>
          <t>docs/ops/BCP.md; DR_CADENCE.md; docs/roadmap/SIGNOFF_PACK_2026-10-23.md B-8</t>
        </is>
      </c>
      <c r="I97" s="10" t="inlineStr">
        <is>
          <t>HO-19</t>
        </is>
      </c>
      <c r="J97" s="10" t="inlineStr">
        <is>
          <t>No</t>
        </is>
      </c>
      <c r="K97" s="10" t="inlineStr">
        <is>
          <t>Retention not signed.; 2026-10-24 A/B pass: Proposal: 30 daily + 12 monthly encrypted off-host, PITR 7 days. Awaiting founder signature.</t>
        </is>
      </c>
    </row>
    <row r="98">
      <c r="A98" s="9" t="inlineStr">
        <is>
          <t>BB-097</t>
        </is>
      </c>
      <c r="B98" s="10" t="inlineStr">
        <is>
          <t>Monitoring, Backup &amp; Reliability</t>
        </is>
      </c>
      <c r="C98" s="10" t="inlineStr">
        <is>
          <t>Perform and document an actual backup restoration test</t>
        </is>
      </c>
      <c r="D98" s="10" t="inlineStr">
        <is>
          <t>Critical</t>
        </is>
      </c>
      <c r="E98" s="10" t="inlineStr">
        <is>
          <t>In Progress</t>
        </is>
      </c>
      <c r="F98" s="10" t="inlineStr">
        <is>
          <t>Operations</t>
        </is>
      </c>
      <c r="G98" s="10" t="n"/>
      <c r="H98" s="10" t="inlineStr">
        <is>
          <t>scripts/restore_drill.sh PASS 2026-10-22 (147 s, books check as app role); backup-restore-drill.yml</t>
        </is>
      </c>
      <c r="I98" s="10" t="inlineStr">
        <is>
          <t>HO-12</t>
        </is>
      </c>
      <c r="J98" s="10" t="inlineStr">
        <is>
          <t>Yes</t>
        </is>
      </c>
      <c r="K98" s="10" t="inlineStr">
        <is>
          <t>Drill against real off-host backups pending.</t>
        </is>
      </c>
    </row>
    <row r="99">
      <c r="A99" s="9" t="inlineStr">
        <is>
          <t>BB-098</t>
        </is>
      </c>
      <c r="B99" s="10" t="inlineStr">
        <is>
          <t>Monitoring, Backup &amp; Reliability</t>
        </is>
      </c>
      <c r="C99" s="10" t="inlineStr">
        <is>
          <t>Define recovery time and recovery point objectives</t>
        </is>
      </c>
      <c r="D99" s="10" t="inlineStr">
        <is>
          <t>High</t>
        </is>
      </c>
      <c r="E99" s="10" t="inlineStr">
        <is>
          <t>In Progress</t>
        </is>
      </c>
      <c r="F99" s="10" t="inlineStr">
        <is>
          <t>Operations</t>
        </is>
      </c>
      <c r="G99" s="10" t="n"/>
      <c r="H99" s="10" t="inlineStr">
        <is>
          <t>docs/ops/SLO.md; BCP.md (draft); docs/roadmap/SIGNOFF_PACK_2026-10-23.md B-9</t>
        </is>
      </c>
      <c r="I99" s="10" t="inlineStr">
        <is>
          <t>HO-19</t>
        </is>
      </c>
      <c r="J99" s="10" t="inlineStr">
        <is>
          <t>No</t>
        </is>
      </c>
      <c r="K99" s="10" t="inlineStr">
        <is>
          <t>RPO/RTO not signed.; 2026-10-24 A/B pass: Proposal: RPO 15 min, RTO 4 h. Awaiting founder signature.</t>
        </is>
      </c>
    </row>
    <row r="100">
      <c r="A100" s="9" t="inlineStr">
        <is>
          <t>BB-099</t>
        </is>
      </c>
      <c r="B100" s="10" t="inlineStr">
        <is>
          <t>Monitoring, Backup &amp; Reliability</t>
        </is>
      </c>
      <c r="C100" s="10" t="inlineStr">
        <is>
          <t>Test disaster recovery and incident response</t>
        </is>
      </c>
      <c r="D100" s="10" t="inlineStr">
        <is>
          <t>Critical</t>
        </is>
      </c>
      <c r="E100" s="10" t="inlineStr">
        <is>
          <t>In Progress</t>
        </is>
      </c>
      <c r="F100" s="10" t="inlineStr">
        <is>
          <t>Operations</t>
        </is>
      </c>
      <c r="G100" s="10" t="n"/>
      <c r="H100" s="10" t="inlineStr">
        <is>
          <t>docs/ops/DB_FAILOVER.md, INCIDENT_RESPONSE.md (runbooks only); docs/ops/TABLETOP_EXERCISES.md (4 scenarios); DR_CADENCE.md rows</t>
        </is>
      </c>
      <c r="I100" s="10" t="inlineStr">
        <is>
          <t>SR2-10</t>
        </is>
      </c>
      <c r="J100" s="10" t="inlineStr">
        <is>
          <t>Yes</t>
        </is>
      </c>
      <c r="K100" s="10" t="inlineStr">
        <is>
          <t>No DR/failover drill or incident tabletop held.; 2026-10-23 ops pass: Tabletop pack written; the session itself is not held yet. Failover drill needs hosted Postgres.; 2026-10-25 (WP, LLM plan): Technical game day run on local staging with real alerts (docs/ops/DRILLS/2026-10-25_LOCAL_GAME_DAY.md): db/redis/beat/worker down, error, stale backup, rollback all detected/recovered; found and fixed /api/v1/metrics/ permanent 500 and health probe 500 when DB down. Tabletop run pack ready. Left: founder tabletop, failover on hosted Postgres.</t>
        </is>
      </c>
    </row>
    <row r="101">
      <c r="A101" s="9" t="inlineStr">
        <is>
          <t>BB-100</t>
        </is>
      </c>
      <c r="B101" s="10" t="inlineStr">
        <is>
          <t>UI/UX &amp; Customer Onboarding</t>
        </is>
      </c>
      <c r="C101" s="10" t="inlineStr">
        <is>
          <t>Review every screen and user journey</t>
        </is>
      </c>
      <c r="D101" s="10" t="inlineStr">
        <is>
          <t>High</t>
        </is>
      </c>
      <c r="E101" s="10" t="inlineStr">
        <is>
          <t>In Progress</t>
        </is>
      </c>
      <c r="F101" s="10" t="inlineStr">
        <is>
          <t>UX</t>
        </is>
      </c>
      <c r="G101" s="10" t="n"/>
      <c r="H101" s="10" t="inlineStr">
        <is>
          <t>docs/reviews/BB100_JOURNEY_WALKTHROUGH_2026-10-24.md: 11 journeys walked in a real browser on local staging (sale, payment, return, purchase with new supplier, quotation convert, reports, settings, help/support, Hindi, phone, sales-staff login); route sweep 138 pages desktop + phone, all flagged pages fixed; earlier surface crawl and docs/UX_ACTION_ITEMS.md; second pass 2026-10-24: phone focus/shortcut hints, staff 403 calls, purchase banner, /help render time fixed (findings F5-F9)</t>
        </is>
      </c>
      <c r="I101" s="10" t="inlineStr">
        <is>
          <t>QOS-0097</t>
        </is>
      </c>
      <c r="J101" s="10" t="inlineStr">
        <is>
          <t>No</t>
        </is>
      </c>
      <c r="K101" s="10" t="inlineStr">
        <is>
          <t>QOS-0097; 2026-10-24: findings F1, F3, F5-F10 fixed and verified on local staging; open: F2 (GSTR-1 bills of supply, CA), F4 (Hindi FAQ), human pass on real devices.; 2026-10-24: F4 Hindi FAQ draft wired in; F2 options note for the CA written.; 2026-10-24: route sweep after all fixes, desktop and phone, 138 pages each, 0 flagged.; 2026-10-25: /help now shows its first text ~0.5 s after other pages (was 3.6 s originally).</t>
        </is>
      </c>
    </row>
    <row r="102">
      <c r="A102" s="9" t="inlineStr">
        <is>
          <t>BB-101</t>
        </is>
      </c>
      <c r="B102" s="10" t="inlineStr">
        <is>
          <t>UI/UX &amp; Customer Onboarding</t>
        </is>
      </c>
      <c r="C102" s="10" t="inlineStr">
        <is>
          <t>Validate navigation, forms, buttons and permissions</t>
        </is>
      </c>
      <c r="D102" s="10" t="inlineStr">
        <is>
          <t>High</t>
        </is>
      </c>
      <c r="E102" s="10" t="inlineStr">
        <is>
          <t>Passed</t>
        </is>
      </c>
      <c r="F102" s="10" t="inlineStr">
        <is>
          <t>UX</t>
        </is>
      </c>
      <c r="G102" s="10" t="n"/>
      <c r="H102" s="10" t="inlineStr">
        <is>
          <t>Staff login: all 29 menu links open, none lands on limited access; blocked pages show the limited-access notice (BB100_JOURNEY_WALKTHROUGH_2026-10-24.md). Scroll regions keyboard-focusable (a11y/scrollRegions.guard.test.ts); phone sweep 138 pages, no sideways page scroll on 12 key pages; role matrix tests; team list for assignee pickers: GET /company/members/ (id, name, role) for any active member, /company/users/ stays owner-only (test_team_members.py, LeadsPage.test.tsx)</t>
        </is>
      </c>
      <c r="I102" s="10" t="inlineStr">
        <is>
          <t>QOS-0096</t>
        </is>
      </c>
      <c r="J102" s="10" t="inlineStr">
        <is>
          <t>No</t>
        </is>
      </c>
      <c r="K102" s="10" t="inlineStr">
        <is>
          <t>2026-10-24: closed. Left for the human pass: real touch devices and screen readers (BB-100).; 2026-10-24 F10: managers and staff could reassign leads/tickets but saw an empty picker; fixed and verified live with the sales-staff login.</t>
        </is>
      </c>
    </row>
    <row r="103">
      <c r="A103" s="9" t="inlineStr">
        <is>
          <t>BB-102</t>
        </is>
      </c>
      <c r="B103" s="10" t="inlineStr">
        <is>
          <t>UI/UX &amp; Customer Onboarding</t>
        </is>
      </c>
      <c r="C103" s="10" t="inlineStr">
        <is>
          <t>Test responsive layouts and usability</t>
        </is>
      </c>
      <c r="D103" s="10" t="inlineStr">
        <is>
          <t>Medium</t>
        </is>
      </c>
      <c r="E103" s="10" t="inlineStr">
        <is>
          <t>In Progress</t>
        </is>
      </c>
      <c r="F103" s="10" t="inlineStr">
        <is>
          <t>UX</t>
        </is>
      </c>
      <c r="G103" s="10" t="n"/>
      <c r="H103" s="10" t="inlineStr">
        <is>
          <t>Phone-width crawl</t>
        </is>
      </c>
      <c r="I103" s="10" t="inlineStr">
        <is>
          <t>QOS-0132</t>
        </is>
      </c>
      <c r="J103" s="10" t="inlineStr">
        <is>
          <t>No</t>
        </is>
      </c>
      <c r="K103" s="10" t="inlineStr">
        <is>
          <t>Real-device pass open.; 2026-10-24: phones no longer jump past the first fields on new invoice/purchase; shortcut hints hidden on touch devices. Real-device pass still open.; 2026-10-24: phone sweep 138 pages, 0 flagged.</t>
        </is>
      </c>
    </row>
    <row r="104">
      <c r="A104" s="9" t="inlineStr">
        <is>
          <t>BB-103</t>
        </is>
      </c>
      <c r="B104" s="10" t="inlineStr">
        <is>
          <t>UI/UX &amp; Customer Onboarding</t>
        </is>
      </c>
      <c r="C104" s="10" t="inlineStr">
        <is>
          <t>Improve error messages and validation feedback</t>
        </is>
      </c>
      <c r="D104" s="10" t="inlineStr">
        <is>
          <t>High</t>
        </is>
      </c>
      <c r="E104" s="10" t="inlineStr">
        <is>
          <t>Passed</t>
        </is>
      </c>
      <c r="F104" s="10" t="inlineStr">
        <is>
          <t>UX</t>
        </is>
      </c>
      <c r="G104" s="10" t="n"/>
      <c r="H104" s="10" t="inlineStr">
        <is>
          <t>Every data page has loading/empty/error states (pageStates.guard.test.ts); switched-off pages show a notice, not a raw error (FeatureOffNotice, navigation/switchedOff.test.ts); Hindi strings checked for English leftovers (i18n/hiNotEnglish.test.ts); stable error codes translated en/hi</t>
        </is>
      </c>
      <c r="I104" s="10" t="inlineStr">
        <is>
          <t>QOS-0098</t>
        </is>
      </c>
      <c r="J104" s="10" t="inlineStr">
        <is>
          <t>No</t>
        </is>
      </c>
      <c r="K104" s="10" t="inlineStr">
        <is>
          <t>2026-10-24: closed. FAQ answer text is still English in Hindi (finding F4, human Hindi review).; 2026-10-24: FAQ answers now show in Hindi (machine draft, 284 entries, marked unreviewed on the page); a native speaker must review.; 2026-10-25: Hindi FAQ uses the app's own Hindi for 74 on-screen labels and one word for "allocation"; native review still needed.</t>
        </is>
      </c>
    </row>
    <row r="105">
      <c r="A105" s="9" t="inlineStr">
        <is>
          <t>BB-104</t>
        </is>
      </c>
      <c r="B105" s="10" t="inlineStr">
        <is>
          <t>UI/UX &amp; Customer Onboarding</t>
        </is>
      </c>
      <c r="C105" s="10" t="inlineStr">
        <is>
          <t>Provide empty states and contextual help</t>
        </is>
      </c>
      <c r="D105" s="10" t="inlineStr">
        <is>
          <t>Medium</t>
        </is>
      </c>
      <c r="E105" s="10" t="inlineStr">
        <is>
          <t>Passed</t>
        </is>
      </c>
      <c r="F105" s="10" t="inlineStr">
        <is>
          <t>UX</t>
        </is>
      </c>
      <c r="G105" s="10" t="n"/>
      <c r="H105" s="10" t="inlineStr">
        <is>
          <t>Grid loading/empty/error states; Help menu, What's new; web/src/pages/pageStates.guard.test.ts; QOS-0098 verified (jsxLiteralRatchet, mfgGridStates, LeadFormPage tests)</t>
        </is>
      </c>
      <c r="I105" s="10" t="inlineStr">
        <is>
          <t>QOS-0098</t>
        </is>
      </c>
      <c r="J105" s="10" t="inlineStr">
        <is>
          <t>No</t>
        </is>
      </c>
      <c r="K105" s="10" t="inlineStr">
        <is>
          <t>2026-10-24 A/B pass: All 173 data pages handle loading/error/empty states (one deliberate fallback documented); guard keeps it so.</t>
        </is>
      </c>
    </row>
    <row r="106">
      <c r="A106" s="9" t="inlineStr">
        <is>
          <t>BB-105</t>
        </is>
      </c>
      <c r="B106" s="10" t="inlineStr">
        <is>
          <t>UI/UX &amp; Customer Onboarding</t>
        </is>
      </c>
      <c r="C106" s="10" t="inlineStr">
        <is>
          <t>Simplify company setup and GST configuration</t>
        </is>
      </c>
      <c r="D106" s="10" t="inlineStr">
        <is>
          <t>High</t>
        </is>
      </c>
      <c r="E106" s="10" t="inlineStr">
        <is>
          <t>In Progress</t>
        </is>
      </c>
      <c r="F106" s="10" t="inlineStr">
        <is>
          <t>UX</t>
        </is>
      </c>
      <c r="G106" s="10" t="n"/>
      <c r="H106" s="10" t="inlineStr">
        <is>
          <t>Setup wizard; onboarding checklist (test_onboarding_gr2.py)</t>
        </is>
      </c>
      <c r="I106" s="10" t="inlineStr">
        <is>
          <t>SR2-02</t>
        </is>
      </c>
      <c r="J106" s="10" t="inlineStr">
        <is>
          <t>No</t>
        </is>
      </c>
      <c r="K106" s="10" t="inlineStr">
        <is>
          <t>Unaided setup by a real business not observed.</t>
        </is>
      </c>
    </row>
    <row r="107">
      <c r="A107" s="9" t="inlineStr">
        <is>
          <t>BB-106</t>
        </is>
      </c>
      <c r="B107" s="10" t="inlineStr">
        <is>
          <t>UI/UX &amp; Customer Onboarding</t>
        </is>
      </c>
      <c r="C107" s="10" t="inlineStr">
        <is>
          <t>Enable customers to create their first invoice independently</t>
        </is>
      </c>
      <c r="D107" s="10" t="inlineStr">
        <is>
          <t>Critical</t>
        </is>
      </c>
      <c r="E107" s="10" t="inlineStr">
        <is>
          <t>In Progress</t>
        </is>
      </c>
      <c r="F107" s="10" t="inlineStr">
        <is>
          <t>UX</t>
        </is>
      </c>
      <c r="G107" s="10" t="n"/>
      <c r="H107" s="10" t="inlineStr">
        <is>
          <t>Onboarding checklist tracks time to first invoice; saas_metrics</t>
        </is>
      </c>
      <c r="I107" s="10" t="inlineStr">
        <is>
          <t>QOS-0029</t>
        </is>
      </c>
      <c r="J107" s="10" t="inlineStr">
        <is>
          <t>Yes</t>
        </is>
      </c>
      <c r="K107" s="10" t="inlineStr">
        <is>
          <t>Needs real users doing it unaided.</t>
        </is>
      </c>
    </row>
    <row r="108">
      <c r="A108" s="9" t="inlineStr">
        <is>
          <t>BB-107</t>
        </is>
      </c>
      <c r="B108" s="10" t="inlineStr">
        <is>
          <t>UI/UX &amp; Customer Onboarding</t>
        </is>
      </c>
      <c r="C108" s="10" t="inlineStr">
        <is>
          <t>Validate first purchase and inventory setup workflows</t>
        </is>
      </c>
      <c r="D108" s="10" t="inlineStr">
        <is>
          <t>Critical</t>
        </is>
      </c>
      <c r="E108" s="10" t="inlineStr">
        <is>
          <t>In Progress</t>
        </is>
      </c>
      <c r="F108" s="10" t="inlineStr">
        <is>
          <t>UX</t>
        </is>
      </c>
      <c r="G108" s="10" t="n"/>
      <c r="H108" s="10" t="inlineStr">
        <is>
          <t>Golden e2e purchase/inventory journeys</t>
        </is>
      </c>
      <c r="I108" s="10" t="inlineStr">
        <is>
          <t>QOS-0029</t>
        </is>
      </c>
      <c r="J108" s="10" t="inlineStr">
        <is>
          <t>Yes</t>
        </is>
      </c>
      <c r="K108" s="10" t="inlineStr">
        <is>
          <t>Needs real users.</t>
        </is>
      </c>
    </row>
    <row r="109">
      <c r="A109" s="9" t="inlineStr">
        <is>
          <t>BB-108</t>
        </is>
      </c>
      <c r="B109" s="10" t="inlineStr">
        <is>
          <t>UI/UX &amp; Customer Onboarding</t>
        </is>
      </c>
      <c r="C109" s="10" t="inlineStr">
        <is>
          <t>Provide onboarding guides and FAQs</t>
        </is>
      </c>
      <c r="D109" s="10" t="inlineStr">
        <is>
          <t>Medium</t>
        </is>
      </c>
      <c r="E109" s="10" t="inlineStr">
        <is>
          <t>Passed</t>
        </is>
      </c>
      <c r="F109" s="10" t="inlineStr">
        <is>
          <t>Support</t>
        </is>
      </c>
      <c r="G109" s="10" t="n"/>
      <c r="H109" s="10" t="inlineStr">
        <is>
          <t>docs/help/ (IMPORT_FROM_TALLY, LEGACY_IMPORT, DATA_EXPORT_FORMAT, LIMITATIONS, WHATS_NEW); In-app Help centre FAQ (faqContent.tsx, 250+ answers) + 16 account/subscription answers; faqAccount.test.ts; docs/pilot/FAQS.md</t>
        </is>
      </c>
      <c r="I109" s="10" t="n"/>
      <c r="J109" s="10" t="inlineStr">
        <is>
          <t>No</t>
        </is>
      </c>
      <c r="K109" s="10" t="inlineStr">
        <is>
          <t>No FAQ set yet.; 2026-10-24 A/B pass: The "no FAQ" note was stale: 236 answers existed. Added plan change, Autopay, failed payment, Bizboard GST invoices, TDS claim, cancel, data export, Busy/Vyapar/Marg import, two-step, devices, Google, ownership, owner recovery, support, support access, checklist.</t>
        </is>
      </c>
    </row>
    <row r="110">
      <c r="A110" s="9" t="inlineStr">
        <is>
          <t>BB-109</t>
        </is>
      </c>
      <c r="B110" s="10" t="inlineStr">
        <is>
          <t>UI/UX &amp; Customer Onboarding</t>
        </is>
      </c>
      <c r="C110" s="10" t="inlineStr">
        <is>
          <t>Test with actual business users without developer assistance</t>
        </is>
      </c>
      <c r="D110" s="10" t="inlineStr">
        <is>
          <t>Critical</t>
        </is>
      </c>
      <c r="E110" s="10" t="inlineStr">
        <is>
          <t>Not Started</t>
        </is>
      </c>
      <c r="F110" s="10" t="inlineStr">
        <is>
          <t>Product</t>
        </is>
      </c>
      <c r="G110" s="10" t="n"/>
      <c r="H110" s="10" t="inlineStr">
        <is>
          <t>docs/pilot/RECRUITMENT.md §5-6</t>
        </is>
      </c>
      <c r="I110" s="10" t="inlineStr">
        <is>
          <t>HO-15; HO-16; QOS-0029; QOS-0030</t>
        </is>
      </c>
      <c r="J110" s="10" t="inlineStr">
        <is>
          <t>Yes</t>
        </is>
      </c>
      <c r="K110" s="10" t="inlineStr">
        <is>
          <t>No beta businesses signed yet.; 2026-10-23 ops pass: Recruitment tracker and import + parallel-month procedure ready; no pilots signed.</t>
        </is>
      </c>
    </row>
    <row r="111">
      <c r="A111" s="9" t="inlineStr">
        <is>
          <t>BB-110</t>
        </is>
      </c>
      <c r="B111" s="10" t="inlineStr">
        <is>
          <t>Integrations</t>
        </is>
      </c>
      <c r="C111" s="10" t="inlineStr">
        <is>
          <t>Validate GST portal integration</t>
        </is>
      </c>
      <c r="D111" s="10" t="inlineStr">
        <is>
          <t>High</t>
        </is>
      </c>
      <c r="E111" s="10" t="inlineStr">
        <is>
          <t>Accepted Risk</t>
        </is>
      </c>
      <c r="F111" s="10" t="inlineStr">
        <is>
          <t>Integration</t>
        </is>
      </c>
      <c r="G111" s="10" t="n"/>
      <c r="H111" s="10" t="inlineStr">
        <is>
          <t>GSP_LIVE_ENABLED off; /limits key 'filing'</t>
        </is>
      </c>
      <c r="I111" s="10" t="n"/>
      <c r="J111" s="10" t="inlineStr">
        <is>
          <t>No</t>
        </is>
      </c>
      <c r="K111" s="10" t="inlineStr">
        <is>
          <t>Not in this release.</t>
        </is>
      </c>
    </row>
    <row r="112">
      <c r="A112" s="9" t="inlineStr">
        <is>
          <t>BB-111</t>
        </is>
      </c>
      <c r="B112" s="10" t="inlineStr">
        <is>
          <t>Integrations</t>
        </is>
      </c>
      <c r="C112" s="10" t="inlineStr">
        <is>
          <t>Validate payment gateway integration</t>
        </is>
      </c>
      <c r="D112" s="10" t="inlineStr">
        <is>
          <t>Critical</t>
        </is>
      </c>
      <c r="E112" s="10" t="inlineStr">
        <is>
          <t>Blocked</t>
        </is>
      </c>
      <c r="F112" s="10" t="inlineStr">
        <is>
          <t>Integration</t>
        </is>
      </c>
      <c r="G112" s="10" t="n"/>
      <c r="H112" s="10" t="inlineStr">
        <is>
          <t>Razorpay sandbox; webhook tests</t>
        </is>
      </c>
      <c r="I112" s="10" t="inlineStr">
        <is>
          <t>HO-18; QOS-0031</t>
        </is>
      </c>
      <c r="J112" s="10" t="inlineStr">
        <is>
          <t>Yes</t>
        </is>
      </c>
      <c r="K112" s="10" t="inlineStr">
        <is>
          <t>Live account and live recon pending.; 2026-10-23 ops pass: Sandbox runs skipped: no Razorpay test keys yet.</t>
        </is>
      </c>
    </row>
    <row r="113">
      <c r="A113" s="9" t="inlineStr">
        <is>
          <t>BB-112</t>
        </is>
      </c>
      <c r="B113" s="10" t="inlineStr">
        <is>
          <t>Integrations</t>
        </is>
      </c>
      <c r="C113" s="10" t="inlineStr">
        <is>
          <t>Validate SMS/OTP provider integration</t>
        </is>
      </c>
      <c r="D113" s="10" t="inlineStr">
        <is>
          <t>High</t>
        </is>
      </c>
      <c r="E113" s="10" t="inlineStr">
        <is>
          <t>Blocked</t>
        </is>
      </c>
      <c r="F113" s="10" t="inlineStr">
        <is>
          <t>Integration</t>
        </is>
      </c>
      <c r="G113" s="10" t="n"/>
      <c r="H113" s="10" t="inlineStr">
        <is>
          <t>MSG91 via DLT template registry; SMS guard (test_sms_guard.py, test_message_templates.py)</t>
        </is>
      </c>
      <c r="I113" s="10" t="inlineStr">
        <is>
          <t>HO-6</t>
        </is>
      </c>
      <c r="J113" s="10" t="inlineStr">
        <is>
          <t>No</t>
        </is>
      </c>
      <c r="K113" s="10" t="inlineStr">
        <is>
          <t>TRAI DLT entity/templates pending.; 2026-10-23 review: Phone numbers normalised once before the SMS guard, DLT check and provider.</t>
        </is>
      </c>
    </row>
    <row r="114">
      <c r="A114" s="9" t="inlineStr">
        <is>
          <t>BB-113</t>
        </is>
      </c>
      <c r="B114" s="10" t="inlineStr">
        <is>
          <t>Integrations</t>
        </is>
      </c>
      <c r="C114" s="10" t="inlineStr">
        <is>
          <t>Validate WhatsApp Cloud API integration where included</t>
        </is>
      </c>
      <c r="D114" s="10" t="inlineStr">
        <is>
          <t>Medium</t>
        </is>
      </c>
      <c r="E114" s="10" t="inlineStr">
        <is>
          <t>Accepted Risk</t>
        </is>
      </c>
      <c r="F114" s="10" t="inlineStr">
        <is>
          <t>Integration</t>
        </is>
      </c>
      <c r="G114" s="10" t="n"/>
      <c r="H114" s="10" t="inlineStr">
        <is>
          <t>ENABLE_WHATSAPP_CLOUD off; /limits key 'whatsapp'</t>
        </is>
      </c>
      <c r="I114" s="10" t="inlineStr">
        <is>
          <t>HO-6</t>
        </is>
      </c>
      <c r="J114" s="10" t="inlineStr">
        <is>
          <t>No</t>
        </is>
      </c>
      <c r="K114" s="10" t="inlineStr">
        <is>
          <t>Share link only; template approval needed before turning on.</t>
        </is>
      </c>
    </row>
    <row r="115">
      <c r="A115" s="9" t="inlineStr">
        <is>
          <t>BB-114</t>
        </is>
      </c>
      <c r="B115" s="10" t="inlineStr">
        <is>
          <t>Integrations</t>
        </is>
      </c>
      <c r="C115" s="10" t="inlineStr">
        <is>
          <t>Validate Tally integration where included</t>
        </is>
      </c>
      <c r="D115" s="10" t="inlineStr">
        <is>
          <t>Medium</t>
        </is>
      </c>
      <c r="E115" s="10" t="inlineStr">
        <is>
          <t>In Progress</t>
        </is>
      </c>
      <c r="F115" s="10" t="inlineStr">
        <is>
          <t>Integration</t>
        </is>
      </c>
      <c r="G115" s="10" t="n"/>
      <c r="H115" s="10" t="inlineStr">
        <is>
          <t>Tally CSV/XLSX/XML import; admin grant per pilot (test_tally_xml_import.py)</t>
        </is>
      </c>
      <c r="I115" s="10" t="n"/>
      <c r="J115" s="10" t="inlineStr">
        <is>
          <t>No</t>
        </is>
      </c>
      <c r="K115" s="10" t="inlineStr">
        <is>
          <t>Needs real pilot Tally exports; no live sync (documented).</t>
        </is>
      </c>
    </row>
    <row r="116">
      <c r="A116" s="9" t="inlineStr">
        <is>
          <t>BB-115</t>
        </is>
      </c>
      <c r="B116" s="10" t="inlineStr">
        <is>
          <t>Integrations</t>
        </is>
      </c>
      <c r="C116" s="10" t="inlineStr">
        <is>
          <t>Test API authentication and authorization</t>
        </is>
      </c>
      <c r="D116" s="10" t="inlineStr">
        <is>
          <t>Critical</t>
        </is>
      </c>
      <c r="E116" s="10" t="inlineStr">
        <is>
          <t>Passed</t>
        </is>
      </c>
      <c r="F116" s="10" t="inlineStr">
        <is>
          <t>Security</t>
        </is>
      </c>
      <c r="G116" s="10" t="n"/>
      <c r="H116" s="10" t="inlineStr">
        <is>
          <t>JWT cookie auth; X-Company-Id rule; route matrix isolation tests</t>
        </is>
      </c>
      <c r="I116" s="10" t="n"/>
      <c r="J116" s="10" t="inlineStr">
        <is>
          <t>Yes</t>
        </is>
      </c>
      <c r="K116" s="10" t="inlineStr">
        <is>
          <t>Pentest will re-check (HO-10).</t>
        </is>
      </c>
    </row>
    <row r="117">
      <c r="A117" s="9" t="inlineStr">
        <is>
          <t>BB-116</t>
        </is>
      </c>
      <c r="B117" s="10" t="inlineStr">
        <is>
          <t>Integrations</t>
        </is>
      </c>
      <c r="C117" s="10" t="inlineStr">
        <is>
          <t>Test timeout, retry and failure handling</t>
        </is>
      </c>
      <c r="D117" s="10" t="inlineStr">
        <is>
          <t>High</t>
        </is>
      </c>
      <c r="E117" s="10" t="inlineStr">
        <is>
          <t>Passed</t>
        </is>
      </c>
      <c r="F117" s="10" t="inlineStr">
        <is>
          <t>Engineering</t>
        </is>
      </c>
      <c r="G117" s="10" t="n"/>
      <c r="H117" s="10" t="inlineStr">
        <is>
          <t>Circuit breakers, timeouts, DLQ + replay; docs/ops/INTEGRATIONS.md</t>
        </is>
      </c>
      <c r="I117" s="10" t="n"/>
      <c r="J117" s="10" t="inlineStr">
        <is>
          <t>No</t>
        </is>
      </c>
      <c r="K117" s="10" t="n"/>
    </row>
    <row r="118">
      <c r="A118" s="9" t="inlineStr">
        <is>
          <t>BB-117</t>
        </is>
      </c>
      <c r="B118" s="10" t="inlineStr">
        <is>
          <t>Integrations</t>
        </is>
      </c>
      <c r="C118" s="10" t="inlineStr">
        <is>
          <t>Prevent duplicate requests and webhook processing</t>
        </is>
      </c>
      <c r="D118" s="10" t="inlineStr">
        <is>
          <t>Critical</t>
        </is>
      </c>
      <c r="E118" s="10" t="inlineStr">
        <is>
          <t>Passed</t>
        </is>
      </c>
      <c r="F118" s="10" t="inlineStr">
        <is>
          <t>Engineering</t>
        </is>
      </c>
      <c r="G118" s="10" t="n"/>
      <c r="H118" s="10" t="inlineStr">
        <is>
          <t>Idempotency keys; webhook dedupe; test_w0_webhook_holding.py</t>
        </is>
      </c>
      <c r="I118" s="10" t="n"/>
      <c r="J118" s="10" t="inlineStr">
        <is>
          <t>Yes</t>
        </is>
      </c>
      <c r="K118" s="10" t="n"/>
    </row>
    <row r="119">
      <c r="A119" s="9" t="inlineStr">
        <is>
          <t>BB-118</t>
        </is>
      </c>
      <c r="B119" s="10" t="inlineStr">
        <is>
          <t>Integrations</t>
        </is>
      </c>
      <c r="C119" s="10" t="inlineStr">
        <is>
          <t>Monitor integrations and rotate credentials securely</t>
        </is>
      </c>
      <c r="D119" s="10" t="inlineStr">
        <is>
          <t>High</t>
        </is>
      </c>
      <c r="E119" s="10" t="inlineStr">
        <is>
          <t>In Progress</t>
        </is>
      </c>
      <c r="F119" s="10" t="inlineStr">
        <is>
          <t>Operations</t>
        </is>
      </c>
      <c r="G119" s="10" t="n"/>
      <c r="H119" s="10" t="inlineStr">
        <is>
          <t>rotate_encrypted_fields; docs/ops/SECRET_ROTATION.md; integration alerts</t>
        </is>
      </c>
      <c r="I119" s="10" t="inlineStr">
        <is>
          <t>HO-13</t>
        </is>
      </c>
      <c r="J119" s="10" t="inlineStr">
        <is>
          <t>No</t>
        </is>
      </c>
      <c r="K119" s="10" t="inlineStr">
        <is>
          <t>Rotation drill on the host pending.</t>
        </is>
      </c>
    </row>
    <row r="120">
      <c r="A120" s="9" t="inlineStr">
        <is>
          <t>BB-119</t>
        </is>
      </c>
      <c r="B120" s="10" t="inlineStr">
        <is>
          <t>Integrations</t>
        </is>
      </c>
      <c r="C120" s="10" t="inlineStr">
        <is>
          <t>Document integration limitations and support procedures</t>
        </is>
      </c>
      <c r="D120" s="10" t="inlineStr">
        <is>
          <t>Medium</t>
        </is>
      </c>
      <c r="E120" s="10" t="inlineStr">
        <is>
          <t>Passed</t>
        </is>
      </c>
      <c r="F120" s="10" t="inlineStr">
        <is>
          <t>Support</t>
        </is>
      </c>
      <c r="G120" s="10" t="n"/>
      <c r="H120" s="10" t="inlineStr">
        <is>
          <t>docs/help/LIMITATIONS.md; docs/ops/INTEGRATIONS.md; VENDOR_SLA.md</t>
        </is>
      </c>
      <c r="I120" s="10" t="n"/>
      <c r="J120" s="10" t="inlineStr">
        <is>
          <t>No</t>
        </is>
      </c>
      <c r="K120" s="10" t="n"/>
    </row>
    <row r="121">
      <c r="A121" s="9" t="inlineStr">
        <is>
          <t>BB-120</t>
        </is>
      </c>
      <c r="B121" s="10" t="inlineStr">
        <is>
          <t>Legal &amp; Business Operations</t>
        </is>
      </c>
      <c r="C121" s="10" t="inlineStr">
        <is>
          <t>Publish terms of service</t>
        </is>
      </c>
      <c r="D121" s="10" t="inlineStr">
        <is>
          <t>Critical</t>
        </is>
      </c>
      <c r="E121" s="10" t="inlineStr">
        <is>
          <t>Blocked</t>
        </is>
      </c>
      <c r="F121" s="10" t="inlineStr">
        <is>
          <t>Legal</t>
        </is>
      </c>
      <c r="G121" s="10" t="n"/>
      <c r="H121" s="10" t="inlineStr">
        <is>
          <t>Acceptance recording built</t>
        </is>
      </c>
      <c r="I121" s="10" t="inlineStr">
        <is>
          <t>HO-9</t>
        </is>
      </c>
      <c r="J121" s="10" t="inlineStr">
        <is>
          <t>Yes</t>
        </is>
      </c>
      <c r="K121" s="10" t="inlineStr">
        <is>
          <t>Counsel to write.; 2026-10-24 (D-07): first drafts for counsel in docs/legal/drafts/ (terms, privacy policy, DPA), with sub-processors and open points listed. Counsel must rewrite and approve.</t>
        </is>
      </c>
    </row>
    <row r="122">
      <c r="A122" s="9" t="inlineStr">
        <is>
          <t>BB-121</t>
        </is>
      </c>
      <c r="B122" s="10" t="inlineStr">
        <is>
          <t>Legal &amp; Business Operations</t>
        </is>
      </c>
      <c r="C122" s="10" t="inlineStr">
        <is>
          <t>Publish privacy policy</t>
        </is>
      </c>
      <c r="D122" s="10" t="inlineStr">
        <is>
          <t>Critical</t>
        </is>
      </c>
      <c r="E122" s="10" t="inlineStr">
        <is>
          <t>Blocked</t>
        </is>
      </c>
      <c r="F122" s="10" t="inlineStr">
        <is>
          <t>Legal</t>
        </is>
      </c>
      <c r="G122" s="10" t="n"/>
      <c r="H122" s="10" t="inlineStr">
        <is>
          <t>Acceptance recording built</t>
        </is>
      </c>
      <c r="I122" s="10" t="inlineStr">
        <is>
          <t>HO-9</t>
        </is>
      </c>
      <c r="J122" s="10" t="inlineStr">
        <is>
          <t>Yes</t>
        </is>
      </c>
      <c r="K122" s="10" t="inlineStr">
        <is>
          <t>Counsel to write.; 2026-10-24 (D-07): first drafts for counsel in docs/legal/drafts/ (terms, privacy policy, DPA), with sub-processors and open points listed. Counsel must rewrite and approve.</t>
        </is>
      </c>
    </row>
    <row r="123">
      <c r="A123" s="9" t="inlineStr">
        <is>
          <t>BB-122</t>
        </is>
      </c>
      <c r="B123" s="10" t="inlineStr">
        <is>
          <t>Legal &amp; Business Operations</t>
        </is>
      </c>
      <c r="C123" s="10" t="inlineStr">
        <is>
          <t>Define cancellation and refund policies</t>
        </is>
      </c>
      <c r="D123" s="10" t="inlineStr">
        <is>
          <t>High</t>
        </is>
      </c>
      <c r="E123" s="10" t="inlineStr">
        <is>
          <t>In Progress</t>
        </is>
      </c>
      <c r="F123" s="10" t="inlineStr">
        <is>
          <t>Legal</t>
        </is>
      </c>
      <c r="G123" s="10" t="n"/>
      <c r="H123" s="10" t="inlineStr">
        <is>
          <t>docs/ops/REFUND_CANCELLATION.md (draft); BL1 refund/credit flow; test_tds_claims_trial_guard.py (review-fix tests); docs/roadmap/SIGNOFF_PACK_2026-10-23.md B-4; docs/ops/REFUND_CANCELLATION.md (updated)</t>
        </is>
      </c>
      <c r="I123" s="10" t="inlineStr">
        <is>
          <t>HO-9</t>
        </is>
      </c>
      <c r="J123" s="10" t="inlineStr">
        <is>
          <t>No</t>
        </is>
      </c>
      <c r="K123" s="10" t="inlineStr">
        <is>
          <t>Counsel to approve.; 2026-10-23 review: Fixed: TDS refunds could be paid twice (concurrency, rollback after refund); idempotency keys added.; 2026-10-24 A/B pass: Policy proposal drafted; refund doc corrected (proration exists). Awaiting founder decision, then counsel wording.</t>
        </is>
      </c>
    </row>
    <row r="124">
      <c r="A124" s="9" t="inlineStr">
        <is>
          <t>BB-123</t>
        </is>
      </c>
      <c r="B124" s="10" t="inlineStr">
        <is>
          <t>Legal &amp; Business Operations</t>
        </is>
      </c>
      <c r="C124" s="10" t="inlineStr">
        <is>
          <t>Review applicable Indian privacy and data protection obligations</t>
        </is>
      </c>
      <c r="D124" s="10" t="inlineStr">
        <is>
          <t>Critical</t>
        </is>
      </c>
      <c r="E124" s="10" t="inlineStr">
        <is>
          <t>In Progress</t>
        </is>
      </c>
      <c r="F124" s="10" t="inlineStr">
        <is>
          <t>Legal</t>
        </is>
      </c>
      <c r="G124" s="10" t="n"/>
      <c r="H124" s="10" t="inlineStr">
        <is>
          <t>DPDP posture; DATA_CATEGORIES.md; SUBPROCESSORS.md; DPDP request register (DPDP_REQUESTS.md); PRODUCT_BEHAVIORS_FOR_COUNSEL.md</t>
        </is>
      </c>
      <c r="I124" s="10" t="inlineStr">
        <is>
          <t>HO-9</t>
        </is>
      </c>
      <c r="J124" s="10" t="inlineStr">
        <is>
          <t>Yes</t>
        </is>
      </c>
      <c r="K124" s="10" t="inlineStr">
        <is>
          <t>Counsel review and DPIA decision pending.; 2026-10-25 (WP, LLM plan): DPIA first draft written (docs/legal/drafts/DPIA_DRAFT.md): roles, data, flows, 13 risks with controls, rights, breach; 7 questions for counsel. Left: counsel decides if mandatory and approves.</t>
        </is>
      </c>
    </row>
    <row r="125">
      <c r="A125" s="9" t="inlineStr">
        <is>
          <t>BB-124</t>
        </is>
      </c>
      <c r="B125" s="10" t="inlineStr">
        <is>
          <t>Legal &amp; Business Operations</t>
        </is>
      </c>
      <c r="C125" s="10" t="inlineStr">
        <is>
          <t>Review GST, taxation and invoicing obligations for Bizboard itself</t>
        </is>
      </c>
      <c r="D125" s="10" t="inlineStr">
        <is>
          <t>Critical</t>
        </is>
      </c>
      <c r="E125" s="10" t="inlineStr">
        <is>
          <t>Blocked</t>
        </is>
      </c>
      <c r="F125" s="10" t="inlineStr">
        <is>
          <t>Legal</t>
        </is>
      </c>
      <c r="G125" s="10" t="n"/>
      <c r="H125" s="10" t="inlineStr">
        <is>
          <t>Platform GST invoices built (BL2)</t>
        </is>
      </c>
      <c r="I125" s="10" t="inlineStr">
        <is>
          <t>X-01; HO-7</t>
        </is>
      </c>
      <c r="J125" s="10" t="inlineStr">
        <is>
          <t>Yes</t>
        </is>
      </c>
      <c r="K125" s="10" t="inlineStr">
        <is>
          <t>Bizboard's own GST registration, books and TDS need the CA.</t>
        </is>
      </c>
    </row>
    <row r="126">
      <c r="A126" s="9" t="inlineStr">
        <is>
          <t>BB-125</t>
        </is>
      </c>
      <c r="B126" s="10" t="inlineStr">
        <is>
          <t>Legal &amp; Business Operations</t>
        </is>
      </c>
      <c r="C126" s="10" t="inlineStr">
        <is>
          <t>Define customer support channels and escalation process</t>
        </is>
      </c>
      <c r="D126" s="10" t="inlineStr">
        <is>
          <t>High</t>
        </is>
      </c>
      <c r="E126" s="10" t="inlineStr">
        <is>
          <t>In Progress</t>
        </is>
      </c>
      <c r="F126" s="10" t="inlineStr">
        <is>
          <t>Support</t>
        </is>
      </c>
      <c r="G126" s="10" t="n"/>
      <c r="H126" s="10" t="inlineStr">
        <is>
          <t>In-app support tickets with SLA timers (PO3); SUPPORT_MACROS.md; TICKET_TAXONOMY.md; test_saas_review_fixes.py</t>
        </is>
      </c>
      <c r="I126" s="10" t="inlineStr">
        <is>
          <t>SR2-06</t>
        </is>
      </c>
      <c r="J126" s="10" t="inlineStr">
        <is>
          <t>No</t>
        </is>
      </c>
      <c r="K126" s="10" t="inlineStr">
        <is>
          <t>No staffed channel yet.; 2026-10-23 review: Fixed: staff could not reply in the ticket admin (crash on save); lapsed tenants can raise tickets; closing a ticket ends support access at once.</t>
        </is>
      </c>
    </row>
    <row r="127">
      <c r="A127" s="9" t="inlineStr">
        <is>
          <t>BB-126</t>
        </is>
      </c>
      <c r="B127" s="10" t="inlineStr">
        <is>
          <t>Legal &amp; Business Operations</t>
        </is>
      </c>
      <c r="C127" s="10" t="inlineStr">
        <is>
          <t>Establish issue severity and response targets</t>
        </is>
      </c>
      <c r="D127" s="10" t="inlineStr">
        <is>
          <t>High</t>
        </is>
      </c>
      <c r="E127" s="10" t="inlineStr">
        <is>
          <t>In Progress</t>
        </is>
      </c>
      <c r="F127" s="10" t="inlineStr">
        <is>
          <t>Support</t>
        </is>
      </c>
      <c r="G127" s="10" t="n"/>
      <c r="H127" s="10" t="inlineStr">
        <is>
          <t>P0-P3 severity with SLA due dates built; docs/roadmap/SIGNOFF_PACK_2026-10-23.md B-10</t>
        </is>
      </c>
      <c r="I127" s="10" t="inlineStr">
        <is>
          <t>SR2-06</t>
        </is>
      </c>
      <c r="J127" s="10" t="inlineStr">
        <is>
          <t>No</t>
        </is>
      </c>
      <c r="K127" s="10" t="inlineStr">
        <is>
          <t>Targets not signed.; 2026-10-24 A/B pass: Severity targets proposed (P0 2 h ... P3 2 business days). Awaiting founder signature.</t>
        </is>
      </c>
    </row>
    <row r="128">
      <c r="A128" s="9" t="inlineStr">
        <is>
          <t>BB-127</t>
        </is>
      </c>
      <c r="B128" s="10" t="inlineStr">
        <is>
          <t>Legal &amp; Business Operations</t>
        </is>
      </c>
      <c r="C128" s="10" t="inlineStr">
        <is>
          <t>Document customer data migration and offboarding</t>
        </is>
      </c>
      <c r="D128" s="10" t="inlineStr">
        <is>
          <t>High</t>
        </is>
      </c>
      <c r="E128" s="10" t="inlineStr">
        <is>
          <t>In Progress</t>
        </is>
      </c>
      <c r="F128" s="10" t="inlineStr">
        <is>
          <t>Operations</t>
        </is>
      </c>
      <c r="G128" s="10" t="n"/>
      <c r="H128" s="10" t="inlineStr">
        <is>
          <t>docs/ops/CUTOVER.md; readable export (DL1); erasure playbook</t>
        </is>
      </c>
      <c r="I128" s="10" t="n"/>
      <c r="J128" s="10" t="inlineStr">
        <is>
          <t>No</t>
        </is>
      </c>
      <c r="K128" s="10" t="inlineStr">
        <is>
          <t>Not exercised with a real customer.; 2026-10-23 review: Owners can now see and cancel a pending ownership transfer or staff recovery on Settings &gt; Users.</t>
        </is>
      </c>
    </row>
    <row r="129">
      <c r="A129" s="9" t="inlineStr">
        <is>
          <t>BB-128</t>
        </is>
      </c>
      <c r="B129" s="10" t="inlineStr">
        <is>
          <t>Legal &amp; Business Operations</t>
        </is>
      </c>
      <c r="C129" s="10" t="inlineStr">
        <is>
          <t>Define incident communication and notification procedures</t>
        </is>
      </c>
      <c r="D129" s="10" t="inlineStr">
        <is>
          <t>High</t>
        </is>
      </c>
      <c r="E129" s="10" t="inlineStr">
        <is>
          <t>Passed</t>
        </is>
      </c>
      <c r="F129" s="10" t="inlineStr">
        <is>
          <t>Operations</t>
        </is>
      </c>
      <c r="G129" s="10" t="n"/>
      <c r="H129" s="10" t="inlineStr">
        <is>
          <t>docs/ops/STATUS_COMMS.md (procedures + status page section); public status page from GlitchTip uptime monitors served by nginx at /status/ (no cookies, strict CSP), auto-created by deploy/glitchtip/bootstrap.py, test in test_error_tracker.py; verified on local staging 2026-10-24 (both monitors up); in-app announcement banners (CM3); breach-notice fields</t>
        </is>
      </c>
      <c r="I129" s="10" t="inlineStr">
        <is>
          <t>SR1-06</t>
        </is>
      </c>
      <c r="J129" s="10" t="inlineStr">
        <is>
          <t>No</t>
        </is>
      </c>
      <c r="K129" s="10" t="inlineStr">
        <is>
          <t>2026-10-24: closed. Goes public when the edge is deployed on the real domain.</t>
        </is>
      </c>
    </row>
    <row r="130">
      <c r="A130" s="9" t="inlineStr">
        <is>
          <t>BB-129</t>
        </is>
      </c>
      <c r="B130" s="10" t="inlineStr">
        <is>
          <t>Legal &amp; Business Operations</t>
        </is>
      </c>
      <c r="C130" s="10" t="inlineStr">
        <is>
          <t>Review applicable contractual obligations with a qualified professional</t>
        </is>
      </c>
      <c r="D130" s="10" t="inlineStr">
        <is>
          <t>High</t>
        </is>
      </c>
      <c r="E130" s="10" t="inlineStr">
        <is>
          <t>In Progress</t>
        </is>
      </c>
      <c r="F130" s="10" t="inlineStr">
        <is>
          <t>Legal</t>
        </is>
      </c>
      <c r="G130" s="10" t="n"/>
      <c r="H130" s="10" t="n"/>
      <c r="I130" s="10" t="inlineStr">
        <is>
          <t>HO-9</t>
        </is>
      </c>
      <c r="J130" s="10" t="inlineStr">
        <is>
          <t>No</t>
        </is>
      </c>
      <c r="K130" s="10" t="inlineStr">
        <is>
          <t>DPA and vendor contracts not reviewed by counsel.; 2026-10-24 (D-07): first drafts for counsel in docs/legal/drafts/ (terms, privacy policy, DPA), with sub-processors and open points listed. Counsel must rewrite and approve.; 2026-10-24: DPA first draft ready for counsel (docs/legal/drafts/DATA_PROCESSING_AGREEMENT_DRAFT.md); counsel review still needed.; 2026-10-25 (WP, LLM plan): Vendor contract checklist drafted (docs/legal/drafts/VENDOR_CONTRACT_CHECKLIST.md): 14 checks per launch vendor and our DPA promises mapped to vendor terms; SUBPROCESSORS.md now lists the AI provider, Google, Cloudflare, Telegram, identity check, AA, host. Left: vendor terms + counsel.</t>
        </is>
      </c>
    </row>
    <row r="131">
      <c r="A131" s="9" t="inlineStr">
        <is>
          <t>BB-130</t>
        </is>
      </c>
      <c r="B131" s="10" t="inlineStr">
        <is>
          <t>Sales, Marketing &amp; Go-to-Market</t>
        </is>
      </c>
      <c r="C131" s="10" t="inlineStr">
        <is>
          <t>Finalize positioning and value proposition</t>
        </is>
      </c>
      <c r="D131" s="10" t="inlineStr">
        <is>
          <t>High</t>
        </is>
      </c>
      <c r="E131" s="10" t="inlineStr">
        <is>
          <t>In Progress</t>
        </is>
      </c>
      <c r="F131" s="10" t="inlineStr">
        <is>
          <t>Marketing</t>
        </is>
      </c>
      <c r="G131" s="10" t="n"/>
      <c r="H131" s="10" t="inlineStr">
        <is>
          <t>docs/COMPETITIVE_ANALYSIS_BIZBOARD.md; GROWTH_OS_DECISIONS_2026-09-30.md; docs/roadmap/SIGNOFF_PACK_2026-10-23.md B-11</t>
        </is>
      </c>
      <c r="I131" s="10" t="n"/>
      <c r="J131" s="10" t="inlineStr">
        <is>
          <t>No</t>
        </is>
      </c>
      <c r="K131" s="10" t="inlineStr">
        <is>
          <t>Not finalised.; 2026-10-24 A/B pass: Positioning statement drafted. Awaiting founder signature.</t>
        </is>
      </c>
    </row>
    <row r="132">
      <c r="A132" s="9" t="inlineStr">
        <is>
          <t>BB-131</t>
        </is>
      </c>
      <c r="B132" s="10" t="inlineStr">
        <is>
          <t>Sales, Marketing &amp; Go-to-Market</t>
        </is>
      </c>
      <c r="C132" s="10" t="inlineStr">
        <is>
          <t>Complete competitor analysis</t>
        </is>
      </c>
      <c r="D132" s="10" t="inlineStr">
        <is>
          <t>Medium</t>
        </is>
      </c>
      <c r="E132" s="10" t="inlineStr">
        <is>
          <t>Passed</t>
        </is>
      </c>
      <c r="F132" s="10" t="inlineStr">
        <is>
          <t>Marketing</t>
        </is>
      </c>
      <c r="G132" s="10" t="n"/>
      <c r="H132" s="10" t="inlineStr">
        <is>
          <t>docs/COMPETITIVE_ANALYSIS_BIZBOARD.md (2026-09-22)</t>
        </is>
      </c>
      <c r="I132" s="10" t="n"/>
      <c r="J132" s="10" t="inlineStr">
        <is>
          <t>No</t>
        </is>
      </c>
      <c r="K132" s="10" t="inlineStr">
        <is>
          <t>Refresh before launch.</t>
        </is>
      </c>
    </row>
    <row r="133">
      <c r="A133" s="9" t="inlineStr">
        <is>
          <t>BB-132</t>
        </is>
      </c>
      <c r="B133" s="10" t="inlineStr">
        <is>
          <t>Sales, Marketing &amp; Go-to-Market</t>
        </is>
      </c>
      <c r="C133" s="10" t="inlineStr">
        <is>
          <t>Define customer segments and acquisition channels</t>
        </is>
      </c>
      <c r="D133" s="10" t="inlineStr">
        <is>
          <t>High</t>
        </is>
      </c>
      <c r="E133" s="10" t="inlineStr">
        <is>
          <t>In Progress</t>
        </is>
      </c>
      <c r="F133" s="10" t="inlineStr">
        <is>
          <t>Marketing</t>
        </is>
      </c>
      <c r="G133" s="10" t="n"/>
      <c r="H133" s="10" t="inlineStr">
        <is>
          <t>BUSINESS_ARCHETYPES_AND_PERSONAS.md; Growth OS 3 parallel pilots; docs/roadmap/SIGNOFF_PACK_2026-10-23.md B-12</t>
        </is>
      </c>
      <c r="I133" s="10" t="n"/>
      <c r="J133" s="10" t="inlineStr">
        <is>
          <t>No</t>
        </is>
      </c>
      <c r="K133" s="10" t="inlineStr">
        <is>
          <t>2026-10-24 A/B pass: Segments and channels drafted. Awaiting founder signature.</t>
        </is>
      </c>
    </row>
    <row r="134">
      <c r="A134" s="9" t="inlineStr">
        <is>
          <t>BB-133</t>
        </is>
      </c>
      <c r="B134" s="10" t="inlineStr">
        <is>
          <t>Sales, Marketing &amp; Go-to-Market</t>
        </is>
      </c>
      <c r="C134" s="10" t="inlineStr">
        <is>
          <t>Publish website and pricing page</t>
        </is>
      </c>
      <c r="D134" s="10" t="inlineStr">
        <is>
          <t>High</t>
        </is>
      </c>
      <c r="E134" s="10" t="inlineStr">
        <is>
          <t>In Progress</t>
        </is>
      </c>
      <c r="F134" s="10" t="inlineStr">
        <is>
          <t>Marketing</t>
        </is>
      </c>
      <c r="G134" s="10" t="n"/>
      <c r="H134" s="10" t="inlineStr">
        <is>
          <t>Public /limits page ready to link</t>
        </is>
      </c>
      <c r="I134" s="10" t="n"/>
      <c r="J134" s="10" t="inlineStr">
        <is>
          <t>No</t>
        </is>
      </c>
      <c r="K134" s="10" t="inlineStr">
        <is>
          <t>No website or pricing page yet.; 2026-10-25 (D-15): draft site and pricing page in site/ (English + Hindi home, noindex, prices marked draft); not published. Waits on signed prices, domain and approved legal pages.; 2026-10-25: pricing page now lists GST worksheets on every plan (D-16).</t>
        </is>
      </c>
    </row>
    <row r="135">
      <c r="A135" s="9" t="inlineStr">
        <is>
          <t>BB-134</t>
        </is>
      </c>
      <c r="B135" s="10" t="inlineStr">
        <is>
          <t>Sales, Marketing &amp; Go-to-Market</t>
        </is>
      </c>
      <c r="C135" s="10" t="inlineStr">
        <is>
          <t>Prepare product demo and onboarding material</t>
        </is>
      </c>
      <c r="D135" s="10" t="inlineStr">
        <is>
          <t>High</t>
        </is>
      </c>
      <c r="E135" s="10" t="inlineStr">
        <is>
          <t>Passed</t>
        </is>
      </c>
      <c r="F135" s="10" t="inlineStr">
        <is>
          <t>Marketing</t>
        </is>
      </c>
      <c r="G135" s="10" t="n"/>
      <c r="H135" s="10" t="inlineStr">
        <is>
          <t>seed_demo --with-activity (tests/test_seed_demo_activity.py); docs/onboarding/DEMO_SCRIPT.md</t>
        </is>
      </c>
      <c r="I135" s="10" t="n"/>
      <c r="J135" s="10" t="inlineStr">
        <is>
          <t>No</t>
        </is>
      </c>
      <c r="K135" s="10" t="inlineStr">
        <is>
          <t>Practice company with demo data deferred (G-04).; 2026-10-24 A/B pass: Demo company with 3 months of invoices, receipts (paid/part/unpaid) and a return; 20-minute demo script with honest answers. In-product practice company (G-04) stays deferred.</t>
        </is>
      </c>
    </row>
    <row r="136">
      <c r="A136" s="9" t="inlineStr">
        <is>
          <t>BB-135</t>
        </is>
      </c>
      <c r="B136" s="10" t="inlineStr">
        <is>
          <t>Sales, Marketing &amp; Go-to-Market</t>
        </is>
      </c>
      <c r="C136" s="10" t="inlineStr">
        <is>
          <t>Define pilot customer acceptance criteria</t>
        </is>
      </c>
      <c r="D136" s="10" t="inlineStr">
        <is>
          <t>Critical</t>
        </is>
      </c>
      <c r="E136" s="10" t="inlineStr">
        <is>
          <t>In Progress</t>
        </is>
      </c>
      <c r="F136" s="10" t="inlineStr">
        <is>
          <t>GTM</t>
        </is>
      </c>
      <c r="G136" s="10" t="n"/>
      <c r="H136" s="10" t="inlineStr">
        <is>
          <t>FULL_SPECTRUM_PERSONA_VALIDATION_PLAN.md; SR2 done-whens (zero unexplained recon, a day without an engineer); docs/roadmap/SIGNOFF_PACK_2026-10-23.md B-13</t>
        </is>
      </c>
      <c r="I136" s="10" t="n"/>
      <c r="J136" s="10" t="inlineStr">
        <is>
          <t>Yes</t>
        </is>
      </c>
      <c r="K136" s="10" t="inlineStr">
        <is>
          <t>Not agreed with pilot customers.; 2026-10-24 A/B pass: Six acceptance criteria drafted. Awaiting founder signature and pilot agreement.</t>
        </is>
      </c>
    </row>
    <row r="137">
      <c r="A137" s="9" t="inlineStr">
        <is>
          <t>BB-136</t>
        </is>
      </c>
      <c r="B137" s="10" t="inlineStr">
        <is>
          <t>Sales, Marketing &amp; Go-to-Market</t>
        </is>
      </c>
      <c r="C137" s="10" t="inlineStr">
        <is>
          <t>Establish customer feedback collection</t>
        </is>
      </c>
      <c r="D137" s="10" t="inlineStr">
        <is>
          <t>High</t>
        </is>
      </c>
      <c r="E137" s="10" t="inlineStr">
        <is>
          <t>Passed</t>
        </is>
      </c>
      <c r="F137" s="10" t="inlineStr">
        <is>
          <t>GTM</t>
        </is>
      </c>
      <c r="G137" s="10" t="n"/>
      <c r="H137" s="10" t="inlineStr">
        <is>
          <t>docs/ops/FEEDBACK_TRIAGE.md; in-app support tickets; NPS prompt + CSAT on resolved support requests behind ENABLE_SATISFACTION_SURVEY (off by default); staff read answers and NPS in Django admin; test_satisfaction_survey.py, NpsPrompt.test.tsx; verified live on local staging</t>
        </is>
      </c>
      <c r="I137" s="10" t="n"/>
      <c r="J137" s="10" t="inlineStr">
        <is>
          <t>No</t>
        </is>
      </c>
      <c r="K137" s="10" t="inlineStr">
        <is>
          <t>NPS/CSAT deferred (P-04).; 2026-10-24 (D-08): survey built, P-04 deferral lifted. Left: turn it on per company once pilots start.; 2026-10-24: closed - in-app NPS and support CSAT built and verified, answers in Django admin, triage in FEEDBACK_TRIAGE.md. Switch it on per company when pilots start.</t>
        </is>
      </c>
    </row>
    <row r="138">
      <c r="A138" s="9" t="inlineStr">
        <is>
          <t>BB-137</t>
        </is>
      </c>
      <c r="B138" s="10" t="inlineStr">
        <is>
          <t>Sales, Marketing &amp; Go-to-Market</t>
        </is>
      </c>
      <c r="C138" s="10" t="inlineStr">
        <is>
          <t>Define trial-to-paid conversion process</t>
        </is>
      </c>
      <c r="D138" s="10" t="inlineStr">
        <is>
          <t>High</t>
        </is>
      </c>
      <c r="E138" s="10" t="inlineStr">
        <is>
          <t>In Progress</t>
        </is>
      </c>
      <c r="F138" s="10" t="inlineStr">
        <is>
          <t>GTM</t>
        </is>
      </c>
      <c r="G138" s="10" t="n"/>
      <c r="H138" s="10" t="inlineStr">
        <is>
          <t>Trial expiry write-block; checkout; trial-to-paid metric; docs/roadmap/SIGNOFF_PACK_2026-10-23.md B-5</t>
        </is>
      </c>
      <c r="I138" s="10" t="inlineStr">
        <is>
          <t>HO-18</t>
        </is>
      </c>
      <c r="J138" s="10" t="inlineStr">
        <is>
          <t>No</t>
        </is>
      </c>
      <c r="K138" s="10" t="inlineStr">
        <is>
          <t>Process not signed.; 2026-10-24 A/B pass: Trial-to-paid process drafted (no automatic welcome email yet; founder sends). Awaiting founder signature.</t>
        </is>
      </c>
    </row>
    <row r="139">
      <c r="A139" s="9" t="inlineStr">
        <is>
          <t>BB-138</t>
        </is>
      </c>
      <c r="B139" s="10" t="inlineStr">
        <is>
          <t>Sales, Marketing &amp; Go-to-Market</t>
        </is>
      </c>
      <c r="C139" s="10" t="inlineStr">
        <is>
          <t>Track activation, retention, churn and support load</t>
        </is>
      </c>
      <c r="D139" s="10" t="inlineStr">
        <is>
          <t>High</t>
        </is>
      </c>
      <c r="E139" s="10" t="inlineStr">
        <is>
          <t>In Progress</t>
        </is>
      </c>
      <c r="F139" s="10" t="inlineStr">
        <is>
          <t>GTM</t>
        </is>
      </c>
      <c r="G139" s="10" t="n"/>
      <c r="H139" s="10" t="inlineStr">
        <is>
          <t>Tenant health score + /admin/ops/saas-metrics/ (activation, trial-to-paid, churn, NRR, tickets/100)</t>
        </is>
      </c>
      <c r="I139" s="10" t="n"/>
      <c r="J139" s="10" t="inlineStr">
        <is>
          <t>No</t>
        </is>
      </c>
      <c r="K139" s="10" t="inlineStr">
        <is>
          <t>Tooling built; no real tenants yet.; 2026-10-23 review: Fixed: metrics counted sandbox/erased companies; churn/NRR hidden for a month still running; per-company queries removed.</t>
        </is>
      </c>
    </row>
    <row r="140">
      <c r="A140" s="9" t="inlineStr">
        <is>
          <t>BB-139</t>
        </is>
      </c>
      <c r="B140" s="10" t="inlineStr">
        <is>
          <t>Sales, Marketing &amp; Go-to-Market</t>
        </is>
      </c>
      <c r="C140" s="10" t="inlineStr">
        <is>
          <t>Establish customer referral and feedback mechanism</t>
        </is>
      </c>
      <c r="D140" s="10" t="inlineStr">
        <is>
          <t>Medium</t>
        </is>
      </c>
      <c r="E140" s="10" t="inlineStr">
        <is>
          <t>Passed</t>
        </is>
      </c>
      <c r="F140" s="10" t="inlineStr">
        <is>
          <t>GTM</t>
        </is>
      </c>
      <c r="G140" s="10" t="n"/>
      <c r="H140" s="10" t="n"/>
      <c r="I140" s="10" t="n"/>
      <c r="J140" s="10" t="inlineStr">
        <is>
          <t>No</t>
        </is>
      </c>
      <c r="K140" s="10" t="inlineStr">
        <is>
          <t>Referral programme planned after launch (G-03).; 2026-10-23 ops pass: Deferred to after launch by plan (G-03); not a launch blocker.; 2026-10-24: feedback half done (NPS/CSAT, BB-136); referral programme still deferred to after launch (G-03).; 2026-10-25 (WP, LLM plan): Bizboard referral programme built behind ENABLE_SAAS_REFERRALS (off, D-19): link + WhatsApp share in Settings &gt; Billing, ?ref= on password and Google sign-up, daily qualification on paid activation, same-business and daily-cap guards, reward recorded only and settled by staff in admin (docs/ops/REFERRALS.md). RLS migration core 0074; test_saas_referrals.py 11 + 2 Postgres app-role tests pass. Feedback half done earlier (BB-136).</t>
        </is>
      </c>
    </row>
    <row r="141">
      <c r="A141" s="9" t="inlineStr">
        <is>
          <t>BB-140</t>
        </is>
      </c>
      <c r="B141" s="10" t="inlineStr">
        <is>
          <t>Final Launch Readiness</t>
        </is>
      </c>
      <c r="C141" s="10" t="inlineStr">
        <is>
          <t>Resolve all critical business logic defects</t>
        </is>
      </c>
      <c r="D141" s="10" t="inlineStr">
        <is>
          <t>Critical</t>
        </is>
      </c>
      <c r="E141" s="10" t="inlineStr">
        <is>
          <t>In Progress</t>
        </is>
      </c>
      <c r="F141" s="10" t="inlineStr">
        <is>
          <t>Launch</t>
        </is>
      </c>
      <c r="G141" s="10" t="n"/>
      <c r="H141" s="10" t="inlineStr">
        <is>
          <t>Review programmes fixed many critical defects (see handover section 4 and plan records); docs/roadmap/SAAS_FULL_PRODUCT_IMPLEMENTATION_PLAN_2026-10-22.md section 10</t>
        </is>
      </c>
      <c r="I141" s="10" t="inlineStr">
        <is>
          <t>QOS-0004; QOS-0097</t>
        </is>
      </c>
      <c r="J141" s="10" t="inlineStr">
        <is>
          <t>Yes</t>
        </is>
      </c>
      <c r="K141" s="10" t="inlineStr">
        <is>
          <t>CA sign-offs and real-user runs still open.; 2026-10-23 review: Deep review of the SaaS Phase 1+2 code: about 130 candidates, real ones fixed with tests.; 2026-10-24: quote/order GST total could differ from the invoice (BB-100 F1) - fixed for quotations, sales and purchase orders.</t>
        </is>
      </c>
    </row>
    <row r="142">
      <c r="A142" s="9" t="inlineStr">
        <is>
          <t>BB-141</t>
        </is>
      </c>
      <c r="B142" s="10" t="inlineStr">
        <is>
          <t>Final Launch Readiness</t>
        </is>
      </c>
      <c r="C142" s="10" t="inlineStr">
        <is>
          <t>Pass all critical end-to-end test scenarios</t>
        </is>
      </c>
      <c r="D142" s="10" t="inlineStr">
        <is>
          <t>Critical</t>
        </is>
      </c>
      <c r="E142" s="10" t="inlineStr">
        <is>
          <t>In Progress</t>
        </is>
      </c>
      <c r="F142" s="10" t="inlineStr">
        <is>
          <t>Launch</t>
        </is>
      </c>
      <c r="G142" s="10" t="n"/>
      <c r="H142" s="10" t="inlineStr">
        <is>
          <t>Golden e2e live pass; strict invariant lane</t>
        </is>
      </c>
      <c r="I142" s="10" t="inlineStr">
        <is>
          <t>SR0-01</t>
        </is>
      </c>
      <c r="J142" s="10" t="inlineStr">
        <is>
          <t>Yes</t>
        </is>
      </c>
      <c r="K142" s="10" t="inlineStr">
        <is>
          <t>Not on hosted staging; tree partly uncommitted.; 2026-10-25 (WP, LLM plan): CI half run locally (see BB-017). Left: commit + hosted staging.</t>
        </is>
      </c>
    </row>
    <row r="143">
      <c r="A143" s="9" t="inlineStr">
        <is>
          <t>BB-142</t>
        </is>
      </c>
      <c r="B143" s="10" t="inlineStr">
        <is>
          <t>Final Launch Readiness</t>
        </is>
      </c>
      <c r="C143" s="10" t="inlineStr">
        <is>
          <t>Pass financial and inventory reconciliation tests</t>
        </is>
      </c>
      <c r="D143" s="10" t="inlineStr">
        <is>
          <t>Critical</t>
        </is>
      </c>
      <c r="E143" s="10" t="inlineStr">
        <is>
          <t>In Progress</t>
        </is>
      </c>
      <c r="F143" s="10" t="inlineStr">
        <is>
          <t>Launch</t>
        </is>
      </c>
      <c r="G143" s="10" t="n"/>
      <c r="H143" s="10" t="inlineStr">
        <is>
          <t>GL parity invariants; restore drill sweep clean; docs/pilot/RECRUITMENT.md §6 (compare_trial_balance steps)</t>
        </is>
      </c>
      <c r="I143" s="10" t="inlineStr">
        <is>
          <t>HO-15</t>
        </is>
      </c>
      <c r="J143" s="10" t="inlineStr">
        <is>
          <t>Yes</t>
        </is>
      </c>
      <c r="K143" s="10" t="inlineStr">
        <is>
          <t>Parallel month with real pilots (compare_trial_balance) pending.; 2026-10-23 ops pass: Parallel-month procedure written; needs real pilots.</t>
        </is>
      </c>
    </row>
    <row r="144">
      <c r="A144" s="9" t="inlineStr">
        <is>
          <t>BB-143</t>
        </is>
      </c>
      <c r="B144" s="10" t="inlineStr">
        <is>
          <t>Final Launch Readiness</t>
        </is>
      </c>
      <c r="C144" s="10" t="inlineStr">
        <is>
          <t>Pass cross-tenant security tests</t>
        </is>
      </c>
      <c r="D144" s="10" t="inlineStr">
        <is>
          <t>Critical</t>
        </is>
      </c>
      <c r="E144" s="10" t="inlineStr">
        <is>
          <t>In Progress</t>
        </is>
      </c>
      <c r="F144" s="10" t="inlineStr">
        <is>
          <t>Launch</t>
        </is>
      </c>
      <c r="G144" s="10" t="n"/>
      <c r="H144" s="10" t="inlineStr">
        <is>
          <t>Tenancy + RLS suites pass on Postgres app role; test_saas_review_fixes_postgres.py</t>
        </is>
      </c>
      <c r="I144" s="10" t="inlineStr">
        <is>
          <t>SR1-02; HO-10</t>
        </is>
      </c>
      <c r="J144" s="10" t="inlineStr">
        <is>
          <t>Yes</t>
        </is>
      </c>
      <c r="K144" s="10" t="inlineStr">
        <is>
          <t>Hosted run and pentest pending.; 2026-10-23 review: Postgres-only RLS regressions from the review added.; 2026-10-24: Postgres-only suites (row-level security, concurrency, tenancy) re-run on a fresh local Postgres: 543 passed, 1 skipped. Still to run on the hosted database.; 2026-10-25 (WP, LLM plan): Same as BB-029 (local probe clean). Left: hosted run and pentest.</t>
        </is>
      </c>
    </row>
    <row r="145">
      <c r="A145" s="9" t="inlineStr">
        <is>
          <t>BB-144</t>
        </is>
      </c>
      <c r="B145" s="10" t="inlineStr">
        <is>
          <t>Final Launch Readiness</t>
        </is>
      </c>
      <c r="C145" s="10" t="inlineStr">
        <is>
          <t>Resolve all critical security vulnerabilities</t>
        </is>
      </c>
      <c r="D145" s="10" t="inlineStr">
        <is>
          <t>Critical</t>
        </is>
      </c>
      <c r="E145" s="10" t="inlineStr">
        <is>
          <t>Blocked</t>
        </is>
      </c>
      <c r="F145" s="10" t="inlineStr">
        <is>
          <t>Launch</t>
        </is>
      </c>
      <c r="G145" s="10" t="n"/>
      <c r="H145" s="10" t="inlineStr">
        <is>
          <t>CodeQL, Trivy, dependabot clean in CI</t>
        </is>
      </c>
      <c r="I145" s="10" t="inlineStr">
        <is>
          <t>HO-10</t>
        </is>
      </c>
      <c r="J145" s="10" t="inlineStr">
        <is>
          <t>Yes</t>
        </is>
      </c>
      <c r="K145" s="10" t="inlineStr">
        <is>
          <t>Independent pentest not done.; 2026-10-25 (WP, LLM plan): Local scan findings fixed (headers, JSON API errors, 3 high npm advisories: zod 4.6.7, follow-redirects 1.16.1, fast-uri 3.1.9; pip-audit clean). Left: pentest findings and their fixes.</t>
        </is>
      </c>
    </row>
    <row r="146">
      <c r="A146" s="9" t="inlineStr">
        <is>
          <t>BB-145</t>
        </is>
      </c>
      <c r="B146" s="10" t="inlineStr">
        <is>
          <t>Final Launch Readiness</t>
        </is>
      </c>
      <c r="C146" s="10" t="inlineStr">
        <is>
          <t>Verify successful backup restoration</t>
        </is>
      </c>
      <c r="D146" s="10" t="inlineStr">
        <is>
          <t>Critical</t>
        </is>
      </c>
      <c r="E146" s="10" t="inlineStr">
        <is>
          <t>In Progress</t>
        </is>
      </c>
      <c r="F146" s="10" t="inlineStr">
        <is>
          <t>Launch</t>
        </is>
      </c>
      <c r="G146" s="10" t="n"/>
      <c r="H146" s="10" t="inlineStr">
        <is>
          <t>Local restore drill PASS 2026-10-22</t>
        </is>
      </c>
      <c r="I146" s="10" t="inlineStr">
        <is>
          <t>HO-12</t>
        </is>
      </c>
      <c r="J146" s="10" t="inlineStr">
        <is>
          <t>Yes</t>
        </is>
      </c>
      <c r="K146" s="10" t="inlineStr">
        <is>
          <t>Hosted off-host drill pending.</t>
        </is>
      </c>
    </row>
    <row r="147">
      <c r="A147" s="9" t="inlineStr">
        <is>
          <t>BB-146</t>
        </is>
      </c>
      <c r="B147" s="10" t="inlineStr">
        <is>
          <t>Final Launch Readiness</t>
        </is>
      </c>
      <c r="C147" s="10" t="inlineStr">
        <is>
          <t>Verify production monitoring and alerts</t>
        </is>
      </c>
      <c r="D147" s="10" t="inlineStr">
        <is>
          <t>Critical</t>
        </is>
      </c>
      <c r="E147" s="10" t="inlineStr">
        <is>
          <t>In Progress</t>
        </is>
      </c>
      <c r="F147" s="10" t="inlineStr">
        <is>
          <t>Launch</t>
        </is>
      </c>
      <c r="G147" s="10" t="n"/>
      <c r="H147" s="10" t="inlineStr">
        <is>
          <t>Alert rules + runbooks built; GlitchTip error tracking + alerts live on local staging; on-call primary named</t>
        </is>
      </c>
      <c r="I147" s="10" t="inlineStr">
        <is>
          <t>HO-4; HO-5</t>
        </is>
      </c>
      <c r="J147" s="10" t="inlineStr">
        <is>
          <t>Yes</t>
        </is>
      </c>
      <c r="K147" s="10" t="inlineStr">
        <is>
          <t>No Sentry, metrics service or on-call.; 2026-10-23 ops pass: Error tracking, alerts and an on-call person now exist (local staging). Hosted verification and metrics service pending.</t>
        </is>
      </c>
    </row>
    <row r="148">
      <c r="A148" s="9" t="inlineStr">
        <is>
          <t>BB-147</t>
        </is>
      </c>
      <c r="B148" s="10" t="inlineStr">
        <is>
          <t>Final Launch Readiness</t>
        </is>
      </c>
      <c r="C148" s="10" t="inlineStr">
        <is>
          <t>Verify payment and subscription workflows</t>
        </is>
      </c>
      <c r="D148" s="10" t="inlineStr">
        <is>
          <t>Critical</t>
        </is>
      </c>
      <c r="E148" s="10" t="inlineStr">
        <is>
          <t>Blocked</t>
        </is>
      </c>
      <c r="F148" s="10" t="inlineStr">
        <is>
          <t>Launch</t>
        </is>
      </c>
      <c r="G148" s="10" t="n"/>
      <c r="H148" s="10" t="inlineStr">
        <is>
          <t>Billing flows tested in repo; 152 billing/gateway tests pass (mocked gateway)</t>
        </is>
      </c>
      <c r="I148" s="10" t="inlineStr">
        <is>
          <t>HO-18</t>
        </is>
      </c>
      <c r="J148" s="10" t="inlineStr">
        <is>
          <t>Yes</t>
        </is>
      </c>
      <c r="K148" s="10" t="inlineStr">
        <is>
          <t>Razorpay sandbox runs and live account pending.; 2026-10-23 ops pass: Sandbox runs skipped: no Razorpay test keys yet.</t>
        </is>
      </c>
    </row>
    <row r="149">
      <c r="A149" s="9" t="inlineStr">
        <is>
          <t>BB-148</t>
        </is>
      </c>
      <c r="B149" s="10" t="inlineStr">
        <is>
          <t>Final Launch Readiness</t>
        </is>
      </c>
      <c r="C149" s="10" t="inlineStr">
        <is>
          <t>Obtain pilot customer acceptance against agreed criteria</t>
        </is>
      </c>
      <c r="D149" s="10" t="inlineStr">
        <is>
          <t>High</t>
        </is>
      </c>
      <c r="E149" s="10" t="inlineStr">
        <is>
          <t>Not Started</t>
        </is>
      </c>
      <c r="F149" s="10" t="inlineStr">
        <is>
          <t>Launch</t>
        </is>
      </c>
      <c r="G149" s="10" t="n"/>
      <c r="H149" s="10" t="inlineStr">
        <is>
          <t>docs/pilot/RECRUITMENT.md §5-6</t>
        </is>
      </c>
      <c r="I149" s="10" t="inlineStr">
        <is>
          <t>HO-15</t>
        </is>
      </c>
      <c r="J149" s="10" t="inlineStr">
        <is>
          <t>No</t>
        </is>
      </c>
      <c r="K149" s="10" t="inlineStr">
        <is>
          <t>No pilots signed.; 2026-10-23 ops pass: Recruitment tracker and import + parallel-month procedure ready; no pilots signed.</t>
        </is>
      </c>
    </row>
    <row r="150">
      <c r="A150" s="9" t="inlineStr">
        <is>
          <t>BB-149</t>
        </is>
      </c>
      <c r="B150" s="10" t="inlineStr">
        <is>
          <t>Final Launch Readiness</t>
        </is>
      </c>
      <c r="C150" s="10" t="inlineStr">
        <is>
          <t>Confirm support, incident response and rollback readiness</t>
        </is>
      </c>
      <c r="D150" s="10" t="inlineStr">
        <is>
          <t>Critical</t>
        </is>
      </c>
      <c r="E150" s="10" t="inlineStr">
        <is>
          <t>In Progress</t>
        </is>
      </c>
      <c r="F150" s="10" t="inlineStr">
        <is>
          <t>Launch</t>
        </is>
      </c>
      <c r="G150" s="10" t="n"/>
      <c r="H150" s="10" t="inlineStr">
        <is>
          <t>Runbooks: INCIDENT_RESPONSE, HYPERCARE, ONCALL_ROSTER (template), rollback workflow; ONCALL_ROSTER.md (primary named)</t>
        </is>
      </c>
      <c r="I150" s="10" t="inlineStr">
        <is>
          <t>HO-5; SR1-09</t>
        </is>
      </c>
      <c r="J150" s="10" t="inlineStr">
        <is>
          <t>Yes</t>
        </is>
      </c>
      <c r="K150" s="10" t="inlineStr">
        <is>
          <t>On-call not named; rollback drill not done.; 2026-10-23 ops pass: On-call primary named; no backup. Rollback drill still not done.; 2026-10-25 (WP, LLM plan): Rollback drill on local staging: 142 s back, 133 s forward; alerts verified. Left: on-call backup, host drill.</t>
        </is>
      </c>
    </row>
    <row r="151">
      <c r="A151" s="9" t="inlineStr">
        <is>
          <t>BB-150</t>
        </is>
      </c>
      <c r="B151" s="10" t="inlineStr">
        <is>
          <t>Final Launch Readiness</t>
        </is>
      </c>
      <c r="C151" s="10" t="inlineStr">
        <is>
          <t>Document launch approval and known-risk register</t>
        </is>
      </c>
      <c r="D151" s="10" t="inlineStr">
        <is>
          <t>High</t>
        </is>
      </c>
      <c r="E151" s="10" t="inlineStr">
        <is>
          <t>In Progress</t>
        </is>
      </c>
      <c r="F151" s="10" t="inlineStr">
        <is>
          <t>Launch</t>
        </is>
      </c>
      <c r="G151" s="10" t="n"/>
      <c r="H151" s="10" t="inlineStr">
        <is>
          <t>docs/ops/RISK_REGISTER.md; SAAS_READINESS_HANDOVER_2026-10-22.md; docs/ops/RISK_REGISTER.md (refreshed, 18 risks + 12-gate launch approval sheet)</t>
        </is>
      </c>
      <c r="I151" s="10" t="n"/>
      <c r="J151" s="10" t="inlineStr">
        <is>
          <t>No</t>
        </is>
      </c>
      <c r="K151" s="10" t="inlineStr">
        <is>
          <t>Launch approval not given.; 2026-10-24 A/B pass: Register refreshed and launch approval sheet added. Awaiting founder decisions per risk and signature.</t>
        </is>
      </c>
    </row>
  </sheetData>
  <autoFilter ref="A1:K151"/>
  <conditionalFormatting sqref="E2:E151">
    <cfRule type="expression" priority="1" dxfId="0">
      <formula>E2="Passed"</formula>
    </cfRule>
    <cfRule type="expression" priority="2" dxfId="1">
      <formula>E2="Blocked"</formula>
    </cfRule>
    <cfRule type="expression" priority="3" dxfId="2">
      <formula>E2="In Progress"</formula>
    </cfRule>
  </conditionalFormatting>
  <conditionalFormatting sqref="D2:D151">
    <cfRule type="expression" priority="4" dxfId="1">
      <formula>D2="Critical"</formula>
    </cfRule>
  </conditionalFormatting>
  <dataValidations count="3">
    <dataValidation sqref="E2:E151" showDropDown="0" showInputMessage="0" showErrorMessage="0" allowBlank="0" type="list">
      <formula1>"Not Started,In Progress,Blocked,Passed,Accepted Risk"</formula1>
    </dataValidation>
    <dataValidation sqref="D2:D151" showDropDown="0" showInputMessage="0" showErrorMessage="0" allowBlank="0" type="list">
      <formula1>"Critical,High,Medium,Low"</formula1>
    </dataValidation>
    <dataValidation sqref="J2:J151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1" t="inlineStr">
        <is>
          <t>HOW TO USE THIS WORKBOOK</t>
        </is>
      </c>
    </row>
    <row r="2">
      <c r="A2" s="3" t="inlineStr">
        <is>
          <t>Topic</t>
        </is>
      </c>
      <c r="B2" s="3" t="inlineStr">
        <is>
          <t>Guidance</t>
        </is>
      </c>
      <c r="C2" s="3" t="n"/>
      <c r="D2" s="3" t="n"/>
    </row>
    <row r="3">
      <c r="A3" s="10" t="inlineStr">
        <is>
          <t>Purpose</t>
        </is>
      </c>
      <c r="B3" s="10" t="inlineStr">
        <is>
          <t>Track Bizboard's readiness to operate as a secure, reliable SaaS product.</t>
        </is>
      </c>
      <c r="C3" s="10" t="n"/>
      <c r="D3" s="10" t="n"/>
    </row>
    <row r="4">
      <c r="A4" s="10" t="inlineStr">
        <is>
          <t>Update status</t>
        </is>
      </c>
      <c r="B4" s="10" t="inlineStr">
        <is>
          <t>Use the dropdown in the Status column: Not Started, In Progress, Blocked, Passed, Accepted Risk.</t>
        </is>
      </c>
      <c r="C4" s="10" t="n"/>
      <c r="D4" s="10" t="n"/>
    </row>
    <row r="5">
      <c r="A5" s="10" t="inlineStr">
        <is>
          <t>Evidence</t>
        </is>
      </c>
      <c r="B5" s="10" t="inlineStr">
        <is>
          <t>For every Passed item, add a test ID, deployment record, screenshot, review note or other verifiable evidence.</t>
        </is>
      </c>
      <c r="C5" s="10" t="n"/>
      <c r="D5" s="10" t="n"/>
    </row>
    <row r="6">
      <c r="A6" s="10" t="inlineStr">
        <is>
          <t>Critical items</t>
        </is>
      </c>
      <c r="B6" s="10" t="inlineStr">
        <is>
          <t>Critical items are proposed release blockers. Do not mark them Passed without verification.</t>
        </is>
      </c>
      <c r="C6" s="10" t="n"/>
      <c r="D6" s="10" t="n"/>
    </row>
    <row r="7">
      <c r="A7" s="10" t="inlineStr">
        <is>
          <t>Ownership</t>
        </is>
      </c>
      <c r="B7" s="10" t="inlineStr">
        <is>
          <t>Assign an accountable owner for each item. One person may own multiple items.</t>
        </is>
      </c>
      <c r="C7" s="10" t="n"/>
      <c r="D7" s="10" t="n"/>
    </row>
    <row r="8">
      <c r="A8" s="10" t="inlineStr">
        <is>
          <t>Dates</t>
        </is>
      </c>
      <c r="B8" s="10" t="inlineStr">
        <is>
          <t>Fill Target Date only after agreeing a realistic plan.</t>
        </is>
      </c>
      <c r="C8" s="10" t="n"/>
      <c r="D8" s="10" t="n"/>
    </row>
    <row r="9">
      <c r="A9" s="10" t="inlineStr">
        <is>
          <t>Risks</t>
        </is>
      </c>
      <c r="B9" s="10" t="inlineStr">
        <is>
          <t>Use Defect / Risk ID and Notes to link the item to the bug tracker or risk register.</t>
        </is>
      </c>
      <c r="C9" s="10" t="n"/>
      <c r="D9" s="10" t="n"/>
    </row>
    <row r="10">
      <c r="A10" s="10" t="inlineStr">
        <is>
          <t>Launch decision</t>
        </is>
      </c>
      <c r="B10" s="10" t="inlineStr">
        <is>
          <t>Use the checklist as a gate, not just a completion percentage. A high percentage does not override a failed critical security or data-integrity item.</t>
        </is>
      </c>
      <c r="C10" s="10" t="n"/>
      <c r="D10" s="10" t="n"/>
    </row>
    <row r="11">
      <c r="A11" s="10" t="inlineStr">
        <is>
          <t>Scope note</t>
        </is>
      </c>
      <c r="B11" s="10" t="inlineStr">
        <is>
          <t>Some integrations and compliance tasks are conditional on the features Bizboard actually offers and the applicable rules.</t>
        </is>
      </c>
      <c r="C11" s="10" t="n"/>
      <c r="D11" s="10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2026-10-22T14:23:01Z</dcterms:created>
  <dcterms:modified xsi:type="dcterms:W3CDTF">2026-10-25T16:50:52Z</dcterms:modified>
</cp:coreProperties>
</file>