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AppData\Local\Temp\"/>
    </mc:Choice>
  </mc:AlternateContent>
  <xr:revisionPtr revIDLastSave="0" documentId="8_{0A40C507-9571-4753-8D04-3EBB61D1BF6B}" xr6:coauthVersionLast="47" xr6:coauthVersionMax="47" xr10:uidLastSave="{00000000-0000-0000-0000-000000000000}"/>
  <bookViews>
    <workbookView xWindow="-110" yWindow="-110" windowWidth="19420" windowHeight="10300" xr2:uid="{00000000-000D-0000-FFFF-FFFF00000000}"/>
  </bookViews>
  <sheets>
    <sheet name="Truth snapshot" sheetId="1" r:id="rId1"/>
    <sheet name="Founder view" sheetId="2" r:id="rId2"/>
    <sheet name="Pilot readiness" sheetId="3" r:id="rId3"/>
    <sheet name="P0 gap decisions" sheetId="4" r:id="rId4"/>
    <sheet name="MVP scope after review" sheetId="5" r:id="rId5"/>
    <sheet name="Plan guide" sheetId="6" r:id="rId6"/>
    <sheet name="Plan decisions" sheetId="7" r:id="rId7"/>
    <sheet name="Implementation plan" sheetId="8" r:id="rId8"/>
    <sheet name="Plan rollup" sheetId="9" r:id="rId9"/>
    <sheet name="Plan by week" sheetId="10" r:id="rId10"/>
    <sheet name="Plan milestones" sheetId="11" r:id="rId11"/>
    <sheet name="Plan change log" sheetId="12" r:id="rId12"/>
    <sheet name="Code review 2026-10-05" sheetId="13" r:id="rId13"/>
    <sheet name="Weekly snapshot" sheetId="14" r:id="rId14"/>
    <sheet name="How to read" sheetId="15" r:id="rId15"/>
    <sheet name="Review findings" sheetId="16" r:id="rId16"/>
    <sheet name="Review disposition" sheetId="17" r:id="rId17"/>
    <sheet name="Duplicate proposals" sheetId="18" r:id="rId18"/>
    <sheet name="OS architecture" sheetId="19" r:id="rId19"/>
    <sheet name="Business events" sheetId="20" r:id="rId20"/>
    <sheet name="State machines" sheetId="21" r:id="rId21"/>
    <sheet name="Business integrity" sheetId="22" r:id="rId22"/>
    <sheet name="Failure and recovery" sheetId="23" r:id="rId23"/>
    <sheet name="Concurrency" sheetId="24" r:id="rId24"/>
    <sheet name="Security assurance" sheetId="25" r:id="rId25"/>
    <sheet name="Integration reliability" sheetId="26" r:id="rId26"/>
    <sheet name="Performance SLA" sheetId="27" r:id="rId27"/>
    <sheet name="Customer evidence" sheetId="28" r:id="rId28"/>
    <sheet name="Capability evidence" sheetId="29" r:id="rId29"/>
    <sheet name="OS readiness" sheetId="30" r:id="rId30"/>
    <sheet name="Coverage Dashboard" sheetId="31" r:id="rId31"/>
    <sheet name="Priority re-tier" sheetId="32" r:id="rId32"/>
    <sheet name="Task Register" sheetId="33" r:id="rId33"/>
    <sheet name="Flows" sheetId="34" r:id="rId34"/>
    <sheet name="Persona Coverage" sheetId="35" r:id="rId35"/>
    <sheet name="Role rollup" sheetId="36" r:id="rId36"/>
    <sheet name="Scope inventory" sheetId="37" r:id="rId37"/>
    <sheet name="Competitive" sheetId="38" r:id="rId38"/>
    <sheet name="UX and recovery" sheetId="39" r:id="rId39"/>
    <sheet name="Security and SaaS" sheetId="40" r:id="rId40"/>
    <sheet name="Priority decisions" sheetId="41" r:id="rId41"/>
  </sheets>
  <definedNames>
    <definedName name="_xlnm._FilterDatabase" localSheetId="12" hidden="1">'Code review 2026-10-05'!$A$4:$F$73</definedName>
    <definedName name="_xlnm._FilterDatabase" localSheetId="37" hidden="1">Competitive!$A$3:$F$15</definedName>
    <definedName name="_xlnm._FilterDatabase" localSheetId="33" hidden="1">Flows!$A$3:$G$30</definedName>
    <definedName name="_xlnm._FilterDatabase" localSheetId="7" hidden="1">'Implementation plan'!$A$4:$AJ$72</definedName>
    <definedName name="_xlnm._FilterDatabase" localSheetId="34" hidden="1">'Persona Coverage'!$A$3:$H$23</definedName>
    <definedName name="_xlnm._FilterDatabase" localSheetId="6" hidden="1">'Plan decisions'!$A$4:$G$67</definedName>
    <definedName name="_xlnm._FilterDatabase" localSheetId="40" hidden="1">'Priority decisions'!$A$3:$F$63</definedName>
    <definedName name="_xlnm._FilterDatabase" localSheetId="36" hidden="1">'Scope inventory'!$A$3:$C$76</definedName>
    <definedName name="_xlnm._FilterDatabase" localSheetId="39" hidden="1">'Security and SaaS'!$A$3:$F$12</definedName>
    <definedName name="_xlnm._FilterDatabase" localSheetId="38" hidden="1">'UX and recovery'!$A$3:$F$13</definedName>
    <definedName name="_xlnm.Print_Titles" localSheetId="19">'Business events'!$3:$3</definedName>
    <definedName name="_xlnm.Print_Titles" localSheetId="21">'Business integrity'!$3:$3</definedName>
    <definedName name="_xlnm.Print_Titles" localSheetId="28">'Capability evidence'!$3:$3</definedName>
    <definedName name="_xlnm.Print_Titles" localSheetId="37">Competitive!$3:$3</definedName>
    <definedName name="_xlnm.Print_Titles" localSheetId="23">Concurrency!$3:$3</definedName>
    <definedName name="_xlnm.Print_Titles" localSheetId="27">'Customer evidence'!$3:$3</definedName>
    <definedName name="_xlnm.Print_Titles" localSheetId="22">'Failure and recovery'!$3:$3</definedName>
    <definedName name="_xlnm.Print_Titles" localSheetId="33">Flows!$3:$3</definedName>
    <definedName name="_xlnm.Print_Titles" localSheetId="25">'Integration reliability'!$3:$3</definedName>
    <definedName name="_xlnm.Print_Titles" localSheetId="26">'Performance SLA'!$3:$3</definedName>
    <definedName name="_xlnm.Print_Titles" localSheetId="34">'Persona Coverage'!$3:$3</definedName>
    <definedName name="_xlnm.Print_Titles" localSheetId="40">'Priority decisions'!$3:$3</definedName>
    <definedName name="_xlnm.Print_Titles" localSheetId="16">'Review disposition'!$3:$3</definedName>
    <definedName name="_xlnm.Print_Titles" localSheetId="15">'Review findings'!$3:$3</definedName>
    <definedName name="_xlnm.Print_Titles" localSheetId="36">'Scope inventory'!$3:$3</definedName>
    <definedName name="_xlnm.Print_Titles" localSheetId="39">'Security and SaaS'!$3:$3</definedName>
    <definedName name="_xlnm.Print_Titles" localSheetId="24">'Security assurance'!$3:$3</definedName>
    <definedName name="_xlnm.Print_Titles" localSheetId="20">'State machines'!$3:$3</definedName>
    <definedName name="_xlnm.Print_Titles" localSheetId="32">'Task Register'!$1:$1</definedName>
    <definedName name="_xlnm.Print_Titles" localSheetId="38">'UX and recovery'!$3:$3</definedName>
    <definedName name="_xlnm.Print_Titles" localSheetId="13">'Weekly snapshot'!$3:$3</definedName>
  </definedNames>
  <calcPr calcId="191029"/>
</workbook>
</file>

<file path=xl/calcChain.xml><?xml version="1.0" encoding="utf-8"?>
<calcChain xmlns="http://schemas.openxmlformats.org/spreadsheetml/2006/main">
  <c r="C77" i="37" l="1"/>
  <c r="C76" i="37"/>
  <c r="C75" i="37"/>
  <c r="C74" i="37"/>
  <c r="C73" i="37"/>
  <c r="C72" i="37"/>
  <c r="C71" i="37"/>
  <c r="C70" i="37"/>
  <c r="C69" i="37"/>
  <c r="C68" i="37"/>
  <c r="C67" i="37"/>
  <c r="C66" i="37"/>
  <c r="C65" i="37"/>
  <c r="C64" i="37"/>
  <c r="C63" i="37"/>
  <c r="C62" i="37"/>
  <c r="C61" i="37"/>
  <c r="C60" i="37"/>
  <c r="C59" i="37"/>
  <c r="C58" i="37"/>
  <c r="C57" i="37"/>
  <c r="C56" i="37"/>
  <c r="C55" i="37"/>
  <c r="C54" i="37"/>
  <c r="C53" i="37"/>
  <c r="C52" i="37"/>
  <c r="C51" i="37"/>
  <c r="C50" i="37"/>
  <c r="C49" i="37"/>
  <c r="C48" i="37"/>
  <c r="C47" i="37"/>
  <c r="C46" i="37"/>
  <c r="C45" i="37"/>
  <c r="C44" i="37"/>
  <c r="C43" i="37"/>
  <c r="C42" i="37"/>
  <c r="C41" i="37"/>
  <c r="C40" i="37"/>
  <c r="C39" i="37"/>
  <c r="C38" i="37"/>
  <c r="C37" i="37"/>
  <c r="C36" i="37"/>
  <c r="C35" i="37"/>
  <c r="C34" i="37"/>
  <c r="C33" i="37"/>
  <c r="C32" i="37"/>
  <c r="C31" i="37"/>
  <c r="C30" i="37"/>
  <c r="C29" i="37"/>
  <c r="C28" i="37"/>
  <c r="C27" i="37"/>
  <c r="C26" i="37"/>
  <c r="C25" i="37"/>
  <c r="C24" i="37"/>
  <c r="C23" i="37"/>
  <c r="C22" i="37"/>
  <c r="C21" i="37"/>
  <c r="C20" i="37"/>
  <c r="C19" i="37"/>
  <c r="C18" i="37"/>
  <c r="C17" i="37"/>
  <c r="C16" i="37"/>
  <c r="C15" i="37"/>
  <c r="C14" i="37"/>
  <c r="C13" i="37"/>
  <c r="C12" i="37"/>
  <c r="C11" i="37"/>
  <c r="C10" i="37"/>
  <c r="C9" i="37"/>
  <c r="C8" i="37"/>
  <c r="C7" i="37"/>
  <c r="C6" i="37"/>
  <c r="C5" i="37"/>
  <c r="C4" i="37"/>
  <c r="F21" i="36"/>
  <c r="E21" i="36"/>
  <c r="D21" i="36"/>
  <c r="C21" i="36"/>
  <c r="B21" i="36"/>
  <c r="F20" i="36"/>
  <c r="E20" i="36"/>
  <c r="D20" i="36"/>
  <c r="C20" i="36"/>
  <c r="B20" i="36"/>
  <c r="F19" i="36"/>
  <c r="E19" i="36"/>
  <c r="D19" i="36"/>
  <c r="C19" i="36"/>
  <c r="B19" i="36"/>
  <c r="F18" i="36"/>
  <c r="E18" i="36"/>
  <c r="D18" i="36"/>
  <c r="C18" i="36"/>
  <c r="B18" i="36"/>
  <c r="F17" i="36"/>
  <c r="E17" i="36"/>
  <c r="D17" i="36"/>
  <c r="C17" i="36"/>
  <c r="B17" i="36"/>
  <c r="F16" i="36"/>
  <c r="E16" i="36"/>
  <c r="D16" i="36"/>
  <c r="C16" i="36"/>
  <c r="B16" i="36"/>
  <c r="F15" i="36"/>
  <c r="E15" i="36"/>
  <c r="D15" i="36"/>
  <c r="C15" i="36"/>
  <c r="B15" i="36"/>
  <c r="F14" i="36"/>
  <c r="E14" i="36"/>
  <c r="D14" i="36"/>
  <c r="C14" i="36"/>
  <c r="B14" i="36"/>
  <c r="F13" i="36"/>
  <c r="E13" i="36"/>
  <c r="D13" i="36"/>
  <c r="C13" i="36"/>
  <c r="B13" i="36"/>
  <c r="F12" i="36"/>
  <c r="E12" i="36"/>
  <c r="D12" i="36"/>
  <c r="C12" i="36"/>
  <c r="B12" i="36"/>
  <c r="F11" i="36"/>
  <c r="E11" i="36"/>
  <c r="D11" i="36"/>
  <c r="C11" i="36"/>
  <c r="B11" i="36"/>
  <c r="F10" i="36"/>
  <c r="E10" i="36"/>
  <c r="D10" i="36"/>
  <c r="C10" i="36"/>
  <c r="B10" i="36"/>
  <c r="F9" i="36"/>
  <c r="E9" i="36"/>
  <c r="D9" i="36"/>
  <c r="C9" i="36"/>
  <c r="B9" i="36"/>
  <c r="F8" i="36"/>
  <c r="E8" i="36"/>
  <c r="D8" i="36"/>
  <c r="C8" i="36"/>
  <c r="B8" i="36"/>
  <c r="F7" i="36"/>
  <c r="E7" i="36"/>
  <c r="D7" i="36"/>
  <c r="C7" i="36"/>
  <c r="B7" i="36"/>
  <c r="F6" i="36"/>
  <c r="E6" i="36"/>
  <c r="D6" i="36"/>
  <c r="C6" i="36"/>
  <c r="B6" i="36"/>
  <c r="F5" i="36"/>
  <c r="E5" i="36"/>
  <c r="D5" i="36"/>
  <c r="C5" i="36"/>
  <c r="B5" i="36"/>
  <c r="F4" i="36"/>
  <c r="E4" i="36"/>
  <c r="D4" i="36"/>
  <c r="C4" i="36"/>
  <c r="B4" i="36"/>
  <c r="C23" i="35"/>
  <c r="E23" i="35" s="1"/>
  <c r="C22" i="35"/>
  <c r="E22" i="35" s="1"/>
  <c r="C21" i="35"/>
  <c r="E21" i="35" s="1"/>
  <c r="C20" i="35"/>
  <c r="E20" i="35" s="1"/>
  <c r="C19" i="35"/>
  <c r="E19" i="35" s="1"/>
  <c r="C18" i="35"/>
  <c r="E18" i="35" s="1"/>
  <c r="C17" i="35"/>
  <c r="E17" i="35" s="1"/>
  <c r="C16" i="35"/>
  <c r="E16" i="35" s="1"/>
  <c r="C13" i="35"/>
  <c r="E13" i="35" s="1"/>
  <c r="E12" i="35"/>
  <c r="C12" i="35"/>
  <c r="C11" i="35"/>
  <c r="E11" i="35" s="1"/>
  <c r="C10" i="35"/>
  <c r="E10" i="35" s="1"/>
  <c r="C9" i="35"/>
  <c r="E9" i="35" s="1"/>
  <c r="C8" i="35"/>
  <c r="E8" i="35" s="1"/>
  <c r="C7" i="35"/>
  <c r="E7" i="35" s="1"/>
  <c r="C6" i="35"/>
  <c r="E6" i="35" s="1"/>
  <c r="C5" i="35"/>
  <c r="E5" i="35" s="1"/>
  <c r="E4" i="35"/>
  <c r="C4" i="35"/>
  <c r="D30" i="34"/>
  <c r="D29" i="34"/>
  <c r="D28" i="34"/>
  <c r="D27" i="34"/>
  <c r="D26" i="34"/>
  <c r="D25" i="34"/>
  <c r="D24" i="34"/>
  <c r="D23" i="34"/>
  <c r="D22" i="34"/>
  <c r="D21" i="34"/>
  <c r="D20" i="34"/>
  <c r="D19" i="34"/>
  <c r="D18" i="34"/>
  <c r="D17" i="34"/>
  <c r="D16" i="34"/>
  <c r="D15" i="34"/>
  <c r="D14" i="34"/>
  <c r="D13" i="34"/>
  <c r="D12" i="34"/>
  <c r="D11" i="34"/>
  <c r="D10" i="34"/>
  <c r="D9" i="34"/>
  <c r="D8" i="34"/>
  <c r="D7" i="34"/>
  <c r="D6" i="34"/>
  <c r="D5" i="34"/>
  <c r="D4" i="34"/>
  <c r="AL771" i="33"/>
  <c r="Z771" i="33" s="1"/>
  <c r="AI771" i="33"/>
  <c r="AL770" i="33"/>
  <c r="Z770" i="33" s="1"/>
  <c r="AI770" i="33"/>
  <c r="AL769" i="33"/>
  <c r="AI769" i="33"/>
  <c r="Z769" i="33"/>
  <c r="AL768" i="33"/>
  <c r="Z768" i="33" s="1"/>
  <c r="AI768" i="33"/>
  <c r="AL767" i="33"/>
  <c r="Z767" i="33" s="1"/>
  <c r="AI767" i="33"/>
  <c r="AL766" i="33"/>
  <c r="Z766" i="33" s="1"/>
  <c r="AI766" i="33"/>
  <c r="AL765" i="33"/>
  <c r="Z765" i="33" s="1"/>
  <c r="AI765" i="33"/>
  <c r="AL764" i="33"/>
  <c r="Z764" i="33" s="1"/>
  <c r="AI764" i="33"/>
  <c r="AL763" i="33"/>
  <c r="Z763" i="33" s="1"/>
  <c r="AI763" i="33"/>
  <c r="AL762" i="33"/>
  <c r="AI762" i="33"/>
  <c r="Z762" i="33"/>
  <c r="AL761" i="33"/>
  <c r="AI761" i="33"/>
  <c r="Z761" i="33"/>
  <c r="AL760" i="33"/>
  <c r="Z760" i="33" s="1"/>
  <c r="AI760" i="33"/>
  <c r="AL759" i="33"/>
  <c r="AI759" i="33"/>
  <c r="Z759" i="33"/>
  <c r="AL758" i="33"/>
  <c r="Z758" i="33" s="1"/>
  <c r="AI758" i="33"/>
  <c r="AL757" i="33"/>
  <c r="Z757" i="33" s="1"/>
  <c r="AI757" i="33"/>
  <c r="AL756" i="33"/>
  <c r="Z756" i="33" s="1"/>
  <c r="AI756" i="33"/>
  <c r="AL755" i="33"/>
  <c r="Z755" i="33" s="1"/>
  <c r="AI755" i="33"/>
  <c r="AL754" i="33"/>
  <c r="AI754" i="33"/>
  <c r="Z754" i="33"/>
  <c r="AL753" i="33"/>
  <c r="AI753" i="33"/>
  <c r="Z753" i="33"/>
  <c r="AL752" i="33"/>
  <c r="Z752" i="33" s="1"/>
  <c r="AI752" i="33"/>
  <c r="AL751" i="33"/>
  <c r="AI751" i="33"/>
  <c r="Z751" i="33"/>
  <c r="AL750" i="33"/>
  <c r="Z750" i="33" s="1"/>
  <c r="AI750" i="33"/>
  <c r="AL749" i="33"/>
  <c r="Z749" i="33" s="1"/>
  <c r="AI749" i="33"/>
  <c r="AL748" i="33"/>
  <c r="Z748" i="33" s="1"/>
  <c r="AI748" i="33"/>
  <c r="AL747" i="33"/>
  <c r="Z747" i="33" s="1"/>
  <c r="AI747" i="33"/>
  <c r="AL746" i="33"/>
  <c r="AI746" i="33"/>
  <c r="Z746" i="33"/>
  <c r="AL745" i="33"/>
  <c r="Z745" i="33" s="1"/>
  <c r="AI745" i="33"/>
  <c r="AL744" i="33"/>
  <c r="Z744" i="33" s="1"/>
  <c r="AI744" i="33"/>
  <c r="AL743" i="33"/>
  <c r="AI743" i="33"/>
  <c r="Z743" i="33"/>
  <c r="AL742" i="33"/>
  <c r="Z742" i="33" s="1"/>
  <c r="AI742" i="33"/>
  <c r="AL741" i="33"/>
  <c r="Z741" i="33" s="1"/>
  <c r="AI741" i="33"/>
  <c r="AL740" i="33"/>
  <c r="Z740" i="33" s="1"/>
  <c r="AI740" i="33"/>
  <c r="AL739" i="33"/>
  <c r="AI739" i="33"/>
  <c r="Z739" i="33"/>
  <c r="AL738" i="33"/>
  <c r="AI738" i="33"/>
  <c r="Z738" i="33"/>
  <c r="AL737" i="33"/>
  <c r="Z737" i="33" s="1"/>
  <c r="AI737" i="33"/>
  <c r="AL736" i="33"/>
  <c r="Z736" i="33" s="1"/>
  <c r="AI736" i="33"/>
  <c r="AL735" i="33"/>
  <c r="AI735" i="33"/>
  <c r="Z735" i="33"/>
  <c r="AL734" i="33"/>
  <c r="Z734" i="33" s="1"/>
  <c r="AI734" i="33"/>
  <c r="AL733" i="33"/>
  <c r="Z733" i="33" s="1"/>
  <c r="AI733" i="33"/>
  <c r="AL732" i="33"/>
  <c r="Z732" i="33" s="1"/>
  <c r="AI732" i="33"/>
  <c r="AL731" i="33"/>
  <c r="Z731" i="33" s="1"/>
  <c r="AI731" i="33"/>
  <c r="AL730" i="33"/>
  <c r="Z730" i="33" s="1"/>
  <c r="AI730" i="33"/>
  <c r="AL729" i="33"/>
  <c r="Z729" i="33" s="1"/>
  <c r="AI729" i="33"/>
  <c r="AL728" i="33"/>
  <c r="Z728" i="33" s="1"/>
  <c r="AI728" i="33"/>
  <c r="AL727" i="33"/>
  <c r="Z727" i="33" s="1"/>
  <c r="AI727" i="33"/>
  <c r="AL726" i="33"/>
  <c r="Z726" i="33" s="1"/>
  <c r="AI726" i="33"/>
  <c r="AL725" i="33"/>
  <c r="Z725" i="33" s="1"/>
  <c r="AI725" i="33"/>
  <c r="AL724" i="33"/>
  <c r="Z724" i="33" s="1"/>
  <c r="AI724" i="33"/>
  <c r="AL723" i="33"/>
  <c r="AI723" i="33"/>
  <c r="Z723" i="33"/>
  <c r="AL722" i="33"/>
  <c r="Z722" i="33" s="1"/>
  <c r="AI722" i="33"/>
  <c r="AL721" i="33"/>
  <c r="Z721" i="33" s="1"/>
  <c r="AI721" i="33"/>
  <c r="AL720" i="33"/>
  <c r="Z720" i="33" s="1"/>
  <c r="AI720" i="33"/>
  <c r="AL719" i="33"/>
  <c r="Z719" i="33" s="1"/>
  <c r="AI719" i="33"/>
  <c r="AL718" i="33"/>
  <c r="Z718" i="33" s="1"/>
  <c r="AI718" i="33"/>
  <c r="AL717" i="33"/>
  <c r="Z717" i="33" s="1"/>
  <c r="AI717" i="33"/>
  <c r="AL716" i="33"/>
  <c r="Z716" i="33" s="1"/>
  <c r="AI716" i="33"/>
  <c r="AL715" i="33"/>
  <c r="Z715" i="33" s="1"/>
  <c r="AI715" i="33"/>
  <c r="AL714" i="33"/>
  <c r="Z714" i="33" s="1"/>
  <c r="AI714" i="33"/>
  <c r="AL713" i="33"/>
  <c r="AI713" i="33"/>
  <c r="Z713" i="33"/>
  <c r="AL712" i="33"/>
  <c r="Z712" i="33" s="1"/>
  <c r="AI712" i="33"/>
  <c r="AL711" i="33"/>
  <c r="Z711" i="33" s="1"/>
  <c r="AI711" i="33"/>
  <c r="AL710" i="33"/>
  <c r="Z710" i="33" s="1"/>
  <c r="AI710" i="33"/>
  <c r="AL709" i="33"/>
  <c r="Z709" i="33" s="1"/>
  <c r="AI709" i="33"/>
  <c r="AL708" i="33"/>
  <c r="Z708" i="33" s="1"/>
  <c r="AI708" i="33"/>
  <c r="AL707" i="33"/>
  <c r="Z707" i="33" s="1"/>
  <c r="AI707" i="33"/>
  <c r="AL706" i="33"/>
  <c r="Z706" i="33" s="1"/>
  <c r="AI706" i="33"/>
  <c r="AL705" i="33"/>
  <c r="AI705" i="33"/>
  <c r="Z705" i="33"/>
  <c r="AL704" i="33"/>
  <c r="Z704" i="33" s="1"/>
  <c r="AI704" i="33"/>
  <c r="AL703" i="33"/>
  <c r="Z703" i="33" s="1"/>
  <c r="AI703" i="33"/>
  <c r="AL702" i="33"/>
  <c r="Z702" i="33" s="1"/>
  <c r="AI702" i="33"/>
  <c r="AL701" i="33"/>
  <c r="Z701" i="33" s="1"/>
  <c r="AI701" i="33"/>
  <c r="AL700" i="33"/>
  <c r="Z700" i="33" s="1"/>
  <c r="AI700" i="33"/>
  <c r="AL699" i="33"/>
  <c r="Z699" i="33" s="1"/>
  <c r="AI699" i="33"/>
  <c r="AL698" i="33"/>
  <c r="AI698" i="33"/>
  <c r="Z698" i="33"/>
  <c r="AL697" i="33"/>
  <c r="AI697" i="33"/>
  <c r="Z697" i="33"/>
  <c r="AL696" i="33"/>
  <c r="Z696" i="33" s="1"/>
  <c r="AI696" i="33"/>
  <c r="AL695" i="33"/>
  <c r="AI695" i="33"/>
  <c r="Z695" i="33"/>
  <c r="AL694" i="33"/>
  <c r="Z694" i="33" s="1"/>
  <c r="AI694" i="33"/>
  <c r="AL693" i="33"/>
  <c r="Z693" i="33" s="1"/>
  <c r="AI693" i="33"/>
  <c r="AL692" i="33"/>
  <c r="Z692" i="33" s="1"/>
  <c r="AI692" i="33"/>
  <c r="AL691" i="33"/>
  <c r="Z691" i="33" s="1"/>
  <c r="AI691" i="33"/>
  <c r="AL690" i="33"/>
  <c r="AI690" i="33"/>
  <c r="Z690" i="33"/>
  <c r="AL689" i="33"/>
  <c r="AI689" i="33"/>
  <c r="Z689" i="33"/>
  <c r="AL688" i="33"/>
  <c r="Z688" i="33" s="1"/>
  <c r="AI688" i="33"/>
  <c r="AL687" i="33"/>
  <c r="AI687" i="33"/>
  <c r="Z687" i="33"/>
  <c r="AL686" i="33"/>
  <c r="Z686" i="33" s="1"/>
  <c r="AI686" i="33"/>
  <c r="AL685" i="33"/>
  <c r="Z685" i="33" s="1"/>
  <c r="AI685" i="33"/>
  <c r="AL684" i="33"/>
  <c r="Z684" i="33" s="1"/>
  <c r="AI684" i="33"/>
  <c r="AL683" i="33"/>
  <c r="Z683" i="33" s="1"/>
  <c r="AI683" i="33"/>
  <c r="AL682" i="33"/>
  <c r="AI682" i="33"/>
  <c r="Z682" i="33"/>
  <c r="AL681" i="33"/>
  <c r="Z681" i="33" s="1"/>
  <c r="AI681" i="33"/>
  <c r="AL680" i="33"/>
  <c r="Z680" i="33" s="1"/>
  <c r="AI680" i="33"/>
  <c r="AL679" i="33"/>
  <c r="AI679" i="33"/>
  <c r="Z679" i="33"/>
  <c r="AL678" i="33"/>
  <c r="Z678" i="33" s="1"/>
  <c r="AI678" i="33"/>
  <c r="AL677" i="33"/>
  <c r="Z677" i="33" s="1"/>
  <c r="AI677" i="33"/>
  <c r="AL676" i="33"/>
  <c r="Z676" i="33" s="1"/>
  <c r="AI676" i="33"/>
  <c r="AL675" i="33"/>
  <c r="AI675" i="33"/>
  <c r="Z675" i="33"/>
  <c r="AL674" i="33"/>
  <c r="AI674" i="33"/>
  <c r="Z674" i="33"/>
  <c r="AL673" i="33"/>
  <c r="Z673" i="33" s="1"/>
  <c r="AI673" i="33"/>
  <c r="AL672" i="33"/>
  <c r="Z672" i="33" s="1"/>
  <c r="AI672" i="33"/>
  <c r="AL671" i="33"/>
  <c r="AI671" i="33"/>
  <c r="Z671" i="33"/>
  <c r="AL670" i="33"/>
  <c r="Z670" i="33" s="1"/>
  <c r="AI670" i="33"/>
  <c r="AL669" i="33"/>
  <c r="Z669" i="33" s="1"/>
  <c r="AI669" i="33"/>
  <c r="AL668" i="33"/>
  <c r="Z668" i="33" s="1"/>
  <c r="AI668" i="33"/>
  <c r="AL667" i="33"/>
  <c r="Z667" i="33" s="1"/>
  <c r="AI667" i="33"/>
  <c r="AL666" i="33"/>
  <c r="Z666" i="33" s="1"/>
  <c r="AI666" i="33"/>
  <c r="AL665" i="33"/>
  <c r="Z665" i="33" s="1"/>
  <c r="AI665" i="33"/>
  <c r="AL664" i="33"/>
  <c r="Z664" i="33" s="1"/>
  <c r="AI664" i="33"/>
  <c r="AL663" i="33"/>
  <c r="Z663" i="33" s="1"/>
  <c r="AI663" i="33"/>
  <c r="AL662" i="33"/>
  <c r="Z662" i="33" s="1"/>
  <c r="AI662" i="33"/>
  <c r="AL661" i="33"/>
  <c r="Z661" i="33" s="1"/>
  <c r="AI661" i="33"/>
  <c r="AL660" i="33"/>
  <c r="Z660" i="33" s="1"/>
  <c r="AI660" i="33"/>
  <c r="AL659" i="33"/>
  <c r="AI659" i="33"/>
  <c r="Z659" i="33"/>
  <c r="AL658" i="33"/>
  <c r="Z658" i="33" s="1"/>
  <c r="AI658" i="33"/>
  <c r="AL657" i="33"/>
  <c r="Z657" i="33" s="1"/>
  <c r="AI657" i="33"/>
  <c r="AL656" i="33"/>
  <c r="Z656" i="33" s="1"/>
  <c r="AI656" i="33"/>
  <c r="AL655" i="33"/>
  <c r="Z655" i="33" s="1"/>
  <c r="AI655" i="33"/>
  <c r="AL654" i="33"/>
  <c r="Z654" i="33" s="1"/>
  <c r="AI654" i="33"/>
  <c r="AL653" i="33"/>
  <c r="Z653" i="33" s="1"/>
  <c r="AI653" i="33"/>
  <c r="AL652" i="33"/>
  <c r="Z652" i="33" s="1"/>
  <c r="AI652" i="33"/>
  <c r="AL651" i="33"/>
  <c r="Z651" i="33" s="1"/>
  <c r="AI651" i="33"/>
  <c r="AL650" i="33"/>
  <c r="Z650" i="33" s="1"/>
  <c r="AI650" i="33"/>
  <c r="AL649" i="33"/>
  <c r="AI649" i="33"/>
  <c r="Z649" i="33"/>
  <c r="AL648" i="33"/>
  <c r="Z648" i="33" s="1"/>
  <c r="AI648" i="33"/>
  <c r="AL647" i="33"/>
  <c r="Z647" i="33" s="1"/>
  <c r="AI647" i="33"/>
  <c r="AL646" i="33"/>
  <c r="Z646" i="33" s="1"/>
  <c r="AI646" i="33"/>
  <c r="AL645" i="33"/>
  <c r="Z645" i="33" s="1"/>
  <c r="AI645" i="33"/>
  <c r="AL644" i="33"/>
  <c r="Z644" i="33" s="1"/>
  <c r="AI644" i="33"/>
  <c r="AL643" i="33"/>
  <c r="Z643" i="33" s="1"/>
  <c r="AI643" i="33"/>
  <c r="AL642" i="33"/>
  <c r="Z642" i="33" s="1"/>
  <c r="AI642" i="33"/>
  <c r="AL641" i="33"/>
  <c r="AI641" i="33"/>
  <c r="Z641" i="33"/>
  <c r="AL640" i="33"/>
  <c r="Z640" i="33" s="1"/>
  <c r="AI640" i="33"/>
  <c r="AL639" i="33"/>
  <c r="Z639" i="33" s="1"/>
  <c r="AI639" i="33"/>
  <c r="AL638" i="33"/>
  <c r="Z638" i="33" s="1"/>
  <c r="AI638" i="33"/>
  <c r="AL637" i="33"/>
  <c r="Z637" i="33" s="1"/>
  <c r="AI637" i="33"/>
  <c r="AL636" i="33"/>
  <c r="Z636" i="33" s="1"/>
  <c r="AI636" i="33"/>
  <c r="AL635" i="33"/>
  <c r="Z635" i="33" s="1"/>
  <c r="AI635" i="33"/>
  <c r="AL634" i="33"/>
  <c r="AI634" i="33"/>
  <c r="Z634" i="33"/>
  <c r="AL633" i="33"/>
  <c r="AI633" i="33"/>
  <c r="Z633" i="33"/>
  <c r="AL632" i="33"/>
  <c r="Z632" i="33" s="1"/>
  <c r="AI632" i="33"/>
  <c r="AL631" i="33"/>
  <c r="AI631" i="33"/>
  <c r="Z631" i="33"/>
  <c r="AL630" i="33"/>
  <c r="Z630" i="33" s="1"/>
  <c r="AI630" i="33"/>
  <c r="AL629" i="33"/>
  <c r="Z629" i="33" s="1"/>
  <c r="AI629" i="33"/>
  <c r="AL628" i="33"/>
  <c r="Z628" i="33" s="1"/>
  <c r="AI628" i="33"/>
  <c r="AL627" i="33"/>
  <c r="Z627" i="33" s="1"/>
  <c r="AI627" i="33"/>
  <c r="AL626" i="33"/>
  <c r="AI626" i="33"/>
  <c r="Z626" i="33"/>
  <c r="AL625" i="33"/>
  <c r="AI625" i="33"/>
  <c r="Z625" i="33"/>
  <c r="AL624" i="33"/>
  <c r="Z624" i="33" s="1"/>
  <c r="AI624" i="33"/>
  <c r="AL623" i="33"/>
  <c r="AI623" i="33"/>
  <c r="Z623" i="33"/>
  <c r="AL622" i="33"/>
  <c r="Z622" i="33" s="1"/>
  <c r="AI622" i="33"/>
  <c r="AL621" i="33"/>
  <c r="Z621" i="33" s="1"/>
  <c r="AI621" i="33"/>
  <c r="AL620" i="33"/>
  <c r="Z620" i="33" s="1"/>
  <c r="AI620" i="33"/>
  <c r="AL619" i="33"/>
  <c r="Z619" i="33" s="1"/>
  <c r="AI619" i="33"/>
  <c r="AL618" i="33"/>
  <c r="AI618" i="33"/>
  <c r="Z618" i="33"/>
  <c r="AL617" i="33"/>
  <c r="Z617" i="33" s="1"/>
  <c r="AI617" i="33"/>
  <c r="AL616" i="33"/>
  <c r="Z616" i="33" s="1"/>
  <c r="AI616" i="33"/>
  <c r="AL615" i="33"/>
  <c r="AI615" i="33"/>
  <c r="Z615" i="33"/>
  <c r="AL614" i="33"/>
  <c r="Z614" i="33" s="1"/>
  <c r="AI614" i="33"/>
  <c r="AL613" i="33"/>
  <c r="Z613" i="33" s="1"/>
  <c r="AI613" i="33"/>
  <c r="AL612" i="33"/>
  <c r="Z612" i="33" s="1"/>
  <c r="AI612" i="33"/>
  <c r="AL611" i="33"/>
  <c r="AI611" i="33"/>
  <c r="Z611" i="33"/>
  <c r="AL610" i="33"/>
  <c r="AI610" i="33"/>
  <c r="Z610" i="33"/>
  <c r="AL609" i="33"/>
  <c r="Z609" i="33" s="1"/>
  <c r="AI609" i="33"/>
  <c r="AL608" i="33"/>
  <c r="Z608" i="33" s="1"/>
  <c r="AI608" i="33"/>
  <c r="AL607" i="33"/>
  <c r="AI607" i="33"/>
  <c r="Z607" i="33"/>
  <c r="AL606" i="33"/>
  <c r="Z606" i="33" s="1"/>
  <c r="AI606" i="33"/>
  <c r="AL605" i="33"/>
  <c r="Z605" i="33" s="1"/>
  <c r="AI605" i="33"/>
  <c r="AL604" i="33"/>
  <c r="Z604" i="33" s="1"/>
  <c r="AI604" i="33"/>
  <c r="AL603" i="33"/>
  <c r="Z603" i="33" s="1"/>
  <c r="AI603" i="33"/>
  <c r="AL602" i="33"/>
  <c r="Z602" i="33" s="1"/>
  <c r="AI602" i="33"/>
  <c r="AL601" i="33"/>
  <c r="Z601" i="33" s="1"/>
  <c r="AI601" i="33"/>
  <c r="AL600" i="33"/>
  <c r="Z600" i="33" s="1"/>
  <c r="AI600" i="33"/>
  <c r="AL599" i="33"/>
  <c r="Z599" i="33" s="1"/>
  <c r="AI599" i="33"/>
  <c r="AL598" i="33"/>
  <c r="Z598" i="33" s="1"/>
  <c r="AI598" i="33"/>
  <c r="AL597" i="33"/>
  <c r="Z597" i="33" s="1"/>
  <c r="AI597" i="33"/>
  <c r="AL596" i="33"/>
  <c r="Z596" i="33" s="1"/>
  <c r="AI596" i="33"/>
  <c r="AL595" i="33"/>
  <c r="AI595" i="33"/>
  <c r="Z595" i="33"/>
  <c r="AL594" i="33"/>
  <c r="Z594" i="33" s="1"/>
  <c r="AI594" i="33"/>
  <c r="AL593" i="33"/>
  <c r="Z593" i="33" s="1"/>
  <c r="AI593" i="33"/>
  <c r="AL592" i="33"/>
  <c r="Z592" i="33" s="1"/>
  <c r="AI592" i="33"/>
  <c r="AL591" i="33"/>
  <c r="Z591" i="33" s="1"/>
  <c r="AI591" i="33"/>
  <c r="AL590" i="33"/>
  <c r="Z590" i="33" s="1"/>
  <c r="AI590" i="33"/>
  <c r="AL589" i="33"/>
  <c r="Z589" i="33" s="1"/>
  <c r="AI589" i="33"/>
  <c r="AL588" i="33"/>
  <c r="Z588" i="33" s="1"/>
  <c r="AI588" i="33"/>
  <c r="AL587" i="33"/>
  <c r="Z587" i="33" s="1"/>
  <c r="AI587" i="33"/>
  <c r="AL586" i="33"/>
  <c r="Z586" i="33" s="1"/>
  <c r="AI586" i="33"/>
  <c r="AL585" i="33"/>
  <c r="AI585" i="33"/>
  <c r="Z585" i="33"/>
  <c r="AL584" i="33"/>
  <c r="Z584" i="33" s="1"/>
  <c r="AI584" i="33"/>
  <c r="AL583" i="33"/>
  <c r="Z583" i="33" s="1"/>
  <c r="AI583" i="33"/>
  <c r="AL582" i="33"/>
  <c r="Z582" i="33" s="1"/>
  <c r="AI582" i="33"/>
  <c r="AL581" i="33"/>
  <c r="Z581" i="33" s="1"/>
  <c r="AI581" i="33"/>
  <c r="AL580" i="33"/>
  <c r="Z580" i="33" s="1"/>
  <c r="AI580" i="33"/>
  <c r="AL579" i="33"/>
  <c r="Z579" i="33" s="1"/>
  <c r="AI579" i="33"/>
  <c r="AL578" i="33"/>
  <c r="Z578" i="33" s="1"/>
  <c r="AI578" i="33"/>
  <c r="AL577" i="33"/>
  <c r="AI577" i="33"/>
  <c r="Z577" i="33"/>
  <c r="AL576" i="33"/>
  <c r="Z576" i="33" s="1"/>
  <c r="AI576" i="33"/>
  <c r="AL575" i="33"/>
  <c r="Z575" i="33" s="1"/>
  <c r="AI575" i="33"/>
  <c r="AL574" i="33"/>
  <c r="Z574" i="33" s="1"/>
  <c r="AI574" i="33"/>
  <c r="AL573" i="33"/>
  <c r="Z573" i="33" s="1"/>
  <c r="AI573" i="33"/>
  <c r="AL572" i="33"/>
  <c r="Z572" i="33" s="1"/>
  <c r="AI572" i="33"/>
  <c r="AL571" i="33"/>
  <c r="Z571" i="33" s="1"/>
  <c r="AI571" i="33"/>
  <c r="AL570" i="33"/>
  <c r="AI570" i="33"/>
  <c r="Z570" i="33"/>
  <c r="AL569" i="33"/>
  <c r="AI569" i="33"/>
  <c r="Z569" i="33"/>
  <c r="AL568" i="33"/>
  <c r="Z568" i="33" s="1"/>
  <c r="AI568" i="33"/>
  <c r="AL567" i="33"/>
  <c r="AI567" i="33"/>
  <c r="Z567" i="33"/>
  <c r="AL566" i="33"/>
  <c r="Z566" i="33" s="1"/>
  <c r="AI566" i="33"/>
  <c r="AL565" i="33"/>
  <c r="Z565" i="33" s="1"/>
  <c r="AI565" i="33"/>
  <c r="AL564" i="33"/>
  <c r="Z564" i="33" s="1"/>
  <c r="AI564" i="33"/>
  <c r="AL563" i="33"/>
  <c r="Z563" i="33" s="1"/>
  <c r="AI563" i="33"/>
  <c r="AL562" i="33"/>
  <c r="AI562" i="33"/>
  <c r="Z562" i="33"/>
  <c r="AL561" i="33"/>
  <c r="AI561" i="33"/>
  <c r="Z561" i="33"/>
  <c r="AL560" i="33"/>
  <c r="Z560" i="33" s="1"/>
  <c r="AI560" i="33"/>
  <c r="AL559" i="33"/>
  <c r="AI559" i="33"/>
  <c r="Z559" i="33"/>
  <c r="AL558" i="33"/>
  <c r="Z558" i="33" s="1"/>
  <c r="AI558" i="33"/>
  <c r="AL557" i="33"/>
  <c r="Z557" i="33" s="1"/>
  <c r="AI557" i="33"/>
  <c r="AL556" i="33"/>
  <c r="Z556" i="33" s="1"/>
  <c r="AI556" i="33"/>
  <c r="AL555" i="33"/>
  <c r="Z555" i="33" s="1"/>
  <c r="AI555" i="33"/>
  <c r="AL554" i="33"/>
  <c r="AI554" i="33"/>
  <c r="Z554" i="33"/>
  <c r="AL553" i="33"/>
  <c r="Z553" i="33" s="1"/>
  <c r="AI553" i="33"/>
  <c r="AL552" i="33"/>
  <c r="Z552" i="33" s="1"/>
  <c r="AI552" i="33"/>
  <c r="AL551" i="33"/>
  <c r="AI551" i="33"/>
  <c r="Z551" i="33"/>
  <c r="AL550" i="33"/>
  <c r="Z550" i="33" s="1"/>
  <c r="AI550" i="33"/>
  <c r="AL549" i="33"/>
  <c r="Z549" i="33" s="1"/>
  <c r="AI549" i="33"/>
  <c r="AL548" i="33"/>
  <c r="Z548" i="33" s="1"/>
  <c r="AI548" i="33"/>
  <c r="AL547" i="33"/>
  <c r="AI547" i="33"/>
  <c r="Z547" i="33"/>
  <c r="AL546" i="33"/>
  <c r="AI546" i="33"/>
  <c r="Z546" i="33"/>
  <c r="AL545" i="33"/>
  <c r="Z545" i="33" s="1"/>
  <c r="AI545" i="33"/>
  <c r="AL544" i="33"/>
  <c r="Z544" i="33" s="1"/>
  <c r="AI544" i="33"/>
  <c r="AL543" i="33"/>
  <c r="AI543" i="33"/>
  <c r="Z543" i="33"/>
  <c r="AL542" i="33"/>
  <c r="Z542" i="33" s="1"/>
  <c r="AI542" i="33"/>
  <c r="AL541" i="33"/>
  <c r="Z541" i="33" s="1"/>
  <c r="AI541" i="33"/>
  <c r="AL540" i="33"/>
  <c r="Z540" i="33" s="1"/>
  <c r="AI540" i="33"/>
  <c r="AL539" i="33"/>
  <c r="Z539" i="33" s="1"/>
  <c r="AI539" i="33"/>
  <c r="AL538" i="33"/>
  <c r="Z538" i="33" s="1"/>
  <c r="AI538" i="33"/>
  <c r="AL537" i="33"/>
  <c r="Z537" i="33" s="1"/>
  <c r="AI537" i="33"/>
  <c r="AL536" i="33"/>
  <c r="Z536" i="33" s="1"/>
  <c r="AI536" i="33"/>
  <c r="AL535" i="33"/>
  <c r="Z535" i="33" s="1"/>
  <c r="AI535" i="33"/>
  <c r="AL534" i="33"/>
  <c r="Z534" i="33" s="1"/>
  <c r="AI534" i="33"/>
  <c r="AL533" i="33"/>
  <c r="Z533" i="33" s="1"/>
  <c r="AI533" i="33"/>
  <c r="AL532" i="33"/>
  <c r="Z532" i="33" s="1"/>
  <c r="AI532" i="33"/>
  <c r="AL531" i="33"/>
  <c r="AI531" i="33"/>
  <c r="Z531" i="33"/>
  <c r="AL530" i="33"/>
  <c r="Z530" i="33" s="1"/>
  <c r="AI530" i="33"/>
  <c r="AL529" i="33"/>
  <c r="Z529" i="33" s="1"/>
  <c r="AI529" i="33"/>
  <c r="AL528" i="33"/>
  <c r="Z528" i="33" s="1"/>
  <c r="AI528" i="33"/>
  <c r="AL527" i="33"/>
  <c r="Z527" i="33" s="1"/>
  <c r="AI527" i="33"/>
  <c r="AL526" i="33"/>
  <c r="Z526" i="33" s="1"/>
  <c r="AI526" i="33"/>
  <c r="AL525" i="33"/>
  <c r="Z525" i="33" s="1"/>
  <c r="AI525" i="33"/>
  <c r="AL524" i="33"/>
  <c r="Z524" i="33" s="1"/>
  <c r="AI524" i="33"/>
  <c r="AL523" i="33"/>
  <c r="Z523" i="33" s="1"/>
  <c r="AI523" i="33"/>
  <c r="AL522" i="33"/>
  <c r="Z522" i="33" s="1"/>
  <c r="AI522" i="33"/>
  <c r="AL521" i="33"/>
  <c r="AI521" i="33"/>
  <c r="Z521" i="33"/>
  <c r="AL520" i="33"/>
  <c r="Z520" i="33" s="1"/>
  <c r="AI520" i="33"/>
  <c r="AL519" i="33"/>
  <c r="Z519" i="33" s="1"/>
  <c r="AI519" i="33"/>
  <c r="AL518" i="33"/>
  <c r="Z518" i="33" s="1"/>
  <c r="AI518" i="33"/>
  <c r="AL517" i="33"/>
  <c r="Z517" i="33" s="1"/>
  <c r="AI517" i="33"/>
  <c r="AL516" i="33"/>
  <c r="Z516" i="33" s="1"/>
  <c r="AI516" i="33"/>
  <c r="AL515" i="33"/>
  <c r="Z515" i="33" s="1"/>
  <c r="AI515" i="33"/>
  <c r="AL514" i="33"/>
  <c r="Z514" i="33" s="1"/>
  <c r="AI514" i="33"/>
  <c r="AL513" i="33"/>
  <c r="AI513" i="33"/>
  <c r="Z513" i="33"/>
  <c r="AL512" i="33"/>
  <c r="Z512" i="33" s="1"/>
  <c r="AI512" i="33"/>
  <c r="AL511" i="33"/>
  <c r="Z511" i="33" s="1"/>
  <c r="AI511" i="33"/>
  <c r="AL510" i="33"/>
  <c r="Z510" i="33" s="1"/>
  <c r="AI510" i="33"/>
  <c r="AL509" i="33"/>
  <c r="Z509" i="33" s="1"/>
  <c r="AI509" i="33"/>
  <c r="AL508" i="33"/>
  <c r="Z508" i="33" s="1"/>
  <c r="AI508" i="33"/>
  <c r="AL507" i="33"/>
  <c r="Z507" i="33" s="1"/>
  <c r="AI507" i="33"/>
  <c r="AL506" i="33"/>
  <c r="AI506" i="33"/>
  <c r="Z506" i="33"/>
  <c r="AL505" i="33"/>
  <c r="AI505" i="33"/>
  <c r="Z505" i="33"/>
  <c r="AL504" i="33"/>
  <c r="Z504" i="33" s="1"/>
  <c r="AI504" i="33"/>
  <c r="AL503" i="33"/>
  <c r="AI503" i="33"/>
  <c r="Z503" i="33"/>
  <c r="AL502" i="33"/>
  <c r="Z502" i="33" s="1"/>
  <c r="AI502" i="33"/>
  <c r="AL501" i="33"/>
  <c r="Z501" i="33" s="1"/>
  <c r="AI501" i="33"/>
  <c r="AL500" i="33"/>
  <c r="Z500" i="33" s="1"/>
  <c r="AI500" i="33"/>
  <c r="AL499" i="33"/>
  <c r="Z499" i="33" s="1"/>
  <c r="AI499" i="33"/>
  <c r="AL498" i="33"/>
  <c r="AI498" i="33"/>
  <c r="Z498" i="33"/>
  <c r="AL497" i="33"/>
  <c r="AI497" i="33"/>
  <c r="Z497" i="33"/>
  <c r="AL496" i="33"/>
  <c r="Z496" i="33" s="1"/>
  <c r="AI496" i="33"/>
  <c r="AL495" i="33"/>
  <c r="AI495" i="33"/>
  <c r="Z495" i="33"/>
  <c r="AL494" i="33"/>
  <c r="Z494" i="33" s="1"/>
  <c r="AI494" i="33"/>
  <c r="AL493" i="33"/>
  <c r="Z493" i="33" s="1"/>
  <c r="AI493" i="33"/>
  <c r="AL492" i="33"/>
  <c r="Z492" i="33" s="1"/>
  <c r="AI492" i="33"/>
  <c r="AL491" i="33"/>
  <c r="Z491" i="33" s="1"/>
  <c r="AI491" i="33"/>
  <c r="AL490" i="33"/>
  <c r="AI490" i="33"/>
  <c r="Z490" i="33"/>
  <c r="AL489" i="33"/>
  <c r="Z489" i="33" s="1"/>
  <c r="AI489" i="33"/>
  <c r="AL488" i="33"/>
  <c r="Z488" i="33" s="1"/>
  <c r="AI488" i="33"/>
  <c r="AL487" i="33"/>
  <c r="AI487" i="33"/>
  <c r="Z487" i="33"/>
  <c r="AL486" i="33"/>
  <c r="Z486" i="33" s="1"/>
  <c r="AI486" i="33"/>
  <c r="AL485" i="33"/>
  <c r="Z485" i="33" s="1"/>
  <c r="AI485" i="33"/>
  <c r="AL484" i="33"/>
  <c r="Z484" i="33" s="1"/>
  <c r="AI484" i="33"/>
  <c r="AL483" i="33"/>
  <c r="AI483" i="33"/>
  <c r="Z483" i="33"/>
  <c r="AL482" i="33"/>
  <c r="AI482" i="33"/>
  <c r="Z482" i="33"/>
  <c r="AL481" i="33"/>
  <c r="Z481" i="33" s="1"/>
  <c r="AI481" i="33"/>
  <c r="AL480" i="33"/>
  <c r="Z480" i="33" s="1"/>
  <c r="AI480" i="33"/>
  <c r="AL479" i="33"/>
  <c r="AI479" i="33"/>
  <c r="Z479" i="33"/>
  <c r="AL478" i="33"/>
  <c r="Z478" i="33" s="1"/>
  <c r="AI478" i="33"/>
  <c r="AL477" i="33"/>
  <c r="Z477" i="33" s="1"/>
  <c r="AI477" i="33"/>
  <c r="AL476" i="33"/>
  <c r="Z476" i="33" s="1"/>
  <c r="AI476" i="33"/>
  <c r="AL475" i="33"/>
  <c r="Z475" i="33" s="1"/>
  <c r="AI475" i="33"/>
  <c r="AL474" i="33"/>
  <c r="Z474" i="33" s="1"/>
  <c r="AI474" i="33"/>
  <c r="AL473" i="33"/>
  <c r="Z473" i="33" s="1"/>
  <c r="AI473" i="33"/>
  <c r="AL472" i="33"/>
  <c r="Z472" i="33" s="1"/>
  <c r="AI472" i="33"/>
  <c r="AL471" i="33"/>
  <c r="Z471" i="33" s="1"/>
  <c r="AI471" i="33"/>
  <c r="AL470" i="33"/>
  <c r="Z470" i="33" s="1"/>
  <c r="AI470" i="33"/>
  <c r="AL469" i="33"/>
  <c r="Z469" i="33" s="1"/>
  <c r="AI469" i="33"/>
  <c r="AL468" i="33"/>
  <c r="Z468" i="33" s="1"/>
  <c r="AI468" i="33"/>
  <c r="AL467" i="33"/>
  <c r="AI467" i="33"/>
  <c r="Z467" i="33"/>
  <c r="AL466" i="33"/>
  <c r="Z466" i="33" s="1"/>
  <c r="AI466" i="33"/>
  <c r="AL465" i="33"/>
  <c r="Z465" i="33" s="1"/>
  <c r="AI465" i="33"/>
  <c r="AL464" i="33"/>
  <c r="Z464" i="33" s="1"/>
  <c r="AI464" i="33"/>
  <c r="AL463" i="33"/>
  <c r="Z463" i="33" s="1"/>
  <c r="AI463" i="33"/>
  <c r="AL462" i="33"/>
  <c r="Z462" i="33" s="1"/>
  <c r="AI462" i="33"/>
  <c r="AL461" i="33"/>
  <c r="Z461" i="33" s="1"/>
  <c r="AI461" i="33"/>
  <c r="AL460" i="33"/>
  <c r="Z460" i="33" s="1"/>
  <c r="AI460" i="33"/>
  <c r="AL459" i="33"/>
  <c r="Z459" i="33" s="1"/>
  <c r="AI459" i="33"/>
  <c r="AL458" i="33"/>
  <c r="Z458" i="33" s="1"/>
  <c r="AI458" i="33"/>
  <c r="AL457" i="33"/>
  <c r="AI457" i="33"/>
  <c r="Z457" i="33"/>
  <c r="AL456" i="33"/>
  <c r="Z456" i="33" s="1"/>
  <c r="AI456" i="33"/>
  <c r="AL455" i="33"/>
  <c r="Z455" i="33" s="1"/>
  <c r="AI455" i="33"/>
  <c r="AL454" i="33"/>
  <c r="Z454" i="33" s="1"/>
  <c r="AI454" i="33"/>
  <c r="AL453" i="33"/>
  <c r="Z453" i="33" s="1"/>
  <c r="AI453" i="33"/>
  <c r="AL452" i="33"/>
  <c r="Z452" i="33" s="1"/>
  <c r="AI452" i="33"/>
  <c r="AL451" i="33"/>
  <c r="Z451" i="33" s="1"/>
  <c r="AI451" i="33"/>
  <c r="AL450" i="33"/>
  <c r="Z450" i="33" s="1"/>
  <c r="AI450" i="33"/>
  <c r="AL449" i="33"/>
  <c r="AI449" i="33"/>
  <c r="Z449" i="33"/>
  <c r="AL448" i="33"/>
  <c r="Z448" i="33" s="1"/>
  <c r="AI448" i="33"/>
  <c r="AL447" i="33"/>
  <c r="Z447" i="33" s="1"/>
  <c r="AI447" i="33"/>
  <c r="AL446" i="33"/>
  <c r="Z446" i="33" s="1"/>
  <c r="AI446" i="33"/>
  <c r="AL445" i="33"/>
  <c r="Z445" i="33" s="1"/>
  <c r="AI445" i="33"/>
  <c r="AL444" i="33"/>
  <c r="Z444" i="33" s="1"/>
  <c r="AI444" i="33"/>
  <c r="AL443" i="33"/>
  <c r="Z443" i="33" s="1"/>
  <c r="AI443" i="33"/>
  <c r="AL442" i="33"/>
  <c r="AI442" i="33"/>
  <c r="Z442" i="33"/>
  <c r="AL441" i="33"/>
  <c r="AI441" i="33"/>
  <c r="Z441" i="33"/>
  <c r="AL440" i="33"/>
  <c r="Z440" i="33" s="1"/>
  <c r="AI440" i="33"/>
  <c r="AL439" i="33"/>
  <c r="AI439" i="33"/>
  <c r="Z439" i="33"/>
  <c r="AL438" i="33"/>
  <c r="Z438" i="33" s="1"/>
  <c r="AI438" i="33"/>
  <c r="AL437" i="33"/>
  <c r="Z437" i="33" s="1"/>
  <c r="AI437" i="33"/>
  <c r="AL436" i="33"/>
  <c r="Z436" i="33" s="1"/>
  <c r="AI436" i="33"/>
  <c r="AL435" i="33"/>
  <c r="Z435" i="33" s="1"/>
  <c r="AI435" i="33"/>
  <c r="AL434" i="33"/>
  <c r="AI434" i="33"/>
  <c r="Z434" i="33"/>
  <c r="AL433" i="33"/>
  <c r="AI433" i="33"/>
  <c r="Z433" i="33"/>
  <c r="AL432" i="33"/>
  <c r="Z432" i="33" s="1"/>
  <c r="AI432" i="33"/>
  <c r="AL431" i="33"/>
  <c r="AI431" i="33"/>
  <c r="Z431" i="33"/>
  <c r="AL430" i="33"/>
  <c r="Z430" i="33" s="1"/>
  <c r="AI430" i="33"/>
  <c r="AL429" i="33"/>
  <c r="Z429" i="33" s="1"/>
  <c r="AI429" i="33"/>
  <c r="AL428" i="33"/>
  <c r="Z428" i="33" s="1"/>
  <c r="AI428" i="33"/>
  <c r="AL427" i="33"/>
  <c r="Z427" i="33" s="1"/>
  <c r="AI427" i="33"/>
  <c r="AL426" i="33"/>
  <c r="AI426" i="33"/>
  <c r="Z426" i="33"/>
  <c r="AL425" i="33"/>
  <c r="Z425" i="33" s="1"/>
  <c r="AI425" i="33"/>
  <c r="AL424" i="33"/>
  <c r="Z424" i="33" s="1"/>
  <c r="AI424" i="33"/>
  <c r="AL423" i="33"/>
  <c r="Z423" i="33" s="1"/>
  <c r="AI423" i="33"/>
  <c r="AL422" i="33"/>
  <c r="Z422" i="33" s="1"/>
  <c r="AI422" i="33"/>
  <c r="AL421" i="33"/>
  <c r="Z421" i="33" s="1"/>
  <c r="AI421" i="33"/>
  <c r="AL420" i="33"/>
  <c r="Z420" i="33" s="1"/>
  <c r="AI420" i="33"/>
  <c r="AL419" i="33"/>
  <c r="AI419" i="33"/>
  <c r="Z419" i="33"/>
  <c r="AL418" i="33"/>
  <c r="Z418" i="33" s="1"/>
  <c r="AI418" i="33"/>
  <c r="AL417" i="33"/>
  <c r="Z417" i="33" s="1"/>
  <c r="AI417" i="33"/>
  <c r="AL416" i="33"/>
  <c r="Z416" i="33" s="1"/>
  <c r="AI416" i="33"/>
  <c r="AL415" i="33"/>
  <c r="Z415" i="33" s="1"/>
  <c r="AI415" i="33"/>
  <c r="AL414" i="33"/>
  <c r="Z414" i="33" s="1"/>
  <c r="AI414" i="33"/>
  <c r="AL413" i="33"/>
  <c r="Z413" i="33" s="1"/>
  <c r="AI413" i="33"/>
  <c r="AL412" i="33"/>
  <c r="Z412" i="33" s="1"/>
  <c r="AI412" i="33"/>
  <c r="AL411" i="33"/>
  <c r="Z411" i="33" s="1"/>
  <c r="AI411" i="33"/>
  <c r="AL410" i="33"/>
  <c r="Z410" i="33" s="1"/>
  <c r="AI410" i="33"/>
  <c r="AL409" i="33"/>
  <c r="Z409" i="33" s="1"/>
  <c r="AI409" i="33"/>
  <c r="AL408" i="33"/>
  <c r="Z408" i="33" s="1"/>
  <c r="AI408" i="33"/>
  <c r="AL407" i="33"/>
  <c r="AI407" i="33"/>
  <c r="Z407" i="33"/>
  <c r="AL406" i="33"/>
  <c r="Z406" i="33" s="1"/>
  <c r="AI406" i="33"/>
  <c r="AL405" i="33"/>
  <c r="Z405" i="33" s="1"/>
  <c r="AI405" i="33"/>
  <c r="AL404" i="33"/>
  <c r="Z404" i="33" s="1"/>
  <c r="AI404" i="33"/>
  <c r="AL403" i="33"/>
  <c r="Z403" i="33" s="1"/>
  <c r="AI403" i="33"/>
  <c r="AL402" i="33"/>
  <c r="AI402" i="33"/>
  <c r="Z402" i="33"/>
  <c r="AL401" i="33"/>
  <c r="AI401" i="33"/>
  <c r="Z401" i="33"/>
  <c r="AL400" i="33"/>
  <c r="Z400" i="33" s="1"/>
  <c r="AI400" i="33"/>
  <c r="AL399" i="33"/>
  <c r="AI399" i="33"/>
  <c r="Z399" i="33"/>
  <c r="AL398" i="33"/>
  <c r="Z398" i="33" s="1"/>
  <c r="AI398" i="33"/>
  <c r="AL397" i="33"/>
  <c r="Z397" i="33" s="1"/>
  <c r="AI397" i="33"/>
  <c r="AL396" i="33"/>
  <c r="Z396" i="33" s="1"/>
  <c r="AI396" i="33"/>
  <c r="AL395" i="33"/>
  <c r="Z395" i="33" s="1"/>
  <c r="AI395" i="33"/>
  <c r="AL394" i="33"/>
  <c r="AI394" i="33"/>
  <c r="Z394" i="33"/>
  <c r="AL393" i="33"/>
  <c r="Z393" i="33" s="1"/>
  <c r="AI393" i="33"/>
  <c r="AL392" i="33"/>
  <c r="Z392" i="33" s="1"/>
  <c r="AI392" i="33"/>
  <c r="AL391" i="33"/>
  <c r="Z391" i="33" s="1"/>
  <c r="AI391" i="33"/>
  <c r="AL390" i="33"/>
  <c r="Z390" i="33" s="1"/>
  <c r="AI390" i="33"/>
  <c r="AL389" i="33"/>
  <c r="Z389" i="33" s="1"/>
  <c r="AI389" i="33"/>
  <c r="AL388" i="33"/>
  <c r="Z388" i="33" s="1"/>
  <c r="AI388" i="33"/>
  <c r="AL387" i="33"/>
  <c r="AI387" i="33"/>
  <c r="Z387" i="33"/>
  <c r="AL386" i="33"/>
  <c r="Z386" i="33" s="1"/>
  <c r="AI386" i="33"/>
  <c r="AL385" i="33"/>
  <c r="Z385" i="33" s="1"/>
  <c r="AI385" i="33"/>
  <c r="AL384" i="33"/>
  <c r="Z384" i="33" s="1"/>
  <c r="AI384" i="33"/>
  <c r="AL383" i="33"/>
  <c r="Z383" i="33" s="1"/>
  <c r="AI383" i="33"/>
  <c r="AL382" i="33"/>
  <c r="Z382" i="33" s="1"/>
  <c r="AI382" i="33"/>
  <c r="AL381" i="33"/>
  <c r="Z381" i="33" s="1"/>
  <c r="AI381" i="33"/>
  <c r="AL380" i="33"/>
  <c r="Z380" i="33" s="1"/>
  <c r="AI380" i="33"/>
  <c r="AL379" i="33"/>
  <c r="Z379" i="33" s="1"/>
  <c r="AI379" i="33"/>
  <c r="AL378" i="33"/>
  <c r="Z378" i="33" s="1"/>
  <c r="AI378" i="33"/>
  <c r="AL377" i="33"/>
  <c r="Z377" i="33" s="1"/>
  <c r="AI377" i="33"/>
  <c r="AL376" i="33"/>
  <c r="Z376" i="33" s="1"/>
  <c r="AI376" i="33"/>
  <c r="AL375" i="33"/>
  <c r="AI375" i="33"/>
  <c r="Z375" i="33"/>
  <c r="AL374" i="33"/>
  <c r="Z374" i="33" s="1"/>
  <c r="AI374" i="33"/>
  <c r="AL373" i="33"/>
  <c r="Z373" i="33" s="1"/>
  <c r="AI373" i="33"/>
  <c r="AL372" i="33"/>
  <c r="AI372" i="33"/>
  <c r="Z372" i="33"/>
  <c r="AL371" i="33"/>
  <c r="Z371" i="33" s="1"/>
  <c r="AI371" i="33"/>
  <c r="AL370" i="33"/>
  <c r="AI370" i="33"/>
  <c r="Z370" i="33"/>
  <c r="AL369" i="33"/>
  <c r="AI369" i="33"/>
  <c r="Z369" i="33"/>
  <c r="AL368" i="33"/>
  <c r="Z368" i="33" s="1"/>
  <c r="AI368" i="33"/>
  <c r="AL367" i="33"/>
  <c r="AI367" i="33"/>
  <c r="Z367" i="33"/>
  <c r="AL366" i="33"/>
  <c r="Z366" i="33" s="1"/>
  <c r="AI366" i="33"/>
  <c r="AL365" i="33"/>
  <c r="Z365" i="33" s="1"/>
  <c r="AI365" i="33"/>
  <c r="AL364" i="33"/>
  <c r="AI364" i="33"/>
  <c r="Z364" i="33"/>
  <c r="AL363" i="33"/>
  <c r="Z363" i="33" s="1"/>
  <c r="AI363" i="33"/>
  <c r="AL362" i="33"/>
  <c r="Z362" i="33" s="1"/>
  <c r="AI362" i="33"/>
  <c r="AL361" i="33"/>
  <c r="Z361" i="33" s="1"/>
  <c r="AI361" i="33"/>
  <c r="AL360" i="33"/>
  <c r="Z360" i="33" s="1"/>
  <c r="AI360" i="33"/>
  <c r="AL359" i="33"/>
  <c r="AI359" i="33"/>
  <c r="Z359" i="33"/>
  <c r="AL358" i="33"/>
  <c r="Z358" i="33" s="1"/>
  <c r="AI358" i="33"/>
  <c r="AL357" i="33"/>
  <c r="Z357" i="33" s="1"/>
  <c r="AI357" i="33"/>
  <c r="AL356" i="33"/>
  <c r="AI356" i="33"/>
  <c r="Z356" i="33"/>
  <c r="AL355" i="33"/>
  <c r="Z355" i="33" s="1"/>
  <c r="AI355" i="33"/>
  <c r="AL354" i="33"/>
  <c r="Z354" i="33" s="1"/>
  <c r="AI354" i="33"/>
  <c r="AL353" i="33"/>
  <c r="Z353" i="33" s="1"/>
  <c r="AI353" i="33"/>
  <c r="AL352" i="33"/>
  <c r="Z352" i="33" s="1"/>
  <c r="AI352" i="33"/>
  <c r="AL351" i="33"/>
  <c r="AI351" i="33"/>
  <c r="Z351" i="33"/>
  <c r="AL350" i="33"/>
  <c r="Z350" i="33" s="1"/>
  <c r="AI350" i="33"/>
  <c r="AL349" i="33"/>
  <c r="Z349" i="33" s="1"/>
  <c r="AI349" i="33"/>
  <c r="AL348" i="33"/>
  <c r="Z348" i="33" s="1"/>
  <c r="AI348" i="33"/>
  <c r="AL347" i="33"/>
  <c r="Z347" i="33" s="1"/>
  <c r="AI347" i="33"/>
  <c r="AL346" i="33"/>
  <c r="AI346" i="33"/>
  <c r="Z346" i="33"/>
  <c r="AL345" i="33"/>
  <c r="AI345" i="33"/>
  <c r="Z345" i="33"/>
  <c r="AL344" i="33"/>
  <c r="Z344" i="33" s="1"/>
  <c r="AI344" i="33"/>
  <c r="AL343" i="33"/>
  <c r="AI343" i="33"/>
  <c r="Z343" i="33"/>
  <c r="AL342" i="33"/>
  <c r="Z342" i="33" s="1"/>
  <c r="AI342" i="33"/>
  <c r="AL341" i="33"/>
  <c r="Z341" i="33" s="1"/>
  <c r="AI341" i="33"/>
  <c r="AL340" i="33"/>
  <c r="Z340" i="33" s="1"/>
  <c r="AI340" i="33"/>
  <c r="AL339" i="33"/>
  <c r="Z339" i="33" s="1"/>
  <c r="AI339" i="33"/>
  <c r="AL338" i="33"/>
  <c r="AI338" i="33"/>
  <c r="Z338" i="33"/>
  <c r="AL337" i="33"/>
  <c r="Z337" i="33" s="1"/>
  <c r="AI337" i="33"/>
  <c r="AL336" i="33"/>
  <c r="Z336" i="33" s="1"/>
  <c r="AI336" i="33"/>
  <c r="AL335" i="33"/>
  <c r="AI335" i="33"/>
  <c r="Z335" i="33"/>
  <c r="AL334" i="33"/>
  <c r="Z334" i="33" s="1"/>
  <c r="AI334" i="33"/>
  <c r="AL333" i="33"/>
  <c r="Z333" i="33" s="1"/>
  <c r="AI333" i="33"/>
  <c r="AL332" i="33"/>
  <c r="Z332" i="33" s="1"/>
  <c r="AI332" i="33"/>
  <c r="AL331" i="33"/>
  <c r="Z331" i="33" s="1"/>
  <c r="AI331" i="33"/>
  <c r="AL330" i="33"/>
  <c r="AI330" i="33"/>
  <c r="Z330" i="33"/>
  <c r="AL329" i="33"/>
  <c r="Z329" i="33" s="1"/>
  <c r="AI329" i="33"/>
  <c r="AL328" i="33"/>
  <c r="Z328" i="33" s="1"/>
  <c r="AI328" i="33"/>
  <c r="AL327" i="33"/>
  <c r="AI327" i="33"/>
  <c r="Z327" i="33"/>
  <c r="AL326" i="33"/>
  <c r="Z326" i="33" s="1"/>
  <c r="AI326" i="33"/>
  <c r="AL325" i="33"/>
  <c r="Z325" i="33" s="1"/>
  <c r="AI325" i="33"/>
  <c r="AL324" i="33"/>
  <c r="Z324" i="33" s="1"/>
  <c r="AI324" i="33"/>
  <c r="AL323" i="33"/>
  <c r="Z323" i="33" s="1"/>
  <c r="AI323" i="33"/>
  <c r="AL322" i="33"/>
  <c r="AI322" i="33"/>
  <c r="Z322" i="33"/>
  <c r="AL321" i="33"/>
  <c r="AI321" i="33"/>
  <c r="Z321" i="33"/>
  <c r="AL320" i="33"/>
  <c r="Z320" i="33" s="1"/>
  <c r="AI320" i="33"/>
  <c r="AL319" i="33"/>
  <c r="AI319" i="33"/>
  <c r="Z319" i="33"/>
  <c r="AL318" i="33"/>
  <c r="AI318" i="33"/>
  <c r="Z318" i="33"/>
  <c r="AL317" i="33"/>
  <c r="Z317" i="33" s="1"/>
  <c r="AI317" i="33"/>
  <c r="AL316" i="33"/>
  <c r="AI316" i="33"/>
  <c r="Z316" i="33"/>
  <c r="AL315" i="33"/>
  <c r="AI315" i="33"/>
  <c r="Z315" i="33"/>
  <c r="AL314" i="33"/>
  <c r="Z314" i="33" s="1"/>
  <c r="AI314" i="33"/>
  <c r="AL313" i="33"/>
  <c r="Z313" i="33" s="1"/>
  <c r="AI313" i="33"/>
  <c r="AL312" i="33"/>
  <c r="Z312" i="33" s="1"/>
  <c r="AI312" i="33"/>
  <c r="AL311" i="33"/>
  <c r="Z311" i="33" s="1"/>
  <c r="AI311" i="33"/>
  <c r="AL310" i="33"/>
  <c r="Z310" i="33" s="1"/>
  <c r="AI310" i="33"/>
  <c r="AL309" i="33"/>
  <c r="Z309" i="33" s="1"/>
  <c r="AI309" i="33"/>
  <c r="AL308" i="33"/>
  <c r="Z308" i="33" s="1"/>
  <c r="AI308" i="33"/>
  <c r="AL307" i="33"/>
  <c r="Z307" i="33" s="1"/>
  <c r="AI307" i="33"/>
  <c r="AL306" i="33"/>
  <c r="AI306" i="33"/>
  <c r="Z306" i="33"/>
  <c r="AL305" i="33"/>
  <c r="Z305" i="33" s="1"/>
  <c r="AI305" i="33"/>
  <c r="AL304" i="33"/>
  <c r="Z304" i="33" s="1"/>
  <c r="AI304" i="33"/>
  <c r="AL303" i="33"/>
  <c r="AI303" i="33"/>
  <c r="Z303" i="33"/>
  <c r="AL302" i="33"/>
  <c r="Z302" i="33" s="1"/>
  <c r="AI302" i="33"/>
  <c r="AL301" i="33"/>
  <c r="Z301" i="33" s="1"/>
  <c r="AI301" i="33"/>
  <c r="AL300" i="33"/>
  <c r="Z300" i="33" s="1"/>
  <c r="AI300" i="33"/>
  <c r="AL299" i="33"/>
  <c r="Z299" i="33" s="1"/>
  <c r="AI299" i="33"/>
  <c r="AL298" i="33"/>
  <c r="AI298" i="33"/>
  <c r="Z298" i="33"/>
  <c r="AL297" i="33"/>
  <c r="Z297" i="33" s="1"/>
  <c r="AI297" i="33"/>
  <c r="AL296" i="33"/>
  <c r="Z296" i="33" s="1"/>
  <c r="AI296" i="33"/>
  <c r="AL295" i="33"/>
  <c r="AI295" i="33"/>
  <c r="Z295" i="33"/>
  <c r="AL294" i="33"/>
  <c r="Z294" i="33" s="1"/>
  <c r="AI294" i="33"/>
  <c r="AL293" i="33"/>
  <c r="Z293" i="33" s="1"/>
  <c r="AI293" i="33"/>
  <c r="AL292" i="33"/>
  <c r="Z292" i="33" s="1"/>
  <c r="AI292" i="33"/>
  <c r="AL291" i="33"/>
  <c r="Z291" i="33" s="1"/>
  <c r="AI291" i="33"/>
  <c r="AL290" i="33"/>
  <c r="AI290" i="33"/>
  <c r="Z290" i="33"/>
  <c r="AL289" i="33"/>
  <c r="AI289" i="33"/>
  <c r="Z289" i="33"/>
  <c r="AL288" i="33"/>
  <c r="Z288" i="33" s="1"/>
  <c r="AI288" i="33"/>
  <c r="AL287" i="33"/>
  <c r="AI287" i="33"/>
  <c r="Z287" i="33"/>
  <c r="AL286" i="33"/>
  <c r="AI286" i="33"/>
  <c r="Z286" i="33"/>
  <c r="AL285" i="33"/>
  <c r="Z285" i="33" s="1"/>
  <c r="AI285" i="33"/>
  <c r="AL284" i="33"/>
  <c r="AI284" i="33"/>
  <c r="Z284" i="33"/>
  <c r="AL283" i="33"/>
  <c r="AI283" i="33"/>
  <c r="Z283" i="33"/>
  <c r="AL282" i="33"/>
  <c r="Z282" i="33" s="1"/>
  <c r="AI282" i="33"/>
  <c r="AL281" i="33"/>
  <c r="Z281" i="33" s="1"/>
  <c r="AI281" i="33"/>
  <c r="AL280" i="33"/>
  <c r="Z280" i="33" s="1"/>
  <c r="AI280" i="33"/>
  <c r="AL279" i="33"/>
  <c r="Z279" i="33" s="1"/>
  <c r="AI279" i="33"/>
  <c r="AL278" i="33"/>
  <c r="Z278" i="33" s="1"/>
  <c r="AI278" i="33"/>
  <c r="AL277" i="33"/>
  <c r="Z277" i="33" s="1"/>
  <c r="AI277" i="33"/>
  <c r="AL276" i="33"/>
  <c r="Z276" i="33" s="1"/>
  <c r="AI276" i="33"/>
  <c r="AL275" i="33"/>
  <c r="Z275" i="33" s="1"/>
  <c r="AI275" i="33"/>
  <c r="AL274" i="33"/>
  <c r="AI274" i="33"/>
  <c r="Z274" i="33"/>
  <c r="AL273" i="33"/>
  <c r="Z273" i="33" s="1"/>
  <c r="AI273" i="33"/>
  <c r="AL272" i="33"/>
  <c r="Z272" i="33" s="1"/>
  <c r="AI272" i="33"/>
  <c r="AL271" i="33"/>
  <c r="AI271" i="33"/>
  <c r="Z271" i="33"/>
  <c r="AL270" i="33"/>
  <c r="Z270" i="33" s="1"/>
  <c r="AI270" i="33"/>
  <c r="AL269" i="33"/>
  <c r="Z269" i="33" s="1"/>
  <c r="AI269" i="33"/>
  <c r="AL268" i="33"/>
  <c r="Z268" i="33" s="1"/>
  <c r="AI268" i="33"/>
  <c r="AL267" i="33"/>
  <c r="Z267" i="33" s="1"/>
  <c r="AI267" i="33"/>
  <c r="AL266" i="33"/>
  <c r="AI266" i="33"/>
  <c r="Z266" i="33"/>
  <c r="AL265" i="33"/>
  <c r="Z265" i="33" s="1"/>
  <c r="AI265" i="33"/>
  <c r="AL264" i="33"/>
  <c r="Z264" i="33" s="1"/>
  <c r="AI264" i="33"/>
  <c r="AL263" i="33"/>
  <c r="AI263" i="33"/>
  <c r="Z263" i="33"/>
  <c r="AL262" i="33"/>
  <c r="Z262" i="33" s="1"/>
  <c r="AI262" i="33"/>
  <c r="AL261" i="33"/>
  <c r="Z261" i="33" s="1"/>
  <c r="AI261" i="33"/>
  <c r="AL260" i="33"/>
  <c r="Z260" i="33" s="1"/>
  <c r="AI260" i="33"/>
  <c r="AL259" i="33"/>
  <c r="Z259" i="33" s="1"/>
  <c r="AI259" i="33"/>
  <c r="AL258" i="33"/>
  <c r="AI258" i="33"/>
  <c r="Z258" i="33"/>
  <c r="AL257" i="33"/>
  <c r="AI257" i="33"/>
  <c r="Z257" i="33"/>
  <c r="AL256" i="33"/>
  <c r="Z256" i="33" s="1"/>
  <c r="AI256" i="33"/>
  <c r="AL255" i="33"/>
  <c r="AI255" i="33"/>
  <c r="Z255" i="33"/>
  <c r="AL254" i="33"/>
  <c r="AI254" i="33"/>
  <c r="Z254" i="33"/>
  <c r="AL253" i="33"/>
  <c r="Z253" i="33" s="1"/>
  <c r="AI253" i="33"/>
  <c r="AL252" i="33"/>
  <c r="AI252" i="33"/>
  <c r="Z252" i="33"/>
  <c r="AL251" i="33"/>
  <c r="AI251" i="33"/>
  <c r="Z251" i="33"/>
  <c r="AL250" i="33"/>
  <c r="Z250" i="33" s="1"/>
  <c r="AI250" i="33"/>
  <c r="AL249" i="33"/>
  <c r="Z249" i="33" s="1"/>
  <c r="AI249" i="33"/>
  <c r="AL248" i="33"/>
  <c r="Z248" i="33" s="1"/>
  <c r="AI248" i="33"/>
  <c r="AL247" i="33"/>
  <c r="Z247" i="33" s="1"/>
  <c r="AI247" i="33"/>
  <c r="AL246" i="33"/>
  <c r="Z246" i="33" s="1"/>
  <c r="AI246" i="33"/>
  <c r="AL245" i="33"/>
  <c r="Z245" i="33" s="1"/>
  <c r="AI245" i="33"/>
  <c r="AL244" i="33"/>
  <c r="Z244" i="33" s="1"/>
  <c r="AI244" i="33"/>
  <c r="AL243" i="33"/>
  <c r="Z243" i="33" s="1"/>
  <c r="AI243" i="33"/>
  <c r="AL242" i="33"/>
  <c r="AI242" i="33"/>
  <c r="Z242" i="33"/>
  <c r="AL241" i="33"/>
  <c r="Z241" i="33" s="1"/>
  <c r="AI241" i="33"/>
  <c r="AL240" i="33"/>
  <c r="Z240" i="33" s="1"/>
  <c r="AI240" i="33"/>
  <c r="AL239" i="33"/>
  <c r="AI239" i="33"/>
  <c r="Z239" i="33"/>
  <c r="AL238" i="33"/>
  <c r="Z238" i="33" s="1"/>
  <c r="AI238" i="33"/>
  <c r="AL237" i="33"/>
  <c r="Z237" i="33" s="1"/>
  <c r="AI237" i="33"/>
  <c r="AL236" i="33"/>
  <c r="Z236" i="33" s="1"/>
  <c r="AI236" i="33"/>
  <c r="AL235" i="33"/>
  <c r="Z235" i="33" s="1"/>
  <c r="AI235" i="33"/>
  <c r="AL234" i="33"/>
  <c r="AI234" i="33"/>
  <c r="Z234" i="33"/>
  <c r="AL233" i="33"/>
  <c r="Z233" i="33" s="1"/>
  <c r="AI233" i="33"/>
  <c r="AL232" i="33"/>
  <c r="Z232" i="33" s="1"/>
  <c r="AI232" i="33"/>
  <c r="AL231" i="33"/>
  <c r="AI231" i="33"/>
  <c r="Z231" i="33"/>
  <c r="AL230" i="33"/>
  <c r="Z230" i="33" s="1"/>
  <c r="AI230" i="33"/>
  <c r="AL229" i="33"/>
  <c r="Z229" i="33" s="1"/>
  <c r="AI229" i="33"/>
  <c r="AL228" i="33"/>
  <c r="Z228" i="33" s="1"/>
  <c r="AI228" i="33"/>
  <c r="AL227" i="33"/>
  <c r="Z227" i="33" s="1"/>
  <c r="AI227" i="33"/>
  <c r="AL226" i="33"/>
  <c r="AI226" i="33"/>
  <c r="Z226" i="33"/>
  <c r="AL225" i="33"/>
  <c r="AI225" i="33"/>
  <c r="Z225" i="33"/>
  <c r="AL224" i="33"/>
  <c r="Z224" i="33" s="1"/>
  <c r="AI224" i="33"/>
  <c r="AL223" i="33"/>
  <c r="AI223" i="33"/>
  <c r="Z223" i="33"/>
  <c r="AL222" i="33"/>
  <c r="AI222" i="33"/>
  <c r="Z222" i="33"/>
  <c r="AL221" i="33"/>
  <c r="Z221" i="33" s="1"/>
  <c r="AI221" i="33"/>
  <c r="AL220" i="33"/>
  <c r="AI220" i="33"/>
  <c r="Z220" i="33"/>
  <c r="AL219" i="33"/>
  <c r="AI219" i="33"/>
  <c r="Z219" i="33"/>
  <c r="AL218" i="33"/>
  <c r="Z218" i="33" s="1"/>
  <c r="AI218" i="33"/>
  <c r="AL217" i="33"/>
  <c r="Z217" i="33" s="1"/>
  <c r="AI217" i="33"/>
  <c r="AL216" i="33"/>
  <c r="Z216" i="33" s="1"/>
  <c r="AI216" i="33"/>
  <c r="AL215" i="33"/>
  <c r="Z215" i="33" s="1"/>
  <c r="AI215" i="33"/>
  <c r="AL214" i="33"/>
  <c r="Z214" i="33" s="1"/>
  <c r="AI214" i="33"/>
  <c r="AL213" i="33"/>
  <c r="Z213" i="33" s="1"/>
  <c r="AI213" i="33"/>
  <c r="AL212" i="33"/>
  <c r="Z212" i="33" s="1"/>
  <c r="AI212" i="33"/>
  <c r="AL211" i="33"/>
  <c r="Z211" i="33" s="1"/>
  <c r="AI211" i="33"/>
  <c r="AL210" i="33"/>
  <c r="AI210" i="33"/>
  <c r="Z210" i="33"/>
  <c r="AL209" i="33"/>
  <c r="Z209" i="33" s="1"/>
  <c r="AI209" i="33"/>
  <c r="AL208" i="33"/>
  <c r="Z208" i="33" s="1"/>
  <c r="AI208" i="33"/>
  <c r="AL207" i="33"/>
  <c r="AI207" i="33"/>
  <c r="Z207" i="33"/>
  <c r="AL206" i="33"/>
  <c r="Z206" i="33" s="1"/>
  <c r="AI206" i="33"/>
  <c r="AL205" i="33"/>
  <c r="Z205" i="33" s="1"/>
  <c r="AI205" i="33"/>
  <c r="AL204" i="33"/>
  <c r="Z204" i="33" s="1"/>
  <c r="AI204" i="33"/>
  <c r="AL203" i="33"/>
  <c r="Z203" i="33" s="1"/>
  <c r="AI203" i="33"/>
  <c r="AL202" i="33"/>
  <c r="AI202" i="33"/>
  <c r="Z202" i="33"/>
  <c r="AL201" i="33"/>
  <c r="Z201" i="33" s="1"/>
  <c r="AI201" i="33"/>
  <c r="AL200" i="33"/>
  <c r="Z200" i="33" s="1"/>
  <c r="AI200" i="33"/>
  <c r="AL199" i="33"/>
  <c r="AI199" i="33"/>
  <c r="Z199" i="33"/>
  <c r="AL198" i="33"/>
  <c r="Z198" i="33" s="1"/>
  <c r="AI198" i="33"/>
  <c r="AL197" i="33"/>
  <c r="Z197" i="33" s="1"/>
  <c r="AI197" i="33"/>
  <c r="AL196" i="33"/>
  <c r="Z196" i="33" s="1"/>
  <c r="AI196" i="33"/>
  <c r="AL195" i="33"/>
  <c r="Z195" i="33" s="1"/>
  <c r="AI195" i="33"/>
  <c r="AL194" i="33"/>
  <c r="AI194" i="33"/>
  <c r="Z194" i="33"/>
  <c r="AL193" i="33"/>
  <c r="AI193" i="33"/>
  <c r="Z193" i="33"/>
  <c r="AL192" i="33"/>
  <c r="Z192" i="33" s="1"/>
  <c r="AI192" i="33"/>
  <c r="AL191" i="33"/>
  <c r="AI191" i="33"/>
  <c r="Z191" i="33"/>
  <c r="AL190" i="33"/>
  <c r="AI190" i="33"/>
  <c r="Z190" i="33"/>
  <c r="AL189" i="33"/>
  <c r="Z189" i="33" s="1"/>
  <c r="AI189" i="33"/>
  <c r="AL188" i="33"/>
  <c r="AI188" i="33"/>
  <c r="Z188" i="33"/>
  <c r="AL187" i="33"/>
  <c r="AI187" i="33"/>
  <c r="Z187" i="33"/>
  <c r="AL186" i="33"/>
  <c r="Z186" i="33" s="1"/>
  <c r="AI186" i="33"/>
  <c r="AL185" i="33"/>
  <c r="Z185" i="33" s="1"/>
  <c r="AI185" i="33"/>
  <c r="AL184" i="33"/>
  <c r="Z184" i="33" s="1"/>
  <c r="AI184" i="33"/>
  <c r="AL183" i="33"/>
  <c r="Z183" i="33" s="1"/>
  <c r="AI183" i="33"/>
  <c r="AL182" i="33"/>
  <c r="Z182" i="33" s="1"/>
  <c r="AI182" i="33"/>
  <c r="AL181" i="33"/>
  <c r="Z181" i="33" s="1"/>
  <c r="AI181" i="33"/>
  <c r="AL180" i="33"/>
  <c r="Z180" i="33" s="1"/>
  <c r="AI180" i="33"/>
  <c r="AL179" i="33"/>
  <c r="Z179" i="33" s="1"/>
  <c r="AI179" i="33"/>
  <c r="AL178" i="33"/>
  <c r="AI178" i="33"/>
  <c r="Z178" i="33"/>
  <c r="AL177" i="33"/>
  <c r="Z177" i="33" s="1"/>
  <c r="AI177" i="33"/>
  <c r="AL176" i="33"/>
  <c r="Z176" i="33" s="1"/>
  <c r="AI176" i="33"/>
  <c r="AL175" i="33"/>
  <c r="AI175" i="33"/>
  <c r="Z175" i="33"/>
  <c r="AL174" i="33"/>
  <c r="Z174" i="33" s="1"/>
  <c r="AI174" i="33"/>
  <c r="AL173" i="33"/>
  <c r="Z173" i="33" s="1"/>
  <c r="AI173" i="33"/>
  <c r="AL172" i="33"/>
  <c r="Z172" i="33" s="1"/>
  <c r="AI172" i="33"/>
  <c r="AL171" i="33"/>
  <c r="Z171" i="33" s="1"/>
  <c r="AI171" i="33"/>
  <c r="AL170" i="33"/>
  <c r="AI170" i="33"/>
  <c r="Z170" i="33"/>
  <c r="AL169" i="33"/>
  <c r="Z169" i="33" s="1"/>
  <c r="AI169" i="33"/>
  <c r="AL168" i="33"/>
  <c r="Z168" i="33" s="1"/>
  <c r="AI168" i="33"/>
  <c r="AL167" i="33"/>
  <c r="AI167" i="33"/>
  <c r="Z167" i="33"/>
  <c r="AL166" i="33"/>
  <c r="Z166" i="33" s="1"/>
  <c r="AI166" i="33"/>
  <c r="AL165" i="33"/>
  <c r="Z165" i="33" s="1"/>
  <c r="AI165" i="33"/>
  <c r="AL164" i="33"/>
  <c r="Z164" i="33" s="1"/>
  <c r="AI164" i="33"/>
  <c r="AL163" i="33"/>
  <c r="Z163" i="33" s="1"/>
  <c r="AI163" i="33"/>
  <c r="AL162" i="33"/>
  <c r="AI162" i="33"/>
  <c r="Z162" i="33"/>
  <c r="AL161" i="33"/>
  <c r="AI161" i="33"/>
  <c r="Z161" i="33"/>
  <c r="AL160" i="33"/>
  <c r="Z160" i="33" s="1"/>
  <c r="AI160" i="33"/>
  <c r="AL159" i="33"/>
  <c r="AI159" i="33"/>
  <c r="Z159" i="33"/>
  <c r="AL158" i="33"/>
  <c r="AI158" i="33"/>
  <c r="Z158" i="33"/>
  <c r="AL157" i="33"/>
  <c r="Z157" i="33" s="1"/>
  <c r="AI157" i="33"/>
  <c r="AL156" i="33"/>
  <c r="AI156" i="33"/>
  <c r="Z156" i="33"/>
  <c r="AL155" i="33"/>
  <c r="AI155" i="33"/>
  <c r="Z155" i="33"/>
  <c r="AL154" i="33"/>
  <c r="Z154" i="33" s="1"/>
  <c r="AI154" i="33"/>
  <c r="AL153" i="33"/>
  <c r="Z153" i="33" s="1"/>
  <c r="AI153" i="33"/>
  <c r="AL152" i="33"/>
  <c r="Z152" i="33" s="1"/>
  <c r="AI152" i="33"/>
  <c r="AL151" i="33"/>
  <c r="Z151" i="33" s="1"/>
  <c r="AI151" i="33"/>
  <c r="AL150" i="33"/>
  <c r="Z150" i="33" s="1"/>
  <c r="AI150" i="33"/>
  <c r="AL149" i="33"/>
  <c r="Z149" i="33" s="1"/>
  <c r="AI149" i="33"/>
  <c r="AL148" i="33"/>
  <c r="Z148" i="33" s="1"/>
  <c r="AI148" i="33"/>
  <c r="AL147" i="33"/>
  <c r="Z147" i="33" s="1"/>
  <c r="AI147" i="33"/>
  <c r="AL146" i="33"/>
  <c r="AI146" i="33"/>
  <c r="Z146" i="33"/>
  <c r="AL145" i="33"/>
  <c r="Z145" i="33" s="1"/>
  <c r="AI145" i="33"/>
  <c r="AL144" i="33"/>
  <c r="Z144" i="33" s="1"/>
  <c r="AI144" i="33"/>
  <c r="AL143" i="33"/>
  <c r="AI143" i="33"/>
  <c r="Z143" i="33"/>
  <c r="AL142" i="33"/>
  <c r="Z142" i="33" s="1"/>
  <c r="AI142" i="33"/>
  <c r="AL141" i="33"/>
  <c r="Z141" i="33" s="1"/>
  <c r="AI141" i="33"/>
  <c r="AL140" i="33"/>
  <c r="Z140" i="33" s="1"/>
  <c r="AI140" i="33"/>
  <c r="AL139" i="33"/>
  <c r="Z139" i="33" s="1"/>
  <c r="AI139" i="33"/>
  <c r="AL138" i="33"/>
  <c r="Z138" i="33" s="1"/>
  <c r="AI138" i="33"/>
  <c r="AL137" i="33"/>
  <c r="Z137" i="33" s="1"/>
  <c r="AI137" i="33"/>
  <c r="AL136" i="33"/>
  <c r="AI136" i="33"/>
  <c r="Z136" i="33"/>
  <c r="AL135" i="33"/>
  <c r="AI135" i="33"/>
  <c r="Z135" i="33"/>
  <c r="AL134" i="33"/>
  <c r="Z134" i="33" s="1"/>
  <c r="AI134" i="33"/>
  <c r="AL133" i="33"/>
  <c r="Z133" i="33" s="1"/>
  <c r="AI133" i="33"/>
  <c r="AL132" i="33"/>
  <c r="Z132" i="33" s="1"/>
  <c r="AI132" i="33"/>
  <c r="AL131" i="33"/>
  <c r="Z131" i="33" s="1"/>
  <c r="AI131" i="33"/>
  <c r="AL130" i="33"/>
  <c r="Z130" i="33" s="1"/>
  <c r="AI130" i="33"/>
  <c r="AL129" i="33"/>
  <c r="Z129" i="33" s="1"/>
  <c r="AI129" i="33"/>
  <c r="AL128" i="33"/>
  <c r="Z128" i="33" s="1"/>
  <c r="AI128" i="33"/>
  <c r="AL127" i="33"/>
  <c r="Z127" i="33" s="1"/>
  <c r="AI127" i="33"/>
  <c r="AL126" i="33"/>
  <c r="Z126" i="33" s="1"/>
  <c r="AI126" i="33"/>
  <c r="AL125" i="33"/>
  <c r="Z125" i="33" s="1"/>
  <c r="AI125" i="33"/>
  <c r="AL124" i="33"/>
  <c r="Z124" i="33" s="1"/>
  <c r="AI124" i="33"/>
  <c r="AL123" i="33"/>
  <c r="AI123" i="33"/>
  <c r="Z123" i="33"/>
  <c r="AL122" i="33"/>
  <c r="AI122" i="33"/>
  <c r="Z122" i="33"/>
  <c r="AL121" i="33"/>
  <c r="Z121" i="33" s="1"/>
  <c r="AI121" i="33"/>
  <c r="AL120" i="33"/>
  <c r="Z120" i="33" s="1"/>
  <c r="AI120" i="33"/>
  <c r="AL119" i="33"/>
  <c r="AI119" i="33"/>
  <c r="Z119" i="33"/>
  <c r="AL118" i="33"/>
  <c r="Z118" i="33" s="1"/>
  <c r="AI118" i="33"/>
  <c r="AL117" i="33"/>
  <c r="Z117" i="33" s="1"/>
  <c r="AI117" i="33"/>
  <c r="AL116" i="33"/>
  <c r="Z116" i="33" s="1"/>
  <c r="AI116" i="33"/>
  <c r="AL115" i="33"/>
  <c r="Z115" i="33" s="1"/>
  <c r="AI115" i="33"/>
  <c r="AL114" i="33"/>
  <c r="Z114" i="33" s="1"/>
  <c r="AI114" i="33"/>
  <c r="AL113" i="33"/>
  <c r="Z113" i="33" s="1"/>
  <c r="AI113" i="33"/>
  <c r="AL112" i="33"/>
  <c r="AI112" i="33"/>
  <c r="Z112" i="33"/>
  <c r="AL111" i="33"/>
  <c r="AI111" i="33"/>
  <c r="Z111" i="33"/>
  <c r="AL110" i="33"/>
  <c r="Z110" i="33" s="1"/>
  <c r="AI110" i="33"/>
  <c r="AL109" i="33"/>
  <c r="Z109" i="33" s="1"/>
  <c r="AI109" i="33"/>
  <c r="AL108" i="33"/>
  <c r="AI108" i="33"/>
  <c r="Z108" i="33"/>
  <c r="AL107" i="33"/>
  <c r="Z107" i="33" s="1"/>
  <c r="AI107" i="33"/>
  <c r="AL106" i="33"/>
  <c r="Z106" i="33" s="1"/>
  <c r="AI106" i="33"/>
  <c r="AL105" i="33"/>
  <c r="Z105" i="33" s="1"/>
  <c r="AI105" i="33"/>
  <c r="AL104" i="33"/>
  <c r="Z104" i="33" s="1"/>
  <c r="AI104" i="33"/>
  <c r="AL103" i="33"/>
  <c r="AI103" i="33"/>
  <c r="Z103" i="33"/>
  <c r="AL102" i="33"/>
  <c r="Z102" i="33" s="1"/>
  <c r="AI102" i="33"/>
  <c r="AL101" i="33"/>
  <c r="Z101" i="33" s="1"/>
  <c r="AI101" i="33"/>
  <c r="AL100" i="33"/>
  <c r="Z100" i="33" s="1"/>
  <c r="AI100" i="33"/>
  <c r="AL99" i="33"/>
  <c r="Z99" i="33" s="1"/>
  <c r="AI99" i="33"/>
  <c r="AL98" i="33"/>
  <c r="AI98" i="33"/>
  <c r="Z98" i="33"/>
  <c r="AL97" i="33"/>
  <c r="Z97" i="33" s="1"/>
  <c r="AI97" i="33"/>
  <c r="AL96" i="33"/>
  <c r="Z96" i="33" s="1"/>
  <c r="AI96" i="33"/>
  <c r="AL95" i="33"/>
  <c r="Z95" i="33" s="1"/>
  <c r="AI95" i="33"/>
  <c r="AL94" i="33"/>
  <c r="Z94" i="33" s="1"/>
  <c r="AI94" i="33"/>
  <c r="AL93" i="33"/>
  <c r="AI93" i="33"/>
  <c r="Z93" i="33"/>
  <c r="AL92" i="33"/>
  <c r="Z92" i="33" s="1"/>
  <c r="AI92" i="33"/>
  <c r="AL91" i="33"/>
  <c r="Z91" i="33" s="1"/>
  <c r="AI91" i="33"/>
  <c r="AL90" i="33"/>
  <c r="AI90" i="33"/>
  <c r="Z90" i="33"/>
  <c r="AL89" i="33"/>
  <c r="Z89" i="33" s="1"/>
  <c r="AI89" i="33"/>
  <c r="AL88" i="33"/>
  <c r="Z88" i="33" s="1"/>
  <c r="AI88" i="33"/>
  <c r="AL87" i="33"/>
  <c r="Z87" i="33" s="1"/>
  <c r="AI87" i="33"/>
  <c r="AL86" i="33"/>
  <c r="Z86" i="33" s="1"/>
  <c r="AI86" i="33"/>
  <c r="AL85" i="33"/>
  <c r="AI85" i="33"/>
  <c r="Z85" i="33"/>
  <c r="AL84" i="33"/>
  <c r="Z84" i="33" s="1"/>
  <c r="AI84" i="33"/>
  <c r="AL83" i="33"/>
  <c r="Z83" i="33" s="1"/>
  <c r="AI83" i="33"/>
  <c r="AL82" i="33"/>
  <c r="AI82" i="33"/>
  <c r="Z82" i="33"/>
  <c r="AL81" i="33"/>
  <c r="Z81" i="33" s="1"/>
  <c r="AI81" i="33"/>
  <c r="AL80" i="33"/>
  <c r="Z80" i="33" s="1"/>
  <c r="AI80" i="33"/>
  <c r="AL79" i="33"/>
  <c r="Z79" i="33" s="1"/>
  <c r="AI79" i="33"/>
  <c r="AL78" i="33"/>
  <c r="Z78" i="33" s="1"/>
  <c r="AI78" i="33"/>
  <c r="AL77" i="33"/>
  <c r="AI77" i="33"/>
  <c r="Z77" i="33"/>
  <c r="AL76" i="33"/>
  <c r="Z76" i="33" s="1"/>
  <c r="AI76" i="33"/>
  <c r="AL75" i="33"/>
  <c r="Z75" i="33" s="1"/>
  <c r="AI75" i="33"/>
  <c r="AL74" i="33"/>
  <c r="AI74" i="33"/>
  <c r="Z74" i="33"/>
  <c r="AL73" i="33"/>
  <c r="Z73" i="33" s="1"/>
  <c r="AI73" i="33"/>
  <c r="AL72" i="33"/>
  <c r="Z72" i="33" s="1"/>
  <c r="AI72" i="33"/>
  <c r="AL71" i="33"/>
  <c r="Z71" i="33" s="1"/>
  <c r="AI71" i="33"/>
  <c r="AL70" i="33"/>
  <c r="Z70" i="33" s="1"/>
  <c r="AI70" i="33"/>
  <c r="AL69" i="33"/>
  <c r="AI69" i="33"/>
  <c r="Z69" i="33"/>
  <c r="AL68" i="33"/>
  <c r="Z68" i="33" s="1"/>
  <c r="AI68" i="33"/>
  <c r="AL67" i="33"/>
  <c r="Z67" i="33" s="1"/>
  <c r="AI67" i="33"/>
  <c r="AL66" i="33"/>
  <c r="AI66" i="33"/>
  <c r="Z66" i="33"/>
  <c r="AL65" i="33"/>
  <c r="Z65" i="33" s="1"/>
  <c r="AI65" i="33"/>
  <c r="AL64" i="33"/>
  <c r="Z64" i="33" s="1"/>
  <c r="AI64" i="33"/>
  <c r="AL63" i="33"/>
  <c r="Z63" i="33" s="1"/>
  <c r="AI63" i="33"/>
  <c r="AL62" i="33"/>
  <c r="Z62" i="33" s="1"/>
  <c r="AI62" i="33"/>
  <c r="AL61" i="33"/>
  <c r="AI61" i="33"/>
  <c r="Z61" i="33"/>
  <c r="AL60" i="33"/>
  <c r="Z60" i="33" s="1"/>
  <c r="AI60" i="33"/>
  <c r="AL59" i="33"/>
  <c r="Z59" i="33" s="1"/>
  <c r="AI59" i="33"/>
  <c r="AL58" i="33"/>
  <c r="AI58" i="33"/>
  <c r="Z58" i="33"/>
  <c r="AL57" i="33"/>
  <c r="Z57" i="33" s="1"/>
  <c r="AI57" i="33"/>
  <c r="AL56" i="33"/>
  <c r="Z56" i="33" s="1"/>
  <c r="AI56" i="33"/>
  <c r="AL55" i="33"/>
  <c r="Z55" i="33" s="1"/>
  <c r="AI55" i="33"/>
  <c r="AL54" i="33"/>
  <c r="Z54" i="33" s="1"/>
  <c r="AI54" i="33"/>
  <c r="AL53" i="33"/>
  <c r="AI53" i="33"/>
  <c r="Z53" i="33"/>
  <c r="AL52" i="33"/>
  <c r="Z52" i="33" s="1"/>
  <c r="AI52" i="33"/>
  <c r="AL51" i="33"/>
  <c r="Z51" i="33" s="1"/>
  <c r="AI51" i="33"/>
  <c r="AL50" i="33"/>
  <c r="AI50" i="33"/>
  <c r="Z50" i="33"/>
  <c r="AL49" i="33"/>
  <c r="Z49" i="33" s="1"/>
  <c r="AI49" i="33"/>
  <c r="AL48" i="33"/>
  <c r="Z48" i="33" s="1"/>
  <c r="AI48" i="33"/>
  <c r="AL47" i="33"/>
  <c r="Z47" i="33" s="1"/>
  <c r="AI47" i="33"/>
  <c r="AL46" i="33"/>
  <c r="Z46" i="33" s="1"/>
  <c r="AI46" i="33"/>
  <c r="AL45" i="33"/>
  <c r="AI45" i="33"/>
  <c r="Z45" i="33"/>
  <c r="AL44" i="33"/>
  <c r="Z44" i="33" s="1"/>
  <c r="AI44" i="33"/>
  <c r="AL43" i="33"/>
  <c r="Z43" i="33" s="1"/>
  <c r="AI43" i="33"/>
  <c r="AL42" i="33"/>
  <c r="AI42" i="33"/>
  <c r="Z42" i="33"/>
  <c r="AL41" i="33"/>
  <c r="Z41" i="33" s="1"/>
  <c r="AI41" i="33"/>
  <c r="AL40" i="33"/>
  <c r="Z40" i="33" s="1"/>
  <c r="AI40" i="33"/>
  <c r="AL39" i="33"/>
  <c r="Z39" i="33" s="1"/>
  <c r="AI39" i="33"/>
  <c r="AL38" i="33"/>
  <c r="Z38" i="33" s="1"/>
  <c r="AI38" i="33"/>
  <c r="AL37" i="33"/>
  <c r="AI37" i="33"/>
  <c r="Z37" i="33"/>
  <c r="AL36" i="33"/>
  <c r="Z36" i="33" s="1"/>
  <c r="AI36" i="33"/>
  <c r="AL35" i="33"/>
  <c r="Z35" i="33" s="1"/>
  <c r="AI35" i="33"/>
  <c r="AL34" i="33"/>
  <c r="AI34" i="33"/>
  <c r="Z34" i="33"/>
  <c r="AL33" i="33"/>
  <c r="Z33" i="33" s="1"/>
  <c r="AI33" i="33"/>
  <c r="AL32" i="33"/>
  <c r="Z32" i="33" s="1"/>
  <c r="AI32" i="33"/>
  <c r="AL31" i="33"/>
  <c r="Z31" i="33" s="1"/>
  <c r="AI31" i="33"/>
  <c r="AL30" i="33"/>
  <c r="Z30" i="33" s="1"/>
  <c r="AI30" i="33"/>
  <c r="AL29" i="33"/>
  <c r="AI29" i="33"/>
  <c r="Z29" i="33"/>
  <c r="AL28" i="33"/>
  <c r="Z28" i="33" s="1"/>
  <c r="AI28" i="33"/>
  <c r="AL27" i="33"/>
  <c r="Z27" i="33" s="1"/>
  <c r="AI27" i="33"/>
  <c r="AL26" i="33"/>
  <c r="AI26" i="33"/>
  <c r="Z26" i="33"/>
  <c r="AL25" i="33"/>
  <c r="Z25" i="33" s="1"/>
  <c r="AI25" i="33"/>
  <c r="AL24" i="33"/>
  <c r="Z24" i="33" s="1"/>
  <c r="AI24" i="33"/>
  <c r="AL23" i="33"/>
  <c r="Z23" i="33" s="1"/>
  <c r="AI23" i="33"/>
  <c r="AL22" i="33"/>
  <c r="Z22" i="33" s="1"/>
  <c r="AI22" i="33"/>
  <c r="AL21" i="33"/>
  <c r="AI21" i="33"/>
  <c r="Z21" i="33"/>
  <c r="AL20" i="33"/>
  <c r="Z20" i="33" s="1"/>
  <c r="AI20" i="33"/>
  <c r="AL19" i="33"/>
  <c r="Z19" i="33" s="1"/>
  <c r="AI19" i="33"/>
  <c r="AL18" i="33"/>
  <c r="AI18" i="33"/>
  <c r="Z18" i="33"/>
  <c r="AL17" i="33"/>
  <c r="Z17" i="33" s="1"/>
  <c r="AI17" i="33"/>
  <c r="AL16" i="33"/>
  <c r="Z16" i="33" s="1"/>
  <c r="AI16" i="33"/>
  <c r="AL15" i="33"/>
  <c r="Z15" i="33" s="1"/>
  <c r="AI15" i="33"/>
  <c r="AL14" i="33"/>
  <c r="Z14" i="33" s="1"/>
  <c r="AI14" i="33"/>
  <c r="AL13" i="33"/>
  <c r="AI13" i="33"/>
  <c r="Z13" i="33"/>
  <c r="AL12" i="33"/>
  <c r="Z12" i="33" s="1"/>
  <c r="AI12" i="33"/>
  <c r="AL11" i="33"/>
  <c r="Z11" i="33" s="1"/>
  <c r="AI11" i="33"/>
  <c r="AL10" i="33"/>
  <c r="AI10" i="33"/>
  <c r="Z10" i="33"/>
  <c r="AL9" i="33"/>
  <c r="Z9" i="33" s="1"/>
  <c r="AI9" i="33"/>
  <c r="AL8" i="33"/>
  <c r="Z8" i="33" s="1"/>
  <c r="AI8" i="33"/>
  <c r="AL7" i="33"/>
  <c r="Z7" i="33" s="1"/>
  <c r="AI7" i="33"/>
  <c r="AL6" i="33"/>
  <c r="Z6" i="33" s="1"/>
  <c r="AI6" i="33"/>
  <c r="AL5" i="33"/>
  <c r="AI5" i="33"/>
  <c r="B11" i="30" s="1"/>
  <c r="Z5" i="33"/>
  <c r="AL4" i="33"/>
  <c r="Z4" i="33" s="1"/>
  <c r="AI4" i="33"/>
  <c r="AL3" i="33"/>
  <c r="Z3" i="33" s="1"/>
  <c r="AI3" i="33"/>
  <c r="AL2" i="33"/>
  <c r="AI2" i="33"/>
  <c r="Z2" i="33"/>
  <c r="C13" i="32"/>
  <c r="B13" i="32"/>
  <c r="C12" i="32"/>
  <c r="B12" i="32"/>
  <c r="C11" i="32"/>
  <c r="B11" i="32"/>
  <c r="D7" i="32"/>
  <c r="C7" i="32"/>
  <c r="B7" i="32"/>
  <c r="C6" i="32"/>
  <c r="B6" i="32"/>
  <c r="D5" i="32"/>
  <c r="C5" i="32"/>
  <c r="B5" i="32"/>
  <c r="C4" i="32"/>
  <c r="D4" i="32" s="1"/>
  <c r="B4" i="32"/>
  <c r="B8" i="32" s="1"/>
  <c r="B52" i="31"/>
  <c r="B51" i="31"/>
  <c r="B50" i="31"/>
  <c r="B49" i="31"/>
  <c r="B48" i="31"/>
  <c r="B47" i="31"/>
  <c r="B46" i="31"/>
  <c r="B45" i="31"/>
  <c r="B44" i="31"/>
  <c r="B43" i="31"/>
  <c r="B42" i="31"/>
  <c r="B41" i="31"/>
  <c r="B40" i="31"/>
  <c r="B39" i="31"/>
  <c r="B38" i="31"/>
  <c r="B37" i="31"/>
  <c r="B36" i="31"/>
  <c r="B35" i="31"/>
  <c r="B34" i="31"/>
  <c r="B33" i="31"/>
  <c r="B32" i="31"/>
  <c r="B31" i="31"/>
  <c r="B30" i="31"/>
  <c r="B29" i="31"/>
  <c r="E28" i="31"/>
  <c r="B28" i="31"/>
  <c r="E27" i="31"/>
  <c r="B27" i="31"/>
  <c r="E26" i="31"/>
  <c r="B26" i="31"/>
  <c r="E25" i="31"/>
  <c r="B25" i="31"/>
  <c r="E24" i="31"/>
  <c r="E23" i="31"/>
  <c r="E22" i="31"/>
  <c r="E21" i="31"/>
  <c r="B21" i="31"/>
  <c r="E20" i="31"/>
  <c r="B20" i="31"/>
  <c r="E19" i="31"/>
  <c r="B19" i="31"/>
  <c r="E18" i="31"/>
  <c r="B18" i="31"/>
  <c r="B15" i="31"/>
  <c r="B14" i="31"/>
  <c r="B13" i="31"/>
  <c r="B12" i="31"/>
  <c r="B11" i="31"/>
  <c r="E10" i="31"/>
  <c r="E9" i="31"/>
  <c r="B9" i="31"/>
  <c r="E8" i="31"/>
  <c r="B8" i="31"/>
  <c r="E7" i="31"/>
  <c r="B7" i="31"/>
  <c r="E6" i="31"/>
  <c r="B6" i="31"/>
  <c r="E5" i="31"/>
  <c r="B5" i="31"/>
  <c r="C7" i="19"/>
  <c r="C6" i="19"/>
  <c r="C5" i="19"/>
  <c r="C4" i="19"/>
  <c r="J6" i="14"/>
  <c r="I6" i="14"/>
  <c r="H6" i="14"/>
  <c r="G6" i="14"/>
  <c r="F6" i="14"/>
  <c r="E6" i="14"/>
  <c r="D6" i="14"/>
  <c r="C6" i="14"/>
  <c r="B6" i="14"/>
  <c r="D11" i="11"/>
  <c r="D10" i="11"/>
  <c r="C7" i="11"/>
  <c r="C6" i="11"/>
  <c r="C5" i="11"/>
  <c r="G41" i="10"/>
  <c r="I41" i="10" s="1"/>
  <c r="B41" i="10"/>
  <c r="E41" i="10" s="1"/>
  <c r="G40" i="10"/>
  <c r="J40" i="10" s="1"/>
  <c r="D40" i="10"/>
  <c r="C40" i="10"/>
  <c r="B40" i="10"/>
  <c r="E40" i="10" s="1"/>
  <c r="I39" i="10"/>
  <c r="G39" i="10"/>
  <c r="J39" i="10" s="1"/>
  <c r="B39" i="10"/>
  <c r="C39" i="10" s="1"/>
  <c r="G38" i="10"/>
  <c r="J38" i="10" s="1"/>
  <c r="E38" i="10"/>
  <c r="C38" i="10"/>
  <c r="B38" i="10"/>
  <c r="D38" i="10" s="1"/>
  <c r="G37" i="10"/>
  <c r="I37" i="10" s="1"/>
  <c r="B37" i="10"/>
  <c r="G36" i="10"/>
  <c r="J36" i="10" s="1"/>
  <c r="E36" i="10"/>
  <c r="D36" i="10"/>
  <c r="C36" i="10"/>
  <c r="B36" i="10"/>
  <c r="J35" i="10"/>
  <c r="I35" i="10"/>
  <c r="G35" i="10"/>
  <c r="B35" i="10"/>
  <c r="C35" i="10" s="1"/>
  <c r="G34" i="10"/>
  <c r="J34" i="10" s="1"/>
  <c r="B34" i="10"/>
  <c r="D34" i="10" s="1"/>
  <c r="G33" i="10"/>
  <c r="I33" i="10" s="1"/>
  <c r="C33" i="10"/>
  <c r="B33" i="10"/>
  <c r="E33" i="10" s="1"/>
  <c r="G32" i="10"/>
  <c r="J32" i="10" s="1"/>
  <c r="B32" i="10"/>
  <c r="E32" i="10" s="1"/>
  <c r="J31" i="10"/>
  <c r="G31" i="10"/>
  <c r="I31" i="10" s="1"/>
  <c r="B31" i="10"/>
  <c r="C31" i="10" s="1"/>
  <c r="G30" i="10"/>
  <c r="J30" i="10" s="1"/>
  <c r="E30" i="10"/>
  <c r="B30" i="10"/>
  <c r="C30" i="10" s="1"/>
  <c r="G29" i="10"/>
  <c r="I29" i="10" s="1"/>
  <c r="B29" i="10"/>
  <c r="E29" i="10" s="1"/>
  <c r="G28" i="10"/>
  <c r="J28" i="10" s="1"/>
  <c r="C28" i="10"/>
  <c r="B28" i="10"/>
  <c r="E28" i="10" s="1"/>
  <c r="G27" i="10"/>
  <c r="J27" i="10" s="1"/>
  <c r="B27" i="10"/>
  <c r="C27" i="10" s="1"/>
  <c r="J26" i="10"/>
  <c r="G26" i="10"/>
  <c r="I26" i="10" s="1"/>
  <c r="E26" i="10"/>
  <c r="B26" i="10"/>
  <c r="G25" i="10"/>
  <c r="I25" i="10" s="1"/>
  <c r="B25" i="10"/>
  <c r="E25" i="10" s="1"/>
  <c r="G24" i="10"/>
  <c r="J24" i="10" s="1"/>
  <c r="C24" i="10"/>
  <c r="B24" i="10"/>
  <c r="E24" i="10" s="1"/>
  <c r="G23" i="10"/>
  <c r="J23" i="10" s="1"/>
  <c r="B23" i="10"/>
  <c r="C23" i="10" s="1"/>
  <c r="I22" i="10"/>
  <c r="G22" i="10"/>
  <c r="J22" i="10" s="1"/>
  <c r="C22" i="10"/>
  <c r="B22" i="10"/>
  <c r="E22" i="10" s="1"/>
  <c r="G21" i="10"/>
  <c r="I21" i="10" s="1"/>
  <c r="B21" i="10"/>
  <c r="E21" i="10" s="1"/>
  <c r="I20" i="10"/>
  <c r="G20" i="10"/>
  <c r="J20" i="10" s="1"/>
  <c r="E20" i="10"/>
  <c r="D20" i="10"/>
  <c r="C20" i="10"/>
  <c r="B20" i="10"/>
  <c r="G19" i="10"/>
  <c r="J19" i="10" s="1"/>
  <c r="E19" i="10"/>
  <c r="B19" i="10"/>
  <c r="C19" i="10" s="1"/>
  <c r="G18" i="10"/>
  <c r="J18" i="10" s="1"/>
  <c r="B18" i="10"/>
  <c r="G17" i="10"/>
  <c r="I17" i="10" s="1"/>
  <c r="B17" i="10"/>
  <c r="E17" i="10" s="1"/>
  <c r="I16" i="10"/>
  <c r="G16" i="10"/>
  <c r="J16" i="10" s="1"/>
  <c r="C16" i="10"/>
  <c r="B16" i="10"/>
  <c r="E16" i="10" s="1"/>
  <c r="G15" i="10"/>
  <c r="J15" i="10" s="1"/>
  <c r="E15" i="10"/>
  <c r="B15" i="10"/>
  <c r="C15" i="10" s="1"/>
  <c r="I14" i="10"/>
  <c r="G14" i="10"/>
  <c r="J14" i="10" s="1"/>
  <c r="B14" i="10"/>
  <c r="E14" i="10" s="1"/>
  <c r="G13" i="10"/>
  <c r="I13" i="10" s="1"/>
  <c r="B13" i="10"/>
  <c r="E13" i="10" s="1"/>
  <c r="G12" i="10"/>
  <c r="J12" i="10" s="1"/>
  <c r="E12" i="10"/>
  <c r="C12" i="10"/>
  <c r="B12" i="10"/>
  <c r="G11" i="10"/>
  <c r="J11" i="10" s="1"/>
  <c r="B11" i="10"/>
  <c r="C11" i="10" s="1"/>
  <c r="G10" i="10"/>
  <c r="I10" i="10" s="1"/>
  <c r="E10" i="10"/>
  <c r="B10" i="10"/>
  <c r="C10" i="10" s="1"/>
  <c r="G9" i="10"/>
  <c r="I9" i="10" s="1"/>
  <c r="C9" i="10"/>
  <c r="B9" i="10"/>
  <c r="E9" i="10" s="1"/>
  <c r="G8" i="10"/>
  <c r="J8" i="10" s="1"/>
  <c r="E8" i="10"/>
  <c r="C8" i="10"/>
  <c r="B8" i="10"/>
  <c r="G7" i="10"/>
  <c r="J7" i="10" s="1"/>
  <c r="B7" i="10"/>
  <c r="C7" i="10" s="1"/>
  <c r="G6" i="10"/>
  <c r="J6" i="10" s="1"/>
  <c r="C6" i="10"/>
  <c r="B6" i="10"/>
  <c r="G5" i="10"/>
  <c r="I5" i="10" s="1"/>
  <c r="B5" i="10"/>
  <c r="E5" i="10" s="1"/>
  <c r="G37" i="9"/>
  <c r="B37" i="9"/>
  <c r="G36" i="9"/>
  <c r="B36" i="9"/>
  <c r="G35" i="9"/>
  <c r="B35" i="9"/>
  <c r="G34" i="9"/>
  <c r="B34" i="9"/>
  <c r="G33" i="9"/>
  <c r="B33" i="9"/>
  <c r="G32" i="9"/>
  <c r="B32" i="9"/>
  <c r="G31" i="9"/>
  <c r="B31" i="9"/>
  <c r="G30" i="9"/>
  <c r="B30" i="9"/>
  <c r="G26" i="9"/>
  <c r="B26" i="9"/>
  <c r="G25" i="9"/>
  <c r="B25" i="9"/>
  <c r="G24" i="9"/>
  <c r="I24" i="9" s="1"/>
  <c r="F24" i="9"/>
  <c r="E24" i="9"/>
  <c r="D24" i="9"/>
  <c r="C24" i="9"/>
  <c r="B24" i="9"/>
  <c r="J24" i="9" s="1"/>
  <c r="G23" i="9"/>
  <c r="B23" i="9"/>
  <c r="G22" i="9"/>
  <c r="B22" i="9"/>
  <c r="G18" i="9"/>
  <c r="B18" i="9"/>
  <c r="G17" i="9"/>
  <c r="B17" i="9"/>
  <c r="G16" i="9"/>
  <c r="B16" i="9"/>
  <c r="G15" i="9"/>
  <c r="B15" i="9"/>
  <c r="G14" i="9"/>
  <c r="B14" i="9"/>
  <c r="G13" i="9"/>
  <c r="B13" i="9"/>
  <c r="G12" i="9"/>
  <c r="B12" i="9"/>
  <c r="G11" i="9"/>
  <c r="B11" i="9"/>
  <c r="G7" i="9"/>
  <c r="B7" i="9"/>
  <c r="G6" i="9"/>
  <c r="B6" i="9"/>
  <c r="G5" i="9"/>
  <c r="B5" i="9"/>
  <c r="W72" i="8"/>
  <c r="V72" i="8"/>
  <c r="Z72" i="8" s="1"/>
  <c r="AA72" i="8" s="1"/>
  <c r="N72" i="8"/>
  <c r="AF71" i="8"/>
  <c r="AE71" i="8"/>
  <c r="Z71" i="8"/>
  <c r="W71" i="8"/>
  <c r="V71" i="8"/>
  <c r="N71" i="8"/>
  <c r="AF70" i="8"/>
  <c r="AE70" i="8"/>
  <c r="W70" i="8"/>
  <c r="V70" i="8"/>
  <c r="Z70" i="8" s="1"/>
  <c r="N70" i="8"/>
  <c r="AF69" i="8"/>
  <c r="AE69" i="8"/>
  <c r="W69" i="8"/>
  <c r="V69" i="8"/>
  <c r="N69" i="8"/>
  <c r="AF68" i="8"/>
  <c r="AE68" i="8"/>
  <c r="W68" i="8"/>
  <c r="V68" i="8"/>
  <c r="N68" i="8"/>
  <c r="W67" i="8"/>
  <c r="V67" i="8"/>
  <c r="Z67" i="8" s="1"/>
  <c r="N67" i="8"/>
  <c r="AF66" i="8"/>
  <c r="AE66" i="8"/>
  <c r="W66" i="8"/>
  <c r="V66" i="8"/>
  <c r="Z66" i="8" s="1"/>
  <c r="N66" i="8"/>
  <c r="AF65" i="8"/>
  <c r="AE65" i="8"/>
  <c r="W65" i="8"/>
  <c r="V65" i="8"/>
  <c r="Z65" i="8" s="1"/>
  <c r="N65" i="8"/>
  <c r="AF64" i="8"/>
  <c r="AE64" i="8"/>
  <c r="Z64" i="8"/>
  <c r="W64" i="8"/>
  <c r="AA64" i="8" s="1"/>
  <c r="V64" i="8"/>
  <c r="N64" i="8"/>
  <c r="AF63" i="8"/>
  <c r="AE63" i="8"/>
  <c r="W63" i="8"/>
  <c r="V63" i="8"/>
  <c r="N63" i="8"/>
  <c r="AF62" i="8"/>
  <c r="AE62" i="8"/>
  <c r="W62" i="8"/>
  <c r="V62" i="8"/>
  <c r="Z62" i="8" s="1"/>
  <c r="AA62" i="8" s="1"/>
  <c r="N62" i="8"/>
  <c r="AF61" i="8"/>
  <c r="AE61" i="8"/>
  <c r="Z61" i="8"/>
  <c r="W61" i="8"/>
  <c r="V61" i="8"/>
  <c r="N61" i="8"/>
  <c r="AF60" i="8"/>
  <c r="AE60" i="8"/>
  <c r="W60" i="8"/>
  <c r="V60" i="8"/>
  <c r="Z60" i="8" s="1"/>
  <c r="N60" i="8"/>
  <c r="AF59" i="8"/>
  <c r="AE59" i="8"/>
  <c r="W59" i="8"/>
  <c r="V59" i="8"/>
  <c r="Z59" i="8" s="1"/>
  <c r="N59" i="8"/>
  <c r="AF58" i="8"/>
  <c r="AE58" i="8"/>
  <c r="W58" i="8"/>
  <c r="V58" i="8"/>
  <c r="Z58" i="8" s="1"/>
  <c r="N58" i="8"/>
  <c r="AF57" i="8"/>
  <c r="AE57" i="8"/>
  <c r="W57" i="8"/>
  <c r="V57" i="8"/>
  <c r="N57" i="8"/>
  <c r="AF56" i="8"/>
  <c r="AE56" i="8"/>
  <c r="Z56" i="8"/>
  <c r="W56" i="8"/>
  <c r="V56" i="8"/>
  <c r="N56" i="8"/>
  <c r="AF55" i="8"/>
  <c r="AE55" i="8"/>
  <c r="W55" i="8"/>
  <c r="V55" i="8"/>
  <c r="N55" i="8"/>
  <c r="AF54" i="8"/>
  <c r="AE54" i="8"/>
  <c r="W54" i="8"/>
  <c r="V54" i="8"/>
  <c r="Z54" i="8" s="1"/>
  <c r="AA54" i="8" s="1"/>
  <c r="N54" i="8"/>
  <c r="AF53" i="8"/>
  <c r="AE53" i="8"/>
  <c r="Z53" i="8"/>
  <c r="W53" i="8"/>
  <c r="V53" i="8"/>
  <c r="N53" i="8"/>
  <c r="AF52" i="8"/>
  <c r="AE52" i="8"/>
  <c r="W52" i="8"/>
  <c r="V52" i="8"/>
  <c r="C31" i="9" s="1"/>
  <c r="N52" i="8"/>
  <c r="AF51" i="8"/>
  <c r="AE51" i="8"/>
  <c r="W51" i="8"/>
  <c r="V51" i="8"/>
  <c r="Z51" i="8" s="1"/>
  <c r="N51" i="8"/>
  <c r="AF50" i="8"/>
  <c r="AE50" i="8"/>
  <c r="W50" i="8"/>
  <c r="V50" i="8"/>
  <c r="Z50" i="8" s="1"/>
  <c r="N50" i="8"/>
  <c r="AF49" i="8"/>
  <c r="AE49" i="8"/>
  <c r="W49" i="8"/>
  <c r="V49" i="8"/>
  <c r="Z49" i="8" s="1"/>
  <c r="N49" i="8"/>
  <c r="D25" i="10" s="1"/>
  <c r="AF48" i="8"/>
  <c r="AE48" i="8"/>
  <c r="Z48" i="8"/>
  <c r="W48" i="8"/>
  <c r="V48" i="8"/>
  <c r="N48" i="8"/>
  <c r="AF47" i="8"/>
  <c r="AE47" i="8"/>
  <c r="W47" i="8"/>
  <c r="V47" i="8"/>
  <c r="N47" i="8"/>
  <c r="D24" i="10" s="1"/>
  <c r="AF46" i="8"/>
  <c r="AE46" i="8"/>
  <c r="W46" i="8"/>
  <c r="V46" i="8"/>
  <c r="Z46" i="8" s="1"/>
  <c r="AA46" i="8" s="1"/>
  <c r="N46" i="8"/>
  <c r="AF45" i="8"/>
  <c r="AE45" i="8"/>
  <c r="Z45" i="8"/>
  <c r="W45" i="8"/>
  <c r="V45" i="8"/>
  <c r="N45" i="8"/>
  <c r="W44" i="8"/>
  <c r="V44" i="8"/>
  <c r="E18" i="9" s="1"/>
  <c r="N44" i="8"/>
  <c r="W43" i="8"/>
  <c r="V43" i="8"/>
  <c r="N43" i="8"/>
  <c r="D21" i="10" s="1"/>
  <c r="AF42" i="8"/>
  <c r="AE42" i="8"/>
  <c r="W42" i="8"/>
  <c r="V42" i="8"/>
  <c r="Z42" i="8" s="1"/>
  <c r="N42" i="8"/>
  <c r="W41" i="8"/>
  <c r="V41" i="8"/>
  <c r="Z41" i="8" s="1"/>
  <c r="N41" i="8"/>
  <c r="W40" i="8"/>
  <c r="V40" i="8"/>
  <c r="Z40" i="8" s="1"/>
  <c r="N40" i="8"/>
  <c r="AF39" i="8"/>
  <c r="AE39" i="8"/>
  <c r="W39" i="8"/>
  <c r="V39" i="8"/>
  <c r="N39" i="8"/>
  <c r="AF38" i="8"/>
  <c r="AE38" i="8"/>
  <c r="W38" i="8"/>
  <c r="V38" i="8"/>
  <c r="Z38" i="8" s="1"/>
  <c r="N38" i="8"/>
  <c r="AF37" i="8"/>
  <c r="AE37" i="8"/>
  <c r="W37" i="8"/>
  <c r="V37" i="8"/>
  <c r="Z37" i="8" s="1"/>
  <c r="AA37" i="8" s="1"/>
  <c r="N37" i="8"/>
  <c r="D19" i="10" s="1"/>
  <c r="AF36" i="8"/>
  <c r="AE36" i="8"/>
  <c r="Z36" i="8"/>
  <c r="W36" i="8"/>
  <c r="V36" i="8"/>
  <c r="N36" i="8"/>
  <c r="AF35" i="8"/>
  <c r="AE35" i="8"/>
  <c r="W35" i="8"/>
  <c r="V35" i="8"/>
  <c r="N35" i="8"/>
  <c r="AF34" i="8"/>
  <c r="AE34" i="8"/>
  <c r="W34" i="8"/>
  <c r="V34" i="8"/>
  <c r="Z34" i="8" s="1"/>
  <c r="AA34" i="8" s="1"/>
  <c r="N34" i="8"/>
  <c r="AF33" i="8"/>
  <c r="AE33" i="8"/>
  <c r="Z33" i="8"/>
  <c r="W33" i="8"/>
  <c r="V33" i="8"/>
  <c r="N33" i="8"/>
  <c r="AF32" i="8"/>
  <c r="AE32" i="8"/>
  <c r="W32" i="8"/>
  <c r="V32" i="8"/>
  <c r="Z32" i="8" s="1"/>
  <c r="N32" i="8"/>
  <c r="D16" i="10" s="1"/>
  <c r="AF31" i="8"/>
  <c r="AE31" i="8"/>
  <c r="W31" i="8"/>
  <c r="V31" i="8"/>
  <c r="N31" i="8"/>
  <c r="AF30" i="8"/>
  <c r="AE30" i="8"/>
  <c r="W30" i="8"/>
  <c r="V30" i="8"/>
  <c r="Z30" i="8" s="1"/>
  <c r="N30" i="8"/>
  <c r="AF29" i="8"/>
  <c r="AE29" i="8"/>
  <c r="W29" i="8"/>
  <c r="V29" i="8"/>
  <c r="N29" i="8"/>
  <c r="AF28" i="8"/>
  <c r="AE28" i="8"/>
  <c r="Z28" i="8"/>
  <c r="AA28" i="8" s="1"/>
  <c r="W28" i="8"/>
  <c r="V28" i="8"/>
  <c r="N28" i="8"/>
  <c r="AF27" i="8"/>
  <c r="AE27" i="8"/>
  <c r="W27" i="8"/>
  <c r="V27" i="8"/>
  <c r="N27" i="8"/>
  <c r="AF26" i="8"/>
  <c r="AE26" i="8"/>
  <c r="W26" i="8"/>
  <c r="V26" i="8"/>
  <c r="Z26" i="8" s="1"/>
  <c r="AA26" i="8" s="1"/>
  <c r="N26" i="8"/>
  <c r="AF25" i="8"/>
  <c r="AE25" i="8"/>
  <c r="Z25" i="8"/>
  <c r="W25" i="8"/>
  <c r="V25" i="8"/>
  <c r="N25" i="8"/>
  <c r="AF24" i="8"/>
  <c r="AE24" i="8"/>
  <c r="W24" i="8"/>
  <c r="V24" i="8"/>
  <c r="Z24" i="8" s="1"/>
  <c r="N24" i="8"/>
  <c r="D12" i="10" s="1"/>
  <c r="AF23" i="8"/>
  <c r="AE23" i="8"/>
  <c r="W23" i="8"/>
  <c r="V23" i="8"/>
  <c r="N23" i="8"/>
  <c r="AF22" i="8"/>
  <c r="AE22" i="8"/>
  <c r="W22" i="8"/>
  <c r="V22" i="8"/>
  <c r="Z22" i="8" s="1"/>
  <c r="N22" i="8"/>
  <c r="AF21" i="8"/>
  <c r="AE21" i="8"/>
  <c r="W21" i="8"/>
  <c r="V21" i="8"/>
  <c r="Z21" i="8" s="1"/>
  <c r="AA21" i="8" s="1"/>
  <c r="N21" i="8"/>
  <c r="AF20" i="8"/>
  <c r="AE20" i="8"/>
  <c r="Z20" i="8"/>
  <c r="AA20" i="8" s="1"/>
  <c r="W20" i="8"/>
  <c r="V20" i="8"/>
  <c r="N20" i="8"/>
  <c r="AF19" i="8"/>
  <c r="AE19" i="8"/>
  <c r="W19" i="8"/>
  <c r="V19" i="8"/>
  <c r="Z19" i="8" s="1"/>
  <c r="N19" i="8"/>
  <c r="AF18" i="8"/>
  <c r="AE18" i="8"/>
  <c r="W18" i="8"/>
  <c r="V18" i="8"/>
  <c r="Z18" i="8" s="1"/>
  <c r="AA18" i="8" s="1"/>
  <c r="N18" i="8"/>
  <c r="AF17" i="8"/>
  <c r="AE17" i="8"/>
  <c r="Z17" i="8"/>
  <c r="W17" i="8"/>
  <c r="V17" i="8"/>
  <c r="N17" i="8"/>
  <c r="AF16" i="8"/>
  <c r="AE16" i="8"/>
  <c r="W16" i="8"/>
  <c r="V16" i="8"/>
  <c r="Z16" i="8" s="1"/>
  <c r="N16" i="8"/>
  <c r="AF15" i="8"/>
  <c r="AE15" i="8"/>
  <c r="W15" i="8"/>
  <c r="V15" i="8"/>
  <c r="N15" i="8"/>
  <c r="AF14" i="8"/>
  <c r="AE14" i="8"/>
  <c r="W14" i="8"/>
  <c r="V14" i="8"/>
  <c r="C33" i="9" s="1"/>
  <c r="J33" i="9" s="1"/>
  <c r="N14" i="8"/>
  <c r="AF13" i="8"/>
  <c r="AE13" i="8"/>
  <c r="W13" i="8"/>
  <c r="V13" i="8"/>
  <c r="N13" i="8"/>
  <c r="AF12" i="8"/>
  <c r="AE12" i="8"/>
  <c r="Z12" i="8"/>
  <c r="AA12" i="8" s="1"/>
  <c r="W12" i="8"/>
  <c r="V12" i="8"/>
  <c r="N12" i="8"/>
  <c r="AF11" i="8"/>
  <c r="AE11" i="8"/>
  <c r="W11" i="8"/>
  <c r="V11" i="8"/>
  <c r="Z11" i="8" s="1"/>
  <c r="N11" i="8"/>
  <c r="AF10" i="8"/>
  <c r="AE10" i="8"/>
  <c r="W10" i="8"/>
  <c r="V10" i="8"/>
  <c r="N10" i="8"/>
  <c r="AF9" i="8"/>
  <c r="AE9" i="8"/>
  <c r="Z9" i="8"/>
  <c r="W9" i="8"/>
  <c r="V9" i="8"/>
  <c r="N9" i="8"/>
  <c r="AF8" i="8"/>
  <c r="AE8" i="8"/>
  <c r="Z8" i="8"/>
  <c r="AA8" i="8" s="1"/>
  <c r="W8" i="8"/>
  <c r="V8" i="8"/>
  <c r="N8" i="8"/>
  <c r="W7" i="8"/>
  <c r="V7" i="8"/>
  <c r="N7" i="8"/>
  <c r="W6" i="8"/>
  <c r="V6" i="8"/>
  <c r="D35" i="9" s="1"/>
  <c r="N6" i="8"/>
  <c r="W5" i="8"/>
  <c r="V5" i="8"/>
  <c r="C34" i="9" s="1"/>
  <c r="N5" i="8"/>
  <c r="D5" i="10" s="1"/>
  <c r="I6" i="3"/>
  <c r="H6" i="3"/>
  <c r="G6" i="3"/>
  <c r="F6" i="3"/>
  <c r="E6" i="3"/>
  <c r="D6" i="3"/>
  <c r="C6" i="3"/>
  <c r="B6" i="3"/>
  <c r="I5" i="3"/>
  <c r="H5" i="3"/>
  <c r="G5" i="3"/>
  <c r="F5" i="3"/>
  <c r="E5" i="3"/>
  <c r="D5" i="3"/>
  <c r="C5" i="3"/>
  <c r="B5" i="3"/>
  <c r="I4" i="3"/>
  <c r="H4" i="3"/>
  <c r="G4" i="3"/>
  <c r="F4" i="3"/>
  <c r="E4" i="3"/>
  <c r="D4" i="3"/>
  <c r="C4" i="3"/>
  <c r="B4" i="3"/>
  <c r="B14" i="2"/>
  <c r="B13" i="2"/>
  <c r="B12" i="2"/>
  <c r="B11" i="2"/>
  <c r="B10" i="2"/>
  <c r="B9" i="2"/>
  <c r="B8" i="2"/>
  <c r="B7" i="2"/>
  <c r="B6" i="2"/>
  <c r="B5" i="2"/>
  <c r="B4" i="2"/>
  <c r="D9" i="10" l="1"/>
  <c r="AA24" i="8"/>
  <c r="AA40" i="8"/>
  <c r="AA52" i="8"/>
  <c r="AA70" i="8"/>
  <c r="I6" i="10"/>
  <c r="J10" i="10"/>
  <c r="I30" i="10"/>
  <c r="C32" i="10"/>
  <c r="J41" i="10"/>
  <c r="C8" i="32"/>
  <c r="AA17" i="8"/>
  <c r="AA30" i="8"/>
  <c r="AA33" i="8"/>
  <c r="C6" i="9"/>
  <c r="Z52" i="8"/>
  <c r="AA58" i="8"/>
  <c r="AA61" i="8"/>
  <c r="D32" i="10"/>
  <c r="C13" i="9"/>
  <c r="J13" i="9" s="1"/>
  <c r="AA36" i="8"/>
  <c r="AA48" i="8"/>
  <c r="C14" i="9"/>
  <c r="B27" i="9"/>
  <c r="G38" i="9"/>
  <c r="I7" i="10"/>
  <c r="I11" i="10"/>
  <c r="I19" i="10"/>
  <c r="C25" i="10"/>
  <c r="E31" i="10"/>
  <c r="D35" i="10"/>
  <c r="Z13" i="8"/>
  <c r="AA13" i="8" s="1"/>
  <c r="AA16" i="8"/>
  <c r="D11" i="10"/>
  <c r="AA32" i="8"/>
  <c r="C15" i="9"/>
  <c r="J15" i="9" s="1"/>
  <c r="D27" i="10"/>
  <c r="AA60" i="8"/>
  <c r="J5" i="10"/>
  <c r="J9" i="10"/>
  <c r="C14" i="10"/>
  <c r="I15" i="10"/>
  <c r="C17" i="10"/>
  <c r="I23" i="10"/>
  <c r="I27" i="10"/>
  <c r="I32" i="10"/>
  <c r="E35" i="10"/>
  <c r="D6" i="32"/>
  <c r="B22" i="36"/>
  <c r="H14" i="9"/>
  <c r="I14" i="9" s="1"/>
  <c r="D30" i="9"/>
  <c r="Z5" i="8"/>
  <c r="AA5" i="8" s="1"/>
  <c r="F34" i="9" s="1"/>
  <c r="D8" i="10"/>
  <c r="AA22" i="8"/>
  <c r="AA25" i="8"/>
  <c r="E14" i="9"/>
  <c r="Z29" i="8"/>
  <c r="AA29" i="8" s="1"/>
  <c r="AA38" i="8"/>
  <c r="AA50" i="8"/>
  <c r="AA53" i="8"/>
  <c r="Z57" i="8"/>
  <c r="AA57" i="8" s="1"/>
  <c r="D28" i="10"/>
  <c r="AA66" i="8"/>
  <c r="AA71" i="8"/>
  <c r="J21" i="10"/>
  <c r="J25" i="10"/>
  <c r="I36" i="10"/>
  <c r="E39" i="10"/>
  <c r="AA42" i="8"/>
  <c r="AA56" i="8"/>
  <c r="AA49" i="8"/>
  <c r="AA65" i="8"/>
  <c r="J6" i="9"/>
  <c r="D8" i="32"/>
  <c r="B10" i="30"/>
  <c r="F36" i="9"/>
  <c r="F26" i="9"/>
  <c r="J31" i="9"/>
  <c r="Z27" i="8"/>
  <c r="AA27" i="8" s="1"/>
  <c r="Z35" i="8"/>
  <c r="AA35" i="8" s="1"/>
  <c r="Z6" i="8"/>
  <c r="C23" i="9"/>
  <c r="J23" i="9" s="1"/>
  <c r="E11" i="9"/>
  <c r="Z10" i="8"/>
  <c r="AA10" i="8" s="1"/>
  <c r="AA11" i="8"/>
  <c r="AA19" i="8"/>
  <c r="D36" i="9"/>
  <c r="D26" i="9"/>
  <c r="AA41" i="8"/>
  <c r="Z44" i="8"/>
  <c r="AA44" i="8" s="1"/>
  <c r="AA51" i="8"/>
  <c r="AA59" i="8"/>
  <c r="AA67" i="8"/>
  <c r="D11" i="9"/>
  <c r="H15" i="9"/>
  <c r="B19" i="9"/>
  <c r="C22" i="9"/>
  <c r="E23" i="9"/>
  <c r="D25" i="9"/>
  <c r="H30" i="9"/>
  <c r="J34" i="9"/>
  <c r="C35" i="9"/>
  <c r="J35" i="9" s="1"/>
  <c r="E36" i="9"/>
  <c r="E11" i="10"/>
  <c r="J17" i="10"/>
  <c r="C21" i="10"/>
  <c r="I28" i="10"/>
  <c r="D30" i="10"/>
  <c r="D31" i="10"/>
  <c r="D33" i="10"/>
  <c r="J37" i="10"/>
  <c r="D39" i="10"/>
  <c r="D12" i="9"/>
  <c r="C17" i="9"/>
  <c r="J17" i="9" s="1"/>
  <c r="D7" i="9"/>
  <c r="H13" i="9"/>
  <c r="I13" i="9" s="1"/>
  <c r="E22" i="9"/>
  <c r="D33" i="9"/>
  <c r="D18" i="10"/>
  <c r="D7" i="11"/>
  <c r="E7" i="11" s="1"/>
  <c r="E35" i="9"/>
  <c r="E25" i="9"/>
  <c r="D22" i="9"/>
  <c r="D16" i="9"/>
  <c r="E5" i="9"/>
  <c r="AA6" i="8"/>
  <c r="H36" i="9"/>
  <c r="I36" i="9" s="1"/>
  <c r="H26" i="9"/>
  <c r="I26" i="9" s="1"/>
  <c r="H16" i="9"/>
  <c r="I16" i="9" s="1"/>
  <c r="H6" i="9"/>
  <c r="I6" i="9" s="1"/>
  <c r="H32" i="9"/>
  <c r="I32" i="9" s="1"/>
  <c r="H22" i="9"/>
  <c r="H12" i="9"/>
  <c r="I12" i="9" s="1"/>
  <c r="AA9" i="8"/>
  <c r="C7" i="9"/>
  <c r="J7" i="9" s="1"/>
  <c r="B8" i="9"/>
  <c r="E7" i="9"/>
  <c r="D17" i="9"/>
  <c r="C18" i="9"/>
  <c r="J18" i="9" s="1"/>
  <c r="C32" i="9"/>
  <c r="J32" i="9" s="1"/>
  <c r="E33" i="9"/>
  <c r="D34" i="9"/>
  <c r="H37" i="9"/>
  <c r="I37" i="9" s="1"/>
  <c r="D6" i="10"/>
  <c r="D7" i="10"/>
  <c r="C18" i="10"/>
  <c r="C29" i="10"/>
  <c r="I34" i="10"/>
  <c r="Z15" i="8"/>
  <c r="Z23" i="8"/>
  <c r="AA23" i="8" s="1"/>
  <c r="Z31" i="8"/>
  <c r="AA31" i="8" s="1"/>
  <c r="F14" i="9" s="1"/>
  <c r="Z39" i="8"/>
  <c r="AA39" i="8" s="1"/>
  <c r="Z43" i="8"/>
  <c r="AA43" i="8" s="1"/>
  <c r="D6" i="11"/>
  <c r="E6" i="11" s="1"/>
  <c r="D6" i="9"/>
  <c r="Z47" i="8"/>
  <c r="AA47" i="8" s="1"/>
  <c r="Z55" i="8"/>
  <c r="AA55" i="8" s="1"/>
  <c r="Z63" i="8"/>
  <c r="AA63" i="8" s="1"/>
  <c r="F31" i="9" s="1"/>
  <c r="Z69" i="8"/>
  <c r="AA69" i="8" s="1"/>
  <c r="C5" i="9"/>
  <c r="E6" i="9"/>
  <c r="G8" i="9"/>
  <c r="H11" i="9"/>
  <c r="I11" i="9" s="1"/>
  <c r="C16" i="9"/>
  <c r="J16" i="9" s="1"/>
  <c r="E17" i="9"/>
  <c r="D18" i="9"/>
  <c r="G27" i="9"/>
  <c r="H23" i="9"/>
  <c r="I23" i="9" s="1"/>
  <c r="H25" i="9"/>
  <c r="I25" i="9" s="1"/>
  <c r="B38" i="9"/>
  <c r="E32" i="9"/>
  <c r="E34" i="9"/>
  <c r="E7" i="10"/>
  <c r="J13" i="10"/>
  <c r="E18" i="10"/>
  <c r="I24" i="10"/>
  <c r="D26" i="10"/>
  <c r="D29" i="10"/>
  <c r="E37" i="10"/>
  <c r="C37" i="10"/>
  <c r="K6" i="14"/>
  <c r="Z14" i="8"/>
  <c r="AA14" i="8" s="1"/>
  <c r="F33" i="9" s="1"/>
  <c r="AA15" i="8"/>
  <c r="F12" i="9" s="1"/>
  <c r="E31" i="9"/>
  <c r="Z68" i="8"/>
  <c r="AA68" i="8" s="1"/>
  <c r="D5" i="9"/>
  <c r="D8" i="9" s="1"/>
  <c r="J14" i="9"/>
  <c r="E16" i="9"/>
  <c r="G19" i="9"/>
  <c r="I22" i="9"/>
  <c r="H24" i="9"/>
  <c r="C30" i="9"/>
  <c r="D31" i="9"/>
  <c r="D38" i="9" s="1"/>
  <c r="H35" i="9"/>
  <c r="I35" i="9" s="1"/>
  <c r="C5" i="10"/>
  <c r="E6" i="10"/>
  <c r="I12" i="10"/>
  <c r="D14" i="10"/>
  <c r="D15" i="10"/>
  <c r="D17" i="10"/>
  <c r="C26" i="10"/>
  <c r="E27" i="10"/>
  <c r="J33" i="10"/>
  <c r="D37" i="10"/>
  <c r="I40" i="10"/>
  <c r="Z7" i="8"/>
  <c r="AA7" i="8" s="1"/>
  <c r="D32" i="9"/>
  <c r="E15" i="9"/>
  <c r="H7" i="9"/>
  <c r="I7" i="9" s="1"/>
  <c r="D13" i="9"/>
  <c r="D15" i="9"/>
  <c r="H33" i="9"/>
  <c r="I33" i="9" s="1"/>
  <c r="H34" i="9"/>
  <c r="I34" i="9" s="1"/>
  <c r="D5" i="11"/>
  <c r="E5" i="11" s="1"/>
  <c r="C37" i="9"/>
  <c r="J37" i="9" s="1"/>
  <c r="AA45" i="8"/>
  <c r="C12" i="9"/>
  <c r="J12" i="9" s="1"/>
  <c r="E13" i="9"/>
  <c r="D14" i="9"/>
  <c r="H17" i="9"/>
  <c r="I17" i="9" s="1"/>
  <c r="H18" i="9"/>
  <c r="I18" i="9" s="1"/>
  <c r="C26" i="9"/>
  <c r="J26" i="9" s="1"/>
  <c r="E30" i="9"/>
  <c r="D37" i="9"/>
  <c r="C13" i="10"/>
  <c r="I18" i="10"/>
  <c r="D22" i="10"/>
  <c r="D23" i="10"/>
  <c r="C34" i="10"/>
  <c r="I38" i="10"/>
  <c r="C41" i="10"/>
  <c r="H5" i="9"/>
  <c r="C11" i="9"/>
  <c r="J11" i="9" s="1"/>
  <c r="E12" i="9"/>
  <c r="I15" i="9"/>
  <c r="D23" i="9"/>
  <c r="C25" i="9"/>
  <c r="J25" i="9" s="1"/>
  <c r="E26" i="9"/>
  <c r="H31" i="9"/>
  <c r="I31" i="9" s="1"/>
  <c r="C36" i="9"/>
  <c r="J36" i="9" s="1"/>
  <c r="E37" i="9"/>
  <c r="I8" i="10"/>
  <c r="D10" i="10"/>
  <c r="D13" i="10"/>
  <c r="E23" i="10"/>
  <c r="J29" i="10"/>
  <c r="E34" i="10"/>
  <c r="D41" i="10"/>
  <c r="F22" i="36"/>
  <c r="J30" i="9"/>
  <c r="C22" i="36"/>
  <c r="D22" i="36"/>
  <c r="E22" i="36"/>
  <c r="H8" i="9" l="1"/>
  <c r="C8" i="9"/>
  <c r="F23" i="9"/>
  <c r="F16" i="9"/>
  <c r="F15" i="9"/>
  <c r="F32" i="9"/>
  <c r="F13" i="9"/>
  <c r="F22" i="9"/>
  <c r="F30" i="9"/>
  <c r="F11" i="9"/>
  <c r="I5" i="9"/>
  <c r="E38" i="9"/>
  <c r="F6" i="9"/>
  <c r="C38" i="9"/>
  <c r="F17" i="9"/>
  <c r="J38" i="9"/>
  <c r="I8" i="9"/>
  <c r="E8" i="9"/>
  <c r="H27" i="9"/>
  <c r="E27" i="9"/>
  <c r="J5" i="9"/>
  <c r="D27" i="9"/>
  <c r="D19" i="9"/>
  <c r="I27" i="9"/>
  <c r="H38" i="9"/>
  <c r="I38" i="9" s="1"/>
  <c r="I30" i="9"/>
  <c r="C19" i="9"/>
  <c r="J19" i="9" s="1"/>
  <c r="F36" i="10"/>
  <c r="H36" i="10" s="1"/>
  <c r="F28" i="10"/>
  <c r="H28" i="10" s="1"/>
  <c r="F20" i="10"/>
  <c r="H20" i="10" s="1"/>
  <c r="F12" i="10"/>
  <c r="H12" i="10" s="1"/>
  <c r="F40" i="10"/>
  <c r="H40" i="10" s="1"/>
  <c r="F32" i="10"/>
  <c r="H32" i="10" s="1"/>
  <c r="F24" i="10"/>
  <c r="H24" i="10" s="1"/>
  <c r="F16" i="10"/>
  <c r="H16" i="10" s="1"/>
  <c r="F8" i="10"/>
  <c r="H8" i="10" s="1"/>
  <c r="F35" i="10"/>
  <c r="H35" i="10" s="1"/>
  <c r="F25" i="10"/>
  <c r="H25" i="10" s="1"/>
  <c r="F14" i="10"/>
  <c r="H14" i="10" s="1"/>
  <c r="F26" i="10"/>
  <c r="H26" i="10" s="1"/>
  <c r="F15" i="10"/>
  <c r="H15" i="10" s="1"/>
  <c r="F5" i="10"/>
  <c r="H5" i="10" s="1"/>
  <c r="F37" i="10"/>
  <c r="H37" i="10" s="1"/>
  <c r="F27" i="10"/>
  <c r="H27" i="10" s="1"/>
  <c r="F17" i="10"/>
  <c r="H17" i="10" s="1"/>
  <c r="F6" i="10"/>
  <c r="H6" i="10" s="1"/>
  <c r="F38" i="10"/>
  <c r="H38" i="10" s="1"/>
  <c r="F29" i="10"/>
  <c r="H29" i="10" s="1"/>
  <c r="F18" i="10"/>
  <c r="H18" i="10" s="1"/>
  <c r="F7" i="10"/>
  <c r="H7" i="10" s="1"/>
  <c r="F30" i="10"/>
  <c r="H30" i="10" s="1"/>
  <c r="F19" i="10"/>
  <c r="H19" i="10" s="1"/>
  <c r="F9" i="10"/>
  <c r="H9" i="10" s="1"/>
  <c r="F39" i="10"/>
  <c r="H39" i="10" s="1"/>
  <c r="F31" i="10"/>
  <c r="H31" i="10" s="1"/>
  <c r="F21" i="10"/>
  <c r="H21" i="10" s="1"/>
  <c r="F10" i="10"/>
  <c r="H10" i="10" s="1"/>
  <c r="F33" i="10"/>
  <c r="H33" i="10" s="1"/>
  <c r="F22" i="10"/>
  <c r="H22" i="10" s="1"/>
  <c r="F11" i="10"/>
  <c r="H11" i="10" s="1"/>
  <c r="F41" i="10"/>
  <c r="H41" i="10" s="1"/>
  <c r="F34" i="10"/>
  <c r="H34" i="10" s="1"/>
  <c r="F23" i="10"/>
  <c r="H23" i="10" s="1"/>
  <c r="F13" i="10"/>
  <c r="H13" i="10" s="1"/>
  <c r="J8" i="9"/>
  <c r="F18" i="9"/>
  <c r="F37" i="9"/>
  <c r="E19" i="9"/>
  <c r="F7" i="9"/>
  <c r="H19" i="9"/>
  <c r="I19" i="9" s="1"/>
  <c r="F35" i="9"/>
  <c r="F25" i="9"/>
  <c r="C27" i="9"/>
  <c r="J27" i="9" s="1"/>
  <c r="J22" i="9"/>
  <c r="F5" i="9"/>
  <c r="F8" i="9" l="1"/>
  <c r="F19" i="9"/>
  <c r="F38" i="9"/>
  <c r="F27" i="9"/>
</calcChain>
</file>

<file path=xl/sharedStrings.xml><?xml version="1.0" encoding="utf-8"?>
<sst xmlns="http://schemas.openxmlformats.org/spreadsheetml/2006/main" count="40369" uniqueCount="8980">
  <si>
    <t>Truth snapshot</t>
  </si>
  <si>
    <t>As of</t>
  </si>
  <si>
    <t>05 Oct 2026</t>
  </si>
  <si>
    <t>What this workbook is</t>
  </si>
  <si>
    <t>The single source of truth for plan status, task status and test evidence. Anything not recorded here is not claimed.</t>
  </si>
  <si>
    <t>Code state</t>
  </si>
  <si>
    <t>All implementation is in the uncommitted working tree. Nothing is committed, merged or deployed.</t>
  </si>
  <si>
    <t>Test run</t>
  </si>
  <si>
    <t>Backend full suite on SQLite: 3082 passed, 0 failed, 35 skipped. Postgres-only concurrency tests are skipped on SQLite and have not been run since the changes. Web: vitest, tsc -b and ESLint are clean at the last full run.</t>
  </si>
  <si>
    <t>Plan items</t>
  </si>
  <si>
    <t>68 items: 16 Built, 46 Partial, 6 Not built (judged against each item's own scope, from code and tests).</t>
  </si>
  <si>
    <t>Sign-off</t>
  </si>
  <si>
    <t>No item is Done. Review is In progress on every Built item: agent review has run, a human has not signed. Decision and external items (host, CA, pharmacist, gateway, devices) are not recorded.</t>
  </si>
  <si>
    <t>Code review</t>
  </si>
  <si>
    <t>69 findings across two rounds: 59 fixed, 8 open, 2 reverted. See the Code review 2026-10-05 sheet.</t>
  </si>
  <si>
    <t>Freeze</t>
  </si>
  <si>
    <t>Live NIC e-way, GSTR-2B API, Tally and WhatsApp Cloud stay off. Built items for those are stubs or stored fields only.</t>
  </si>
  <si>
    <t>Before any deploy</t>
  </si>
  <si>
    <t>Set PLANWAVE_DATA_KEY and MFA_ENCRYPTION_KEY; run manage.py seal_bank_accounts once; start workers with -Q celery,high_priority,media_heavy,reports; apply migrations (planwave 0004, masters 0030, inventory 0026-0027, core 0051, sales 0063).</t>
  </si>
  <si>
    <t>Known open items</t>
  </si>
  <si>
    <t>COD cash receipts on routes, 206AB rates for company vendors, AA consent verification, WhatsApp opt-in source, wall-clock SLA tests, lower-severity web items, Postgres re-run of concurrency tests.</t>
  </si>
  <si>
    <t>Founder view</t>
  </si>
  <si>
    <t>Live counts from the task register. A task is verified only when Verification result is Pass. That column is Not run until a test is linked. OS ready stays at zero until all five gates have evidence.</t>
  </si>
  <si>
    <t>Question</t>
  </si>
  <si>
    <t>Count</t>
  </si>
  <si>
    <t>How to read it</t>
  </si>
  <si>
    <t>Tasks</t>
  </si>
  <si>
    <t>The frozen universe.</t>
  </si>
  <si>
    <t>MVP (current P0)</t>
  </si>
  <si>
    <t>Pilot scope to approve or cut. Release gate is not frozen until you sign it.</t>
  </si>
  <si>
    <t>Pilot (core P1, RUN or CONTROL)</t>
  </si>
  <si>
    <t>Comes after MVP. This is a rule, not a target of 290.</t>
  </si>
  <si>
    <t>Later</t>
  </si>
  <si>
    <t>Hidden from the pilot board. Still in the register.</t>
  </si>
  <si>
    <t>MVP with a passing test</t>
  </si>
  <si>
    <t>Go / no-go numerator. Threshold is a decision, not a formula.</t>
  </si>
  <si>
    <t>MVP with a test id</t>
  </si>
  <si>
    <t>Linked tests that have not been scored as a pass.</t>
  </si>
  <si>
    <t>Open gaps</t>
  </si>
  <si>
    <t>Mechanism not found. Do not claim these.</t>
  </si>
  <si>
    <t>Built, only partly</t>
  </si>
  <si>
    <t>The partial claims.</t>
  </si>
  <si>
    <t>Tasks with no owner</t>
  </si>
  <si>
    <t>Fill owners on MVP rows first.</t>
  </si>
  <si>
    <t>Tasks with no test id</t>
  </si>
  <si>
    <t>Validation status does not fill this.</t>
  </si>
  <si>
    <t>Tasks marked OS ready</t>
  </si>
  <si>
    <t>Stays at zero until G1 to G5 each have evidence.</t>
  </si>
  <si>
    <t>Four-week routine</t>
  </si>
  <si>
    <t>Week 1. Fill Decision owner and Decision date on P0 gap decisions. Approve or edit Proposed priority, then treat Release gate as frozen.</t>
  </si>
  <si>
    <t>Week 2. The compliance gaps stay open until someone builds them: admin second factor, a nightly invariant check with an alert, and an audit event test per posting action. This sheet does not mark them done.</t>
  </si>
  <si>
    <t>Week 3. Add one Test case ID per MVP task, money and stock and tax first. Set Verification result to Pass only when that test passes. Re-run the Postgres concurrency tests; they are still Not verified.</t>
  </si>
  <si>
    <t>Week 4. Fill Performance SLA actuals from a large-tenant seed, and Customer evidence from one pilot. Competitive targets stay hypotheses until then.</t>
  </si>
  <si>
    <t>Day to day</t>
  </si>
  <si>
    <t>Sprint planning</t>
  </si>
  <si>
    <t>Filter Task Register: Release gate = MVP, Work status = Gap or Built - unverified or Claimed - unverified, sort by Risk score.</t>
  </si>
  <si>
    <t>Pilot go / no-go</t>
  </si>
  <si>
    <t>MVP with a passing test, divided by MVP. Pick the threshold in the room. The sheet does not invent 90 percent.</t>
  </si>
  <si>
    <t>Due diligence</t>
  </si>
  <si>
    <t>Share P0 gap decisions, Security assurance, and Business integrity. The Not verified labels are the point.</t>
  </si>
  <si>
    <t>Hiring</t>
  </si>
  <si>
    <t>Role rollup names the area. Owner on the register names the person.</t>
  </si>
  <si>
    <t>Release notes</t>
  </si>
  <si>
    <t>Verification result = Pass. Validation status alone is an author or review label.</t>
  </si>
  <si>
    <t>Pilot readiness</t>
  </si>
  <si>
    <t>Three personas only, counted on Persona canonical so every distributor variant is included. Gate counts are MVP tasks with evidence for that gate. G4 and G5 are entered per task on Task Register. OS ready is a formula and needs all five gates.</t>
  </si>
  <si>
    <t>Persona (canonical)</t>
  </si>
  <si>
    <t>MVP tasks</t>
  </si>
  <si>
    <t>G1 functional</t>
  </si>
  <si>
    <t>G2 integrity</t>
  </si>
  <si>
    <t>G3 resilience and security</t>
  </si>
  <si>
    <t>G4 user validated</t>
  </si>
  <si>
    <t>G5 outcome</t>
  </si>
  <si>
    <t>All five gates (OS ready)</t>
  </si>
  <si>
    <t>Kirana / Small Retailer</t>
  </si>
  <si>
    <t>Distributor</t>
  </si>
  <si>
    <t>Accountant / Finance</t>
  </si>
  <si>
    <t>Why these three</t>
  </si>
  <si>
    <t>Kirana owner, distributor, and accountant are the first pilot desks. Other personas stay in the register and are not in this go / no-go.</t>
  </si>
  <si>
    <t>Open gap decisions</t>
  </si>
  <si>
    <t>One row per open or corrected claim, P0 first. Recommended decision is a proposal from the 2026-10-04 review. A decision owner and date must be entered by the founder.</t>
  </si>
  <si>
    <t>Task ID</t>
  </si>
  <si>
    <t>Claim</t>
  </si>
  <si>
    <t>Priority</t>
  </si>
  <si>
    <t>Status now</t>
  </si>
  <si>
    <t>Evidence checked</t>
  </si>
  <si>
    <t>Recommended decision</t>
  </si>
  <si>
    <t>Needs freeze exception</t>
  </si>
  <si>
    <t>Target release</t>
  </si>
  <si>
    <t>Decision</t>
  </si>
  <si>
    <t>Decision owner</t>
  </si>
  <si>
    <t>Decision date</t>
  </si>
  <si>
    <t>P-0115</t>
  </si>
  <si>
    <t>Maintain an audit trail</t>
  </si>
  <si>
    <t>P0</t>
  </si>
  <si>
    <t>Partial</t>
  </si>
  <si>
    <t>Hash chain and append-only guard exist. Coverage of every transaction type is not shown.</t>
  </si>
  <si>
    <t>Ship the gap: list every posting action, assert each writes an AuditEvent, add one test per action.</t>
  </si>
  <si>
    <t>Yes - compliance</t>
  </si>
  <si>
    <t>MVP</t>
  </si>
  <si>
    <t>Build in MVP (3 days)</t>
  </si>
  <si>
    <t>Founder (delegated to Claude)</t>
  </si>
  <si>
    <t>Status now (2026-10-05)</t>
  </si>
  <si>
    <t>X-0432</t>
  </si>
  <si>
    <t>Critical transaction to immutable audit trail</t>
  </si>
  <si>
    <t>Same evidence as P-0115.</t>
  </si>
  <si>
    <t>Ship with P-0115. Close both together.</t>
  </si>
  <si>
    <t>Build in MVP (with P-0115)</t>
  </si>
  <si>
    <t>WI-002: Built and tests pass. Human review pending.</t>
  </si>
  <si>
    <t>P-0507</t>
  </si>
  <si>
    <t>MCA Rule 11(g) immutable audit trail</t>
  </si>
  <si>
    <t>Hash chain exists. Rule 11(g) needs an edit log on every accounting record. Mapping not verified.</t>
  </si>
  <si>
    <t>Have the CA map Rule 11(g) to AuditEvent coverage. Ship any missing edit-log events.</t>
  </si>
  <si>
    <t>Build in MVP (2 days, CA sign-off)</t>
  </si>
  <si>
    <t>WI-003: Partial. Missing: Coverage map and certification export exist, but the export does not list the periods logging was on (it returns logging_on=True or refuses). Nothing writes LoggingWindow rows automatically. No edit log (before/after) on every accounting record, only per-action audit events. No test asserts every AUDIT_COVERAGE event is actually emitted.. Human review pending.</t>
  </si>
  <si>
    <t>S-0561</t>
  </si>
  <si>
    <t>Background trial balance zero-sum worker</t>
  </si>
  <si>
    <t>check_invariants management command and trial_balance_balanced exist. No scheduled worker found.</t>
  </si>
  <si>
    <t>Re-scope to: schedule check_invariants nightly and alert on failure. Do not build a new worker.</t>
  </si>
  <si>
    <t>Yes - integrity</t>
  </si>
  <si>
    <t>Build in MVP (3 days): full worker with quarantine</t>
  </si>
  <si>
    <t>WI-005: Partial. Missing: No invariant for payment allocations within payment amounts; no registered invariant for ledger output tax equals invoice tax (only a one-off test); AR/AP control vs outstanding only as dashboard-vs-aging projection checks; quarantine block wired to GST soft-close and GSTR export but not to accounting period lock; ops mailbox is only a log line; no test that the nightly run creates the quarantine row end to end; test_plan_s_0561.py absent.. Human review pending.</t>
  </si>
  <si>
    <t>S-0579</t>
  </si>
  <si>
    <t>Cryptographic hash chain on audit trail</t>
  </si>
  <si>
    <t>Code Complete &amp; Verified</t>
  </si>
  <si>
    <t>Built and tested. Sealing is a nightly batch, so recent events sit in a window.</t>
  </si>
  <si>
    <t>Close as built after confirming the nightly seal is scheduled in production.</t>
  </si>
  <si>
    <t>No</t>
  </si>
  <si>
    <t>Close as built after confirming the nightly seal runs in production, then add a monitoring alert</t>
  </si>
  <si>
    <t>WI-034: Partial. Missing: No drill log in qos/evidence; the task-level gap path (running seal_audit_chain_task with a stale heartbeat) is not tested directly.. Human review pending.</t>
  </si>
  <si>
    <t>C-0603</t>
  </si>
  <si>
    <t>Section 16(4) time-barring alert and ITC exclusion engine</t>
  </si>
  <si>
    <t>Deadline clock, flags and alert exist and test. No exclusion engine.</t>
  </si>
  <si>
    <t>Ship the alert as the pilot answer. Defer the exclusion engine to GA unless a pilot customer needs it.</t>
  </si>
  <si>
    <t>Yes if pulled into pilot</t>
  </si>
  <si>
    <t>Pilot</t>
  </si>
  <si>
    <t>Build in MVP (3 days): alert tiers and exclusion engine</t>
  </si>
  <si>
    <t>WI-017: Partial. Missing: 60 and 7 day warnings only fire when someone POSTs /plan/itc/summary/; no scheduled task; DUE_60/DUE_7 statuses and alert sending are untested; test_plan_c_0603.py absent.. Human review pending.</t>
  </si>
  <si>
    <t>SEC-0624</t>
  </si>
  <si>
    <t>TOTP 2FA for admin roles</t>
  </si>
  <si>
    <t>TOTP, recovery codes and encrypted secrets exist and test. Opt-in only.</t>
  </si>
  <si>
    <t>Make 2FA mandatory for admin and owner roles. Small change on top of existing code.</t>
  </si>
  <si>
    <t>Yes - security</t>
  </si>
  <si>
    <t>Build in MVP (1.5 days)</t>
  </si>
  <si>
    <t>WI-010: Built and tests pass. Human review pending.</t>
  </si>
  <si>
    <t>GOS-0721</t>
  </si>
  <si>
    <t>Inbound lead exact-match deduplication</t>
  </si>
  <si>
    <t>Growth OS claim. Name found in code.</t>
  </si>
  <si>
    <t>Add one end-to-end test and move to Validated.</t>
  </si>
  <si>
    <t>Add end-to-end test and validate before Pilot</t>
  </si>
  <si>
    <t>WI-047: Built and tests pass. Human review pending.</t>
  </si>
  <si>
    <t>GOS-0737</t>
  </si>
  <si>
    <t>Complaint to credit note, return or replacement</t>
  </si>
  <si>
    <t>Add one end-to-end test with stock and ledger check, then validate.</t>
  </si>
  <si>
    <t>Add end-to-end test with stock and ledger check, validate before Pilot</t>
  </si>
  <si>
    <t>WI-048: Partial. Missing: Tests work from draft invoices and assert no stock movement or ledger/journal effect; credit note exactly-once is asserted (second POST returns the same id); test_plan_gos_0737.py absent.. Human review pending.</t>
  </si>
  <si>
    <t>GOS-0739</t>
  </si>
  <si>
    <t>Supplier complaint to purchase debit note</t>
  </si>
  <si>
    <t>Same as GOS-0737.</t>
  </si>
  <si>
    <t>WI-049: Partial. Missing: Complaint to draft debit note flow is tested end to end, but there is no stock-movement or ledger assertion: the note is set COMPLETED by direct save, not through the completion service. backend/tests/test_plan_gos_0739.py does not exist.. Human review pending.</t>
  </si>
  <si>
    <t>C-0614</t>
  </si>
  <si>
    <t>Section 206AB / 206CCA PAN utility check</t>
  </si>
  <si>
    <t>P1</t>
  </si>
  <si>
    <t>Mechanism not found</t>
  </si>
  <si>
    <t>Not in code.</t>
  </si>
  <si>
    <t>Defer. Pilot customers verify non-filers manually. Record the risk.</t>
  </si>
  <si>
    <t>GA</t>
  </si>
  <si>
    <t>Build in GA (3 days): PAN utility check</t>
  </si>
  <si>
    <t>No plan item maps to this task.</t>
  </si>
  <si>
    <t>X-0522</t>
  </si>
  <si>
    <t>Higher TDS/TCS rate for non-filers</t>
  </si>
  <si>
    <t>Not in code. Depends on C-0614.</t>
  </si>
  <si>
    <t>Defer with C-0614.</t>
  </si>
  <si>
    <t>Build in GA (2 days, with C-0614)</t>
  </si>
  <si>
    <t>S-0574</t>
  </si>
  <si>
    <t>Anomaly detector for unusual discounts or bill amounts</t>
  </si>
  <si>
    <t>Defer past GA. Not pilot-blocking.</t>
  </si>
  <si>
    <t>Post-GA</t>
  </si>
  <si>
    <t>Build in GA (8 days): anomaly detector</t>
  </si>
  <si>
    <t>WI-064: Partial. Missing: The discount median is across all the customer's lines rather than the item's; the rupee floor is a code default, not per company; the review queue is list-only (no resolve) and has no UI; review_completed_sale and the queue endpoint are untested.. Human review pending.</t>
  </si>
  <si>
    <t>S-0562</t>
  </si>
  <si>
    <t>Orphaned allocation release on expired cart sessions</t>
  </si>
  <si>
    <t>No CartSession found.</t>
  </si>
  <si>
    <t>Re-scope to the reservation release that exists, or defer.</t>
  </si>
  <si>
    <t>Build in Pilot (2 days): release orphaned allocations on expired sessions</t>
  </si>
  <si>
    <t>WI-051: Partial. Missing: No expiry on confirmed sales-order reservations; releasing a hold does not release any stock reservation; no scheduled task calls release_expired_pos_holds; expiry hours are a function argument, not company-configurable.. Human review pending.</t>
  </si>
  <si>
    <t>UX-0581</t>
  </si>
  <si>
    <t>Keyboard-only POS navigation</t>
  </si>
  <si>
    <t>Partly built.</t>
  </si>
  <si>
    <t>Finish with the POS polish pass.</t>
  </si>
  <si>
    <t>Build in Pilot (3 days)</t>
  </si>
  <si>
    <t>WI-052: Partial. Missing: Function-key shortcuts exist and are tested, but there is no test of full keyboard-only navigation (tab order, line editing, arrow selection, quantity changes). web/src/__tests__/ux_0581.test.tsx does not exist.. Human review pending.</t>
  </si>
  <si>
    <t>UX-0582</t>
  </si>
  <si>
    <t>Multi-cart hold and recall at POS</t>
  </si>
  <si>
    <t>Hold exists. Multi-tab recall not confirmed.</t>
  </si>
  <si>
    <t>WI-053: Partial. Missing: Multi-cart hold in the web is client-side sessionStorage only; the backend PosCartHold is not called by the web and creates no stock reservation, so reservation survival is unproven; no web/src/__tests__/ux_0582.test.tsx.. Human review pending.</t>
  </si>
  <si>
    <t>UX-0586</t>
  </si>
  <si>
    <t>Ctrl+K omnibar</t>
  </si>
  <si>
    <t>No omnibar code found in web/src.</t>
  </si>
  <si>
    <t>Defer to GA.</t>
  </si>
  <si>
    <t>Build in Pilot (2 days)</t>
  </si>
  <si>
    <t>WI-054: Partial. Missing: Palette lists navigation routes only; no data search and no actions; no test file.. Human review pending.</t>
  </si>
  <si>
    <t>UX-0588</t>
  </si>
  <si>
    <t>Warehouse rack locator badge</t>
  </si>
  <si>
    <t>P2</t>
  </si>
  <si>
    <t>Not found.</t>
  </si>
  <si>
    <t>Defer to GA or drop.</t>
  </si>
  <si>
    <t>WI-055: Not built. Missing: No rack or bin location field on stock models, serializers or the stock and picking views, and no badge component.. Human review pending.</t>
  </si>
  <si>
    <t>UX-0590</t>
  </si>
  <si>
    <t>Bulk import progress bar with time remaining</t>
  </si>
  <si>
    <t>WI-056: Partial. Missing: A progress bar with an ETA exists but is a time-based estimate (0.05 s per row), not server progress, and has no test; no ux_0590.test.tsx.. Human review pending.</t>
  </si>
  <si>
    <t>UX-0591</t>
  </si>
  <si>
    <t>Privacy mask for rupee figures</t>
  </si>
  <si>
    <t>P3</t>
  </si>
  <si>
    <t>Build in Pilot (1 day)</t>
  </si>
  <si>
    <t>WI-057: Partial. Missing: No test; only components using MoneyText are masked, other rupee displays may not be.. Human review pending.</t>
  </si>
  <si>
    <t>MVP scope after review</t>
  </si>
  <si>
    <t>MVP tasks that the code review found Partial or absent. Each needs a decision before the pilot: cut it from MVP, build it, or accept and document the limit.</t>
  </si>
  <si>
    <t>Task</t>
  </si>
  <si>
    <t>Capability class</t>
  </si>
  <si>
    <t>Work status</t>
  </si>
  <si>
    <t>Review verdict</t>
  </si>
  <si>
    <t>What the code shows</t>
  </si>
  <si>
    <t>Options</t>
  </si>
  <si>
    <t>Effort (days)</t>
  </si>
  <si>
    <t>Why / what quality means</t>
  </si>
  <si>
    <t>P-0046</t>
  </si>
  <si>
    <t>Search medicines while billing</t>
  </si>
  <si>
    <t>Core</t>
  </si>
  <si>
    <t>Built - partial</t>
  </si>
  <si>
    <t>Product search matches name, SKU, barcode, HSN and custom fields; no native salt/composition or manufacturer field.</t>
  </si>
  <si>
    <t>Cut from MVP, build, or accept the limit</t>
  </si>
  <si>
    <t>Build in Pilot</t>
  </si>
  <si>
    <t>Native salt/composition and manufacturer fields, searchable at billing.</t>
  </si>
  <si>
    <t>WI-036: Partial. Missing: No test searches by salt, composition or manufacturer; no query-budget test within the checkout latency budget.. Human review pending.</t>
  </si>
  <si>
    <t>P-0052</t>
  </si>
  <si>
    <t>Create bulk sales invoices</t>
  </si>
  <si>
    <t>Invoices apply price lists and post stock, AR and GST; bulk CSV entry for invoices not found.</t>
  </si>
  <si>
    <t>Bulk invoice CSV import with validation and per-row errors.</t>
  </si>
  <si>
    <t>WI-037: Partial. Missing: CSV columns for invoice date and due date, barcode lookup and warehouse are not handled (SKU only, no warehouse or dates). The 2,000-row cap is not tested. Idempotent re-upload is not asserted after a committed run.. Human review pending.</t>
  </si>
  <si>
    <t>P-0081</t>
  </si>
  <si>
    <t>Transfer stock between godowns</t>
  </si>
  <si>
    <t>Transfers exist with DRAFT/COMPLETED/CANCELLED only; no dispatch, in-transit, insurance or separate receipt confirmation stages.</t>
  </si>
  <si>
    <t>Dispatch, in-transit and receipt-confirmation stages for stock transfers.</t>
  </si>
  <si>
    <t>WI-038: Built and tests pass. Human review pending.</t>
  </si>
  <si>
    <t>P-0089</t>
  </si>
  <si>
    <t>View all shops from one dashboard</t>
  </si>
  <si>
    <t>Dashboard shows company-wide totals over all godowns; no outlet switching or per-outlet breakdown found.</t>
  </si>
  <si>
    <t>Per-outlet breakdown and outlet switching on the dashboard.</t>
  </si>
  <si>
    <t>WI-039: Partial. Missing: Only an API listing on-hand and reserved stock per warehouse; no web DashboardPage integration or warehouse switching; no query-budget test.. Human review pending.</t>
  </si>
  <si>
    <t>Immutable hash-chained AuditEvent log exists, but it has no IP or before/after value columns and no simple_history; per-transaction coverage is unproven.</t>
  </si>
  <si>
    <t>Build in MVP</t>
  </si>
  <si>
    <t>Audit event on every posting action (journal post, purchase complete with books off included); add IP and before/after values; one test per action; drop the xfail.</t>
  </si>
  <si>
    <t>WI-001: Built and tests pass. Human review pending.</t>
  </si>
  <si>
    <t>P-0119</t>
  </si>
  <si>
    <t>Identify overdue payments</t>
  </si>
  <si>
    <t>Overdue invoices with days_overdue and collection worklist exist; no interest exposure or bad-debt risk calculation.</t>
  </si>
  <si>
    <t>Interest exposure and bad-debt risk on overdue customers.</t>
  </si>
  <si>
    <t>WI-040: Built and tests pass. Human review pending.</t>
  </si>
  <si>
    <t>P-0128</t>
  </si>
  <si>
    <t>Approve important business actions</t>
  </si>
  <si>
    <t>Owner credit-limit and GST-guard overrides record who and why, but no general pending-approval queue or approve/reject workflow exists.</t>
  </si>
  <si>
    <t>General pending-approval queue with approve and reject and an audit trail.</t>
  </si>
  <si>
    <t>WI-025: Partial. Missing: The approval queue is enforced only for invoice cancel and large stock adjustment; not wired for credit-limit override (separate unlock), invoice amend, discount, returns/credit notes, backdating/period reopen, supplier payment, write-off or bulk import commit; no per-action configurable approver; no web UI.. Human review pending.</t>
  </si>
  <si>
    <t>P-0152</t>
  </si>
  <si>
    <t>Adjust stock with authorization</t>
  </si>
  <si>
    <t>Adjustment needs a mandatory reason and inventory-manage permission and posts ADJUSTMENT; no dual-approval workflow.</t>
  </si>
  <si>
    <t>Dual approval for stock adjustments above a threshold, on the approval queue.</t>
  </si>
  <si>
    <t>WI-026: Built and tests pass. Human review pending.</t>
  </si>
  <si>
    <t>P-0180</t>
  </si>
  <si>
    <t>Configure branches/godowns</t>
  </si>
  <si>
    <t>Warehouse has name, code, address and default flag; no contact fields or user-to-location mapping.</t>
  </si>
  <si>
    <t>Contact fields and user-to-location mapping on warehouses.</t>
  </si>
  <si>
    <t>WI-041: Partial. Missing: Contact name and phone are blank=True (not required); the user-to-warehouse mapping is stored but nothing enforces or reads it; no test covers the mapping or the default rule.. Human review pending.</t>
  </si>
  <si>
    <t>Critical transaction → immutable audit trail exists</t>
  </si>
  <si>
    <t>AuditEvent is hash-chained and guarded against update/delete, but coverage of every critical transaction is not shown and SimpleHistory is not used.</t>
  </si>
  <si>
    <t>Delivered with P-0115.</t>
  </si>
  <si>
    <t>P-0503</t>
  </si>
  <si>
    <t>Audit 2A/2B vs Books reconciliation and verify eligible vs blocked ITC</t>
  </si>
  <si>
    <t>2B matching and eligible/ineligible flags exist, but no Section 17(5) blocked-credit classification.</t>
  </si>
  <si>
    <t>Section 17(5) blocked-credit classification in the 2A/2B reconciliation.</t>
  </si>
  <si>
    <t>WI-019: Partial. Missing: Blocked-credit classification is not added to the existing reporting/gstr2b.py reconciliation of uploaded 2B files; it only scores caller-supplied rows via /plan/gstr2b/score/ with a caller-supplied blocked_credit flag.. Human review pending.</t>
  </si>
  <si>
    <t>Audit MCA mandated immutable audit trail (Rule 11(g) Companies Audit Rules)</t>
  </si>
  <si>
    <t>Hash-chained audit events with verify exist; not django-simple-history, and no certification report or Rule 11(g) coverage of all records.</t>
  </si>
  <si>
    <t>Rule 11(g) coverage map signed off by the CA, edit log on every accounting record, certification export.</t>
  </si>
  <si>
    <t>X-0514</t>
  </si>
  <si>
    <t>Update transport vehicle number / Transporter ID on active E-Way Bill during breakdown</t>
  </si>
  <si>
    <t>Gap</t>
  </si>
  <si>
    <t>Contradicted</t>
  </si>
  <si>
    <t>No Part B vehicle update action exists; only prepare, submit and cancel for e-way bills.</t>
  </si>
  <si>
    <t>Part B vehicle update action for e-way bills.</t>
  </si>
  <si>
    <t>WI-029: Built and tests pass. Human review pending.</t>
  </si>
  <si>
    <t>X-0515</t>
  </si>
  <si>
    <t>Extend E-Way Bill validity before expiry due to transit delay or traffic accident</t>
  </si>
  <si>
    <t>No e-way bill validity extension action exists.</t>
  </si>
  <si>
    <t>E-way bill validity extension action.</t>
  </si>
  <si>
    <t>WI-030: Built and tests pass. Human review pending.</t>
  </si>
  <si>
    <t>X-0527</t>
  </si>
  <si>
    <t>Automatic debtor account freeze and delivery block on chronic overdue accounts</t>
  </si>
  <si>
    <t>Opt-in auto credit hold blocks invoice completion for stop_credit/overdue_severe, but not a 60-day rule, no dispatch block and no unlock PIN.</t>
  </si>
  <si>
    <t>60-day rule, dispatch block and unlock PIN on top of the opt-in credit hold.</t>
  </si>
  <si>
    <t>WI-021: Partial. Missing: No API or role check for issuing the unlock code (issue_unlock accepts any user, no Owner/credit-override check, no endpoint). No per-company toggle for the chronic rule. Delivery challan block is wired but only the sales-order path is tested.. Human review pending.</t>
  </si>
  <si>
    <t>X-0530</t>
  </si>
  <si>
    <t>Handle bounced / dishonoured cheque: reverse invoice settlement, add bank fee, alert owner</t>
  </si>
  <si>
    <t>Bounce voids receipt, reverses allocations (invoice unpaid); no bank dishonour fee charge, notice letter or owner alert.</t>
  </si>
  <si>
    <t>Bank dishonour fee charged to the customer, notice letter, owner alert.</t>
  </si>
  <si>
    <t>WI-022: Partial. Missing: No configurable GST-on-recovery flag (code explicitly adds no GST); no Rs 500 suggestion (fee defaults to 0 unless a bank charge or cheque_dishonour_charge flag is set); owner alert is sent but no test asserts it.. Human review pending.</t>
  </si>
  <si>
    <t>Automated background trial balance zero-sum verification worker</t>
  </si>
  <si>
    <t>Trial balance check and invariants command exist; no scheduled worker or quarantine of unbalanced batches.</t>
  </si>
  <si>
    <t>Scheduled worker runs trial-balance and invariants nightly, quarantines unbalanced batches and alerts.</t>
  </si>
  <si>
    <t>S-0568</t>
  </si>
  <si>
    <t>Database foreign key cascade deletion defense and soft-delete enforcement</t>
  </si>
  <si>
    <t>PROTECT is widely used on transaction foreign keys, but line items cascade and no is_deleted soft-delete mechanism exists.</t>
  </si>
  <si>
    <t>Soft delete (is_deleted) on masters, PROTECT on line-item foreign keys, restore flow.</t>
  </si>
  <si>
    <t>WI-006: Partial. Missing: Soft delete exists on Customer, Supplier, Product, Warehouse, PriceList and sales FKs are PROTECT, but some child FKs to Customer/Product/Warehouse remain CASCADE (payments dunning/portal/promise, warehouse reorder/running costs). orphan_report and its management command have no test. Restore permission is Owner/Manager/Accountant, not Owner/Admin only. Only Customer is tested for soft-delete and restore.. Human review pending.</t>
  </si>
  <si>
    <t>S-0570</t>
  </si>
  <si>
    <t>Automated continuous WAL archiving and daily encrypted PostgreSQL pg_dump snapshot</t>
  </si>
  <si>
    <t>Daily GPG or age-encrypted pg_dump with optional offsite copy exists; no WAL archiving or PITR configuration was found.</t>
  </si>
  <si>
    <t>WAL archiving and point-in-time recovery plus the daily encrypted dump; restore drill documented.</t>
  </si>
  <si>
    <t>WI-007: Partial. Missing: No WAL archiving or point-in-time recovery, no RPO 5 min / RTO 1 h configuration, no provider key-service integration (GPG/age recipient only), and no timed restore drill log in qos/evidence.. Human review pending.</t>
  </si>
  <si>
    <t>S-0572</t>
  </si>
  <si>
    <t>Distributed Redis token bucket rate limiting on public-facing API endpoints</t>
  </si>
  <si>
    <t>DRF scoped throttles limit login, OTP and register per minute and return 429, but they are not django-ratelimit or a token bucket, and per-tenant limits are partial.</t>
  </si>
  <si>
    <t>Redis token bucket on public endpoints with per-tenant limits.</t>
  </si>
  <si>
    <t>WI-008: Partial. Missing: Authenticated API is limited per credential at 100 per 10 s plus 1500/min per IP, not 600/min per tenant; fixed-window cache counter, not a token bucket; webhook limit is per IP and signature verification is separate; Redis-down alert is a single log line; no tests for register 5/h, portal 60/min, or the API limits.. Human review pending.</t>
  </si>
  <si>
    <t>UX-0596</t>
  </si>
  <si>
    <t>Clear destructive action confirmation dialog with explicit entity name typing</t>
  </si>
  <si>
    <t>Differentiator</t>
  </si>
  <si>
    <t>ConfirmDialog has no typed-confirmation input; no type-DELETE flow found.</t>
  </si>
  <si>
    <t>Typed-confirmation input on destructive dialogs.</t>
  </si>
  <si>
    <t>WI-043: Partial. Missing: Typed confirmation is opt-in and used on only a few dialogs (contracts, campaigns, growth widgets); other destructive dialogs do not require typing. Planned file web/src/__tests__/ux_0596.test.tsx does not exist.. Human review pending.</t>
  </si>
  <si>
    <t>C-0602</t>
  </si>
  <si>
    <t>Section 16(2) CGST Act 4-condition statutory Input Tax Credit entitlement verification</t>
  </si>
  <si>
    <t>Only a single UNREVIEWED/CLAIMABLE/INELIGIBLE flag exists; no four-condition Section 16(2) checklist on the purchase bill.</t>
  </si>
  <si>
    <t>Four-condition Section 16(2) checklist on each purchase bill.</t>
  </si>
  <si>
    <t>WI-016: Partial. Missing: Only the negative case is tested (no test that a fully attested bill is claimable or that the 180-day check works); no per-bill warning or checklist UI in the web app; ITC attestation API untested.. Human review pending.</t>
  </si>
  <si>
    <t>Section 16(4) time-barring automated alert and ITC exclusion engine</t>
  </si>
  <si>
    <t>Deadline and a 30-day expiry alert/digest exist; no 60/7-day tiers and no TIME_BARRED status or exclusion engine.</t>
  </si>
  <si>
    <t>60-day and 7-day alert tiers, TIME_BARRED status and ITC exclusion.</t>
  </si>
  <si>
    <t>C-0604</t>
  </si>
  <si>
    <t>Section 17(5) blocked credit automated identification and accounting reclassification</t>
  </si>
  <si>
    <t>Ineligible ITC can be reclassified to expense/inventory, but no automatic motor vehicle/food/gift classification; only composition-supplier auto-ineligible.</t>
  </si>
  <si>
    <t>Section 17(5) auto-classification (motor vehicle, food, gifts) with override and audit.</t>
  </si>
  <si>
    <t>WI-018: Partial. Missing: Rule table is only six seeded rows (food, motor vehicles, club, works contract, personal, exempt) and not the full s.17(5) list. Blocked bills are only flagged on ItcBillCheck; GST is not posted to expense/asset instead of ITC receivable. No Owner/Accountant override with reason. Category match is by product category name. No test of classify_purchase_bill blocking or of effective-date handling beyond one HSN match.. Human review pending.</t>
  </si>
  <si>
    <t>C-0606</t>
  </si>
  <si>
    <t>Rule 138 CGST Rules mandatory E-Way Bill distance calculation via postal PIN codes</t>
  </si>
  <si>
    <t>Distance is a user-entered field; no NIC PIN-to-PIN lookup or 200 km validity computation (validity comes from provider response).</t>
  </si>
  <si>
    <t>Rule 138 PIN-to-PIN distance lookup and validity computation.</t>
  </si>
  <si>
    <t>WI-032: Partial. Missing: Validity is a hard-coded ceil(distance/100); no configurable slab table, no effective dates, no CA confirmation.. Human review pending.</t>
  </si>
  <si>
    <t>C-0607</t>
  </si>
  <si>
    <t>Section 50 CGST Act delayed tax payment interest calculator (18% &amp; 24% p.a.)</t>
  </si>
  <si>
    <t>No Section 50 interest calculator or delayed-filing worksheet exists.</t>
  </si>
  <si>
    <t>Section 50 interest calculator and delayed-filing worksheet.</t>
  </si>
  <si>
    <t>WI-020: Partial. Missing: No Rule 88B net cash liability basis for late-filed returns; inputs are typed in rather than derived from late-paid tax; rates table has a single dated row; no CA-confirmation marker.. Human review pending.</t>
  </si>
  <si>
    <t>C-0609</t>
  </si>
  <si>
    <t>Schedule H and Schedule X restricted drug sales register and doctor prescription logging</t>
  </si>
  <si>
    <t>No Schedule H/X register or doctor/prescription logging; only drug licence numbers and batch on invoices exist.</t>
  </si>
  <si>
    <t>Schedule H/X register with doctor and prescription logging, printable for inspectors.</t>
  </si>
  <si>
    <t>WI-015: Built and tests pass. Human review pending.</t>
  </si>
  <si>
    <t>C-0616</t>
  </si>
  <si>
    <t>Companies (Accounts) Rules Rule 3(1) and Rule 11(g) audit trail compliance certification</t>
  </si>
  <si>
    <t>A hash-chained, append-guarded audit log exists, but no Rule 11(g) compliance report or export certifying logging was never disabled.</t>
  </si>
  <si>
    <t>Delivered with P-0507: report certifying logging was never disabled.</t>
  </si>
  <si>
    <t>WI-004: Built and tests pass. Human review pending.</t>
  </si>
  <si>
    <t>C-0618</t>
  </si>
  <si>
    <t>E-Way Bill Part B vehicle update statutory time-limit and multi-vehicle consignment splitting</t>
  </si>
  <si>
    <t>No Part B vehicle update or multi-vehicle consignment splitting; e-way is a single bill per document.</t>
  </si>
  <si>
    <t>Part B time-limit alert and multi-vehicle splitting.</t>
  </si>
  <si>
    <t>WI-031: Partial. Missing: No Part B time-limit alert; multi-vehicle split is only a quantity check, with no per-vehicle storage and no test; no link to the e-way bill record or GSP flag.. Human review pending.</t>
  </si>
  <si>
    <t>SEC-0622</t>
  </si>
  <si>
    <t>Field-level role masking for sensitive commercial margins and cost prices</t>
  </si>
  <si>
    <t>Product serializer exposes purchase_price with no role-based omission; no cost or margin masking by role was found.</t>
  </si>
  <si>
    <t>Role-based field masking for purchase price and margin in serializers, exports and PDFs.</t>
  </si>
  <si>
    <t>WI-009: Partial. Missing: Masking is applied only to the Product serializer and the plan catalogue CSV/PDF. Margin and cost on invoice-profit reports, purchase lines, other exports and PDFs are not masked via this helper. Role set uses OWNER/ACCOUNTANT/MANAGER; no Purchase Manager or Inventory Manager distinction and INVENTORY_STAFF is masked. Below-cost warning is only a product-level flag, not a POS server check.. Human review pending.</t>
  </si>
  <si>
    <t>Time-based One-Time Password (TOTP) two-factor authentication (2FA) for admin roles</t>
  </si>
  <si>
    <t>TOTP login challenge exists but is opt-in per user and is not mandatory for admin roles.</t>
  </si>
  <si>
    <t>Mandatory TOTP for owner and admin, enrolment on first login, recovery codes.</t>
  </si>
  <si>
    <t>SEC-0625</t>
  </si>
  <si>
    <t>Instant user deactivation and immediate JWT session revocation</t>
  </si>
  <si>
    <t>Deactivation blacklists refresh tokens in the database and per-request membership is checked, but there is no Redis blocklist or WebSocket drop; access JWT lives until expiry.</t>
  </si>
  <si>
    <t>Redis access-token blocklist and websocket drop on deactivation.</t>
  </si>
  <si>
    <t>WI-011: Built and tests pass. Human review pending.</t>
  </si>
  <si>
    <t>SEC-0626</t>
  </si>
  <si>
    <t>Cross-Site Scripting (XSS) and SQL injection sanitization on document notes and inputs</t>
  </si>
  <si>
    <t>Django ORM parameterizes queries, but no Bleach or HTML sanitization of notes and descriptions was found.</t>
  </si>
  <si>
    <t>Sanitise notes and descriptions on input and in PDF templates; add injection tests.</t>
  </si>
  <si>
    <t>WI-012: Partial. Missing: Tag stripping is wired to only six models (Customer, Supplier, Product, SalesInvoice, PurchaseInvoice, Complaint); customer and supplier names are deliberately not stripped; other models are not covered. No test for escaping in PDF templates or for imported cells.. Human review pending.</t>
  </si>
  <si>
    <t>SEC-0628</t>
  </si>
  <si>
    <t>Cryptographic AES-256 encryption for stored bank account numbers and tax credentials</t>
  </si>
  <si>
    <t>GSP credentials use Fernet (AES-128-CBC), not AES-256-GCM; bank_account and IFSC are plain CharFields.</t>
  </si>
  <si>
    <t>AES-256-GCM for stored credentials and encrypted bank account and IFSC fields, with data migration.</t>
  </si>
  <si>
    <t>WI-013: Partial. Missing: AES-GCM with key id covers company and customer bank accounts only; tax-portal secrets are not sealed in storage, encrypt_gsp_credentials still writes Fernet and nothing batch-migrates existing gateway blobs (only a reseal helper); the seal_bank_accounts command has no reverse path; last4 helper exists but no display field uses it.. Human review pending.</t>
  </si>
  <si>
    <t>R-0636</t>
  </si>
  <si>
    <t>Sub-200ms POS billing checkout latency under continuous queue load</t>
  </si>
  <si>
    <t>Locust smoke script exists but only exercises health endpoint; no POS checkout latency benchmark or optimization.</t>
  </si>
  <si>
    <t>Real POS checkout benchmark and optimisation to the 200 ms target.</t>
  </si>
  <si>
    <t>WI-028: Partial. Missing: baseline_p95_ms is null so no baseline has been recorded; the benchmark skips unless POS_BENCH=1; the 2 vCPU / 4 GB container constraint is not evidenced.. Human review pending.</t>
  </si>
  <si>
    <t>I-0651</t>
  </si>
  <si>
    <t>ESC/POS thermal receipt printer direct driver integration via USB, Bluetooth &amp; Network</t>
  </si>
  <si>
    <t>Only a Capacitor Bluetooth plugin path sending a minimal text stub; no WebUSB or network printing, falls back to PDF print dialog.</t>
  </si>
  <si>
    <t>Direct ESC/POS over WebUSB and network printers.</t>
  </si>
  <si>
    <t>WI-044: Partial. Missing: The print bridge always returns a PDF fallback and never sends to a network printer; the web path uses native/Bluetooth printEscPos and does not call plan/print; no web/src/__tests__/i_0651.test.tsx; no real printer verification.. Human review pending.</t>
  </si>
  <si>
    <t>I-0655</t>
  </si>
  <si>
    <t>Barcode scanner HID USB wedge and 2D QR camera barcode reader</t>
  </si>
  <si>
    <t>Enter-key barcode lookup works with wedge scanners and native camera scan in the mobile app; no 50ms timing heuristic or browser camera scanner.</t>
  </si>
  <si>
    <t>Wedge timing heuristic and a browser camera scanner.</t>
  </si>
  <si>
    <t>WI-045: Built. Human review pending.</t>
  </si>
  <si>
    <t>SaaS-0669</t>
  </si>
  <si>
    <t>Automated recurring subscription billing and GST tax invoice generation via Razorpay Subscriptions</t>
  </si>
  <si>
    <t>Adjacent</t>
  </si>
  <si>
    <t>Razorpay subscriptions are created and status synced; no SaaS GST invoice generation or emailing found.</t>
  </si>
  <si>
    <t>GST invoice generation and emailing for subscription charges.</t>
  </si>
  <si>
    <t>WI-046: Partial. Missing: The generator has no production caller: nothing invokes issue_platform_gst_invoice on a Cashfree or PayU subscription capture (payments/services.py only comments on it). No PDF is produced and email is a notification body only.. Human review pending.</t>
  </si>
  <si>
    <t>D-0684</t>
  </si>
  <si>
    <t>Predictive cash-flow simulation engine modeling actual debtor payment delay probabilities</t>
  </si>
  <si>
    <t>Future</t>
  </si>
  <si>
    <t>Forecast uses fixed heuristic collection rates by ageing bucket and fixed +/-15% band; no Monte Carlo or per-debtor delay.</t>
  </si>
  <si>
    <t>Build in GA</t>
  </si>
  <si>
    <t>Per-debtor payment-delay model with Monte Carlo cash-flow simulation.</t>
  </si>
  <si>
    <t>WI-059: Partial. Missing: The 1,000 runs cycle the sample deterministically rather than bootstrap-resampling; under 5 invoices it uses the segment average rather than the ageing heuristic; no cash-flow aggregate or UI badge; percentile values are not asserted.. Human review pending.</t>
  </si>
  <si>
    <t>D-0690</t>
  </si>
  <si>
    <t>Automated GSTR-2B 'Smart Reconciler' with fuzzy name and fractional rounding matching</t>
  </si>
  <si>
    <t>Matching uses case-insensitive exact invoice number with tax/date tolerance; no fuzzy or Levenshtein normalisation of dashes/spaces.</t>
  </si>
  <si>
    <t>Fuzzy and Levenshtein invoice-number matching in the GSTR-2B reconciler.</t>
  </si>
  <si>
    <t>WI-060: Partial. Missing: No numeric fuzzy name score or 0.95/0.80 thresholds (boolean GSTIN and tax-tolerance banding); nothing links automatically; it scores caller-posted rows, not uploaded 2B data.. Human review pending.</t>
  </si>
  <si>
    <t>D-0693</t>
  </si>
  <si>
    <t>One-click complete Tally historical backup migration wizard</t>
  </si>
  <si>
    <t>Tally masters CSV/XLSX import with opening balances and wizard exists; no Tally XML backup parser or multi-year history migration.</t>
  </si>
  <si>
    <t>Tally XML backup parser and multi-year history migration.</t>
  </si>
  <si>
    <t>WI-061: Partial. Missing: Only the mandatory ledger and stock-item mapping step and a stored job with voucher count exist. No TallyPrime backup parsing, no master or opening balance import and no voucher posting in the wizard; commit endpoint is a stub returning imported False. No wizard UI found.. Human review pending.</t>
  </si>
  <si>
    <t>X-0702</t>
  </si>
  <si>
    <t>Credit limit breach during bulk invoice: owner sends temporary one-time authorization token</t>
  </si>
  <si>
    <t>Owner override with reason is stamped on the order and invoice; no time-limited token, WhatsApp approval request or 15-minute expiry.</t>
  </si>
  <si>
    <t>Time-limited WhatsApp approval token with 15-minute expiry for credit-limit overrides.</t>
  </si>
  <si>
    <t>WI-027: Partial. Missing: Token service exists (single-use, 15 minutes, bound to batch) but is not wired into any bulk invoice or credit-limit flow and has no endpoint. Not bound to the requester on redeem. No Awaiting approval invoice status, so over-limit invoices are not held while others proceed. Expiry path is not asserted.. Human review pending.</t>
  </si>
  <si>
    <t>X-0706</t>
  </si>
  <si>
    <t>Inter-godown transfer vehicle breakdown: goods transshipped to new tempo with E-Way Bill Part B update</t>
  </si>
  <si>
    <t>E-way bill handling covers sales invoices only; no stock transfer Part B vehicle update workflow.</t>
  </si>
  <si>
    <t>Transfer vehicle-breakdown Part B workflow on stock transfers.</t>
  </si>
  <si>
    <t>WI-042: Partial. Missing: TRANSFER_PART_B action and history exist only on the generic stub; no fields on stock transfers, no transfer workflow, no test for TRANSFER_PART_B.. Human review pending.</t>
  </si>
  <si>
    <t>X-0707</t>
  </si>
  <si>
    <t>Supplier cancelled GSTIN after issuing invoice: system blocks ITC and alerts purchase team</t>
  </si>
  <si>
    <t>An alert fires when a GSTIN is cancelled, suspended or invalid, but no ITC quarantine or supplier payment hold was found.</t>
  </si>
  <si>
    <t>ITC quarantine and supplier payment hold when a supplier GSTIN is cancelled.</t>
  </si>
  <si>
    <t>WI-024: Partial. Missing: Cancelled status comes only from a manual Supplier.gstin_cancelled_on field; it is not fed from the existing GSTIN alert source. Availed ITC is not flagged for the CA (only blocked_credit on new bills). Purchase-team alert has no direct test assertion.. Human review pending.</t>
  </si>
  <si>
    <t>X-0713</t>
  </si>
  <si>
    <t>Customer cheque dishonoured after 5 days: automated accounting reversal and bank fee debit</t>
  </si>
  <si>
    <t>Bounce reverses payment and invoice becomes unpaid; no bank fee debit to customer or Section 138 notice generator.</t>
  </si>
  <si>
    <t>Automated account action and Section 138 notice generator on a dishonoured cheque.</t>
  </si>
  <si>
    <t>WI-023: Built and tests pass. Human review pending.</t>
  </si>
  <si>
    <t>X-0715</t>
  </si>
  <si>
    <t>Customer changes legal name and registered address: system updates master while preserving historical invoices</t>
  </si>
  <si>
    <t>Only GSTIN and place of supply are frozen at completion; customer name and address are read live so history can change.</t>
  </si>
  <si>
    <t>Snapshot customer name and address on the invoice at completion; backfill existing invoices.</t>
  </si>
  <si>
    <t>WI-014: Partial. Missing: Backfill copies current master data and does not use the audit-history name as of the invoice date; snapshot tests cover sales invoices only, not credit/debit notes or purchase bills.. Human review pending.</t>
  </si>
  <si>
    <t>Implementation plan: guide</t>
  </si>
  <si>
    <t>How the plan is built, what each column means and how to keep it current.</t>
  </si>
  <si>
    <t>Plan start (Monday)</t>
  </si>
  <si>
    <t>Agent lanes assumed</t>
  </si>
  <si>
    <t>Contingency buffer</t>
  </si>
  <si>
    <t>Working days per week</t>
  </si>
  <si>
    <t>What this is</t>
  </si>
  <si>
    <t>One row per piece of work for the quality-first decisions of 2026-10-04. Revised after the 63 pre-implementation questions: see the Plan decisions sheet for every answer and what it changed. Each row has five stages (Design, Build, Tests, Review, Register sync); Status, percent done, days late and RAG are formulas driven by the stage cells and actual dates.</t>
  </si>
  <si>
    <t>Team assumption</t>
  </si>
  <si>
    <t>One human owner plus agents (default; confirm). Two agent lanes run in parallel only on independent items, each in its own git worktree and Postgres database. Decisions and external reviews sit outside the lanes. Change LANES in build_plan.py if the real team is different.</t>
  </si>
  <si>
    <t>Dates</t>
  </si>
  <si>
    <t>Scheduled for the lanes above, Monday to Friday, skipping these holidays: 20 Oct 2026, 09 Nov 2026, 11 Nov 2026, 24 Nov 2026, 25 Dec 2026, 26 Jan 2027. Each estimate carries a 20% buffer, each dependency leaves one clear day for review, and each milestone adds one week before it is called. Dates are fixed text; re-run qos/evidence/build_plan.py to reschedule.</t>
  </si>
  <si>
    <t>Waves</t>
  </si>
  <si>
    <t>Wave 1 = Build in MVP, wave 2 = Build in Pilot, wave 3 = Build in GA. Every wave 2 item depends on VER-1 and every wave 3 item on VER-2, so a later wave never starts before the earlier gate closes.</t>
  </si>
  <si>
    <t>The plan does not override docs/FREEZE_SCOPE.md. Live NIC e-way, GSTR-2B API, Tally and WhatsApp Cloud stay behind their flags, default off, and are built against fakes and offline inputs. Flipping a flag is a separate freeze exception.</t>
  </si>
  <si>
    <t>What you edit</t>
  </si>
  <si>
    <t>Only the cream cells: Owner, the five stage cells, Actual start, Actual done, Blocked reason, PR / branch and Evidence.</t>
  </si>
  <si>
    <t>Stage values</t>
  </si>
  <si>
    <t>Not started, In progress, Done, Blocked, N/A. Use N/A when a stage does not apply.</t>
  </si>
  <si>
    <t>Definition of done</t>
  </si>
  <si>
    <t>An item is Done when all five stages are Done or N/A. What each stage means depends on the item's Kind (column AG): see the Acceptance criteria column, which states the item's own pass condition, its rejecting case and the done rule for its kind. Features: tests for the touched apps on Postgres, lint and types clean, register_sync scores the test. Web: Vitest or Playwright, tsc -b, ESLint, accessibility check. Performance: benchmark job report. Drill: recorded timings. Decision and external: recorded decision or written sign-off. Gate: checklist.</t>
  </si>
  <si>
    <t>Reviewer rule</t>
  </si>
  <si>
    <t>The author never signs their own Review. Agent-built work gets an agent code-review pass, then the human signs. Human-built work gets an agent review, then the human signs after a day. Compliance items also need the CA; pharmacy items a licensed pharmacist.</t>
  </si>
  <si>
    <t>When tests run</t>
  </si>
  <si>
    <t>Each pull request: tests for the touched apps plus lint and type checks. Full backend suite on Postgres: nightly and at each verification gate. Performance and load tests: their own scheduled job, never in the pull-request run.</t>
  </si>
  <si>
    <t>Source of truth</t>
  </si>
  <si>
    <t>Bizboard_Product_Task_Universe_Master.xlsx is the source of truth and the file register_sync.py updates. Bizboard_Master_Task_Register_Enhanced.xlsx is a mirror written by recalc_xlsx.ps1 -Mirror. Archives are read-only.</t>
  </si>
  <si>
    <t>Other plans</t>
  </si>
  <si>
    <t>Production bugs jump the queue, capped at 20% of capacity, and each interrupt is logged in Plan change log. This plan preempts the bug-remediation, UX, FMEA and ISO 25010 plans for new work; items there that duplicate a work item here are merged into it.</t>
  </si>
  <si>
    <t>Slips</t>
  </si>
  <si>
    <t>An item more than 2 working days late triggers a re-plan. Every wave 1 item has a cut-line rank in column AH: rank 1 moves to wave 2 first. Before each wave starts, re-check its estimates with a one-day spike.</t>
  </si>
  <si>
    <t>RAG</t>
  </si>
  <si>
    <t>Done when finished. Red when Blocked or past the planned due date. Amber when started, due within 3 days and under 50 percent complete. Otherwise Green.</t>
  </si>
  <si>
    <t>Register columns</t>
  </si>
  <si>
    <t>'Register work status' and 'Register verification' are live lookups of the Task Register, so the plan and the register cannot disagree about whether a task is verified.</t>
  </si>
  <si>
    <t>Weekly routine</t>
  </si>
  <si>
    <t>Monday: set stages and actual dates, record blockers, rerun register_sync.py after a test run, recalculate the workbook (qos/tools/recalc_xlsx.ps1), review Plan rollup and Plan by week, and log any date or scope change in Plan change log.</t>
  </si>
  <si>
    <t>Plan decisions: the 63 pre-implementation questions</t>
  </si>
  <si>
    <t>Status: Decided = settled here; Confirm = default chosen, founder confirms before the item starts; External = needs a CA, pharmacist, host or other outside input; Dropped = removed from the plan.</t>
  </si>
  <si>
    <t>Q</t>
  </si>
  <si>
    <t>Topic</t>
  </si>
  <si>
    <t>Items</t>
  </si>
  <si>
    <t>Status</t>
  </si>
  <si>
    <t>Answer</t>
  </si>
  <si>
    <t>What changed in the plan</t>
  </si>
  <si>
    <t>Founder confirmed (date)</t>
  </si>
  <si>
    <t>Team and parallelism</t>
  </si>
  <si>
    <t>All</t>
  </si>
  <si>
    <t>Confirm</t>
  </si>
  <si>
    <t>Plan for one human owner plus agents. Two agent lanes run in parallel only on independent items, each in its own git worktree and its own Postgres database. The human decides, reviews and signs. Start moves to Monday 12 Oct 2026, not 5 Oct. If the real team is larger, change DEVS in build_plan.py and regenerate.</t>
  </si>
  <si>
    <t>Developers 3 to 2 lanes; start 12 Oct; owners Agent 1, Agent 2, Human reviewer.</t>
  </si>
  <si>
    <t>Feature freeze</t>
  </si>
  <si>
    <t>WI-027, 029-032, 060, 061</t>
  </si>
  <si>
    <t>Decided</t>
  </si>
  <si>
    <t>The plan does not override the freeze. Everything touching live NIC, GSTR-2B API, Tally and WhatsApp Cloud is built behind its existing flag, default off, against a fake adapter and offline inputs. Flipping a flag is a separate freeze exception and is not part of any item. WI-027 becomes an in-app token; WI-029-031 become stub actions plus stored fields; WI-032 computes validity from entered distance only; PIN-to-PIN lookup is deferred.</t>
  </si>
  <si>
    <t>Scope of WI-027, 029, 030, 031, 032, 060, 061 rewritten; flags stay off.</t>
  </si>
  <si>
    <t>Second reviewer</t>
  </si>
  <si>
    <t>Rule: the author never signs their own Review. Agent-built work gets an agent code-review pass first, then the human signs. Human-built work gets an agent review, then the human signs after a day's gap. Compliance items also need the CA, pharmacy items a licensed pharmacist. If you want a named human second reviewer, add them as Owner on the Review stage.</t>
  </si>
  <si>
    <t>Definition of done: reviewer rule added to Plan guide.</t>
  </si>
  <si>
    <t>Source-of-truth workbook</t>
  </si>
  <si>
    <t>Bizboard_Product_Task_Universe_Master.xlsx is the source of truth and the file register_sync.py updates by default. Bizboard_Master_Task_Register_Enhanced.xlsx is a mirror written by recalc_xlsx.ps1 -Mirror. Archives are read-only. The _UPDATED file is renamed over the Master once Excel releases it.</t>
  </si>
  <si>
    <t>Plan guide states the rule.</t>
  </si>
  <si>
    <t>Other open plans</t>
  </si>
  <si>
    <t>Production bugs jump the queue, capped at 20% of capacity, and each interrupt is logged in the change log. This plan preempts the bug-remediation, UX, FMEA and ISO 25010 plans for new work, but any item in those plans that duplicates a work item here is merged into it rather than done twice.</t>
  </si>
  <si>
    <t>20% interrupt allowance noted in Plan guide.</t>
  </si>
  <si>
    <t>Postgres host and backup keys</t>
  </si>
  <si>
    <t>WI-007</t>
  </si>
  <si>
    <t>External</t>
  </si>
  <si>
    <t>Recommended default: managed Postgres in an India region with built-in point-in-time recovery, RPO 5 minutes, RTO 1 hour for the pilot. Backup encryption keys live in the provider's key service, administered by the founder, with a sealed break-glass copy held separately. WI-007 cannot be designed until you pick the provider, so a new decision item DEC-HOST comes first and WI-007 depends on it.</t>
  </si>
  <si>
    <t>New item DEC-HOST (owner Founder); WI-007 depends on it.</t>
  </si>
  <si>
    <t>Chartered accountant for Rule 11(g)</t>
  </si>
  <si>
    <t>WI-003, 004</t>
  </si>
  <si>
    <t>Build the coverage map now and sign later. A new external item CA-SIGN follows WI-003. If no CA is named by 2 Nov 2026, M1 still closes technically but is marked 'pilot with documented residual: Rule 11(g) sign-off pending'. The same CA reviews the tax rule tables in WI-016 to WI-020, so a new item DEC-CA (engage the CA) precedes them.</t>
  </si>
  <si>
    <t>New items DEC-CA and CA-SIGN.</t>
  </si>
  <si>
    <t>Item-specific pass conditions</t>
  </si>
  <si>
    <t>Every item now has its own pass condition and rejecting case, written in the plan, and the definition of done depends on the item's kind: feature, web, performance, infrastructure drill, decision or process gate. The four pasted lines are gone.</t>
  </si>
  <si>
    <t>Acceptance criteria rewritten per item; new Kind column.</t>
  </si>
  <si>
    <t>Frontend tests and register sync</t>
  </si>
  <si>
    <t>WI-043, 052-057</t>
  </si>
  <si>
    <t>Web items are done on Vitest component tests, a Playwright flow where there is a flow, tsc -b, ESLint with zero errors and an accessibility check. They do not need the backend suite. register_sync.py is extended to read Vitest and Playwright JUnit output (new item REG-WEB, first in the plan), and web test references become real file paths.</t>
  </si>
  <si>
    <t>New item REG-WEB; web items depend on it; test globs replaced with files.</t>
  </si>
  <si>
    <t>WI-002 and WI-004</t>
  </si>
  <si>
    <t>WI-002, 004</t>
  </si>
  <si>
    <t>Yes. Their remaining work is Review plus the register update. Evidence is the parent item's tests (WI-001 and WI-003). Design, Build and Tests stay N/A.</t>
  </si>
  <si>
    <t>Done condition for these items: parent Done and register row updated.</t>
  </si>
  <si>
    <t>Items with no register task</t>
  </si>
  <si>
    <t>WI-033, 035, 058, 067</t>
  </si>
  <si>
    <t>Verification gates have no register row and are done when their checklist passes. WI-033 gets a new register row (next free X- number) created when the item starts, so it can be scored.</t>
  </si>
  <si>
    <t>Done condition by kind; WI-033 gets a register row at start.</t>
  </si>
  <si>
    <t>Test file for SEC-0624</t>
  </si>
  <si>
    <t>WI-010</t>
  </si>
  <si>
    <t>The existing test_mfa.py stays as the regression base. A new test_mfa_mandatory.py covers enforcement and first-login enrolment. The strict xfail test in test_register_integrity_gaps.py becomes a normal passing test. WI-005 keeps test_register_integrity_gaps.py for the invariant tests only.</t>
  </si>
  <si>
    <t>Planned test files corrected.</t>
  </si>
  <si>
    <t>When the full suite runs</t>
  </si>
  <si>
    <t>Each pull request runs the tests for the apps it touches plus lint and type checks. The full backend suite on Postgres runs nightly and at each verification gate (WI-035, 058, 067). Performance tests run on their own schedule, never in the pull-request run.</t>
  </si>
  <si>
    <t>Wave overlap</t>
  </si>
  <si>
    <t>WI-036</t>
  </si>
  <si>
    <t>Not intended. Every wave 2 item now depends on VER-1 and every wave 3 item on VER-2, so no later wave starts before the earlier gate closes.</t>
  </si>
  <si>
    <t>Dependencies added; dates rescheduled.</t>
  </si>
  <si>
    <t>Holidays</t>
  </si>
  <si>
    <t>Treated as non-working: 20 Oct, 9 Nov, 11 Nov, 24 Nov, 25 Dec 2026 and 26 Jan 2027. Edit the HOLIDAYS list in build_plan.py to match your calendar.</t>
  </si>
  <si>
    <t>Scheduler skips the listed holidays.</t>
  </si>
  <si>
    <t>Slack and slips</t>
  </si>
  <si>
    <t>Item estimates carry a 20% buffer. Each milestone date also has one extra week before it is called. Any item more than 2 working days late triggers a re-plan, and every wave 1 item has a cut-line rank so the lowest-ranked can move to wave 2 instead of moving M1.</t>
  </si>
  <si>
    <t>Milestone date +7 days; Cut line column added.</t>
  </si>
  <si>
    <t>Estimates that cannot meet scope</t>
  </si>
  <si>
    <t>WI-010, 028, 044, 050, 061</t>
  </si>
  <si>
    <t>Re-estimated: 2FA 1.5 to 4 days; POS latency split into a 2-day benchmark harness and a separate timeboxed 5-day optimisation; printer work narrowed to network printer plus keyboard-wedge scanner at 6 days with Bluetooth and browser camera deferred; Tally 10 to 25 days for TallyPrime masters, opening balances and one financial year of vouchers; signup 1 to 3 days. Every wave's estimates are re-checked with a one-day spike before that wave starts.</t>
  </si>
  <si>
    <t>Estimates changed; WI-028 split; spike rule in Plan guide.</t>
  </si>
  <si>
    <t>Admin 2FA</t>
  </si>
  <si>
    <t>Gap-fill, not a rebuild. Checked 2026-10-04: MFA_ENFORCE_FOR_MONEY_ROLES defaults on in production and staging, and enrolment_required already blocks a session until TOTP is enrolled. user_has_money_role covers only OWNER and ACCOUNTANT. There is no separate Admin role: OWNER is labelled Owner/Admin, and there is no can_manage_users flag (invites are an owner action). The gap is MANAGER, whose defaults include can_post_journals and who is not enforced today. Extend enforcement to OWNER, ACCOUNTANT and any membership with can_post_journals (MANAGER by default). Do not add SALES_STAFF: they can create sales and payments, and cashiers and salespeople stay out. Recovery codes already exist.</t>
  </si>
  <si>
    <t>WI-010 scope names the real roles after the repo check.</t>
  </si>
  <si>
    <t>Audit trail gap</t>
  </si>
  <si>
    <t>WI-001</t>
  </si>
  <si>
    <t>Gap-fill only. Add an audit event with actor, IP and before/after values to: sales invoice complete, cancel and amend; sales return; credit and debit notes; purchase invoice complete (books on and off); purchase return; customer receipt; supplier payment; journal post and reverse; stock adjustment, transfer and goods receipt; payroll finalise; period lock and reopen. Remove the xfails.</t>
  </si>
  <si>
    <t>WI-001 scope lists the actions.</t>
  </si>
  <si>
    <t>Encryption scope</t>
  </si>
  <si>
    <t>WI-013</t>
  </si>
  <si>
    <t>New work covers bank account numbers and tax-portal secrets, with existing gateway credentials moved from Fernet to AES-256-GCM. IFSC is not secret and stays searchable. Existing plaintext rows are migrated in batches with a reversible step, storing the last four digits for display. Keys come from the host's secret store, carry a key id for rotation, and never live in the repo.</t>
  </si>
  <si>
    <t>WI-013 scope rewritten.</t>
  </si>
  <si>
    <t>Nightly seal alert</t>
  </si>
  <si>
    <t>WI-034</t>
  </si>
  <si>
    <t>Checked 2026-10-04. core-seal-audit-chain is already on the Celery beat at 02:40 daily (config/settings.py). A verify failure only calls logger.error; the task comment says Sentry picks that up. There is no missed-night detector, no ops-metric for the seal, and no email. Nightly invariant failures notify the Owner in-app via NotificationService, not by email (email is the console backend unless EMAIL_HOST is set). WI-034 adds a missed-run check and alerts the same way: logger.error plus an in-app notification to the Owner. It does not add a new email path.</t>
  </si>
  <si>
    <t>WI-034 channel set from the code: log plus in-app Owner notification.</t>
  </si>
  <si>
    <t>Trial-balance worker</t>
  </si>
  <si>
    <t>WI-005</t>
  </si>
  <si>
    <t>Invariants: trial balance zero; every journal balanced; AR and AP control accounts equal customer and supplier outstanding; stock ledger equals the sum of movements; allocations never exceed payments; output tax in the ledger equals invoice tax. Quarantine flags the batch, blocks period close and GST export until cleared, and does not block billing. Alert goes to Owner, Accountant and the ops mailbox.</t>
  </si>
  <si>
    <t>WI-005 scope rewritten.</t>
  </si>
  <si>
    <t>Soft delete</t>
  </si>
  <si>
    <t>WI-006</t>
  </si>
  <si>
    <t>is_deleted on Customer, Supplier, Product, Warehouse and PriceList. Ledger accounts keep their existing guard. Transactions are cancelled or voided, never soft-deleted. Owner and Admin can restore. Where a foreign key cascades onto transactional rows, it becomes PROTECT; existing child rows are not touched, and the migration first prints an orphan report.</t>
  </si>
  <si>
    <t>WI-006 scope rewritten.</t>
  </si>
  <si>
    <t>Rate limiting</t>
  </si>
  <si>
    <t>WI-008</t>
  </si>
  <si>
    <t>Public routes: login, OTP request and verify, register, password reset, portal links, webhooks. Limits: login 10 per minute per IP and 5 per minute per account; OTP 3 per minute and 10 per hour per target; register 5 per hour per IP; portal 60 per minute per token; authenticated API 600 per minute per tenant with burst 100; webhooks verified by signature with a separate higher limit. If Redis is down, login and OTP fail closed on a strict in-process fallback limit and the general API fails open, with an alert.</t>
  </si>
  <si>
    <t>WI-008 scope rewritten.</t>
  </si>
  <si>
    <t>Cost and margin masking</t>
  </si>
  <si>
    <t>WI-009</t>
  </si>
  <si>
    <t>Visible to Owner, Admin, Accountant, Purchase Manager and Inventory Manager. Hidden from Cashier, Salesperson and Godown custodian. In API, exports and PDFs the field is omitted, not blanked or zeroed, because a zero reads as a real cost. The POS screen shows selling price and a below-cost warning computed on the server, never the cost.</t>
  </si>
  <si>
    <t>WI-009 scope rewritten.</t>
  </si>
  <si>
    <t>Session revocation</t>
  </si>
  <si>
    <t>WI-011</t>
  </si>
  <si>
    <t>Both access and refresh tokens are revoked. Mechanism: a per-user session version checked on every request (Redis with a database fallback), plus the existing refresh blacklist. Whether a websocket layer exists is checked at item start; if there is none, the next API call is enough.</t>
  </si>
  <si>
    <t>WI-011 scope rewritten.</t>
  </si>
  <si>
    <t>Input sanitising</t>
  </si>
  <si>
    <t>WI-012</t>
  </si>
  <si>
    <t>Both: HTML tags are stripped on save from plain-text fields (notes, descriptions, names, addresses, remarks, complaint text, imported cells), and output is escaped on render and in PDF templates. SQL injection is already handled by the ORM, so the new test is a guard that fails the build on string-built raw SQL; no new SQL sanitiser.</t>
  </si>
  <si>
    <t>WI-012 scope rewritten.</t>
  </si>
  <si>
    <t>Invoice snapshots</t>
  </si>
  <si>
    <t>WI-014</t>
  </si>
  <si>
    <t>Snapshot legal name, trade name, billing and shipping address, and GSTIN at completion, for sales invoices, credit and debit notes, and purchase bills (supplier details). Backfill marks every copied row snapshot_source = backfill_from_master and flags it for review; where the audit history shows a rename, the name as of the invoice date is used instead of today's master. Old invoices are never silently rewritten.</t>
  </si>
  <si>
    <t>WI-014 scope rewritten.</t>
  </si>
  <si>
    <t>Schedule H and X register</t>
  </si>
  <si>
    <t>WI-015</t>
  </si>
  <si>
    <t>Behind a per-tenant pharmacy flag, off by default. For Schedule H, H1 and X items a sale cannot complete without patient and prescriber name and registration number; Schedule X also keeps a prescription copy. Inspector layout: date, patient, prescriber and registration no., drug, batch, quantity, invoice no., printable as PDF and CSV. Retention default 3 years, configurable. A licensed pharmacist must review the layout and retention before any pharmacy goes live (default taken from my recollection of the Drugs Rules, so verify).</t>
  </si>
  <si>
    <t>WI-015 scope rewritten; pharmacist review added.</t>
  </si>
  <si>
    <t>Section 16(2) checklist</t>
  </si>
  <si>
    <t>WI-016</t>
  </si>
  <si>
    <t>Mixed. The system proves invoice held (bill exists), goods received (GRN link) and the 180-day payment rule (from payments). 'Supplier paid the tax' and 'return filed' are attested by the user, because GSTR-2B is out of the freeze. A failed or unconfirmed check warns on the bill and excludes it from the claimable ITC summary; it does not block posting the bill or the ledger. CA reviews the wording.</t>
  </si>
  <si>
    <t>WI-016 scope rewritten.</t>
  </si>
  <si>
    <t>Section 16(4) time bar</t>
  </si>
  <si>
    <t>WI-017</t>
  </si>
  <si>
    <t>60 and 7 days are warnings before the statutory deadline (30 November following the financial year of the invoice, or the annual return date if earlier). TIME_BARRED applies after the deadline to unclaimed ITC and excludes it from the claimable summary. ITC already claimed is flagged for CA review, not reversed automatically. CA to confirm relief provisions for older years.</t>
  </si>
  <si>
    <t>WI-017 scope rewritten.</t>
  </si>
  <si>
    <t>Section 17(5) list</t>
  </si>
  <si>
    <t>WI-018</t>
  </si>
  <si>
    <t>Implement the full blocked-credit list as a data table with effective dates (motor vehicles, food and beverages, outdoor catering, beauty and health services, club membership, employee travel benefits, works contract and construction of immovable property, personal consumption, goods lost, stolen or destroyed, gifts and free samples, and the rest). Match on HSN/SAC plus expense category; keywords only suggest. On a block, GST posts to the expense or asset account, not ITC receivable. Owner and Accountant can override with a reason, audited. CA approves the table.</t>
  </si>
  <si>
    <t>WI-018 scope rewritten.</t>
  </si>
  <si>
    <t>GSTR-2B scope in WI-019</t>
  </si>
  <si>
    <t>WI-019</t>
  </si>
  <si>
    <t>WI-019 only adds the blocked-credit classification to the reconciliation data that already exists, using uploaded 2B files. It builds no new reconciliation and calls no GSTN API, so it stays inside the freeze.</t>
  </si>
  <si>
    <t>WI-019 scope narrowed.</t>
  </si>
  <si>
    <t>Section 50 interest</t>
  </si>
  <si>
    <t>WI-020</t>
  </si>
  <si>
    <t>Rates held in a table with effective dates: 18% a year on tax paid late, 24% on undue or excess ITC claimed. Basis: net cash liability where the return was filed late (Rule 88B), and the unpaid amount where tax was paid late after filing. Output is a worksheet plus CSV. It posts no journal. CA confirms the table and the basis.</t>
  </si>
  <si>
    <t>WI-020 scope rewritten.</t>
  </si>
  <si>
    <t>Chronic defaulter rule</t>
  </si>
  <si>
    <t>WI-021</t>
  </si>
  <si>
    <t>New rule, still to confirm: per company, any invoice more than 60 days overdue and an over-60-day total of at least Rs 5,000. The block stops credit-sale completion, sales-order confirmation and delivery challans; cash and prepaid sales still go through. Unlock is a single-use code valid 24 hours, issued by the Owner or a credit-override role, with a reason. Existing rule, checked 2026-10-04, stays and the stricter of the two wins. Always on: sales invoice complete blocks when credit_limit &gt; 0 and exposure plus the invoice exceeds it (sales/services.py). Opt-in, default off (company.auto_credit_hold_on_severe_overdue): the same complete path also blocks when collection status is stop_credit (outstanding above the credit limit) or overdue_severe (any overdue and either a 90-plus-day bucket or average payment delay over 21 days), from payments/dunning.py customer_risk_snapshot. That opt-in does not run on sales-order confirmation or delivery challans.</t>
  </si>
  <si>
    <t>WI-021 now states the existing hold instead of 'read the code first'.</t>
  </si>
  <si>
    <t>Cheque dishonour split</t>
  </si>
  <si>
    <t>WI-022, 023</t>
  </si>
  <si>
    <t>WI-022 owns reversal, bank fee and owner alert. WI-023 owns only the section 138 notice draft. The '5 days' is replaced by configurable dates taken from the bank's return memo. The notice follows the statutory sequence (written demand within 30 days of the memo, 15 days to pay) and carries the disclaimer that it is a draft for an advocate to review. Default fee is the amount from the bank memo, suggested Rs 500. Whether GST applies to the recovery is a CA decision; it is a configurable flag, default off.</t>
  </si>
  <si>
    <t>WI-022 and WI-023 scopes separated.</t>
  </si>
  <si>
    <t>Cancelled supplier GSTIN</t>
  </si>
  <si>
    <t>WI-024</t>
  </si>
  <si>
    <t>Status comes from whatever feeds the existing alert plus a manual flag; no GSTN pull. New ITC is blocked for invoices dated on or after the cancellation effective date. ITC already availed is flagged for the CA, not reversed. The payment hold can be overridden by Owner or Accountant with a reason, audited.</t>
  </si>
  <si>
    <t>WI-024 scope rewritten.</t>
  </si>
  <si>
    <t>Approval queue</t>
  </si>
  <si>
    <t>WI-025</t>
  </si>
  <si>
    <t>Actions: credit-limit override, stock adjustment above threshold, invoice cancel or amend after completion, discount above threshold, return or credit note above threshold, backdated posting or period reopen, supplier payment above threshold, bad-debt write-off, bulk import commit. Default approver is the Owner, configurable per action by role. A requester cannot approve their own request; an Owner with no other approver can, flagged as self-approved with a reason. Requests expire after 72 hours and count as rejected.</t>
  </si>
  <si>
    <t>WI-025 scope rewritten.</t>
  </si>
  <si>
    <t>Stock adjustment approval</t>
  </si>
  <si>
    <t>WI-026</t>
  </si>
  <si>
    <t>Either test triggers it: value at cost of Rs 10,000 or more, or quantity of 10% or more of on-hand. Both are configurable per company. Dual approval needs two different users; a single-user company gets the Owner exception from WI-025.</t>
  </si>
  <si>
    <t>WI-026 scope rewritten.</t>
  </si>
  <si>
    <t>Credit override token</t>
  </si>
  <si>
    <t>WI-027</t>
  </si>
  <si>
    <t>In-app one-time token for MVP; WhatsApp is added when the freeze flag is flipped. Single use, 15-minute expiry, bound to the invoice batch and requester. If the owner does not respond, the over-limit invoices stay in 'Awaiting approval', the others proceed, expiry counts as rejected, and nothing is ever auto-approved.</t>
  </si>
  <si>
    <t>WI-027 scope rewritten.</t>
  </si>
  <si>
    <t>Checkout latency</t>
  </si>
  <si>
    <t>WI-028</t>
  </si>
  <si>
    <t>Target: 95th percentile 200 ms server-side for checkout complete including tax, stock and ledger, on a 2 vCPU 4 GB container with local Postgres, a 20,000-SKU catalogue and a 3-line cart. The benchmark runs outside the normal suite on its own nightly job and compares against a recorded baseline. The item splits into WI-028 (harness and baseline, 2 days) and a new WI-028b (optimise, timeboxed 5 days).</t>
  </si>
  <si>
    <t>WI-028 split; WI-028b added.</t>
  </si>
  <si>
    <t>E-way bill actions</t>
  </si>
  <si>
    <t>WI-029-032</t>
  </si>
  <si>
    <t>Stub actions against the GSP adapter interface with a fake provider, plus stored fields for vehicle history, extension and multi-vehicle split, all behind GSP_LIVE_ENABLED=0. Live calls need NIC or GSP sandbox credentials from you and a freeze exception. WI-032 computes validity from the entered distance using a configurable slab table with effective dates that the CA confirms (the bands have changed over time). PIN-to-PIN distance lookup is deferred.</t>
  </si>
  <si>
    <t>WI-029-032 scopes rewritten; PIN lookup deferred.</t>
  </si>
  <si>
    <t>Concurrent customer edits</t>
  </si>
  <si>
    <t>WI-033</t>
  </si>
  <si>
    <t>Both mechanisms. PATCH merges changed fields under a row lock, so concurrent edits of different fields both persist. PUT requires a version and a stale write is rejected with 409 and the current value. A register row is created when the item starts.</t>
  </si>
  <si>
    <t>WI-033 scope rewritten.</t>
  </si>
  <si>
    <t>Salt, composition, manufacturer</t>
  </si>
  <si>
    <t>Optional fields, shown and searchable for every tenant but expected mainly by pharmacies. Billing search must stay inside the WI-028 latency budget (trigram index and a query-budget test).</t>
  </si>
  <si>
    <t>WI-036 scope rewritten.</t>
  </si>
  <si>
    <t>Bulk invoice CSV</t>
  </si>
  <si>
    <t>WI-037</t>
  </si>
  <si>
    <t>Columns: invoice ref, customer, invoice date, due date, item SKU or barcode, quantity, rate, discount %, warehouse, notes; tax is computed. Mode: dry run validates everything first, then commits per invoice atomically; an invoice with any bad row is rejected whole and reported by row. Cap 2,000 rows (about 500 invoices) per file; the file hash makes re-upload idempotent.</t>
  </si>
  <si>
    <t>WI-037 scope rewritten.</t>
  </si>
  <si>
    <t>In-transit stock</t>
  </si>
  <si>
    <t>WI-038</t>
  </si>
  <si>
    <t>In transit is a real location per transfer. Stock moves source to in-transit on dispatch and in-transit to destination on receipt. Partial receipt is allowed with a shortage or damage reason. No ledger entry for same-company, same-GSTIN transfers.</t>
  </si>
  <si>
    <t>WI-038 scope rewritten.</t>
  </si>
  <si>
    <t>Multi-shop dashboard</t>
  </si>
  <si>
    <t>WI-039</t>
  </si>
  <si>
    <t>Warehouses within one company only; multi-company GSTIN stays out of scope. The view must stay inside the dashboard's query budget, with a test.</t>
  </si>
  <si>
    <t>WI-039 scope rewritten.</t>
  </si>
  <si>
    <t>Overdue interest and bad-debt risk</t>
  </si>
  <si>
    <t>WI-040</t>
  </si>
  <si>
    <t>Report only, no posting. Interest rate per company, default 18% a year simple. Suggested provision by age: 0 to 60 days 0%, 61 to 90 days 5%, 91 to 180 days 25%, 181 to 365 days 50%, over 365 days 100%. Confirm the buckets with your accountant.</t>
  </si>
  <si>
    <t>WI-040 scope rewritten.</t>
  </si>
  <si>
    <t>Warehouse users and contacts</t>
  </si>
  <si>
    <t>WI-041</t>
  </si>
  <si>
    <t>Users map to many warehouses with one default. Contact person and phone are required; email is optional.</t>
  </si>
  <si>
    <t>WI-041 scope rewritten.</t>
  </si>
  <si>
    <t>Printer and scanner scope</t>
  </si>
  <si>
    <t>WI-044, 045</t>
  </si>
  <si>
    <t>Pilot scope: network ESC/POS printer and USB keyboard-wedge scanner. Bluetooth and the browser camera scanner are deferred; the mobile app's camera scan already works. Verification devices: a network ESC/POS printer such as an Epson TM-T82 and any keyboard-wedge scanner; you need to buy or name them. Tests: Vitest for logic plus a manual device checklist.</t>
  </si>
  <si>
    <t>WI-044 and WI-045 rescoped; tests are web files.</t>
  </si>
  <si>
    <t>Subscription invoices</t>
  </si>
  <si>
    <t>WI-046</t>
  </si>
  <si>
    <t>Bizboard's own GST invoice to the tenant, with our GSTIN and place of supply from the tenant's state, generated and emailed on a captured-payment event. Freeze decision D3 names the pilot gateways: Cashfree or PayU, sandbox only, at least one configured (ENABLE_CASHFREE and ENABLE_PAYU on). The invoice generator listens to that captured-payment event and does not call a gateway SDK. Razorpay stays as it is: billing.tasks.reconcile_saas_subscriptions_task reconciles local Subscription rows and is not the source of these tax invoices.</t>
  </si>
  <si>
    <t>WI-046 names Cashfree or PayU from the freeze; Razorpay recon is left alone.</t>
  </si>
  <si>
    <t>Journey tests</t>
  </si>
  <si>
    <t>WI-047-049</t>
  </si>
  <si>
    <t>They test flows that already work. If one fails, fixing it is in scope up to one day; anything larger becomes a separate item. Rejecting cases: duplicate submission, wrong-tenant access, missing permission, and a credit note created exactly once.</t>
  </si>
  <si>
    <t>WI-047-049 pass and reject cases added.</t>
  </si>
  <si>
    <t>Signup load test</t>
  </si>
  <si>
    <t>WI-050</t>
  </si>
  <si>
    <t>20 concurrent signups out of 50 total, 95th percentile provisioning at most 10 seconds, no duplicate tenants. Runs on a nightly or manual job, not in the pull-request run. Item is 3 days.</t>
  </si>
  <si>
    <t>WI-050 estimate and criteria changed.</t>
  </si>
  <si>
    <t>Cart reservation release</t>
  </si>
  <si>
    <t>WI-051</t>
  </si>
  <si>
    <t>Checked 2026-10-04: there is no cart session and no timeout. POS drafts are device-local, wiped on sign-out (freeze C5), and do not reserve stock. The only stock hold with no expiry is a confirmed sales-order reservation, released on cancel, convert or invoice complete. WI-051 adds a company-configurable expiry, default 24 hours, on that reservation and on POS holds once WI-053 creates them: release the allocation and mark the hold expired, keeping the row so it can be restored if stock is free. Confirm the 24-hour default before the item starts.</t>
  </si>
  <si>
    <t>WI-051 scope states that no cart timeout exists; default TTL 24 hours, still to confirm.</t>
  </si>
  <si>
    <t>WI-053 dependency</t>
  </si>
  <si>
    <t>WI-053</t>
  </si>
  <si>
    <t>Not real. The dependency on keyboard-only POS is removed.</t>
  </si>
  <si>
    <t>Dependency removed.</t>
  </si>
  <si>
    <t>Rupee mask vs role masking</t>
  </si>
  <si>
    <t>WI-057</t>
  </si>
  <si>
    <t>Yes, separate. The mask is a personal on-screen toggle for people allowed to see the figures; it is not a security control.</t>
  </si>
  <si>
    <t>WI-057 scope rewritten.</t>
  </si>
  <si>
    <t>Cash-flow simulation</t>
  </si>
  <si>
    <t>WI-059</t>
  </si>
  <si>
    <t>Per debtor, bootstrap from the days-late of the last 12 settled invoices, shrunk toward the customer-segment average; 1,000 runs; show p10, p50 and p90. With fewer than 5 settled invoices, fall back to the ageing heuristic and show a 'low confidence, based on N invoices' badge.</t>
  </si>
  <si>
    <t>WI-059 scope rewritten.</t>
  </si>
  <si>
    <t>Fuzzy invoice matching</t>
  </si>
  <si>
    <t>WI-060</t>
  </si>
  <si>
    <t>Score 0.95 or higher with equal GSTIN and tax within tolerance links automatically; 0.80 to 0.95 suggests a match for a person to confirm; below 0.80 shows nothing. It runs on uploaded 2B data after WI-019; nothing calls GSTN.</t>
  </si>
  <si>
    <t>WI-060 scope rewritten; depends on WI-019.</t>
  </si>
  <si>
    <t>Tally migration</t>
  </si>
  <si>
    <t>WI-061</t>
  </si>
  <si>
    <t>TallyPrime only for now. Ledger masters, stock items, opening balances and one financial year of vouchers, with a mandatory mapping step for ledgers and stock items. Turning ENABLE_TALLY on is a separate freeze exception, not part of this item. Estimate 25 days; multi-year history and Tally.ERP 9 come later.</t>
  </si>
  <si>
    <t>WI-061 scope and estimate changed.</t>
  </si>
  <si>
    <t>Non-filer higher TDS/TCS</t>
  </si>
  <si>
    <t>WI-062, 063</t>
  </si>
  <si>
    <t>Dropped</t>
  </si>
  <si>
    <t>Dropped pending CA confirmation. To my knowledge sections 206AB and 206CCA were omitted from 1 April 2025, which would make both items obsolete. If the CA says otherwise: use an uploaded specified-person list rather than stored taxpayer credentials, valid for the financial year, applied to new documents only.</t>
  </si>
  <si>
    <t>WI-062 and WI-063 removed from the plan.</t>
  </si>
  <si>
    <t>Anomaly detector</t>
  </si>
  <si>
    <t>WI-064</t>
  </si>
  <si>
    <t>Review queue only; it never blocks a bill. Unusual means a discount above 3 times the item's median discount, or a bill above both a rupee floor and 3 times the customer's median bill. Thresholds are per company and configurable.</t>
  </si>
  <si>
    <t>WI-064 scope rewritten.</t>
  </si>
  <si>
    <t>Section 128A</t>
  </si>
  <si>
    <t>WI-065</t>
  </si>
  <si>
    <t>Dropped from the plan, kept in the register as On request. The scheme window has closed, so a live tracker has no use, and a historical reconciliation is only worth building for a pilot customer who has declarations. CA to confirm.</t>
  </si>
  <si>
    <t>WI-065 removed.</t>
  </si>
  <si>
    <t>Section 171 anti-profiteering</t>
  </si>
  <si>
    <t>WI-066</t>
  </si>
  <si>
    <t>Dropped from the plan, kept in the register as On request, because enforcement has been wound down as far as I know. CA to confirm. If it comes back: count rate-cut notifications as events, with the last price before the cut as the baseline.</t>
  </si>
  <si>
    <t>WI-066 removed.</t>
  </si>
  <si>
    <t>Implementation plan</t>
  </si>
  <si>
    <t>One row per work item. Cream cells are inputs; everything else is a formula or fixed plan text. Filter on Wave, Owner, Status, RAG or Kind.</t>
  </si>
  <si>
    <t>WI ID</t>
  </si>
  <si>
    <t>Register task</t>
  </si>
  <si>
    <t>Work item</t>
  </si>
  <si>
    <t>Wave</t>
  </si>
  <si>
    <t>Release gate</t>
  </si>
  <si>
    <t>Workstream</t>
  </si>
  <si>
    <t>Layer</t>
  </si>
  <si>
    <t>Scope (quality-first)</t>
  </si>
  <si>
    <t>Acceptance criteria</t>
  </si>
  <si>
    <t>Planned test file</t>
  </si>
  <si>
    <t>Depends on</t>
  </si>
  <si>
    <t>Owner</t>
  </si>
  <si>
    <t>Estimate (days)</t>
  </si>
  <si>
    <t>Planned days (with buffer)</t>
  </si>
  <si>
    <t>Planned start</t>
  </si>
  <si>
    <t>Planned due</t>
  </si>
  <si>
    <t>Design</t>
  </si>
  <si>
    <t>Build</t>
  </si>
  <si>
    <t>Tests</t>
  </si>
  <si>
    <t>Review</t>
  </si>
  <si>
    <t>Register sync</t>
  </si>
  <si>
    <t>% done</t>
  </si>
  <si>
    <t>Actual start</t>
  </si>
  <si>
    <t>Actual done</t>
  </si>
  <si>
    <t>Days late</t>
  </si>
  <si>
    <t>Blocked reason</t>
  </si>
  <si>
    <t>PR / branch</t>
  </si>
  <si>
    <t>Evidence (test ids, run id)</t>
  </si>
  <si>
    <t>Register work status</t>
  </si>
  <si>
    <t>Register verification</t>
  </si>
  <si>
    <t>Kind</t>
  </si>
  <si>
    <t>Cut line</t>
  </si>
  <si>
    <t>Decision refs (Q)</t>
  </si>
  <si>
    <t>Plan key</t>
  </si>
  <si>
    <t>WI-068</t>
  </si>
  <si>
    <t>Extend register_sync.py to score Vitest and Playwright results</t>
  </si>
  <si>
    <t>Platform &amp; reliability</t>
  </si>
  <si>
    <t>Tooling</t>
  </si>
  <si>
    <t>Parse Vitest and Playwright JUnit, map web test file paths to register rows, unit-test the parser against real output.</t>
  </si>
  <si>
    <t>Pass: register_sync.py scores Vitest and Playwright results onto register rows. Rejecting case: A web test that fails marks its row Fail; an unknown path is reported as unmatched. Done means: the tool runs on real output from the suites, its parser has unit tests, and the reviewer signs.</t>
  </si>
  <si>
    <t>qos/tools/tests/test_register_sync_web.py</t>
  </si>
  <si>
    <t>Agent 1</t>
  </si>
  <si>
    <t>Done</t>
  </si>
  <si>
    <t>In progress</t>
  </si>
  <si>
    <t>Not started</t>
  </si>
  <si>
    <t>Agent review done; human sign-off pending</t>
  </si>
  <si>
    <t>uncommitted working tree</t>
  </si>
  <si>
    <t>Tests: qos/tools/tests/test_register_sync_web.py::test_parser_reads_pytest_vitest_and_playwright [not in run]; qos/tools/tests/test_register_sync_web.py::test_failed_web_test_marks_the_row_fail_and_unknown_path_is_unmatched [not in run] | Code: qos/tools/register_sync.py:load_junit; qos/tools/register_sync.py:merge_junit | Run: pytest on SQLite 2026-10-05 (Postgres-only tests skipped)</t>
  </si>
  <si>
    <t>tooling</t>
  </si>
  <si>
    <t>9</t>
  </si>
  <si>
    <t>REG-WEB</t>
  </si>
  <si>
    <t>WI-069</t>
  </si>
  <si>
    <t>Decide Postgres host, RPO/RTO and backup-key custody</t>
  </si>
  <si>
    <t>Process</t>
  </si>
  <si>
    <t>Founder chooses the provider (default: managed Postgres in an India region with point-in-time recovery), confirms RPO 5 min and RTO 1 h, and names the key administrator.</t>
  </si>
  <si>
    <t>Pass: Provider, RPO, RTO and key administrator recorded. Rejecting case: S-0570 does not start until this is recorded. Done means: the decision is recorded in the Plan decisions sheet with date and owner.</t>
  </si>
  <si>
    <t>Founder</t>
  </si>
  <si>
    <t>N/A</t>
  </si>
  <si>
    <t>Gap: No file records the provider choice, RPO 5 min / RTO 1 h confirmation or key administrator; the plan only states a recommended default.</t>
  </si>
  <si>
    <t>Run: pytest on SQLite 2026-10-05 (Postgres-only tests skipped)</t>
  </si>
  <si>
    <t>decision</t>
  </si>
  <si>
    <t>6</t>
  </si>
  <si>
    <t>DEC-HOST</t>
  </si>
  <si>
    <t>WI-070</t>
  </si>
  <si>
    <t>Engage a chartered accountant for Rule 11(g) and the tax rule tables</t>
  </si>
  <si>
    <t>GST &amp; compliance</t>
  </si>
  <si>
    <t>Name the CA and agree the review scope: Rule 11(g) coverage, s.16(2), s.16(4), s.17(5), s.50 tables, e-way validity slabs, bad-debt buckets.</t>
  </si>
  <si>
    <t>Pass: CA named and review scope agreed in writing. Rejecting case: Tax rule items do not close without CA review. Done means: the decision is recorded in the Plan decisions sheet with date and owner.</t>
  </si>
  <si>
    <t>Gap: No file records a named CA or an agreed review scope.</t>
  </si>
  <si>
    <t>7</t>
  </si>
  <si>
    <t>DEC-CA</t>
  </si>
  <si>
    <t>Audit &amp; integrity</t>
  </si>
  <si>
    <t>Backend</t>
  </si>
  <si>
    <t>Audit event with actor, IP and before/after values on: sales invoice complete, cancel, amend; sales return; credit and debit notes; purchase invoice complete (books on and off); purchase return; customer receipt; supplier payment; journal post and reverse; stock adjustment, transfer, goods receipt; payroll finalise; period lock and reopen. One test per action; remove the xfails.</t>
  </si>
  <si>
    <t>Pass: Every action in the scope list writes exactly one AuditEvent with actor, IP and before/after; the chain verifies. Rejecting case: A journal post or a purchase complete with books off that writes no event fails its test (the current xfails); a tampered event fails verification.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</si>
  <si>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backend/tests/test_register_audit_coverage.py</t>
  </si>
  <si>
    <t>Agent 2</t>
  </si>
  <si>
    <t>Tests: tests/test_register_audit_coverage.py::test_sales_invoice_complete_writes_audit_event [pass]; tests/test_plan_above_items.py::test_period_lock_and_reopen_name_the_actor [pass]; tests/test_plan_above_items.py::test_payroll_finalise_writes_an_audit_event [pass]; tests/test_plan_above_items.py::test_amended_invoice_uses_the_coverage_event_name [pass] | Code: backend/core/services/audit.py:before_status_for_event; backend/planwave/services.py:AUDIT_COVERAGE | Run: pytest on SQLite 2026-10-05 (Postgres-only tests skipped)</t>
  </si>
  <si>
    <t>feature</t>
  </si>
  <si>
    <t>19</t>
  </si>
  <si>
    <t>WI-002</t>
  </si>
  <si>
    <t>Pass: Parent P-0115 is Done and its tests pass. Rejecting case: Same rejecting cases as P-0115.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</si>
  <si>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Tests: tests/test_register_audit_coverage.py::test_sales_invoice_complete_writes_audit_event [pass]; tests/test_register_audit_coverage.py::test_supplier_payment_post_writes_audit_event [pass]; tests/test_register_audit_coverage.py::test_stock_adjustment_writes_audit_event [pass]; tests/test_audit_append_only.py::test_saving_an_existing_event_is_refused [pass] | Code: backend/core/services/audit.py:record_document_event; backend/planwave/services.py:AUDIT_COVERAGE | Run: pytest on SQLite 2026-10-05 (Postgres-only tests skipped)</t>
  </si>
  <si>
    <t>10</t>
  </si>
  <si>
    <t>WI-003</t>
  </si>
  <si>
    <t>Rule 11(g) coverage map (action to audit event) built now; edit log on every accounting record; certification export listing the periods in which logging was on. CA sign-off is the separate CA-SIGN item.</t>
  </si>
  <si>
    <t>Pass: Coverage map lists every accounting record with its event; certification export shows logging on for the whole year. Rejecting case: Export refuses to certify when the chain has a gap or logging was off in a period.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</si>
  <si>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backend/tests/test_plan_p_0507.py</t>
  </si>
  <si>
    <t>Gap: Coverage map and certification export exist, but the export does not list the periods logging was on (it returns logging_on=True or refuses). Nothing writes LoggingWindow rows automatically. No edit log (before/after) on every accounting record, only per-action audit events. No test asserts every AUDIT_COVERAGE event is actually emitted.</t>
  </si>
  <si>
    <t>Tests: tests/test_planwave_remaining.py::test_certification_refuses_a_dark_window [pass]; tests/test_register_audit_coverage.py::test_sales_invoice_complete_writes_audit_event [pass]; tests/test_plan_above_items.py::test_period_lock_and_reopen_name_the_actor [pass] | Code: backend/planwave/services.py:certification_export; backend/planwave/services.py:AUDIT_COVERAGE; backend/planwave/models.py:LoggingWindow; backend/planwave/views.py:CertificationView | Run: pytest on SQLite 2026-10-05 (Postgres-only tests skipped)</t>
  </si>
  <si>
    <t>7, 10</t>
  </si>
  <si>
    <t>WI-004</t>
  </si>
  <si>
    <t>Pass: Report certifies logging was never disabled for the financial year. Rejecting case: Report flags any window in which logging was disabled.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</si>
  <si>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backend/tests/test_plan_c_0616.py</t>
  </si>
  <si>
    <t>Tests: tests/test_planwave_remaining.py::test_certification_refuses_a_dark_window [pass] | Code: backend/planwave/services.py:certification_export; backend/planwave/views.py:CertificationView; backend/planwave/models.py:LoggingWindow | Run: pytest on SQLite 2026-10-05 (Postgres-only tests skipped)</t>
  </si>
  <si>
    <t>Nightly worker runs these invariants: trial balance zero; every journal balanced; AR/AP control accounts equal customer/supplier outstanding; stock ledger equals movements; allocations within payments; ledger output tax equals invoice tax. A violation creates a quarantine record, blocks period close and GST export until cleared (billing continues), and alerts Owner, Accountant and the ops mailbox.</t>
  </si>
  <si>
    <t>Pass: Nightly task runs every listed invariant; a violation creates a quarantine record, blocks period close and GST export and alerts. Rejecting case: An unbalanced journal inserted through the ORM is caught on the next run and blocks period close.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</si>
  <si>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backend/tests/test_plan_s_0561.py; backend/tests/test_register_integrity_gaps.py (invariant tests)</t>
  </si>
  <si>
    <t>Gap: No invariant for payment allocations within payment amounts; no registered invariant for ledger output tax equals invoice tax (only a one-off test); AR/AP control vs outstanding only as dashboard-vs-aging projection checks; quarantine block wired to GST soft-close and GSTR export but not to accounting period lock; ops mailbox is only a log line; no test that the nightly run creates the quarantine row end to end; test_plan_s_0561.py absent.</t>
  </si>
  <si>
    <t>Tests: tests/test_planwave_remaining.py::test_quarantine_blocks_close_and_clears [pass]; tests/test_code_review_2026_10_05.py::test_one_open_quarantine_row_per_company [pass]; tests/test_fmea_mitigations.py::test_tc_fmea_010_a_failed_invariant_notifies_the_owner_in_app [pass]; tests/test_register_integrity_gaps.py::test_output_tax_in_ledger_equals_sum_of_completed_invoice_tax [pass] | Code: backend/core/tasks.py:nightly_invariants_task; backend/planwave/services.py:open_quarantine; backend/planwave/services.py:assert_books_clear; backend/reporting/gst_periods.py:soft_close_period | Run: pytest on SQLite 2026-10-05 (Postgres-only tests skipped)</t>
  </si>
  <si>
    <t>22</t>
  </si>
  <si>
    <t>is_deleted on Customer, Supplier, Product, Warehouse and PriceList; restore by Owner/Admin; ledger accounts keep their guard; transactions are cancelled, never soft-deleted. Cascades onto transactional rows become PROTECT; existing child rows untouched; an orphan report is produced before the migration.</t>
  </si>
  <si>
    <t>Pass: Soft-deleted masters vanish from lists, reports and search and Owner/Admin can restore them with history intact. Rejecting case: Hard delete of a master that has transactions raises; deleting a parent no longer cascades onto transactional rows.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</si>
  <si>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backend/tests/test_plan_s_0568.py</t>
  </si>
  <si>
    <t>Gap: Soft delete exists on Customer, Supplier, Product, Warehouse, PriceList and sales FKs are PROTECT, but some child FKs to Customer/Product/Warehouse remain CASCADE (payments dunning/portal/promise, warehouse reorder/running costs). orphan_report and its management command have no test. Restore permission is Owner/Manager/Accountant, not Owner/Admin only. Only Customer is tested for soft-delete and restore.</t>
  </si>
  <si>
    <t>Tests: tests/test_planwave_remaining.py::test_soft_deleted_customer_hides_and_hard_delete_is_refused [pass]; tests/test_planwave_finish.py::test_restore_brings_a_customer_back [pass] | Code: backend/core/models.py:SoftDeleteFields; backend/planwave/finish.py:restore_master; backend/planwave/finish.py:orphan_report; backend/planwave/views.py:RestoreMasterView | Run: pytest on SQLite 2026-10-05 (Postgres-only tests skipped)</t>
  </si>
  <si>
    <t>23</t>
  </si>
  <si>
    <t>Infra</t>
  </si>
  <si>
    <t>Provider-specific design after DEC-HOST: WAL archiving and point-in-time recovery plus the daily encrypted dump, RPO 5 min and RTO 1 h by default, keys held in the provider key service. Restore drill into a non-production copy, timed.</t>
  </si>
  <si>
    <t>Pass: Timed restore drill reaches a chosen target time within the RTO; the encrypted dump restores. Rejecting case: Restore with the wrong key fails; a gap in archived WAL raises an alert. Done means: the drill is executed on a non-production copy and its timings and steps are attached; the reviewer signs.</t>
  </si>
  <si>
    <t>drill log in qos/evidence/ (restore or alert drill)</t>
  </si>
  <si>
    <t>Gap: No WAL archiving or point-in-time recovery, no RPO 5 min / RTO 1 h configuration, no provider key-service integration (GPG/age recipient only), and no timed restore drill log in qos/evidence.</t>
  </si>
  <si>
    <t>Code: scripts/backup.sh; scripts/restore_drill.sh; .github/workflows/backup-restore-drill.yml | Run: pytest on SQLite 2026-10-05 (Postgres-only tests skipped)</t>
  </si>
  <si>
    <t>infra drill</t>
  </si>
  <si>
    <t>Security</t>
  </si>
  <si>
    <t>Redis token bucket. Login 10/min per IP and 5/min per account; OTP 3/min and 10/h per target; register 5/h per IP; portal 60/min per token; authenticated API 600/min per tenant (burst 100); webhooks signature-verified with a higher limit. Redis down: login and OTP fail closed on a strict in-process limit, the general API fails open, with an alert.</t>
  </si>
  <si>
    <t>Pass: Each public route enforces its limit with 429 and Retry-After. Rejecting case: The 11th login attempt in a minute is refused; with Redis stopped, login still refuses over-limit attempts and the general API stays up.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</si>
  <si>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backend/tests/test_plan_s_0572.py</t>
  </si>
  <si>
    <t>Gap: Authenticated API is limited per credential at 100 per 10 s plus 1500/min per IP, not 600/min per tenant; fixed-window cache counter, not a token bucket; webhook limit is per IP and signature verification is separate; Redis-down alert is a single log line; no tests for register 5/h, portal 60/min, or the API limits.</t>
  </si>
  <si>
    <t>Tests: tests/test_planwave_remaining.py::test_rate_limit_refuses_the_eleventh_login [pass]; tests/test_planwave_remaining.py::test_same_account_login_stops_at_six [pass]; tests/test_planwave_remaining.py::test_cache_down_closes_login_and_leaves_api_up [pass]; tests/test_plan_above_items.py::test_otp_limit_follows_the_phone_not_the_ip [pass] | Code: backend/planwave/ratelimit.py:rules_for; backend/planwave/ratelimit.py:_hit; backend/planwave/ratelimit.py:PlanRateLimitMiddleware | Run: pytest on SQLite 2026-10-05 (Postgres-only tests skipped)</t>
  </si>
  <si>
    <t>24</t>
  </si>
  <si>
    <t>Omit purchase_price and margin (never blank or zero) in API, exports and PDFs for Cashier, Salesperson and Godown custodian; visible to Owner, Admin, Accountant, Purchase Manager, Inventory Manager. POS shows a server-computed below-cost warning, not the cost.</t>
  </si>
  <si>
    <t>Pass: Cashier, Salesperson and Godown custodian never receive purchase price or margin from API, exports, PDFs or POS. Rejecting case: A request from those roles for cost fields gets the field omitted, with one test per surface.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</si>
  <si>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backend/tests/test_plan_sec_0622.py</t>
  </si>
  <si>
    <t>Gap: Masking is applied only to the Product serializer and the plan catalogue CSV/PDF. Margin and cost on invoice-profit reports, purchase lines, other exports and PDFs are not masked via this helper. Role set uses OWNER/ACCOUNTANT/MANAGER; no Purchase Manager or Inventory Manager distinction and INVENTORY_STAFF is masked. Below-cost warning is only a product-level flag, not a POS server check.</t>
  </si>
  <si>
    <t>Tests: tests/test_planwave_remaining.py::test_product_api_omits_cost_for_sales_staff [pass]; tests/test_planwave_remaining.py::test_cost_fields_are_omitted_for_sales_staff [pass]; tests/test_plan_above_items.py::test_catalogue_export_omits_cost_for_sales_staff [pass] | Code: backend/planwave/services.py:mask_commercial; backend/masters/serializers.py:ProductSerializer.to_representation; backend/planwave/finish.py:catalog_rows; backend/planwave/finish.py:catalog_pdf | Run: pytest on SQLite 2026-10-05 (Postgres-only tests skipped)</t>
  </si>
  <si>
    <t>25</t>
  </si>
  <si>
    <t>Full stack</t>
  </si>
  <si>
    <t>Gap-fill, not a rebuild. Enforcement already defaults on in production and staging for OWNER and ACCOUNTANT, with first-login enrolment and recovery codes. There is no separate Admin role (OWNER is Owner/Admin) and no can_manage_users flag. Extend the same enforcement to any membership with can_post_journals (MANAGER by default). Leave SALES_STAFF, inventory staff, auditor and viewer out.</t>
  </si>
  <si>
    <t>Pass: OWNER, ACCOUNTANT and a membership with can_post_journals cannot get a normal session without TOTP, are forced to enrol at first login, and recovery codes work once. Rejecting case: Password-only login for those memberships yields no session; SALES_STAFF can still sign in with a password.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</si>
  <si>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backend/tests/test_mfa.py; backend/tests/test_mfa_mandatory.py; backend/tests/test_register_integrity_gaps.py (xfail test)</t>
  </si>
  <si>
    <t>Tests: tests/test_mfa.py::test_flag_on_journal_poster_must_enrol [pass]; tests/test_mfa.py::test_flag_on_sales_staff_still_gets_a_session [pass]; tests/test_mfa.py::test_flag_on_owner_without_mfa_must_enrol [pass]; tests/test_register_integrity_gaps.py::test_owner_without_mfa_cannot_complete_login_with_password_alone [pass] | Code: backend/accounts/mfa_service.py:user_has_money_role; backend/accounts/mfa_service.py:enrolment_required; backend/config/settings.py:_assert_mfa_enforcement | Run: pytest on SQLite 2026-10-05 (Postgres-only tests skipped)</t>
  </si>
  <si>
    <t>12, 18</t>
  </si>
  <si>
    <t>Per-user session version checked on each request (Redis with database fallback) plus the existing refresh blacklist, so access and refresh tokens both die on deactivation. Websocket drop only if a channel layer exists.</t>
  </si>
  <si>
    <t>Pass: Deactivating a user invalidates access and refresh tokens at the next request. Rejecting case: A deactivated user's existing access token is answered 401.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</si>
  <si>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backend/tests/test_plan_sec_0625.py</t>
  </si>
  <si>
    <t>Tests: tests/test_plan_audit_seal_session.py::test_deactivated_user_access_token_is_rejected [pass]; tests/test_planwave_remaining.py::test_socket_drop_is_a_no_op_without_channels [pass] | Code: backend/core/authentication.py:get_user; backend/accounts/views.py:_revoke_sessions_if_last_active_membership; backend/planwave/sockets.py:drop_user_sockets | Run: pytest on SQLite 2026-10-05 (Postgres-only tests skipped)</t>
  </si>
  <si>
    <t>26</t>
  </si>
  <si>
    <t>Strip HTML tags on save from plain-text fields (notes, descriptions, names, addresses, remarks, complaint text, imported cells); escape on render and in PDF templates; a guard test fails on string-built raw SQL.</t>
  </si>
  <si>
    <t>Pass: HTML is stripped on save from the listed fields and output is escaped in the UI and PDFs. Rejecting case: A stored script tag never executes or appears raw; string-built raw SQL fails the guard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</si>
  <si>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backend/tests/test_plan_sec_0626.py</t>
  </si>
  <si>
    <t>Gap: Tag stripping is wired to only six models (Customer, Supplier, Product, SalesInvoice, PurchaseInvoice, Complaint); customer and supplier names are deliberately not stripped; other models are not covered. No test for escaping in PDF templates or for imported cells.</t>
  </si>
  <si>
    <t>Tests: tests/test_planwave_remaining.py::test_html_is_stripped_on_customer_notes [pass]; tests/test_planwave_remaining.py::test_plain_text_tags_are_stripped_on_save [pass]; tests/test_planwave_remaining.py::test_no_string_built_raw_sql [pass]; tests/test_code_review_2026_10_05.py::test_the_sanitiser_strips_tags_but_keeps_comparisons [pass] | Code: backend/planwave/sanitize.py:strip_plain_text; backend/planwave/apps.py:PlanwaveConfig.ready; backend/masters/serializers.py:ProductSerializer; backend/sales/pdf/helpers.py | Run: pytest on SQLite 2026-10-05 (Postgres-only tests skipped)</t>
  </si>
  <si>
    <t>27</t>
  </si>
  <si>
    <t>AES-256-GCM with a key id for bank account numbers and tax-portal secrets; move existing gateway credentials off Fernet. IFSC stays plain. Batch migration of plaintext rows (reversible), last four digits kept for display. Keys from the host secret store.</t>
  </si>
  <si>
    <t>Pass: Bank account numbers and portal secrets are AES-256-GCM encrypted with a key id and migrated from plaintext. Rejecting case: Tampered ciphertext fails authentication; the wrong key is rejected; no plaintext column remains.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</si>
  <si>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backend/tests/test_plan_sec_0628.py</t>
  </si>
  <si>
    <t>Gap: AES-GCM with key id covers company and customer bank accounts only; tax-portal secrets are not sealed in storage, encrypt_gsp_credentials still writes Fernet and nothing batch-migrates existing gateway blobs (only a reseal helper); the seal_bank_accounts command has no reverse path; last4 helper exists but no display field uses it.</t>
  </si>
  <si>
    <t>Tests: tests/test_planwave_remaining.py::test_bank_account_seals_and_rejects_tamper [pass]; tests/test_plan_partials.py::test_party_bank_account_is_sealed_and_revealed [pass]; tests/test_planwave_remaining.py::test_fernet_gateway_blob_moves_to_gcm [pass] | Code: backend/planwave/crypto.py:seal; backend/planwave/apps.py; backend/planwave/management/commands/seal_bank_accounts.py; backend/planwave/services.py:reseal_fernet_blob | Run: pytest on SQLite 2026-10-05 (Postgres-only tests skipped)</t>
  </si>
  <si>
    <t>20</t>
  </si>
  <si>
    <t>Snapshot legal name, trade name, billing and shipping address and GSTIN at completion on sales invoices, credit and debit notes and purchase bills. Backfill flags rows as backfill_from_master and uses the audit-history name as of the invoice date where a rename exists.</t>
  </si>
  <si>
    <t>Pass: Completed documents keep the party details as at completion. Rejecting case: Renaming the customer afterwards does not change the issued PDF or ledger view.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</si>
  <si>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backend/tests/test_plan_x_0715.py</t>
  </si>
  <si>
    <t>Gap: Backfill copies current master data and does not use the audit-history name as of the invoice date; snapshot tests cover sales invoices only, not credit/debit notes or purchase bills.</t>
  </si>
  <si>
    <t>Tests: tests/test_planwave_remaining.py::test_party_snapshot_survives_rename [pass]; tests/test_code_review_2026_10_05.py::test_a_backfill_never_overwrites_an_issued_snapshot [pass] | Code: backend/planwave/services.py:stamp_party; backend/planwave/management/commands/backfill_party_snapshots.py; backend/sales/services.py; backend/purchases/notes_services.py | Run: pytest on SQLite 2026-10-05 (Postgres-only tests skipped)</t>
  </si>
  <si>
    <t>28</t>
  </si>
  <si>
    <t>Per-tenant pharmacy flag, default off. Schedule H/H1/X sale cannot complete without patient and prescriber name and registration no.; Schedule X keeps a prescription copy. Inspector layout (date, patient, prescriber, drug, batch, quantity, invoice no.) as PDF and CSV; retention default 3 years, configurable. A licensed pharmacist reviews layout and retention before any pharmacy goes live.</t>
  </si>
  <si>
    <t>Pass: A Schedule H/H1/X sale cannot complete without the required details and the register prints in inspector layout. Rejecting case: A sale without the details is rejected; a tenant without the pharmacy flag is unaffected.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</si>
  <si>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backend/tests/test_plan_c_0609.py</t>
  </si>
  <si>
    <t>Tests: tests/test_planwave_remaining.py::test_pharmacy_flag_gates_schedule_x [pass]; tests/test_planwave_remaining.py::test_pharmacy_blocks_sale_complete [pass]; tests/test_planwave_finish.py::test_pharmacy_register_lists_the_dispense [pass]; tests/test_plan_remaining_open.py::test_pharmacy_register_pdf_names_the_patient [pass] | Code: backend/planwave/services.py:assert_pharmacy_sale; backend/planwave/finish.py:pharmacy_register_csv; backend/planwave/finish.py:pharmacy_register_pdf; backend/planwave/models.py:PharmacyDispense | Run: pytest on SQLite 2026-10-05 (Postgres-only tests skipped)</t>
  </si>
  <si>
    <t>29</t>
  </si>
  <si>
    <t>Per-bill checklist: invoice held and goods received and 180-day payment are system-proven; supplier-paid-tax and return-filed are user-attested (GSTR-2B is outside the freeze). Unconfirmed bills warn and drop out of the claimable ITC summary; posting is not blocked. CA reviews wording.</t>
  </si>
  <si>
    <t>Pass: The checklist shows on every purchase bill with proven and attested conditions. Rejecting case: A bill with an unconfirmed condition is excluded from the claimable ITC summary.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</si>
  <si>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backend/tests/test_plan_c_0602.py</t>
  </si>
  <si>
    <t>Gap: Only the negative case is tested (no test that a fully attested bill is claimable or that the 180-day check works); no per-bill warning or checklist UI in the web app; ITC attestation API untested.</t>
  </si>
  <si>
    <t>Tests: tests/test_planwave_finish.py::test_unconfirmed_bill_is_excluded_from_claimable_itc [pass] | Code: backend/planwave/models.py:ItcBillCheck; backend/planwave/finish.py:classify_purchase_bill; backend/planwave/finish.py:itc_summary; backend/planwave/services.py:itc_claimable | Run: pytest on SQLite 2026-10-05 (Postgres-only tests skipped)</t>
  </si>
  <si>
    <t>30</t>
  </si>
  <si>
    <t>Warnings 60 and 7 days before the s.16(4) deadline (30 Nov after the invoice's financial year, or annual return date if earlier); TIME_BARRED after it for unclaimed ITC, excluded from claimable. Claimed ITC is flagged for the CA, not reversed.</t>
  </si>
  <si>
    <t>Pass: Warnings appear at 60 and 7 days before the deadline; barred ITC is marked TIME_BARRED. Rejecting case: TIME_BARRED ITC cannot be claimed; ITC already claimed is flagged, not reversed.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</si>
  <si>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backend/tests/test_plan_c_0603.py</t>
  </si>
  <si>
    <t>Gap: 60 and 7 day warnings only fire when someone POSTs /plan/itc/summary/; no scheduled task; DUE_60/DUE_7 statuses and alert sending are untested; test_plan_c_0603.py absent.</t>
  </si>
  <si>
    <t>Tests: tests/test_planwave_remaining.py::test_gst_rules [pass]; tests/test_planwave_finish.py::test_unconfirmed_bill_is_excluded_from_claimable_itc [pass] | Code: backend/planwave/services.py:section_16_4_status; backend/planwave/finish.py:refresh_itc_status; backend/planwave/finish.py:alert_itc_deadlines; backend/planwave/finish.py:itc_summary | Run: pytest on SQLite 2026-10-05 (Postgres-only tests skipped)</t>
  </si>
  <si>
    <t>31</t>
  </si>
  <si>
    <t>Data-driven s.17(5) rule table with effective dates covering the full blocked list; match on HSN/SAC plus expense category (keywords only suggest); blocked GST posts to expense or asset, not ITC receivable; override by Owner or Accountant with reason, audited. CA approves the table.</t>
  </si>
  <si>
    <t>Pass: Blocked purchases post GST to expense or asset; the rule table covers the full list. Rejecting case: Claiming a blocked category without an authorised override and reason is refused.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</si>
  <si>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backend/tests/test_plan_c_0604.py</t>
  </si>
  <si>
    <t>Gap: Rule table is only six seeded rows (food, motor vehicles, club, works contract, personal, exempt) and not the full s.17(5) list. Blocked bills are only flagged on ItcBillCheck; GST is not posted to expense/asset instead of ITC receivable. No Owner/Accountant override with reason. Category match is by product category name. No test of classify_purchase_bill blocking or of effective-date handling beyond one HSN match.</t>
  </si>
  <si>
    <t>Tests: tests/test_planwave_remaining.py::test_gst_rules [pass] | Code: backend/planwave/services.py:blocked_credit_match; backend/planwave/services.py:SECTION_17_RULES; backend/planwave/models.py:BlockedCreditRule; backend/planwave/finish.py:classify_purchase_bill | Run: pytest on SQLite 2026-10-05 (Postgres-only tests skipped)</t>
  </si>
  <si>
    <t>32</t>
  </si>
  <si>
    <t>Add the blocked-credit classification to the existing 2A/2B reconciliation using uploaded 2B files. No new reconciliation, no GSTN call.</t>
  </si>
  <si>
    <t>Pass: The 2B reconciliation shows the blocked-credit classification. Rejecting case: A blocked invoice is never counted as eligible ITC.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</si>
  <si>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backend/tests/test_plan_p_0503.py</t>
  </si>
  <si>
    <t>Gap: Blocked-credit classification is not added to the existing reporting/gstr2b.py reconciliation of uploaded 2B files; it only scores caller-supplied rows via /plan/gstr2b/score/ with a caller-supplied blocked_credit flag.</t>
  </si>
  <si>
    <t>Tests: tests/test_planwave_finish.py::test_2b_blocked_invoice_is_not_eligible [pass] | Code: backend/planwave/finish.py:score_2b_rows; backend/planwave/services.py:blocked_credit_match; backend/planwave/models.py:BlockedCreditRule | Run: pytest on SQLite 2026-10-05 (Postgres-only tests skipped)</t>
  </si>
  <si>
    <t>33</t>
  </si>
  <si>
    <t>Section 50 worksheet and CSV: 18% a year on late-paid tax, 24% on undue or excess ITC; net cash liability basis for late-filed returns (Rule 88B), unpaid amount otherwise. Rates in a dated table. No journal posted. CA confirms.</t>
  </si>
  <si>
    <t>Pass: Worksheet interest matches hand-calculated cases for each rate and period. Rejecting case: A date outside the rate table is refused; no journal is posted.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</si>
  <si>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backend/tests/test_plan_c_0607.py</t>
  </si>
  <si>
    <t>Gap: No Rule 88B net cash liability basis for late-filed returns; inputs are typed in rather than derived from late-paid tax; rates table has a single dated row; no CA-confirmation marker.</t>
  </si>
  <si>
    <t>Tests: tests/test_planwave_remaining.py::test_gst_rules [pass]; tests/test_planwave_finish.py::test_section_50_csv_posts_no_journal [pass] | Code: backend/planwave/services.py:section_50_interest; backend/planwave/finish.py:section_50_csv; backend/planwave/views.py:Section50CsvView | Run: pytest on SQLite 2026-10-05 (Postgres-only tests skipped)</t>
  </si>
  <si>
    <t>34</t>
  </si>
  <si>
    <t>Payments &amp; credit</t>
  </si>
  <si>
    <t>Keep the existing hold and add the chronic rule; the stricter one wins. Existing, always on: invoice complete blocks when credit_limit &gt; 0 and exposure plus the invoice exceeds it. Existing, opt-in and default off (auto_credit_hold_on_severe_overdue): invoice complete also blocks stop_credit (outstanding above the limit) or overdue_severe (any overdue and either 90-plus days or average payment delay over 21 days). New, per company: any invoice over 60 days overdue and an over-60-day total of at least Rs 5,000 also blocks credit-sale completion, sales-order confirmation and delivery challans. Cash and prepaid still allowed. Single-use unlock code valid 24 h from the Owner or credit-override role, with reason.</t>
  </si>
  <si>
    <t>Pass: Chronic customers are blocked from credit sale, order confirmation and challan; cash sales pass; the existing hold still works. Rejecting case: A used or expired unlock code fails; a blocked customer cannot take a credit sale.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</si>
  <si>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backend/tests/test_plan_x_0527.py</t>
  </si>
  <si>
    <t>Gap: No API or role check for issuing the unlock code (issue_unlock accepts any user, no Owner/credit-override check, no endpoint). No per-company toggle for the chronic rule. Delivery challan block is wired but only the sales-order path is tested.</t>
  </si>
  <si>
    <t>Tests: tests/test_planwave_remaining.py::test_chronic_credit_blocks_and_unlock_is_single_use [pass]; tests/test_planwave_remaining.py::test_chronic_order_and_challan_are_blocked [pass]; tests/test_code_review_2026_10_05.py::test_a_paid_old_invoice_does_not_hold_credit [pass] | Code: backend/planwave/services.py:chronic_overdue; backend/planwave/services.py:assert_chronic_credit_allowed; backend/planwave/services.py:issue_unlock; backend/sales/services.py:complete_invoice credit hold | Run: pytest on SQLite 2026-10-05 (Postgres-only tests skipped)</t>
  </si>
  <si>
    <t>35</t>
  </si>
  <si>
    <t>WI-022</t>
  </si>
  <si>
    <t>Bounce voids the receipt, reverses allocations, debits the bank fee (amount from the bank memo, suggested Rs 500) to the customer and alerts the owner. GST on the recovery is a configurable flag, default off.</t>
  </si>
  <si>
    <t>Pass: A bounce voids the receipt, reopens the invoice, debits the fee and alerts the owner. Rejecting case: Bouncing the same receipt twice is rejected.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</si>
  <si>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backend/tests/test_plan_x_0530.py</t>
  </si>
  <si>
    <t>Gap: No configurable GST-on-recovery flag (code explicitly adds no GST); no Rs 500 suggestion (fee defaults to 0 unless a bank charge or cheque_dishonour_charge flag is set); owner alert is sent but no test asserts it.</t>
  </si>
  <si>
    <t>Tests: tests/test_bug_open_pay.py::test_bug_pay_001_fee_post_is_atomic [pass]; tests/test_cheque_payment.py::test_cheque_receipt_starts_pending_and_bounce_voids [pass]; tests/test_cheque_payment.py::test_set_cheque_status_http_bounce_voids [pass] | Code: backend/payments/services.py:PaymentService.set_cheque_status; backend/payments/services.py:PaymentService._post_dishonour_fee | Run: pytest on SQLite 2026-10-05 (Postgres-only tests skipped)</t>
  </si>
  <si>
    <t>36</t>
  </si>
  <si>
    <t>WI-023</t>
  </si>
  <si>
    <t>Section 138 notice draft only: written demand within 30 days of the bank memo, 15 days to pay, dates from the memo, disclaimer that an advocate must review. No reversal or fee logic here.</t>
  </si>
  <si>
    <t>Pass: Notice draft carries the right dates and the disclaimer. Rejecting case: Dates outside the statutory sequence are refused.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</si>
  <si>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backend/tests/test_plan_x_0713.py</t>
  </si>
  <si>
    <t>Tests: tests/test_planwave_remaining.py::test_section_138_dates_and_provision [pass]; tests/test_bug_open_pay.py::test_bug_pay_001_bounce_levies_fee_and_stores_section_138_notice [pass] | Code: backend/payments/services.py:_store_section_138_notice; backend/planwave/services.py:section_138_dates | Run: pytest on SQLite 2026-10-05 (Postgres-only tests skipped)</t>
  </si>
  <si>
    <t>Status from the existing alert source plus a manual flag. New ITC blocked for invoices dated on or after the cancellation effective date; availed ITC flagged for the CA; payment hold overridable by Owner or Accountant with reason, audited.</t>
  </si>
  <si>
    <t>Pass: Invoices dated on or after the cancellation date are excluded from ITC and the supplier payment is held. Rejecting case: A held payment cannot post without an authorised override.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</si>
  <si>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backend/tests/test_plan_x_0707.py</t>
  </si>
  <si>
    <t>Gap: Cancelled status comes only from a manual Supplier.gstin_cancelled_on field; it is not fed from the existing GSTIN alert source. Availed ITC is not flagged for the CA (only blocked_credit on new bills). Purchase-team alert has no direct test assertion.</t>
  </si>
  <si>
    <t>Tests: tests/test_planwave_remaining.py::test_cancelled_gstin_holds_supplier_payment [pass]; tests/test_planwave_remaining.py::test_cancelled_supplier_gstin_blocks_purchase [pass]; tests/test_planwave_finish.py::test_gstin_override_is_audited [pass]; tests/test_planwave_finish.py::test_sales_staff_cannot_release_a_gstin_hold [pass] | Code: backend/planwave/services.py:supplier_itc_blocked; backend/planwave/services.py:assert_gstin_override; backend/payments/services.py:create_supplier_payment gstin hold; backend/purchases/services.py:complete gstin_cancelled_on check | Run: pytest on SQLite 2026-10-05 (Postgres-only tests skipped)</t>
  </si>
  <si>
    <t>37</t>
  </si>
  <si>
    <t>Queue for: credit-limit override, stock adjustment above threshold, invoice cancel or amend after completion, discount above threshold, return or credit note above threshold, backdated posting or period reopen, supplier payment above threshold, write-off, bulk import commit. Default approver Owner, configurable per action; no self-approval except a flagged Owner exception; 72 h expiry counts as rejected.</t>
  </si>
  <si>
    <t>Pass: Listed actions enter the queue; approve and reject are audited; requests expire at 72 h. Rejecting case: A requester cannot approve their own request (except the flagged Owner exception).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</si>
  <si>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backend/tests/test_plan_p_0128.py</t>
  </si>
  <si>
    <t>Gap: The approval queue is enforced only for invoice cancel and large stock adjustment; not wired for credit-limit override (separate unlock), invoice amend, discount, returns/credit notes, backdating/period reopen, supplier payment, write-off or bulk import commit; no per-action configurable approver; no web UI.</t>
  </si>
  <si>
    <t>Tests: tests/test_plan_partials.py::test_completed_invoice_cancel_waits_for_a_second_owner [pass]; tests/test_planwave_remaining.py::test_large_stock_adjustment_waits_for_a_second_user [pass]; tests/test_planwave_remaining.py::test_approvals_reject_self_and_expired_tokens [pass] | Code: backend/planwave/models.py:ApprovalRequest; backend/planwave/services.py:_consume_approval; backend/sales/views.py:SalesInvoiceViewSet.cancel; backend/inventory/views.py | Run: pytest on SQLite 2026-10-05 (Postgres-only tests skipped)</t>
  </si>
  <si>
    <t>38</t>
  </si>
  <si>
    <t>Stock adjustment needs a second user when value at cost is Rs 10,000 or more, or quantity is 10% or more of on-hand (both configurable per company), using the approval queue.</t>
  </si>
  <si>
    <t>Pass: An adjustment over threshold needs a second user's approval. Rejecting case: The same user approving is rejected.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</si>
  <si>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backend/tests/test_plan_p_0152.py</t>
  </si>
  <si>
    <t>Tests: tests/test_planwave_remaining.py::test_large_stock_adjustment_waits_for_a_second_user [pass]; tests/test_planwave_remaining.py::test_approvals_reject_self_and_expired_tokens [pass]; tests/test_code_review_2026_10_05.py::test_an_adjustment_on_zero_stock_needs_a_second_person [pass] | Code: backend/planwave/services.py:stock_adjustment_needs_second; backend/inventory/views.py; backend/planwave/services.py:consume_stock_approval | Run: pytest on SQLite 2026-10-05 (Postgres-only tests skipped)</t>
  </si>
  <si>
    <t>39</t>
  </si>
  <si>
    <t>In-app single-use 15-minute token bound to the invoice batch and requester (WhatsApp only when the freeze flag is flipped). No response: over-limit invoices stay Awaiting approval, others proceed, expiry counts as rejected, never auto-approved.</t>
  </si>
  <si>
    <t>Pass: A single-use 15-minute token releases the over-limit invoices. Rejecting case: A reused or expired token fails; no response leaves the invoice held, never approved.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</si>
  <si>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backend/tests/test_plan_x_0702.py</t>
  </si>
  <si>
    <t>Gap: Token service exists (single-use, 15 minutes, bound to batch) but is not wired into any bulk invoice or credit-limit flow and has no endpoint. Not bound to the requester on redeem. No Awaiting approval invoice status, so over-limit invoices are not held while others proceed. Expiry path is not asserted.</t>
  </si>
  <si>
    <t>Tests: tests/test_planwave_remaining.py::test_approvals_reject_self_and_expired_tokens [pass]; tests/test_code_review_2026_10_05.py::test_a_blank_token_cannot_redeem_an_ordinary_approval [pass] | Code: backend/planwave/services.py:issue_credit_token; backend/planwave/services.py:redeem_credit_token; backend/planwave/models.py:ApprovalRequest | Run: pytest on SQLite 2026-10-05 (Postgres-only tests skipped)</t>
  </si>
  <si>
    <t>40</t>
  </si>
  <si>
    <t>Inventory &amp; POS</t>
  </si>
  <si>
    <t>Benchmark harness and recorded baseline for POS checkout complete (tax, stock and ledger included): 2 vCPU 4 GB container, local Postgres, 20,000 SKUs, 3-line cart, p95. Runs on its own nightly job, never in the pull-request run.</t>
  </si>
  <si>
    <t>Pass: Harness produces a repeatable p95 on the stated hardware and catalogue and records the baseline. Rejecting case: A run that regresses more than 15% against the baseline fails the nightly job (not the pull-request run). Done means: the benchmark job (outside the pull-request run) records the p95 against baseline and target and the report is attached as evidence; the reviewer signs.</t>
  </si>
  <si>
    <t>backend/perf/test_r_0636_benchmark.py (nightly job)</t>
  </si>
  <si>
    <t>Gap: baseline_p95_ms is null so no baseline has been recorded; the benchmark skips unless POS_BENCH=1; the 2 vCPU / 4 GB container constraint is not evidenced.</t>
  </si>
  <si>
    <t>Tests: perf/test_r_0636_benchmark.py::test_checkout_p95_on_the_catalogue [not in run]; tests/test_plan_above_items.py::test_checkout_p95_regression_is_fifteen_percent [pass] | Code: backend/perf/checkout_bench.py:exceeds_baseline; backend/perf/test_r_0636_benchmark.py; qos/evidence/pos_checkout_baseline.json; .github/workflows/pos-checkout-nightly.yml | Run: pytest on SQLite 2026-10-05 (Postgres-only tests skipped)</t>
  </si>
  <si>
    <t>perf</t>
  </si>
  <si>
    <t>41</t>
  </si>
  <si>
    <t>WI-029</t>
  </si>
  <si>
    <t>Part B vehicle update as a stub action against the GSP adapter interface with a fake provider, plus stored vehicle history, behind GSP_LIVE_ENABLED=0. Live use needs sandbox credentials and a freeze exception.</t>
  </si>
  <si>
    <t>Pass: Part B update stored with history; stub action works against the fake provider. Rejecting case: Update on a cancelled or expired bill is refused.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</si>
  <si>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backend/tests/test_plan_x_0514.py</t>
  </si>
  <si>
    <t>Tests: tests/test_bug_open_gst.py::test_bug_gst_001_part_b_and_validity [pass]; tests/test_planwave_remaining.py::test_eway_stub_and_distance [pass]; tests/test_code_review_2026_10_05.py::test_a_live_eway_provider_refuses_a_part_b_update_it_cannot_send [pass] | Code: backend/sales/einvoice_eway_actions.py:update_eway_vehicle; backend/core/services/gsp_adapters.py:update_vehicle; backend/planwave/services.py:record_eway_stub; backend/config/settings.py:GSP_LIVE_ENABLED | Run: pytest on SQLite 2026-10-05 (Postgres-only tests skipped)</t>
  </si>
  <si>
    <t>42</t>
  </si>
  <si>
    <t>WI-030</t>
  </si>
  <si>
    <t>Validity extension as a stub action plus stored fields, same adapter and flag rule as X-0514.</t>
  </si>
  <si>
    <t>Pass: Extension stored and allowed inside its window. Rejecting case: Extension outside the window is refused.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</si>
  <si>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backend/tests/test_plan_x_0515.py</t>
  </si>
  <si>
    <t>Tests: tests/test_bug_open_gst.py::test_bug_gst_001_part_b_and_validity [pass] | Code: backend/sales/einvoice_eway_actions.py:extend_eway_validity; backend/planwave/services.py:record_eway_stub; backend/planwave/models.py:EwayStubAction | Run: pytest on SQLite 2026-10-05 (Postgres-only tests skipped)</t>
  </si>
  <si>
    <t>WI-031</t>
  </si>
  <si>
    <t>Part B time-limit alert and multi-vehicle split stored on the bill (stub action, GSP flag off).</t>
  </si>
  <si>
    <t>Pass: Alert fires at the Part B limit; split stored. Rejecting case: Split quantities above the consignment are rejected.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</si>
  <si>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backend/tests/test_plan_c_0618.py</t>
  </si>
  <si>
    <t>Gap: No Part B time-limit alert; multi-vehicle split is only a quantity check, with no per-vehicle storage and no test; no link to the e-way bill record or GSP flag.</t>
  </si>
  <si>
    <t>Tests: tests/test_planwave_remaining.py::test_eway_stub_and_distance [pass] | Code: backend/planwave/services.py:record_eway_stub; backend/planwave/models.py:EwayStubAction; backend/planwave/views.py:EwayStubView | Run: pytest on SQLite 2026-10-05 (Postgres-only tests skipped)</t>
  </si>
  <si>
    <t>WI-032</t>
  </si>
  <si>
    <t>Validity computed from the user-entered distance using a configurable slab table with effective dates that the CA confirms. PIN-to-PIN distance lookup is deferred (needs NIC).</t>
  </si>
  <si>
    <t>Pass: Validity from distance matches the slab table at the 100, 200 and 201 km boundaries. Rejecting case: Zero or negative distance is rejected.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</si>
  <si>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backend/tests/test_plan_c_0606.py</t>
  </si>
  <si>
    <t>Gap: Validity is a hard-coded ceil(distance/100); no configurable slab table, no effective dates, no CA confirmation.</t>
  </si>
  <si>
    <t>Tests: tests/test_planwave_remaining.py::test_eway_stub_and_distance [pass] | Code: backend/planwave/services.py:eway_validity_days | Run: pytest on SQLite 2026-10-05 (Postgres-only tests skipped)</t>
  </si>
  <si>
    <t>WI-071</t>
  </si>
  <si>
    <t>CA sign-off of the Rule 11(g) coverage map</t>
  </si>
  <si>
    <t>CA reviews the coverage map and certification export and signs. Lead time five working days.</t>
  </si>
  <si>
    <t>Pass: Signed note from the CA attached as evidence. Rejecting case: No sign-off by M1: milestone marked 'pilot with documented residual'. Done means: written sign-off from the external reviewer is attached as evidence.</t>
  </si>
  <si>
    <t>WI-003, WI-070</t>
  </si>
  <si>
    <t>CA / external</t>
  </si>
  <si>
    <t>Gap: No file records a CA review or signature of the coverage map or certification export.</t>
  </si>
  <si>
    <t>external</t>
  </si>
  <si>
    <t>CA-SIGN</t>
  </si>
  <si>
    <t>Concurrent customer edits: field merge plus version check</t>
  </si>
  <si>
    <t>PATCH merges changed fields under a row lock so concurrent edits of different fields both persist; PUT requires a version and a stale write returns 409 with the current value. Create the register row when starting. Remove the strict xfail in test_register_race_gaps.py.</t>
  </si>
  <si>
    <t>Pass: PATCH merges concurrent field edits and PUT with the current version succeeds. Rejecting case: A stale PUT returns 409 and changes nothing (the strict xfail test now passes).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</si>
  <si>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backend/tests/test_register_race_gaps.py; backend/tests/test_plan_cust_lock.py</t>
  </si>
  <si>
    <t>Tests: tests/test_register_race_gaps.py::test_concurrent_customer_edits_of_different_fields_do_not_lose_updates [skip]; tests/test_planwave_remaining.py::test_stale_customer_put_returns_409 [pass] | Code: backend/masters/views.py:CustomerViewSet.update; backend/masters/views.py:CustomerViewSet.perform_update | Run: pytest on SQLite 2026-10-05 (Postgres-only tests skipped)</t>
  </si>
  <si>
    <t>11, 43</t>
  </si>
  <si>
    <t>CUST-LOCK</t>
  </si>
  <si>
    <t>Production check and alert for the nightly audit-chain seal</t>
  </si>
  <si>
    <t>The seal task is already on the Celery beat at 02:40. A verify failure only logs an error (Sentry if configured); nothing notices a night that never ran, and there is no seal email. Add a missed-run check that logs an error and sends the Owner the same in-app notification the nightly invariant task already uses.</t>
  </si>
  <si>
    <t>Pass: A missed night logs an error and creates an in-app notification for the Owner. Rejecting case: Disabling the scheduled task in a test makes that alert fire; a successful seal does not. Done means: the drill is executed on a non-production copy and its timings and steps are attached; the reviewer signs.</t>
  </si>
  <si>
    <t>Gap: No drill log in qos/evidence; the task-level gap path (running seal_audit_chain_task with a stale heartbeat) is not tested directly.</t>
  </si>
  <si>
    <t>Tests: tests/test_plan_audit_seal_session.py::test_seal_gap_alerts_the_owner_and_a_fresh_run_does_not [pass]; tests/test_plan_partials.py::test_missed_audit_seal_notifies_the_owner [pass] | Code: backend/core/tasks.py:seal_audit_chain_task; backend/core/tasks.py:alert_missed_seal; backend/core/tasks.py:seal_gap_seconds | Run: pytest on SQLite 2026-10-05 (Postgres-only tests skipped)</t>
  </si>
  <si>
    <t>21</t>
  </si>
  <si>
    <t>WI-028b</t>
  </si>
  <si>
    <t>Optimise POS checkout toward the 200 ms p95 target</t>
  </si>
  <si>
    <t>Timeboxed to 5 days after the baseline from R-0636: profile, fix the top costs, record the new p95. If the target is not met the remaining gap is reported, not hidden.</t>
  </si>
  <si>
    <t>Pass: p95 at or below 200 ms, or the remaining gap and its causes are reported. Rejecting case: A change that worsens p95 against the new baseline is rejected by the nightly job. Done means: the benchmark job (outside the pull-request run) records the p95 against baseline and target and the report is attached as evidence; the reviewer signs.</t>
  </si>
  <si>
    <t>backend/perf/test_r_0636b_benchmark.py (nightly job)</t>
  </si>
  <si>
    <t>Gap: backend/perf/test_r_0636b_benchmark.py does not exist; baseline_p95_ms is still null so no baseline, profile or new p95 has been recorded.</t>
  </si>
  <si>
    <t>Code: backend/perf/test_r_0636_benchmark.py; qos/evidence/pos_checkout_baseline.json | Run: pytest on SQLite 2026-10-05 (Postgres-only tests skipped)</t>
  </si>
  <si>
    <t>17, 41</t>
  </si>
  <si>
    <t>R-0636b</t>
  </si>
  <si>
    <t>WI-035</t>
  </si>
  <si>
    <t>Wave 1 verification: full suite on Postgres, register sync, drift check, MVP gate review</t>
  </si>
  <si>
    <t>Quality gate</t>
  </si>
  <si>
    <t>Run the full backend suite on Postgres, register_sync.py and register_drift.py, recalculate the workbook and review every wave item against its pass condition.</t>
  </si>
  <si>
    <t>Pass: Run the full backend suite on Postgres, register_sync.py and register_drift.py, recalculate the workbook and review every wave item against its pass condition.. Rejecting case: invalid input, a wrong-tenant request and a user without permission are each rejected, each with a test. Done means: full backend suite green on Postgres, register_sync.py and register_drift.py clean, workbook recalculated with 0 formula errors, every item in the wave Done and reviewed.</t>
  </si>
  <si>
    <t>WI-068, WI-069, WI-070, WI-001, WI-002, WI-003, WI-004, WI-005, WI-006, WI-007, WI-008, WI-009, WI-010, WI-011, WI-012, WI-013, WI-014, WI-015, WI-016, WI-017, WI-018, WI-019, WI-020, WI-021, WI-022, WI-023, WI-024, WI-025, WI-026, WI-027, WI-028, WI-029, WI-030, WI-031, WI-032, WI-071, WI-033, WI-034, WI-028b</t>
  </si>
  <si>
    <t>Gap: No wave 1 verification record or MVP gate review artefact exists in the repo.</t>
  </si>
  <si>
    <t>gate</t>
  </si>
  <si>
    <t>VER-1</t>
  </si>
  <si>
    <t>Optional salt, composition and manufacturer fields on products, searchable at billing with a trigram index inside the checkout latency budget (query-budget test).</t>
  </si>
  <si>
    <t>Pass: Optional salt, composition and manufacturer fields on products, searchable at billing with a trigram index inside the checkout latency budget (query-budget test)..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</si>
  <si>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backend/tests/test_plan_p_0046.py</t>
  </si>
  <si>
    <t>Gap: No test searches by salt, composition or manufacturer; no query-budget test within the checkout latency budget.</t>
  </si>
  <si>
    <t>Code: backend/masters/models.py:Product; backend/masters/migrations/0028_product_medicine_trgm.py; backend/masters/views.py | Run: pytest on SQLite 2026-10-05 (Postgres-only tests skipped)</t>
  </si>
  <si>
    <t>44</t>
  </si>
  <si>
    <t>CSV with invoice ref, customer, dates, SKU or barcode, quantity, rate, discount %, warehouse, notes; dry run, then per-invoice atomic commit; any bad row rejects that invoice and is reported by row; 2,000-row cap; file hash makes re-upload idempotent.</t>
  </si>
  <si>
    <t>Pass: CSV with invoice ref, customer, dates, SKU or barcode, quantity, rate, discount %, warehouse, notes; dry run, then per-invoice atomic commit; any bad row rejects that invoice and is reported by row; 2,000-row cap; file hash makes re-upload idempotent..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</si>
  <si>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backend/tests/test_plan_p_0052.py</t>
  </si>
  <si>
    <t>Gap: CSV columns for invoice date and due date, barcode lookup and warehouse are not handled (SKU only, no warehouse or dates). The 2,000-row cap is not tested. Idempotent re-upload is not asserted after a committed run.</t>
  </si>
  <si>
    <t>Tests: tests/test_planwave_finish.py::test_bulk_commit_rejects_only_the_bad_invoice [pass]; tests/test_planwave_remaining.py::test_bulk_import_and_tally_map [pass] | Code: backend/planwave/services.py:parse_bulk_invoices; backend/planwave/finish.py:commit_bulk_invoices; backend/planwave/views.py:BulkCommitView | Run: pytest on SQLite 2026-10-05 (Postgres-only tests skipped)</t>
  </si>
  <si>
    <t>45</t>
  </si>
  <si>
    <t>In-transit location per transfer: dispatch moves source to in-transit, receipt moves it to destination; partial receipt with shortage or damage reason; no ledger entry for same-company, same-GSTIN transfers.</t>
  </si>
  <si>
    <t>Pass: In-transit location per transfer: dispatch moves source to in-transit, receipt moves it to destination; partial receipt with shortage or damage reason; no ledger entry for same-company, same-GSTIN transfers..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</si>
  <si>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backend/tests/test_plan_p_0081.py</t>
  </si>
  <si>
    <t>Tests: tests/test_bug_wave3.py::test_bug_inv_001_transfer_holds_stock_in_transit [pass]; tests/test_plan_partials.py::test_partial_receipt_records_the_shortage [pass]; tests/test_code_review_2026_10_05_b.py::test_cancel_after_a_short_receipt_restores_stock_and_clears_transit [pass] | Code: backend/inventory/services.py:StockTransferService._move; backend/inventory/services.py:StockTransferService.in_transit_warehouse; backend/inventory/models.py:StockTransferLine | Run: pytest on SQLite 2026-10-05 (Postgres-only tests skipped)</t>
  </si>
  <si>
    <t>46</t>
  </si>
  <si>
    <t>Per-warehouse breakdown and switching inside one company on the dashboard, inside the dashboard query budget (test). Multi-company GSTIN stays out of scope.</t>
  </si>
  <si>
    <t>Pass: Per-warehouse breakdown and switching inside one company on the dashboard, inside the dashboard query budget (test). Multi-company GSTIN stays out of scope..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</si>
  <si>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backend/tests/test_plan_p_0089.py</t>
  </si>
  <si>
    <t>Gap: Only an API listing on-hand and reserved stock per warehouse; no web DashboardPage integration or warehouse switching; no query-budget test.</t>
  </si>
  <si>
    <t>Tests: tests/test_planwave_finish.py::test_godown_dashboard_lists_the_default_warehouse [pass] | Code: backend/planwave/finish.py:godown_dashboard; backend/planwave/views.py:GodownDashboardView | Run: pytest on SQLite 2026-10-05 (Postgres-only tests skipped)</t>
  </si>
  <si>
    <t>47</t>
  </si>
  <si>
    <t>Report only: interest exposure (default 18% a year simple, per company) and suggested provision by age (0-60 d 0%, 61-90 d 5%, 91-180 d 25%, 181-365 d 50%, over 365 d 100%). No posting.</t>
  </si>
  <si>
    <t>Pass: Report only: interest exposure (default 18% a year simple, per company) and suggested provision by age (0-60 d 0%, 61-90 d 5%, 91-180 d 25%, 181-365 d 50%, over 365 d 100%). No posting..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</si>
  <si>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backend/tests/test_plan_p_0119.py</t>
  </si>
  <si>
    <t>Tests: tests/test_planwave_remaining.py::test_provision_interest_anomaly_cashflow_and_2b [pass]; tests/test_planwave_finish.py::test_overdue_report_suggests_a_provision [pass]; tests/test_code_review_2026_10_05.py::test_overdue_report_lists_only_what_is_still_owed [pass] | Code: backend/planwave/finish.py:overdue_report; backend/planwave/services.py:suggest_provision; backend/planwave/services.py:interest_exposure; backend/planwave/views.py:OverdueReportView | Run: pytest on SQLite 2026-10-05 (Postgres-only tests skipped)</t>
  </si>
  <si>
    <t>48</t>
  </si>
  <si>
    <t>Users map to many warehouses with one default; contact person and phone required, email optional.</t>
  </si>
  <si>
    <t>Pass: Users map to many warehouses with one default; contact person and phone required, email optional..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</si>
  <si>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backend/tests/test_plan_p_0180.py</t>
  </si>
  <si>
    <t>Gap: Contact name and phone are blank=True (not required); the user-to-warehouse mapping is stored but nothing enforces or reads it; no test covers the mapping or the default rule.</t>
  </si>
  <si>
    <t>Code: backend/planwave/models.py:UserWarehouseAccess; backend/planwave/finish.py:grant_warehouse; backend/inventory/serializers.py:WarehouseSerializer | Run: pytest on SQLite 2026-10-05 (Postgres-only tests skipped)</t>
  </si>
  <si>
    <t>49</t>
  </si>
  <si>
    <t>WI-042</t>
  </si>
  <si>
    <t>Transfer vehicle-breakdown Part B workflow on stock transfers as a stub action plus stored fields (GSP flag off).</t>
  </si>
  <si>
    <t>Pass: Transfer Part B update stored. Rejecting case: Update on a completed transfer is refused.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</si>
  <si>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backend/tests/test_plan_x_0706.py</t>
  </si>
  <si>
    <t>WI-029, WI-038, WI-035</t>
  </si>
  <si>
    <t>Gap: TRANSFER_PART_B action and history exist only on the generic stub; no fields on stock transfers, no transfer workflow, no test for TRANSFER_PART_B.</t>
  </si>
  <si>
    <t>Code: backend/planwave/models.py:EwayStubAction; backend/planwave/services.py:record_eway_stub | Run: pytest on SQLite 2026-10-05 (Postgres-only tests skipped)</t>
  </si>
  <si>
    <t>WI-043</t>
  </si>
  <si>
    <t>Web</t>
  </si>
  <si>
    <t>Pass: The destructive button stays disabled until the exact text is typed. Rejecting case: A wrong or partial text keeps it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</si>
  <si>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web/src/__tests__/ux_0596.test.tsx</t>
  </si>
  <si>
    <t>WI-068, WI-035</t>
  </si>
  <si>
    <t>Gap: Typed confirmation is opt-in and used on only a few dialogs (contracts, campaigns, growth widgets); other destructive dialogs do not require typing. Planned file web/src/__tests__/ux_0596.test.tsx does not exist.</t>
  </si>
  <si>
    <t>Tests: web/src/components/ConfirmDialog.test.tsx::BUG-UI-005 requires the document number before a destructive confirm [not in run]; web/src/components/ConfirmDialog.test.tsx::asks for nothing to be typed unless the caller opts in [not in run] | Code: web/src/components/ConfirmDialog.tsx:requireTyped; web/src/pages/contracts/ContractsPage.tsx; web/src/pages/crm/CampaignsPage.tsx | Run: pytest on SQLite 2026-10-05 (Postgres-only tests skipped)</t>
  </si>
  <si>
    <t>web</t>
  </si>
  <si>
    <t>WI-044</t>
  </si>
  <si>
    <t>Web + device</t>
  </si>
  <si>
    <t>Network ESC/POS printer through a print bridge, with PDF fallback. Bluetooth deferred. Verified on a real network ESC/POS printer (for example Epson TM-T82) that you provide.</t>
  </si>
  <si>
    <t>Pass: Network ESC/POS printer through a print bridge, with PDF fallback. Bluetooth deferred. Verified on a real network ESC/POS printer (for example Epson TM-T82) that you provide..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</si>
  <si>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web/src/__tests__/i_0651.test.tsx</t>
  </si>
  <si>
    <t>Gap: The print bridge always returns a PDF fallback and never sends to a network printer; the web path uses native/Bluetooth printEscPos and does not call plan/print; no web/src/__tests__/i_0651.test.tsx; no real printer verification.</t>
  </si>
  <si>
    <t>Tests: tests/test_planwave_finish.py::test_print_bridge_falls_back_without_a_printer [pass] | Code: backend/planwave/views.py:PrintBridgeView; web/src/pages/pos/printPosThermal.ts:printPosThermalOrWarn | Run: pytest on SQLite 2026-10-05 (Postgres-only tests skipped)</t>
  </si>
  <si>
    <t>50</t>
  </si>
  <si>
    <t>WI-045</t>
  </si>
  <si>
    <t>USB keyboard-wedge timing heuristic. Browser camera scanner deferred (mobile camera scan already works).</t>
  </si>
  <si>
    <t>Pass: USB keyboard-wedge timing heuristic. Browser camera scanner deferred (mobile camera scan already works)..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</si>
  <si>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web/src/__tests__/i_0655.test.tsx</t>
  </si>
  <si>
    <t>Tests: web/src/pages/pos/scanInput.test.ts::BUG-UI-002 treats sub-50ms gaps as a scanner and slower typing as a person [not in run]; web/src/pages/pos/scanInput.test.ts::BUG-UI-003 reads a quantity prefix [not in run] | Code: web/src/pages/pos/scanInput.ts:isScannerBurst; web/src/pages/pos/PosPage.tsx | Run: pytest on SQLite 2026-10-05 (Postgres-only tests skipped)</t>
  </si>
  <si>
    <t>Growth &amp; SaaS</t>
  </si>
  <si>
    <t>Bizboard's own GST invoice to the tenant (our GSTIN, place of supply from the tenant's state), generated and emailed when a Cashfree or PayU payment is captured (freeze D3: sandbox, at least one of those two). No gateway SDK inside the invoice generator. Leave the existing Razorpay subscription reconciliation task alone.</t>
  </si>
  <si>
    <t>Pass: A captured Cashfree or PayU payment produces one GST invoice to the tenant and emails it. Rejecting case: A second delivery of the same capture does not create a second invoice; Razorpay reconciliation is unchanged.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</si>
  <si>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backend/tests/test_plan_saas_0669.py</t>
  </si>
  <si>
    <t>Gap: The generator has no production caller: nothing invokes issue_platform_gst_invoice on a Cashfree or PayU subscription capture (payments/services.py only comments on it). No PDF is produced and email is a notification body only.</t>
  </si>
  <si>
    <t>Tests: tests/test_plan_remaining_open.py::test_cashfree_capture_issues_one_gst_invoice_and_payu_is_idempotent [pass]; tests/test_plan_remaining_open.py::test_same_state_capture_splits_cgst_and_sgst [pass] | Code: backend/billing/platform_gst.py:issue_platform_gst_invoice; backend/billing/models.py:PlatformGstInvoice | Run: pytest on SQLite 2026-10-05 (Postgres-only tests skipped)</t>
  </si>
  <si>
    <t>51</t>
  </si>
  <si>
    <t>WI-047</t>
  </si>
  <si>
    <t>End-to-end test: inbound lead de-duplication</t>
  </si>
  <si>
    <t>End-to-end test through the API; fixing a failing flow is in scope up to one day.</t>
  </si>
  <si>
    <t>Pass: End-to-end test through the API; fixing a failing flow is in scope up to one day..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</si>
  <si>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backend/tests/test_plan_gos_0721.py</t>
  </si>
  <si>
    <t>Tests: tests/test_os_vision_plan.py::test_resolve_dedupe_new_clears_pending_review [pass]; tests/test_plan_remaining_open.py::test_duplicate_lead_is_matched_and_not_created_silently [pass]; tests/test_os_vision_plan.py::test_converted_lead_is_not_a_second_party_on_repeat_contact [pass] | Code: backend/crm/pipeline.py:capture_lead; backend/crm/pipeline.py:DedupePrompt | Run: pytest on SQLite 2026-10-05 (Postgres-only tests skipped)</t>
  </si>
  <si>
    <t>52</t>
  </si>
  <si>
    <t>WI-048</t>
  </si>
  <si>
    <t>End-to-end test: complaint to credit note, return or replacement</t>
  </si>
  <si>
    <t>End-to-end test with stock and ledger check; credit note created exactly once.</t>
  </si>
  <si>
    <t>Pass: End-to-end test with stock and ledger check; credit note created exactly once..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</si>
  <si>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backend/tests/test_plan_gos_0737.py</t>
  </si>
  <si>
    <t>Gap: Tests work from draft invoices and assert no stock movement or ledger/journal effect; credit note exactly-once is asserted (second POST returns the same id); test_plan_gos_0737.py absent.</t>
  </si>
  <si>
    <t>Tests: tests/test_growth_os.py::test_complaint_credit_note_replacement_isolation_and_flag [pass]; tests/test_fmea_mitigations.py::test_tc_fmea_005_complaint_document_waits_for_approval [pass] | Code: backend/complaints/views.py; backend/complaints/services.py | Run: pytest on SQLite 2026-10-05 (Postgres-only tests skipped)</t>
  </si>
  <si>
    <t>WI-049</t>
  </si>
  <si>
    <t>End-to-end test: supplier complaint to purchase debit note</t>
  </si>
  <si>
    <t>End-to-end test with stock and ledger check.</t>
  </si>
  <si>
    <t>Pass: End-to-end test with stock and ledger check..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</si>
  <si>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backend/tests/test_plan_gos_0739.py</t>
  </si>
  <si>
    <t>Gap: Complaint to draft debit note flow is tested end to end, but there is no stock-movement or ledger assertion: the note is set COMPLETED by direct save, not through the completion service. backend/tests/test_plan_gos_0739.py does not exist.</t>
  </si>
  <si>
    <t>Tests: tests/test_supplier_complaints.py::test_supplier_complaint_debit_note_is_a_draft_and_staff_cannot_open_it [pass] | Code: backend/complaints/supplier_views.py; backend/complaints/services.py | Run: pytest on SQLite 2026-10-05 (Postgres-only tests skipped)</t>
  </si>
  <si>
    <t>SaaS-0666</t>
  </si>
  <si>
    <t>End-to-end and load test of tenant signup and provisioning</t>
  </si>
  <si>
    <t>Signup to workspace end to end; load test of 20 concurrent out of 50 signups, p95 provisioning at most 10 s, no duplicate tenants; nightly or manual, not in the pull-request run.</t>
  </si>
  <si>
    <t>Pass: Signup to workspace end to end; load test of 20 concurrent out of 50 signups, p95 provisioning at most 10 s, no duplicate tenants; nightly or manual, not in the pull-request run..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</si>
  <si>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backend/tests/test_plan_saas_0666.py</t>
  </si>
  <si>
    <t>Gap: The test runs 20 sequential signups in the normal suite, not 20 concurrent out of 50, and not as a nightly or manual job; no signup-to-workspace end-to-end check beyond company creation.</t>
  </si>
  <si>
    <t>Tests: tests/test_plan_remaining_open.py::test_twenty_signups_stay_unique_and_under_ten_seconds [pass] | Code: backend/accounts/views.py; backend/tests/test_plan_remaining_open.py | Run: pytest on SQLite 2026-10-05 (Postgres-only tests skipped)</t>
  </si>
  <si>
    <t>53</t>
  </si>
  <si>
    <t>Release orphaned stock allocations on expired cart sessions</t>
  </si>
  <si>
    <t>No cart session or timeout exists. POS drafts are device-local and do not reserve stock. Add a company-configurable expiry (default 24 hours, confirm before starting) on confirmed sales-order reservations and on POS holds from UX-0582: release the allocation and mark the hold expired, keeping the row.</t>
  </si>
  <si>
    <t>Pass: A reservation older than the company TTL releases its stock and is marked expired, and the row remains. Rejecting case: A reservation inside the TTL is left allocated; an expired hold does not delete the order or cart.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</si>
  <si>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backend/tests/test_plan_s_0562.py</t>
  </si>
  <si>
    <t>Gap: No expiry on confirmed sales-order reservations; releasing a hold does not release any stock reservation; no scheduled task calls release_expired_pos_holds; expiry hours are a function argument, not company-configurable.</t>
  </si>
  <si>
    <t>Tests: tests/test_planwave_finish.py::test_pos_hold_expires_and_the_row_remains [pass] | Code: backend/planwave/finish.py:hold_pos_cart; backend/planwave/finish.py:release_expired_pos_holds; backend/planwave/models.py:PosCartHold | Run: pytest on SQLite 2026-10-05 (Postgres-only tests skipped)</t>
  </si>
  <si>
    <t>54</t>
  </si>
  <si>
    <t>WI-052</t>
  </si>
  <si>
    <t>Complete keyboard navigation of the POS flow.</t>
  </si>
  <si>
    <t>Pass: Complete keyboard navigation of the POS flow..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</si>
  <si>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web/src/__tests__/ux_0581.test.tsx</t>
  </si>
  <si>
    <t>Gap: Function-key shortcuts exist and are tested, but there is no test of full keyboard-only navigation (tab order, line editing, arrow selection, quantity changes). web/src/__tests__/ux_0581.test.tsx does not exist.</t>
  </si>
  <si>
    <t>Tests: web/src/pages/pos/PosPage.hotkeys.test.tsx::F2 focuses and selects the barcode search input [not in run]; web/src/pages/pos/PosPage.hotkeys.test.tsx::F1 triggers cash payment and completes checkout [not in run]; web/src/pages/pos/PosPage.hotkeys.test.tsx::F10 clears the active cart [not in run] | Code: web/src/pages/pos/PosPage.tsx; web/src/pages/pos/PosPage.hotkeys.test.tsx | Run: pytest on SQLite 2026-10-05 (Postgres-only tests skipped)</t>
  </si>
  <si>
    <t>Hold and recall several carts without losing stock reservations. Reservations use the expiry job from S-0562.</t>
  </si>
  <si>
    <t>Pass: Hold and recall several carts without losing stock reservations. Reservations use the expiry job from S-0562..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</si>
  <si>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web/src/__tests__/ux_0582.test.tsx</t>
  </si>
  <si>
    <t>WI-051, WI-068, WI-035</t>
  </si>
  <si>
    <t>Gap: Multi-cart hold in the web is client-side sessionStorage only; the backend PosCartHold is not called by the web and creates no stock reservation, so reservation survival is unproven; no web/src/__tests__/ux_0582.test.tsx.</t>
  </si>
  <si>
    <t>Tests: web/src/pages/pos/PosPage.hotkeys.test.tsx (F8 and F9 hold cart and cycle between sessions) [not in run]; tests/test_planwave_finish.py::test_pos_hold_expires_and_the_row_remains [pass] | Code: web/src/pages/pos/PosPage.tsx; backend/planwave/finish.py:hold_pos_cart; backend/planwave/finish.py:release_expired_pos_holds | Run: pytest on SQLite 2026-10-05 (Postgres-only tests skipped)</t>
  </si>
  <si>
    <t>55</t>
  </si>
  <si>
    <t>WI-054</t>
  </si>
  <si>
    <t>Global command palette with search and actions.</t>
  </si>
  <si>
    <t>Pass: Global command palette with search and actions..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</si>
  <si>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web/src/__tests__/ux_0586.test.tsx</t>
  </si>
  <si>
    <t>Gap: Palette lists navigation routes only; no data search and no actions; no test file.</t>
  </si>
  <si>
    <t>Code: web/src/components/CommandPalette.tsx:CommandPalette; web/src/layouts/AppShell.tsx | Run: pytest on SQLite 2026-10-05 (Postgres-only tests skipped)</t>
  </si>
  <si>
    <t>WI-055</t>
  </si>
  <si>
    <t>Rack or bin location on stock and picking views.</t>
  </si>
  <si>
    <t>Pass: Rack or bin location on stock and picking views..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</si>
  <si>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web/src/__tests__/ux_0588.test.tsx</t>
  </si>
  <si>
    <t>Gap: No rack or bin location field on stock models, serializers or the stock and picking views, and no badge component.</t>
  </si>
  <si>
    <t>WI-056</t>
  </si>
  <si>
    <t>Progress and ETA for long imports.</t>
  </si>
  <si>
    <t>Pass: Progress and ETA for long imports..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</si>
  <si>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web/src/__tests__/ux_0590.test.tsx</t>
  </si>
  <si>
    <t>Gap: A progress bar with an ETA exists but is a time-based estimate (0.05 s per row), not server progress, and has no test; no ux_0590.test.tsx.</t>
  </si>
  <si>
    <t>Code: web/src/pages/settings/ImportPage.tsx | Run: pytest on SQLite 2026-10-05 (Postgres-only tests skipped)</t>
  </si>
  <si>
    <t>Personal on-screen toggle, separate from role masking; not a security control.</t>
  </si>
  <si>
    <t>Pass: Personal on-screen toggle, separate from role masking; not a security control.. Rejecting case: invalid input keeps the action disabled; keyboard and screen-reader path tested. Done means: Vitest (and Playwright where there is a flow) pass, tsc -b and ESLint report zero errors, the accessibility check is clean, and register_sync.py scores the web test; the backend suite is not required; the reviewer signs.</t>
  </si>
  <si>
    <t>web/src/__tests__/ux_0591.test.tsx</t>
  </si>
  <si>
    <t>Gap: No test; only components using MoneyText are masked, other rupee displays may not be.</t>
  </si>
  <si>
    <t>Code: web/src/privacy/PrivacyMask.tsx:PrivacyMaskProvider; web/src/components/insights/MoneyText.tsx:MoneyText; web/src/layouts/AppShell.tsx | Run: pytest on SQLite 2026-10-05 (Postgres-only tests skipped)</t>
  </si>
  <si>
    <t>56</t>
  </si>
  <si>
    <t>WI-058</t>
  </si>
  <si>
    <t>Wave 2 verification: full suite on Postgres, register sync, drift check, Pilot gate review</t>
  </si>
  <si>
    <t>WI-036, WI-037, WI-038, WI-039, WI-040, WI-041, WI-042, WI-043, WI-044, WI-045, WI-046, WI-047, WI-048, WI-049, WI-050, WI-051, WI-052, WI-053, WI-054, WI-055, WI-056, WI-057</t>
  </si>
  <si>
    <t>Gap: Tools exist, but no recorded Wave 2 full-suite-on-Postgres result, drift check output or per-item pass-condition review is stored.</t>
  </si>
  <si>
    <t>Code: qos/tools/register_sync.py; qos/tools/register_drift.py | Run: pytest on SQLite 2026-10-05 (Postgres-only tests skipped)</t>
  </si>
  <si>
    <t>VER-2</t>
  </si>
  <si>
    <t>Per-debtor bootstrap of days-late from the last 12 settled invoices, shrunk to the segment average, 1,000 runs, show p10/p50/p90; under 5 settled invoices fall back to the ageing heuristic with a low-confidence badge.</t>
  </si>
  <si>
    <t>Pass: Per-debtor bootstrap of days-late from the last 12 settled invoices, shrunk to the segment average, 1,000 runs, show p10/p50/p90; under 5 settled invoices fall back to the ageing heuristic with a low-confidence badge..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</si>
  <si>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backend/tests/test_plan_d_0684.py</t>
  </si>
  <si>
    <t>Gap: The 1,000 runs cycle the sample deterministically rather than bootstrap-resampling; under 5 invoices it uses the segment average rather than the ageing heuristic; no cash-flow aggregate or UI badge; percentile values are not asserted.</t>
  </si>
  <si>
    <t>Tests: tests/test_plan_remaining_open.py::test_cashflow_uses_settled_invoices [pass]; tests/test_planwave_remaining.py::test_provision_interest_anomaly_cashflow_and_2b [pass] | Code: backend/planwave/services.py:cashflow_forecast; backend/planwave/finish.py:debtor_delays; backend/planwave/finish.py:cashflow_for_customer | Run: pytest on SQLite 2026-10-05 (Postgres-only tests skipped)</t>
  </si>
  <si>
    <t>57</t>
  </si>
  <si>
    <t>Score at least 0.95 with equal GSTIN and tax within tolerance links automatically; 0.80 to 0.95 suggests; below 0.80 shows nothing. Runs on uploaded 2B data after P-0503.</t>
  </si>
  <si>
    <t>Pass: Score at least 0.95 with equal GSTIN and tax within tolerance links automatically; 0.80 to 0.95 suggests; below 0.80 shows nothing. Runs on uploaded 2B data after P-0503..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</si>
  <si>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backend/tests/test_plan_d_0690.py</t>
  </si>
  <si>
    <t>WI-019, WI-058</t>
  </si>
  <si>
    <t>Gap: No numeric fuzzy name score or 0.95/0.80 thresholds (boolean GSTIN and tax-tolerance banding); nothing links automatically; it scores caller-posted rows, not uploaded 2B data.</t>
  </si>
  <si>
    <t>Tests: tests/test_planwave_remaining.py::test_provision_interest_anomaly_cashflow_and_2b [pass]; tests/test_planwave_finish.py::test_2b_blocked_invoice_is_not_eligible [pass] | Code: backend/planwave/services.py:gstr2b_score; backend/planwave/finish.py:score_2b_rows; backend/planwave/views.py:TwoBScoreView | Run: pytest on SQLite 2026-10-05 (Postgres-only tests skipped)</t>
  </si>
  <si>
    <t>58</t>
  </si>
  <si>
    <t>TallyPrime only: ledger masters, stock items, opening balances and one financial year of vouchers with a mandatory ledger and stock-item mapping step. ENABLE_TALLY stays off; flipping it is a separate freeze exception.</t>
  </si>
  <si>
    <t>Pass: TallyPrime only: ledger masters, stock items, opening balances and one financial year of vouchers with a mandatory ledger and stock-item mapping step. ENABLE_TALLY stays off; flipping it is a separate freeze exception..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</si>
  <si>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backend/tests/test_plan_d_0693.py</t>
  </si>
  <si>
    <t>Gap: Only the mandatory ledger and stock-item mapping step and a stored job with voucher count exist. No TallyPrime backup parsing, no master or opening balance import and no voucher posting in the wizard; commit endpoint is a stub returning imported False. No wizard UI found.</t>
  </si>
  <si>
    <t>Tests: tests/test_planwave_remaining.py::test_bulk_import_and_tally_map [pass]; tests/test_plan_partials.py::test_tally_commit_stays_off [pass] | Code: backend/planwave/services.py:map_tally_import; backend/planwave/views.py:TallyMapView; backend/planwave/views.py:TallyCommitView; backend/planwave/models.py:TallyImportJob | Run: pytest on SQLite 2026-10-05 (Postgres-only tests skipped)</t>
  </si>
  <si>
    <t>59</t>
  </si>
  <si>
    <t>Anomaly detector for unusual discounts and bill amounts</t>
  </si>
  <si>
    <t>Review queue only, never blocks a bill. Unusual: discount above 3 times the item's median discount, or a bill above both a rupee floor and 3 times the customer's median bill; thresholds per company.</t>
  </si>
  <si>
    <t>Pass: Review queue only, never blocks a bill. Unusual: discount above 3 times the item's median discount, or a bill above both a rupee floor and 3 times the customer's median bill; thresholds per company.. Rejecting case: invalid input, a wrong-tenant request and a user without permission are each rejected, each with a test. Done means: tests for the touched apps pass on Postgres 17 with lint and type checks clean and any strict xfail for the item removed; the reviewer (not the author) signs; register_sync.py scores the test and the register row reads Built - tested / Pass; the full suite runs nightly and at the wave gate.</t>
  </si>
  <si>
    <t>backend/tests/test_plan_s_0574.py</t>
  </si>
  <si>
    <t>Gap: The discount median is across all the customer's lines rather than the item's; the rupee floor is a code default, not per company; the review queue is list-only (no resolve) and has no UI; review_completed_sale and the queue endpoint are untested.</t>
  </si>
  <si>
    <t>Tests: tests/test_planwave_remaining.py::test_provision_interest_anomaly_cashflow_and_2b [pass] | Code: backend/planwave/services.py:flag_anomaly; backend/planwave/finish.py:review_completed_sale; backend/planwave/models.py:AnomalyReview; backend/planwave/views.py:AnomalyList | Run: pytest on SQLite 2026-10-05 (Postgres-only tests skipped)</t>
  </si>
  <si>
    <t>61</t>
  </si>
  <si>
    <t>WI-067</t>
  </si>
  <si>
    <t>Wave 3 verification: full suite on Postgres, register sync, drift check, Later gate review</t>
  </si>
  <si>
    <t>WI-059, WI-060, WI-061, WI-064</t>
  </si>
  <si>
    <t>Gap: No recorded Wave 3 Postgres full-suite run, drift check result or gate review file.</t>
  </si>
  <si>
    <t>VER-3</t>
  </si>
  <si>
    <t>Plan rollup</t>
  </si>
  <si>
    <t>Live counts from the Implementation plan sheet. Effort % weights by estimate days.</t>
  </si>
  <si>
    <t>Blocked</t>
  </si>
  <si>
    <t>Red</t>
  </si>
  <si>
    <t>Estimate days</t>
  </si>
  <si>
    <t>Days done</t>
  </si>
  <si>
    <t>Effort done %</t>
  </si>
  <si>
    <t>Item done %</t>
  </si>
  <si>
    <t>Wave 1: MVP</t>
  </si>
  <si>
    <t>Wave 2: Pilot</t>
  </si>
  <si>
    <t>Wave 3: Later</t>
  </si>
  <si>
    <t>Total</t>
  </si>
  <si>
    <t>Human reviewer</t>
  </si>
  <si>
    <t>Plan by week</t>
  </si>
  <si>
    <t>Planned vs actual completion by week. Actual uses the Actual done date you enter on the plan.</t>
  </si>
  <si>
    <t>Week start</t>
  </si>
  <si>
    <t>Week end</t>
  </si>
  <si>
    <t>Items due</t>
  </si>
  <si>
    <t>Planned days due</t>
  </si>
  <si>
    <t>Items done (actual)</t>
  </si>
  <si>
    <t>Cumulative planned items</t>
  </si>
  <si>
    <t>Cumulative done items</t>
  </si>
  <si>
    <t>Planned % complete</t>
  </si>
  <si>
    <t>Actual % complete</t>
  </si>
  <si>
    <t>Gap (items)</t>
  </si>
  <si>
    <t>Plan milestones</t>
  </si>
  <si>
    <t>A milestone is Ready only when every item in its wave, including its verification item, is Done. The planned date is the last due date plus one release-buffer week.</t>
  </si>
  <si>
    <t>Milestone</t>
  </si>
  <si>
    <t>Planned date</t>
  </si>
  <si>
    <t>Items not Done</t>
  </si>
  <si>
    <t>Exit criteria</t>
  </si>
  <si>
    <t>M1: MVP gate ready</t>
  </si>
  <si>
    <t>All wave 1 items Done: audit events on every posting action, mandatory admin 2FA, field masking, encryption, ITC and e-way rules (stub actions, flags off), approval queue, credit controls, nightly trial-balance worker, restore drill. Full suite green on Postgres; drift check clean; register shows Built - tested for each. CA sign-off of the Rule 11(g) map: if missing, ship as 'pilot with documented residual'.</t>
  </si>
  <si>
    <t>M2: Pilot gate ready</t>
  </si>
  <si>
    <t>All wave 2 items Done: pilot-breadth features and POS polish verified; end-to-end tests for complaints, lead de-duplication and signup; no open Red items; 0 Fail results in the register for Pilot rows.</t>
  </si>
  <si>
    <t>M3: Later gate ready</t>
  </si>
  <si>
    <t>All wave 3 items Done: differentiators built and verified (Tally and GSTR-2B features still behind their flags); no unreviewed Mechanism not found on P1 compliance rows.</t>
  </si>
  <si>
    <t>Open confirmations before the first affected item starts</t>
  </si>
  <si>
    <t>Decisions marked Confirm or External</t>
  </si>
  <si>
    <t>...of which not yet confirmed (no date)</t>
  </si>
  <si>
    <t>Plan change log</t>
  </si>
  <si>
    <t>Record every change to dates, scope or estimates here so the plan stays auditable.</t>
  </si>
  <si>
    <t>Date</t>
  </si>
  <si>
    <t>Change</t>
  </si>
  <si>
    <t>Items affected</t>
  </si>
  <si>
    <t>Reason</t>
  </si>
  <si>
    <t>Changed by</t>
  </si>
  <si>
    <t>Plan created from the quality-first decisions.</t>
  </si>
  <si>
    <t>67 items, 197 estimate days, 3 developers.</t>
  </si>
  <si>
    <t>Claude (delegated)</t>
  </si>
  <si>
    <t>Plan revised after the 63 pre-implementation questions: 2 agent lanes, start 12 Oct, holidays, review gap, wave gates enforced, per-item pass conditions, freeze-safe scopes, estimates for WI-010, 028, 044, 050 and 061 changed, WI-028 split, WI-062, 063, 065, 066 dropped, new items REG-WEB, DEC-HOST, DEC-CA, CA-SIGN, WI-028b.</t>
  </si>
  <si>
    <t>68 items, 212.5 estimate days.</t>
  </si>
  <si>
    <t>Repo check folded in: MFA roles, existing credit hold, seal alert channel, Cashfree/PayU for subscription invoices, and no cart timeout. UX-0582 now depends on S-0562. Q21 and Q51 moved to Decided.</t>
  </si>
  <si>
    <t>WI-010, WI-021, WI-034, WI-046, WI-051, WI-053</t>
  </si>
  <si>
    <t>Code read for the items previously marked verify at item start.</t>
  </si>
  <si>
    <t>Agent</t>
  </si>
  <si>
    <t>Truth update: plan stages, evidence and Task Register rows set from code and the latest full test run; review findings recorded.</t>
  </si>
  <si>
    <t>16 Built, 46 Partial, 6 Not built; none Done (human sign-off pending).</t>
  </si>
  <si>
    <t>Code review 2026-10-05</t>
  </si>
  <si>
    <t>Two read-only review rounds (eight reviewers each) over the uncommitted tree, then fixes. Fixed = changed and verified; Reverted = tried, an existing pinned test showed the product wants the opposite; Open = not changed, reason given.</t>
  </si>
  <si>
    <t>#</t>
  </si>
  <si>
    <t>Area</t>
  </si>
  <si>
    <t>Severity</t>
  </si>
  <si>
    <t>Finding</t>
  </si>
  <si>
    <t>Outcome</t>
  </si>
  <si>
    <t>How or why</t>
  </si>
  <si>
    <t>Critical</t>
  </si>
  <si>
    <t>Celery task routes sent OTP, webhooks, refunds, PDFs and reporting to queues no worker consumed</t>
  </si>
  <si>
    <t>Fixed (no test)</t>
  </si>
  <si>
    <t>Workers now start with -Q celery,high_priority,media_heavy,reports in compose, staging and CI</t>
  </si>
  <si>
    <t>Config</t>
  </si>
  <si>
    <t>High</t>
  </si>
  <si>
    <t>PLANWAVE_DATA_KEY never read from the environment: every bank-number save would fail in production</t>
  </si>
  <si>
    <t>Loaded and validated at boot in settings.py; MFA key format also validated at boot</t>
  </si>
  <si>
    <t>Nightly invariants and seal alert ran outside rls_bypass; one company's failure aborted the sweep</t>
  </si>
  <si>
    <t>core/tasks.py wraps writes in rls_bypass with a per-company try; open quarantine constrained to one row per company (planwave 0004)</t>
  </si>
  <si>
    <t>Refresh cookie alone issued an MFA enrol token (stolen cookie could bind attacker's authenticator)</t>
  </si>
  <si>
    <t>Fixed</t>
  </si>
  <si>
    <t>Refresh now returns 401; password login issues the enrol token. tests/test_mfa.py updated</t>
  </si>
  <si>
    <t>Certification endpoint trusted a chain_ok query flag and was open to any member</t>
  </si>
  <si>
    <t>Verifies the audit chain server-side, owner/manager/accountant only. test_code_review_2026_10_05.py</t>
  </si>
  <si>
    <t>Planwave</t>
  </si>
  <si>
    <t>Credit hold, overdue report and cash-flow forecast summed grand_total, not the outstanding balance</t>
  </si>
  <si>
    <t>Use LedgerService.sales_invoice_outstanding. test_a_paid_old_invoice_does_not_hold_credit</t>
  </si>
  <si>
    <t>Party snapshot backfill overwrote as-issued snapshots</t>
  </si>
  <si>
    <t>Snapshots are write-once. test_a_backfill_never_overwrites_an_issued_snapshot</t>
  </si>
  <si>
    <t>ITC deadline status written once at bill completion and never refreshed; 180-day test hard-coded false</t>
  </si>
  <si>
    <t>refresh_itc_status recomputes from bills and supplier payments on read</t>
  </si>
  <si>
    <t>Medium</t>
  </si>
  <si>
    <t>Approvals: no lock on decide, blank token redeemed ordinary approvals, cancel burned the approval on failure</t>
  </si>
  <si>
    <t>Row lock + atomic; token action/blank checks; consume+cancel in one transaction</t>
  </si>
  <si>
    <t>Rate limiter: OTP buckets lockable by anyone, junk Authorization bypass, list body 500, unbounded fallback memory</t>
  </si>
  <si>
    <t>Canonical OTP target, IP buckets, dict guard, pruned fallback</t>
  </si>
  <si>
    <t>Seal() wrapped an unopenable sealed blob in a second layer</t>
  </si>
  <si>
    <t>Structurally valid unopenable blobs are left unchanged. test_a_sealed_value_that_cannot_be_opened_is_left_alone</t>
  </si>
  <si>
    <t>Sanitiser deleted text like '&lt;5000 and &gt;100'</t>
  </si>
  <si>
    <t>Only real tags/comments are stripped. test_the_sanitiser_strips_tags_but_keeps_comparisons</t>
  </si>
  <si>
    <t>Pharmacy register rows created on every completion attempt and stamped onto other invoices</t>
  </si>
  <si>
    <t>Check-only on validate, record once with invoice number and batch. test_checking_a_pharmacy_sale_records_nothing</t>
  </si>
  <si>
    <t>Bulk invoice commit not locked; marked committed with rejects; ambiguous customer; leaked exception text</t>
  </si>
  <si>
    <t>Batch row lock, created refs skipped on re-run, unambiguous customer, generic error</t>
  </si>
  <si>
    <t>Approval, ITC, pharmacy, warehouse access views open to any member; 500s on bad input</t>
  </si>
  <si>
    <t>Role gates, action allowlist, 400s. test_unknown_approval_action_and_bad_dates_are_400_not_500</t>
  </si>
  <si>
    <t>Money</t>
  </si>
  <si>
    <t>Customer payment-link capture issued a Bizboard platform GST invoice for the tenant's own customer money</t>
  </si>
  <si>
    <t>Call removed from finalize_gateway_capture</t>
  </si>
  <si>
    <t>Live e-way adapter silently faked Part B update and validity extension</t>
  </si>
  <si>
    <t>Refuses when the live provider cannot send. test_a_live_eway_provider_refuses_a_part_b_update_it_cannot_send</t>
  </si>
  <si>
    <t>Batch POS sync bypassed subscription and payment-permission gates</t>
  </si>
  <si>
    <t>SubscriptionWritesAllowed and CanCreatePayments added to PosBatchSyncView</t>
  </si>
  <si>
    <t>Partial order conversion counters never reversed; partly converted drafts could not be edited</t>
  </si>
  <si>
    <t>release_order_conversion on draft delete / draft challan cancel; cap against other live drafts. test_code_review_2026_10_05_b.py</t>
  </si>
  <si>
    <t>payment_status filter ignored settlement discount and counted cancelled invoices</t>
  </si>
  <si>
    <t>Discount share subquery and status filter. test_payment_status_filter_agrees_with_the_ledger_on_settlement_discount</t>
  </si>
  <si>
    <t>Failed delivery stop could release the order's stock twice</t>
  </si>
  <si>
    <t>stock_released_at marker (sales 0063)</t>
  </si>
  <si>
    <t>Delivery OTP stayed valid after use; same person could verify cash handover</t>
  </si>
  <si>
    <t>OTP hash cleared on success; verifier must differ unless owner/manager. test_delivery_otp_locks_after_repeated_wrong_codes</t>
  </si>
  <si>
    <t>Exact UTR in narration bound a credit to a receipt of a different amount</t>
  </si>
  <si>
    <t>Amount tolerance required. test_a_matching_reference_with_a_different_amount_does_not_bind</t>
  </si>
  <si>
    <t>AA ingest returned 400 on renewed consent with only old expired rows</t>
  </si>
  <si>
    <t>Raise only when no open consent exists</t>
  </si>
  <si>
    <t>Below-cost check ignored unit conversion; platform staff could override</t>
  </si>
  <si>
    <t>Base-unit comparison; owner of this company only</t>
  </si>
  <si>
    <t>Low</t>
  </si>
  <si>
    <t>Cheque bounce 500 on bad bank charge; supplier-payment datetime TypeError; credit-note cancel could fail on re-allocated receipt</t>
  </si>
  <si>
    <t>Validation, date normalisation, savepoint around slice restore</t>
  </si>
  <si>
    <t>Webhook dedup claimed after success (refund branch race)</t>
  </si>
  <si>
    <t>Open</t>
  </si>
  <si>
    <t>Deliberate FMEA-003 design; refund path protected by refund keys. Not changed</t>
  </si>
  <si>
    <t>COD cash collected on delivery routes is not recorded as a receipt</t>
  </si>
  <si>
    <t>Needs a decision on how cash becomes receipts</t>
  </si>
  <si>
    <t>Purchases</t>
  </si>
  <si>
    <t>3-way match blocked bills when a product appeared on several GRN or PO lines</t>
  </si>
  <si>
    <t>Per-product sums and any-agreed-rate comparison</t>
  </si>
  <si>
    <t>Second price amend posted no GL variance journal</t>
  </si>
  <si>
    <t>Journal purpose carries the revision count. test_bug_open_pur updated</t>
  </si>
  <si>
    <t>Existing serial numbers silently skipped on bill complete</t>
  </si>
  <si>
    <t>Sold or unavailable serials are refused</t>
  </si>
  <si>
    <t>Inventory</t>
  </si>
  <si>
    <t>Transfer receipt dated and period-gated at the dispatch date</t>
  </si>
  <si>
    <t>Receipt uses today. test_bug_inv_010 updated</t>
  </si>
  <si>
    <t>Cancel after a short receipt overdrew the destination and stranded transit stock</t>
  </si>
  <si>
    <t>test_cancel_after_a_short_receipt_restores_stock_and_clears_transit</t>
  </si>
  <si>
    <t>transfer_date migration stamped the migration day on historical transfers (period-lock bypass)</t>
  </si>
  <si>
    <t>inventory 0026 resets dates to the creation day</t>
  </si>
  <si>
    <t>Accounting</t>
  </si>
  <si>
    <t>Payroll advance recovery left the journal unbalanced</t>
  </si>
  <si>
    <t>Credit to new account 1260 Employee Advances</t>
  </si>
  <si>
    <t>Cancel and re-complete of a pay run compounded arrears and bonus</t>
  </si>
  <si>
    <t>Start from salary when components exist</t>
  </si>
  <si>
    <t>Schedule III balance sheet missing the unclosed profit; P&amp;L section total meaningless</t>
  </si>
  <si>
    <t>test_schedule_iii_balance_sheet_balances_with_the_surplus_line</t>
  </si>
  <si>
    <t>Rollup refresh not atomic; manual journal post left the checkpoint fresh</t>
  </si>
  <si>
    <t>Atomic refresh; checkpoint dropped on post</t>
  </si>
  <si>
    <t>AccountBalanceRollup missing from RLS</t>
  </si>
  <si>
    <t>core 0051; rls coverage test now sees one-to-one keys</t>
  </si>
  <si>
    <t>Any payment-capable user could close another cashier's till</t>
  </si>
  <si>
    <t>Cashier or manager only</t>
  </si>
  <si>
    <t>206AB rates for company vendors look wrong</t>
  </si>
  <si>
    <t>Needs the accountant</t>
  </si>
  <si>
    <t>Masters</t>
  </si>
  <si>
    <t>Soft-deleted rows still blocked reuse of SKU, GSTIN, price-list name, warehouse code</t>
  </si>
  <si>
    <t>Conditional constraints (masters 0030, inventory 0027). test_a_deleted_product_does_not_block_its_sku</t>
  </si>
  <si>
    <t>Supplier soft delete skipped the referenced check; customer PUT version check outside the lock</t>
  </si>
  <si>
    <t>Referenced guard; version re-checked under the row lock</t>
  </si>
  <si>
    <t>Bank account shown in full to every role</t>
  </si>
  <si>
    <t>Masked for non owner/accountant; masked echo never overwrites</t>
  </si>
  <si>
    <t>Existing plaintext bank numbers not sealed</t>
  </si>
  <si>
    <t>manage.py seal_bank_accounts</t>
  </si>
  <si>
    <t>Accounts</t>
  </si>
  <si>
    <t>Stale active company made the first login fail</t>
  </si>
  <si>
    <t>Repaired at sign-in; getter write kept (pinned by test_bug_sec_017)</t>
  </si>
  <si>
    <t>Accept-invite had no wrong-code limit; password change and logout-all left access tokens valid</t>
  </si>
  <si>
    <t>Shared MFA fail counter; session_version bump. test_access_token_dies_when_sessions_are_revoked</t>
  </si>
  <si>
    <t>Idempotency prune deleted stale in-flight money keys</t>
  </si>
  <si>
    <t>test_prune_keeps_stale_in_flight_money_keys_but_removes_other_scopes</t>
  </si>
  <si>
    <t>Idempotency reclaim for *_complete scopes</t>
  </si>
  <si>
    <t>Design decision pinned by comment; not changed</t>
  </si>
  <si>
    <t>RequestId context leaked on exception; ops webhook compare_digest TypeError; flag command picked an arbitrary company</t>
  </si>
  <si>
    <t>try/except clear, byte compare, --company-id</t>
  </si>
  <si>
    <t>App role is a superuser in compose so RLS is bypassed; pg_dump fails once the role is fixed</t>
  </si>
  <si>
    <t>backup.sh accepts BACKUP_DB_USER; role change itself is an ops decision, startup warnings kept</t>
  </si>
  <si>
    <t>WhatsApp opt-in gate is a tautology</t>
  </si>
  <si>
    <t>Cloud WhatsApp is off in the freeze; needs the consent source</t>
  </si>
  <si>
    <t>Banking</t>
  </si>
  <si>
    <t>Consent status is client-supplied on AA ingest</t>
  </si>
  <si>
    <t>Needs provider-side verification step</t>
  </si>
  <si>
    <t>Reporting</t>
  </si>
  <si>
    <t>'Invoice possessed' forced true at complete; 16(4) cut-off uses today</t>
  </si>
  <si>
    <t>Reverted</t>
  </si>
  <si>
    <t>Existing tests pin both behaviours; left as designed</t>
  </si>
  <si>
    <t>Imports</t>
  </si>
  <si>
    <t>'Rate' alias moved to purchase price</t>
  </si>
  <si>
    <t>test_bug_pur_014 pins the current alias</t>
  </si>
  <si>
    <t>Bank reconciliation auto-confirmed matches on page load</t>
  </si>
  <si>
    <t>Effect removed; person confirms or uses accept-exact</t>
  </si>
  <si>
    <t>Payment dialog idempotency key reused across changed bodies</t>
  </si>
  <si>
    <t>Key carries a fingerprint of the body</t>
  </si>
  <si>
    <t>Raw i18n keys shown (common.none, billing.billingAddress, inventory.writeoffNoBatch, offlineOutbox.thermalWarn)</t>
  </si>
  <si>
    <t>Keys added in en and hi; web/src/i18n/keyUsage.test.ts guards every literal t() call</t>
  </si>
  <si>
    <t>Forced MFA enrolment discarded the recovery codes; StrictMode lost the enrol token</t>
  </si>
  <si>
    <t>Codes shown with an acknowledgement; token kept in a ref</t>
  </si>
  <si>
    <t>GST settings save silently did nothing for unregistered businesses; billing checkout gated on the wrong gateway</t>
  </si>
  <si>
    <t>Confirmation only for a new or changed GSTIN; gateway query removed</t>
  </si>
  <si>
    <t>'Save draft &amp; new' overwrote the invoice being edited</t>
  </si>
  <si>
    <t>Disabled in edit mode and when it cannot save</t>
  </si>
  <si>
    <t>Close-period e2e selectors stale, accountant assertion vacuous</t>
  </si>
  <si>
    <t>Selectors updated; assertion made after the table renders</t>
  </si>
  <si>
    <t>Items filters and CSV stock only covered the current page</t>
  </si>
  <si>
    <t>Whole catalogue under a filter; ProductsPage.test.tsx</t>
  </si>
  <si>
    <t>POS Discard wiped every held bill; name-only sale ignored the typed name; hold/recall lost or duplicated carts</t>
  </si>
  <si>
    <t>Active bill only; flag respected; per-user key, swap on recall</t>
  </si>
  <si>
    <t>Walk-in cache merged different customers; UPI '+' encoding; privacy mask storage crash; command palette ignored feature flags</t>
  </si>
  <si>
    <t>flushPosCheckout, upi, PrivacyMask, CommandPalette; tests updated</t>
  </si>
  <si>
    <t>Error banner stayed hidden after a repeated failure; MFA could not be disabled with a recovery code</t>
  </si>
  <si>
    <t>DocumentEditorShell.test.tsx new case</t>
  </si>
  <si>
    <t>Many lower-severity web items</t>
  </si>
  <si>
    <t>Item-level list kept in the review reports; none block release</t>
  </si>
  <si>
    <t>Stale race test, vacuous PDF byte search, two vacuous or conditional tests</t>
  </si>
  <si>
    <t>Rewritten against behaviour</t>
  </si>
  <si>
    <t>Wall-clock SLA tests skip or fail by machine speed</t>
  </si>
  <si>
    <t>Decision: skip or fail on a slow database</t>
  </si>
  <si>
    <t>Fixed (no test) means changed and exercised by the existing suites only; it has no dedicated regression test.</t>
  </si>
  <si>
    <t>Weekly snapshot</t>
  </si>
  <si>
    <t>Copy the live row down when you want a trend. This file starts with one snapshot. History is not backfilled. Row 4 was restated after the review fixes on the same day.</t>
  </si>
  <si>
    <t>Week</t>
  </si>
  <si>
    <t>MVP tests passing</t>
  </si>
  <si>
    <t>No owner</t>
  </si>
  <si>
    <t>No test id</t>
  </si>
  <si>
    <t>OS ready</t>
  </si>
  <si>
    <t>2026-10-04</t>
  </si>
  <si>
    <t>2026-10-04 (after code review)</t>
  </si>
  <si>
    <t>Live (updates when the workbook calculates)</t>
  </si>
  <si>
    <t>How to read this register</t>
  </si>
  <si>
    <t>Feature list frozen at 770 tasks. Start at Founder view. Release gate splits MVP, Pilot, and Later. Evidence columns stay empty until a test passes. See Review disposition for comments that were not applied.</t>
  </si>
  <si>
    <t>What changed</t>
  </si>
  <si>
    <t>The previous file marked 715 rows Validated (Supported) and 25 rows Code Complete &amp; Verified, then the dashboard added those together and printed 740 validated tasks.</t>
  </si>
  <si>
    <t>A keyword pass had raised 37 ordinary workflows to P0 because the note contained words such as atomic or credit limit, and had dropped 23 owner reports from P2 to P3.</t>
  </si>
  <si>
    <t>Persona counts on the jobs-to-be-done sheet were copied from the 560-task register and renamed. They did not match Persona / Scope on this file. System engines were included in a count of 72 operational personas.</t>
  </si>
  <si>
    <t>Several notes name mechanisms that are not in the product code. Those rows are now Partial or Mechanism not found. The original wording is in the audit note where it was replaced.</t>
  </si>
  <si>
    <t>Numbering shares one sequence through GOS-0740. Added flows are F-0741 onward. Filter Flow ID on Task Register, or open the Flows sheet. Category rows are grouped into a flow as well, with a blank step.</t>
  </si>
  <si>
    <t>New flows cover payroll, workshop jobs, manufacturing execution, project milestones, and insurance. Each note cites a model or function that is in the product, and the flow catalog states the module limit.</t>
  </si>
  <si>
    <t>Status meanings</t>
  </si>
  <si>
    <t>Status or outcome</t>
  </si>
  <si>
    <t>Meaning</t>
  </si>
  <si>
    <t>Validated (Supported)</t>
  </si>
  <si>
    <t>Author assertion</t>
  </si>
  <si>
    <t>The register author marked the row supported. A blank audit note means this review did not re-test it.</t>
  </si>
  <si>
    <t>Growth OS claim</t>
  </si>
  <si>
    <t>Kept where the note's API name exists in product code. Still not a full functional test.</t>
  </si>
  <si>
    <t>Code symbol found</t>
  </si>
  <si>
    <t>Review outcome</t>
  </si>
  <si>
    <t>A specific identifier in the note occurs in backend or web/src. That confirms the name, not the business outcome.</t>
  </si>
  <si>
    <t>Corrected</t>
  </si>
  <si>
    <t>Related behaviour exists, or the note named the wrong mechanism. Read the audit note.</t>
  </si>
  <si>
    <t>The note names a mechanism that is absent from product code.</t>
  </si>
  <si>
    <t>The note has no specific code identifier. The status was left as the author wrote it.</t>
  </si>
  <si>
    <t>In product</t>
  </si>
  <si>
    <t>Added flow</t>
  </si>
  <si>
    <t>The step exists in a module. Read the Flows sheet for what that module does not do.</t>
  </si>
  <si>
    <t>Snapshot at this review (2026-10-04, after the code review)</t>
  </si>
  <si>
    <t>Baseline</t>
  </si>
  <si>
    <t>Strategic expansion</t>
  </si>
  <si>
    <t>Growth OS</t>
  </si>
  <si>
    <t>Added flows</t>
  </si>
  <si>
    <t>357</t>
  </si>
  <si>
    <t>117</t>
  </si>
  <si>
    <t>240</t>
  </si>
  <si>
    <t>Scope: Cross-persona</t>
  </si>
  <si>
    <t>Scope: Operational role</t>
  </si>
  <si>
    <t>Scope: Platform or theme scope</t>
  </si>
  <si>
    <t>Scope: Growth role</t>
  </si>
  <si>
    <t>Scope: System engine</t>
  </si>
  <si>
    <t>Scope: Named role</t>
  </si>
  <si>
    <t>Priority decisions</t>
  </si>
  <si>
    <t>Review fixes 2026-10-04</t>
  </si>
  <si>
    <t>Three claims that said Mechanism not found were stale: S-0579 audit hash chain, SEC-0624 TOTP and C-0603 Section 16(4) clock. Each is corrected against code with the file and test named in the Audit note.</t>
  </si>
  <si>
    <t>Risk score is now a formula (Failure impact x Compliance impact x capability weight: Core 3, Vertical extension 2, Differentiator 2, Future 1, Adjacent 1). Business criticality is a formula over Risk score (18+ Critical, 9+ High, 4+ Medium). Failure impact was raised to High on 60 P0 rows that were Medium, on the assumption that a P0 task failing is a high-impact failure. Revisit that if you disagree.</t>
  </si>
  <si>
    <t>Proposed priority now follows Release gate, so there is one rule. See Priority re-tier.</t>
  </si>
  <si>
    <t>OS ready is a formula: Verification result Pass, integrity, recovery, security and concurrency evidence entered, and G4 and G5 set to Yes.</t>
  </si>
  <si>
    <t>Persona canonical and Primary actor canonical roll 73 personas and 280 actors into about 17 roles. Module basis marks the 80 modules that were blank and are now inferred. Duplicate or related cross-references repeated tasks. Code pointer and Test reference are symbol matches and are leads, not proof.</t>
  </si>
  <si>
    <t>Owner, Target date, Estimate days, Blocked by and most Test case IDs are empty on purpose. A person decides them.</t>
  </si>
  <si>
    <t>The four Register slice sheets (Baseline tasks, Newly Added Tasks, Growth OS, Added flows) were removed because they were copies that go stale as soon as the register is edited. Filter Register slice instead.</t>
  </si>
  <si>
    <t>Dropdowns now guard Verification result, Work status, Release gate, G4 and G5. Pass turns green and Fail turns red.</t>
  </si>
  <si>
    <t>Only tests/test_audit_chain_edge_cases.py, tests/test_mfa.py, tests/test_mfa_edge_cases.py and tests/test_b03_ims.py were run in this review (114 passed on SQLite). Concurrency tests are Postgres-only and did not run.</t>
  </si>
  <si>
    <t>Evidence pass 2026-10-04</t>
  </si>
  <si>
    <t>Every one of the 579 Claimed - unverified rows plus the 16 Partial and Mechanism-not-found rows was read against the code by a review agent: 239 Confirmed, 240 Partial, 116 Contradicted. A spot check of Contradicted rows against the code agreed. Treat the verdicts as agent-reviewed, not signed off.</t>
  </si>
  <si>
    <t>Validation Status now follows the review for rows that were Validated (Supported) or In product: Contradicted becomes Mechanism not found and Partial becomes Partial. The author's original label is kept in Original validation status. Code review verdict, evidence and reason are in their own columns and the reason is appended to the Audit note.</t>
  </si>
  <si>
    <t>Work status was reset from the review: Confirmed is Built - unverified, Partial is Built - partial, Contradicted is Gap. Built - tested means a linked test passed.</t>
  </si>
  <si>
    <t>MVP scope after review lists the MVP tasks the review found partial or absent. Each needs a cut, build or accept decision.</t>
  </si>
  <si>
    <t>Duplicate proposals lists same-wording task pairs. Nothing was deleted.</t>
  </si>
  <si>
    <t>qos/tools/register_sync.py writes pytest JUnit results into Verification result. qos/tools/register_drift.py fails when a status disagrees with the code (patterns in qos/register_claims.yaml). qos/tools/recalc_xlsx.ps1 stores calculated values. See qos/README.md.</t>
  </si>
  <si>
    <t>Test evidence: the full backend suite and the linked tests were run on PostgreSQL 17 on 2026-10-04. Results are in qos/evidence/ (JUnit XML and log).</t>
  </si>
  <si>
    <t>Review findings</t>
  </si>
  <si>
    <t>What was wrong</t>
  </si>
  <si>
    <t>Correction in this file</t>
  </si>
  <si>
    <t>1</t>
  </si>
  <si>
    <t>Validated total</t>
  </si>
  <si>
    <t>The dashboard counted every status containing Validated or Verified as Validated (Supported), so 25 Code Complete rows were included and the total printed as 740.</t>
  </si>
  <si>
    <t>Status totals are separate. Validated (Supported) is labeled as an author assertion.</t>
  </si>
  <si>
    <t>2</t>
  </si>
  <si>
    <t>Priority rebalance</t>
  </si>
  <si>
    <t>Scanning notes for atomic, credit limit, and similar words raised ordinary workflows to P0. A polish list dropped margin, valuation, dead stock, and store comparison from P2 to P3.</t>
  </si>
  <si>
    <t>Authored priorities were restored. P0 is applied only when the task action itself names a statutory or credit-limit control. P3 is limited to polish and speculative features.</t>
  </si>
  <si>
    <t>3</t>
  </si>
  <si>
    <t>Persona counts</t>
  </si>
  <si>
    <t>Jobs-to-be-done counts were hardcoded from the 560-task register under different names. Medical Shop was titled Medical Shop Pharmacist. Business Owner's 13 tasks were titled Managing Proprietor. System engines inflated the persona total to 72.</t>
  </si>
  <si>
    <t>Each jobs-to-be-done row names the register persona it counts. Task counts are COUNTIF formulas. Scope class separates operational roles, named roles, growth roles, cross-persona work, platform scopes, and system engines.</t>
  </si>
  <si>
    <t>4</t>
  </si>
  <si>
    <t>False mechanisms</t>
  </si>
  <si>
    <t>Notes asserted CartSession, an hourly trial-balance quarantine worker, pg_trgm search, Shift+P privacy mask, a Z-score detector, WebSocket import progress, Ctrl+K, type-to-confirm, TIME_BARRED ITC, Section 206AB, django-otp, and django-simple-history.</t>
  </si>
  <si>
    <t>Those rows are Partial or Mechanism not found. POS hold is documented as F8, not F6. F6 tenders UPI.</t>
  </si>
  <si>
    <t>5</t>
  </si>
  <si>
    <t>Illustrated market claims</t>
  </si>
  <si>
    <t>Competitive, UX, and security sheets stated checkout throughput, conversion lifts, rupee savings, and a 99.9 percent SLA as if they were measured results.</t>
  </si>
  <si>
    <t>Each row now has a review column. Quantified outcomes are labeled illustrative targets.</t>
  </si>
  <si>
    <t>Duplicate workbook</t>
  </si>
  <si>
    <t>This file was identical to Bizboard_Product_Task_Universe_Master.xlsx.</t>
  </si>
  <si>
    <t>Both workbooks are written from this review so they do not diverge.</t>
  </si>
  <si>
    <t>Stale mechanism claims</t>
  </si>
  <si>
    <t>S-0579, SEC-0624 and C-0603 said Mechanism not found although code and tests exist. P0 gap decisions and Security assurance repeated the error.</t>
  </si>
  <si>
    <t>Corrected to Code Complete &amp; Verified, Partial and Partial. Evidence named in each Audit note.</t>
  </si>
  <si>
    <t>Formulas had no stored values</t>
  </si>
  <si>
    <t>All 235 formulas read blank outside Excel. Pilot readiness gate counts were a typed 0.</t>
  </si>
  <si>
    <t>Workbook recalculated in Excel and saved with values. Gate counts are formulas.</t>
  </si>
  <si>
    <t>Risk model inconsistent</t>
  </si>
  <si>
    <t>Risk score was typed in. 60 P0 tasks, such as creating a customer invoice, had Medium failure impact and Medium or Low criticality. Two statutory P3 tasks (C-0617, C-0619) are rated High criticality and still need a priority decision. Nine MVP (P0) tasks are classed Adjacent or Future (I-0651, I-0655, SaaS-0666, SaaS-0668, SaaS-0669, SaaS-0678, D-0681, D-0684, D-0693), so either the priority or the class is wrong.</t>
  </si>
  <si>
    <t>Risk score and Business criticality are formulas. P0 failure impact raised to High. C-0617, C-0619 and the nine Adjacent or Future P0 tasks are flagged here for a founder decision (cut from MVP or reclassify).</t>
  </si>
  <si>
    <t>Proposed priority was a copy of Priority</t>
  </si>
  <si>
    <t>Every row matched, so the column added nothing.</t>
  </si>
  <si>
    <t>Proposed priority follows Release gate. Priority re-tier shows the reconciliation.</t>
  </si>
  <si>
    <t>Data quality</t>
  </si>
  <si>
    <t>73 persona names, 280 actor names, 80 blank modules, 3 exact duplicate task texts.</t>
  </si>
  <si>
    <t>Canonical persona and actor, inferred module with a basis column, duplicate cross-references. Role rollup sheet added and the reference to it now resolves.</t>
  </si>
  <si>
    <t>Evidence matrices had no evidence</t>
  </si>
  <si>
    <t>No test references, and e-invoice, gateway, subscription and pay-run states were missing. One harm sentence was repeated for all 10 races.</t>
  </si>
  <si>
    <t>Matrices name existing tests, add state machines and invariants, and give per-race harm and expected outcome.</t>
  </si>
  <si>
    <t>Slice sheets</t>
  </si>
  <si>
    <t>Four sheets duplicated the register and drift as owners and results are entered.</t>
  </si>
  <si>
    <t>Removed. Filter Register slice on Task Register.</t>
  </si>
  <si>
    <t>No input guards</t>
  </si>
  <si>
    <t>Free-text entry on Verification result and Work status would break the Founder view counts.</t>
  </si>
  <si>
    <t>Dropdowns and Pass or Fail highlighting added.</t>
  </si>
  <si>
    <t>Unverified claims</t>
  </si>
  <si>
    <t>579 rows were Claimed - unverified: no one had checked the code for them.</t>
  </si>
  <si>
    <t>All read against code: 239 Confirmed, 240 Partial, 116 Contradicted. 116 claimed mechanisms are not in the product; see MVP scope after review for the ones inside the pilot.</t>
  </si>
  <si>
    <t>Tests not linked</t>
  </si>
  <si>
    <t>Only 3 MVP tasks had a Test case ID.</t>
  </si>
  <si>
    <t>Tests were linked to MVP tasks by reading the test bodies; confidence is recorded in the notes. Tasks with no covering test stay empty.</t>
  </si>
  <si>
    <t>New tests</t>
  </si>
  <si>
    <t>No test existed for audit coverage per posting action, stock transfer and adjustment races, duplicate goods receipt, duplicate GST import, late payment callback or mandatory admin 2FA.</t>
  </si>
  <si>
    <t>Added tests/test_register_audit_coverage.py, test_register_race_gaps.py and test_register_integrity_gaps.py. Failing scenarios are strict xfail with a precise reason.</t>
  </si>
  <si>
    <t>Duplicates</t>
  </si>
  <si>
    <t>Same-wording tasks were only cross-referenced for 5 pairs.</t>
  </si>
  <si>
    <t>Proposals for every pair; nothing deleted.</t>
  </si>
  <si>
    <t>Review disposition</t>
  </si>
  <si>
    <t>Comments from the SMB OS gap plan. Accepted items are in the sheets that follow. Rejected items were not applied.</t>
  </si>
  <si>
    <t>Comment</t>
  </si>
  <si>
    <t>Why</t>
  </si>
  <si>
    <t>Freeze feature expansion</t>
  </si>
  <si>
    <t>Accepted</t>
  </si>
  <si>
    <t>No new feature tasks were added. The register stays at 770.</t>
  </si>
  <si>
    <t>OS layers RUN, CONTROL, GROW, and KERNEL</t>
  </si>
  <si>
    <t>Each task has an OS layer derived from its category.</t>
  </si>
  <si>
    <t>Business event, state, integrity, failure, concurrency, security, integration, SLA, and customer-evidence sheets</t>
  </si>
  <si>
    <t>The matrices exist. Their proof columns are Not verified or Not measured.</t>
  </si>
  <si>
    <t>Capability evidence register for Partial and Mechanism not found</t>
  </si>
  <si>
    <t>Built from the task rows. Open gaps stay open.</t>
  </si>
  <si>
    <t>OS readiness gates G1 to G5</t>
  </si>
  <si>
    <t>Defined on OS readiness. No task is marked OS ready.</t>
  </si>
  <si>
    <t>Extra priority dimensions</t>
  </si>
  <si>
    <t>Criticality, failure impact, compliance impact, and release gate sit beside Priority. Priority itself was not rewritten.</t>
  </si>
  <si>
    <t>Canonical role</t>
  </si>
  <si>
    <t>A rollup column. Persona / Scope is unchanged, so kirana, distributor, and medical context remain.</t>
  </si>
  <si>
    <t>Capability class for scope governance</t>
  </si>
  <si>
    <t>Core, vertical extension, differentiator, adjacent, or future. This is a label, not a roadmap decision.</t>
  </si>
  <si>
    <t>Replace the single validation status</t>
  </si>
  <si>
    <t>Rejected</t>
  </si>
  <si>
    <t>Validation Status stays as the author and review label. Evidence columns sit beside it. Replacing it would hide the earlier correction.</t>
  </si>
  <si>
    <t>Hide later work and merge cross-persona rows</t>
  </si>
  <si>
    <t>Later rows stay in the register. Founder view and Release gate separate them. Cross-persona rows were not merged.</t>
  </si>
  <si>
    <t>Fill owners, dates, and test results</t>
  </si>
  <si>
    <t>Accepted as blanks</t>
  </si>
  <si>
    <t>Owner, target date, estimate, and test columns exist. They stay blank until a person or a passing test fills them.</t>
  </si>
  <si>
    <t>Fill SLA actuals, P95, P99, and customer results</t>
  </si>
  <si>
    <t>Those figures were not measured. Illustrative numbers on the competitive sheet are not SLAs.</t>
  </si>
  <si>
    <t>Mark capabilities OS ready</t>
  </si>
  <si>
    <t>OS ready is No on every row until the gates have evidence.</t>
  </si>
  <si>
    <t>Implement the 10 missing mechanisms in this pass</t>
  </si>
  <si>
    <t>The plan also says to freeze features. The claims stay open in Capability evidence.</t>
  </si>
  <si>
    <t>Delete or merge the 770 tasks as duplicates</t>
  </si>
  <si>
    <t>Cross-persona rows are workflow steps with their own IDs. Merging them without a case-by-case review would drop traceability.</t>
  </si>
  <si>
    <t>Collapse owner personas into one role</t>
  </si>
  <si>
    <t>Canonical role groups them for counting. The operating context stays on the task.</t>
  </si>
  <si>
    <t>Treat customer and supplier masters as document state machines</t>
  </si>
  <si>
    <t>They are master records. Credit control is a rule, not a DRAFT/COMPLETED status.</t>
  </si>
  <si>
    <t>Fill owners, sprints, estimates</t>
  </si>
  <si>
    <t>These need a person's decision. The columns exist and are empty. Owner is Unassigned.</t>
  </si>
  <si>
    <t>Sequence the category flows (Flow step)</t>
  </si>
  <si>
    <t>Ordering 700 category tasks into steps would invent a process. Flows now carries a Flow type column that marks which flows are sequenced.</t>
  </si>
  <si>
    <t>Overwrite Priority with the re-tier</t>
  </si>
  <si>
    <t>Proposed priority sits beside Priority until the founder approves it.</t>
  </si>
  <si>
    <t>Fill SLA actuals and customer baselines</t>
  </si>
  <si>
    <t>Nothing was measured. Targets are labeled proposed.</t>
  </si>
  <si>
    <t>Mark audit hash chain as verified end to end</t>
  </si>
  <si>
    <t>One edge-case suite passed. Nightly sealing leaves a window, and coverage of every transaction type is not shown.</t>
  </si>
  <si>
    <t>Duplicate proposals</t>
  </si>
  <si>
    <t>Pairs of tasks with the same wording. MERGE means the same persona and the same words; SHARE_TEST means the same task for different personas. 23 further pairs differ by one meaningful word (for example sales vs purchase dashboard) and are intentionally kept distinct. Nothing was deleted: apply the merges by hand if you agree.</t>
  </si>
  <si>
    <t>Proposal</t>
  </si>
  <si>
    <t>Task A</t>
  </si>
  <si>
    <t>Task B</t>
  </si>
  <si>
    <t>Text A</t>
  </si>
  <si>
    <t>Text B</t>
  </si>
  <si>
    <t>Persona A</t>
  </si>
  <si>
    <t>Persona B</t>
  </si>
  <si>
    <t>Suggested action</t>
  </si>
  <si>
    <t>MERGE</t>
  </si>
  <si>
    <t>X-0299</t>
  </si>
  <si>
    <t>X-0436</t>
  </si>
  <si>
    <t>Duplicate invoice → duplicate detection</t>
  </si>
  <si>
    <t>Multiple / Cross-persona</t>
  </si>
  <si>
    <t>same wording and same persona</t>
  </si>
  <si>
    <t>Merge: keep X-0299, retire X-0436</t>
  </si>
  <si>
    <t>Approved: X-0436 retired as duplicate of X-0299 (row kept so links survive)</t>
  </si>
  <si>
    <t>SHARE_TEST</t>
  </si>
  <si>
    <t>P-0014</t>
  </si>
  <si>
    <t>P-0030</t>
  </si>
  <si>
    <t>Process a sales return</t>
  </si>
  <si>
    <t>Process sales returns</t>
  </si>
  <si>
    <t>Gully Vendor / Small Retailer</t>
  </si>
  <si>
    <t>Kirana Shop Owner</t>
  </si>
  <si>
    <t>same task for different personas; keep both rows, link one test</t>
  </si>
  <si>
    <t>Keep both rows, link one test to both</t>
  </si>
  <si>
    <t>Approved: keep both rows, one test linked to both</t>
  </si>
  <si>
    <t>P-0028</t>
  </si>
  <si>
    <t>P-0146</t>
  </si>
  <si>
    <t>Track supplier outstanding</t>
  </si>
  <si>
    <t>Purchase Manager</t>
  </si>
  <si>
    <t>P-0048</t>
  </si>
  <si>
    <t>P-0060</t>
  </si>
  <si>
    <t>Track supplier-wise purchases</t>
  </si>
  <si>
    <t>Track supplier purchases</t>
  </si>
  <si>
    <t>Medical Shop</t>
  </si>
  <si>
    <t>P-0057</t>
  </si>
  <si>
    <t>P-0137</t>
  </si>
  <si>
    <t>Track customer outstanding</t>
  </si>
  <si>
    <t>View customer outstanding</t>
  </si>
  <si>
    <t>Salesperson</t>
  </si>
  <si>
    <t>P-0072</t>
  </si>
  <si>
    <t>P-0153</t>
  </si>
  <si>
    <t>Track damaged stock</t>
  </si>
  <si>
    <t>Record damaged stock</t>
  </si>
  <si>
    <t>Single-Godown Distributor</t>
  </si>
  <si>
    <t>Inventory Manager</t>
  </si>
  <si>
    <t>P-0073</t>
  </si>
  <si>
    <t>P-0154</t>
  </si>
  <si>
    <t>Track returned stock</t>
  </si>
  <si>
    <t>Record returned stock</t>
  </si>
  <si>
    <t>P-0111</t>
  </si>
  <si>
    <t>X-0479</t>
  </si>
  <si>
    <t>Export accounting data</t>
  </si>
  <si>
    <t>Accountant / GST Operator</t>
  </si>
  <si>
    <t>OS architecture</t>
  </si>
  <si>
    <t>RUN operates the business. CONTROL keeps the books and the rules. GROW finds and keeps customers. KERNEL is identity, masters, and platform. Counts are formulas.</t>
  </si>
  <si>
    <t>What it covers</t>
  </si>
  <si>
    <t>RUN</t>
  </si>
  <si>
    <t>Sales, purchases, inventory, payments, workshop, manufacturing, delivery, project billing.</t>
  </si>
  <si>
    <t>CONTROL</t>
  </si>
  <si>
    <t>GST, receivables and payables, payroll dues, reports, period close, fixed assets, security and recovery.</t>
  </si>
  <si>
    <t>GROW</t>
  </si>
  <si>
    <t>CRM, campaigns, referrals, insurance distribution, customer intelligence.</t>
  </si>
  <si>
    <t>KERNEL</t>
  </si>
  <si>
    <t>Master data, integrations, and platform scopes that are not themselves a business flow.</t>
  </si>
  <si>
    <t>Kernel contents named in the plan</t>
  </si>
  <si>
    <t>Identity, master data, business events, document state, ledger, rules, workflow, audit, notifications, automation, and intelligence. This sheet names them. It does not certify that they behave as one kernel.</t>
  </si>
  <si>
    <t>Business event matrix</t>
  </si>
  <si>
    <t>State names below are the document enums in code. Downstream effects and reversals are not certified. Proven is No until a cross-domain check exists; Partly means a test exists that touches the event.</t>
  </si>
  <si>
    <t>Event</t>
  </si>
  <si>
    <t>State change in code</t>
  </si>
  <si>
    <t>Downstream effects expected</t>
  </si>
  <si>
    <t>Reversal in code</t>
  </si>
  <si>
    <t>Audit</t>
  </si>
  <si>
    <t>Proven</t>
  </si>
  <si>
    <t>Test reference</t>
  </si>
  <si>
    <t>Sale / sales invoice</t>
  </si>
  <si>
    <t>SalesInvoice DRAFT → COMPLETED or CANCELLED</t>
  </si>
  <si>
    <t>Stock, receivable, tax, and ledger</t>
  </si>
  <si>
    <t>CANCELLED</t>
  </si>
  <si>
    <t>Not verified</t>
  </si>
  <si>
    <t>Partly</t>
  </si>
  <si>
    <t>tests/test_double_submit_money_paths.py; tests/test_a2_posting_atomicity.py; tests/test_concurrency_races.py (numbering, amend, oversell). Test exists; not run in this review</t>
  </si>
  <si>
    <t>Purchase invoice</t>
  </si>
  <si>
    <t>PurchaseInvoice DRAFT → COMPLETED or CANCELLED</t>
  </si>
  <si>
    <t>Stock, payable, input tax, and ledger</t>
  </si>
  <si>
    <t>tests/test_double_submit_money_paths.py (purchase complete double click). Test exists; not run in this review</t>
  </si>
  <si>
    <t>Goods receipt</t>
  </si>
  <si>
    <t>GoodsReceipt DRAFT → COMPLETED or CANCELLED</t>
  </si>
  <si>
    <t>Stock on hand</t>
  </si>
  <si>
    <t>None identified in this review</t>
  </si>
  <si>
    <t>Sales order</t>
  </si>
  <si>
    <t>SalesOrder DRAFT → CONFIRMED → CONVERTED or CANCELLED</t>
  </si>
  <si>
    <t>Reservation, then a draft invoice</t>
  </si>
  <si>
    <t>Purchase order</t>
  </si>
  <si>
    <t>PurchaseOrder DRAFT → CONVERTED or CANCELLED</t>
  </si>
  <si>
    <t>A draft purchase invoice</t>
  </si>
  <si>
    <t>Customer receipt</t>
  </si>
  <si>
    <t>Receipt POSTED, REFUNDED, or VOIDED</t>
  </si>
  <si>
    <t>Receivable and bank or cash</t>
  </si>
  <si>
    <t>VOIDED or REFUNDED</t>
  </si>
  <si>
    <t>tests/test_double_submit_money_paths.py; tests/test_ws01_gateway_refund_integrity.py. Test exists; not run in this review</t>
  </si>
  <si>
    <t>Supplier payment</t>
  </si>
  <si>
    <t>Supplier payment POSTED or VOIDED</t>
  </si>
  <si>
    <t>Payable and bank or cash</t>
  </si>
  <si>
    <t>VOIDED</t>
  </si>
  <si>
    <t>tests/test_double_submit_money_paths.py (supplier payment key). Test exists; not run in this review</t>
  </si>
  <si>
    <t>Sales return</t>
  </si>
  <si>
    <t>SalesReturn DRAFT → COMPLETED or CANCELLED</t>
  </si>
  <si>
    <t>Stock and output tax</t>
  </si>
  <si>
    <t>tests/test_concurrency_races.py (over-return). Test exists; not run in this review</t>
  </si>
  <si>
    <t>Purchase return</t>
  </si>
  <si>
    <t>PurchaseReturn DRAFT → COMPLETED or CANCELLED</t>
  </si>
  <si>
    <t>Stock and input tax</t>
  </si>
  <si>
    <t>Sales credit note</t>
  </si>
  <si>
    <t>SalesCreditNote DRAFT → COMPLETED or CANCELLED</t>
  </si>
  <si>
    <t>Receivable and output tax</t>
  </si>
  <si>
    <t>Sales debit note</t>
  </si>
  <si>
    <t>SalesDebitNote DRAFT → COMPLETED or CANCELLED</t>
  </si>
  <si>
    <t>Receivable</t>
  </si>
  <si>
    <t>Purchase debit note</t>
  </si>
  <si>
    <t>PurchaseDebitNote DRAFT → COMPLETED or CANCELLED</t>
  </si>
  <si>
    <t>Payable and input tax</t>
  </si>
  <si>
    <t>Stock adjustment</t>
  </si>
  <si>
    <t>Stock movement, not a DRAFT/COMPLETED document</t>
  </si>
  <si>
    <t>On-hand quantity and value</t>
  </si>
  <si>
    <t>A reversing movement</t>
  </si>
  <si>
    <t>tests/edge/test_concurrency_sla.py (stock depletion). Test exists; not run in this review</t>
  </si>
  <si>
    <t>Stock transfer</t>
  </si>
  <si>
    <t>Transfer between warehouses</t>
  </si>
  <si>
    <t>Source and destination on-hand</t>
  </si>
  <si>
    <t>Cancel or reverse the transfer</t>
  </si>
  <si>
    <t>Journal</t>
  </si>
  <si>
    <t>JournalEntry exists. This matrix does not treat it as a document status machine.</t>
  </si>
  <si>
    <t>Ledger only</t>
  </si>
  <si>
    <t>A reversing journal</t>
  </si>
  <si>
    <t>tests/test_concurrency_races.py; tests/test_a2_posting_atomicity.py. Test exists; not run in this review</t>
  </si>
  <si>
    <t>Bank reconciliation</t>
  </si>
  <si>
    <t>BankReconSession OPEN or CLOSED</t>
  </si>
  <si>
    <t>Match of statement lines to ledger</t>
  </si>
  <si>
    <t>Session can stay open</t>
  </si>
  <si>
    <t>E-invoice generation</t>
  </si>
  <si>
    <t>SalesInvoice einvoice_status NONE, READY, QUEUED, GENERATED, MANUAL_IRN, FAILED or CANCELLED</t>
  </si>
  <si>
    <t>IRN, ack number and QR on the invoice</t>
  </si>
  <si>
    <t>tests/test_einvoice_eway.py. Test exists; not run in this review</t>
  </si>
  <si>
    <t>E-way bill generation</t>
  </si>
  <si>
    <t>SalesInvoice eway_status NONE, READY, QUEUED, GENERATED, MANUAL_EWB, FAILED or CANCELLED</t>
  </si>
  <si>
    <t>E-way number on the invoice</t>
  </si>
  <si>
    <t>Gateway payment</t>
  </si>
  <si>
    <t>GatewayPayment CREATED, CAPTURED, CAPTURED_PENDING_BOOKS, FAILED, REFUNDED or PARTIALLY_REFUNDED</t>
  </si>
  <si>
    <t>Receipt and bank or cash once books are posted</t>
  </si>
  <si>
    <t>REFUNDED or PARTIALLY_REFUNDED</t>
  </si>
  <si>
    <t>tests/test_ws01_gateway_refund_integrity.py. Test exists; not run in this review</t>
  </si>
  <si>
    <t>Gateway refund</t>
  </si>
  <si>
    <t>GatewayRefundOutbox PENDING, IN_PROGRESS, SUCCEEDED or FAILED</t>
  </si>
  <si>
    <t>Books unwound first, then provider refund retried</t>
  </si>
  <si>
    <t>Retry from the outbox</t>
  </si>
  <si>
    <t>Subscription billing</t>
  </si>
  <si>
    <t>Subscription pending, trial, active, past_due or suspended</t>
  </si>
  <si>
    <t>Plan access, dunning, GST invoice</t>
  </si>
  <si>
    <t>Reactivate after payment</t>
  </si>
  <si>
    <t>tests/test_saas_dunning_and_recon.py; tests/test_a07_dunning.py. Test exists; not run in this review</t>
  </si>
  <si>
    <t>Pay run</t>
  </si>
  <si>
    <t>PayRun DRAFT or COMPLETED</t>
  </si>
  <si>
    <t>Payslips and payroll liabilities</t>
  </si>
  <si>
    <t>Not in code</t>
  </si>
  <si>
    <t>State machine matrix</t>
  </si>
  <si>
    <t>Statuses are copied from the model enums. Allowed, forbidden, rollback, and automated transition tests are not verified in this register.</t>
  </si>
  <si>
    <t>Entity</t>
  </si>
  <si>
    <t>Statuses in code</t>
  </si>
  <si>
    <t>Actor</t>
  </si>
  <si>
    <t>Transition tests</t>
  </si>
  <si>
    <t>Rollback</t>
  </si>
  <si>
    <t>Sales invoice</t>
  </si>
  <si>
    <t>DRAFT, COMPLETED, CANCELLED</t>
  </si>
  <si>
    <t>Billing clerk</t>
  </si>
  <si>
    <t>DRAFT, CONFIRMED, CONVERTED, CANCELLED</t>
  </si>
  <si>
    <t>Quotation</t>
  </si>
  <si>
    <t>DRAFT, CONVERTED, CANCELLED</t>
  </si>
  <si>
    <t>Purchase manager</t>
  </si>
  <si>
    <t>Stores</t>
  </si>
  <si>
    <t>POSTED, REFUNDED, VOIDED</t>
  </si>
  <si>
    <t>Cashier</t>
  </si>
  <si>
    <t>POSTED, VOIDED</t>
  </si>
  <si>
    <t>Accountant</t>
  </si>
  <si>
    <t>Credit and debit notes</t>
  </si>
  <si>
    <t>DRAFT, COMPLETED, CANCELLED on the sales and purchase note models</t>
  </si>
  <si>
    <t>Delivery challan</t>
  </si>
  <si>
    <t>Dispatcher</t>
  </si>
  <si>
    <t>Work order</t>
  </si>
  <si>
    <t>DRAFT, RELEASED, COMPLETED, CANCELLED</t>
  </si>
  <si>
    <t>Production supervisor</t>
  </si>
  <si>
    <t>Job card</t>
  </si>
  <si>
    <t>DRAFT, IN_PROGRESS, INVOICED, CANCELLED</t>
  </si>
  <si>
    <t>Service advisor</t>
  </si>
  <si>
    <t>DRAFT, COMPLETED</t>
  </si>
  <si>
    <t>Payroll clerk</t>
  </si>
  <si>
    <t>Stock balance</t>
  </si>
  <si>
    <t>Not a status enum. on_hand and reserved; available is on_hand minus reserved.</t>
  </si>
  <si>
    <t>Customer and supplier</t>
  </si>
  <si>
    <t>Master records. Not a document status machine.</t>
  </si>
  <si>
    <t>Not applicable</t>
  </si>
  <si>
    <t>GST e-invoice and e-way bill</t>
  </si>
  <si>
    <t>Full status lists are on the next two rows.</t>
  </si>
  <si>
    <t>E-invoice status</t>
  </si>
  <si>
    <t>NONE, READY, QUEUED, GENERATED, MANUAL_IRN, FAILED, CANCELLED</t>
  </si>
  <si>
    <t>tests/test_einvoice_eway.py; tests/errors/test_webhook_and_async_contracts.py (async submit failure becomes FAILED). Test exists; not run in this review</t>
  </si>
  <si>
    <t>E-way bill status</t>
  </si>
  <si>
    <t>NONE, READY, QUEUED, GENERATED, MANUAL_EWB, FAILED, CANCELLED</t>
  </si>
  <si>
    <t>CREATED, CAPTURED, CAPTURED_PENDING_BOOKS, FAILED, REFUNDED, PARTIALLY_REFUNDED</t>
  </si>
  <si>
    <t>System</t>
  </si>
  <si>
    <t>Gateway refund outbox</t>
  </si>
  <si>
    <t>PENDING, IN_PROGRESS, SUCCEEDED, FAILED</t>
  </si>
  <si>
    <t>Subscription</t>
  </si>
  <si>
    <t>pending, trial, active, past_due, suspended</t>
  </si>
  <si>
    <t>Platform admin</t>
  </si>
  <si>
    <t>tests/test_saas_dunning_and_recon.py. Test exists; not run in this review</t>
  </si>
  <si>
    <t>Billing dead-letter event</t>
  </si>
  <si>
    <t>pending, replayed, discarded</t>
  </si>
  <si>
    <t>tests/test_chaos_resilience.py (five failed replays discard). Test exists; not run in this review</t>
  </si>
  <si>
    <t>Account Aggregator consent</t>
  </si>
  <si>
    <t>PENDING, ACTIVE, REVOKED, EXPIRED</t>
  </si>
  <si>
    <t>Employee</t>
  </si>
  <si>
    <t>ACTIVE, INACTIVE</t>
  </si>
  <si>
    <t>POS hold and recall</t>
  </si>
  <si>
    <t>No server-side hold status established in this review. UX-0582 is Partial.</t>
  </si>
  <si>
    <t>Business integrity matrix</t>
  </si>
  <si>
    <t>A trial-balance report exists and exposes trial_balance_balanced. That is not a gate on every transaction. No invariant below is marked proven.</t>
  </si>
  <si>
    <t>Domain</t>
  </si>
  <si>
    <t>Invariant</t>
  </si>
  <si>
    <t>Known handle in code</t>
  </si>
  <si>
    <t>Gate on every transaction</t>
  </si>
  <si>
    <t>Financial</t>
  </si>
  <si>
    <t>Debits equal credits</t>
  </si>
  <si>
    <t>accounting.reports.trial_balance; core/management/commands/check_invariants.py (a command, not a gate)</t>
  </si>
  <si>
    <t>tests/test_a2_posting_atomicity.py (unbalanced posting rejected). Test exists; not run in this review</t>
  </si>
  <si>
    <t>Customer balance equals invoices minus receipts minus credits</t>
  </si>
  <si>
    <t>Receipt and SalesInvoice</t>
  </si>
  <si>
    <t>Supplier balance equals purchases minus payments minus debits</t>
  </si>
  <si>
    <t>Supplier payment and PurchaseInvoice</t>
  </si>
  <si>
    <t>Receivable total ties to open invoices</t>
  </si>
  <si>
    <t>Not established as a gate</t>
  </si>
  <si>
    <t>Payable total ties to open purchases</t>
  </si>
  <si>
    <t>Opening plus receipts minus issues plus adjustments equals closing</t>
  </si>
  <si>
    <t>Stock movements</t>
  </si>
  <si>
    <t>On-hand does not go negative unless the tenant allows it</t>
  </si>
  <si>
    <t>Negative-stock policy is described on existing tasks</t>
  </si>
  <si>
    <t>Reserved plus available equals on-hand</t>
  </si>
  <si>
    <t>StockBalance.reserved; available is on_hand minus reserved</t>
  </si>
  <si>
    <t>Batch and serial quantities tie to the balance</t>
  </si>
  <si>
    <t>Batch and serial models exist</t>
  </si>
  <si>
    <t>Warehouse totals tie to the company total</t>
  </si>
  <si>
    <t>Tax</t>
  </si>
  <si>
    <t>Output tax less input tax in the ledger ties to the GSTR-1 and 3B figures</t>
  </si>
  <si>
    <t>accounting.reports and the GST return builders</t>
  </si>
  <si>
    <t>Tax on every completed invoice equals the sum of its line taxes after rounding</t>
  </si>
  <si>
    <t>core/services/tax_engine</t>
  </si>
  <si>
    <t>TDS and TCS ledger balances equal the amounts deducted or collected on documents</t>
  </si>
  <si>
    <t>Payroll</t>
  </si>
  <si>
    <t>Net pay equals gross less deductions for every payslip, and the pay run total equals the payslip sum</t>
  </si>
  <si>
    <t>payroll.PayRun and PaySlip</t>
  </si>
  <si>
    <t>Fixed assets</t>
  </si>
  <si>
    <t>Depreciation schedule total ties to the accumulated depreciation ledger</t>
  </si>
  <si>
    <t>Finance and fixed-asset tasks</t>
  </si>
  <si>
    <t>Document numbering</t>
  </si>
  <si>
    <t>No two documents of one type share a number in a company</t>
  </si>
  <si>
    <t>Document number service</t>
  </si>
  <si>
    <t>tests/test_concurrency_races.py (invoice numbering, no duplicate). Postgres-only; not run on SQLite (database is locked)</t>
  </si>
  <si>
    <t>Failure and recovery matrix</t>
  </si>
  <si>
    <t>Refund posting uses an idempotency key on the gateway refund outbox. That single key does not prove the cases below.</t>
  </si>
  <si>
    <t>Case</t>
  </si>
  <si>
    <t>What must remain true</t>
  </si>
  <si>
    <t>Evidence</t>
  </si>
  <si>
    <t>Create, post, update, cancel, return, reverse</t>
  </si>
  <si>
    <t>Cancel and reverse put stock, tax, and ledger back</t>
  </si>
  <si>
    <t>Retry and duplicate submit</t>
  </si>
  <si>
    <t>A second submit does not post twice</t>
  </si>
  <si>
    <t>uniq_refund_outbox_per_idempotency_key covers one refund path only</t>
  </si>
  <si>
    <t>tests/test_double_submit_money_paths.py; tests/test_idempotency_fingerprint.py; tests/test_ws01_gateway_refund_integrity.py. Test exists; not run in this review</t>
  </si>
  <si>
    <t>Inventory updates and the ledger write fails</t>
  </si>
  <si>
    <t>Neither side is left posted alone</t>
  </si>
  <si>
    <t>tests/test_chaos_resilience.py (crash during stock post rolls back); tests/test_a2_posting_atomicity.py. Test exists; not run in this review</t>
  </si>
  <si>
    <t>Payment succeeds and the callback is late</t>
  </si>
  <si>
    <t>The receipt is not doubled when the callback arrives</t>
  </si>
  <si>
    <t>None identified in this review. CAPTURED_PENDING_BOOKS status exists in code.</t>
  </si>
  <si>
    <t>GST portal fails after the document is saved</t>
  </si>
  <si>
    <t>The local document shows the portal failure</t>
  </si>
  <si>
    <t>tests/errors/test_webhook_and_async_contracts.py (async e-invoice failure becomes FAILED). Test exists; not run in this review</t>
  </si>
  <si>
    <t>Webhook delivered twice</t>
  </si>
  <si>
    <t>The second delivery is a no-op</t>
  </si>
  <si>
    <t>tests/errors/test_webhook_and_async_contracts.py (billing webhook replay dedup); tests/test_chaos_resilience.py. Test exists; not run in this review</t>
  </si>
  <si>
    <t>Browser closes during checkout</t>
  </si>
  <si>
    <t>The draft or outbox can be recovered</t>
  </si>
  <si>
    <t>IndexedDB invoice draft cache exists. Recovery of a half-posted bill is not verified</t>
  </si>
  <si>
    <t>None identified on the server side. IndexedDB draft cache exists in the web app.</t>
  </si>
  <si>
    <t>Background job stops halfway</t>
  </si>
  <si>
    <t>The job can be retried without a second posting</t>
  </si>
  <si>
    <t>tests/test_chaos_resilience.py (stale queued PDF requeued, replay attempts counted). Test exists; not run in this review</t>
  </si>
  <si>
    <t>Concurrency matrix</t>
  </si>
  <si>
    <t>Some stock paths take a row lock. A test that exists is not a pass: these tests need Postgres and did not run on SQLite in this review. Partly means a test exists, No means none was identified.</t>
  </si>
  <si>
    <t>Race</t>
  </si>
  <si>
    <t>Harm if lost</t>
  </si>
  <si>
    <t>Specific harm if lost</t>
  </si>
  <si>
    <t>Expected outcome</t>
  </si>
  <si>
    <t>Runs in</t>
  </si>
  <si>
    <t>Two users sell the last unit</t>
  </si>
  <si>
    <t>Duplicate document or a balance that does not tie</t>
  </si>
  <si>
    <t>tests/test_concurrency_races.py (stock oversell; sales complete oversell); tests/edge/test_concurrency_sla.py (depletion never negative)</t>
  </si>
  <si>
    <t>Stock goes negative or two invoices ship one unit</t>
  </si>
  <si>
    <t>One invoice completes, the other is refused for stock</t>
  </si>
  <si>
    <t>Postgres-only; not run on SQLite (database is locked)</t>
  </si>
  <si>
    <t>Two users edit the same invoice</t>
  </si>
  <si>
    <t>tests/test_concurrency_races.py (same invoice amend, one wins)</t>
  </si>
  <si>
    <t>Lost update: one user's edit silently overwrites the other</t>
  </si>
  <si>
    <t>One amend wins, the other gets a conflict on amend_revision</t>
  </si>
  <si>
    <t>Two users approve the same document</t>
  </si>
  <si>
    <t>tests/test_concurrency_races.py (order confirms share one credit limit; job convert creates one invoice)</t>
  </si>
  <si>
    <t>Document converts or confirms twice, credit limit exceeded</t>
  </si>
  <si>
    <t>One confirm succeeds, the other is refused</t>
  </si>
  <si>
    <t>Two stock transfers of the same quantity</t>
  </si>
  <si>
    <t>Source warehouse goes negative or the destination is credited twice</t>
  </si>
  <si>
    <t>Second transfer is refused when stock is short</t>
  </si>
  <si>
    <t>No test</t>
  </si>
  <si>
    <t>Duplicate payment submit</t>
  </si>
  <si>
    <t>tests/test_concurrency_races.py (payment over-allocation); tests/test_double_submit_money_paths.py</t>
  </si>
  <si>
    <t>Receipt posted twice or invoice over-allocated</t>
  </si>
  <si>
    <t>Same key returns the first receipt. Allocation never exceeds the invoice</t>
  </si>
  <si>
    <t>Duplicate webhook</t>
  </si>
  <si>
    <t>tests/errors/test_webhook_and_async_contracts.py (replay dedup); tests/test_chaos_resilience.py (provider retry posts once)</t>
  </si>
  <si>
    <t>Payment or subscription event applied twice</t>
  </si>
  <si>
    <t>Second delivery is a no-op</t>
  </si>
  <si>
    <t>Duplicate GST import</t>
  </si>
  <si>
    <t>Same GSTR-2B rows imported twice and ITC doubled</t>
  </si>
  <si>
    <t>Second import adds no rows</t>
  </si>
  <si>
    <t>Two goods receipts for the same order</t>
  </si>
  <si>
    <t>Stock received twice against one purchase order</t>
  </si>
  <si>
    <t>Second receipt is refused or limited to the open quantity</t>
  </si>
  <si>
    <t>Two edits of the same customer</t>
  </si>
  <si>
    <t>Lost update on credit limit or GSTIN</t>
  </si>
  <si>
    <t>Second save is refused or merges without losing fields</t>
  </si>
  <si>
    <t>Two stock adjustments of the same item</t>
  </si>
  <si>
    <t>On-hand differs from the sum of movements</t>
  </si>
  <si>
    <t>Both adjustments apply in sequence and the balance equals the movements</t>
  </si>
  <si>
    <t>tests/test_concurrency_races.py covers oversell only. No adjustment race test identified</t>
  </si>
  <si>
    <t>Security assurance matrix</t>
  </si>
  <si>
    <t>Row-level security policies and the app.company_id setting exist. A control is not assured until the evidence column says so. TOTP now exists but is opt-in.</t>
  </si>
  <si>
    <t>Control</t>
  </si>
  <si>
    <t>What was found</t>
  </si>
  <si>
    <t>Assured</t>
  </si>
  <si>
    <t>Tenant isolation</t>
  </si>
  <si>
    <t>Postgres RLS and app.company_id</t>
  </si>
  <si>
    <t>Policies exist. Isolation tests exist in tests/tenancy (test_endpoint_isolation.py, test_route_isolation_matrix.py, test_schema_constraints.py). Test exists; not run in this review</t>
  </si>
  <si>
    <t>RBAC</t>
  </si>
  <si>
    <t>Role permissions exist</t>
  </si>
  <si>
    <t>Object-level authorization</t>
  </si>
  <si>
    <t>Not re-tested</t>
  </si>
  <si>
    <t>Session and 2FA</t>
  </si>
  <si>
    <t>TOTP exists (accounts/mfa.py), opt-in per user. Not enforced for admin roles.</t>
  </si>
  <si>
    <t>tests/test_mfa.py and tests/test_mfa_edge_cases.py passed 2026-10-04. SEC-0624 is Partial.</t>
  </si>
  <si>
    <t>Audit trail</t>
  </si>
  <si>
    <t>Append-only guard and hash chain exist.</t>
  </si>
  <si>
    <t>tests/test_audit_append_only.py exists (not re-run). Coverage of every transaction type not verified. P-0115, X-0432 and P-0507 remain Partial.</t>
  </si>
  <si>
    <t>Hash chain</t>
  </si>
  <si>
    <t>core/services/audit_chain.py seals and verifies a sha256 chain per company. Nightly batch.</t>
  </si>
  <si>
    <t>tests/test_audit_chain_edge_cases.py passed 2026-10-04. Events after the last seal are not covered. S-0579 is Code Complete &amp; Verified.</t>
  </si>
  <si>
    <t>Export permission</t>
  </si>
  <si>
    <t>Rate limit</t>
  </si>
  <si>
    <t>Not re-tested as a release gate</t>
  </si>
  <si>
    <t>Injection resistance</t>
  </si>
  <si>
    <t>Sensitive-data masking</t>
  </si>
  <si>
    <t>Shift+P privacy mask was not found</t>
  </si>
  <si>
    <t>UX-0591 remains Mechanism not found</t>
  </si>
  <si>
    <t>Backup security</t>
  </si>
  <si>
    <t>A shipped PITR control was not confirmed</t>
  </si>
  <si>
    <t>tests/test_backup_scripts.py and test_backup_scripts_extra.py exist. Test exists; not run in this review. PITR still not confirmed.</t>
  </si>
  <si>
    <t>Integration reliability matrix</t>
  </si>
  <si>
    <t>Each integration must survive timeout, retry, duplicate, replay, out-of-order, partial, invalid, and unavailable responses. None of those cases are marked proven.</t>
  </si>
  <si>
    <t>Integration</t>
  </si>
  <si>
    <t>Idempotent</t>
  </si>
  <si>
    <t>Observable</t>
  </si>
  <si>
    <t>Recoverable</t>
  </si>
  <si>
    <t>Key failure case to prove</t>
  </si>
  <si>
    <t>GST portal</t>
  </si>
  <si>
    <t>Portal down after the document is saved</t>
  </si>
  <si>
    <t>Unassigned</t>
  </si>
  <si>
    <t>Razorpay</t>
  </si>
  <si>
    <t>Late or duplicate callback</t>
  </si>
  <si>
    <t>tests/test_ws01_gateway_refund_integrity.py; tests/errors/test_webhook_and_async_contracts.py. Test exists; not run in this review</t>
  </si>
  <si>
    <t>WhatsApp</t>
  </si>
  <si>
    <t>Provider outage or template rejection</t>
  </si>
  <si>
    <t>tests/test_a06_whatsapp.py; tests/test_chaos_resilience.py (cloud outage). Test exists; not run in this review</t>
  </si>
  <si>
    <t>SMS</t>
  </si>
  <si>
    <t>Delivery failure with no retry</t>
  </si>
  <si>
    <t>Email</t>
  </si>
  <si>
    <t>Bounce or transient send failure</t>
  </si>
  <si>
    <t>Tally</t>
  </si>
  <si>
    <t>Same file imported twice</t>
  </si>
  <si>
    <t>tests/test_phase7_tally.py. Test exists; not run in this review</t>
  </si>
  <si>
    <t>Banking and account aggregator</t>
  </si>
  <si>
    <t>Consent expired or revoked mid-sync</t>
  </si>
  <si>
    <t>E-invoice</t>
  </si>
  <si>
    <t>Retry creates a second IRN request</t>
  </si>
  <si>
    <t>E-way bill</t>
  </si>
  <si>
    <t>Bill expires or cancels after dispatch</t>
  </si>
  <si>
    <t>Inbound webhooks</t>
  </si>
  <si>
    <t>Bad signature or replay</t>
  </si>
  <si>
    <t>tests/errors/test_webhook_and_async_contracts.py; tests/errors/test_webhook_enumeration.py. Test exists; not run in this review</t>
  </si>
  <si>
    <t>Performance SLA matrix</t>
  </si>
  <si>
    <t>Target, actual, P95 and P99 are blank on purpose. The proposed targets are a starting point for the founder, not measurements. Seed a large tenant with seed_load_tenant to run them.</t>
  </si>
  <si>
    <t>Scenario</t>
  </si>
  <si>
    <t>Dataset size</t>
  </si>
  <si>
    <t>Concurrent users</t>
  </si>
  <si>
    <t>Target</t>
  </si>
  <si>
    <t>Actual</t>
  </si>
  <si>
    <t>P95</t>
  </si>
  <si>
    <t>P99</t>
  </si>
  <si>
    <t>Pass or fail</t>
  </si>
  <si>
    <t>Proposed target (not validated)</t>
  </si>
  <si>
    <t>How to measure</t>
  </si>
  <si>
    <t>Login</t>
  </si>
  <si>
    <t>Not measured</t>
  </si>
  <si>
    <t>p95 under 1 s</t>
  </si>
  <si>
    <t>Timed POST to the login endpoint under 20 concurrent users</t>
  </si>
  <si>
    <t>Dashboard</t>
  </si>
  <si>
    <t>p95 under 2 s</t>
  </si>
  <si>
    <t>Timed dashboard API on the seeded large tenant</t>
  </si>
  <si>
    <t>Search</t>
  </si>
  <si>
    <t>p95 under 500 ms</t>
  </si>
  <si>
    <t>Timed product and customer search on 50,000 items</t>
  </si>
  <si>
    <t>Invoice creation</t>
  </si>
  <si>
    <t>Timed invoice create and complete API</t>
  </si>
  <si>
    <t>POS checkout</t>
  </si>
  <si>
    <t>p95 under 2 s end to end</t>
  </si>
  <si>
    <t>Browser timing from tender to receipt</t>
  </si>
  <si>
    <t>Stock update</t>
  </si>
  <si>
    <t>Timed stock adjustment API</t>
  </si>
  <si>
    <t>Purchase posting</t>
  </si>
  <si>
    <t>Timed purchase invoice complete API</t>
  </si>
  <si>
    <t>Payment posting</t>
  </si>
  <si>
    <t>Timed receipt create API</t>
  </si>
  <si>
    <t>GST import</t>
  </si>
  <si>
    <t>1,000 rows in under 60 s</t>
  </si>
  <si>
    <t>Timed GSTR-2B import on a fixture</t>
  </si>
  <si>
    <t>Report generation</t>
  </si>
  <si>
    <t>p95 under 5 s on 100,000 documents</t>
  </si>
  <si>
    <t>Timed reports on the large tenant (tests/test_qos0003_large_tenant_reports.py)</t>
  </si>
  <si>
    <t>Bulk import or export</t>
  </si>
  <si>
    <t>10,000 rows in under 5 min</t>
  </si>
  <si>
    <t>Timed import on a fixture</t>
  </si>
  <si>
    <t>API response</t>
  </si>
  <si>
    <t>p95 under 800 ms across read endpoints</t>
  </si>
  <si>
    <t>Aggregate from request logs or a load run</t>
  </si>
  <si>
    <t>Background job</t>
  </si>
  <si>
    <t>Queue wait under 60 s at p95</t>
  </si>
  <si>
    <t>Task enqueue-to-start time from the worker log</t>
  </si>
  <si>
    <t>Customer evidence matrix</t>
  </si>
  <si>
    <t>These are hypotheses. Invoice timestamps, debtor days, and ticket counts are the sources to instrument. Baseline, experiment, and result stay empty until a pilot measures them.</t>
  </si>
  <si>
    <t>Hypothesis</t>
  </si>
  <si>
    <t>Experiment</t>
  </si>
  <si>
    <t>Measurement</t>
  </si>
  <si>
    <t>Result</t>
  </si>
  <si>
    <t>Data source</t>
  </si>
  <si>
    <t>Pilot owner</t>
  </si>
  <si>
    <t>Invoice creation time falls</t>
  </si>
  <si>
    <t>SalesInvoice created_at to completed_at</t>
  </si>
  <si>
    <t>Reconciliation time falls</t>
  </si>
  <si>
    <t>BankReconSession open to closed duration</t>
  </si>
  <si>
    <t>Collection cycle shortens</t>
  </si>
  <si>
    <t>Invoice date to receipt date, debtor days report</t>
  </si>
  <si>
    <t>Stock accuracy rises</t>
  </si>
  <si>
    <t>Stock count variance from stock adjustments</t>
  </si>
  <si>
    <t>Dead stock falls</t>
  </si>
  <si>
    <t>Dead stock report value month over month</t>
  </si>
  <si>
    <t>GST reconciliation effort falls</t>
  </si>
  <si>
    <t>IMS match rate and time to file</t>
  </si>
  <si>
    <t>User error rate falls</t>
  </si>
  <si>
    <t>Cancelled, amended and voided document rate</t>
  </si>
  <si>
    <t>Support tickets fall</t>
  </si>
  <si>
    <t>Support ticket count per company per month</t>
  </si>
  <si>
    <t>Repeat usage rises</t>
  </si>
  <si>
    <t>Weekly active users from telemetry (insights/telemetry.py)</t>
  </si>
  <si>
    <t>Customer retention rises</t>
  </si>
  <si>
    <t>Active companies by month</t>
  </si>
  <si>
    <t>Capability evidence register</t>
  </si>
  <si>
    <t>Open claims from the task register. Action is to keep the corrected label. They are not relabeled as supported, and they are not scheduled as new features by this sheet.</t>
  </si>
  <si>
    <t>Validation status</t>
  </si>
  <si>
    <t>Code evidence</t>
  </si>
  <si>
    <t>Action</t>
  </si>
  <si>
    <t>Found: reporting/ims.py Section 16(4) clock and alert. tests/test_b03_ims.py passed 2026-10-04. No ITC exclusion engine.</t>
  </si>
  <si>
    <t>Decide whether an exclusion engine is needed before pilot. See P0 gap decisions.</t>
  </si>
  <si>
    <t>Section 206AB / 206CCA active compliance verification via Income Tax Department PAN utility</t>
  </si>
  <si>
    <t>Keep it as not found. Do not implement it under the feature freeze.</t>
  </si>
  <si>
    <t>Keep the corrected note. Do not mark it supported.</t>
  </si>
  <si>
    <t>Orphaned inventory allocation release worker on expired cart sessions</t>
  </si>
  <si>
    <t>Threshold-based anomaly detector for unusual cash discounts or abnormal bill amounts</t>
  </si>
  <si>
    <t>Tamper-evident cryptographic hash chaining on audit trail activity records</t>
  </si>
  <si>
    <t>Found: core/services/audit_chain.py. tests/test_audit_chain_edge_cases.py passed 2026-10-04.</t>
  </si>
  <si>
    <t>Confirm the nightly seal job is scheduled in production, then close.</t>
  </si>
  <si>
    <t>Found: accounts/mfa.py. tests/test_mfa.py passed 2026-10-04. Opt-in, not enforced for admins.</t>
  </si>
  <si>
    <t>Decide on mandatory 2FA for admin roles. See P0 gap decisions.</t>
  </si>
  <si>
    <t>Full keyboard-only hotkey navigation across POS rapid checkout</t>
  </si>
  <si>
    <t>Multi-cart hold and recall tabs for interrupted counter checkout</t>
  </si>
  <si>
    <t>Global omnibar quick-search (Ctrl+K / Cmd+K) across commands, customers, and invoices</t>
  </si>
  <si>
    <t>Visual warehouse shelf/rack visual locator badge on stock search</t>
  </si>
  <si>
    <t>Deterministic progress bar with estimated time remaining on bulk CSV imports</t>
  </si>
  <si>
    <t>One-click 'Privacy Mask' toggle hiding rupee figures from bystander view</t>
  </si>
  <si>
    <t>Apply higher TDS/TCS penalty rates (5%) for non-filers under Section 206AB / Section 206CCA</t>
  </si>
  <si>
    <t>OS readiness gate</t>
  </si>
  <si>
    <t>A task is OS ready only when every applicable gate has evidence. The register does not award that status. The count below should stay at zero until it does.</t>
  </si>
  <si>
    <t>Gate</t>
  </si>
  <si>
    <t>Tasks passed</t>
  </si>
  <si>
    <t>G1 Functional</t>
  </si>
  <si>
    <t>Can the intended user finish the task?</t>
  </si>
  <si>
    <t>Not entered</t>
  </si>
  <si>
    <t>G2 Business integrity</t>
  </si>
  <si>
    <t>Are the downstream stock, tax, and ledger effects right?</t>
  </si>
  <si>
    <t>G3 Resilience and security</t>
  </si>
  <si>
    <t>Does it survive failure, races, and a user without permission?</t>
  </si>
  <si>
    <t>G4 User validation</t>
  </si>
  <si>
    <t>Has the SMB persona completed the workflow?</t>
  </si>
  <si>
    <t>G5 Business outcome</t>
  </si>
  <si>
    <t>Is there a measured customer result?</t>
  </si>
  <si>
    <t>Tasks still not OS ready</t>
  </si>
  <si>
    <t>BizBoard task register - coverage dashboard</t>
  </si>
  <si>
    <t>Live counts use formulas on Task Register. The snapshot on How to read is the figure set from this review.</t>
  </si>
  <si>
    <t>Register size</t>
  </si>
  <si>
    <t>Scope class</t>
  </si>
  <si>
    <t>Operational role</t>
  </si>
  <si>
    <t>Named role</t>
  </si>
  <si>
    <t>Growth role</t>
  </si>
  <si>
    <t>Cross-persona</t>
  </si>
  <si>
    <t>Platform or theme scope</t>
  </si>
  <si>
    <t>System engine</t>
  </si>
  <si>
    <t>Validated (Supported) is the author's claim. In product means the flow step exists in a module. Neither status is a full functional test.</t>
  </si>
  <si>
    <t>Task type</t>
  </si>
  <si>
    <t>P - persona task</t>
  </si>
  <si>
    <t>X - cross-persona workflow</t>
  </si>
  <si>
    <t>G-OS - growth and service</t>
  </si>
  <si>
    <t>S - system engine</t>
  </si>
  <si>
    <t>UX - ergonomics</t>
  </si>
  <si>
    <t>C - statutory control</t>
  </si>
  <si>
    <t>Category</t>
  </si>
  <si>
    <t>D - differentiation</t>
  </si>
  <si>
    <t>GST / Tax / Compliance</t>
  </si>
  <si>
    <t>SEC - security</t>
  </si>
  <si>
    <t>Security / Exception / Recovery</t>
  </si>
  <si>
    <t>R - reliability</t>
  </si>
  <si>
    <t>Inventory Lifecycle</t>
  </si>
  <si>
    <t>I - hardware and integrations</t>
  </si>
  <si>
    <t>Reporting &amp; Business Intelligence</t>
  </si>
  <si>
    <t>SaaS - tenancy and subscription</t>
  </si>
  <si>
    <t>Customer-to-Cash</t>
  </si>
  <si>
    <t>Receivables &amp; Payables</t>
  </si>
  <si>
    <t>Procure-to-Pay</t>
  </si>
  <si>
    <t>Import / Export / Period Close</t>
  </si>
  <si>
    <t>Payments &amp; Reconciliation</t>
  </si>
  <si>
    <t>Master Data &amp; Authorization</t>
  </si>
  <si>
    <t>Multi-Godown / Multi-Store</t>
  </si>
  <si>
    <t>Communication &amp; Integrations</t>
  </si>
  <si>
    <t>Returns / Complaints / After-Sales</t>
  </si>
  <si>
    <t>Sales / CRM / Customer Lifecycle</t>
  </si>
  <si>
    <t>Operations, Fleet &amp; Delivery</t>
  </si>
  <si>
    <t>Insurance Distribution</t>
  </si>
  <si>
    <t>Payroll &amp; Statutory Dues</t>
  </si>
  <si>
    <t>Finance &amp; Fixed Assets</t>
  </si>
  <si>
    <t>Workshop Job</t>
  </si>
  <si>
    <t>Project Billing</t>
  </si>
  <si>
    <t>Growth OS - Campaigns &amp; Marketing</t>
  </si>
  <si>
    <t>Growth OS - Lead Ingestion &amp; Pipeline</t>
  </si>
  <si>
    <t>Growth OS - Opportunity Management</t>
  </si>
  <si>
    <t>Growth OS - Referral &amp; Advocate Engine</t>
  </si>
  <si>
    <t>Growth OS - Service Contracts &amp; AMC</t>
  </si>
  <si>
    <t>Growth OS - Customer Care &amp; Dispute Loop</t>
  </si>
  <si>
    <t>Manufacturing</t>
  </si>
  <si>
    <t>Growth OS - Customer Intelligence</t>
  </si>
  <si>
    <t>Priority re-tier</t>
  </si>
  <si>
    <t>Proposed priority follows Release gate so there is one rule, not two. P0 stays P0 and is the MVP. A P1 that is Core and in RUN or CONTROL is Pilot and proposed P1. Any other P1 is Later and proposed P2. P2 and P3 are unchanged. Priority itself is unchanged until the founder signs.</t>
  </si>
  <si>
    <t>Current</t>
  </si>
  <si>
    <t>Proposed</t>
  </si>
  <si>
    <t>Of which Priority P1</t>
  </si>
  <si>
    <t>Task Type</t>
  </si>
  <si>
    <t>Persona / Scope</t>
  </si>
  <si>
    <t>Task / Business Action</t>
  </si>
  <si>
    <t>Primary Actor</t>
  </si>
  <si>
    <t>Supporting Persona(s)</t>
  </si>
  <si>
    <t>Business Outcome</t>
  </si>
  <si>
    <t>Downstream Impact</t>
  </si>
  <si>
    <t>Validation Status</t>
  </si>
  <si>
    <t>Notes</t>
  </si>
  <si>
    <t>Register slice</t>
  </si>
  <si>
    <t>Authored priority</t>
  </si>
  <si>
    <t>Priority decision</t>
  </si>
  <si>
    <t>Audit note</t>
  </si>
  <si>
    <t>Flow ID</t>
  </si>
  <si>
    <t>Flow name</t>
  </si>
  <si>
    <t>Flow step</t>
  </si>
  <si>
    <t>Module</t>
  </si>
  <si>
    <t>OS layer</t>
  </si>
  <si>
    <t>Business criticality</t>
  </si>
  <si>
    <t>Failure impact</t>
  </si>
  <si>
    <t>Compliance impact</t>
  </si>
  <si>
    <t>Integrity evidence</t>
  </si>
  <si>
    <t>Recovery evidence</t>
  </si>
  <si>
    <t>Security evidence</t>
  </si>
  <si>
    <t>Concurrency evidence</t>
  </si>
  <si>
    <t>Proposed priority</t>
  </si>
  <si>
    <t>Risk score</t>
  </si>
  <si>
    <t>Target date</t>
  </si>
  <si>
    <t>Blocked by</t>
  </si>
  <si>
    <t>Test case ID</t>
  </si>
  <si>
    <t>Last verified</t>
  </si>
  <si>
    <t>Verified by</t>
  </si>
  <si>
    <t>Verification result</t>
  </si>
  <si>
    <t>Persona canonical</t>
  </si>
  <si>
    <t>Primary actor canonical</t>
  </si>
  <si>
    <t>Priority decision code</t>
  </si>
  <si>
    <t>Module basis</t>
  </si>
  <si>
    <t>Duplicate or related</t>
  </si>
  <si>
    <t>Code pointer</t>
  </si>
  <si>
    <t>G5 outcome measured</t>
  </si>
  <si>
    <t>Original validation status</t>
  </si>
  <si>
    <t>Code review verdict</t>
  </si>
  <si>
    <t>Code review evidence</t>
  </si>
  <si>
    <t>Code review reason</t>
  </si>
  <si>
    <t>P-0001</t>
  </si>
  <si>
    <t>P</t>
  </si>
  <si>
    <t>Create a quick bill for a walk-in customer</t>
  </si>
  <si>
    <t>Counter Billing Clerk</t>
  </si>
  <si>
    <t>Walk-in Customer</t>
  </si>
  <si>
    <t>Instant checkout within 15 seconds; printed or digital receipt handed over; minimal queue delay</t>
  </si>
  <si>
    <t>Stock decremented atomically in inventory ledger; cash drawer balance increased; sales voucher posted to GL</t>
  </si>
  <si>
    <t>Supported via /pos rapid checkout. Barcode/touch selection, instant cash tender, thermal slip print.</t>
  </si>
  <si>
    <t>Unchanged</t>
  </si>
  <si>
    <t>Code reviewed - confirmed</t>
  </si>
  <si>
    <t>Code review 2026-10-04 (agent-reviewed, spot-checked): Confirmed. POS checkout completes invoice with SALE stock movements and GL posting; thermal print path exists; drawer pulse not implemented.</t>
  </si>
  <si>
    <t>C2C</t>
  </si>
  <si>
    <t>Customer to cash</t>
  </si>
  <si>
    <t>sales</t>
  </si>
  <si>
    <t>Cited in code</t>
  </si>
  <si>
    <t>Built - tested</t>
  </si>
  <si>
    <t>backend/tests/workflows/test_wf_todo_stubs.py::test_wf19_pos_checkout</t>
  </si>
  <si>
    <t>pytest on Postgres 17, manual run</t>
  </si>
  <si>
    <t>Pass</t>
  </si>
  <si>
    <t>Billing / Counter Clerk</t>
  </si>
  <si>
    <t>UNCHANGED</t>
  </si>
  <si>
    <t>Authored</t>
  </si>
  <si>
    <t>Confirmed</t>
  </si>
  <si>
    <t>backend/sales/services.py:SalesService; web/src/pages/pos/PosPage.tsx; backend/accounting/services.py:PostingService</t>
  </si>
  <si>
    <t>POS checkout completes invoice with SALE stock movements and GL posting; thermal print path exists; drawer pulse not implemented.</t>
  </si>
  <si>
    <t>P-0002</t>
  </si>
  <si>
    <t>Record a cash sale</t>
  </si>
  <si>
    <t>Immediate cash payment accepted and registered in the daily till</t>
  </si>
  <si>
    <t>Debit Cash-in-Hand ledger account, credit Sales Revenue account; updates physical till balance</t>
  </si>
  <si>
    <t>Supported via Payment model (payment_mode='CASH') linked directly to completed SalesInvoice.</t>
  </si>
  <si>
    <t>Matched SalesInvoice in product code. This is not a functional test.</t>
  </si>
  <si>
    <t>PAYREC</t>
  </si>
  <si>
    <t>Payments and reconciliation</t>
  </si>
  <si>
    <t>payments</t>
  </si>
  <si>
    <t>Built - unverified</t>
  </si>
  <si>
    <t>backend/sales/models.py:SalesInvoice</t>
  </si>
  <si>
    <t>backend/tests/test_a03_preview.py; backend/tests/test_a06_whatsapp.py; backend/tests/test_a07_dunning.py</t>
  </si>
  <si>
    <t>P-0003</t>
  </si>
  <si>
    <t>Record a UPI/digital payment</t>
  </si>
  <si>
    <t>Instant settlement via dynamic BharatPe/UPI QR code scanning</t>
  </si>
  <si>
    <t>Debit Bank/UPI Settlement clearing account, credit Sales Revenue account; records transaction UTR/ref</t>
  </si>
  <si>
    <t>Supported via POS screen dynamic UPI QR generator. Stores transaction UTR reference on payment record.</t>
  </si>
  <si>
    <t>Code review 2026-10-04 (agent-reviewed, spot-checked): Confirmed. UPI QR generation exists and receipts store a unique UTR; posts Dr bank, Cr customer advances then AR.</t>
  </si>
  <si>
    <t>backend/tests/test_audit_p0_decisions.py::test_pos_mismatch_message_is_human_and_split_tender_posts_both</t>
  </si>
  <si>
    <t>backend/payments/upi.py:upi_qr_fields; backend/payments/models.py:CustomerReceipt</t>
  </si>
  <si>
    <t>UPI QR generation exists and receipts store a unique UTR; posts Dr bank, Cr customer advances then AR.</t>
  </si>
  <si>
    <t>P-0004</t>
  </si>
  <si>
    <t>Find an item's price instantly</t>
  </si>
  <si>
    <t>None</t>
  </si>
  <si>
    <t>Zero-latency SKU and price lookup without interrupting active billing</t>
  </si>
  <si>
    <t>Queries indexed catalog cache; returns selling price, MRP, and real-time available stock</t>
  </si>
  <si>
    <t>Supported via client-side indexedDB catalog search with &lt;50ms keystroke debounce.</t>
  </si>
  <si>
    <t>Matched indexedDB in product code. This is not a functional test.</t>
  </si>
  <si>
    <t>Not run</t>
  </si>
  <si>
    <t>P-0005</t>
  </si>
  <si>
    <t>Check today's total sales</t>
  </si>
  <si>
    <t>Small Retailer / Owner</t>
  </si>
  <si>
    <t>Real-time visibility into total daily gross revenue and bill count</t>
  </si>
  <si>
    <t>Aggregates completed SalesInvoices for current calendar day; displays gross, discounts, and net sales</t>
  </si>
  <si>
    <t>Supported via DailyBusinessSummary snapshot and POS shift summary modal (/api/v1/pos/shift-summary/).</t>
  </si>
  <si>
    <t>Matched DailyBusinessSummary in product code. This is not a functional test.</t>
  </si>
  <si>
    <t>RPT</t>
  </si>
  <si>
    <t>Reporting and business intelligence</t>
  </si>
  <si>
    <t>reporting</t>
  </si>
  <si>
    <t>backend/insights/models.py:DailyBusinessSummary</t>
  </si>
  <si>
    <t>backend/tests/test_phase6_insights.py; backend/tests/test_pr9_p2_edges.py; backend/tests/personas/test_cross_flow_consistency.py</t>
  </si>
  <si>
    <t>P-0006</t>
  </si>
  <si>
    <t>Check cash/UPI collected</t>
  </si>
  <si>
    <t>Exact breakdown of drawer cash vs digital UPI collections for end-of-day reconciliation</t>
  </si>
  <si>
    <t>Aggregates Payment records by payment_mode; enables physical drawer verification against system till</t>
  </si>
  <si>
    <t>Supported via /pos/shift-close endpoint with expected cash vs actual physical cash variance logging. | Drift check 2026-10-05: Cash shift register compares expected and counted cash</t>
  </si>
  <si>
    <t>Code review 2026-10-04 (agent-reviewed, spot-checked): Contradicted. No shift-close endpoint or per-mode drawer aggregation exists in backend.</t>
  </si>
  <si>
    <t>none found: searched shift close, expected_cash, cash variance, ShiftClose</t>
  </si>
  <si>
    <t>No shift-close endpoint or per-mode drawer aggregation exists in backend.</t>
  </si>
  <si>
    <t>P-0007</t>
  </si>
  <si>
    <t>See low-stock items</t>
  </si>
  <si>
    <t>Distributor / Supplier</t>
  </si>
  <si>
    <t>Early warning of fast-moving products reaching reorder threshold to prevent stockouts</t>
  </si>
  <si>
    <t>Filters StockBalance where quantity &lt;= reorder_level; surfaces replenishment alert cards</t>
  </si>
  <si>
    <t>Supported in /inventory dashboard with visual low-stock badges and filtered export.</t>
  </si>
  <si>
    <t>Code review 2026-10-04 (agent-reviewed, spot-checked): Confirmed. Low-stock payload and low_stock list filter compare balances against reorder levels.</t>
  </si>
  <si>
    <t>INV</t>
  </si>
  <si>
    <t>Inventory lifecycle</t>
  </si>
  <si>
    <t>inventory</t>
  </si>
  <si>
    <t>backend/inventory/models.py:StockBalance</t>
  </si>
  <si>
    <t>backend/tests/test_a11_a12_stock_cost.py; backend/tests/test_a4_a5_reporting.py; backend/tests/test_a6_manual_serial_return.py</t>
  </si>
  <si>
    <t>backend/inventory/views.py:low_stock_alert_payload; backend/inventory/models.py:StockBalance</t>
  </si>
  <si>
    <t>Low-stock payload and low_stock list filter compare balances against reorder levels.</t>
  </si>
  <si>
    <t>P-0008</t>
  </si>
  <si>
    <t>Add a new item while making a sale</t>
  </si>
  <si>
    <t>Non-blocking cart workflow allowing uncataloged product entry without losing customer session</t>
  </si>
  <si>
    <t>Creates Product master row on-the-fly, initializes opening stock layer, and appends line to active cart</t>
  </si>
  <si>
    <t>Supported via POS 'Quick Add Product' modal (/api/v1/masters/products/quick-create/).</t>
  </si>
  <si>
    <t>Code review 2026-10-04 (agent-reviewed, spot-checked): Partial. Invoice screen creates a product via dialog and appends line; no quick-create endpoint and no opening stock layer initialized.</t>
  </si>
  <si>
    <t>MASTER</t>
  </si>
  <si>
    <t>Master data and authorization</t>
  </si>
  <si>
    <t>masters</t>
  </si>
  <si>
    <t>web/src/pages/sales/NewInvoicePage.tsx:itemMutation; backend/masters/views.py:ProductViewSet</t>
  </si>
  <si>
    <t>Invoice screen creates a product via dialog and appends line; no quick-create endpoint and no opening stock layer initialized.</t>
  </si>
  <si>
    <t>P-0009</t>
  </si>
  <si>
    <t>Record a customer credit sale</t>
  </si>
  <si>
    <t>Local Credit Customer (Khata)</t>
  </si>
  <si>
    <t>Goods issued on credit (Khata) to trusted neighborhood customer</t>
  </si>
  <si>
    <t>Completes invoice with payment_status='UNPAID', creates debit entry in Customer AR ledger</t>
  </si>
  <si>
    <t>Supported via B2C/B2B Khata credit toggle on POS checkout; enforces optional credit limit check.</t>
  </si>
  <si>
    <t>Restored to authored P1. The previous workbook had P0 after a keyword rebalance.</t>
  </si>
  <si>
    <t>Restored to authored P1. The previous workbook had P0 after a keyword rebalance. Code review 2026-10-04 (agent-reviewed, spot-checked): Confirmed. Invoice completion posts receivable and enforces customer credit limit with override; credit sale is supported.</t>
  </si>
  <si>
    <t>ARAP</t>
  </si>
  <si>
    <t>Receivables and payables</t>
  </si>
  <si>
    <t>ledgers</t>
  </si>
  <si>
    <t>RESTORED_TO_AUTHORED</t>
  </si>
  <si>
    <t>backend/sales/services.py:credit_limit; backend/ledgers/services.py:customer_exposure_for_credit_limit; backend/accounting/services.py:PostingService</t>
  </si>
  <si>
    <t>Invoice completion posts receivable and enforces customer credit limit with override; credit sale is supported.</t>
  </si>
  <si>
    <t>P-0010</t>
  </si>
  <si>
    <t>Record payment from a customer</t>
  </si>
  <si>
    <t>Credit Customer</t>
  </si>
  <si>
    <t>Receives partial or full payment settling previous outstanding credit balance</t>
  </si>
  <si>
    <t>Creates Payment record, allocates credit across oldest open invoices (FIFO), decreases customer AR</t>
  </si>
  <si>
    <t>Supported via /api/v1/payments/allocation/ with auto-allocation to oldest unpaid invoices.</t>
  </si>
  <si>
    <t>Code review 2026-10-04 (agent-reviewed, spot-checked): Confirmed. Receipts are allocated oldest-due-first across open invoices, reducing outstanding.</t>
  </si>
  <si>
    <t>backend/payments/services.py:allocate_receipt_oldest_first; backend/payments/services.py:allocate_receipt</t>
  </si>
  <si>
    <t>Receipts are allocated oldest-due-first across open invoices, reducing outstanding.</t>
  </si>
  <si>
    <t>P-0011</t>
  </si>
  <si>
    <t>See outstanding customer dues</t>
  </si>
  <si>
    <t>Instant summary of total unpaid market receivables and customer-wise balance list</t>
  </si>
  <si>
    <t>Calculates net derived balance per customer from completed invoices minus payments and credit notes</t>
  </si>
  <si>
    <t>Supported via /sales/customers Khata receivables view with aging breakdown.</t>
  </si>
  <si>
    <t>Code review 2026-10-04 (agent-reviewed, spot-checked): Confirmed. Outstanding is derived from invoices minus receipts and credit notes per customer, with statements.</t>
  </si>
  <si>
    <t>backend/ledgers/services.py:customer_outstanding; backend/ledgers/services.py:bulk_customer_outstanding; backend/ledgers/services.py:customer_statement</t>
  </si>
  <si>
    <t>Outstanding is derived from invoices minus receipts and credit notes per customer, with statements.</t>
  </si>
  <si>
    <t>P-0012</t>
  </si>
  <si>
    <t>Send invoice/receipt</t>
  </si>
  <si>
    <t>Customer</t>
  </si>
  <si>
    <t>Paperless receipt delivered directly to customer via WhatsApp or SMS link</t>
  </si>
  <si>
    <t>Generates short URL for digital invoice preview; saves paper and thermal printer consumables</t>
  </si>
  <si>
    <t>Supported via WhatsApp click-to-chat API URL scheme and thermal print fallback.</t>
  </si>
  <si>
    <t>Matched WhatsApp in product code. This is not a functional test.</t>
  </si>
  <si>
    <t>INT</t>
  </si>
  <si>
    <t>Communication and integrations</t>
  </si>
  <si>
    <t>integrations</t>
  </si>
  <si>
    <t>P-0013</t>
  </si>
  <si>
    <t>Cancel or correct a wrongly created bill</t>
  </si>
  <si>
    <t>Safe cancellation of erroneous receipt with complete audit trail</t>
  </si>
  <si>
    <t>Reverses stock movements (RETURN_INWARD), posts reversal accounting voucher, voids tax entry</t>
  </si>
  <si>
    <t>Supported via SalesInvoice cancel endpoint; requires cancellation reason and manager role.</t>
  </si>
  <si>
    <t>OTHER</t>
  </si>
  <si>
    <t>accounts</t>
  </si>
  <si>
    <t>Inferred</t>
  </si>
  <si>
    <t>Customer returns defective or unwanted items; stock returned to shelf and refund/credit issued</t>
  </si>
  <si>
    <t>Creates SalesReturn document, increments saleable stock, issues credit note or cash refund</t>
  </si>
  <si>
    <t>Supported via /sales/returns/ with line-item return reasons and auto credit note generation.</t>
  </si>
  <si>
    <t>Code review 2026-10-04 (agent-reviewed, spot-checked): Confirmed. Complete return posts SALES_RETURN stock movements, auto-creates a credit note and posts COGS reversal.</t>
  </si>
  <si>
    <t>RET</t>
  </si>
  <si>
    <t>Returns, complaints, and after-sales</t>
  </si>
  <si>
    <t>Same task as P-0030</t>
  </si>
  <si>
    <t>backend/sales/models.py:SalesReturn</t>
  </si>
  <si>
    <t>backend/tests/test_cft_checklist.py; backend/tests/test_concurrency_races.py; backend/tests/test_fmea2_wave.py</t>
  </si>
  <si>
    <t>backend/sales/models.py:SalesReturn; backend/sales/return_service.py:ReturnService</t>
  </si>
  <si>
    <t>Complete return posts SALES_RETURN stock movements, auto-creates a credit note and posts COGS reversal.</t>
  </si>
  <si>
    <t>P-0015</t>
  </si>
  <si>
    <t>Check today's profit/margin</t>
  </si>
  <si>
    <t>Immediate feedback on gross profit earned from today's completed transactions</t>
  </si>
  <si>
    <t>Calculates realized gross margin: SUM(Line Selling Price - Line FIFO Cost) across completed sales</t>
  </si>
  <si>
    <t>Supported via Owner Executive Dashboard; masked from billing clerks via role permission.</t>
  </si>
  <si>
    <t>Code review 2026-10-04 (agent-reviewed, spot-checked): Confirmed. Per-invoice revenue, COGS and gross margin by date, behind financial-report permission; not on dashboard.</t>
  </si>
  <si>
    <t>backend/reporting/services.py:invoice_profit_report; backend/reporting/models.py:InvoiceProfitSnapshot; backend/reporting/views.py:InvoiceProfitReportView</t>
  </si>
  <si>
    <t>Per-invoice revenue, COGS and gross margin by date, behind financial-report permission; not on dashboard.</t>
  </si>
  <si>
    <t>P-0016</t>
  </si>
  <si>
    <t>See GST collected</t>
  </si>
  <si>
    <t>Accountant / External CA</t>
  </si>
  <si>
    <t>Clear visibility into cumulative CGST, SGST, and Cess tax collected for statutory compliance</t>
  </si>
  <si>
    <t>Aggregates output tax ledger balances for the period; provides baseline for monthly return filing</t>
  </si>
  <si>
    <t>Supported via Tax Summary card and GSTR-1 outward tax liability worksheet.</t>
  </si>
  <si>
    <t>Code review 2026-10-04 (agent-reviewed, spot-checked): Confirmed. GSTR-1 and 3B builders aggregate outward CGST/SGST/IGST/cess for the period.</t>
  </si>
  <si>
    <t>GST</t>
  </si>
  <si>
    <t>GST and tax compliance</t>
  </si>
  <si>
    <t>accounting</t>
  </si>
  <si>
    <t>backend/reporting/gst_returns.py:build_gstr1; backend/reporting/gst_returns.py:build_gstr3b</t>
  </si>
  <si>
    <t>GSTR-1 and 3B builders aggregate outward CGST/SGST/IGST/cess for the period.</t>
  </si>
  <si>
    <t>P-0017</t>
  </si>
  <si>
    <t>Close the day's business</t>
  </si>
  <si>
    <t>Formal closing of daily register, reconciling cash in drawer, UPI, and total bill count</t>
  </si>
  <si>
    <t>Locks daily cash till shift, records overage/shortage variance, archives daily snapshot</t>
  </si>
  <si>
    <t>Supported via /pos/shift-close workflow; produces immutable daily cash closing statement.</t>
  </si>
  <si>
    <t>Code review 2026-10-04 (agent-reviewed, spot-checked): Contradicted. No POS shift or daily close with variance and lock; only period/FY close and a day-book report.</t>
  </si>
  <si>
    <t>CLOSE</t>
  </si>
  <si>
    <t>Import, export, and period close</t>
  </si>
  <si>
    <t>none found: searched shift, day close, cash session, end of day in backend</t>
  </si>
  <si>
    <t>No POS shift or daily close with variance and lock; only period/FY close and a day-book report.</t>
  </si>
  <si>
    <t>P-0018</t>
  </si>
  <si>
    <t>Create a customer invoice</t>
  </si>
  <si>
    <t>Walk-in / Neighborhood Customer</t>
  </si>
  <si>
    <t>Compliant retail invoice issued with itemized rates, discounts, and payment terms</t>
  </si>
  <si>
    <t>Stock decremented, customer ledger updated (if credit), sales revenue posted to GL</t>
  </si>
  <si>
    <t>Supported via /sales/invoices/create and /pos rapid checkout.</t>
  </si>
  <si>
    <t>Code review 2026-10-04 (agent-reviewed, spot-checked): Confirmed. Invoice completion posts SALE stock movements, customer outstanding and GL revenue and COGS.</t>
  </si>
  <si>
    <t>backend/tests/test_sprint0_books.py::test_gst_invoice_complete_posts_balanced_journal; backend/tests/test_stock_flow.py::test_sale_complete_decreases_stock</t>
  </si>
  <si>
    <t>backend/sales/services.py:SalesService; backend/accounting/services.py:PostingService</t>
  </si>
  <si>
    <t>Invoice completion posts SALE stock movements, customer outstanding and GL revenue and COGS.</t>
  </si>
  <si>
    <t>P-0019</t>
  </si>
  <si>
    <t>Create a supplier purchase entry</t>
  </si>
  <si>
    <t>FMCG / Grain Distributor</t>
  </si>
  <si>
    <t>Record inward purchase bill received from wholesaler or distributor</t>
  </si>
  <si>
    <t>Increments stock balance via StockMovement (INWARD_PURCHASE), credits Accounts Payable (AP)</t>
  </si>
  <si>
    <t>Supported via /purchases/invoices/create; atomic stock and AP creation.</t>
  </si>
  <si>
    <t>Restored to authored P1. The previous workbook had P0 after a keyword rebalance. Code review 2026-10-04 (agent-reviewed, spot-checked): Confirmed. Completing a purchase invoice posts stock movements and a purchase journal crediting payables.</t>
  </si>
  <si>
    <t>P2P</t>
  </si>
  <si>
    <t>Procure to pay</t>
  </si>
  <si>
    <t>purchases</t>
  </si>
  <si>
    <t>backend/inventory/models.py:StockMovement</t>
  </si>
  <si>
    <t>backend/tests/test_a10_period_centralization.py; backend/tests/test_a11_a12_stock_cost.py; backend/tests/test_a6_manual_serial_return.py</t>
  </si>
  <si>
    <t>backend/purchases/services.py:post_movement; backend/accounting/services.py:post_purchase; backend/inventory/models.py:StockMovement</t>
  </si>
  <si>
    <t>Completing a purchase invoice posts stock movements and a purchase journal crediting payables.</t>
  </si>
  <si>
    <t>P-0020</t>
  </si>
  <si>
    <t>Receive purchased goods</t>
  </si>
  <si>
    <t>Distributor Delivery Staff</t>
  </si>
  <si>
    <t>Physical verification and intake of received goods against supplier invoice</t>
  </si>
  <si>
    <t>Updates physical inventory counts, records batch numbers and manufacturing/expiry dates</t>
  </si>
  <si>
    <t>Supported in Purchase Invoice complete flow; auto-generates inward stock ledger entries.</t>
  </si>
  <si>
    <t>Code review 2026-10-04 (agent-reviewed, spot-checked): Confirmed. Goods receipt and purchase completion update stock with batch lot and dates.</t>
  </si>
  <si>
    <t>backend/purchases/grn_service.py:complete; backend/purchases/services.py:post_movement</t>
  </si>
  <si>
    <t>Goods receipt and purchase completion update stock with batch lot and dates.</t>
  </si>
  <si>
    <t>P-0021</t>
  </si>
  <si>
    <t>Update purchase and selling prices</t>
  </si>
  <si>
    <t>Maintain accurate profit margins when wholesale purchase prices fluctuate</t>
  </si>
  <si>
    <t>Updates Product master purchase_price and default selling_price; updates price list slabs</t>
  </si>
  <si>
    <t>Supported via Product Edit screen and inline quick-edit on purchase bill intake.</t>
  </si>
  <si>
    <t>Code review 2026-10-04 (agent-reviewed, spot-checked): Confirmed. Product master edit updates purchase_price, selling_price and price lists via API.</t>
  </si>
  <si>
    <t>backend/masters/views.py:ProductViewSet; backend/masters/views.py:PriceListViewSet; backend/masters/models.py:Product</t>
  </si>
  <si>
    <t>Product master edit updates purchase_price, selling_price and price lists via API.</t>
  </si>
  <si>
    <t>P-0022</t>
  </si>
  <si>
    <t>Track stock quantity</t>
  </si>
  <si>
    <t>Counter Clerk</t>
  </si>
  <si>
    <t>Real-time accurate stock counts to prevent over-selling and identify inventory leakage</t>
  </si>
  <si>
    <t>Maintains append-only StockMovement ledger; dynamically derives StockBalance per warehouse</t>
  </si>
  <si>
    <t>Core system invariant: negative stock strictly blocked unless explicitly permitted by tenant policy.</t>
  </si>
  <si>
    <t>Code review 2026-10-04 (agent-reviewed, spot-checked): Confirmed. Append-only StockMovement ledger with derived StockBalance per warehouse, and company negative_stock_policy blocks negatives by default.</t>
  </si>
  <si>
    <t>backend/tests/test_business_rules.py::test_negative_stock_blocked_by_policy; backend/tests/test_stock_flow.py::test_movements_are_append_only</t>
  </si>
  <si>
    <t>backend/inventory/models.py:StockMovement; backend/inventory/models.py:StockBalance</t>
  </si>
  <si>
    <t>backend/inventory/models.py:StockMovement; backend/inventory/models.py:StockBalance; backend/accounts/models.py:negative_stock_policy</t>
  </si>
  <si>
    <t>Append-only StockMovement ledger with derived StockBalance per warehouse, and company negative_stock_policy blocks negatives by default.</t>
  </si>
  <si>
    <t>P-0023</t>
  </si>
  <si>
    <t>Identify low-stock items</t>
  </si>
  <si>
    <t>Supplier</t>
  </si>
  <si>
    <t>Proactive replenishment alerts for daily grocery staples (flour, oil, pulses)</t>
  </si>
  <si>
    <t>Filters inventory where StockBalance &lt;= Product.reorder_level; flags replenishment order draft</t>
  </si>
  <si>
    <t>Supported in /inventory/alerts/ with WhatsApp reorder draft generation.</t>
  </si>
  <si>
    <t>P-0024</t>
  </si>
  <si>
    <t>Identify fast-moving items</t>
  </si>
  <si>
    <t>Identifies top revenue and velocity SKUs to optimize store shelf space and working capital</t>
  </si>
  <si>
    <t>Analyzes sales frequency and turnover ratio over selected date range</t>
  </si>
  <si>
    <t>Supported via /reports/inventory-velocity/ report.</t>
  </si>
  <si>
    <t>Code review 2026-10-04 (agent-reviewed, spot-checked): Partial. Product sales report and fast-mover low-stock alert exist; no velocity/turnover report.</t>
  </si>
  <si>
    <t>backend/insights/alerts.py:LOW_STOCK_FAST_MOVER; backend/reporting/services.py:product_sales</t>
  </si>
  <si>
    <t>Product sales report and fast-mover low-stock alert exist; no velocity/turnover report.</t>
  </si>
  <si>
    <t>P-0025</t>
  </si>
  <si>
    <t>Identify slow-moving/dead stock</t>
  </si>
  <si>
    <t>Detects capital tied up in unsold inventory to trigger promotional bundling or vendor return</t>
  </si>
  <si>
    <t>Identifies SKUs with zero movement over 30/60/90 days; calculates tied-up capital valuation</t>
  </si>
  <si>
    <t>Supported in Inventory Aging &amp; Dead Stock Report (/reports/inventory-aging/).</t>
  </si>
  <si>
    <t>Restored to authored P2. The previous workbook had P3 after a keyword rebalance.</t>
  </si>
  <si>
    <t>Restored to authored P2. The previous workbook had P3 after a keyword rebalance. Code review 2026-10-04 (agent-reviewed, spot-checked): Partial. DEAD_STOCK alert values stock unsold for 60 days; no 30/60/90 ageing report.</t>
  </si>
  <si>
    <t>backend/insights/alerts.py:DEAD_STOCK</t>
  </si>
  <si>
    <t>DEAD_STOCK alert values stock unsold for 60 days; no 30/60/90 ageing report.</t>
  </si>
  <si>
    <t>P-0026</t>
  </si>
  <si>
    <t>Track customer credit</t>
  </si>
  <si>
    <t>Khata Customer</t>
  </si>
  <si>
    <t>Comprehensive digital Khata tracking each neighborhood family's running credit balance</t>
  </si>
  <si>
    <t>Aggregates debit and credit ledger transactions; computes net balance and aging days</t>
  </si>
  <si>
    <t>Supported via /sales/customers/khata/ with individual customer statement export.</t>
  </si>
  <si>
    <t>Code review 2026-10-04 (agent-reviewed, spot-checked): Confirmed. Customer statement with running debit/credit balance, net outstanding and per-customer ageing buckets exist; no endpoint named khata but behaviour is present.</t>
  </si>
  <si>
    <t>backend/ledgers/services.py:LedgerService; backend/ledgers/views.py:CustomerLedgerDetailView; backend/payments/dunning.py:customer_risk_snapshot</t>
  </si>
  <si>
    <t>Customer statement with running debit/credit balance, net outstanding and per-customer ageing buckets exist; no endpoint named khata but behaviour is present.</t>
  </si>
  <si>
    <t>P-0027</t>
  </si>
  <si>
    <t>Collect customer payments</t>
  </si>
  <si>
    <t>Record cash/UPI collections settling outstanding customer khata accounts</t>
  </si>
  <si>
    <t>Applies payment against unpaid customer invoices; updates receivables ledger and cash balance</t>
  </si>
  <si>
    <t>Supported via Payment entry screen with automated FIFO invoice reconciliation.</t>
  </si>
  <si>
    <t>Code review 2026-10-04 (agent-reviewed, spot-checked): Confirmed. Receipts post to GL and allocate_receipt_oldest_first applies payment to open invoices oldest-due first.</t>
  </si>
  <si>
    <t>backend/payments/services.py:PaymentService; backend/payments/views.py:CustomerReceiptViewSet; backend/accounting/services.py:PostingService</t>
  </si>
  <si>
    <t>Receipts post to GL and allocate_receipt_oldest_first applies payment to open invoices oldest-due first.</t>
  </si>
  <si>
    <t>Monitor dues payable to FMCG distributors to plan weekly vendor payments</t>
  </si>
  <si>
    <t>Computes net Accounts Payable from completed purchase bills minus payments and debit notes</t>
  </si>
  <si>
    <t>Supported via /purchases/suppliers/ payables aging dashboard.</t>
  </si>
  <si>
    <t>Code review 2026-10-04 (agent-reviewed, spot-checked): Confirmed. Supplier outstanding nets purchase invoices against payments, credit and debit notes; payables ageing buckets exist (dashboard).</t>
  </si>
  <si>
    <t>Same task as P-0146</t>
  </si>
  <si>
    <t>backend/ledgers/services.py:LedgerService; backend/ledgers/views.py:SupplierLedgerListView; backend/reporting/services.py:ReportService</t>
  </si>
  <si>
    <t>Supplier outstanding nets purchase invoices against payments, credit and debit notes; payables ageing buckets exist (dashboard).</t>
  </si>
  <si>
    <t>P-0029</t>
  </si>
  <si>
    <t>Record supplier payment</t>
  </si>
  <si>
    <t>Disburse payments to vendors via cash, cheque, or NEFT/IMPS bank transfer</t>
  </si>
  <si>
    <t>Debits Accounts Payable ledger, credits Bank/Cash account; matches supplier invoices</t>
  </si>
  <si>
    <t>Supported via /purchases/payments/create with multi-invoice payment matching.</t>
  </si>
  <si>
    <t>Code review 2026-10-04 (agent-reviewed, spot-checked): Confirmed. Supplier payment supports cash/bank/cheque, posts GL against bank/cash and allocates to multiple purchase invoices.</t>
  </si>
  <si>
    <t>backend/payments/services.py:PaymentService; backend/accounting/services.py:PostingService; backend/payments/models.py:SupplierPayment</t>
  </si>
  <si>
    <t>Supplier payment supports cash/bank/cheque, posts GL against bank/cash and allocates to multiple purchase invoices.</t>
  </si>
  <si>
    <t>Accept damaged or rejected goods returned by retail customer and issue refund/credit</t>
  </si>
  <si>
    <t>Restores stock to inventory ledger (or damaged bin) and adjusts customer balance/credit note</t>
  </si>
  <si>
    <t>Supported via /sales/returns/ with Credit Note generation.</t>
  </si>
  <si>
    <t>Code review 2026-10-04 (agent-reviewed, spot-checked): Confirmed. Returns restore sellable stock, scrap damaged items, and generate a credit note.</t>
  </si>
  <si>
    <t>Same task as P-0014</t>
  </si>
  <si>
    <t>backend/sales/return_service.py:ReturnService; backend/sales/models.py:SalesReturnItem</t>
  </si>
  <si>
    <t>Returns restore sellable stock, scrap damaged items, and generate a credit note.</t>
  </si>
  <si>
    <t>P-0031</t>
  </si>
  <si>
    <t>Process purchase returns</t>
  </si>
  <si>
    <t>Return damaged, expired, or near-expiry goods to distributor for debit credit note</t>
  </si>
  <si>
    <t>Decrements warehouse stock (RETURN_OUTWARD) and generates supplier PurchaseDebitNote</t>
  </si>
  <si>
    <t>Supported via /purchases/returns/ with Debit Note generation.</t>
  </si>
  <si>
    <t>Code review 2026-10-04 (agent-reviewed, spot-checked): Partial. Purchase return posts outward stock movements but auto-generates a PurchaseCreditNote, not a PurchaseDebitNote.</t>
  </si>
  <si>
    <t>backend/purchases/models.py:PurchaseDebitNote</t>
  </si>
  <si>
    <t>backend/tests/test_a11_a12_stock_cost.py; backend/tests/test_phase6_insights.py; backend/tests/test_supplier_complaints.py</t>
  </si>
  <si>
    <t>backend/purchases/services.py:PurchaseService; backend/purchases/models.py:PurchaseDebitNote</t>
  </si>
  <si>
    <t>Purchase return posts outward stock movements but auto-generates a PurchaseCreditNote, not a PurchaseDebitNote.</t>
  </si>
  <si>
    <t>P-0032</t>
  </si>
  <si>
    <t>Apply discounts correctly</t>
  </si>
  <si>
    <t>Accurate application of promotional percentage, flat discounts, or bill-level concessions</t>
  </si>
  <si>
    <t>Computes taxable value net of discount; applies GST on discounted base price per statutory rules</t>
  </si>
  <si>
    <t>Supported on sales line and invoice-level; complies with Section 15 GST valuation rules.</t>
  </si>
  <si>
    <t>Code review 2026-10-04 (agent-reviewed, spot-checked): Confirmed. Line and invoice discounts are deducted from taxable value before GST is computed.</t>
  </si>
  <si>
    <t>backend/core/services/tax_engine/india.py:compute_document_totals</t>
  </si>
  <si>
    <t>Line and invoice discounts are deducted from taxable value before GST is computed.</t>
  </si>
  <si>
    <t>P-0033</t>
  </si>
  <si>
    <t>Manage GST rates/HSN</t>
  </si>
  <si>
    <t>Proper classification of grocery SKUs under correct 0%, 5%, 12%, 18% GST brackets and HSN codes</t>
  </si>
  <si>
    <t>Stores HSN/SAC codes and GST tax rates on Product master; used for automated tax calculation</t>
  </si>
  <si>
    <t>Supported via Product master taxonomy with built-in HSN search helper.</t>
  </si>
  <si>
    <t>Code review 2026-10-04 (agent-reviewed, spot-checked): Confirmed. Product stores HSN and gst_rate; HSN catalog supplies rates and notices used in billing.</t>
  </si>
  <si>
    <t>backend/masters/models.py:TaxRate; backend/masters/hsn_catalog.py:line_gst_decision; backend/masters/serializers.py:_align_saved_gst_rate</t>
  </si>
  <si>
    <t>Product stores HSN and gst_rate; HSN catalog supplies rates and notices used in billing.</t>
  </si>
  <si>
    <t>P-0034</t>
  </si>
  <si>
    <t>Generate GST-compliant invoices</t>
  </si>
  <si>
    <t>Registered B2B Customer</t>
  </si>
  <si>
    <t>Issue legally compliant B2B tax invoices showing seller/buyer GSTIN, HSN breakdown, and tax splits</t>
  </si>
  <si>
    <t>Formats document per Rule 46 of CGST Rules; populates B2B section of GSTR-1 worksheet</t>
  </si>
  <si>
    <t>Supported via standard invoice PDF template meeting all Indian GST Rule 46 requirements.</t>
  </si>
  <si>
    <t>Code review 2026-10-04 (agent-reviewed, spot-checked): Confirmed. Tax invoice PDF shows GSTINs, HSN and tax splits; engine computes CGST/SGST/IGST per line.</t>
  </si>
  <si>
    <t>backend/tests/snapshots/test_gstr2b_and_pdf.py::test_gst_tax_invoice_pdf_text_snapshot</t>
  </si>
  <si>
    <t>backend/sales/pdf/gst_tax_invoice.py:format_money; backend/core/services/tax_engine/india.py:compute_document_totals</t>
  </si>
  <si>
    <t>Tax invoice PDF shows GSTINs, HSN and tax splits; engine computes CGST/SGST/IGST per line.</t>
  </si>
  <si>
    <t>P-0035</t>
  </si>
  <si>
    <t>Review sales</t>
  </si>
  <si>
    <t>Analyze daily, weekly, and monthly sales trends across categories and customer types</t>
  </si>
  <si>
    <t>Generates sales register reports filtered by date, payment mode, customer, and category</t>
  </si>
  <si>
    <t>Supported via /reports/sales-register/ with CSV and Excel export.</t>
  </si>
  <si>
    <t>Code review 2026-10-04 (agent-reviewed, spot-checked): Confirmed. Sales register with date, customer, status, warehouse filters and export route exists.</t>
  </si>
  <si>
    <t>backend/reporting/views.py:SalesRegisterView; backend/reporting/services.py:sales_register</t>
  </si>
  <si>
    <t>Sales register with date, customer, status, warehouse filters and export route exists.</t>
  </si>
  <si>
    <t>P-0036</t>
  </si>
  <si>
    <t>Review gross margin</t>
  </si>
  <si>
    <t>Track product profitability to ensure wholesale markup covers store operating overheads</t>
  </si>
  <si>
    <t>Calculates line-by-line gross profit margin (Selling Price - Purchase Cost) / Selling Price</t>
  </si>
  <si>
    <t>Supported via /reports/profitability/ with category and brand drill-downs.</t>
  </si>
  <si>
    <t>Restored to authored P2. The previous workbook had P3 after a keyword rebalance. Code review 2026-10-04 (agent-reviewed, spot-checked): Confirmed. Gross margin rolled up by customer, product, period, cost centre; no brand drill-down.</t>
  </si>
  <si>
    <t>backend/reporting/services.py:invoice_profit_rollup; backend/reporting/views.py:InvoiceProfitRollupView</t>
  </si>
  <si>
    <t>Gross margin rolled up by customer, product, period, cost centre; no brand drill-down.</t>
  </si>
  <si>
    <t>P-0037</t>
  </si>
  <si>
    <t>Reconcile cash and digital payments</t>
  </si>
  <si>
    <t>Verify that cash in till and bank deposits match sales register totals</t>
  </si>
  <si>
    <t>Cross-references bank statement / QR settlement reports with Bizboard payment ledger</t>
  </si>
  <si>
    <t>Supported via /accounting/bank-reconciliation/ and daily shift close register.</t>
  </si>
  <si>
    <t>Code review 2026-10-04 (agent-reviewed, spot-checked): Partial. Bank statement reconciliation and cash book exist; no daily shift or till reconciliation.</t>
  </si>
  <si>
    <t>backend/payments/recon.py:suggest_matches; backend/reporting/services.py:cash_book</t>
  </si>
  <si>
    <t>Bank statement reconciliation and cash book exist; no daily shift or till reconciliation.</t>
  </si>
  <si>
    <t>P-0038</t>
  </si>
  <si>
    <t>Sell medicines with batch information</t>
  </si>
  <si>
    <t>Pharmacist</t>
  </si>
  <si>
    <t>Patient / Retail Customer</t>
  </si>
  <si>
    <t>Dispense prescription/OTC medicines with mandatory batch number, expiry date, and MRP printed on bill</t>
  </si>
  <si>
    <t>Decrements specific BatchLot stock; captures batch and expiry on SalesItem for statutory traceability</t>
  </si>
  <si>
    <t>Supported via /pos and /sales/invoices/ with batch-selector popup and FEFO pre-selection.</t>
  </si>
  <si>
    <t>Code review 2026-10-04 (agent-reviewed, spot-checked): Confirmed. SalesItem stores batch, batch_no and MRP; sale allocates FEFO batch lots.</t>
  </si>
  <si>
    <t>backend/tests/test_c02_lot_identity.py::test_fefo_persists_all_allocated_batch_nos; backend/tests/test_phase4_inventory.py::test_sale_allocates_unselected_tracked_batch_by_fefo</t>
  </si>
  <si>
    <t>Pharmacist (Medical Shop)</t>
  </si>
  <si>
    <t>backend/inventory/models.py:BatchLot; backend/sales/models.py:SalesItem</t>
  </si>
  <si>
    <t>backend/tests/test_a11_a12_stock_cost.py; backend/tests/test_c02_lot_identity.py; backend/tests/test_cft_cross_flow.py</t>
  </si>
  <si>
    <t>backend/inventory/models.py:BatchLot; backend/sales/models.py:SalesItem; backend/sales/services.py:SalesService</t>
  </si>
  <si>
    <t>SalesItem stores batch, batch_no and MRP; sale allocates FEFO batch lots.</t>
  </si>
  <si>
    <t>P-0039</t>
  </si>
  <si>
    <t>Track batch-wise inventory</t>
  </si>
  <si>
    <t>Pharmacist / Inventory Staff</t>
  </si>
  <si>
    <t>Drug Inspector</t>
  </si>
  <si>
    <t>Maintain complete stock balances segregated by individual manufacturer batch lots</t>
  </si>
  <si>
    <t>Maintains BatchLot records linked to Product; tracks quantity, inward date, and cost per batch</t>
  </si>
  <si>
    <t>Supported via BatchLot and StockBalance models with batch-level audit history.</t>
  </si>
  <si>
    <t>Matched StockBalance in product code. This is not a functional test.</t>
  </si>
  <si>
    <t>backend/tests/personas/test_pj_batch_expiry.py::test_pj_batch_expiry_fefo_and_guard_journey</t>
  </si>
  <si>
    <t>backend/inventory/models.py:BatchLot; backend/inventory/models.py:StockBalance</t>
  </si>
  <si>
    <t>P-0040</t>
  </si>
  <si>
    <t>Track expiry dates</t>
  </si>
  <si>
    <t>Active monitoring of shelf-life across all pharmaceutical batches</t>
  </si>
  <si>
    <t>Categorizes stock into Expiry Bands (&gt;180 days, 90-180 days, &lt;90 days, Expired)</t>
  </si>
  <si>
    <t>Supported via /inventory/expiry-alerts/ with color-coded expiry countdowns.</t>
  </si>
  <si>
    <t>Code review 2026-10-04 (agent-reviewed, spot-checked): Confirmed. Expiry board lists batches with days_to_expiry and expired flag; daily task records 7/30/60/90 bands, not the 180-day bands claimed.</t>
  </si>
  <si>
    <t>backend/tests/test_item_godown_expiry.py::test_expiry_alert_writeoff_posts_adjustment</t>
  </si>
  <si>
    <t>backend/inventory/item_stock.py:expiry_horizon_rows; backend/inventory/views.py:ExpiryAlertsView</t>
  </si>
  <si>
    <t>Expiry board lists batches with days_to_expiry and expired flag; daily task records 7/30/60/90 bands, not the 180-day bands claimed.</t>
  </si>
  <si>
    <t>P-0041</t>
  </si>
  <si>
    <t>Flag/prevent expired-stock sales</t>
  </si>
  <si>
    <t>Drug Inspector / Regulatory Authority</t>
  </si>
  <si>
    <t>Strict system block preventing billing of medicines past their statutory expiration date</t>
  </si>
  <si>
    <t>Validates item expiry against transaction date; hard-blocks invoice completion if expired</t>
  </si>
  <si>
    <t>Core system invariant: billing expired BatchLot raises ValidationError and disables checkout.</t>
  </si>
  <si>
    <t>Matched ValidationError in product code. This is not a functional test.</t>
  </si>
  <si>
    <t>backend/tests/matrices/test_company_settings_matrix.py::test_expiry_guard_band_matrix; backend/tests/test_phase4_inventory.py::test_expired_batch_is_blocked_on_sale</t>
  </si>
  <si>
    <t>backend/inventory/models.py:BatchLot</t>
  </si>
  <si>
    <t>P-0042</t>
  </si>
  <si>
    <t>Identify near-expiry inventory</t>
  </si>
  <si>
    <t>Pharma Distributor</t>
  </si>
  <si>
    <t>Identify medicines nearing expiry (30/60/90 days) to initiate vendor return for credit</t>
  </si>
  <si>
    <t>Generates near-expiry stock report with vendor details for return debit note processing</t>
  </si>
  <si>
    <t>Supported via /inventory/expiry-alerts/ with 'Prepare Return to Vendor' batch action.</t>
  </si>
  <si>
    <t>Code review 2026-10-04 (agent-reviewed, spot-checked): Partial. Near-expiry report and write-off action exist; no prepare-return-to-vendor batch action or debit note flow.</t>
  </si>
  <si>
    <t>Near-expiry report and write-off action exist; no prepare-return-to-vendor batch action or debit note flow.</t>
  </si>
  <si>
    <t>P-0043</t>
  </si>
  <si>
    <t>Record purchases by batch</t>
  </si>
  <si>
    <t>Pharmacist / Store Manager</t>
  </si>
  <si>
    <t>Pharma Wholesaler</t>
  </si>
  <si>
    <t>Inward medicine purchases capturing manufacturer batch number, manufacturing date, expiry date, and MRP</t>
  </si>
  <si>
    <t>Creates or updates BatchLot records; increments batch quantity and updates latest purchase rate</t>
  </si>
  <si>
    <t>Supported via /purchases/invoices/create with batch lot table inputs per line item.</t>
  </si>
  <si>
    <t>Code review 2026-10-04 (agent-reviewed, spot-checked): Confirmed. Purchase lines create or update BatchLot with batch number, mfg and expiry dates and move stock into it.</t>
  </si>
  <si>
    <t>backend/tests/test_c02_lot_identity.py::test_purchase_complete_rejects_expiry_mismatch; backend/tests/test_pr5_returns_serials_fefo.py::test_r039_purchase_return_retires_earliest_expiry_first</t>
  </si>
  <si>
    <t>backend/inventory/models.py:BatchLot; backend/inventory/item_stock.py:get_or_create_batch</t>
  </si>
  <si>
    <t>Purchase lines create or update BatchLot with batch number, mfg and expiry dates and move stock into it.</t>
  </si>
  <si>
    <t>P-0044</t>
  </si>
  <si>
    <t>Track medicine stock</t>
  </si>
  <si>
    <t>Maintain real-time available stock of strips, syrups, vials, and schedule drugs</t>
  </si>
  <si>
    <t>Maintains perpetual inventory ledger; prevents stockouts of life-saving medicines</t>
  </si>
  <si>
    <t>Supported via /inventory/products/ with multi-unit packaging support (Strip / Tablet).</t>
  </si>
  <si>
    <t>Code review 2026-10-04 (agent-reviewed, spot-checked): Confirmed. Stock ledger tracks per-product balances with multi-unit conversion to base quantity, covering strip and tablet style packaging.</t>
  </si>
  <si>
    <t>backend/inventory/models.py:StockBalance; backend/inventory/item_stock.py:base_quantity</t>
  </si>
  <si>
    <t>Stock ledger tracks per-product balances with multi-unit conversion to base quantity, covering strip and tablet style packaging.</t>
  </si>
  <si>
    <t>P-0045</t>
  </si>
  <si>
    <t>Handle medicine returns</t>
  </si>
  <si>
    <t>Accept patient returns of un-opened strips, verify batch identity, and issue credit/refund</t>
  </si>
  <si>
    <t>Validates that returned batch was originally sold on referenced invoice; restores batch stock</t>
  </si>
  <si>
    <t>Supported via SalesReturn with mandatory batch lot selection and condition grading.</t>
  </si>
  <si>
    <t>Matched SalesReturn in product code. This is not a functional test.</t>
  </si>
  <si>
    <t>Rapid search by brand name, generic composition / salt name, or barcode during billing</t>
  </si>
  <si>
    <t>Queries product catalog and active batch lots; displays composition, manufacturer, and stock</t>
  </si>
  <si>
    <t>Supported via multi-field indexed search (brand, salt, manufacturer, barcode) on POS. | Decision 2026-10-04 (delegated, quality-first): Build in Pilot (2 days). Native salt/composition and manufacturer fields, searchable at billing. | Truth 2026-10-05 (WI-036): Partial. No test searches by salt, composition or manufacturer; no query-budget test within the checkout latency budget. Fields, trigram index and search filter exist but nothing exercises them.</t>
  </si>
  <si>
    <t>Code review 2026-10-04 (agent-reviewed, spot-checked): Partial. Product search matches name, SKU, barcode, HSN and custom fields; no native salt/composition or manufacturer field.</t>
  </si>
  <si>
    <t>backend/tests/test_search_reports_audit.py::test_universal_search_by_name_sku_barcode_and_number</t>
  </si>
  <si>
    <t>backend/masters/models.py:Product; backend/masters/migrations/0028_product_medicine_trgm.py; backend/masters/views.py</t>
  </si>
  <si>
    <t>backend/masters/views.py:ProductViewSet</t>
  </si>
  <si>
    <t>P-0047</t>
  </si>
  <si>
    <t>Maintain MRP and selling price</t>
  </si>
  <si>
    <t>Drug Price Regulator (NPPA)</t>
  </si>
  <si>
    <t>Enforce statutory Maximum Retail Price (MRP) compliance and apply pharmacy discounts</t>
  </si>
  <si>
    <t>Ensures selling price never exceeds statutory MRP; displays discount percentage clearly</t>
  </si>
  <si>
    <t>System validation rule: SP &lt;= MRP strictly enforced on all pharmaceutical SKUs.</t>
  </si>
  <si>
    <t>Code review 2026-10-04 (agent-reviewed, spot-checked): Contradicted. mrp is a stored field only; no rule enforcing selling price not above MRP.</t>
  </si>
  <si>
    <t>none found: searched mrp validation in backend/masters/serializers.py, models.py, sales/services.py</t>
  </si>
  <si>
    <t>mrp is a stored field only; no rule enforcing selling price not above MRP.</t>
  </si>
  <si>
    <t>Pharmacist / Owner</t>
  </si>
  <si>
    <t>Track purchase volumes, credit terms, and payment history per pharmaceutical distributor</t>
  </si>
  <si>
    <t>Maintains supplier purchase register; enables reconciliation of distributor statements</t>
  </si>
  <si>
    <t>Supported via /purchases/suppliers/ with comprehensive statement ledger.</t>
  </si>
  <si>
    <t>Code review 2026-10-04 (agent-reviewed, spot-checked): Confirmed. Supplier statement ledger shows purchases, payments and balance.</t>
  </si>
  <si>
    <t>Same task as P-0060</t>
  </si>
  <si>
    <t>backend/ledgers/services.py:supplier_statement; backend/ledgers/views.py:</t>
  </si>
  <si>
    <t>Supplier statement ledger shows purchases, payments and balance.</t>
  </si>
  <si>
    <t>P-0049</t>
  </si>
  <si>
    <t>Generate GST-compliant medicine invoices</t>
  </si>
  <si>
    <t>Patient / B2B Hospital Client</t>
  </si>
  <si>
    <t>Generate invoices with Drug Licence numbers (Form 20B/21B), HSN, batch, expiry, and GST split</t>
  </si>
  <si>
    <t>Renders statutory pharmacy invoice template compliant with Drugs and Cosmetics Act and GST rules</t>
  </si>
  <si>
    <t>Supported via specialized Pharmacy Invoice PDF template showing DL numbers and batch grid.</t>
  </si>
  <si>
    <t>Code review 2026-10-04 (agent-reviewed, spot-checked): Confirmed. Sales invoice PDF prints Drug Licence 20B/21B numbers plus batch and expiry per line.</t>
  </si>
  <si>
    <t>backend/tests/workflows/test_wf60_arch05_statutory_forms.py::test_wf60_arch05_drug_licence_soft_block_then_pdf</t>
  </si>
  <si>
    <t>backend/sales/pdf/gst_tax_invoice.py:licence_labels; backend/accounts/models.py:CompanyStatutoryLicence</t>
  </si>
  <si>
    <t>Sales invoice PDF prints Drug Licence 20B/21B numbers plus batch and expiry per line.</t>
  </si>
  <si>
    <t>P-0050</t>
  </si>
  <si>
    <t>Identify expiry-risk stock</t>
  </si>
  <si>
    <t>Quantify total financial capital tied up in stock expiring within the next 90 days</t>
  </si>
  <si>
    <t>Calculates value at risk: SUM(Quantity * Cost Price) for all batches expiring within threshold</t>
  </si>
  <si>
    <t>Supported via Capital at Risk dashboard widget in Insights module.</t>
  </si>
  <si>
    <t>Code review 2026-10-04 (agent-reviewed, spot-checked): Contradicted. Expiry alerts carry no cost value; attention rows set money_impact_paise to 0 and no SUM(quantity*cost) widget exists.</t>
  </si>
  <si>
    <t>none found: searched capital at risk, value at risk, expiry value in backend and web</t>
  </si>
  <si>
    <t>Expiry alerts carry no cost value; attention rows set money_impact_paise to 0 and no SUM(quantity*cost) widget exists.</t>
  </si>
  <si>
    <t>P-0051</t>
  </si>
  <si>
    <t>View profitability by item/category</t>
  </si>
  <si>
    <t>Medical Shop Owner</t>
  </si>
  <si>
    <t>Analyze gross margins across ethical drugs, generic medicines, OTC products, and surgicals</t>
  </si>
  <si>
    <t>Aggregates sales revenue and cost of goods sold grouped by drug category and manufacturer</t>
  </si>
  <si>
    <t>Supported via Category Profitability report (/reports/category-margins/).</t>
  </si>
  <si>
    <t>Code review 2026-10-04 (agent-reviewed, spot-checked): Partial. Margin rollup by product, customer, period, cost centre only; no category or manufacturer grouping.</t>
  </si>
  <si>
    <t>backend/reporting/services.py:invoice_profit_rollup</t>
  </si>
  <si>
    <t>Margin rollup by product, customer, period, cost centre only; no category or manufacturer grouping.</t>
  </si>
  <si>
    <t>Wholesale Billing Clerk</t>
  </si>
  <si>
    <t>Retail Merchant / Dealer</t>
  </si>
  <si>
    <t>Create high-volume B2B tax invoices with tiered wholesale price lists, discounts, and credit terms</t>
  </si>
  <si>
    <t>Decrements warehouse stock, debits customer AR ledger, generates GST B2B tax invoice</t>
  </si>
  <si>
    <t>Supported via /sales/invoices/ with wholesale price list auto-application and bulk CSV entry. | Decision 2026-10-04 (delegated, quality-first): Build in Pilot (4 days). Bulk invoice CSV import with validation and per-row errors. | Truth 2026-10-05 (WI-037): Partial. CSV columns for invoice date and due date, barcode lookup and warehouse are not handled (SKU only, no warehouse or dates). The 2,000-row cap is not tested. Idempotent re-upload is not asserted after a committed run. Dry run, per-invoice atomic commit, row-level rejects and hash idempotency exist; several scope columns are missing.</t>
  </si>
  <si>
    <t>Code review 2026-10-04 (agent-reviewed, spot-checked): Partial. Invoices apply price lists and post stock, AR and GST; bulk CSV entry for invoices not found.</t>
  </si>
  <si>
    <t>backend/tests/test_c04_price_slabs.py::test_invoice_line_snapshots_list_name; backend/tests/test_sprint3_multicompany_pricing.py::test_bb_000657_server_resolves_price_list; backend/tests/test_planwave_finish.py::test_bulk_commit_rejects_only_the_bad_invoice; backend/tests/test_planwave_remaining.py::test_bulk_import_and_tally_map</t>
  </si>
  <si>
    <t>pytest full suite on SQLite (agent run 2026-10-05); human review pending</t>
  </si>
  <si>
    <t>backend/planwave/services.py:parse_bulk_invoices; backend/planwave/finish.py:commit_bulk_invoices; backend/planwave/views.py:BulkCommitView</t>
  </si>
  <si>
    <t>backend/sales/services.py:SalesService; backend/masters/models.py:PriceListItem</t>
  </si>
  <si>
    <t>P-0053</t>
  </si>
  <si>
    <t>Process retailer orders</t>
  </si>
  <si>
    <t>Commercial Order Desk</t>
  </si>
  <si>
    <t>Retailer / Field Sales Agent</t>
  </si>
  <si>
    <t>Capture and validate bulk purchase orders submitted by retailers or field salesmen</t>
  </si>
  <si>
    <t>Creates SalesOrder in system; validates stock availability and credit status before confirmation</t>
  </si>
  <si>
    <t>Supported via /sales/orders/ with order-to-invoice conversion workflow.</t>
  </si>
  <si>
    <t>Code review 2026-10-04 (agent-reviewed, spot-checked): Partial. Orders are created with credit-limit gating and stock reservation on confirm; field-salesman capture and explicit stock validation not confirmed.</t>
  </si>
  <si>
    <t>Other</t>
  </si>
  <si>
    <t>backend/sales/models.py:SalesOrder</t>
  </si>
  <si>
    <t>backend/tests/test_a13_a14_reporting_sales.py; backend/tests/test_a15_cr090_plus.py; backend/tests/test_b05_attention.py</t>
  </si>
  <si>
    <t>backend/sales/models.py:SalesOrder; backend/sales/order_gates.py:apply_order_gates</t>
  </si>
  <si>
    <t>Orders are created with credit-limit gating and stock reservation on confirm; field-salesman capture and explicit stock validation not confirmed.</t>
  </si>
  <si>
    <t>P-0054</t>
  </si>
  <si>
    <t>Allocate inventory against orders</t>
  </si>
  <si>
    <t>Warehouse Dispatcher</t>
  </si>
  <si>
    <t>Sales Desk</t>
  </si>
  <si>
    <t>Reserve inventory against confirmed retailer orders to prevent double-allocation</t>
  </si>
  <si>
    <t>Updates reserved_quantity on StockBalance; recalculates available_to_promise (ATP) stock</t>
  </si>
  <si>
    <t>Supported in SalesOrder confirmation: reserves stock prior to dispatch note generation.</t>
  </si>
  <si>
    <t>Matched SalesOrder in product code. This is not a functional test.</t>
  </si>
  <si>
    <t>Inventory / Warehouse</t>
  </si>
  <si>
    <t>backend/inventory/models.py:StockBalance; backend/sales/models.py:SalesOrder</t>
  </si>
  <si>
    <t>P-0055</t>
  </si>
  <si>
    <t>Generate delivery documents</t>
  </si>
  <si>
    <t>Logistics Dispatcher</t>
  </si>
  <si>
    <t>Delivery Driver / Transport Agency</t>
  </si>
  <si>
    <t>Generate Delivery Challans and packing slips to accompany goods during transport</t>
  </si>
  <si>
    <t>Generates delivery document referencing SalesOrder/Invoice; records vehicle and driver details</t>
  </si>
  <si>
    <t>Supported via DeliveryChallan generator (/sales/delivery-challans/).</t>
  </si>
  <si>
    <t>Matched DeliveryChallan in product code. This is not a functional test.</t>
  </si>
  <si>
    <t>Logistics &amp; Delivery</t>
  </si>
  <si>
    <t>backend/sales/models.py:SalesOrder; backend/sales/models.py:DeliveryChallan</t>
  </si>
  <si>
    <t>P-0056</t>
  </si>
  <si>
    <t>Track pending customer orders</t>
  </si>
  <si>
    <t>Sales Manager</t>
  </si>
  <si>
    <t>Retailer</t>
  </si>
  <si>
    <t>Monitor backlog of unfulfilled or partially fulfilled sales orders</t>
  </si>
  <si>
    <t>Surfaces open orders grouped by dispatch status, aging days, and order value</t>
  </si>
  <si>
    <t>Supported via /sales/orders/?status=PENDING filter and dashboard backlog widget.</t>
  </si>
  <si>
    <t>Code review 2026-10-04 (agent-reviewed, spot-checked): Partial. Orders list by status exists; no dispatch-status grouping or aging backlog widget.</t>
  </si>
  <si>
    <t>Sales &amp; Growth</t>
  </si>
  <si>
    <t>backend/sales/models.py:SalesOrder; web/src/App.tsx:Route</t>
  </si>
  <si>
    <t>Orders list by status exists; no dispatch-status grouping or aging backlog widget.</t>
  </si>
  <si>
    <t>Credit Controller / Owner</t>
  </si>
  <si>
    <t>Monitor wholesale receivables with aging analysis (0-30, 31-60, 61-90, 90+ days)</t>
  </si>
  <si>
    <t>Computes real-time AR aging per dealer; flags overdue accounts for payment collection</t>
  </si>
  <si>
    <t>Supported via /sales/reports/receivables-aging/ with drill-down to unpaid invoices.</t>
  </si>
  <si>
    <t>Code review 2026-10-04 (agent-reviewed, spot-checked): Confirmed. Receivables ageing buckets (current,1-30,31-60,61-90,90+) exist company-wide and per customer with open-invoice drill-down.</t>
  </si>
  <si>
    <t>backend/tests/test_a4_a5_reporting.py::test_cr060_dashboard_receivables_equals_aging_sum; backend/tests/test_a7_a8_a9_highs.py::test_cr061_aging_ignores_supplier_payment_on_sales_invoice</t>
  </si>
  <si>
    <t>Business Owner</t>
  </si>
  <si>
    <t>Same task as P-0137</t>
  </si>
  <si>
    <t>backend/reporting/services.py:ReportService; backend/payments/dunning.py:customer_risk_snapshot; backend/payments/views.py:CollectionRiskView</t>
  </si>
  <si>
    <t>Receivables ageing buckets (current,1-30,31-60,61-90,90+) exist company-wide and per customer with open-invoice drill-down.</t>
  </si>
  <si>
    <t>P-0058</t>
  </si>
  <si>
    <t>Manage credit limits</t>
  </si>
  <si>
    <t>Enforce maximum allowed credit exposure and payment grace periods per retailer</t>
  </si>
  <si>
    <t>Validates total unpaid balance + new order value against customer.credit_limit; blocks if breached</t>
  </si>
  <si>
    <t>Hard validation check in SalesService.create; blocks invoice completion without Owner override.</t>
  </si>
  <si>
    <t>Matched SalesService in product code. This is not a functional test.</t>
  </si>
  <si>
    <t>backend/tests/test_next_batch_so_challan.py::test_credit_override_is_owner_only_and_copies_onto_that_invoice; backend/tests/test_phase1_notes_ledger.py::test_credit_limit_blocks_complete</t>
  </si>
  <si>
    <t>backend/sales/services.py:SalesService</t>
  </si>
  <si>
    <t>backend/tests/test_a10_period_centralization.py; backend/tests/test_a13_a14_reporting_sales.py; backend/tests/test_chaos_resilience.py</t>
  </si>
  <si>
    <t>P-0059</t>
  </si>
  <si>
    <t>Record customer collections</t>
  </si>
  <si>
    <t>Accounts Cashier</t>
  </si>
  <si>
    <t>Record high-value NEFT, RTGS, cheque, or cash collections from retailers</t>
  </si>
  <si>
    <t>Creates Payment record; matches and closes specific open invoices; updates bank ledger</t>
  </si>
  <si>
    <t>Supported via /payments/create with multi-bill allocation and TDS deduction support.</t>
  </si>
  <si>
    <t>Code review 2026-10-04 (agent-reviewed, spot-checked): Partial. Receipts allocate across bills and post to bank ledger, but TDS deduction exists only on supplier payments, and no NEFT/RTGS modes.</t>
  </si>
  <si>
    <t>backend/payments/services.py:PaymentService; backend/payments/models.py:CustomerReceipt</t>
  </si>
  <si>
    <t>Receipts allocate across bills and post to bank ledger, but TDS deduction exists only on supplier payments, and no NEFT/RTGS modes.</t>
  </si>
  <si>
    <t>Procurement Manager</t>
  </si>
  <si>
    <t>Manufacturing Principal</t>
  </si>
  <si>
    <t>Track large-scale procurement purchase orders and supplier dispatch consignments</t>
  </si>
  <si>
    <t>Tracks PO fulfillment percentage, received shipments, and outstanding supplier liabilities</t>
  </si>
  <si>
    <t>Supported via /purchases/orders/ and supplier ledger dashboard.</t>
  </si>
  <si>
    <t>Code review 2026-10-04 (agent-reviewed, spot-checked): Partial. POs exist and convert to bills; no fulfilment percentage or received-versus-ordered tracking.</t>
  </si>
  <si>
    <t>Same task as P-0048</t>
  </si>
  <si>
    <t>backend/purchases/models.py:PurchaseOrder; backend/purchases/grn_service.py:convert_to_bill</t>
  </si>
  <si>
    <t>POs exist and convert to bills; no fulfilment percentage or received-versus-ordered tracking.</t>
  </si>
  <si>
    <t>P-0061</t>
  </si>
  <si>
    <t>Manage large inventory volumes</t>
  </si>
  <si>
    <t>Warehouse Custodian</t>
  </si>
  <si>
    <t>Efficient tracking and auditing of thousands of SKUs across pallet racks and storage bins</t>
  </si>
  <si>
    <t>Provides bulk inventory search, location tagging, and barcode-based inventory reconciliation</t>
  </si>
  <si>
    <t>Supported via optimized paginated inventory ledger with sub-second SKU queries.</t>
  </si>
  <si>
    <t>Code review 2026-10-04 (agent-reviewed, spot-checked): Partial. Paginated stock lists, product search by barcode and stock counts exist; no rack or bin location tagging beyond warehouses.</t>
  </si>
  <si>
    <t>backend/inventory/views.py:low_stock; backend/inventory/models.py:StockCountSession</t>
  </si>
  <si>
    <t>Paginated stock lists, product search by barcode and stock counts exist; no rack or bin location tagging beyond warehouses.</t>
  </si>
  <si>
    <t>P-0062</t>
  </si>
  <si>
    <t>Transfer stock between warehouses</t>
  </si>
  <si>
    <t>Logistics Coordinator</t>
  </si>
  <si>
    <t>Warehouse Staff</t>
  </si>
  <si>
    <t>Move goods between central hub and regional spoke godowns with transit tracking</t>
  </si>
  <si>
    <t>Decrements source godown, stages stock in-transit, increments destination godown upon receipt</t>
  </si>
  <si>
    <t>Supported via StockTransfer workflow (status: DRAFT -&gt; IN_TRANSIT -&gt; RECEIVED).</t>
  </si>
  <si>
    <t>Matched StockTransfer in product code. This is not a functional test.</t>
  </si>
  <si>
    <t>WH</t>
  </si>
  <si>
    <t>Multi-godown and multi-store</t>
  </si>
  <si>
    <t>backend/inventory/models.py:StockTransfer</t>
  </si>
  <si>
    <t>backend/tests/test_a10_period_centralization.py; backend/tests/test_a11_a12_stock_cost.py; backend/tests/test_phase4_inventory.py</t>
  </si>
  <si>
    <t>P-0063</t>
  </si>
  <si>
    <t>Track batch/serial inventory</t>
  </si>
  <si>
    <t>Maintain complete lifecycle and warranty traceability of serialized and batched SKUs</t>
  </si>
  <si>
    <t>Tracks serial numbers (status: AVAILABLE, SOLD, RETURNED) and batch lots with expiry dates</t>
  </si>
  <si>
    <t>Supported via SerialNumber and BatchLot models across sales and purchase flows.</t>
  </si>
  <si>
    <t>Matched SerialNumber in product code. This is not a functional test.</t>
  </si>
  <si>
    <t>backend/inventory/models.py:SerialNumber; backend/inventory/models.py:BatchLot</t>
  </si>
  <si>
    <t>backend/tests/test_a6_manual_serial_return.py; backend/tests/test_b4_b5_notes_serial.py; backend/tests/test_c02_lot_identity.py</t>
  </si>
  <si>
    <t>P-0064</t>
  </si>
  <si>
    <t>Track expiry-risk stock</t>
  </si>
  <si>
    <t>Warehouse Manager</t>
  </si>
  <si>
    <t>Principal Supplier</t>
  </si>
  <si>
    <t>Detect perishable or near-expiry wholesale stock to negotiate vendor return or clearance</t>
  </si>
  <si>
    <t>Surfaces aggregate stock value expiring within 30/60/90 days; generates supplier claim list</t>
  </si>
  <si>
    <t>Supported via Expiry Risk Dashboard in Inventory reporting.</t>
  </si>
  <si>
    <t>Code review 2026-10-04 (agent-reviewed, spot-checked): Partial. Expiry horizon list by days exists; no aggregate stock value expiring and no supplier claim list.</t>
  </si>
  <si>
    <t>backend/inventory/views.py:ExpiryAlertsView; backend/insights/attention.py:_expiry_rows</t>
  </si>
  <si>
    <t>Expiry horizon list by days exists; no aggregate stock value expiring and no supplier claim list.</t>
  </si>
  <si>
    <t>P-0065</t>
  </si>
  <si>
    <t>Analyze customer profitability</t>
  </si>
  <si>
    <t>Commercial Director</t>
  </si>
  <si>
    <t>Evaluate gross margin and net profit contribution generated by each retail dealer</t>
  </si>
  <si>
    <t>Aggregates total sales, discounts given, and cost of goods sold per customer account</t>
  </si>
  <si>
    <t>Supported via Customer Profitability Analysis Report (/reports/customer-profitability/).</t>
  </si>
  <si>
    <t>Code review 2026-10-04 (agent-reviewed, spot-checked): Confirmed. group_by=customer aggregates revenue, COGS and margin per customer.</t>
  </si>
  <si>
    <t>group_by=customer aggregates revenue, COGS and margin per customer.</t>
  </si>
  <si>
    <t>P-0066</t>
  </si>
  <si>
    <t>Analyze product profitability</t>
  </si>
  <si>
    <t>Product Manager</t>
  </si>
  <si>
    <t>Identify highest and lowest margin brand categories to optimize procurement volume commitments</t>
  </si>
  <si>
    <t>Computes product contribution margin after supplier rebates, discounts, and direct freight</t>
  </si>
  <si>
    <t>Supported via Product Margin Matrix Report (/reports/product-margins/).</t>
  </si>
  <si>
    <t>Code review 2026-10-04 (agent-reviewed, spot-checked): Partial. Product margin rollup exists; no supplier rebates or freight in contribution margin.</t>
  </si>
  <si>
    <t>Platform Admin</t>
  </si>
  <si>
    <t>Product margin rollup exists; no supplier rebates or freight in contribution margin.</t>
  </si>
  <si>
    <t>P-0067</t>
  </si>
  <si>
    <t>Reconcile receivables and payments</t>
  </si>
  <si>
    <t>Senior Accountant</t>
  </si>
  <si>
    <t>Regular ledger reconciliation with retail dealers to clear mismatched balances and disputes</t>
  </si>
  <si>
    <t>Generates unified customer statement showing invoices, debit/credit notes, and payment receipts</t>
  </si>
  <si>
    <t>Supported via Customer Statement Generator with PDF/Excel shareable link.</t>
  </si>
  <si>
    <t>Code review 2026-10-04 (agent-reviewed, spot-checked): Confirmed. Customer statement lists invoices, notes and receipts with running balance.</t>
  </si>
  <si>
    <t>backend/ledgers/services.py:customer_statement; backend/ledgers/views.py:</t>
  </si>
  <si>
    <t>Customer statement lists invoices, notes and receipts with running balance.</t>
  </si>
  <si>
    <t>P-0068</t>
  </si>
  <si>
    <t>Receive stock into godown</t>
  </si>
  <si>
    <t>Godown Custodian</t>
  </si>
  <si>
    <t>Delivery Carrier / Supplier</t>
  </si>
  <si>
    <t>Verify received physical goods against supplier delivery challan and inward into stock</t>
  </si>
  <si>
    <t>Creates StockMovement (INWARD_PURCHASE); updates physical on-hand quantity</t>
  </si>
  <si>
    <t>Supported in Purchase Invoice complete flow; auto-generates stock inward movement.</t>
  </si>
  <si>
    <t>Code review 2026-10-04 (agent-reviewed, spot-checked): Confirmed. GRN completion posts inward stock movements (type PURCHASE) updating on-hand quantity.</t>
  </si>
  <si>
    <t>Stock</t>
  </si>
  <si>
    <t>backend/purchases/grn_service.py:complete; backend/inventory/models.py:StockMovement</t>
  </si>
  <si>
    <t>GRN completion posts inward stock movements (type PURCHASE) updating on-hand quantity.</t>
  </si>
  <si>
    <t>P-0069</t>
  </si>
  <si>
    <t>Allocate stock to customer orders</t>
  </si>
  <si>
    <t>Assign physical bin stock to pending sales orders for picking and packing</t>
  </si>
  <si>
    <t>Updates reserved inventory quantity, preventing duplicate commitment of stock</t>
  </si>
  <si>
    <t>Supported via order reservation mechanism in sales processing.</t>
  </si>
  <si>
    <t>Code review 2026-10-04 (agent-reviewed, spot-checked): Confirmed. Confirming a sales order reserves each line into StockBalance.reserved, reducing available quantity; bin-level allocation not present.</t>
  </si>
  <si>
    <t>backend/sales/notes_services.py:confirm_sales_order; backend/inventory/services.py:reserve_stock</t>
  </si>
  <si>
    <t>Confirming a sales order reserves each line into StockBalance.reserved, reducing available quantity; bin-level allocation not present.</t>
  </si>
  <si>
    <t>P-0070</t>
  </si>
  <si>
    <t>Pick and dispatch customer orders</t>
  </si>
  <si>
    <t>Logistics Driver</t>
  </si>
  <si>
    <t>Generate pick list, pull items from shelves, pack, and prepare dispatch consignment</t>
  </si>
  <si>
    <t>Changes sales order status to DISPATCHED; attaches vehicle and driver details</t>
  </si>
  <si>
    <t>Supported via Pick List printing and Delivery Challan generation.</t>
  </si>
  <si>
    <t>Code review 2026-10-04 (agent-reviewed, spot-checked): Contradicted. Challans record vehicle details but no pick list exists and SalesOrder has no DISPATCHED status.</t>
  </si>
  <si>
    <t>backend/sales/models.py:DeliveryChallan; backend/sales/models.py:SalesOrder</t>
  </si>
  <si>
    <t>Challans record vehicle details but no pick list exists and SalesOrder has no DISPATCHED status.</t>
  </si>
  <si>
    <t>P-0071</t>
  </si>
  <si>
    <t>Track available and committed stock</t>
  </si>
  <si>
    <t>Sales Team</t>
  </si>
  <si>
    <t>Distinguish between total physical on-hand stock and uncommitted available-to-sell stock</t>
  </si>
  <si>
    <t>Computes available_stock = on_hand_stock - committed_order_stock in real time</t>
  </si>
  <si>
    <t>Supported via StockBalance model displaying on_hand vs available columns.</t>
  </si>
  <si>
    <t>Supplier / Claims Adjuster</t>
  </si>
  <si>
    <t>Quarantine broken, leaking, or damaged items into a non-saleable virtual location</t>
  </si>
  <si>
    <t>Transfers inventory to DAMAGED warehouse bin; excludes from available-to-sell inventory</t>
  </si>
  <si>
    <t>Supported via internal StockAdjustment with reason='DAMAGED' or transfer to Quarantine.</t>
  </si>
  <si>
    <t>Matched StockAdjustment in product code. This is not a functional test.</t>
  </si>
  <si>
    <t>Same task as P-0153</t>
  </si>
  <si>
    <t>Retailer / Delivery Driver</t>
  </si>
  <si>
    <t>Inspect goods returned from customer delivery, verify condition, and route to shelf or scrap</t>
  </si>
  <si>
    <t>Records return receipt, verifies line items, restores inventory if sellable</t>
  </si>
  <si>
    <t>Supported via SalesReturn inspection step with condition tagging (Sellable / Damaged).</t>
  </si>
  <si>
    <t>Same task as P-0154</t>
  </si>
  <si>
    <t>P-0074</t>
  </si>
  <si>
    <t>Perform physical stock verification</t>
  </si>
  <si>
    <t>Internal Auditor</t>
  </si>
  <si>
    <t>Periodic wall-to-wall or cycle count of physical warehouse inventory</t>
  </si>
  <si>
    <t>Opens StockCountSession; freezes count lines, records physical counts, highlights variances</t>
  </si>
  <si>
    <t>Supported via /inventory/stock-counts/ workflow with blind-count support.</t>
  </si>
  <si>
    <t>Code review 2026-10-04 (agent-reviewed, spot-checked): Confirmed. Count sessions snapshot system_qty, record counted_qty, expose variance and post adjustments; no blind-count or freeze mode.</t>
  </si>
  <si>
    <t>backend/inventory/models.py:StockCountSession</t>
  </si>
  <si>
    <t>backend/tests/test_c01_godown.py; backend/tests/personas/test_pj_stock_audit_and_adjustments.py</t>
  </si>
  <si>
    <t>backend/inventory/models.py:StockCountSession; backend/inventory/models.py:StockCountLine</t>
  </si>
  <si>
    <t>Count sessions snapshot system_qty, record counted_qty, expose variance and post adjustments; no blind-count or freeze mode.</t>
  </si>
  <si>
    <t>P-0075</t>
  </si>
  <si>
    <t>Identify inventory discrepancies</t>
  </si>
  <si>
    <t>Identify shrinkage, misplacements, or count mismatches between system and physical count</t>
  </si>
  <si>
    <t>Generates Variance Report showing quantity difference and financial impact per SKU</t>
  </si>
  <si>
    <t>Supported via StockCountSession variance analysis before formal approval.</t>
  </si>
  <si>
    <t>Matched StockCountSession in product code. This is not a functional test.</t>
  </si>
  <si>
    <t>P-0076</t>
  </si>
  <si>
    <t>Generate stock valuation</t>
  </si>
  <si>
    <t>In-house Accountant</t>
  </si>
  <si>
    <t>External CA</t>
  </si>
  <si>
    <t>Compute total monetary value of inventory holding for balance sheet and tax reporting</t>
  </si>
  <si>
    <t>Multiplies current stock balance by FIFO cost layer or weighted average purchase cost</t>
  </si>
  <si>
    <t>Supported via /reports/inventory-valuation/ compliant with AS-2 / Ind-AS 2 valuation rules.</t>
  </si>
  <si>
    <t>Code review 2026-10-04 (agent-reviewed, spot-checked): Confirmed. Valuation endpoint returns stock value using company WAVG or FIFO method with optional price basis.</t>
  </si>
  <si>
    <t>backend/inventory/services.py:InventoryValuationService; backend/accounts/models.py:inventory_valuation_method</t>
  </si>
  <si>
    <t>Valuation endpoint returns stock value using company WAVG or FIFO method with optional price basis.</t>
  </si>
  <si>
    <t>P-0077</t>
  </si>
  <si>
    <t>Track FIFO inventory costing</t>
  </si>
  <si>
    <t>Auditor</t>
  </si>
  <si>
    <t>Ensure cost of goods sold reflects oldest inward purchase prices according to FIFO principles</t>
  </si>
  <si>
    <t>Maintains inward cost layers; consumes earliest available layer upon each outward sale</t>
  </si>
  <si>
    <t>Core system invariant: inventory valuation engine strictly follows FIFO cost layering.</t>
  </si>
  <si>
    <t>Code review 2026-10-04 (agent-reviewed, spot-checked): Partial. FIFO cost layers exist but FIFO is optional; company default is weighted average, so FIFO is not strictly enforced.</t>
  </si>
  <si>
    <t>backend/inventory/models.py:InventoryCostLayer; backend/accounts/models.py:inventory_valuation_method</t>
  </si>
  <si>
    <t>FIFO cost layers exist but FIFO is optional; company default is weighted average, so FIFO is not strictly enforced.</t>
  </si>
  <si>
    <t>P-0078</t>
  </si>
  <si>
    <t>Monitor reorder requirements</t>
  </si>
  <si>
    <t>Monitor minimum stock thresholds and generate replenishment recommendations</t>
  </si>
  <si>
    <t>Evaluates lead time and daily burn rate to recommend purchase order quantities</t>
  </si>
  <si>
    <t>Supported via /inventory/reorder-report/ with one-click PO draft generation.</t>
  </si>
  <si>
    <t>Code review 2026-10-04 (agent-reviewed, spot-checked): Confirmed. Reorder levels, lead time and 14-day burn rate drive suggested quantities; draft POs per supplier are created from the plan (route is purchase-planning, flag gated).</t>
  </si>
  <si>
    <t>backend/inventory/planning.py:purchase_plan; backend/inventory/planning.py:materialize_supplier_drafts; backend/inventory/services.py:suggest_replenishment</t>
  </si>
  <si>
    <t>Reorder levels, lead time and 14-day burn rate drive suggested quantities; draft POs per supplier are created from the plan (route is purchase-planning, flag gated).</t>
  </si>
  <si>
    <t>P-0079</t>
  </si>
  <si>
    <t>Multi-Godown Distributor</t>
  </si>
  <si>
    <t>View consolidated inventory</t>
  </si>
  <si>
    <t>Logistics Director / Owner</t>
  </si>
  <si>
    <t>Godown Managers</t>
  </si>
  <si>
    <t>Single unified dashboard showing total stock holding across all godowns and regional hubs</t>
  </si>
  <si>
    <t>Aggregates StockBalance across all Warehouse entities for the tenant company</t>
  </si>
  <si>
    <t>Supported via /inventory/ with 'All Godowns' view and location filter dropdown.</t>
  </si>
  <si>
    <t>Code review 2026-10-04 (agent-reviewed, spot-checked): Confirmed. Stock page aggregates balances across godowns into All godowns rows with a warehouse filter.</t>
  </si>
  <si>
    <t>backend/tests/test_cft_checklist.py::test_cft_040_042_048_reserved_available_agrees_across_surfaces</t>
  </si>
  <si>
    <t>web/src/pages/inventory/CurrentStockPage.tsx:CurrentStockPage; backend/inventory/views.py:StockBalanceViewSet; backend/inventory/models.py:StockBalance</t>
  </si>
  <si>
    <t>Stock page aggregates balances across godowns into All godowns rows with a warehouse filter.</t>
  </si>
  <si>
    <t>P-0080</t>
  </si>
  <si>
    <t>Check stock by location</t>
  </si>
  <si>
    <t>Wholesale Sales Clerk</t>
  </si>
  <si>
    <t>Godown Keepers</t>
  </si>
  <si>
    <t>Check exact stock availability at specific warehouse locations during order booking</t>
  </si>
  <si>
    <t>Filters StockBalance table by specific warehouse_id to confirm localized dispatch capability</t>
  </si>
  <si>
    <t>Supported across all billing and inventory screens via Warehouse selector.</t>
  </si>
  <si>
    <t>Code review 2026-10-04 (agent-reviewed, spot-checked): Confirmed. Balances are filterable by warehouse and available quantity is computed per warehouse.</t>
  </si>
  <si>
    <t>backend/inventory/views.py:StockBalanceViewSet; backend/inventory/services.py:available_quantity; backend/inventory/models.py:StockBalance</t>
  </si>
  <si>
    <t>Balances are filterable by warehouse and available quantity is computed per warehouse.</t>
  </si>
  <si>
    <t>Source &amp; Dest Godown Custodians</t>
  </si>
  <si>
    <t>Execute formalized transfer of goods from central replenishment hub to regional depot</t>
  </si>
  <si>
    <t>Creates StockTransfer record; records dispatch, transit insurance, and receipt confirmation</t>
  </si>
  <si>
    <t>Supported via /inventory/transfers/ with full multi-stage state machine. | Decision 2026-10-04 (delegated, quality-first): Build in Pilot (6 days). Dispatch, in-transit and receipt-confirmation stages for stock transfers. | Truth 2026-10-05 (WI-038): Built.  IN_TRANSIT warehouse and partial receipt with shortage reason are tested; transfers post no journal, though no test asserts the absence of a ledger entry.</t>
  </si>
  <si>
    <t>Code review 2026-10-04 (agent-reviewed, spot-checked): Partial. Transfers exist with DRAFT/COMPLETED/CANCELLED only; no dispatch, in-transit, insurance or separate receipt confirmation stages.</t>
  </si>
  <si>
    <t>backend/tests/test_phase4_inventory.py::test_transfer_conserves_stock_between_warehouses; backend/tests/workflows/test_wf_todo_stubs.py::test_wf21_stock_transfer_between_godowns; backend/tests/test_bug_wave3.py::test_bug_inv_001_transfer_holds_stock_in_transit; backend/tests/test_plan_partials.py::test_partial_receipt_records_the_shortage; backend/tests/test_code_review_2026_10_05_b.py::test_cancel_after_a_short_receipt_restores_stock_and_clears_transit</t>
  </si>
  <si>
    <t>backend/inventory/models.py:StockTransfer; backend/inventory/services.py:StockTransferService._move; backend/inventory/services.py:StockTransferService.in_transit_warehouse; backend/inventory/models.py:StockTransferLine</t>
  </si>
  <si>
    <t>backend/inventory/models.py:StockTransfer; backend/inventory/services.py:StockTransferService</t>
  </si>
  <si>
    <t>P-0082</t>
  </si>
  <si>
    <t>Allocate orders to the appropriate godown</t>
  </si>
  <si>
    <t>Commercial Manager</t>
  </si>
  <si>
    <t>Route customer order fulfillment to the nearest godown holding sufficient stock</t>
  </si>
  <si>
    <t>Assigns warehouse_id to sales invoice lines, optimizing delivery freight and transit time</t>
  </si>
  <si>
    <t>Supported in SalesOrder fulfillment routing; supports line-item warehouse allocation.</t>
  </si>
  <si>
    <t>P-0083</t>
  </si>
  <si>
    <t>Track inter-godown transfers</t>
  </si>
  <si>
    <t>Logistics Manager</t>
  </si>
  <si>
    <t>Transport Vendor</t>
  </si>
  <si>
    <t>Monitor stock in-transit between company warehouses to prevent theft and shrinkage</t>
  </si>
  <si>
    <t>Tracks shipment status (IN_TRANSIT); alerts if expected arrival date is exceeded</t>
  </si>
  <si>
    <t>Supported via StockTransfer in-transit tracking and overdue transfer alerts.</t>
  </si>
  <si>
    <t>P-0084</t>
  </si>
  <si>
    <t>Compare godown-wise sales</t>
  </si>
  <si>
    <t>Managing Proprietor</t>
  </si>
  <si>
    <t>Branch Managers</t>
  </si>
  <si>
    <t>Analyze sales revenue and volume contribution generated by each warehouse or depot</t>
  </si>
  <si>
    <t>Aggregates sales invoices grouped by source warehouse_id over specified date range</t>
  </si>
  <si>
    <t>Supported via /reports/warehouse-sales/ comparative report.</t>
  </si>
  <si>
    <t>Restored to authored P2. The previous workbook had P3 after a keyword rebalance. Code review 2026-10-04 (agent-reviewed, spot-checked): Partial. Sales register can filter by warehouse but no comparative grouping by warehouse.</t>
  </si>
  <si>
    <t>backend/reporting/services.py:sales_register</t>
  </si>
  <si>
    <t>Sales register can filter by warehouse but no comparative grouping by warehouse.</t>
  </si>
  <si>
    <t>P-0085</t>
  </si>
  <si>
    <t>Compare godown-wise profitability</t>
  </si>
  <si>
    <t>Evaluate gross profit and operating efficiency across different regional godowns</t>
  </si>
  <si>
    <t>Computes location-specific gross margin and cross-references localized handling expenses</t>
  </si>
  <si>
    <t>Supported via Branch/Warehouse Profit &amp; Loss breakdown report.</t>
  </si>
  <si>
    <t>Restored to authored P2. The previous workbook had P3 after a keyword rebalance. Code review 2026-10-04 (agent-reviewed, spot-checked): Contradicted. Profit rollup groups by customer, product, period, cost centre only; no warehouse profit report.</t>
  </si>
  <si>
    <t>none found: searched warehouse in invoice_profit_rollup, group_by, reporting urls</t>
  </si>
  <si>
    <t>Profit rollup groups by customer, product, period, cost centre only; no warehouse profit report.</t>
  </si>
  <si>
    <t>P-0086</t>
  </si>
  <si>
    <t>Identify stock imbalance</t>
  </si>
  <si>
    <t>Detect overstocked items in one depot and stockouts in another to trigger rebalancing</t>
  </si>
  <si>
    <t>Compares days of stock cover per SKU across warehouses; highlights rebalance candidates</t>
  </si>
  <si>
    <t>Supported via Inventory Balancing report with auto-generated StockTransfer draft.</t>
  </si>
  <si>
    <t>Matched StockTransfer in product code. This is not a functional test. Restored to authored P2. The previous workbook had P3 after a keyword rebalance.</t>
  </si>
  <si>
    <t>P-0087</t>
  </si>
  <si>
    <t>Perform location-wise stock audits</t>
  </si>
  <si>
    <t>Internal Audit Team</t>
  </si>
  <si>
    <t>Local Godown Keepers</t>
  </si>
  <si>
    <t>Conduct physical inventory counts independently at specific regional warehouses</t>
  </si>
  <si>
    <t>Scoped StockCountSession locked to a specific warehouse_id without halting other depots</t>
  </si>
  <si>
    <t>Supported in /inventory/stock-counts/ with warehouse-isolated audit sessions.</t>
  </si>
  <si>
    <t>Code review 2026-10-04 (agent-reviewed, spot-checked): Confirmed. Count sessions are tied to one warehouse and post adjustments only for that warehouse, without blocking others.</t>
  </si>
  <si>
    <t>External CA / Auditor</t>
  </si>
  <si>
    <t>backend/inventory/models.py:StockCountSession; backend/inventory/views.py:StockCountSessionViewSet</t>
  </si>
  <si>
    <t>Count sessions are tied to one warehouse and post adjustments only for that warehouse, without blocking others.</t>
  </si>
  <si>
    <t>P-0088</t>
  </si>
  <si>
    <t>Track inventory movement across locations</t>
  </si>
  <si>
    <t>Complete audit trail of all inward, outward, and transfer movements for any SKU across locations</t>
  </si>
  <si>
    <t>Queries immutable StockMovement ledger filtered by SKU and warehouse_id with chronological replay</t>
  </si>
  <si>
    <t>Supported via SKU Movement Ledger (/inventory/products/{id}/movements/).</t>
  </si>
  <si>
    <t>Code review 2026-10-04 (agent-reviewed, spot-checked): Partial. Append-only movement ledger filterable by product and warehouse exists; no per-SKU movements route or web ledger page found.</t>
  </si>
  <si>
    <t>backend/inventory/models.py:StockMovement; backend/inventory/views.py:StockMovementViewSet</t>
  </si>
  <si>
    <t>Append-only movement ledger filterable by product and warehouse exists; no per-SKU movements route or web ledger page found.</t>
  </si>
  <si>
    <t>Multi-Shop Owner</t>
  </si>
  <si>
    <t>Multi-Shop Managing Proprietor</t>
  </si>
  <si>
    <t>Store Managers</t>
  </si>
  <si>
    <t>Executive real-time visibility into consolidated revenue, cash collections, and stock across all outlets</t>
  </si>
  <si>
    <t>Consolidates live data across all retail branch locations on a single unified screen</t>
  </si>
  <si>
    <t>Supported via Multi-Store Executive Dashboard with outlet switching and consolidated totals. | Decision 2026-10-04 (delegated, quality-first): Build in Pilot (5 days). Per-outlet breakdown and outlet switching on the dashboard. | Truth 2026-10-05 (WI-039): Partial. Only an API listing on-hand and reserved stock per warehouse; no web DashboardPage integration or warehouse switching; no query-budget test. Backend per-warehouse listing exists; the dashboard breakdown/switch and budget test do not.</t>
  </si>
  <si>
    <t>Code review 2026-10-04 (agent-reviewed, spot-checked): Partial. Dashboard shows company-wide totals over all godowns; no outlet switching or per-outlet breakdown found.</t>
  </si>
  <si>
    <t>backend/tests/test_planwave_finish.py::test_godown_dashboard_lists_the_default_warehouse</t>
  </si>
  <si>
    <t>backend/planwave/finish.py:godown_dashboard; backend/planwave/views.py:GodownDashboardView</t>
  </si>
  <si>
    <t>backend/reporting/services.py:dashboard; backend/reporting/views.py:DashboardView</t>
  </si>
  <si>
    <t>P-0090</t>
  </si>
  <si>
    <t>Compare shop sales</t>
  </si>
  <si>
    <t>Benchmark daily and monthly sales performance between retail store branches</t>
  </si>
  <si>
    <t>Generates comparative sales bar charts and tabular metrics broken down by store outlet</t>
  </si>
  <si>
    <t>Supported via /reports/multi-store-comparison/ with ranking by sales and footfall.</t>
  </si>
  <si>
    <t>Code review 2026-10-04 (agent-reviewed, spot-checked): Contradicted. No multi-store comparison report or store/outlet entity exists.</t>
  </si>
  <si>
    <t>none found: searched multi-store, outlet, branch, store comparison in backend urls and models</t>
  </si>
  <si>
    <t>No multi-store comparison report or store/outlet entity exists.</t>
  </si>
  <si>
    <t>P-0091</t>
  </si>
  <si>
    <t>Compare shop profitability</t>
  </si>
  <si>
    <t>Analyze net profit contributions of individual store locations after outlet operating expenses</t>
  </si>
  <si>
    <t>Matches outlet revenue against localized cost of goods sold, rent, utilities, and payroll</t>
  </si>
  <si>
    <t>Supported via Cost Center / Store P&amp;L report (/accounting/cost-centers/).</t>
  </si>
  <si>
    <t>Restored to authored P2. The previous workbook had P3 after a keyword rebalance. Code review 2026-10-04 (agent-reviewed, spot-checked): Partial. P&amp;L filters by cost centre; no store P&amp;L with allocated rent, utilities, payroll.</t>
  </si>
  <si>
    <t>backend/accounting/reports.py:profit_and_loss; backend/reporting/services.py:invoice_profit_rollup</t>
  </si>
  <si>
    <t>P&amp;L filters by cost centre; no store P&amp;L with allocated rent, utilities, payroll.</t>
  </si>
  <si>
    <t>P-0092</t>
  </si>
  <si>
    <t>Transfer inventory between shops</t>
  </si>
  <si>
    <t>Store Manager / Central Coordinator</t>
  </si>
  <si>
    <t>Store Cashiers</t>
  </si>
  <si>
    <t>Quick transfer of fast-moving items from low-demand shop to high-demand shop</t>
  </si>
  <si>
    <t>Generates inter-shop delivery challan; updates source and destination shop stock balances</t>
  </si>
  <si>
    <t>Supported via StockTransfer mechanism with store-to-store transfer presets.</t>
  </si>
  <si>
    <t>P-0093</t>
  </si>
  <si>
    <t>Monitor shop-wise inventory</t>
  </si>
  <si>
    <t>Inventory Controller</t>
  </si>
  <si>
    <t>Store Keepers</t>
  </si>
  <si>
    <t>Audit stock holding levels at each individual retail outlet to prevent stockouts</t>
  </si>
  <si>
    <t>Displays real-time inventory balances broken down by store location</t>
  </si>
  <si>
    <t>Supported via /inventory/ with outlet-specific balance views.</t>
  </si>
  <si>
    <t>Code review 2026-10-04 (agent-reviewed, spot-checked): Confirmed. Stock balances can be viewed per warehouse with a godown filter.</t>
  </si>
  <si>
    <t>web/src/pages/inventory/CurrentStockPage.tsx:CurrentStockPage; backend/inventory/views.py:StockBalanceViewSet</t>
  </si>
  <si>
    <t>Stock balances can be viewed per warehouse with a godown filter.</t>
  </si>
  <si>
    <t>P-0094</t>
  </si>
  <si>
    <t>Monitor shop-wise cash collections</t>
  </si>
  <si>
    <t>Managing Proprietor / Auditor</t>
  </si>
  <si>
    <t>Track physical cash collected at each store drawer and verify bank deposits</t>
  </si>
  <si>
    <t>Aggregates daily shift-close cash reports per branch; highlights cash deposit variances</t>
  </si>
  <si>
    <t>Supported via /accounting/cash-desks/ with store-wise till reconciliation.</t>
  </si>
  <si>
    <t>Code review 2026-10-04 (agent-reviewed, spot-checked): Contradicted. No cash-desk or store-wise till reconciliation exists.</t>
  </si>
  <si>
    <t>none found: searched cash-desks, shift close, till reconciliation, store-wise cash</t>
  </si>
  <si>
    <t>No cash-desk or store-wise till reconciliation exists.</t>
  </si>
  <si>
    <t>P-0095</t>
  </si>
  <si>
    <t>Monitor shop-wise outstanding</t>
  </si>
  <si>
    <t>Store Credit Staff</t>
  </si>
  <si>
    <t>Monitor customer khata and credit receivables originated across different retail stores</t>
  </si>
  <si>
    <t>Segments accounts receivable ledger by originating store location; tracks local recovery</t>
  </si>
  <si>
    <t>Supported via Customer Ledger filtered by branch/store origin.</t>
  </si>
  <si>
    <t>Code review 2026-10-04 (agent-reviewed, spot-checked): Contradicted. Customer ledger and outstanding have no branch or store origin segmentation.</t>
  </si>
  <si>
    <t>none found: searched branch, outlet, store, warehouse filter in backend/ledgers and backend/reporting ledger views</t>
  </si>
  <si>
    <t>Customer ledger and outstanding have no branch or store origin segmentation.</t>
  </si>
  <si>
    <t>P-0096</t>
  </si>
  <si>
    <t>Consolidate business performance</t>
  </si>
  <si>
    <t>Generate company-wide Profit &amp; Loss statement, Balance Sheet, and Trial Balance</t>
  </si>
  <si>
    <t>Consolidates all financial journal entries into master double-entry general ledger</t>
  </si>
  <si>
    <t>Supported via /accounting/reports/ (Trial Balance, P&amp;L, Balance Sheet) with consolidated rollup.</t>
  </si>
  <si>
    <t>Code review 2026-10-04 (agent-reviewed, spot-checked): Partial. TB, P&amp;L and balance sheet from GL exist for one company; no multi-entity consolidation.</t>
  </si>
  <si>
    <t>backend/accounting/reports.py:trial_balance; backend/accounting/reports.py:profit_and_loss; backend/accounting/reports.py:balance_sheet</t>
  </si>
  <si>
    <t>TB, P&amp;L and balance sheet from GL exist for one company; no multi-entity consolidation.</t>
  </si>
  <si>
    <t>P-0097</t>
  </si>
  <si>
    <t>Identify underperforming locations</t>
  </si>
  <si>
    <t>Regional Manager</t>
  </si>
  <si>
    <t>Identify stores failing to meet sales targets, gross margin benchmarks, or inventory turnover</t>
  </si>
  <si>
    <t>Highlights outlets with falling sales velocity, high discount rates, or excessive dead stock</t>
  </si>
  <si>
    <t>Supported via Store Performance Matrix in Insights module.</t>
  </si>
  <si>
    <t>Restored to authored P2. The previous workbook had P3 after a keyword rebalance. Code review 2026-10-04 (agent-reviewed, spot-checked): Contradicted. No store performance matrix or sales-target comparison; only SKU-level alerts exist.</t>
  </si>
  <si>
    <t>none found: searched store performance, underperform, target in insights</t>
  </si>
  <si>
    <t>No store performance matrix or sales-target comparison; only SKU-level alerts exist.</t>
  </si>
  <si>
    <t>P-0098</t>
  </si>
  <si>
    <t>Manage centralized product masters</t>
  </si>
  <si>
    <t>Catalog Manager / Admin</t>
  </si>
  <si>
    <t>Maintain uniform product catalog, barcodes, HSN codes, and standard pricing across all outlets</t>
  </si>
  <si>
    <t>Changes made to central Product master propagate instantly to all store POS terminals</t>
  </si>
  <si>
    <t>Core system invariant: Product catalog is company-scoped; synchronized across all branches.</t>
  </si>
  <si>
    <t>Code review 2026-10-04 (agent-reviewed, spot-checked): Confirmed. Product catalog is company-scoped with HSN, barcode and prices shared across all warehouses and users of the company.</t>
  </si>
  <si>
    <t>backend/masters/models.py:Product; backend/masters/views.py:ProductViewSet</t>
  </si>
  <si>
    <t>Product catalog is company-scoped with HSN, barcode and prices shared across all warehouses and users of the company.</t>
  </si>
  <si>
    <t>P-0099</t>
  </si>
  <si>
    <t>Control user access by shop</t>
  </si>
  <si>
    <t>System Administrator</t>
  </si>
  <si>
    <t>Store Staff</t>
  </si>
  <si>
    <t>Restrict store staff to accessing only their assigned shop's billing and inventory records</t>
  </si>
  <si>
    <t>Enforces Row-Level Security (RLS) and warehouse assignment guards on API and UI</t>
  </si>
  <si>
    <t>Supported via CompanyUser.assigned_warehouses and tenant permission boundaries.</t>
  </si>
  <si>
    <t>Matched CompanyUser in product code. This is not a functional test.</t>
  </si>
  <si>
    <t>backend/accounts/models.py:CompanyUser</t>
  </si>
  <si>
    <t>backend/tests/conftest.py; backend/tests/test_a03_preview.py; backend/tests/test_attention_outcomes.py</t>
  </si>
  <si>
    <t>P-0100</t>
  </si>
  <si>
    <t>Review sales transactions</t>
  </si>
  <si>
    <t>Billing Operators</t>
  </si>
  <si>
    <t>Audit all sales invoices for correct customer GSTIN, tax classification, and rate splits</t>
  </si>
  <si>
    <t>Validates tax calculation accuracy; confirms invoice number sequencing and ledger postings</t>
  </si>
  <si>
    <t>Supported via /sales/invoices/ with audit status filters and tax split breakdown.</t>
  </si>
  <si>
    <t>Code review 2026-10-04 (agent-reviewed, spot-checked): Confirmed. Sales invoice listing plus health check flags INVOICE_VALUE_MISMATCH and rate/GSTIN issues.</t>
  </si>
  <si>
    <t>backend/reporting/gst_returns.py:invoice_value_mismatch; backend/reporting/gst_health.py:build_gst_health</t>
  </si>
  <si>
    <t>Sales invoice listing plus health check flags INVOICE_VALUE_MISMATCH and rate/GSTIN issues.</t>
  </si>
  <si>
    <t>P-0101</t>
  </si>
  <si>
    <t>Review purchase transactions</t>
  </si>
  <si>
    <t>Verify supplier bills for accurate Input Tax Credit (ITC) eligibility and reverse charge</t>
  </si>
  <si>
    <t>Matches invoice amounts against purchase entries; validates supplier GSTIN active status</t>
  </si>
  <si>
    <t>Supported via /purchases/invoices/ with ITC eligibility flags.</t>
  </si>
  <si>
    <t>Code review 2026-10-04 (agent-reviewed, spot-checked): Confirmed. Purchase invoices carry ITC eligibility and RCM flags; supplier GSTIN status checks run in health report.</t>
  </si>
  <si>
    <t>backend/purchases/models.py:ItcEligibility; backend/reporting/gst_health.py:build_gst_health</t>
  </si>
  <si>
    <t>Purchase invoices carry ITC eligibility and RCM flags; supplier GSTIN status checks run in health report.</t>
  </si>
  <si>
    <t>P-0102</t>
  </si>
  <si>
    <t>Validate GST data</t>
  </si>
  <si>
    <t>Automated validation of all outward and inward transactions before statutory return generation</t>
  </si>
  <si>
    <t>Runs GST Guard rules: checks GSTIN checksum, HSN mandatory digits, state code vs Place of Supply</t>
  </si>
  <si>
    <t>Supported via GST Guard validation engine; surfaces actionable error cards on invalid records.</t>
  </si>
  <si>
    <t>Code review 2026-10-04 (agent-reviewed, spot-checked): Confirmed. GST guard validates buyer GSTIN, HSN master, rate consistency and POS before submission.</t>
  </si>
  <si>
    <t>backend/tests/test_gst_guard_v2.py::test_missing_hsn_b2b_blocks_completion; backend/tests/test_gst_guard_v2.py::test_validate_document_bad_gstin_is_blocking_regardless_of_hsn</t>
  </si>
  <si>
    <t>backend/reporting/gst_guard.py:validate_document; backend/reporting/gst_health.py:build_gst_health</t>
  </si>
  <si>
    <t>GST guard validates buyer GSTIN, HSN master, rate consistency and POS before submission.</t>
  </si>
  <si>
    <t>P-0103</t>
  </si>
  <si>
    <t>Identify missing GST information</t>
  </si>
  <si>
    <t>Billing Clerk</t>
  </si>
  <si>
    <t>Detect customer or supplier records with missing GSTIN, state code, or blank HSN</t>
  </si>
  <si>
    <t>Filters transactions with missing statutory fields; flags documents blocking clean tax filing</t>
  </si>
  <si>
    <t>Supported via /gst/missing-data/ exception queue with inline resolution.</t>
  </si>
  <si>
    <t>Code review 2026-10-04 (agent-reviewed, spot-checked): Confirmed. Health alerts HSN_MISSING, GSTIN_MISSING_COMPANY and POS_UNKNOWN list blocking documents; inline resolution not verified.</t>
  </si>
  <si>
    <t>Health alerts HSN_MISSING, GSTIN_MISSING_COMPANY and POS_UNKNOWN list blocking documents; inline resolution not verified.</t>
  </si>
  <si>
    <t>P-0104</t>
  </si>
  <si>
    <t>Reconcile purchase records with GST data</t>
  </si>
  <si>
    <t>Supplier / Tax Consultant</t>
  </si>
  <si>
    <t>Reconcile inward purchase invoices recorded in books against government GSTR-2B portal data</t>
  </si>
  <si>
    <t>Matches supplier GSTIN, invoice number, date, taxable value, and tax amounts; categorizes matches</t>
  </si>
  <si>
    <t>Supported via GSTR-2B automated reconciliation engine (/gst/gstr2b-recon/).</t>
  </si>
  <si>
    <t>Code review 2026-10-04 (agent-reviewed, spot-checked): Confirmed. 2B rows are matched to purchase invoices by GSTIN, number, amount and date with match class.</t>
  </si>
  <si>
    <t>backend/tests/snapshots/test_gstr2b_and_pdf.py::test_gstr2b_reconciliation_snapshot; backend/tests/test_wave17_gst_books.py::test_gstr2b_upload_and_match_api</t>
  </si>
  <si>
    <t>backend/reporting/gstr2b.py:match_gstr2b_to_purchases; backend/reporting/ims.py:classify_and_match</t>
  </si>
  <si>
    <t>2B rows are matched to purchase invoices by GSTIN, number, amount and date with match class.</t>
  </si>
  <si>
    <t>P-0105</t>
  </si>
  <si>
    <t>Review GSTR-2B/IMS information</t>
  </si>
  <si>
    <t>Import and analyze official GSTR-2B JSON and Invoice Management System (IMS) feeds</t>
  </si>
  <si>
    <t>Parses official GSTR-2B JSON format; displays matched, mismatched, and supplier-missing invoices</t>
  </si>
  <si>
    <t>Supported via GSTR-2B JSON import parser and IMS reconciliation view.</t>
  </si>
  <si>
    <t>Code review 2026-10-04 (agent-reviewed, spot-checked): Confirmed. 2B/IMS rows are ingested and classified into matched, partial and missing-in-IMS buckets.</t>
  </si>
  <si>
    <t>backend/reporting/ims_offline.py:import_offline; backend/reporting/ims.py:classify_and_match</t>
  </si>
  <si>
    <t>2B/IMS rows are ingested and classified into matched, partial and missing-in-IMS buckets.</t>
  </si>
  <si>
    <t>P-0106</t>
  </si>
  <si>
    <t>Accept/reject/pending invoice actions</t>
  </si>
  <si>
    <t>Mark recipient actions (Accept, Reject, Keep Pending) on supplier invoices per IMS guidelines</t>
  </si>
  <si>
    <t>Records recipient decision; exports structured action JSON for upload to GST IMS portal</t>
  </si>
  <si>
    <t>Supported via IMS Action Dashboard with bulk Accept/Reject/Pending decision tagging.</t>
  </si>
  <si>
    <t>Code review 2026-10-04 (agent-reviewed, spot-checked): Confirmed. Accept/reject/pending actions are recorded per row, bulk accept exists, offline action JSON is exported.</t>
  </si>
  <si>
    <t>backend/reporting/ims.py:apply_ims_action; backend/reporting/ims_offline.py:export_offline</t>
  </si>
  <si>
    <t>Accept/reject/pending actions are recorded per row, bulk accept exists, offline action JSON is exported.</t>
  </si>
  <si>
    <t>P-0107</t>
  </si>
  <si>
    <t>Identify ITC at risk</t>
  </si>
  <si>
    <t>Flag inward invoices where supplier has not uploaded to GSTR-1, putting input tax credit at risk</t>
  </si>
  <si>
    <t>Quantifies blocked/risky ITC; generates automated supplier payment hold alert</t>
  </si>
  <si>
    <t>Supported via ITC at Risk dashboard with direct supplier notification generator.</t>
  </si>
  <si>
    <t>Code review 2026-10-04 (agent-reviewed, spot-checked): Confirmed. ITC at risk is quantified and raised as an attention alert with supplier nudge.</t>
  </si>
  <si>
    <t>backend/tests/test_b03_ims.py::test_ims_summary_api; backend/tests/test_b03_ims.py::test_section_16_4_past_window_not_pending_forever</t>
  </si>
  <si>
    <t>backend/reporting/ims.py:credit_at_risk; backend/reporting/ims.py:supplier_po_nudge; backend/insights/attention.py:_itc_and_gst_rows</t>
  </si>
  <si>
    <t>ITC at risk is quantified and raised as an attention alert with supplier nudge.</t>
  </si>
  <si>
    <t>P-0108</t>
  </si>
  <si>
    <t>Track Section 16(4) deadlines</t>
  </si>
  <si>
    <t>Track statutory deadlines (30th November following financial year) for claiming unclaimed ITC</t>
  </si>
  <si>
    <t>Alerts accountant to aging purchase invoices approaching Section 16(4) time-bar limit</t>
  </si>
  <si>
    <t>Supported via Section 16(4) Expiry Warning widget in GST Health report.</t>
  </si>
  <si>
    <t>Code review 2026-10-04 (agent-reviewed, spot-checked): Confirmed. 16(4) deadline per row with expiring-ITC warning, alert and digest email.</t>
  </si>
  <si>
    <t>backend/tests/test_b03_ims.py::test_section_16_4_past_window_not_pending_forever</t>
  </si>
  <si>
    <t>backend/reporting/ims.py:section_16_4_deadline; backend/reporting/ims.py:expiring_itc_rows; backend/insights/attention.py:_itc_and_gst_rows</t>
  </si>
  <si>
    <t>16(4) deadline per row with expiring-ITC warning, alert and digest email.</t>
  </si>
  <si>
    <t>P-0109</t>
  </si>
  <si>
    <t>Identify supplier invoice defects</t>
  </si>
  <si>
    <t>Score and rank suppliers based on frequency of tax mismatches, delayed filing, and incorrect GSTINs</t>
  </si>
  <si>
    <t>Maintains supplier compliance score; alerts purchase team before issuing repeat orders</t>
  </si>
  <si>
    <t>Supported via Supplier Compliance &amp; Defect Matrix (/purchases/supplier-scores/).</t>
  </si>
  <si>
    <t>Code review 2026-10-04 (agent-reviewed, spot-checked): Confirmed. Per-supplier mismatch counts and average correction time are computed and surfaced.</t>
  </si>
  <si>
    <t>backend/reporting/ims.py:supplier_scorecard; backend/reporting/ims.py:supplier_defect_message</t>
  </si>
  <si>
    <t>Per-supplier mismatch counts and average correction time are computed and surfaced.</t>
  </si>
  <si>
    <t>P-0110</t>
  </si>
  <si>
    <t>Prepare GST returns</t>
  </si>
  <si>
    <t>Generate offline computation worksheets for GSTR-1 (Outward), GSTR-3B (Summary), and CMP-08</t>
  </si>
  <si>
    <t>Compiles summary tables (B2B, B2CL, B2CS, CDNR, HSN summary); generates compliant offline JSON</t>
  </si>
  <si>
    <t>Supported via /gst/gstr1/ and /gst/gstr3b/ with government offline utility JSON export.</t>
  </si>
  <si>
    <t>Code review 2026-10-04 (agent-reviewed, spot-checked): Confirmed. GSTR-1, 3B and CMP-08 builders produce tables and GSTN-format JSON.</t>
  </si>
  <si>
    <t>backend/tests/test_gst_returns.py::test_gstr1_json_shape_and_totals; backend/tests/test_gst_returns.py::test_gstr3b_json_and_xlsx_export</t>
  </si>
  <si>
    <t>backend/reporting/gst_returns.py:build_gstr1; backend/reporting/gst_returns.py:build_gstr3b; backend/reporting/gst_returns.py:to_gstn_json</t>
  </si>
  <si>
    <t>GSTR-1, 3B and CMP-08 builders produce tables and GSTN-format JSON.</t>
  </si>
  <si>
    <t>External CA (Tally Operator)</t>
  </si>
  <si>
    <t>Export complete financial books and vouchers into standard Tally XML or Excel format</t>
  </si>
  <si>
    <t>Exports chart of accounts, sales vouchers, purchase vouchers, and journal entries in Tally-compatible XML</t>
  </si>
  <si>
    <t>Supported via /accounting/export/tally-xml/ and standard CSV/Excel book exports.</t>
  </si>
  <si>
    <t>Code review 2026-10-04 (agent-reviewed, spot-checked): Partial. Tally export download is CSV; Tally XML vouchers are only generated for HTTP push to a Tally server, not a downloadable file.</t>
  </si>
  <si>
    <t>Same task as X-0479</t>
  </si>
  <si>
    <t>backend/integrations/tally/adapter.py:build_tally_export_csv; backend/integrations/tally/adapter.py:_vouchers_xml</t>
  </si>
  <si>
    <t>Tally export download is CSV; Tally XML vouchers are only generated for HTTP push to a Tally server, not a downloadable file.</t>
  </si>
  <si>
    <t>P-0112</t>
  </si>
  <si>
    <t>Reconcile books with GST records</t>
  </si>
  <si>
    <t>Cross-reconcile output tax ledgers with GSTR-1 and input tax ledgers with GSTR-3B/2B</t>
  </si>
  <si>
    <t>Generates tax liability reconciliation statement; identifies accounting ledger adjustments</t>
  </si>
  <si>
    <t>Supported via Book-to-GST Reconciliation worksheet.</t>
  </si>
  <si>
    <t>Code review 2026-10-04 (agent-reviewed, spot-checked): Partial. Return worksheets are tied to sales/purchase register taxable totals only; no GL output/input tax ledger to GSTR reconciliation statement.</t>
  </si>
  <si>
    <t>backend/reporting/gst_returns.py:_worksheet_register_tie</t>
  </si>
  <si>
    <t>Return worksheets are tied to sales/purchase register taxable totals only; no GL output/input tax ledger to GSTR reconciliation statement.</t>
  </si>
  <si>
    <t>P-0113</t>
  </si>
  <si>
    <t>Identify duplicate transactions</t>
  </si>
  <si>
    <t>Detect duplicate sales or purchase entries with identical invoice number, date, or amount</t>
  </si>
  <si>
    <t>Scans transaction tables for duplicate signatures; alerts accountant before period close</t>
  </si>
  <si>
    <t>Built-in unique database constraint (company_id, supplier_id, invoice_number) and duplicate scanner.</t>
  </si>
  <si>
    <t>Matched invoice_number in product code. This is not a functional test.</t>
  </si>
  <si>
    <t>P-0114</t>
  </si>
  <si>
    <t>Identify tax calculation errors</t>
  </si>
  <si>
    <t>System Admin</t>
  </si>
  <si>
    <t>Identify rounding discrepancies or incorrect tax rate applications across historical vouchers</t>
  </si>
  <si>
    <t>Validates line-item tax sum against invoice total tax; highlights fractional rounding variances</t>
  </si>
  <si>
    <t>Core system invariant: line-item and document total tax calculations strictly match Rule 46.</t>
  </si>
  <si>
    <t>Code review 2026-10-04 (agent-reviewed, spot-checked): Confirmed. Engine enforces CGST equals SGST and totals; mismatch check flags documents whose tax or total drifts.</t>
  </si>
  <si>
    <t>backend/tests/test_billing_totals.py::test_line_tax_matches_frontend_fixture; backend/tests/test_tax_calc_properties.py::test_line_total_equals_taxable_plus_tax</t>
  </si>
  <si>
    <t>backend/reporting/gst_returns.py:invoice_value_mismatch; backend/core/services/tax_engine/india.py:_apply_line_tax</t>
  </si>
  <si>
    <t>Engine enforces CGST equals SGST and totals; mismatch check flags documents whose tax or total drifts.</t>
  </si>
  <si>
    <t>Statutory Auditor (MCA/GST)</t>
  </si>
  <si>
    <t>Immutable change log capturing who edited, approved, or cancelled any financial transaction</t>
  </si>
  <si>
    <t>Stores timestamp, user ID, IP address, previous value, and new value for every record mutation</t>
  </si>
  <si>
    <t>Supported via Django SimpleHistory and immutable ActivityLog; satisfies MCA audit trail mandates. | Decision 2026-10-04 (delegated, quality-first): Build in MVP (3 days). Audit event on every posting action (journal post, purchase complete with books off included); add IP and before/after values; one test per action; drop the xfail. | Truth 2026-10-05 (WI-001): Built.  All 18 listed actions have a test with real assertions (13 in test_register_audit_coverage plus debit note, journal reverse, period lock/reopen, payroll, amend in test_plan_above_items); IP and before/after are asserted; no xfails remain.</t>
  </si>
  <si>
    <t>django-simple-history is not a dependency. The note names the wrong audit mechanism. 2026-10-04: hash chain (core/services/audit_chain.py) and append-only guard (tests/test_audit_append_only.py, not re-run) exist. Full coverage of every transaction type not verified. Code review 2026-10-04 (agent-reviewed, spot-checked): Partial. Immutable hash-chained AuditEvent log exists, but it has no IP or before/after value columns and no simple_history; per-transaction coverage is unproven.</t>
  </si>
  <si>
    <t>backend/tests/test_d01_d03_company_audit.py::test_invoice_audit_endpoint_returns_amend_diff; backend/tests/test_search_reports_audit.py::test_audit_log_records_and_is_owner_only; backend/tests/test_register_audit_coverage.py::test_sales_invoice_complete_writes_audit_event; backend/tests/test_plan_above_items.py::test_period_lock_and_reopen_name_the_actor; backend/tests/test_plan_above_items.py::test_payroll_finalise_writes_an_audit_event; backend/tests/test_plan_above_items.py::test_amended_invoice_uses_the_coverage_event_name</t>
  </si>
  <si>
    <t>backend/core/services/audit.py:before_status_for_event; backend/planwave/services.py:AUDIT_COVERAGE</t>
  </si>
  <si>
    <t>backend/core/models.py:AuditEvent; backend/core/audit_guard.py:_audit_guard; backend/core/tasks.py:seal_audit_chain_task</t>
  </si>
  <si>
    <t>P-0116</t>
  </si>
  <si>
    <t>See today's business performance</t>
  </si>
  <si>
    <t>Business Owner ('Sethji')</t>
  </si>
  <si>
    <t>Morning and evening executive snapshot of daily sales, cash collections, and pending orders</t>
  </si>
  <si>
    <t>Displays high-level KPI cards (Total Sales, Cash In, Unpaid Bills, Net Margin) on mobile or desktop</t>
  </si>
  <si>
    <t>Supported via Owner Executive Dashboard and automated daily summary WhatsApp/Email digest.</t>
  </si>
  <si>
    <t>backend/tests/test_ledger.py::test_dashboard_kpis_match_documents</t>
  </si>
  <si>
    <t>P-0117</t>
  </si>
  <si>
    <t>See sales, purchases and profit together</t>
  </si>
  <si>
    <t>Unified bird's-eye view comparing revenue, procurement expenditure, and gross operating profit</t>
  </si>
  <si>
    <t>Aggregates monthly sales vs purchases vs gross margin on a synchronized comparative timeline</t>
  </si>
  <si>
    <t>Supported via Executive Business Overview dashboard (/insights/).</t>
  </si>
  <si>
    <t>Code review 2026-10-04 (agent-reviewed, spot-checked): Partial. Dashboard gives sales and purchases month totals; no monthly comparative timeline with margin.</t>
  </si>
  <si>
    <t>backend/reporting/services.py:dashboard</t>
  </si>
  <si>
    <t>Dashboard gives sales and purchases month totals; no monthly comparative timeline with margin.</t>
  </si>
  <si>
    <t>P-0118</t>
  </si>
  <si>
    <t>Identify outstanding receivables</t>
  </si>
  <si>
    <t>Identify top debtors and total market credit outstanding to drive debt collection</t>
  </si>
  <si>
    <t>Ranks customers by total outstanding balance and oldest overdue days; enables instant chasing</t>
  </si>
  <si>
    <t>Supported via Debtor Summary card with one-click WhatsApp payment reminder dispatch.</t>
  </si>
  <si>
    <t>Credit Controller</t>
  </si>
  <si>
    <t>Pinpoint critically overdue bills crossing credit grace periods (30+ days)</t>
  </si>
  <si>
    <t>Filters receivables aging &gt; 30 days; calculates interest exposure and bad debt risk</t>
  </si>
  <si>
    <t>Supported via Overdue Invoices screen with priority chasing flags. | Decision 2026-10-04 (delegated, quality-first): Build in Pilot (3 days). Interest exposure and bad-debt risk on overdue customers. | Truth 2026-10-05 (WI-040): Built.  Report-only overdue endpoint with 18% simple interest (per-company override) and the 0/5/25/50/100% age buckets, no posting, asserted in tests.</t>
  </si>
  <si>
    <t>Code review 2026-10-04 (agent-reviewed, spot-checked): Partial. Overdue invoices with days_overdue and collection worklist exist; no interest exposure or bad-debt risk calculation.</t>
  </si>
  <si>
    <t>backend/tests/test_sales_purchase_ux_plan.py::test_customer_ledger_status_filter_and_overdue_kpi; backend/tests/test_planwave_remaining.py::test_provision_interest_anomaly_cashflow_and_2b; backend/tests/test_planwave_finish.py::test_overdue_report_suggests_a_provision; backend/tests/test_code_review_2026_10_05.py::test_overdue_report_lists_only_what_is_still_owed</t>
  </si>
  <si>
    <t>backend/planwave/finish.py:overdue_report; backend/planwave/services.py:suggest_provision; backend/planwave/services.py:interest_exposure; backend/planwave/views.py:OverdueReportView</t>
  </si>
  <si>
    <t>backend/payments/collections_open.py:open_invoice_rows; backend/insights/views.py:CollectionsWorklistView</t>
  </si>
  <si>
    <t>P-0120</t>
  </si>
  <si>
    <t>Identify low-stock products</t>
  </si>
  <si>
    <t>Spot high-selling inventory running low to approve emergency supplier purchase orders</t>
  </si>
  <si>
    <t>Displays top 20 revenue-generating SKUs currently at or below minimum reorder buffer</t>
  </si>
  <si>
    <t>Supported via Executive Alert widget: 'Critical Stockout Threats'.</t>
  </si>
  <si>
    <t>Code review 2026-10-04 (agent-reviewed, spot-checked): Partial. Low-stock alerts for items sold in last 14 days exist; no top-20-by-revenue ranking or Critical Stockout Threats widget.</t>
  </si>
  <si>
    <t>backend/inventory/views.py:low_stock_alert_payload; backend/insights/alerts.py:_low_stock</t>
  </si>
  <si>
    <t>Low-stock alerts for items sold in last 14 days exist; no top-20-by-revenue ranking or Critical Stockout Threats widget.</t>
  </si>
  <si>
    <t>P-0121</t>
  </si>
  <si>
    <t>Identify profitable products</t>
  </si>
  <si>
    <t>Discover products delivering highest gross margin percentage to promote in marketing campaigns</t>
  </si>
  <si>
    <t>Ranks catalog by gross margin contribution (Gross Profit / Sales Revenue)</t>
  </si>
  <si>
    <t>Supported via Product Margin Leaderboard in Insights module.</t>
  </si>
  <si>
    <t>Restored to authored P2. The previous workbook had P3 after a keyword rebalance. Code review 2026-10-04 (agent-reviewed, spot-checked): Partial. Product margin rollup is available; no ranked leaderboard by margin percent.</t>
  </si>
  <si>
    <t>Product margin rollup is available; no ranked leaderboard by margin percent.</t>
  </si>
  <si>
    <t>P-0122</t>
  </si>
  <si>
    <t>Identify loss-making products</t>
  </si>
  <si>
    <t>Identify items being sold below purchase cost or suffering heavy discounting</t>
  </si>
  <si>
    <t>Flags transactions where Selling Price &lt; Unit Cost; alerts owner to pricing or discounting errors</t>
  </si>
  <si>
    <t>Supported via Negative Margin Alert audit report.</t>
  </si>
  <si>
    <t>Restored to authored P2. The previous workbook had P3 after a keyword rebalance. Code review 2026-10-04 (agent-reviewed, spot-checked): Confirmed. SALE_BELOW_COST alert flags sales priced below cost into the attention feed.</t>
  </si>
  <si>
    <t>backend/insights/alerts.py:SALE_BELOW_COST; backend/insights/attention.py</t>
  </si>
  <si>
    <t>SALE_BELOW_COST alert flags sales priced below cost into the attention feed.</t>
  </si>
  <si>
    <t>P-0123</t>
  </si>
  <si>
    <t>Compare performance across periods</t>
  </si>
  <si>
    <t>Compare current month/quarter revenue and profits against previous period or previous year (MoM/YoY)</t>
  </si>
  <si>
    <t>Generates comparative period graphs showing percentage growth or contraction across metrics</t>
  </si>
  <si>
    <t>Supported via Period Trend Analysis Report (/reports/period-comparison/).</t>
  </si>
  <si>
    <t>Restored to authored P2. The previous workbook had P3 after a keyword rebalance. Code review 2026-10-04 (agent-reviewed, spot-checked): Partial. group_by=period gives margin by period; no MoM/YoY comparison or growth percentage.</t>
  </si>
  <si>
    <t>group_by=period gives margin by period; no MoM/YoY comparison or growth percentage.</t>
  </si>
  <si>
    <t>P-0124</t>
  </si>
  <si>
    <t>Monitor GST liability</t>
  </si>
  <si>
    <t>Anticipate net GST cash tax payout due on the 20th of the month to plan cashflow reserves</t>
  </si>
  <si>
    <t>Computes estimated Net GST Payable = Output Tax Liability - Eligible Input Tax Credit (ITC)</t>
  </si>
  <si>
    <t>Supported via Real-time GST Liability Estimator in Insights module.</t>
  </si>
  <si>
    <t>Code review 2026-10-04 (agent-reviewed, spot-checked): Partial. 3B payload has tax_payable_summary with net payable hint after claimable ITC; no separate insights liability estimator or due-date planning.</t>
  </si>
  <si>
    <t>backend/reporting/gst_returns.py:build_gstr3b</t>
  </si>
  <si>
    <t>3B payload has tax_payable_summary with net payable hint after claimable ITC; no separate insights liability estimator or due-date planning.</t>
  </si>
  <si>
    <t>P-0125</t>
  </si>
  <si>
    <t>Monitor cash flow</t>
  </si>
  <si>
    <t>30-day forward-looking cash flow forecast balancing expected customer collections vs vendor payables</t>
  </si>
  <si>
    <t>Projects net bank balance based on invoice due dates, scheduled payables, and recurring expenses</t>
  </si>
  <si>
    <t>Supported via CashflowForecastRun engine in insights app (/insights/cashflow/).</t>
  </si>
  <si>
    <t>Matched CashflowForecastRun in product code. This is not a functional test.</t>
  </si>
  <si>
    <t>backend/insights/models.py:CashflowForecastRun</t>
  </si>
  <si>
    <t>backend/tests/test_phase6_insights.py</t>
  </si>
  <si>
    <t>P-0126</t>
  </si>
  <si>
    <t>Review business alerts</t>
  </si>
  <si>
    <t>Central notification feed highlighting critical operational exceptions (credit breach, negative stock, refund)</t>
  </si>
  <si>
    <t>Surfaces high-priority BusinessAlertEvent cards requiring owner attention or intervention</t>
  </si>
  <si>
    <t>Supported via Attention / Alert Feed on Owner Home Screen.</t>
  </si>
  <si>
    <t>Code review 2026-10-04 (agent-reviewed, spot-checked): Confirmed. BusinessAlertEvent model with alerts API; dashboard shows top alerts.</t>
  </si>
  <si>
    <t>backend/insights/models.py:BusinessAlertEvent</t>
  </si>
  <si>
    <t>backend/insights/models.py:BusinessAlertEvent; backend/insights/urls.py</t>
  </si>
  <si>
    <t>BusinessAlertEvent model with alerts API; dashboard shows top alerts.</t>
  </si>
  <si>
    <t>P-0127</t>
  </si>
  <si>
    <t>Drill down from KPI to transactions</t>
  </si>
  <si>
    <t>Click on any summary KPI number (e.g. Sales, Expenses) to inspect underlying source vouchers</t>
  </si>
  <si>
    <t>Opens filtered transaction ledger displaying the specific invoices or journal lines composing the KPI</t>
  </si>
  <si>
    <t>Supported across all dashboard metric cards; full bidirectional transaction drill-down.</t>
  </si>
  <si>
    <t>Code review 2026-10-04 (agent-reviewed, spot-checked): Partial. Dashboard shows recent invoice links; no general KPI-to-voucher drill-down.</t>
  </si>
  <si>
    <t>Dashboard shows recent invoice links; no general KPI-to-voucher drill-down.</t>
  </si>
  <si>
    <t>Staff Requestors</t>
  </si>
  <si>
    <t>Authorize sensitive actions: credit limit overrides, manual stock write-offs, discount exceptions</t>
  </si>
  <si>
    <t>Review pending approval queue; approve or reject with recorded digital signature and comments</t>
  </si>
  <si>
    <t>Supported via Manager Approval workflow and authorization modal prompts. | Decision 2026-10-04 (delegated, quality-first): Build in MVP (5 days). General pending-approval queue with approve and reject and an audit trail. | Truth 2026-10-05 (WI-025): Partial. The approval queue is enforced only for invoice cancel and large stock adjustment; not wired for credit-limit override (separate unlock), invoice amend, discount, returns/credit notes, backdating/period reopen, supplier payment, write-off or bulk import commit; no per-action configurable approver; no web UI. Generic queue with 72 h expiry and no-self-approval exists, but only two of the nine listed actions are gated.</t>
  </si>
  <si>
    <t>Code review 2026-10-04 (agent-reviewed, spot-checked): Partial. Owner credit-limit and GST-guard overrides record who and why, but no general pending-approval queue or approve/reject workflow exists.</t>
  </si>
  <si>
    <t>core</t>
  </si>
  <si>
    <t>backend/tests/test_plan_partials.py::test_completed_invoice_cancel_waits_for_a_second_owner; backend/tests/test_planwave_remaining.py::test_large_stock_adjustment_waits_for_a_second_user; backend/tests/test_planwave_remaining.py::test_approvals_reject_self_and_expired_tokens</t>
  </si>
  <si>
    <t>backend/planwave/models.py:ApprovalRequest; backend/planwave/services.py:_consume_approval; backend/sales/views.py:SalesInvoiceViewSet.cancel; backend/inventory/views.py</t>
  </si>
  <si>
    <t>backend/sales/order_gates.py:credit_override_reason; backend/reporting/gst_guard.py:gst_guard_overridden_by</t>
  </si>
  <si>
    <t>P-0129</t>
  </si>
  <si>
    <t>Create a customer/order</t>
  </si>
  <si>
    <t>Field Salesperson</t>
  </si>
  <si>
    <t>Retailer / Dealer</t>
  </si>
  <si>
    <t>Book sales order while visiting retailer premises using mobile phone or tablet</t>
  </si>
  <si>
    <t>Creates SalesOrder draft with customer pricing, items, and delivery instructions; syncs to server</t>
  </si>
  <si>
    <t>Supported via Mobile PWA / Capacitor Android app (/sales/orders/create).</t>
  </si>
  <si>
    <t>Code review 2026-10-04 (agent-reviewed, spot-checked): Confirmed. Draft SalesOrder with items and delivery address is creatable via web/PWA and a Capacitor shell exists; offline sync not verified.</t>
  </si>
  <si>
    <t>CRM</t>
  </si>
  <si>
    <t>Sales and CRM lifecycle</t>
  </si>
  <si>
    <t>crm</t>
  </si>
  <si>
    <t>Sales</t>
  </si>
  <si>
    <t>backend/sales/models.py:SalesOrder; backend/sales/notes_services.py:confirm_sales_order</t>
  </si>
  <si>
    <t>Draft SalesOrder with items and delivery address is creatable via web/PWA and a Capacitor shell exists; offline sync not verified.</t>
  </si>
  <si>
    <t>P-0130</t>
  </si>
  <si>
    <t>Search customer history</t>
  </si>
  <si>
    <t>View customer's past orders, favorite products, and payment track record before negotiating</t>
  </si>
  <si>
    <t>Displays historical order timeline, average order value, and preferred SKUs</t>
  </si>
  <si>
    <t>Supported via Customer 360 profile view on mobile sales interface.</t>
  </si>
  <si>
    <t>Code review 2026-10-04 (agent-reviewed, spot-checked): Partial. Customer 360 shows invoice count, amount, recent products and outstanding; no order timeline or average order value.</t>
  </si>
  <si>
    <t>backend/insights/customer_360.py:customer_360; web/src/pages/sales/Customer360Page.tsx:Customer360Page</t>
  </si>
  <si>
    <t>Customer 360 shows invoice count, amount, recent products and outstanding; no order timeline or average order value.</t>
  </si>
  <si>
    <t>P-0131</t>
  </si>
  <si>
    <t>Create a quotation</t>
  </si>
  <si>
    <t>Prospective B2B Client</t>
  </si>
  <si>
    <t>Generate professional quotation PDF with itemized prices, validity period, and payment terms</t>
  </si>
  <si>
    <t>Creates Quotation record; computes applicable taxes and discounts; generates shareable PDF</t>
  </si>
  <si>
    <t>Supported via /sales/quotations/create with WhatsApp share button.</t>
  </si>
  <si>
    <t>P-0132</t>
  </si>
  <si>
    <t>Convert quotation into an order</t>
  </si>
  <si>
    <t>One-click conversion of accepted quotation into an active sales order without re-typing</t>
  </si>
  <si>
    <t>Clones Quotation items into SalesOrder, marks quotation as CONVERTED, reserves inventory</t>
  </si>
  <si>
    <t>Supported via Quotation 'Convert to Order' action in Quotation detail view.</t>
  </si>
  <si>
    <t>Code review 2026-10-04 (agent-reviewed, spot-checked): Partial. Conversion clones lines into a DRAFT SalesOrder and marks quotation CONVERTED; stock is reserved only later on order confirmation.</t>
  </si>
  <si>
    <t>backend/sales/services.py:convert_quotation_to_order; backend/sales/services.py:_commit_quotation_conversion</t>
  </si>
  <si>
    <t>Conversion clones lines into a DRAFT SalesOrder and marks quotation CONVERTED; stock is reserved only later on order confirmation.</t>
  </si>
  <si>
    <t>P-0133</t>
  </si>
  <si>
    <t>Check product availability</t>
  </si>
  <si>
    <t>Godown Keeper</t>
  </si>
  <si>
    <t>Check real-time warehouse available-to-promise (ATP) stock before confirming delivery dates</t>
  </si>
  <si>
    <t>Queries central stock balance deducting currently reserved customer orders</t>
  </si>
  <si>
    <t>Supported on mobile sales screen with instant SKU stock check.</t>
  </si>
  <si>
    <t>Code review 2026-10-04 (agent-reviewed, spot-checked): Confirmed. Available equals on_hand minus reserved and is exposed by the balances API used by the shared web/mobile app.</t>
  </si>
  <si>
    <t>backend/inventory/services.py:available_quantity; backend/inventory/serializers.py:StockBalanceSerializer</t>
  </si>
  <si>
    <t>Available equals on_hand minus reserved and is exposed by the balances API used by the shared web/mobile app.</t>
  </si>
  <si>
    <t>P-0134</t>
  </si>
  <si>
    <t>Record customer follow-up</t>
  </si>
  <si>
    <t>Log meeting notes, scheduled calls, and follow-up reminders for open quotations</t>
  </si>
  <si>
    <t>Creates CRM activity log attached to customer account; sets calendar reminder</t>
  </si>
  <si>
    <t>Supported via CRM interaction log (/crm/activities/).</t>
  </si>
  <si>
    <t>Code review 2026-10-04 (agent-reviewed, spot-checked): Partial. LeadActivity logs notes and calls with due_at and an in-app reminder, but attaches to leads, not customers or open quotations.</t>
  </si>
  <si>
    <t>backend/crm/models.py:LeadActivity; backend/crm/tasks.py:LeadActivity</t>
  </si>
  <si>
    <t>LeadActivity logs notes and calls with due_at and an in-app reminder, but attaches to leads, not customers or open quotations.</t>
  </si>
  <si>
    <t>P-0135</t>
  </si>
  <si>
    <t>Track pending orders</t>
  </si>
  <si>
    <t>Track dispatch and delivery progress of booked customer orders to update clients</t>
  </si>
  <si>
    <t>Displays order fulfillment status (CONFIRMED, PICKED, DISPATCHED, DELIVERED)</t>
  </si>
  <si>
    <t>Supported in mobile order dashboard with status tracking badges.</t>
  </si>
  <si>
    <t>Code review 2026-10-04 (agent-reviewed, spot-checked): Partial. Order statuses are DRAFT/CONFIRMED/CONVERTED/CANCELLED; only route stops carry DELIVERED, no PICKED or DISPATCHED order tracking.</t>
  </si>
  <si>
    <t>backend/sales/models.py:SalesOrder; backend/sales/models.py:DeliveryRouteStop</t>
  </si>
  <si>
    <t>Order statuses are DRAFT/CONFIRMED/CONVERTED/CANCELLED; only route stops carry DELIVERED, no PICKED or DISPATCHED order tracking.</t>
  </si>
  <si>
    <t>P-0136</t>
  </si>
  <si>
    <t>Record customer payment</t>
  </si>
  <si>
    <t>Customer / Cashier</t>
  </si>
  <si>
    <t>Collect on-site cash, cheque, or initiate UPI QR payment from customer during field visit</t>
  </si>
  <si>
    <t>Creates payment collection receipt; updates customer outstanding subject to cashier verification</t>
  </si>
  <si>
    <t>Supported via Mobile Payment Collection screen with receipt issuance.</t>
  </si>
  <si>
    <t>Code review 2026-10-04 (agent-reviewed, spot-checked): Partial. Receipt creation for cash/cheque/UPI QR exists in shared web/Capacitor app; no cashier-verification step before outstanding updates.</t>
  </si>
  <si>
    <t>backend/payments/views.py:CustomerReceiptViewSet; backend/payments/views.py:UpiQrView</t>
  </si>
  <si>
    <t>Receipt creation for cash/cheque/UPI QR exists in shared web/Capacitor app; no cashier-verification step before outstanding updates.</t>
  </si>
  <si>
    <t>Check retailer's current unpaid balance and available credit limit before accepting new order</t>
  </si>
  <si>
    <t>Displays total balance, overdue aging, and remaining credit buffer</t>
  </si>
  <si>
    <t>Supported on customer card in mobile sales booking flow.</t>
  </si>
  <si>
    <t>Restored to authored P1. The previous workbook had P0 after a keyword rebalance. Code review 2026-10-04 (agent-reviewed, spot-checked): Confirmed. Snapshot returns outstanding, overdue ageing, credit limit and available credit, surfaced on customer card and invoice credit line.</t>
  </si>
  <si>
    <t>Same task as P-0057</t>
  </si>
  <si>
    <t>backend/payments/dunning.py:customer_risk_snapshot; web/src/pages/sales/Customer360Page.tsx:Customer360Page; web/src/pages/sales/creditLine.ts</t>
  </si>
  <si>
    <t>Snapshot returns outstanding, overdue ageing, credit limit and available credit, surfaced on customer card and invoice credit line.</t>
  </si>
  <si>
    <t>P-0138</t>
  </si>
  <si>
    <t>Track sales performance</t>
  </si>
  <si>
    <t>Track personal monthly sales achievement against assigned sales quota and commission target</t>
  </si>
  <si>
    <t>Computes personal sales volume, order count, and gross margin contribution for the month</t>
  </si>
  <si>
    <t>Supported via Sales Rep Performance Leaderboard (/reports/sales-team/).</t>
  </si>
  <si>
    <t>Restored to authored P2. The previous workbook had P3 after a keyword rebalance. Code review 2026-10-04 (agent-reviewed, spot-checked): Contradicted. No sales rep quota or rep-wise sales performance report.</t>
  </si>
  <si>
    <t>none found: searched sales rep, salesperson, quota, target in sales/crm/accounts models</t>
  </si>
  <si>
    <t>No sales rep quota or rep-wise sales performance report.</t>
  </si>
  <si>
    <t>P-0139</t>
  </si>
  <si>
    <t>Create a purchase order</t>
  </si>
  <si>
    <t>Supplier / Manufacturer</t>
  </si>
  <si>
    <t>Generate formal Purchase Order (PO) with negotiated rates, delivery dates, and payment credit terms</t>
  </si>
  <si>
    <t>Creates PurchaseOrder document; records line items, taxes, and agreed shipping terms</t>
  </si>
  <si>
    <t>Supported via /purchases/orders/create with PDF export and vendor email/WhatsApp share.</t>
  </si>
  <si>
    <t>Buyer</t>
  </si>
  <si>
    <t>backend/purchases/models.py:PurchaseOrder</t>
  </si>
  <si>
    <t>backend/tests/test_inventory_replenishment.py; backend/tests/test_supplier_price_history.py; backend/tests/tenancy/test_schema_constraints.py</t>
  </si>
  <si>
    <t>P-0140</t>
  </si>
  <si>
    <t>Send/order products from supplier</t>
  </si>
  <si>
    <t>Transmit approved purchase orders to vendors and track order confirmation status</t>
  </si>
  <si>
    <t>Updates PO status to SENT; logs delivery commitment date and vendor acknowledgment</t>
  </si>
  <si>
    <t>Supported via PO status workflow (DRAFT -&gt; APPROVED -&gt; SENT -&gt; CONFIRMED).</t>
  </si>
  <si>
    <t>Code review 2026-10-04 (agent-reviewed, spot-checked): Contradicted. PO status choices are only DRAFT, CONVERTED, CANCELLED; no APPROVED, SENT or CONFIRMED workflow or vendor acknowledgment.</t>
  </si>
  <si>
    <t>PO status choices are only DRAFT, CONVERTED, CANCELLED; no APPROVED, SENT or CONFIRMED workflow or vendor acknowledgment.</t>
  </si>
  <si>
    <t>P-0141</t>
  </si>
  <si>
    <t>Receive goods against purchase order</t>
  </si>
  <si>
    <t>P-0142</t>
  </si>
  <si>
    <t>Record GRN</t>
  </si>
  <si>
    <t>Purchase Manager / Godown Custodian</t>
  </si>
  <si>
    <t>Formalize physical goods receipt note documenting actual counted quantity, batch, and condition</t>
  </si>
  <si>
    <t>Increments warehouse inventory; creates physical receipt record before vendor bill arrives</t>
  </si>
  <si>
    <t>Supported via Goods Receipt Note (GRN) workflow in purchases app.</t>
  </si>
  <si>
    <t>Code review 2026-10-04 (agent-reviewed, spot-checked): Partial. GRN records received/accepted/rejected quantities and posts stock on completion, but has no batch field and always posts batch=None.</t>
  </si>
  <si>
    <t>backend/purchases/models.py:GoodsReceiptItem; backend/purchases/grn_service.py:GoodsReceiptService</t>
  </si>
  <si>
    <t>GRN records received/accepted/rejected quantities and posts stock on completion, but has no batch field and always posts batch=None.</t>
  </si>
  <si>
    <t>P-0143</t>
  </si>
  <si>
    <t>Compare ordered versus received quantities</t>
  </si>
  <si>
    <t>Detect short-shipments, excess shipments, or back-orders against original purchase order</t>
  </si>
  <si>
    <t>Calculates line-by-line quantity variance; keeps PO partially open if balance remains</t>
  </si>
  <si>
    <t>Automated 2-way matching in GRN/Purchase intake interface.</t>
  </si>
  <si>
    <t>Code review 2026-10-04 (agent-reviewed, spot-checked): Partial. Only a per-supplier/product fill-rate and over-receipt figure exists; no line-by-line variance and the PO is never kept partially open.</t>
  </si>
  <si>
    <t>backend/purchases/reliability.py:supply_metrics</t>
  </si>
  <si>
    <t>Only a per-supplier/product fill-rate and over-receipt figure exists; no line-by-line variance and the PO is never kept partially open.</t>
  </si>
  <si>
    <t>P-0144</t>
  </si>
  <si>
    <t>Record damaged/short stock</t>
  </si>
  <si>
    <t>Document transit breakage, shortages, or defective goods for debit note recovery</t>
  </si>
  <si>
    <t>Logs damaged quantity on GRN; routes damaged items to quarantine; triggers supplier claim</t>
  </si>
  <si>
    <t>Supported via GRN rejection / damage line items with photo attachment.</t>
  </si>
  <si>
    <t>Code review 2026-10-04 (agent-reviewed, spot-checked): Partial. Damaged condition exists on purchase returns and writes stock off via ADJUSTMENT; no GRN damage lines, quarantine bin or supplier claim.</t>
  </si>
  <si>
    <t>backend/purchases/services.py:PurchaseReturnItem; backend/purchases/models.py:PurchaseReturnItem</t>
  </si>
  <si>
    <t>Damaged condition exists on purchase returns and writes stock off via ADJUSTMENT; no GRN damage lines, quarantine bin or supplier claim.</t>
  </si>
  <si>
    <t>P-0145</t>
  </si>
  <si>
    <t>Update supplier invoice</t>
  </si>
  <si>
    <t>Purchase Manager / Accountant</t>
  </si>
  <si>
    <t>Enter final vendor tax invoice, matching line rates, GST, and extra freight charges against PO</t>
  </si>
  <si>
    <t>Completes PurchaseInvoice; updates Accounts Payable and finalizes inventory valuation</t>
  </si>
  <si>
    <t>Supported via /purchases/invoices/ with PO matching and 3-way reconciliation.</t>
  </si>
  <si>
    <t>Code review 2026-10-04 (agent-reviewed, spot-checked): Partial. Purchase invoice with GST and charges exists and GRN converts to a bill, but no PO-to-invoice matching or 3-way reconciliation was found.</t>
  </si>
  <si>
    <t>backend/purchases/models.py:PurchaseInvoice</t>
  </si>
  <si>
    <t>backend/tests/test_a03_preview.py; backend/tests/test_a11_a12_stock_cost.py; backend/tests/test_a13_a14_reporting_sales.py</t>
  </si>
  <si>
    <t>backend/purchases/models.py:PurchaseInvoice; backend/purchases/grn_service.py:GoodsReceiptService</t>
  </si>
  <si>
    <t>Purchase invoice with GST and charges exists and GRN converts to a bill, but no PO-to-invoice matching or 3-way reconciliation was found.</t>
  </si>
  <si>
    <t>Accounts Payable Munshi</t>
  </si>
  <si>
    <t>Monitor company liabilities to suppliers to ensure on-time settlement and preserve credit terms</t>
  </si>
  <si>
    <t>Displays total payables, due dates, and aging buckets across all active vendors</t>
  </si>
  <si>
    <t>Supported via Supplier Payables Aging Dashboard (/purchases/suppliers/).</t>
  </si>
  <si>
    <t>Code review 2026-10-04 (agent-reviewed, spot-checked): Confirmed. Total payables, 7-day due alert and payables ageing buckets exist across suppliers.</t>
  </si>
  <si>
    <t>Duplicate of P-0028; Same task as P-0028</t>
  </si>
  <si>
    <t>backend/reporting/services.py:ReportService; backend/insights/alerts.py:_ap; backend/ledgers/views.py:SupplierLedgerListView</t>
  </si>
  <si>
    <t>Total payables, 7-day due alert and payables ageing buckets exist across suppliers.</t>
  </si>
  <si>
    <t>P-0147</t>
  </si>
  <si>
    <t>Identify best-priced suppliers</t>
  </si>
  <si>
    <t>Compare historical purchase prices across multiple vendors for the same raw material or SKU</t>
  </si>
  <si>
    <t>Analyzes historical purchase bills; highlights supplier offering lowest landed cost</t>
  </si>
  <si>
    <t>Supported via Vendor Price Comparison Matrix report (/reports/vendor-rates/).</t>
  </si>
  <si>
    <t>Restored to authored P2. The previous workbook had P3 after a keyword rebalance. Code review 2026-10-04 (agent-reviewed, spot-checked): Partial. Price history exists per one supplier and product; no cross-vendor comparison matrix or landed-cost ranking.</t>
  </si>
  <si>
    <t>backend/purchases/views.py:PurchaseOrderItem; backend/purchases/reliability.py:last_completed_purchase_rate</t>
  </si>
  <si>
    <t>Price history exists per one supplier and product; no cross-vendor comparison matrix or landed-cost ranking.</t>
  </si>
  <si>
    <t>P-0148</t>
  </si>
  <si>
    <t>Review supplier performance</t>
  </si>
  <si>
    <t>Evaluate vendors on delivery punctuality, order fill rate, and quality rejection percentage</t>
  </si>
  <si>
    <t>Computes vendor score: on-time delivery %, fill rate %, defect %, and price stability</t>
  </si>
  <si>
    <t>Supported via Supplier Performance Scorecard (/purchases/vendor-metrics/).</t>
  </si>
  <si>
    <t>Restored to authored P2. The previous workbook had P3 after a keyword rebalance. Code review 2026-10-04 (agent-reviewed, spot-checked): Partial. Lead time and fill rate exist; no on-time %, defect %, price stability or vendor score (docstring says no score).</t>
  </si>
  <si>
    <t>Lead time and fill rate exist; no on-time %, defect %, price stability or vendor score (docstring says no score).</t>
  </si>
  <si>
    <t>P-0149</t>
  </si>
  <si>
    <t>View current inventory</t>
  </si>
  <si>
    <t>Godown Staff</t>
  </si>
  <si>
    <t>Comprehensive view of current on-hand, committed, and available stock across all product lines</t>
  </si>
  <si>
    <t>Displays real-time stock balances, warehouse distribution, reorder levels, and valuation</t>
  </si>
  <si>
    <t>Supported via /inventory/ with multi-warehouse filters and instant SKU search.</t>
  </si>
  <si>
    <t>Code review 2026-10-04 (agent-reviewed, spot-checked): Confirmed. Stock page shows on-hand, reserved, available, reorder level with warehouse filter and search; valuation is a separate report.</t>
  </si>
  <si>
    <t>backend/tests/test_stock_flow.py::test_available_equals_on_hand_minus_reserved; backend/tests/test_stock_flow.py::test_low_stock_alerts</t>
  </si>
  <si>
    <t>web/src/pages/inventory/CurrentStockPage.tsx:CurrentStockPage; backend/inventory/serializers.py:StockBalanceSerializer; backend/inventory/views.py:StockBalanceViewSet</t>
  </si>
  <si>
    <t>Stock page shows on-hand, reserved, available, reorder level with warehouse filter and search; valuation is a separate report.</t>
  </si>
  <si>
    <t>P-0150</t>
  </si>
  <si>
    <t>Receive stock</t>
  </si>
  <si>
    <t>Inventory Manager / Custodian</t>
  </si>
  <si>
    <t>Authorize and record physical stock inwarding from supplier deliveries or internal transfers</t>
  </si>
  <si>
    <t>Generates StockMovement (INWARD_PURCHASE); updates warehouse inventory ledger</t>
  </si>
  <si>
    <t>Supported via Goods Receipt and Purchase completion flows.</t>
  </si>
  <si>
    <t>Code review 2026-10-04 (agent-reviewed, spot-checked): Confirmed. Purchase completion posts a PURCHASE movement and updates the warehouse balance.</t>
  </si>
  <si>
    <t>backend/inventory/services.py:post_movement; backend/purchases/services.py:MovementType; backend/inventory/models.py:StockMovement</t>
  </si>
  <si>
    <t>Purchase completion posts a PURCHASE movement and updates the warehouse balance.</t>
  </si>
  <si>
    <t>P-0151</t>
  </si>
  <si>
    <t>Transfer stock</t>
  </si>
  <si>
    <t>Direct and authorize movement of stock between storage godowns, packing areas, or retail floors</t>
  </si>
  <si>
    <t>Creates and dispatches StockTransfer; adjusts source and destination ledger balances</t>
  </si>
  <si>
    <t>Supported via /inventory/transfers/ with transfer challan generation.</t>
  </si>
  <si>
    <t>Code review 2026-10-04 (agent-reviewed, spot-checked): Partial. Completing a transfer posts TRANSFER_OUT and TRANSFER_IN; no transfer challan generation or distinct dispatch step found.</t>
  </si>
  <si>
    <t>backend/inventory/services.py:StockTransferService; backend/inventory/models.py:StockTransfer</t>
  </si>
  <si>
    <t>Completing a transfer posts TRANSFER_OUT and TRANSFER_IN; no transfer challan generation or distinct dispatch step found.</t>
  </si>
  <si>
    <t>Business Owner / Auditor</t>
  </si>
  <si>
    <t>Make formal manual stock adjustments for shrinkage, breakage, or opening stock corrections</t>
  </si>
  <si>
    <t>Requires manager authorization; writes StockMovement (COUNT_ADJUSTMENT) with mandatory reason</t>
  </si>
  <si>
    <t>Supported via /inventory/adjustments/ with dual-approval requirement. | Decision 2026-10-04 (delegated, quality-first): Build in MVP (2 days). Dual approval for stock adjustments above a threshold, on the approval queue. | Truth 2026-10-05 (WI-026): Built.  Value and percent thresholds, configurable via company flags, route large adjustments to the approval queue with tests.</t>
  </si>
  <si>
    <t>Code review 2026-10-04 (agent-reviewed, spot-checked): Partial. Adjustment needs a mandatory reason and inventory-manage permission and posts ADJUSTMENT; no dual-approval workflow.</t>
  </si>
  <si>
    <t>backend/tests/test_stock_flow.py::test_manual_adjustment_and_permissions; backend/tests/test_stock_flow.py::test_manual_adjustment_respects_negative_stock_policy; backend/tests/test_planwave_remaining.py::test_large_stock_adjustment_waits_for_a_second_user; backend/tests/test_planwave_remaining.py::test_approvals_reject_self_and_expired_tokens; backend/tests/test_code_review_2026_10_05.py::test_an_adjustment_on_zero_stock_needs_a_second_person</t>
  </si>
  <si>
    <t>backend/inventory/models.py:StockMovement; backend/planwave/services.py:stock_adjustment_needs_second; backend/inventory/views.py; backend/planwave/services.py:consume_stock_approval</t>
  </si>
  <si>
    <t>backend/inventory/views.py:AdjustmentView; backend/inventory/serializers.py:AdjustmentSerializer</t>
  </si>
  <si>
    <t>Scrap Dealer / Insurance Adjuster</t>
  </si>
  <si>
    <t>Record and isolate damaged or spoiled goods into designated non-saleable bin</t>
  </si>
  <si>
    <t>Transfers items out of active saleable stock into damaged holding; logs write-off value</t>
  </si>
  <si>
    <t>Supported via StockAdjustment with reason code 'DAMAGED_WRITE_OFF'.</t>
  </si>
  <si>
    <t>Same task as P-0072</t>
  </si>
  <si>
    <t>Billing Team</t>
  </si>
  <si>
    <t>Process incoming customer returns, inspect package integrity, and return to saleable bins</t>
  </si>
  <si>
    <t>Verifies returned goods, updates StockBalance (RETURN_INWARD), tags condition</t>
  </si>
  <si>
    <t>Supported via SalesReturn inspection step with inventory restoration toggle.</t>
  </si>
  <si>
    <t>Same task as P-0073</t>
  </si>
  <si>
    <t>backend/inventory/models.py:StockBalance; backend/sales/models.py:SalesReturn</t>
  </si>
  <si>
    <t>P-0155</t>
  </si>
  <si>
    <t>Perform stock count</t>
  </si>
  <si>
    <t>Counting Staff</t>
  </si>
  <si>
    <t>Conduct scheduled physical inventory audits using barcode scanners or mobile tally sheets</t>
  </si>
  <si>
    <t>Initializes StockCountSession; captures scanned counts against frozen snapshot</t>
  </si>
  <si>
    <t>Supported via /inventory/stock-counts/ with blind counting and scanner support.</t>
  </si>
  <si>
    <t>Code review 2026-10-04 (agent-reviewed, spot-checked): Partial. Sessions snapshot system quantity and capture counts; no blind counting or scanner support found.</t>
  </si>
  <si>
    <t>backend/inventory/models.py:StockCountSession; backend/inventory/models.py:StockCountLine; backend/inventory/views.py:StockCountSessionViewSet</t>
  </si>
  <si>
    <t>Sessions snapshot system quantity and capture counts; no blind counting or scanner support found.</t>
  </si>
  <si>
    <t>P-0156</t>
  </si>
  <si>
    <t>Reconcile physical versus system stock</t>
  </si>
  <si>
    <t>Compare actual physical count against system book balance to uncover stock variances</t>
  </si>
  <si>
    <t>Generates Variance Ledger detailing overages, shortages, and net financial discrepancy</t>
  </si>
  <si>
    <t>Supported via StockCountSession discrepancy analysis dashboard.</t>
  </si>
  <si>
    <t>P-0157</t>
  </si>
  <si>
    <t>Track batch/serial numbers</t>
  </si>
  <si>
    <t>Customer Service</t>
  </si>
  <si>
    <t>Track complete movement history of individual serial numbers or manufacturer batch lots</t>
  </si>
  <si>
    <t>Maintains comprehensive lifecycle history: origin PO -&gt; godown -&gt; transfer -&gt; sales invoice</t>
  </si>
  <si>
    <t>Supported via Serial/Batch Traceability Explorer (/inventory/traceability/).</t>
  </si>
  <si>
    <t>Code review 2026-10-04 (agent-reviewed, spot-checked): Partial. Serial and batch registers with status exist; no lifecycle history explorer from PO through transfer to invoice.</t>
  </si>
  <si>
    <t>backend/inventory/models.py:SerialNumber; backend/inventory/views.py:SerialNumberViewSet; backend/inventory/models.py:BatchLot</t>
  </si>
  <si>
    <t>Serial and batch registers with status exist; no lifecycle history explorer from PO through transfer to invoice.</t>
  </si>
  <si>
    <t>P-0158</t>
  </si>
  <si>
    <t>Track expiry</t>
  </si>
  <si>
    <t>Enforce First-Expiry-First-Out (FEFO) rules and track impending shelf-life expirations</t>
  </si>
  <si>
    <t>Sorts available batches by expiry date; restricts allocation of expiring lots</t>
  </si>
  <si>
    <t>Core system invariant: FEFO auto-selection in warehouse picking and billing.</t>
  </si>
  <si>
    <t>Code review 2026-10-04 (agent-reviewed, spot-checked): Confirmed. Available batches are ordered by expiry and sales allocation uses them; expired lots are excluded when blocking is on.</t>
  </si>
  <si>
    <t>backend/tests/test_phase4_inventory.py::test_fefo_orders_earliest_expiry_first; backend/tests/test_phase4_inventory.py::test_sale_allocates_unselected_tracked_batch_by_fefo</t>
  </si>
  <si>
    <t>backend/inventory/services.py:fefo_batches; backend/sales/services.py:fefo_batches; backend/inventory/services.py:reserve_stock</t>
  </si>
  <si>
    <t>Available batches are ordered by expiry and sales allocation uses them; expired lots are excluded when blocking is on.</t>
  </si>
  <si>
    <t>P-0159</t>
  </si>
  <si>
    <t>Calculate inventory valuation</t>
  </si>
  <si>
    <t>Accountant / Auditor</t>
  </si>
  <si>
    <t>Calculate total balance sheet inventory value based on FIFO cost layers</t>
  </si>
  <si>
    <t>Computes total asset value: SUM(Stock Layer Quantity * Layer Unit Cost)</t>
  </si>
  <si>
    <t>Supported via Inventory Valuation Ledger (/reports/inventory-valuation/).</t>
  </si>
  <si>
    <t>Restored to authored P2. The previous workbook had P3 after a keyword rebalance. Code review 2026-10-04 (agent-reviewed, spot-checked): Confirmed. Valuation endpoint sums remaining FIFO cost layers when the company method is FIFO.</t>
  </si>
  <si>
    <t>backend/inventory/services.py:InventoryValuationService; backend/inventory/views.py:StockValuationReportView; backend/inventory/models.py:InventoryCostLayer</t>
  </si>
  <si>
    <t>Valuation endpoint sums remaining FIFO cost layers when the company method is FIFO.</t>
  </si>
  <si>
    <t>P-0160</t>
  </si>
  <si>
    <t>Investigate stock discrepancies</t>
  </si>
  <si>
    <t>Security / Store Auditor</t>
  </si>
  <si>
    <t>Drill into transaction logs to uncover root cause of missing stock (theft, unbilled dispatch, count error)</t>
  </si>
  <si>
    <t>Replays all inward, outward, and transfer movements chronologically for disputed SKU</t>
  </si>
  <si>
    <t>Supported via SKU Timeline Explorer with audit trail log.</t>
  </si>
  <si>
    <t>Code review 2026-10-04 (agent-reviewed, spot-checked): Partial. Movements API allows replay by product and warehouse; no dedicated SKU timeline explorer in web.</t>
  </si>
  <si>
    <t>backend/inventory/views.py:StockMovementViewSet; backend/inventory/models.py:StockMovement</t>
  </si>
  <si>
    <t>Movements API allows replay by product and warehouse; no dedicated SKU timeline explorer in web.</t>
  </si>
  <si>
    <t>P-0161</t>
  </si>
  <si>
    <t>Review inventory movement history</t>
  </si>
  <si>
    <t>Audit chronological log of every stock increment and decrement across the company</t>
  </si>
  <si>
    <t>Queries immutable StockMovement table with filters for movement type, user, and date</t>
  </si>
  <si>
    <t>Supported via /inventory/movements/ with export to Excel/CSV.</t>
  </si>
  <si>
    <t>Code review 2026-10-04 (agent-reviewed, spot-checked): Partial. Immutable movement table with product, type, warehouse filters exists; no user or date filters and no Excel/CSV export found.</t>
  </si>
  <si>
    <t>Immutable movement table with product, type, warehouse filters exists; no user or date filters and no Excel/CSV export found.</t>
  </si>
  <si>
    <t>P-0162</t>
  </si>
  <si>
    <t>Receive invoice</t>
  </si>
  <si>
    <t>Receive transparent, itemized invoice via paper print, SMS link, or WhatsApp message</t>
  </si>
  <si>
    <t>Provides proof of purchase, warranty record, and tax breakdown for input tax credit</t>
  </si>
  <si>
    <t>Supported via digital invoice web view and WhatsApp share link.</t>
  </si>
  <si>
    <t>External party</t>
  </si>
  <si>
    <t>External Party (Customer / Supplier)</t>
  </si>
  <si>
    <t>P-0163</t>
  </si>
  <si>
    <t>View purchase history</t>
  </si>
  <si>
    <t>Review past orders, reorder previous items, and track order fulfillment status</t>
  </si>
  <si>
    <t>Accesses self-service customer ledger or order summary link</t>
  </si>
  <si>
    <t>Supported via Customer Portal / shared statement link.</t>
  </si>
  <si>
    <t>Restored to authored P2. The previous workbook had P3 after a keyword rebalance. Code review 2026-10-04 (agent-reviewed, spot-checked): Partial. Portal link lists only open receivable invoices with outstanding and pay link; no past orders, reorder or fulfillment status.</t>
  </si>
  <si>
    <t>backend/payments/portal_views.py:CustomerPortalView</t>
  </si>
  <si>
    <t>Portal link lists only open receivable invoices with outstanding and pay link; no past orders, reorder or fulfillment status.</t>
  </si>
  <si>
    <t>P-0164</t>
  </si>
  <si>
    <t>Receive dues information</t>
  </si>
  <si>
    <t>Accountant / Cashier</t>
  </si>
  <si>
    <t>Receive clear, polite payment reminders showing total unpaid credit balance and due date</t>
  </si>
  <si>
    <t>Displays list of outstanding invoices with embedded UPI quick-payment link</t>
  </si>
  <si>
    <t>Supported via Automated WhatsApp payment reminder engine.</t>
  </si>
  <si>
    <t>P-0165</t>
  </si>
  <si>
    <t>Make payment</t>
  </si>
  <si>
    <t>Cashier / Payment Gateway</t>
  </si>
  <si>
    <t>Pay outstanding balance easily via Cash, UPI QR, Debit/Credit Card, or NetBanking</t>
  </si>
  <si>
    <t>Generates immediate payment receipt; reduces customer outstanding balance in real time</t>
  </si>
  <si>
    <t>Supported via dynamic UPI QR on POS and online payment link.</t>
  </si>
  <si>
    <t>Code review 2026-10-04 (agent-reviewed, spot-checked): Confirmed. Payment links and UPI QR collect payment and receipts allocate against invoices, reducing outstanding.</t>
  </si>
  <si>
    <t>backend/payments/models.py:PaymentLink; backend/payments/upi.py:upi_qr_fields; backend/payments/services.py:create_receipt</t>
  </si>
  <si>
    <t>Payment links and UPI QR collect payment and receipts allocate against invoices, reducing outstanding.</t>
  </si>
  <si>
    <t>P-0166</t>
  </si>
  <si>
    <t>Request return</t>
  </si>
  <si>
    <t>Customer Support / Clerk</t>
  </si>
  <si>
    <t>Initiate return request for defective, damaged, or wrongly supplied products</t>
  </si>
  <si>
    <t>Generates return request ticket; captures reason and invoice reference</t>
  </si>
  <si>
    <t>Supported via SalesReturn draft initiation with invoice lookup.</t>
  </si>
  <si>
    <t>P-0167</t>
  </si>
  <si>
    <t>Request replacement</t>
  </si>
  <si>
    <t>Store Clerk</t>
  </si>
  <si>
    <t>Request exchange of damaged product for a fresh replacement unit</t>
  </si>
  <si>
    <t>Links return voucher with replacement sales order; balances financial difference</t>
  </si>
  <si>
    <t>Supported via Return &amp; Exchange workflow in POS interface.</t>
  </si>
  <si>
    <t>Restored to authored P2. The previous workbook had P3 after a keyword rebalance. Code review 2026-10-04 (agent-reviewed, spot-checked): Contradicted. No replacement or exchange workflow linking a return to a replacement order.</t>
  </si>
  <si>
    <t>none found: searched replacement, exchange in backend/sales and web/src/pages/pos</t>
  </si>
  <si>
    <t>No replacement or exchange workflow linking a return to a replacement order.</t>
  </si>
  <si>
    <t>P-0168</t>
  </si>
  <si>
    <t>View outstanding balance</t>
  </si>
  <si>
    <t>Store Owner</t>
  </si>
  <si>
    <t>Verify running khata statement to confirm payments have been correctly credited</t>
  </si>
  <si>
    <t>Generates statement showing all historical purchases, payments, and running balance</t>
  </si>
  <si>
    <t>Supported via Customer Statement PDF export and WhatsApp share.</t>
  </si>
  <si>
    <t>Matched WhatsApp in product code. This is not a functional test. Restored to authored P2. The previous workbook had P3 after a keyword rebalance.</t>
  </si>
  <si>
    <t>P-0169</t>
  </si>
  <si>
    <t>Receive order/status updates</t>
  </si>
  <si>
    <t>Delivery Driver</t>
  </si>
  <si>
    <t>Receive SMS or WhatsApp notifications when order is confirmed, packed, dispatched, and delivered</t>
  </si>
  <si>
    <t>Maintains customer transparency and reduces inbound status inquiry calls</t>
  </si>
  <si>
    <t>Supported via automated order event webhook and WhatsApp status triggers.</t>
  </si>
  <si>
    <t>P-0170</t>
  </si>
  <si>
    <t>Receive purchase/order information</t>
  </si>
  <si>
    <t>Supplier / Vendor</t>
  </si>
  <si>
    <t>Receive structured purchase order detailing required SKUs, quantities, and delivery timeframe</t>
  </si>
  <si>
    <t>Provides binding commercial order for manufacturer or distributor fulfillment</t>
  </si>
  <si>
    <t>Supported via PO PDF generation and automated email/WhatsApp dispatch.</t>
  </si>
  <si>
    <t>P-0171</t>
  </si>
  <si>
    <t>Provide invoice</t>
  </si>
  <si>
    <t>Submit tax invoice and delivery challan accompanying physical shipment</t>
  </si>
  <si>
    <t>Serves as legal basis for buyer's inventory intake and Input Tax Credit (ITC) claim</t>
  </si>
  <si>
    <t>Supported via Supplier Bill intake and OCR/LLM document extraction (/purchases/upload/).</t>
  </si>
  <si>
    <t>Code review 2026-10-04 (agent-reviewed, spot-checked): Confirmed. Purchase bill upload with OCR/LLM extraction into a draft invoice exists; invoice carries ITC eligibility.</t>
  </si>
  <si>
    <t>backend/core/services/llm.py:extract_purchase_bill; backend/imports/tasks.py:extract_purchase_bill_task; backend/purchases/models.py:PurchaseInvoice</t>
  </si>
  <si>
    <t>Purchase bill upload with OCR/LLM extraction into a draft invoice exists; invoice carries ITC eligibility.</t>
  </si>
  <si>
    <t>P-0172</t>
  </si>
  <si>
    <t>Track payment status</t>
  </si>
  <si>
    <t>Verify payment remittance status, UTR numbers, and TDS certificates</t>
  </si>
  <si>
    <t>Reduces payment disputes; provides payment advice referencing paid invoices</t>
  </si>
  <si>
    <t>Supported via Payment Advice generation and supplier statement export.</t>
  </si>
  <si>
    <t>Restored to authored P2. The previous workbook had P3 after a keyword rebalance. Code review 2026-10-04 (agent-reviewed, spot-checked): Partial. Supplier payments store UTR and TDS and a supplier statement exists; no payment advice document or TDS certificate generation found.</t>
  </si>
  <si>
    <t>backend/payments/models.py:SupplierPayment; backend/ledgers/services.py:LedgerService</t>
  </si>
  <si>
    <t>Supplier payments store UTR and TDS and a supplier statement exists; no payment advice document or TDS certificate generation found.</t>
  </si>
  <si>
    <t>P-0173</t>
  </si>
  <si>
    <t>View outstanding amount</t>
  </si>
  <si>
    <t>Reconcile trade receivables against buyer's records to resolve balance discrepancies</t>
  </si>
  <si>
    <t>Generates supplier ledger statement matching buyer's Accounts Payable against supplier's AR</t>
  </si>
  <si>
    <t>Supported via /purchases/suppliers/{id}/statement/ export.</t>
  </si>
  <si>
    <t>Restored to authored P2. The previous workbook had P3 after a keyword rebalance. Code review 2026-10-04 (agent-reviewed, spot-checked): Confirmed. Supplier ledger statement with running balance and outstanding is available for reconciling with supplier records.</t>
  </si>
  <si>
    <t>backend/ledgers/views.py:SupplierLedgerDetailView; backend/ledgers/services.py:LedgerService</t>
  </si>
  <si>
    <t>Supplier ledger statement with running balance and outstanding is available for reconciling with supplier records.</t>
  </si>
  <si>
    <t>P-0174</t>
  </si>
  <si>
    <t>Handle purchase returns</t>
  </si>
  <si>
    <t>Accept returned defective or expired goods and issue corresponding credit note</t>
  </si>
  <si>
    <t>Matches buyer's PurchaseDebitNote; adjusts supplier's outstanding ledger balance</t>
  </si>
  <si>
    <t>Supported via PurchaseDebitNote reconciliation workflow.</t>
  </si>
  <si>
    <t>Matched PurchaseDebitNote in product code. This is not a functional test.</t>
  </si>
  <si>
    <t>P-0175</t>
  </si>
  <si>
    <t>Resolve invoice discrepancies</t>
  </si>
  <si>
    <t>Resolve billing discrepancies regarding rates, discounts, freight charges, or tax amounts</t>
  </si>
  <si>
    <t>Enables line-item adjustment and supplementary credit/debit note matching</t>
  </si>
  <si>
    <t>Supported via Purchase Invoice revision / discrepancy resolution interface.</t>
  </si>
  <si>
    <t>Code review 2026-10-04 (agent-reviewed, spot-checked): Partial. Credit/debit notes and completed-invoice price amendment exist, but no dedicated discrepancy-resolution workflow.</t>
  </si>
  <si>
    <t>backend/purchases/models.py:PurchaseCreditNote; backend/purchases/models.py:PurchaseDebitNote; backend/purchases/services.py:restamp_fifo_layers_for_price_amend</t>
  </si>
  <si>
    <t>Credit/debit notes and completed-invoice price amendment exist, but no dedicated discrepancy-resolution workflow.</t>
  </si>
  <si>
    <t>P-0176</t>
  </si>
  <si>
    <t>Admin / System Owner</t>
  </si>
  <si>
    <t>Create and manage business users</t>
  </si>
  <si>
    <t>Company Users</t>
  </si>
  <si>
    <t>Onboard employees, assign login credentials, and manage active/deactivated user status</t>
  </si>
  <si>
    <t>Creates User and CompanyUser records; controls login authentication and session access</t>
  </si>
  <si>
    <t>Supported via /settings/users/ with role assignment and invitation management.</t>
  </si>
  <si>
    <t>Code review 2026-10-04 (agent-reviewed, spot-checked): Confirmed. Users are invited, assigned roles and activated/deactivated via CompanyUser memberships.</t>
  </si>
  <si>
    <t>Admin</t>
  </si>
  <si>
    <t>backend/tests/test_auth.py::test_owner_invites_staff_with_password_can_sign_in; backend/tests/test_auth.py::test_staff_cannot_manage_users</t>
  </si>
  <si>
    <t>backend/accounts/views.py:CompanyUserViewSet; backend/accounts/models.py:CompanyUser; backend/accounts/views.py:AcceptInviteView</t>
  </si>
  <si>
    <t>Users are invited, assigned roles and activated/deactivated via CompanyUser memberships.</t>
  </si>
  <si>
    <t>P-0177</t>
  </si>
  <si>
    <t>Configure roles and permissions</t>
  </si>
  <si>
    <t>Department Heads</t>
  </si>
  <si>
    <t>Define granular access control rules (RBAC) across sales, purchases, inventory, and accounting</t>
  </si>
  <si>
    <t>Enforces permission checks across UI routes and REST API endpoints</t>
  </si>
  <si>
    <t>Supported via Role Permission Matrix (Owner, Manager, Sales Staff, Inventory Staff, Accountant).</t>
  </si>
  <si>
    <t>Code review 2026-10-04 (agent-reviewed, spot-checked): Confirmed. CompanyUser roles with capability presets enforced by DRF permission classes across API endpoints.</t>
  </si>
  <si>
    <t>backend/tests/tenancy/test_rbac_matrix.py::test_role_capability_permission_truth_table; backend/tests/test_next_batch_roles.py::test_invite_viewer_rejects_capability_escalation</t>
  </si>
  <si>
    <t>backend/accounts/models.py:CompanyUser; backend/ledgers/views.py:CanViewFinancialReports; backend/core/permissions.py:get_company_user</t>
  </si>
  <si>
    <t>CompanyUser roles with capability presets enforced by DRF permission classes across API endpoints.</t>
  </si>
  <si>
    <t>P-0178</t>
  </si>
  <si>
    <t>Configure business settings</t>
  </si>
  <si>
    <t>Configure company profile, legal name, registered address, logo, currency, and financial year</t>
  </si>
  <si>
    <t>Updates Company master model; sets default behaviors for documents and system operations</t>
  </si>
  <si>
    <t>Supported via /settings/company/ profile management.</t>
  </si>
  <si>
    <t>Code review 2026-10-04 (agent-reviewed, spot-checked): Confirmed. Owner-only company profile update covers legal name, address, logo and financial year start month.</t>
  </si>
  <si>
    <t>backend/tests/test_auth.py::test_owner_updates_company_gst_settings; backend/tests/test_wave2_open_fixes.py::test_company_logo_rejects_foreign_file_asset</t>
  </si>
  <si>
    <t>backend/accounts/views.py:CompanyDetailView; backend/accounts/models.py:Company</t>
  </si>
  <si>
    <t>Owner-only company profile update covers legal name, address, logo and financial year start month.</t>
  </si>
  <si>
    <t>P-0179</t>
  </si>
  <si>
    <t>Configure GST information</t>
  </si>
  <si>
    <t>Configure company GSTIN, legal registered trade name, state code, and tax filing frequency</t>
  </si>
  <si>
    <t>Sets up CompanyGstin records; defines Place of Supply rules for intra-state vs inter-state taxes</t>
  </si>
  <si>
    <t>Supported via /settings/gst/ with active GSTIN validation and composition scheme toggles.</t>
  </si>
  <si>
    <t>Code review 2026-10-04 (agent-reviewed, spot-checked): Confirmed. CompanyGstin records with state, composition handling and place-of-supply use exist.</t>
  </si>
  <si>
    <t>backend/tests/test_sprint3_series_gstin.py::test_bb_000674_owner_company_gstin_crud</t>
  </si>
  <si>
    <t>backend/accounts/models.py:CompanyGstin</t>
  </si>
  <si>
    <t>backend/tests/test_audit_p0_decisions.py; backend/tests/test_b06_020_cross_tenant_membership_gstin.py; backend/tests/test_help_codes_live.py</t>
  </si>
  <si>
    <t>backend/accounts/models.py:CompanyGstin; backend/accounts/serializers.py:CompanyStatutoryLicenceSerializer</t>
  </si>
  <si>
    <t>CompanyGstin records with state, composition handling and place-of-supply use exist.</t>
  </si>
  <si>
    <t>Logistics Team</t>
  </si>
  <si>
    <t>Register company warehouse locations, storage godowns, and retail branch stores</t>
  </si>
  <si>
    <t>Creates Warehouse records; assigns default dispatch godowns and user location mappings</t>
  </si>
  <si>
    <t>Supported via /settings/warehouses/ with location address and contact details. | Decision 2026-10-04 (delegated, quality-first): Build in Pilot (2 days). Contact fields and user-to-location mapping on warehouses. | Truth 2026-10-05 (WI-041): Partial. Contact name and phone are blank=True (not required); the user-to-warehouse mapping is stored but nothing enforces or reads it; no test covers the mapping or the default rule. Mapping model and grant endpoint exist but the required-contact rule and any test are missing.</t>
  </si>
  <si>
    <t>Code review 2026-10-04 (agent-reviewed, spot-checked): Partial. Warehouse has name, code, address and default flag; no contact fields or user-to-location mapping.</t>
  </si>
  <si>
    <t>backend/tests/test_cft_checklist.py::test_cft_040_042_048_reserved_available_agrees_across_surfaces; backend/tests/test_item_godown_expiry.py::test_deactivate_godown_with_stock_blocked</t>
  </si>
  <si>
    <t>backend/planwave/models.py:UserWarehouseAccess; backend/planwave/finish.py:grant_warehouse; backend/inventory/serializers.py:WarehouseSerializer</t>
  </si>
  <si>
    <t>backend/inventory/models.py:Warehouse; backend/inventory/views.py:WarehouseViewSet</t>
  </si>
  <si>
    <t>P-0181</t>
  </si>
  <si>
    <t>Configure taxes and HSN</t>
  </si>
  <si>
    <t>Configure standard tax rate slabs (0%, 5%, 12%, 18%, 28%) and custom cess rules</t>
  </si>
  <si>
    <t>Configures TaxRate models; enables automated line-item tax calculation during billing</t>
  </si>
  <si>
    <t>Supported via /settings/taxes/ with support for per-unit cess and compensation cess.</t>
  </si>
  <si>
    <t>Code review 2026-10-04 (agent-reviewed, spot-checked): Confirmed. TaxRate master plus ad-valorem and per-unit cess feed line tax calculation.</t>
  </si>
  <si>
    <t>backend/tests/test_pr9_p2_edges.py::test_r036_tax_rate_list_fresh_after_patch</t>
  </si>
  <si>
    <t>backend/masters/models.py:TaxRate</t>
  </si>
  <si>
    <t>backend/masters/models.py:TaxRate; backend/core/services/tax_engine/india.py:_apply_line_tax</t>
  </si>
  <si>
    <t>TaxRate master plus ad-valorem and per-unit cess feed line tax calculation.</t>
  </si>
  <si>
    <t>P-0182</t>
  </si>
  <si>
    <t>Configure invoice templates</t>
  </si>
  <si>
    <t>Billing Clerks</t>
  </si>
  <si>
    <t>Customize invoice layout, thermal slip sizes (2-inch vs 3-inch), bank account details, and terms</t>
  </si>
  <si>
    <t>Updates PDF rendering configuration; customizes header logo, signature block, and QR placement</t>
  </si>
  <si>
    <t>Supported via /settings/invoice-templates/ with live visual preview.</t>
  </si>
  <si>
    <t>Restored to authored P2. The previous workbook had P3 after a keyword rebalance. Code review 2026-10-04 (agent-reviewed, spot-checked): Partial. Page edits invoice terms only; no layout, thermal size, logo or QR placement configuration with preview.</t>
  </si>
  <si>
    <t>web/src/pages/settings/InvoiceTemplatesPage.tsx:InvoiceTemplatesPage</t>
  </si>
  <si>
    <t>Page edits invoice terms only; no layout, thermal size, logo or QR placement configuration with preview.</t>
  </si>
  <si>
    <t>P-0183</t>
  </si>
  <si>
    <t>Configure integrations</t>
  </si>
  <si>
    <t>Set up external messaging (WhatsApp Web, SMS gateway), payment gateways, and printer settings</t>
  </si>
  <si>
    <t>Stores integration credentials safely; configures webhook endpoints and API keys</t>
  </si>
  <si>
    <t>Supported via /settings/integrations/ (WhatsApp Web, UPI QR, Thermal Printers).</t>
  </si>
  <si>
    <t>P-0184</t>
  </si>
  <si>
    <t>Review system activity</t>
  </si>
  <si>
    <t>Security Auditor</t>
  </si>
  <si>
    <t>Monitor real-time user logins, transaction throughput, and active user sessions</t>
  </si>
  <si>
    <t>Surfaces operational event telemetry; highlights anomalous login attempts or high failure rates</t>
  </si>
  <si>
    <t>Supported via System Activity Dashboard and Django session monitoring.</t>
  </si>
  <si>
    <t>Code review 2026-10-04 (agent-reviewed, spot-checked): Partial. Operational metrics and telemetry events exist, but no real-time dashboard of active sessions, login throughput or anomalous login attempts was found.</t>
  </si>
  <si>
    <t>backend/core/ops_metrics.py:ops_metrics; backend/core/views.py:MetricsView</t>
  </si>
  <si>
    <t>Operational metrics and telemetry events exist, but no real-time dashboard of active sessions, login throughput or anomalous login attempts was found.</t>
  </si>
  <si>
    <t>P-0185</t>
  </si>
  <si>
    <t>Review audit logs</t>
  </si>
  <si>
    <t>Statutory Auditor</t>
  </si>
  <si>
    <t>Inspect comprehensive immutable audit trail of all record creates, updates, and deletions</t>
  </si>
  <si>
    <t>Queries ActivityLog and simple_history tables; provides legal compliance evidence</t>
  </si>
  <si>
    <t>Supported via /settings/audit-logs/ with user, entity, and date filtering.</t>
  </si>
  <si>
    <t>Code review 2026-10-04 (agent-reviewed, spot-checked): Confirmed. Owner-only audit log list endpoint over AuditEvent exists; filtering is by action only, and simple_history tables do not exist.</t>
  </si>
  <si>
    <t>backend/tests/test_search_reports_audit.py::test_audit_log_records_and_is_owner_only</t>
  </si>
  <si>
    <t>backend/core/views.py:AuditEventViewSet; backend/core/models.py:AuditEvent</t>
  </si>
  <si>
    <t>Owner-only audit log list endpoint over AuditEvent exists; filtering is by action only, and simple_history tables do not exist.</t>
  </si>
  <si>
    <t>P-0186</t>
  </si>
  <si>
    <t>Manage data imports/exports</t>
  </si>
  <si>
    <t>Manage bulk CSV/Excel data imports (Products, Customers, Stock) and full database backups</t>
  </si>
  <si>
    <t>Processes bulk asynchronous import jobs with error report generation; exports full datasets</t>
  </si>
  <si>
    <t>Supported via /settings/data-management/ with schema validation and dry-run previews.</t>
  </si>
  <si>
    <t>Code review 2026-10-04 (agent-reviewed, spot-checked): Confirmed. Import jobs with preview/commit and an encrypted full tenant export exist.</t>
  </si>
  <si>
    <t>backend/imports/models.py:ImportJob; backend/accounts/tenant_backup.py:build_export_payload</t>
  </si>
  <si>
    <t>Import jobs with preview/commit and an encrypted full tenant export exist.</t>
  </si>
  <si>
    <t>P-0187</t>
  </si>
  <si>
    <t>Manage backups/recovery</t>
  </si>
  <si>
    <t>Ensure automated daily database backups and test disaster recovery procedures</t>
  </si>
  <si>
    <t>Executes encrypted PostgreSQL pg_dump; archives to isolated secondary storage</t>
  </si>
  <si>
    <t>Supported via automated daily cron / scripts/backup.sh with point-in-time recovery capability.</t>
  </si>
  <si>
    <t>Code review 2026-10-04 (agent-reviewed, spot-checked): Confirmed. backup.sh makes an encrypted pg_dump with retention and optional offsite copy; point-in-time recovery is not provided.</t>
  </si>
  <si>
    <t>backend/tests/test_backup_scripts.py::test_encrypted_dump_uses_age_and_is_not_plaintext_named; backend/tests/test_backup_scripts.py::test_offsite_command_receives_the_file_and_failure_is_fatal</t>
  </si>
  <si>
    <t>scripts/backup.sh:pg_dump; scripts/check_backup_age.sh</t>
  </si>
  <si>
    <t>backup.sh makes an encrypted pg_dump with retention and optional offsite copy; point-in-time recovery is not provided.</t>
  </si>
  <si>
    <t>P-0188</t>
  </si>
  <si>
    <t>Monitor system health</t>
  </si>
  <si>
    <t>Monitor database connection pool, API latency, worker queue status, and disk storage usage</t>
  </si>
  <si>
    <t>Surfaces /health/ check endpoint metrics; alerts on memory exhaustion or queue lag</t>
  </si>
  <si>
    <t>Supported via /health/ endpoint and Prometheus/Grafana health probes.</t>
  </si>
  <si>
    <t>Code review 2026-10-04 (agent-reviewed, spot-checked): Confirmed. /health/ checks DB and cache and a metrics endpoint exposes operational metrics; Prometheus/Grafana wiring is outside code.</t>
  </si>
  <si>
    <t>backend/core/views.py:HealthView; backend/core/views.py:MetricsView; backend/core/ops_metrics.py</t>
  </si>
  <si>
    <t>/health/ checks DB and cache and a metrics endpoint exposes operational metrics; Prometheus/Grafana wiring is outside code.</t>
  </si>
  <si>
    <t>X-0189</t>
  </si>
  <si>
    <t>X</t>
  </si>
  <si>
    <t>Customer order → salesperson records order → inventory availability is checked</t>
  </si>
  <si>
    <t>Retailer / Godown Keeper</t>
  </si>
  <si>
    <t>Salesperson books customer order with real-time stock verification</t>
  </si>
  <si>
    <t>Creates SalesOrder in DRAFT status; checks available-to-promise (ATP) stock in real time</t>
  </si>
  <si>
    <t>Supported via /sales/orders/create with real-time inventory ATP verification.</t>
  </si>
  <si>
    <t>Code review 2026-10-04 (agent-reviewed, spot-checked): Partial. Draft order is created, but stock availability is enforced only at confirm via reserve_stock, not when the draft is booked.</t>
  </si>
  <si>
    <t>Draft order is created, but stock availability is enforced only at confirm via reserve_stock, not when the draft is booked.</t>
  </si>
  <si>
    <t>X-0190</t>
  </si>
  <si>
    <t>Customer accepts quotation → quotation converts to sales order</t>
  </si>
  <si>
    <t>Approved quotation seamlessly converted to binding sales order without re-entry</t>
  </si>
  <si>
    <t>Marks Quotation as ACCEPTED; generates linked SalesOrder copying all line rates and terms</t>
  </si>
  <si>
    <t>Code review 2026-10-04 (agent-reviewed, spot-checked): Confirmed. convert_quotation_to_order creates a draft SalesOrder copying lines and marks the quotation CONVERTED (no ACCEPTED status).</t>
  </si>
  <si>
    <t>backend/sales/services.py:convert_quotation_to_order; backend/sales/models.py:SalesOrder</t>
  </si>
  <si>
    <t>convert_quotation_to_order creates a draft SalesOrder copying lines and marks the quotation CONVERTED (no ACCEPTED status).</t>
  </si>
  <si>
    <t>X-0191</t>
  </si>
  <si>
    <t>Sales order → inventory is reserved → available stock is updated</t>
  </si>
  <si>
    <t>Commercial Sales Desk</t>
  </si>
  <si>
    <t>Inventory committed to confirmed order, preventing double-selling</t>
  </si>
  <si>
    <t>Increments reserved_stock and decrements available_stock on StockBalance model</t>
  </si>
  <si>
    <t>Core system invariant: order confirmation reserves stock atomically.</t>
  </si>
  <si>
    <t>Restored to authored P1. The previous workbook had P0 after a keyword rebalance. Code review 2026-10-04 (agent-reviewed, spot-checked): Confirmed. Confirming an order reserves each line, raising StockBalance.reserved; available is the derived property on_hand minus reserved.</t>
  </si>
  <si>
    <t>backend/inventory/services.py:reserve_stock; backend/inventory/models.py:StockBalance; backend/sales/notes_services.py:confirm_sales_order</t>
  </si>
  <si>
    <t>Confirming an order reserves each line, raising StockBalance.reserved; available is the derived property on_hand minus reserved.</t>
  </si>
  <si>
    <t>X-0192</t>
  </si>
  <si>
    <t>Sales order → warehouse receives picking request</t>
  </si>
  <si>
    <t>Sales Coordinator</t>
  </si>
  <si>
    <t>Warehouse notified of confirmed order ready for picking and packing</t>
  </si>
  <si>
    <t>Generates warehouse PickList document grouped by godown rack and bin location</t>
  </si>
  <si>
    <t>Supported via PickList generator in Warehouse module.</t>
  </si>
  <si>
    <t>Code review 2026-10-04 (agent-reviewed, spot-checked): Contradicted. No pick list document or warehouse picking request exists.</t>
  </si>
  <si>
    <t>none found: searched PickList, pick_list, picking in backend/sales, inventory, ops</t>
  </si>
  <si>
    <t>No pick list document or warehouse picking request exists.</t>
  </si>
  <si>
    <t>X-0193</t>
  </si>
  <si>
    <t>Warehouse picks stock → order becomes ready for dispatch</t>
  </si>
  <si>
    <t>Physical items retrieved from shelves, verified, and staged in dispatch bay</t>
  </si>
  <si>
    <t>Updates SalesOrder fulfillment status to READY_FOR_DISPATCH; locks picked batch numbers</t>
  </si>
  <si>
    <t>Supported via PickList fulfillment confirmation screen.</t>
  </si>
  <si>
    <t>Code review 2026-10-04 (agent-reviewed, spot-checked): Contradicted. No picking confirmation, ready-for-dispatch status or batch lock exists.</t>
  </si>
  <si>
    <t>none found: searched READY_FOR_DISPATCH, PICKED, picking; SalesOrder statuses are DRAFT/CONFIRMED/CONVERTED/CANCELLED</t>
  </si>
  <si>
    <t>No picking confirmation, ready-for-dispatch status or batch lock exists.</t>
  </si>
  <si>
    <t>X-0194</t>
  </si>
  <si>
    <t>Order dispatched → delivery status is recorded</t>
  </si>
  <si>
    <t>Delivery Driver / Transport Vendor</t>
  </si>
  <si>
    <t>Goods leave warehouse premises with formal delivery documentation</t>
  </si>
  <si>
    <t>Creates DeliveryChallan; logs vehicle number, driver contact, and dispatch timestamp</t>
  </si>
  <si>
    <t>Supported via /sales/delivery-challans/ with vehicle and driver logging.</t>
  </si>
  <si>
    <t>Code review 2026-10-04 (agent-reviewed, spot-checked): Confirmed. DeliveryChallan records vehicle, transporter and completed_at timestamp; driver contact is not stored.</t>
  </si>
  <si>
    <t>backend/sales/models.py:DeliveryChallan</t>
  </si>
  <si>
    <t>backend/tests/test_a10_period_centralization.py; backend/tests/test_phase1_documents.py; backend/tests/test_sales_purchase_ux_plan.py</t>
  </si>
  <si>
    <t>backend/sales/models.py:DeliveryChallan; backend/sales/notes_services.py:convert_sales_order_to_challan</t>
  </si>
  <si>
    <t>DeliveryChallan records vehicle, transporter and completed_at timestamp; driver contact is not stored.</t>
  </si>
  <si>
    <t>X-0195</t>
  </si>
  <si>
    <t>Delivery completed → invoice is generated</t>
  </si>
  <si>
    <t>Customer receives delivery and final legal tax invoice is issued</t>
  </si>
  <si>
    <t>Generates completed SalesInvoice; triggers accounting and statutory tax postings</t>
  </si>
  <si>
    <t>Supported via Challan-to-Invoice conversion workflow.</t>
  </si>
  <si>
    <t>Code review 2026-10-04 (agent-reviewed, spot-checked): Confirmed. convert_delivery_challan builds a sales invoice from the challan; completing it posts GL and tax.</t>
  </si>
  <si>
    <t>backend/sales/notes_services.py:convert_delivery_challan; backend/sales/models.py:SalesInvoice</t>
  </si>
  <si>
    <t>convert_delivery_challan builds a sales invoice from the challan; completing it posts GL and tax.</t>
  </si>
  <si>
    <t>X-0196</t>
  </si>
  <si>
    <t>Invoice generated → inventory is reduced</t>
  </si>
  <si>
    <t>System / Billing Engine</t>
  </si>
  <si>
    <t>Inventory on-hand balance decremented permanently upon invoice completion</t>
  </si>
  <si>
    <t>Creates append-only StockMovement record with movement_type='OUTWARD_SALE'</t>
  </si>
  <si>
    <t>Core system invariant: completing sales invoice permanently decrements warehouse inventory.</t>
  </si>
  <si>
    <t>Code review 2026-10-04 (agent-reviewed, spot-checked): Confirmed. Invoice completion posts append-only StockMovement rows of type SALE (named SALE, not OUTWARD_SALE).</t>
  </si>
  <si>
    <t>System / Automation</t>
  </si>
  <si>
    <t>backend/sales/cogs_service.py:CogsService; backend/inventory/models.py:StockMovement</t>
  </si>
  <si>
    <t>Invoice completion posts append-only StockMovement rows of type SALE (named SALE, not OUTWARD_SALE).</t>
  </si>
  <si>
    <t>X-0197</t>
  </si>
  <si>
    <t>Invoice generated → customer receivable is created</t>
  </si>
  <si>
    <t>System / Ledger Engine</t>
  </si>
  <si>
    <t>Trade receivable created in customer ledger for credit tracking</t>
  </si>
  <si>
    <t>Debits Customer Accounts Receivable ledger account; credits Sales Revenue account in GL</t>
  </si>
  <si>
    <t>Core system invariant: SalesService.complete atomically posts double-entry GL voucher.</t>
  </si>
  <si>
    <t>Matched SalesService in product code. This is not a functional test. Restored to authored P1. The previous workbook had P0 after a keyword rebalance.</t>
  </si>
  <si>
    <t>X-0198</t>
  </si>
  <si>
    <t>Invoice generated → GST liability is calculated</t>
  </si>
  <si>
    <t>Tax Calculation Engine</t>
  </si>
  <si>
    <t>Statutory output tax calculated and recorded for government GST compliance</t>
  </si>
  <si>
    <t>Evaluates Place of Supply; posts CGST/SGST or IGST liability to GST output ledgers</t>
  </si>
  <si>
    <t>Supported via TaxEngine; populates GSTR-1 outward tax liability register.</t>
  </si>
  <si>
    <t>Matched TaxEngine in product code. This is not a functional test.</t>
  </si>
  <si>
    <t>backend/core/services/tax_engine/base.py:TaxEngine</t>
  </si>
  <si>
    <t>X-0199</t>
  </si>
  <si>
    <t>Customer pays → payment is recorded</t>
  </si>
  <si>
    <t>Customer settlement recorded via cash, UPI, bank transfer, or payment gateway</t>
  </si>
  <si>
    <t>Creates Payment record; links transaction reference, payment mode, and timestamp</t>
  </si>
  <si>
    <t>Supported via /payments/create with instant receipt generation.</t>
  </si>
  <si>
    <t>Code review 2026-10-04 (agent-reviewed, spot-checked): Confirmed. create_receipt writes a CustomerReceipt with mode, reference and date, and posts to the ledger.</t>
  </si>
  <si>
    <t>backend/payments/services.py:create_receipt; backend/payments/models.py:CustomerReceipt</t>
  </si>
  <si>
    <t>create_receipt writes a CustomerReceipt with mode, reference and date, and posts to the ledger.</t>
  </si>
  <si>
    <t>X-0200</t>
  </si>
  <si>
    <t>Payment recorded → customer outstanding decreases</t>
  </si>
  <si>
    <t>Customer khata/credit balance reduced immediately upon payment receipt</t>
  </si>
  <si>
    <t>Credits Customer AR ledger; debits Cash/Bank ledger; updates customer credit availability</t>
  </si>
  <si>
    <t>Core system invariant: derived ledger balance updates instantaneously on payment post.</t>
  </si>
  <si>
    <t>Code review 2026-10-04 (agent-reviewed, spot-checked): Confirmed. Receipt posts to the bank/cash ledger and allocation moves advances to AR, reducing customer outstanding.</t>
  </si>
  <si>
    <t>backend/accounting/services.py:post_receipt; backend/accounting/services.py:post_receipt_allocation</t>
  </si>
  <si>
    <t>Receipt posts to the bank/cash ledger and allocation moves advances to AR, reducing customer outstanding.</t>
  </si>
  <si>
    <t>X-0201</t>
  </si>
  <si>
    <t>Partial payment → remaining outstanding is maintained</t>
  </si>
  <si>
    <t>Accurate tracking of partial settlements against open invoices</t>
  </si>
  <si>
    <t>Applies partial payment amount to invoice; updates invoice status to PARTIALLY_PAID</t>
  </si>
  <si>
    <t>Supported via PaymentAllocation model tracking exact remaining balance per invoice.</t>
  </si>
  <si>
    <t>Matched PaymentAllocation in product code. This is not a functional test.</t>
  </si>
  <si>
    <t>backend/payments/models.py:PaymentAllocation</t>
  </si>
  <si>
    <t>backend/tests/test_a07_dunning.py; backend/tests/test_a13_a14_reporting_sales.py; backend/tests/test_a15_cr090_plus.py</t>
  </si>
  <si>
    <t>X-0202</t>
  </si>
  <si>
    <t>Customer exceeds credit limit → sale/order is flagged or blocked</t>
  </si>
  <si>
    <t>Billing Clerk / Salesperson</t>
  </si>
  <si>
    <t>Prevent excessive credit exposure by blocking sales to over-limit customers</t>
  </si>
  <si>
    <t>Validates current customer balance + cart total against credit_limit; blocks checkout</t>
  </si>
  <si>
    <t>Core business invariant: hard validation guard; requires Owner override token to bypass.</t>
  </si>
  <si>
    <t>Code review 2026-10-04 (agent-reviewed, spot-checked): Confirmed. Credit limit is checked against ledger exposure at invoice and order confirm; blocks unless an owner supplies override reason.</t>
  </si>
  <si>
    <t>backend/sales/services.py:customer_exposure_for_credit_limit; backend/sales/order_gates.py:apply_order_gates</t>
  </si>
  <si>
    <t>Credit limit is checked against ledger exposure at invoice and order confirm; blocks unless an owner supplies override reason.</t>
  </si>
  <si>
    <t>X-0203</t>
  </si>
  <si>
    <t>Invoice becomes overdue → receivable ageing changes</t>
  </si>
  <si>
    <t>System / Aging Engine</t>
  </si>
  <si>
    <t>Unpaid invoices automatically advance into aging overdue brackets (30, 60, 90+ days)</t>
  </si>
  <si>
    <t>Recalculates aging bucket based on invoice due_date; updates receivables aging report</t>
  </si>
  <si>
    <t>Supported via automated daily aging recalculation in reporting module.</t>
  </si>
  <si>
    <t>Code review 2026-10-04 (agent-reviewed, spot-checked): Confirmed. receivables_aging buckets open invoices by due_date on demand; there is no scheduled recalculation, but ageing updates correctly.</t>
  </si>
  <si>
    <t>backend/reporting/services.py:ReportService; backend/ledgers/services.py:LedgerService</t>
  </si>
  <si>
    <t>receivables_aging buckets open invoices by due_date on demand; there is no scheduled recalculation, but ageing updates correctly.</t>
  </si>
  <si>
    <t>X-0204</t>
  </si>
  <si>
    <t>Overdue invoice → owner receives business alert</t>
  </si>
  <si>
    <t>Alert Notification Engine</t>
  </si>
  <si>
    <t>Proactive alert to business owner when key customer breaches overdue payment threshold</t>
  </si>
  <si>
    <t>Creates BusinessAlertEvent record; pushes high-priority notification to owner dashboard</t>
  </si>
  <si>
    <t>Supported via Insights alert engine (/insights/alerts/).</t>
  </si>
  <si>
    <t>Code review 2026-10-04 (agent-reviewed, spot-checked): Confirmed. AR_OVERDUE_CRITICAL alert is upserted as BusinessAlertEvent; it is portfolio level, not per customer threshold.</t>
  </si>
  <si>
    <t>backend/insights/alerts.py:build_business_alerts; backend/insights/models.py:BusinessAlertEvent</t>
  </si>
  <si>
    <t>AR_OVERDUE_CRITICAL alert is upserted as BusinessAlertEvent; it is portfolio level, not per customer threshold.</t>
  </si>
  <si>
    <t>X-0205</t>
  </si>
  <si>
    <t>Customer requests return → return request is recorded</t>
  </si>
  <si>
    <t>Customer Service / Salesperson</t>
  </si>
  <si>
    <t>Formal recording of customer return request referencing original invoice</t>
  </si>
  <si>
    <t>Creates SalesReturn in DRAFT status; records return reason, item quantities, and batch numbers</t>
  </si>
  <si>
    <t>Supported via /sales/returns/create with invoice item selector.</t>
  </si>
  <si>
    <t>Code review 2026-10-04 (agent-reviewed, spot-checked): Confirmed. SalesReturn is created DRAFT against an invoice with reason and item lines.</t>
  </si>
  <si>
    <t>SalesReturn is created DRAFT against an invoice with reason and item lines.</t>
  </si>
  <si>
    <t>X-0206</t>
  </si>
  <si>
    <t>Return approved → inventory is restored where applicable</t>
  </si>
  <si>
    <t>Restoration of undamaged returned goods back into active saleable inventory</t>
  </si>
  <si>
    <t>Creates StockMovement (RETURN_INWARD) for sellable items; damaged items routed to scrap bin</t>
  </si>
  <si>
    <t>Supported via SalesReturn approval; restores inventory atomically.</t>
  </si>
  <si>
    <t>Matched SalesReturn in product code. This is not a functional test. Restored to authored P1. The previous workbook had P0 after a keyword rebalance.</t>
  </si>
  <si>
    <t>backend/inventory/models.py:StockMovement; backend/sales/models.py:SalesReturn</t>
  </si>
  <si>
    <t>X-0207</t>
  </si>
  <si>
    <t>Return approved → customer credit/refund is created</t>
  </si>
  <si>
    <t>Issuance of GST-compliant Credit Note or monetary refund settling return value</t>
  </si>
  <si>
    <t>Generates SalesCreditNote; credits customer AR account or issues cash/bank refund voucher</t>
  </si>
  <si>
    <t>Supported via SalesReturn complete action; auto-generates SalesCreditNote.</t>
  </si>
  <si>
    <t>Matched SalesCreditNote in product code. This is not a functional test.</t>
  </si>
  <si>
    <t>backend/sales/models.py:SalesCreditNote; backend/sales/models.py:SalesReturn</t>
  </si>
  <si>
    <t>backend/tests/test_a13_a14_reporting_sales.py; backend/tests/test_audit_p0_decisions.py; backend/tests/test_b4_b5_notes_serial.py</t>
  </si>
  <si>
    <t>X-0208</t>
  </si>
  <si>
    <t>Sales return → GST impact is recalculated</t>
  </si>
  <si>
    <t>Tax Engine</t>
  </si>
  <si>
    <t>Output GST tax liability reduced legally upon issuance of credit note</t>
  </si>
  <si>
    <t>Reduces output tax liability ledger; records negative tax entry in GSTR-1 Table 9B</t>
  </si>
  <si>
    <t>Supported via Section 34 CGST Act compliant Credit Note tax adjustments.</t>
  </si>
  <si>
    <t>Restored to authored P1. The previous workbook had P0 after a keyword rebalance. Code review 2026-10-04 (agent-reviewed, spot-checked): Confirmed. Completing a return auto-creates a credit note; GSTR-1 builder includes credit notes as CDNR and reduces tax.</t>
  </si>
  <si>
    <t>backend/sales/return_service.py:ReturnService; backend/reporting/gst_returns.py:build_gstr1</t>
  </si>
  <si>
    <t>Completing a return auto-creates a credit note; GSTR-1 builder includes credit notes as CDNR and reduces tax.</t>
  </si>
  <si>
    <t>X-0209</t>
  </si>
  <si>
    <t>Refund processed → customer balance is updated</t>
  </si>
  <si>
    <t>Cashier / Accountant</t>
  </si>
  <si>
    <t>Payment of cash or bank refund reflected accurately in customer account</t>
  </si>
  <si>
    <t>Credits Cash/Bank account, debits Customer Ledger; closes out credit note balance</t>
  </si>
  <si>
    <t>Supported via Refund payment workflow linked to Credit Note.</t>
  </si>
  <si>
    <t>Code review 2026-10-04 (agent-reviewed, spot-checked): Partial. Refund posting exists for receipts and gateway payments; no refund workflow tied directly to a sales credit note found.</t>
  </si>
  <si>
    <t>backend/accounting/services.py:post_receipt_refund; backend/payments/services.py:refund_gateway_payment</t>
  </si>
  <si>
    <t>Refund posting exists for receipts and gateway payments; no refund workflow tied directly to a sales credit note found.</t>
  </si>
  <si>
    <t>X-0210</t>
  </si>
  <si>
    <t>Invoice corrected → correction history remains auditable</t>
  </si>
  <si>
    <t>Modifications to invoice metadata or cancellations preserve complete historical audit trail</t>
  </si>
  <si>
    <t>Logs modification timestamp, user ID, original values, and amendment reason in audit history</t>
  </si>
  <si>
    <t>Core system invariant: completed financial documents are immutable; corrections create audit versions.</t>
  </si>
  <si>
    <t>Code review 2026-10-04 (agent-reviewed, spot-checked): Confirmed. Edits and amendments to completed documents write audit events with old and new totals.</t>
  </si>
  <si>
    <t>backend/core/services/audit.py:record_edited_document_event; backend/sales/services.py:record_document_event</t>
  </si>
  <si>
    <t>Edits and amendments to completed documents write audit events with old and new totals.</t>
  </si>
  <si>
    <t>X-0211</t>
  </si>
  <si>
    <t>Purchase manager creates purchase order</t>
  </si>
  <si>
    <t>Formalize commercial procurement requirements with vendor</t>
  </si>
  <si>
    <t>Creates PurchaseOrder in DRAFT/APPROVED status; records agreed prices and delivery timeline</t>
  </si>
  <si>
    <t>Supported via /purchases/orders/create with vendor catalog lookup.</t>
  </si>
  <si>
    <t>Code review 2026-10-04 (agent-reviewed, spot-checked): Confirmed. PurchaseOrder with DRAFT status, prices and expected_delivery is created via /orders endpoint.</t>
  </si>
  <si>
    <t>backend/purchases/models.py:PurchaseOrder; backend/purchases/urls.py:PurchaseOrderViewSet</t>
  </si>
  <si>
    <t>PurchaseOrder with DRAFT status, prices and expected_delivery is created via /orders endpoint.</t>
  </si>
  <si>
    <t>X-0212</t>
  </si>
  <si>
    <t>Purchase order → supplier receives order</t>
  </si>
  <si>
    <t>Purchase order transmitted to vendor via digital PDF, email, or WhatsApp</t>
  </si>
  <si>
    <t>Updates PO status to SENT; records delivery commitment timestamp</t>
  </si>
  <si>
    <t>Supported via PO PDF export and WhatsApp share link.</t>
  </si>
  <si>
    <t>X-0213</t>
  </si>
  <si>
    <t>Supplier confirms order → order status changes</t>
  </si>
  <si>
    <t>Vendor confirms order acceptance and expected dispatch date</t>
  </si>
  <si>
    <t>Updates PO status to CONFIRMED; locks agreed pricing and expected delivery date</t>
  </si>
  <si>
    <t>Supported in PO detail view with status transition buttons.</t>
  </si>
  <si>
    <t>Code review 2026-10-04 (agent-reviewed, spot-checked): Contradicted. PO statuses are only DRAFT, CONVERTED, CANCELLED; no CONFIRMED status and no price lock.</t>
  </si>
  <si>
    <t>PO statuses are only DRAFT, CONVERTED, CANCELLED; no CONFIRMED status and no price lock.</t>
  </si>
  <si>
    <t>X-0214</t>
  </si>
  <si>
    <t>Supplier ships goods → expected receipt is recorded</t>
  </si>
  <si>
    <t>Supplier / Transporter</t>
  </si>
  <si>
    <t>Advance shipping notice (ASN) recorded to prepare warehouse staging area</t>
  </si>
  <si>
    <t>Records transport docket / LR number and estimated arrival date against open PO</t>
  </si>
  <si>
    <t>Supported via Inbound Shipment tracking on Purchase Orders.</t>
  </si>
  <si>
    <t>Code review 2026-10-04 (agent-reviewed, spot-checked): Contradicted. PO has only expected_delivery; no inbound shipment, LR number or ASN record.</t>
  </si>
  <si>
    <t>none found: searched shipment, docket, lr_number, asn, expected_arrival in purchases</t>
  </si>
  <si>
    <t>PO has only expected_delivery; no inbound shipment, LR number or ASN record.</t>
  </si>
  <si>
    <t>X-0215</t>
  </si>
  <si>
    <t>Goods arrive → warehouse creates GRN</t>
  </si>
  <si>
    <t>Transporter / Purchase Manager</t>
  </si>
  <si>
    <t>Physical delivery inspected, counted, and recorded on Goods Receipt Note</t>
  </si>
  <si>
    <t>Creates GoodsReceiptNote (GRN) document; records actual received quantities and damages</t>
  </si>
  <si>
    <t>Supported via GRN creation workflow in purchases module.</t>
  </si>
  <si>
    <t>Code review 2026-10-04 (agent-reviewed, spot-checked): Confirmed. GoodsReceipt and GoodsReceiptItem record received, accepted and rejected quantities.</t>
  </si>
  <si>
    <t>backend/purchases/models.py:GoodsReceipt; backend/purchases/urls.py:GoodsReceiptViewSet</t>
  </si>
  <si>
    <t>GoodsReceipt and GoodsReceiptItem record received, accepted and rejected quantities.</t>
  </si>
  <si>
    <t>X-0216</t>
  </si>
  <si>
    <t>GRN → inventory quantity increases</t>
  </si>
  <si>
    <t>System / Inventory Ledger</t>
  </si>
  <si>
    <t>Physical warehouse stock incremented upon goods verification</t>
  </si>
  <si>
    <t>Creates StockMovement record with movement_type='INWARD_PURCHASE'; updates StockBalance</t>
  </si>
  <si>
    <t>Core system invariant: GRN/Purchase intake atomically increases inventory on-hand balance.</t>
  </si>
  <si>
    <t>Restored to authored P1. The previous workbook had P0 after a keyword rebalance. Code review 2026-10-04 (agent-reviewed, spot-checked): Confirmed. complete() runs atomically and calls InventoryService.post_movement with accepted quantity; movement type is PURCHASE, not INWARD_PURCHASE.</t>
  </si>
  <si>
    <t>backend/purchases/grn_service.py:GoodsReceiptService; backend/inventory/models.py:StockMovement; backend/inventory/models.py:StockBalance</t>
  </si>
  <si>
    <t>complete() runs atomically and calls InventoryService.post_movement with accepted quantity; movement type is PURCHASE, not INWARD_PURCHASE.</t>
  </si>
  <si>
    <t>X-0217</t>
  </si>
  <si>
    <t>GRN → batch/serial information is captured</t>
  </si>
  <si>
    <t>Capture manufacturer batch numbers, manufacturing/expiry dates, or unit serial numbers</t>
  </si>
  <si>
    <t>Creates BatchLot or SerialNumber records linked to inward stock movement</t>
  </si>
  <si>
    <t>Supported in GRN line-item entry with batch and serial modal inputs.</t>
  </si>
  <si>
    <t>Code review 2026-10-04 (agent-reviewed, spot-checked): Contradicted. GRN items have no batch or serial fields; stock is posted with batch=None, so BatchLot/SerialNumber are not created from GRN.</t>
  </si>
  <si>
    <t>backend/inventory/models.py:BatchLot; backend/inventory/models.py:SerialNumber</t>
  </si>
  <si>
    <t>GRN items have no batch or serial fields; stock is posted with batch=None, so BatchLot/SerialNumber are not created from GRN.</t>
  </si>
  <si>
    <t>X-0218</t>
  </si>
  <si>
    <t>GRN → damaged/short quantity is recorded</t>
  </si>
  <si>
    <t>Purchase Manager / Supplier</t>
  </si>
  <si>
    <t>Shortages and damaged packages documented for supplier debit note claim</t>
  </si>
  <si>
    <t>Records damaged/rejected quantity; isolates damaged stock into quarantine location</t>
  </si>
  <si>
    <t>Supported via GRN rejection quantities with reason code tagging.</t>
  </si>
  <si>
    <t>Code review 2026-10-04 (agent-reviewed, spot-checked): Partial. quantity_rejected and rejection_reason are recorded and rejected stock is excluded, but no quarantine location is used.</t>
  </si>
  <si>
    <t>backend/purchases/models.py:GoodsReceiptItem</t>
  </si>
  <si>
    <t>quantity_rejected and rejection_reason are recorded and rejected stock is excluded, but no quarantine location is used.</t>
  </si>
  <si>
    <t>X-0219</t>
  </si>
  <si>
    <t>GRN → purchase order received quantity is updated</t>
  </si>
  <si>
    <t>System / Procurement Engine</t>
  </si>
  <si>
    <t>Purchase order line received quantities updated; tracks partial shipment balances</t>
  </si>
  <si>
    <t>Updates received_quantity on PO lines; marks PO as PARTIALLY_RECEIVED or RECEIVED</t>
  </si>
  <si>
    <t>Automated PO line-item balance reconciliation upon GRN posting.</t>
  </si>
  <si>
    <t>Code review 2026-10-04 (agent-reviewed, spot-checked): Contradicted. GRN completion does not update PO lines; no received_quantity or PARTIALLY_RECEIVED/RECEIVED status exists.</t>
  </si>
  <si>
    <t>backend/purchases/grn_service.py:GoodsReceiptService; backend/purchases/models.py:PurchaseOrder</t>
  </si>
  <si>
    <t>GRN completion does not update PO lines; no received_quantity or PARTIALLY_RECEIVED/RECEIVED status exists.</t>
  </si>
  <si>
    <t>X-0220</t>
  </si>
  <si>
    <t>Supplier invoice arrives → invoice is matched against PO/GRN</t>
  </si>
  <si>
    <t>3-way matching between Purchase Order, Goods Receipt Note, and Supplier Tax Invoice</t>
  </si>
  <si>
    <t>Matches invoice quantities, unit prices, and tax rates against GRN and PO records</t>
  </si>
  <si>
    <t>Supported via 3-way matching interface in /purchases/invoices/create. | Drift check 2026-10-05: match_bill_to_po 3-way match exists in purchases/services.py</t>
  </si>
  <si>
    <t>Code review 2026-10-04 (agent-reviewed, spot-checked): Contradicted. No PO/GRN/invoice matching exists; GRN converts to a bill but invoices are not compared with PO or GRN.</t>
  </si>
  <si>
    <t>none found: searched three_way, 3-way, match_status, mismatch, tolerance in backend/purchases</t>
  </si>
  <si>
    <t>No PO/GRN/invoice matching exists; GRN converts to a bill but invoices are not compared with PO or GRN.</t>
  </si>
  <si>
    <t>X-0221</t>
  </si>
  <si>
    <t>Quantity mismatch → exception is generated</t>
  </si>
  <si>
    <t>Discrepancy flagged when billed invoice quantity exceeds physically received GRN quantity</t>
  </si>
  <si>
    <t>Generates Quantity Mismatch exception; blocks automated invoice approval pending review</t>
  </si>
  <si>
    <t>Automated validation check; surfaces variance warning badge on invoice line.</t>
  </si>
  <si>
    <t>Code review 2026-10-04 (agent-reviewed, spot-checked): Contradicted. No billed-versus-received quantity check or approval block exists.</t>
  </si>
  <si>
    <t>none found: searched quantity_mismatch, variance, mismatch in backend/purchases</t>
  </si>
  <si>
    <t>No billed-versus-received quantity check or approval block exists.</t>
  </si>
  <si>
    <t>X-0222</t>
  </si>
  <si>
    <t>Price mismatch → exception is generated</t>
  </si>
  <si>
    <t>Discrepancy flagged when billed unit price exceeds PO contracted price</t>
  </si>
  <si>
    <t>Generates Price Variance exception; requires Purchase Manager authorization to accept</t>
  </si>
  <si>
    <t>Automated price variance check against PO master rate. | Drift check 2026-10-05: Price variance breach is raised by the 3-way match and the WAVG variance journal</t>
  </si>
  <si>
    <t>Code review 2026-10-04 (agent-reviewed, spot-checked): Contradicted. No bill-rate versus PO-rate check; only a historical PURCHASE_PRICE_JUMP alert exists.</t>
  </si>
  <si>
    <t>none found: searched price_variance, tolerance, contracted rate in backend/purchases</t>
  </si>
  <si>
    <t>No bill-rate versus PO-rate check; only a historical PURCHASE_PRICE_JUMP alert exists.</t>
  </si>
  <si>
    <t>X-0223</t>
  </si>
  <si>
    <t>Tax mismatch → exception is generated</t>
  </si>
  <si>
    <t>Discrepancy flagged when supplier tax rate or calculation differs from configured HSN rate</t>
  </si>
  <si>
    <t>Flags statutory tax mismatch; prevents incorrect Input Tax Credit (ITC) booking</t>
  </si>
  <si>
    <t>GST Guard validation rule checking invoice tax against master HSN schedule.</t>
  </si>
  <si>
    <t>Code review 2026-10-04 (agent-reviewed, spot-checked): Partial. GST health flags non-standard rates, but no comparison against the HSN master rate at purchase entry.</t>
  </si>
  <si>
    <t>backend/reporting/gst_health.py:build_gst_health</t>
  </si>
  <si>
    <t>GST health flags non-standard rates, but no comparison against the HSN master rate at purchase entry.</t>
  </si>
  <si>
    <t>X-0224</t>
  </si>
  <si>
    <t>Supplier invoice accepted → payable is created</t>
  </si>
  <si>
    <t>Accounts Payable liability booked in general ledger for supplier settlement</t>
  </si>
  <si>
    <t>Credits Supplier Accounts Payable ledger account; debits Purchase Expense/Inventory asset in GL</t>
  </si>
  <si>
    <t>Core system invariant: PurchaseInvoice completion atomically creates double-entry AP voucher.</t>
  </si>
  <si>
    <t>Matched PurchaseInvoice in product code. This is not a functional test. Restored to authored P1. The previous workbook had P0 after a keyword rebalance.</t>
  </si>
  <si>
    <t>X-0225</t>
  </si>
  <si>
    <t>Purchase → GST input tax is calculated</t>
  </si>
  <si>
    <t>Input Tax Credit (ITC) calculated and credited to CGST/SGST/IGST input tax ledgers</t>
  </si>
  <si>
    <t>Debits GST Input Tax ledger accounts; populates inward tax summary for GSTR-3B Table 4</t>
  </si>
  <si>
    <t>Supported via TaxEngine inward tax calculation.</t>
  </si>
  <si>
    <t>X-0226</t>
  </si>
  <si>
    <t>Purchase → eligible ITC is identified</t>
  </si>
  <si>
    <t>Categorization of input tax credit as eligible or ineligible (blocked under Section 17(5))</t>
  </si>
  <si>
    <t>Tags ITC eligibility status; separates blocked ITC (motor vehicles, food) from eligible trade ITC</t>
  </si>
  <si>
    <t>Supported via Section 17(5) blocked credit selector on purchase invoice line items.</t>
  </si>
  <si>
    <t>Restored to authored P1. The previous workbook had P0 after a keyword rebalance. Code review 2026-10-04 (agent-reviewed, spot-checked): Partial. ITC eligibility enum (claimable/ineligible/reversed) exists; no Section 17(5) blocked-category selector on lines.</t>
  </si>
  <si>
    <t>ITC eligibility enum (claimable/ineligible/reversed) exists; no Section 17(5) blocked-category selector on lines.</t>
  </si>
  <si>
    <t>X-0227</t>
  </si>
  <si>
    <t>Supplier payment recorded → payable decreases</t>
  </si>
  <si>
    <t>Payment disbursement to vendor via NEFT/RTGS/Cheque recorded in system</t>
  </si>
  <si>
    <t>Debits Supplier Accounts Payable account; credits Bank/Cash account; decreases liability</t>
  </si>
  <si>
    <t>Supported via /purchases/payments/create with multi-invoice allocation.</t>
  </si>
  <si>
    <t>Code review 2026-10-04 (agent-reviewed, spot-checked): Confirmed. SupplierPayment posts to GL against payable and bank, with allocation to invoices.</t>
  </si>
  <si>
    <t>backend/accounting/services.py:post_supplier_payment; backend/payments/models.py:SupplierPayment</t>
  </si>
  <si>
    <t>SupplierPayment posts to GL against payable and bank, with allocation to invoices.</t>
  </si>
  <si>
    <t>X-0228</t>
  </si>
  <si>
    <t>Partial supplier payment → remaining payable is maintained</t>
  </si>
  <si>
    <t>Accurate tracking of remaining balance on partially paid supplier bills</t>
  </si>
  <si>
    <t>Maintains exact remaining unpaid balance on purchase invoice; updates AP aging</t>
  </si>
  <si>
    <t>Supported via PaymentAllocation model for purchase invoices.</t>
  </si>
  <si>
    <t>X-0229</t>
  </si>
  <si>
    <t>Supplier credit note → payable and tax impact are adjusted</t>
  </si>
  <si>
    <t>Supplier credit note for rate difference, discounts, or returns applied to reduce payable</t>
  </si>
  <si>
    <t>Reduces Accounts Payable balance and reverses corresponding Input Tax Credit in GSTR-3B Table 4(B)</t>
  </si>
  <si>
    <t>Supported via PurchaseCreditNote model with automated ITC reversal.</t>
  </si>
  <si>
    <t>Matched PurchaseCreditNote in product code. This is not a functional test.</t>
  </si>
  <si>
    <t>backend/purchases/models.py:PurchaseCreditNote</t>
  </si>
  <si>
    <t>backend/tests/test_a15_cr090_plus.py; backend/tests/test_next_batch_smtp_gsp.py; backend/tests/test_phase1_notes_ledger.py</t>
  </si>
  <si>
    <t>X-0230</t>
  </si>
  <si>
    <t>Purchase return → inventory decreases</t>
  </si>
  <si>
    <t>Physical removal of returned goods from warehouse shelves and stock records</t>
  </si>
  <si>
    <t>Creates StockMovement with movement_type='RETURN_OUTWARD'; decrements StockBalance</t>
  </si>
  <si>
    <t>Core system invariant: PurchaseReturn completion decrements warehouse stock atomically.</t>
  </si>
  <si>
    <t>Matched PurchaseReturn in product code. This is not a functional test. Restored to authored P1. The previous workbook had P0 after a keyword rebalance.</t>
  </si>
  <si>
    <t>backend/inventory/models.py:StockMovement; backend/inventory/models.py:StockBalance; backend/purchases/models.py:PurchaseReturn</t>
  </si>
  <si>
    <t>X-0231</t>
  </si>
  <si>
    <t>Purchase return → supplier balance is adjusted</t>
  </si>
  <si>
    <t>Issuance of Purchase Debit Note reducing outstanding balance owed to supplier</t>
  </si>
  <si>
    <t>Debits Supplier Accounts Payable account; generates legal Purchase Debit Note PDF</t>
  </si>
  <si>
    <t>Supported via PurchaseReturn complete flow; generates PurchaseDebitNote.</t>
  </si>
  <si>
    <t>backend/purchases/models.py:PurchaseReturn; backend/purchases/models.py:PurchaseDebitNote</t>
  </si>
  <si>
    <t>backend/tests/test_concurrency_races.py; backend/tests/test_wave22_f2_fifo_serial_mfg.py; backend/tests/test_a11_a12_stock_cost.py</t>
  </si>
  <si>
    <t>X-0232</t>
  </si>
  <si>
    <t>Purchase return → GST impact is adjusted</t>
  </si>
  <si>
    <t>Input Tax Credit reversed legally in accordance with Section 34 of CGST Act</t>
  </si>
  <si>
    <t>Reduces eligible ITC; reports debit note in GSTR-3B Table 4(B) and GSTR-2B reconciliation</t>
  </si>
  <si>
    <t>Supported via automated statutory ITC reversal calculation.</t>
  </si>
  <si>
    <t>Restored to authored P1. The previous workbook had P0 after a keyword rebalance. Code review 2026-10-04 (agent-reviewed, spot-checked): Partial. Purchase credit notes post reversal and flow to GST data, but 3B Table 4(B) reversal is marked manual review.</t>
  </si>
  <si>
    <t>backend/purchases/notes_services.py:PurchaseNotesService; backend/reporting/gst_returns.py</t>
  </si>
  <si>
    <t>Purchase credit notes post reversal and flow to GST data, but 3B Table 4(B) reversal is marked manual review.</t>
  </si>
  <si>
    <t>X-0233</t>
  </si>
  <si>
    <t>Supplier invoice discrepancy → accountant is alerted</t>
  </si>
  <si>
    <t>Accountant alerted immediately to billing anomalies before payment disbursement</t>
  </si>
  <si>
    <t>Generates high-priority AttentionRowState exception in accounting dashboard</t>
  </si>
  <si>
    <t>Supported via attention row exception queue in accounting module.</t>
  </si>
  <si>
    <t>Code review 2026-10-04 (agent-reviewed, spot-checked): Partial. Attention rows exist for price jumps and GST guardrail/2B mismatches, not for PO/GRN invoice discrepancies.</t>
  </si>
  <si>
    <t>backend/insights/models.py:AttentionRowState</t>
  </si>
  <si>
    <t>backend/tests/test_attention_outcomes.py; backend/tests/test_b05_attention.py</t>
  </si>
  <si>
    <t>backend/insights/models.py:AttentionRowState; backend/insights/attention.py</t>
  </si>
  <si>
    <t>Attention rows exist for price jumps and GST guardrail/2B mismatches, not for PO/GRN invoice discrepancies.</t>
  </si>
  <si>
    <t>X-0234</t>
  </si>
  <si>
    <t>Supplier invoice correction → original transaction remains traceable</t>
  </si>
  <si>
    <t>Adjustments or amendments to supplier bills preserve original document history</t>
  </si>
  <si>
    <t>Maintains immutable version history; records amendment rationale and approving user</t>
  </si>
  <si>
    <t>Core system invariant: complete audit history retained for all AP modifications.</t>
  </si>
  <si>
    <t>Code review 2026-10-04 (agent-reviewed, spot-checked): Partial. Before/after totals are recorded for edited completed bills, but no full version history of the document was found.</t>
  </si>
  <si>
    <t>backend/core/services/audit.py:record_edited_document_event; backend/purchases/services.py</t>
  </si>
  <si>
    <t>Before/after totals are recorded for edited completed bills, but no full version history of the document was found.</t>
  </si>
  <si>
    <t>X-0235</t>
  </si>
  <si>
    <t>Purchase receipt → stock enters inventory</t>
  </si>
  <si>
    <t>Warehouse inventory incremented upon physical goods intake</t>
  </si>
  <si>
    <t>Creates StockMovement (INWARD_PURCHASE); updates StockBalance and FIFO cost layers</t>
  </si>
  <si>
    <t>Supported via PurchaseInvoice completion and standalone GRN flow.</t>
  </si>
  <si>
    <t>Matched PurchaseInvoice in product code. This is not a functional test.</t>
  </si>
  <si>
    <t>backend/inventory/models.py:StockMovement; backend/inventory/models.py:StockBalance; backend/purchases/models.py:PurchaseInvoice</t>
  </si>
  <si>
    <t>X-0236</t>
  </si>
  <si>
    <t>Sale → stock leaves inventory</t>
  </si>
  <si>
    <t>Counter Clerk / Billing Staff</t>
  </si>
  <si>
    <t>Warehouse inventory decremented upon sales invoice completion</t>
  </si>
  <si>
    <t>Creates StockMovement (OUTWARD_SALE); consumes FIFO cost layer; prevents over-allocation</t>
  </si>
  <si>
    <t>Core system invariant: sales completion atomically decrements stock balance.</t>
  </si>
  <si>
    <t>Restored to authored P1. The previous workbook had P0 after a keyword rebalance. Code review 2026-10-04 (agent-reviewed, spot-checked): Confirmed. Completing a sales invoice posts SALE movements, decrements balance, consumes FIFO layers and enforces negative-stock policy.</t>
  </si>
  <si>
    <t>backend/sales/services.py:MovementType; backend/inventory/services.py:post_movement; backend/inventory/services.py:_apply_cost_layers</t>
  </si>
  <si>
    <t>Completing a sales invoice posts SALE movements, decrements balance, consumes FIFO layers and enforces negative-stock policy.</t>
  </si>
  <si>
    <t>X-0237</t>
  </si>
  <si>
    <t>Sales return → stock comes back into inventory</t>
  </si>
  <si>
    <t>Customer-returned goods restored to active saleable inventory</t>
  </si>
  <si>
    <t>Creates StockMovement (RETURN_INWARD); restores stock balance at original cost</t>
  </si>
  <si>
    <t>Supported via SalesReturn approval with inventory restoration enabled.</t>
  </si>
  <si>
    <t>X-0238</t>
  </si>
  <si>
    <t>Purchase return → stock leaves inventory</t>
  </si>
  <si>
    <t>Vendor-returned goods removed from warehouse inventory records</t>
  </si>
  <si>
    <t>Creates StockMovement (RETURN_OUTWARD); reduces stock balance and FIFO cost layer</t>
  </si>
  <si>
    <t>Supported via PurchaseReturn completion.</t>
  </si>
  <si>
    <t>Matched PurchaseReturn in product code. This is not a functional test.</t>
  </si>
  <si>
    <t>backend/inventory/models.py:StockMovement; backend/purchases/models.py:PurchaseReturn</t>
  </si>
  <si>
    <t>X-0239</t>
  </si>
  <si>
    <t>Stock transfer → source location decreases</t>
  </si>
  <si>
    <t>Godown Custodian (Source)</t>
  </si>
  <si>
    <t>Inventory deducted from sending warehouse upon inter-godown dispatch</t>
  </si>
  <si>
    <t>Creates StockMovement (TRANSFER_OUT); reduces source warehouse StockBalance</t>
  </si>
  <si>
    <t>Supported via StockTransfer dispatch step.</t>
  </si>
  <si>
    <t>backend/inventory/models.py:StockMovement; backend/inventory/models.py:StockBalance; backend/inventory/models.py:StockTransfer</t>
  </si>
  <si>
    <t>X-0240</t>
  </si>
  <si>
    <t>Stock transfer → destination location increases</t>
  </si>
  <si>
    <t>Godown Custodian (Dest)</t>
  </si>
  <si>
    <t>Inventory added to receiving warehouse upon inter-godown receipt</t>
  </si>
  <si>
    <t>Creates StockMovement (TRANSFER_IN); increases destination warehouse StockBalance</t>
  </si>
  <si>
    <t>Supported via StockTransfer receive step.</t>
  </si>
  <si>
    <t>X-0241</t>
  </si>
  <si>
    <t>Stock transfer → complete movement history is retained</t>
  </si>
  <si>
    <t>Complete audit trail of transit dates, quantities, and carrier details retained</t>
  </si>
  <si>
    <t>Maintains StockTransfer record linking dispatch and receipt movements with user IDs</t>
  </si>
  <si>
    <t>Supported via immutable StockTransfer history.</t>
  </si>
  <si>
    <t>X-0242</t>
  </si>
  <si>
    <t>Stock adjustment → authorized user approves adjustment</t>
  </si>
  <si>
    <t>Warehouse Manager / Owner</t>
  </si>
  <si>
    <t>Inventory Staff</t>
  </si>
  <si>
    <t>Manager authorization required before manual stock write-offs or adjustments take effect</t>
  </si>
  <si>
    <t>Validates user permission; records approver identity, approval timestamp, and justification</t>
  </si>
  <si>
    <t>Supported via dual-authorization workflow for StockAdjustment records.</t>
  </si>
  <si>
    <t>X-0243</t>
  </si>
  <si>
    <t>Stock adjustment → inventory ledger records adjustment</t>
  </si>
  <si>
    <t>Stock balance corrected and inventory adjustment voucher posted to general ledger</t>
  </si>
  <si>
    <t>Creates StockMovement (COUNT_ADJUSTMENT); posts inventory shrinkage expense to GL</t>
  </si>
  <si>
    <t>Core system invariant: stock adjustment atomically adjusts both inventory and GL.</t>
  </si>
  <si>
    <t>Restored to authored P1. The previous workbook had P0 after a keyword rebalance. Code review 2026-10-04 (agent-reviewed, spot-checked): Partial. Adjustment posts ADJUSTMENT movement with period-lock check; no GL shrinkage journal posted for it.</t>
  </si>
  <si>
    <t>backend/inventory/views.py:AdjustmentView; backend/inventory/services.py:post_movement</t>
  </si>
  <si>
    <t>Adjustment posts ADJUSTMENT movement with period-lock check; no GL shrinkage journal posted for it.</t>
  </si>
  <si>
    <t>X-0244</t>
  </si>
  <si>
    <t>Damaged stock → inventory is separated from saleable stock</t>
  </si>
  <si>
    <t>Damaged goods isolated into quarantined virtual bin to prevent accidental customer sale</t>
  </si>
  <si>
    <t>Transfers quantity from SALEABLE warehouse bin to DAMAGED quarantine bin</t>
  </si>
  <si>
    <t>Supported via warehouse quarantine bin configuration.</t>
  </si>
  <si>
    <t>Code review 2026-10-04 (agent-reviewed, spot-checked): Contradicted. No quarantine bin; damaged goods are written off by ADJUSTMENT movement, not transferred to a damaged bin.</t>
  </si>
  <si>
    <t>none found: searched quarantine, damaged bin, SALEABLE/DAMAGED bin in inventory</t>
  </si>
  <si>
    <t>No quarantine bin; damaged goods are written off by ADJUSTMENT movement, not transferred to a damaged bin.</t>
  </si>
  <si>
    <t>X-0245</t>
  </si>
  <si>
    <t>Lost stock → inventory adjustment is recorded</t>
  </si>
  <si>
    <t>Missing or stolen items written off with complete financial and quantity loss documentation</t>
  </si>
  <si>
    <t>Creates StockAdjustment; debits Inventory Shrinkage Expense account; credits Inventory Asset</t>
  </si>
  <si>
    <t>Supported via StockAdjustment with reason code 'THEFT_OR_LOSS'.</t>
  </si>
  <si>
    <t>X-0246</t>
  </si>
  <si>
    <t>Expired stock → sale is prevented/flagged</t>
  </si>
  <si>
    <t>Pharmacist / Retail Clerk</t>
  </si>
  <si>
    <t>System hard-blocks checkout if any item in cart is past its statutory expiry date</t>
  </si>
  <si>
    <t>Validates batch_lot.expiry_date against current date; raises blocking validation error</t>
  </si>
  <si>
    <t>Core system invariant: billing expired stock is strictly blocked at API and UI layers.</t>
  </si>
  <si>
    <t>Restored to authored P0. The previous workbook had P1 after a keyword rebalance.</t>
  </si>
  <si>
    <t>Restored to authored P0. The previous workbook had P1 after a keyword rebalance. Code review 2026-10-04 (agent-reviewed, spot-checked): Confirmed. Issuing from an expired batch raises a blocking error when block_expired_stock is on (default true).</t>
  </si>
  <si>
    <t>backend/tests/matrices/test_company_settings_matrix.py::test_block_expired_stock; backend/tests/test_phase4_inventory.py::test_expired_batch_is_blocked_on_sale</t>
  </si>
  <si>
    <t>backend/inventory/services.py:post_movement; backend/accounts/models.py:block_expired_stock; backend/inventory/services.py:fefo_batches</t>
  </si>
  <si>
    <t>Issuing from an expired batch raises a blocking error when block_expired_stock is on (default true).</t>
  </si>
  <si>
    <t>X-0247</t>
  </si>
  <si>
    <t>Near-expiry stock → owner receives alert</t>
  </si>
  <si>
    <t>Business Owner / Store Manager</t>
  </si>
  <si>
    <t>Early warning alerts for stock approaching expiry within 30/60/90 days</t>
  </si>
  <si>
    <t>Creates BusinessAlertEvent; displays near-expiry alert cards on dashboard</t>
  </si>
  <si>
    <t>Supported via automated daily expiry scan in inventory module.</t>
  </si>
  <si>
    <t>Code review 2026-10-04 (agent-reviewed, spot-checked): Partial. Daily sweep logs 7/30/60/90 day bands and emails once; no BusinessAlertEvent or dashboard alert card for expiry.</t>
  </si>
  <si>
    <t>backend/inventory/tasks.py:record_expiry_bands_task; backend/inventory/item_stock.py:record_expiry_bands; backend/inventory/models.py:ExpiryAlertLog</t>
  </si>
  <si>
    <t>Daily sweep logs 7/30/60/90 day bands and emails once; no BusinessAlertEvent or dashboard alert card for expiry.</t>
  </si>
  <si>
    <t>X-0248</t>
  </si>
  <si>
    <t>Batch sale → specific batch quantity decreases</t>
  </si>
  <si>
    <t>Outward sale accurately deducted from the specific selected manufacturer batch lot</t>
  </si>
  <si>
    <t>Decrements BatchLot.quantity; creates batch-tagged StockMovement record</t>
  </si>
  <si>
    <t>Core system invariant: batched item sales maintain lot-level perpetual balance.</t>
  </si>
  <si>
    <t>Code review 2026-10-04 (agent-reviewed, spot-checked): Confirmed. Sales post batch-tagged movements and reduce the batch-level StockBalance row; there is no BatchLot.quantity field.</t>
  </si>
  <si>
    <t>backend/inventory/models.py:BatchLot; backend/inventory/models.py:StockMovement</t>
  </si>
  <si>
    <t>backend/inventory/models.py:StockBalance; backend/inventory/models.py:StockMovement; backend/inventory/services.py:post_movement</t>
  </si>
  <si>
    <t>Sales post batch-tagged movements and reduce the batch-level StockBalance row; there is no BatchLot.quantity field.</t>
  </si>
  <si>
    <t>X-0249</t>
  </si>
  <si>
    <t>Serial-number sale → serial is marked as sold</t>
  </si>
  <si>
    <t>Individual serialized item (IMEI/Serial) marked as SOLD and linked to customer invoice</t>
  </si>
  <si>
    <t>Updates SerialNumber status to SOLD; records sales invoice reference and warranty start date</t>
  </si>
  <si>
    <t>Supported via SerialNumber lifecycle tracking (AVAILABLE -&gt; SOLD).</t>
  </si>
  <si>
    <t>backend/inventory/models.py:SerialNumber</t>
  </si>
  <si>
    <t>X-0250</t>
  </si>
  <si>
    <t>Serial-number return → serial becomes available/returned according to policy</t>
  </si>
  <si>
    <t>Returned serialized unit verified against sales records and restored to available or RMA status</t>
  </si>
  <si>
    <t>Validates serial identity; updates SerialNumber status to AVAILABLE or DEFECTIVE_RETURN</t>
  </si>
  <si>
    <t>Supported via SerialNumber return validation in SalesReturn workflow.</t>
  </si>
  <si>
    <t>backend/inventory/models.py:SerialNumber; backend/sales/models.py:SalesReturn</t>
  </si>
  <si>
    <t>X-0251</t>
  </si>
  <si>
    <t>Physical stock count → system stock is compared</t>
  </si>
  <si>
    <t>Stock Audit Team</t>
  </si>
  <si>
    <t>Auditors record physical counts and system instantly compares against book balances</t>
  </si>
  <si>
    <t>Calculates count variance = physical_count - book_balance for every audited SKU</t>
  </si>
  <si>
    <t>Supported via StockCountSession counting interface.</t>
  </si>
  <si>
    <t>X-0252</t>
  </si>
  <si>
    <t>Stock variance → discrepancy is created</t>
  </si>
  <si>
    <t>Discrepancies exceeding tolerance thresholds converted into formal review items</t>
  </si>
  <si>
    <t>Generates Stock Discrepancy item requiring managerial investigation and explanation</t>
  </si>
  <si>
    <t>Supported via StockCountSession variance ledger.</t>
  </si>
  <si>
    <t>X-0253</t>
  </si>
  <si>
    <t>Discrepancy approval → inventory adjustment occurs</t>
  </si>
  <si>
    <t>Business Owner / Operations Head</t>
  </si>
  <si>
    <t>Approved inventory variances automatically write adjustment movements and post GL loss</t>
  </si>
  <si>
    <t>Finalizes StockCountSession; creates batch StockMovement adjustments across all verified SKUs</t>
  </si>
  <si>
    <t>Supported via StockCountSession 'Post Adjustments' action with manager sign-off.</t>
  </si>
  <si>
    <t>backend/inventory/models.py:StockCountSession; backend/inventory/models.py:StockMovement</t>
  </si>
  <si>
    <t>backend/tests/test_c01_godown.py; backend/tests/personas/test_pj_stock_audit_and_adjustments.py; backend/tests/test_a10_period_centralization.py</t>
  </si>
  <si>
    <t>X-0254</t>
  </si>
  <si>
    <t>Inventory adjustment → audit trail records who/why/when</t>
  </si>
  <si>
    <t>System / Audit Logger</t>
  </si>
  <si>
    <t>Immutable log of who authorized each inventory write-off, why, and the exact timestamp</t>
  </si>
  <si>
    <t>Records adjustment reason, user ID, IP address, and financial write-off value in audit log</t>
  </si>
  <si>
    <t>Core system invariant: all inventory adjustments permanently logged in ActivityLog.</t>
  </si>
  <si>
    <t>Code review 2026-10-04 (agent-reviewed, spot-checked): Partial. Adjustment writes an audit event with user, reason and timestamp; IP address and write-off value are not recorded.</t>
  </si>
  <si>
    <t>backend/inventory/views.py:AdjustmentView; backend/core/services/audit.py:AuditService</t>
  </si>
  <si>
    <t>Adjustment writes an audit event with user, reason and timestamp; IP address and write-off value are not recorded.</t>
  </si>
  <si>
    <t>X-0255</t>
  </si>
  <si>
    <t>FIFO costing → correct cost is assigned to sale</t>
  </si>
  <si>
    <t>Costing Engine</t>
  </si>
  <si>
    <t>Each outward sale consumes cost from oldest inward inventory layers according to FIFO</t>
  </si>
  <si>
    <t>Computes exact Cost of Goods Sold (COGS) per sales line; posts accurate gross margin</t>
  </si>
  <si>
    <t>Core system invariant: inventory valuation strictly implements perpetual FIFO costing.</t>
  </si>
  <si>
    <t>Code review 2026-10-04 (agent-reviewed, spot-checked): Confirmed. FIFO layers are peeled per sale for COGS when the company valuation method is FIFO (WAVG is default).</t>
  </si>
  <si>
    <t>backend/inventory/services.py:_apply_cost_layers; backend/inventory/models.py:InventoryCostLayer; backend/sales/cogs_service.py:CogsService</t>
  </si>
  <si>
    <t>FIFO layers are peeled per sale for COGS when the company valuation method is FIFO (WAVG is default).</t>
  </si>
  <si>
    <t>X-0256</t>
  </si>
  <si>
    <t>Inventory valuation → owner sees current stock value</t>
  </si>
  <si>
    <t>Owner views accurate real-time valuation of total warehouse assets across all locations</t>
  </si>
  <si>
    <t>Calculates inventory asset valuation = SUM(Remaining Stock Layers * Inward Unit Cost)</t>
  </si>
  <si>
    <t>Supported via /reports/inventory-valuation/ with category and warehouse filters.</t>
  </si>
  <si>
    <t>Code review 2026-10-04 (agent-reviewed, spot-checked): Confirmed. Valuation report computes stock value with warehouse filter from cost layers or running cost.</t>
  </si>
  <si>
    <t>backend/inventory/views.py:StockValuationReportView; backend/inventory/services.py:InventoryValuationService; web/src/pages/reports/StockValuationPage.tsx</t>
  </si>
  <si>
    <t>Valuation report computes stock value with warehouse filter from cost layers or running cost.</t>
  </si>
  <si>
    <t>X-0257</t>
  </si>
  <si>
    <t>Inventory movement → historical transaction remains immutable</t>
  </si>
  <si>
    <t>System / Database Engine</t>
  </si>
  <si>
    <t>Completed inventory transactions cannot be deleted or modified; reversals require new movement</t>
  </si>
  <si>
    <t>Enforces append-only ledger pattern; guarantees ledger integrity and audit defensibility</t>
  </si>
  <si>
    <t>Core system invariant: StockMovement table is append-only; update/delete operations blocked.</t>
  </si>
  <si>
    <t>Matched StockMovement in product code. This is not a functional test.</t>
  </si>
  <si>
    <t>X-0258</t>
  </si>
  <si>
    <t>Shop requests stock from godown</t>
  </si>
  <si>
    <t>Store Manager</t>
  </si>
  <si>
    <t>Central Godown Keeper</t>
  </si>
  <si>
    <t>Retail shop raises digital requisition for replenishment from central godown</t>
  </si>
  <si>
    <t>Creates StockTransferRequest in DRAFT status specifying required SKUs and quantities</t>
  </si>
  <si>
    <t>Supported via Stock Transfer Request workflow.</t>
  </si>
  <si>
    <t>Code review 2026-10-04 (agent-reviewed, spot-checked): Contradicted. No transfer request model exists; only direct StockTransfer drafts.</t>
  </si>
  <si>
    <t>none found: searched StockTransferRequest, transfer request, requisition</t>
  </si>
  <si>
    <t>No transfer request model exists; only direct StockTransfer drafts.</t>
  </si>
  <si>
    <t>X-0259</t>
  </si>
  <si>
    <t>Godown approves stock request</t>
  </si>
  <si>
    <t>Central godown verifies availability and approves store replenishment requisition</t>
  </si>
  <si>
    <t>Updates transfer request status to APPROVED; generates warehouse picking ticket</t>
  </si>
  <si>
    <t>Supported via Transfer Request approval screen.</t>
  </si>
  <si>
    <t>Code review 2026-10-04 (agent-reviewed, spot-checked): Contradicted. No request approval status or picking ticket; transfers only go DRAFT to COMPLETED.</t>
  </si>
  <si>
    <t>none found: searched StockTransferRequest, APPROVED transfer, picking ticket</t>
  </si>
  <si>
    <t>No request approval status or picking ticket; transfers only go DRAFT to COMPLETED.</t>
  </si>
  <si>
    <t>X-0260</t>
  </si>
  <si>
    <t>Godown allocates stock</t>
  </si>
  <si>
    <t>Stock committed and reserved at source godown for transfer dispatch</t>
  </si>
  <si>
    <t>Reserves inventory at source warehouse, preventing local order allocation</t>
  </si>
  <si>
    <t>Supported via automated inventory reservation on transfer approval.</t>
  </si>
  <si>
    <t>Code review 2026-10-04 (agent-reviewed, spot-checked): Contradicted. Code comment states DRAFT transfers do not reserve stock; stock moves only at completion.</t>
  </si>
  <si>
    <t>backend/inventory/services.py:StockTransferService</t>
  </si>
  <si>
    <t>Code comment states DRAFT transfers do not reserve stock; stock moves only at completion.</t>
  </si>
  <si>
    <t>X-0261</t>
  </si>
  <si>
    <t>Goods dispatched from godown</t>
  </si>
  <si>
    <t>Stock dispatched with inter-godown delivery challan; moves into transit state</t>
  </si>
  <si>
    <t>Updates StockTransfer status to IN_TRANSIT; decrements source godown on-hand inventory</t>
  </si>
  <si>
    <t>Supported via StockTransfer dispatch step with Challan generation.</t>
  </si>
  <si>
    <t>X-0262</t>
  </si>
  <si>
    <t>Destination receives goods</t>
  </si>
  <si>
    <t>Store Custodian</t>
  </si>
  <si>
    <t>Destination store verifies received physical boxes against transfer delivery challan</t>
  </si>
  <si>
    <t>Records received quantities; marks transfer status as RECEIVED</t>
  </si>
  <si>
    <t>Supported via StockTransfer receipt confirmation screen.</t>
  </si>
  <si>
    <t>X-0263</t>
  </si>
  <si>
    <t>Source inventory decreases</t>
  </si>
  <si>
    <t>Source Godown Keeper</t>
  </si>
  <si>
    <t>Source godown stock balance reduced upon transfer dispatch</t>
  </si>
  <si>
    <t>Creates StockMovement (TRANSFER_OUT) at source warehouse</t>
  </si>
  <si>
    <t>Core system invariant: stock transfer dispatch immediately reduces source stock.</t>
  </si>
  <si>
    <t>Code review 2026-10-04 (agent-reviewed, spot-checked): Confirmed. Completing a transfer posts TRANSFER_OUT at the source warehouse, reducing its balance.</t>
  </si>
  <si>
    <t>backend/inventory/services.py:StockTransferService; backend/inventory/models.py:MovementType; backend/inventory/models.py:StockMovement</t>
  </si>
  <si>
    <t>Completing a transfer posts TRANSFER_OUT at the source warehouse, reducing its balance.</t>
  </si>
  <si>
    <t>X-0264</t>
  </si>
  <si>
    <t>Destination inventory increases</t>
  </si>
  <si>
    <t>Destination shop stock balance increased upon transfer receipt confirmation</t>
  </si>
  <si>
    <t>Creates StockMovement (TRANSFER_IN) at destination warehouse</t>
  </si>
  <si>
    <t>Core system invariant: stock transfer receipt immediately increases destination stock.</t>
  </si>
  <si>
    <t>Code review 2026-10-04 (agent-reviewed, spot-checked): Partial. TRANSFER_IN is posted at the destination, but in the same step as dispatch, not on separate receipt confirmation.</t>
  </si>
  <si>
    <t>backend/inventory/services.py:StockTransferService; backend/inventory/models.py:StockMovement</t>
  </si>
  <si>
    <t>TRANSFER_IN is posted at the destination, but in the same step as dispatch, not on separate receipt confirmation.</t>
  </si>
  <si>
    <t>X-0265</t>
  </si>
  <si>
    <t>Transfer discrepancy is recorded</t>
  </si>
  <si>
    <t>Shortages during inter-godown transit flagged and documented for carrier investigation</t>
  </si>
  <si>
    <t>Records discrepancy quantity; generates in-transit shrinkage investigation row</t>
  </si>
  <si>
    <t>Supported via partial receipt and discrepancy logging on StockTransfer.</t>
  </si>
  <si>
    <t>X-0266</t>
  </si>
  <si>
    <t>Transfer damage is recorded</t>
  </si>
  <si>
    <t>Insurance / Transporter</t>
  </si>
  <si>
    <t>Goods damaged during road transit recorded and segregated upon destination arrival</t>
  </si>
  <si>
    <t>Routes damaged units to quarantine; logs transit loss write-off claim</t>
  </si>
  <si>
    <t>Supported via damaged stock tagging during transfer intake.</t>
  </si>
  <si>
    <t>Code review 2026-10-04 (agent-reviewed, spot-checked): Contradicted. Transfer lines carry no damaged quantity and no quarantine or loss-claim handling.</t>
  </si>
  <si>
    <t>none found: searched transit damage, transfer damage, transit loss claim</t>
  </si>
  <si>
    <t>Transfer lines carry no damaged quantity and no quarantine or loss-claim handling.</t>
  </si>
  <si>
    <t>X-0267</t>
  </si>
  <si>
    <t>Transfer cancellation reverses appropriate inventory state</t>
  </si>
  <si>
    <t>Cancelled transfer safely restores reserved or dispatched stock back to source godown</t>
  </si>
  <si>
    <t>Reverses in-transit state; restores source warehouse on-hand balance without data corruption</t>
  </si>
  <si>
    <t>Supported via StockTransfer cancel workflow with atomic state reversal.</t>
  </si>
  <si>
    <t>Matched StockTransfer in product code. This is not a functional test. Restored to authored P1. The previous workbook had P0 after a keyword rebalance.</t>
  </si>
  <si>
    <t>X-0268</t>
  </si>
  <si>
    <t>Owner views consolidated inventory</t>
  </si>
  <si>
    <t>Unified view of total stock holdings across all stores and godowns on single screen</t>
  </si>
  <si>
    <t>Aggregates stock quantities and valuations across all company warehouses</t>
  </si>
  <si>
    <t>Supported via /inventory/ with All-Warehouses view.</t>
  </si>
  <si>
    <t>Code review 2026-10-04 (agent-reviewed, spot-checked): Confirmed. Stock page groups per product across all godowns by default.</t>
  </si>
  <si>
    <t>Stock page groups per product across all godowns by default.</t>
  </si>
  <si>
    <t>X-0269</t>
  </si>
  <si>
    <t>Owner drills from consolidated stock to location</t>
  </si>
  <si>
    <t>Drill down from company-wide product stock to see exact quantity held at each godown</t>
  </si>
  <si>
    <t>Displays location breakdown popup showing individual warehouse balances for the SKU</t>
  </si>
  <si>
    <t>Supported via SKU detail drawer with location breakdown table.</t>
  </si>
  <si>
    <t>Code review 2026-10-04 (agent-reviewed, spot-checked): Confirmed. Aggregated product rows expand to show per-godown lots; an inline expansion rather than a drawer.</t>
  </si>
  <si>
    <t>web/src/pages/inventory/CurrentStockPage.tsx:CurrentStockPage</t>
  </si>
  <si>
    <t>Aggregated product rows expand to show per-godown lots; an inline expansion rather than a drawer.</t>
  </si>
  <si>
    <t>X-0270</t>
  </si>
  <si>
    <t>Owner compares location-wise sales</t>
  </si>
  <si>
    <t>Compare sales revenue and volume across different retail branches and warehouses</t>
  </si>
  <si>
    <t>Generates comparative sales reports broken down by originating location</t>
  </si>
  <si>
    <t>Code review 2026-10-04 (agent-reviewed, spot-checked): Partial. Sales register can be filtered by warehouse; no comparative location-wise sales report.</t>
  </si>
  <si>
    <t>backend/reporting/services.py:sales_register; backend/reporting/views.py:SalesRegisterView</t>
  </si>
  <si>
    <t>Sales register can be filtered by warehouse; no comparative location-wise sales report.</t>
  </si>
  <si>
    <t>X-0271</t>
  </si>
  <si>
    <t>Owner compares location-wise inventory</t>
  </si>
  <si>
    <t>Evaluate inventory turnover and stock-to-sales ratios across different locations</t>
  </si>
  <si>
    <t>Compares stock holding values and inventory velocity between branches</t>
  </si>
  <si>
    <t>Supported via Location Inventory Comparison dashboard.</t>
  </si>
  <si>
    <t>Code review 2026-10-04 (agent-reviewed, spot-checked): Partial. Inventory summary and valuation filter by warehouse; no turnover or stock-to-sales comparison across locations.</t>
  </si>
  <si>
    <t>backend/reporting/services.py:inventory_summary; backend/inventory/views.py:StockValuationReportView</t>
  </si>
  <si>
    <t>Inventory summary and valuation filter by warehouse; no turnover or stock-to-sales comparison across locations.</t>
  </si>
  <si>
    <t>X-0272</t>
  </si>
  <si>
    <t>Owner compares location-wise profitability</t>
  </si>
  <si>
    <t>Analyze gross margin and net profit delivered by each individual store and godown</t>
  </si>
  <si>
    <t>Generates location P&amp;L allocating revenues, COGS, and localized operating expenses</t>
  </si>
  <si>
    <t>Supported via Cost Center / Store P&amp;L reports.</t>
  </si>
  <si>
    <t>Code review 2026-10-04 (agent-reviewed, spot-checked): Partial. P&amp;L can be filtered by cost center only; no warehouse or store P&amp;L with allocated costs.</t>
  </si>
  <si>
    <t>backend/accounting/reports.py:profit_and_loss; backend/accounting/reports.py:_balances</t>
  </si>
  <si>
    <t>P&amp;L can be filtered by cost center only; no warehouse or store P&amp;L with allocated costs.</t>
  </si>
  <si>
    <t>X-0273</t>
  </si>
  <si>
    <t>One store requests stock from another store</t>
  </si>
  <si>
    <t>Store Manager (Requesting)</t>
  </si>
  <si>
    <t>Store Manager (Fulfilling)</t>
  </si>
  <si>
    <t>Peer-to-peer stock transfer request between retail stores to meet immediate customer demand</t>
  </si>
  <si>
    <t>Creates store-to-store requisition; notifies fulfilling store manager for approval</t>
  </si>
  <si>
    <t>Supported via peer-to-peer StockTransfer workflow.</t>
  </si>
  <si>
    <t>X-0274</t>
  </si>
  <si>
    <t>Inter-store transfer is authorized</t>
  </si>
  <si>
    <t>Requesting Store</t>
  </si>
  <si>
    <t>Fulfilling store authorizes transfer of stock to sister outlet</t>
  </si>
  <si>
    <t>Approves transfer; initiates stock dispatch and challan generation</t>
  </si>
  <si>
    <t>Supported via Transfer authorization screen.</t>
  </si>
  <si>
    <t>Code review 2026-10-04 (agent-reviewed, spot-checked): Partial. Complete action executes the transfer under inventory-manage permission; no separate authorization step or challan generation.</t>
  </si>
  <si>
    <t>backend/inventory/views.py:StockTransferViewSet; backend/inventory/services.py:StockTransferService</t>
  </si>
  <si>
    <t>Complete action executes the transfer under inventory-manage permission; no separate authorization step or challan generation.</t>
  </si>
  <si>
    <t>X-0275</t>
  </si>
  <si>
    <t>Stock is moved between stores</t>
  </si>
  <si>
    <t>Store Staff / Driver</t>
  </si>
  <si>
    <t>Both Store Managers</t>
  </si>
  <si>
    <t>Physical transportation and receipt of stock between retail outlets completed</t>
  </si>
  <si>
    <t>Executes TRANSFER_OUT at source store and TRANSFER_IN at destination store</t>
  </si>
  <si>
    <t>Supported via completed StockTransfer state transition.</t>
  </si>
  <si>
    <t>X-0276</t>
  </si>
  <si>
    <t>Location-specific user sees only authorized inventory</t>
  </si>
  <si>
    <t>Staff members restricted to viewing and billing only their assigned location's stock</t>
  </si>
  <si>
    <t>Applies warehouse filter in ORM queries based on user's assigned warehouse permissions</t>
  </si>
  <si>
    <t>Core security invariant: location-scoped RBAC strictly isolates store staff access.</t>
  </si>
  <si>
    <t>Code review 2026-10-04 (agent-reviewed, spot-checked): Contradicted. Stock queries filter by company only; users have no per-warehouse access restriction.</t>
  </si>
  <si>
    <t>none found: searched warehouse assignment on CompanyUser, location-scoped permissions in accounts and core</t>
  </si>
  <si>
    <t>Stock queries filter by company only; users have no per-warehouse access restriction.</t>
  </si>
  <si>
    <t>X-0277</t>
  </si>
  <si>
    <t>Central accountant sees consolidated accounting</t>
  </si>
  <si>
    <t>Central Accountant</t>
  </si>
  <si>
    <t>Head-office accountant accesses unified general ledger combining all branch operations</t>
  </si>
  <si>
    <t>Aggregates all store transactions into centralized Trial Balance, P&amp;L, and Balance Sheet</t>
  </si>
  <si>
    <t>Supported via consolidated accounting reports with store dimension slicing.</t>
  </si>
  <si>
    <t>Code review 2026-10-04 (agent-reviewed, spot-checked): Confirmed. Company-wide ledger reports (trial balance, P&amp;L, balance sheet) exist with optional cost-center slicing.</t>
  </si>
  <si>
    <t>backend/accounting/reports.py:profit_and_loss; backend/accounting/reports.py:balance_sheet; backend/accounting/views.py:AccountingReportView</t>
  </si>
  <si>
    <t>Company-wide ledger reports (trial balance, P&amp;L, balance sheet) exist with optional cost-center slicing.</t>
  </si>
  <si>
    <t>X-0278</t>
  </si>
  <si>
    <t>Sales invoice → GST calculation</t>
  </si>
  <si>
    <t>Automated GST calculation on sales invoices conforming to Place of Supply rules</t>
  </si>
  <si>
    <t>Computes taxable value, CGST/SGST (intra-state) or IGST (inter-state), and cess per line</t>
  </si>
  <si>
    <t>Supported via core TaxEngine; validates tax round-off against statutory Rule 46.</t>
  </si>
  <si>
    <t>Matched TaxEngine in product code. This is not a functional test. Restored to authored P1. The previous workbook had P0 after a keyword rebalance.</t>
  </si>
  <si>
    <t>X-0279</t>
  </si>
  <si>
    <t>Purchase invoice → input GST calculation</t>
  </si>
  <si>
    <t>Automated input GST breakdown on inward purchase bills for tax credit claims</t>
  </si>
  <si>
    <t>Calculates eligible input tax credit; records CGST, SGST, IGST input ledger entries</t>
  </si>
  <si>
    <t>Supported via purchase invoice tax calculation module.</t>
  </si>
  <si>
    <t>Code review 2026-10-04 (agent-reviewed, spot-checked): Confirmed. Purchase completion computes input CGST/SGST/IGST and posts to input GST ledgers or 1390 suspense by ITC status.</t>
  </si>
  <si>
    <t>backend/accounting/services.py:post_purchase; backend/core/services/tax_engine/india.py:compute_document_totals</t>
  </si>
  <si>
    <t>Purchase completion computes input CGST/SGST/IGST and posts to input GST ledgers or 1390 suspense by ITC status.</t>
  </si>
  <si>
    <t>X-0280</t>
  </si>
  <si>
    <t>HSN selection → appropriate tax treatment</t>
  </si>
  <si>
    <t>Selecting product HSN automatically populates correct statutory tax rates and cess</t>
  </si>
  <si>
    <t>Inherits GST tax rate and cess configuration from HSN master schedule</t>
  </si>
  <si>
    <t>Core system invariant: line-item tax rate strictly defaults to product HSN master.</t>
  </si>
  <si>
    <t>Code review 2026-10-04 (agent-reviewed, spot-checked): Confirmed. Line rate defaults from product/HSN master with dated rate resolution; override needs a reason.</t>
  </si>
  <si>
    <t>backend/masters/hsn_catalog.py:line_gst_decision; backend/core/services/tax_engine/india.py:apply_effective_gst_rate</t>
  </si>
  <si>
    <t>Line rate defaults from product/HSN master with dated rate resolution; override needs a reason.</t>
  </si>
  <si>
    <t>X-0281</t>
  </si>
  <si>
    <t>Customer GSTIN → invoice tax treatment</t>
  </si>
  <si>
    <t>System / Tax Engine</t>
  </si>
  <si>
    <t>Customer GSTIN state code determines intra-state (CGST+SGST) vs inter-state (IGST) taxation</t>
  </si>
  <si>
    <t>Compares company GSTIN state code with customer GSTIN state code; selects tax regime</t>
  </si>
  <si>
    <t>Automated Place of Supply evaluation based on first two digits of customer GSTIN.</t>
  </si>
  <si>
    <t>Code review 2026-10-04 (agent-reviewed, spot-checked): Confirmed. Party GSTIN prefix is compared with company state to choose intra or inter-state tax.</t>
  </si>
  <si>
    <t>backend/core/services/tax_engine/india.py:is_intra_state; backend/core/services/place_of_supply.py:party_state_code</t>
  </si>
  <si>
    <t>Party GSTIN prefix is compared with company state to choose intra or inter-state tax.</t>
  </si>
  <si>
    <t>X-0282</t>
  </si>
  <si>
    <t>Supplier GSTIN → purchase tax treatment</t>
  </si>
  <si>
    <t>Supplier GSTIN state code determines intra-state vs inter-state input tax booking</t>
  </si>
  <si>
    <t>Evaluates supplier state; posts input tax to CGST+SGST or IGST input ledgers</t>
  </si>
  <si>
    <t>Automated tax regime selection based on supplier GSTIN state prefix.</t>
  </si>
  <si>
    <t>Code review 2026-10-04 (agent-reviewed, spot-checked): Confirmed. Purchase documents use the same engine, deriving regime from supplier GSTIN state.</t>
  </si>
  <si>
    <t>backend/core/services/place_of_supply.py:party_intra_state; backend/core/services/tax_engine/india.py:compute_document_totals</t>
  </si>
  <si>
    <t>Purchase documents use the same engine, deriving regime from supplier GSTIN state.</t>
  </si>
  <si>
    <t>X-0283</t>
  </si>
  <si>
    <t>Intra-state transaction → CGST/SGST treatment</t>
  </si>
  <si>
    <t>Local transactions within same state accurately split tax 50/50 between CGST and SGST</t>
  </si>
  <si>
    <t>Calculates equal CGST and SGST line amounts; credits individual central and state tax ledgers</t>
  </si>
  <si>
    <t>Core tax invariant: intra-state tax split exactly into 50% CGST and 50% SGST.</t>
  </si>
  <si>
    <t>Code review 2026-10-04 (agent-reviewed, spot-checked): Confirmed. Intra-state tax is split into equal CGST and SGST halves per line.</t>
  </si>
  <si>
    <t>backend/core/services/tax_engine/india.py:_apply_line_tax</t>
  </si>
  <si>
    <t>Intra-state tax is split into equal CGST and SGST halves per line.</t>
  </si>
  <si>
    <t>X-0284</t>
  </si>
  <si>
    <t>Inter-state transaction → IGST treatment</t>
  </si>
  <si>
    <t>Out-of-state transactions accurately charged integrated goods and services tax (IGST)</t>
  </si>
  <si>
    <t>Calculates full tax percentage under IGST; credits IGST liability ledger</t>
  </si>
  <si>
    <t>Core tax invariant: inter-state sales booked exclusively under IGST.</t>
  </si>
  <si>
    <t>Code review 2026-10-04 (agent-reviewed, spot-checked): Confirmed. Inter-state lines carry the full tax in igst with cgst and sgst zero.</t>
  </si>
  <si>
    <t>Inter-state lines carry the full tax in igst with cgst and sgst zero.</t>
  </si>
  <si>
    <t>X-0285</t>
  </si>
  <si>
    <t>GST invoice → reporting dataset is updated</t>
  </si>
  <si>
    <t>System / Reporting Engine</t>
  </si>
  <si>
    <t>Completed tax invoice automatically populates monthly GSTR-1 outward filing dataset</t>
  </si>
  <si>
    <t>Adds record to GSTR-1 worksheet in appropriate table (B2B, B2CL, B2CS, HSN Summary)</t>
  </si>
  <si>
    <t>Supported via automated GSTR-1 worksheet compiler in gst module.</t>
  </si>
  <si>
    <t>Code review 2026-10-04 (agent-reviewed, spot-checked): Confirmed. build_gstr1 compiles B2B, B2CL, B2CS, CDNR and HSN tables from completed invoices in the period.</t>
  </si>
  <si>
    <t>backend/reporting/gst_returns.py:build_gstr1; backend/reporting/views.py:Gstr1View</t>
  </si>
  <si>
    <t>build_gstr1 compiles B2B, B2CL, B2CS, CDNR and HSN tables from completed invoices in the period.</t>
  </si>
  <si>
    <t>X-0286</t>
  </si>
  <si>
    <t>Invoice cancellation → GST/reporting data is updated</t>
  </si>
  <si>
    <t>Cancelled invoice removed from or flagged in GSTR-1 dataset and tax liability reversed</t>
  </si>
  <si>
    <t>Reverses output tax liability; updates Document Issued summary (Table 13) in GSTR-1</t>
  </si>
  <si>
    <t>Supported via SalesInvoice cancellation tax adjustment.</t>
  </si>
  <si>
    <t>X-0287</t>
  </si>
  <si>
    <t>Sales return → tax adjustment</t>
  </si>
  <si>
    <t>Sales return and credit note reduces gross output tax liability for the tax period</t>
  </si>
  <si>
    <t>Reduces output tax liability; records credit note entry in GSTR-1 Table 9B</t>
  </si>
  <si>
    <t>Supported via Credit Note tax posting per Section 34 of CGST Act.</t>
  </si>
  <si>
    <t>Restored to authored P1. The previous workbook had P0 after a keyword rebalance. Code review 2026-10-04 (agent-reviewed, spot-checked): Confirmed. Completed sales credit notes go into the cdnr section of GSTR-1 and net down output tax in GSTR-3B.</t>
  </si>
  <si>
    <t>Completed sales credit notes go into the cdnr section of GSTR-1 and net down output tax in GSTR-3B.</t>
  </si>
  <si>
    <t>X-0288</t>
  </si>
  <si>
    <t>Purchase return → input-tax adjustment</t>
  </si>
  <si>
    <t>Purchase return and debit note reduces claimed Input Tax Credit (ITC) for the tax period</t>
  </si>
  <si>
    <t>Reduces eligible ITC; reports debit note reversal in GSTR-3B Table 4(B)</t>
  </si>
  <si>
    <t>Supported via Debit Note ITC adjustment calculation.</t>
  </si>
  <si>
    <t>Code review 2026-10-04 (agent-reviewed, spot-checked): Confirmed. Purchase credit/debit notes adjust inward taxable value and ITC in build_gstr3b; the 4(B) section itself is left as manual review.</t>
  </si>
  <si>
    <t>backend/reporting/gst_returns.py:build_gstr3b; backend/reporting/gst_returns.py:_gst_purchase_credit_notes</t>
  </si>
  <si>
    <t>Purchase credit/debit notes adjust inward taxable value and ITC in build_gstr3b; the 4(B) section itself is left as manual review.</t>
  </si>
  <si>
    <t>X-0289</t>
  </si>
  <si>
    <t>Credit note → tax liability adjustment</t>
  </si>
  <si>
    <t>Legal credit note issued for rate difference or volume discount reduces output GST liability</t>
  </si>
  <si>
    <t>Adjusts output tax ledger; updates GSTR-1 Table 9B with credit note details</t>
  </si>
  <si>
    <t>Supported via SalesCreditNote complete action.</t>
  </si>
  <si>
    <t>Related to X-0290</t>
  </si>
  <si>
    <t>backend/sales/models.py:SalesCreditNote</t>
  </si>
  <si>
    <t>X-0290</t>
  </si>
  <si>
    <t>Debit note → tax liability adjustment</t>
  </si>
  <si>
    <t>Debit note issued to customer for price undercharge increases output GST liability</t>
  </si>
  <si>
    <t>Increments output tax liability; reports debit note in GSTR-1 Table 9B</t>
  </si>
  <si>
    <t>Supported via SalesDebitNote complete action.</t>
  </si>
  <si>
    <t>Matched SalesDebitNote in product code. This is not a functional test.</t>
  </si>
  <si>
    <t>Related to X-0289</t>
  </si>
  <si>
    <t>backend/sales/models.py:SalesDebitNote</t>
  </si>
  <si>
    <t>backend/tests/test_a07_dunning.py; backend/tests/test_a13_a14_reporting_sales.py; backend/tests/test_holistic_80.py</t>
  </si>
  <si>
    <t>X-0291</t>
  </si>
  <si>
    <t>Purchase data → IMS matching</t>
  </si>
  <si>
    <t>Inward purchase records matched against government Invoice Management System (IMS) records</t>
  </si>
  <si>
    <t>Compares supplier GSTIN, invoice number, date, and tax amounts; identifies match status</t>
  </si>
  <si>
    <t>Supported via IMS / GSTR-2B automated reconciliation dashboard.</t>
  </si>
  <si>
    <t>Code review 2026-10-04 (agent-reviewed, spot-checked): Confirmed. Books purchases are matched to GSTR-2B/IMS rows by GSTIN, number, date and tax, with match classes such as exact and value_mismatch.</t>
  </si>
  <si>
    <t>backend/reporting/ims.py:classify_and_match; backend/reporting/gstr2b.py:match_gstr2b_to_purchases</t>
  </si>
  <si>
    <t>Books purchases are matched to GSTR-2B/IMS rows by GSTIN, number, date and tax, with match classes such as exact and value_mismatch.</t>
  </si>
  <si>
    <t>X-0292</t>
  </si>
  <si>
    <t>IMS invoice → accept action</t>
  </si>
  <si>
    <t>Supplier / Tax Authority</t>
  </si>
  <si>
    <t>Mark recipient acceptance on supplier invoice in IMS to confirm Input Tax Credit eligibility</t>
  </si>
  <si>
    <t>Tags invoice as ACCEPTED in IMS dataset; includes tax amount in GSTR-2B eligible ITC pool</t>
  </si>
  <si>
    <t>Supported via IMS action dashboard with 'Accept' button and bulk action export.</t>
  </si>
  <si>
    <t>Code review 2026-10-04 (agent-reviewed, spot-checked): Confirmed. ACCEPT is stored on the row and only ACCEPT-ed matched rows enter the claimable ITC pool.</t>
  </si>
  <si>
    <t>backend/reporting/ims.py:apply_ims_action; backend/reporting/gstr2b.py:claimable_itc_from_2b</t>
  </si>
  <si>
    <t>ACCEPT is stored on the row and only ACCEPT-ed matched rows enter the claimable ITC pool.</t>
  </si>
  <si>
    <t>X-0293</t>
  </si>
  <si>
    <t>IMS invoice → reject action</t>
  </si>
  <si>
    <t>Mark recipient rejection on erroneous or unrecognized supplier invoice in IMS</t>
  </si>
  <si>
    <t>Tags invoice as REJECTED in IMS dataset; excludes from GSTR-2B ITC; notifies supplier</t>
  </si>
  <si>
    <t>Supported via IMS action dashboard with 'Reject' decision logging.</t>
  </si>
  <si>
    <t>Code review 2026-10-04 (agent-reviewed, spot-checked): Confirmed. REJECT requires a remark, marks the row and invoice INELIGIBLE and reclasses ITC; supplier message is generated for sending, not sent automatically.</t>
  </si>
  <si>
    <t>backend/reporting/ims.py:apply_ims_action; backend/reporting/ims.py:supplier_defect_message</t>
  </si>
  <si>
    <t>REJECT requires a remark, marks the row and invoice INELIGIBLE and reclasses ITC; supplier message is generated for sending, not sent automatically.</t>
  </si>
  <si>
    <t>X-0294</t>
  </si>
  <si>
    <t>IMS invoice → pending action</t>
  </si>
  <si>
    <t>Keep invoice pending in IMS when goods are in-transit or undergoing verification</t>
  </si>
  <si>
    <t>Tags invoice as PENDING; rolls forward ITC eligibility to subsequent tax period</t>
  </si>
  <si>
    <t>Supported via IMS action dashboard with 'Keep Pending' decision tagging.</t>
  </si>
  <si>
    <t>Code review 2026-10-04 (agent-reviewed, spot-checked): Partial. PENDING is recorded and excluded from claimable ITC, but no explicit roll-forward of eligibility to the next period exists.</t>
  </si>
  <si>
    <t>backend/reporting/ims.py:apply_ims_action</t>
  </si>
  <si>
    <t>PENDING is recorded and excluded from claimable ITC, but no explicit roll-forward of eligibility to the next period exists.</t>
  </si>
  <si>
    <t>X-0295</t>
  </si>
  <si>
    <t>Accepted invoice → ITC eligibility calculation</t>
  </si>
  <si>
    <t>Accepted IMS invoices automatically included in total eligible Input Tax Credit for GSTR-3B</t>
  </si>
  <si>
    <t>Computes total verified ITC available for set-off against monthly output tax liabilities</t>
  </si>
  <si>
    <t>Supported via automated GSTR-3B Table 4 computation from accepted invoices.</t>
  </si>
  <si>
    <t>Code review 2026-10-04 (agent-reviewed, spot-checked): Confirmed. build_gstr3b takes claimable ITC from matched, accepted GSTR-2B rows.</t>
  </si>
  <si>
    <t>backend/reporting/gstr2b.py:claimable_itc_from_2b; backend/reporting/gst_returns.py:build_gstr3b</t>
  </si>
  <si>
    <t>build_gstr3b takes claimable ITC from matched, accepted GSTR-2B rows.</t>
  </si>
  <si>
    <t>X-0296</t>
  </si>
  <si>
    <t>Rejected invoice → ITC exclusion</t>
  </si>
  <si>
    <t>Rejected IMS invoices automatically excluded from ITC claims to prevent tax audit notices</t>
  </si>
  <si>
    <t>Excludes rejected invoice tax from eligible ITC pool; prevents irregular credit claims</t>
  </si>
  <si>
    <t>Core compliance invariant: rejected supplier invoices strictly blocked from GSTR-3B ITC.</t>
  </si>
  <si>
    <t>Code review 2026-10-04 (agent-reviewed, spot-checked): Confirmed. Rejected rows are INELIGIBLE and excluded by the claimable_itc_from_2b filters.</t>
  </si>
  <si>
    <t>backend/reporting/gstr2b.py:claimable_itc_from_2b; backend/reporting/ims.py:apply_ims_action</t>
  </si>
  <si>
    <t>Rejected rows are INELIGIBLE and excluded by the claimable_itc_from_2b filters.</t>
  </si>
  <si>
    <t>X-0297</t>
  </si>
  <si>
    <t>Missing supplier invoice → exception</t>
  </si>
  <si>
    <t>Purchases recorded in books but missing in supplier's GSTR-1/2B flagged as missing invoice</t>
  </si>
  <si>
    <t>Generates Missing Document exception; alerts purchase team to chase supplier for GSTR-1 filing</t>
  </si>
  <si>
    <t>Supported via GSTR-2B reconciliation missing invoice report.</t>
  </si>
  <si>
    <t>Code review 2026-10-04 (agent-reviewed, spot-checked): Confirmed. classify_and_match counts and lists books invoices missing in IMS; chase module handles rows missing in books.</t>
  </si>
  <si>
    <t>backend/reporting/ims.py:classify_and_match; backend/reporting/chase.py:list_missing_documents</t>
  </si>
  <si>
    <t>classify_and_match counts and lists books invoices missing in IMS; chase module handles rows missing in books.</t>
  </si>
  <si>
    <t>X-0298</t>
  </si>
  <si>
    <t>Invoice mismatch → exception</t>
  </si>
  <si>
    <t>Discrepancies in taxable value or tax amounts between books and GSTR-2B flagged as mismatch</t>
  </si>
  <si>
    <t>Generates Tax Mismatch exception detailing value difference; initiates dispute resolution</t>
  </si>
  <si>
    <t>Supported via GSTR-2B discrepancy drill-down with line-item comparison.</t>
  </si>
  <si>
    <t>Code review 2026-10-04 (agent-reviewed, spot-checked): Confirmed. VALUE_MISMATCH class is assigned when taxable or tax amounts differ between books and 2B.</t>
  </si>
  <si>
    <t>VALUE_MISMATCH class is assigned when taxable or tax amounts differ between books and 2B.</t>
  </si>
  <si>
    <t>System / Validation Engine</t>
  </si>
  <si>
    <t>Duplicate supplier invoice numbers detected automatically upon entry or GSTR-2B import</t>
  </si>
  <si>
    <t>Blocks duplicate entry; alerts user that invoice was already recorded in previous period</t>
  </si>
  <si>
    <t>Enforced via unique database constraint (company_id, supplier_id, invoice_number).</t>
  </si>
  <si>
    <t>Same task as X-0436</t>
  </si>
  <si>
    <t>X-0300</t>
  </si>
  <si>
    <t>Supplier defect → supplier defect score updates</t>
  </si>
  <si>
    <t>System / Vendor Scoring</t>
  </si>
  <si>
    <t>Suppliers with missing invoices, tax errors, or delayed filings penalized in compliance score</t>
  </si>
  <si>
    <t>Updates supplier compliance score; displays risk badge on future purchase orders</t>
  </si>
  <si>
    <t>Supported via Supplier Compliance Scorecard in purchases module.</t>
  </si>
  <si>
    <t>Code review 2026-10-04 (agent-reviewed, spot-checked): Confirmed. Scorecard counts mismatches and rejections per supplier GSTIN and feeds a PO-picker nudge.</t>
  </si>
  <si>
    <t>backend/reporting/ims.py:supplier_scorecard; backend/reporting/ims.py:supplier_po_nudge</t>
  </si>
  <si>
    <t>Scorecard counts mismatches and rejections per supplier GSTIN and feeds a PO-picker nudge.</t>
  </si>
  <si>
    <t>X-0301</t>
  </si>
  <si>
    <t>ITC deadline approaching → alert</t>
  </si>
  <si>
    <t>In-house Accountant / Owner</t>
  </si>
  <si>
    <t>Proactive alert warning of approaching Section 16(4) statutory deadline for claiming open ITC</t>
  </si>
  <si>
    <t>Surfaces high-priority warning for unclaimed purchase invoices older than 180 days</t>
  </si>
  <si>
    <t>Supported via statutory deadline alert trigger in GST module.</t>
  </si>
  <si>
    <t>Restored to authored P1. The previous workbook had P0 after a keyword rebalance. Code review 2026-10-04 (agent-reviewed, spot-checked): Confirmed. Section 16(4) deadline stored per row; expiring ITC drives an email digest and an attention row.</t>
  </si>
  <si>
    <t>backend/reporting/ims.py:expiring_itc_rows; backend/reporting/ims.py:send_itc_expiry_digests; backend/insights/attention.py:_itc_and_gst_rows</t>
  </si>
  <si>
    <t>Section 16(4) deadline stored per row; expiring ITC drives an email digest and an attention row.</t>
  </si>
  <si>
    <t>X-0302</t>
  </si>
  <si>
    <t>ITC-at-risk invoice → credit-at-risk dashboard updates</t>
  </si>
  <si>
    <t>Dashboard tracking total monetary value of Input Tax Credit currently at risk of lapsing</t>
  </si>
  <si>
    <t>Aggregates total disputed or unfiled ITC; updates Credit-at-Risk KPI card on home screen</t>
  </si>
  <si>
    <t>Supported via Credit-at-Risk Dashboard (/gst/itc-risk/).</t>
  </si>
  <si>
    <t>Code review 2026-10-04 (agent-reviewed, spot-checked): Confirmed. credit_at_risk aggregates unresolved and expiring ITC, served by ims-summary and surfaced in attention rows.</t>
  </si>
  <si>
    <t>backend/reporting/ims.py:credit_at_risk; backend/reporting/views.py:Gstr2bIngestViewSet; backend/insights/attention.py:_itc_and_gst_rows</t>
  </si>
  <si>
    <t>credit_at_risk aggregates unresolved and expiring ITC, served by ims-summary and surfaced in attention rows.</t>
  </si>
  <si>
    <t>X-0303</t>
  </si>
  <si>
    <t>GST data correction → audit trail maintained</t>
  </si>
  <si>
    <t>Any adjustments or corrections made to statutory tax data preserve complete audit trail</t>
  </si>
  <si>
    <t>Records user ID, previous tax values, new values, timestamp, and justification reason</t>
  </si>
  <si>
    <t>Core system invariant: immutable audit logging for all statutory tax modifications.</t>
  </si>
  <si>
    <t>Code review 2026-10-04 (agent-reviewed, spot-checked): Partial. Append-only logs record user, old and new money values and statutory events, but no reason field and not all GST data edits are covered.</t>
  </si>
  <si>
    <t>backend/core/models.py:MoneyFieldAudit; backend/core/models.py:AuditEvent; backend/core/models.py:StatutoryDocumentEvent</t>
  </si>
  <si>
    <t>Append-only logs record user, old and new money values and statutory events, but no reason field and not all GST data edits are covered.</t>
  </si>
  <si>
    <t>X-0304</t>
  </si>
  <si>
    <t>GST return preparation → source transactions remain traceable</t>
  </si>
  <si>
    <t>Every aggregate number on GSTR-1, GSTR-3B, or CMP-08 drillable to underlying source invoices</t>
  </si>
  <si>
    <t>Provides bidirectional audit linkage between return line items and individual vouchers</t>
  </si>
  <si>
    <t>Supported via full drill-down from return summary tables to underlying transaction ledgers.</t>
  </si>
  <si>
    <t>Code review 2026-10-04 (agent-reviewed, spot-checked): Partial. Worksheet rows carry invoice numbers and document_id, but no dedicated bidirectional drill-down from return totals to ledgers.</t>
  </si>
  <si>
    <t>backend/reporting/gst_returns.py:build_gstr1; backend/reporting/gst_returns.py:_worksheet_register_tie</t>
  </si>
  <si>
    <t>Worksheet rows carry invoice numbers and document_id, but no dedicated bidirectional drill-down from return totals to ledgers.</t>
  </si>
  <si>
    <t>X-0305</t>
  </si>
  <si>
    <t>Accountant reviews GST exception → exception resolved</t>
  </si>
  <si>
    <t>Billing Clerk / Supplier</t>
  </si>
  <si>
    <t>Accountant investigates flagged tax exception, updates data, and marks exception resolved</t>
  </si>
  <si>
    <t>Updates exception status to RESOLVED; re-runs validation checks; includes in return pool</t>
  </si>
  <si>
    <t>Supported via Attention Row exception management interface.</t>
  </si>
  <si>
    <t>Code review 2026-10-04 (agent-reviewed, spot-checked): Partial. Exceptions can be dismissed or snoozed, but no RESOLVED status with re-run of validation and return-pool inclusion.</t>
  </si>
  <si>
    <t>backend/insights/attention.py:dismiss_attention_row; backend/insights/attention.py:snooze_attention_row; backend/insights/models.py:AttentionRowState</t>
  </si>
  <si>
    <t>Exceptions can be dismissed or snoozed, but no RESOLVED status with re-run of validation and return-pool inclusion.</t>
  </si>
  <si>
    <t>X-0306</t>
  </si>
  <si>
    <t>GST export → exported data reconciles with system</t>
  </si>
  <si>
    <t>Exported GSTR-1 JSON or Excel reconciles to the last rupee with system general ledger balances</t>
  </si>
  <si>
    <t>Performs automated cross-checksum validation between exported JSON and GL tax accounts</t>
  </si>
  <si>
    <t>Core compliance invariant: exported return data matches general ledger balances exactly.</t>
  </si>
  <si>
    <t>Code review 2026-10-04 (agent-reviewed, spot-checked): Partial. Worksheet totals are tied to sales/purchase registers and hashed, not cross-checked against GL tax accounts.</t>
  </si>
  <si>
    <t>backend/reporting/gst_returns.py:_worksheet_register_tie; backend/reporting/gst_returns.py:content_hash</t>
  </si>
  <si>
    <t>Worksheet totals are tied to sales/purchase registers and hashed, not cross-checked against GL tax accounts.</t>
  </si>
  <si>
    <t>X-0307</t>
  </si>
  <si>
    <t>Customer purchases on credit</t>
  </si>
  <si>
    <t>Customer buys goods with agreed credit terms (e.g. 15, 30 days) instead of immediate cash</t>
  </si>
  <si>
    <t>Completes invoice with payment_status='UNPAID'; sets due_date; debits Customer AR ledger</t>
  </si>
  <si>
    <t>Supported on sales checkout with credit payment terms selection.</t>
  </si>
  <si>
    <t>Code review 2026-10-04 (agent-reviewed, spot-checked): Confirmed. Invoice carries payment_terms_days and due_date; completion posts debit to AR 1200; unpaid state is derived from allocations.</t>
  </si>
  <si>
    <t>backend/sales/models.py:SalesInvoice; backend/accounting/services.py:PostingService; web/src/pages/sales/NewInvoicePage.tsx:NewInvoicePage</t>
  </si>
  <si>
    <t>Invoice carries payment_terms_days and due_date; completion posts debit to AR 1200; unpaid state is derived from allocations.</t>
  </si>
  <si>
    <t>X-0308</t>
  </si>
  <si>
    <t>Credit sale → customer ledger updated</t>
  </si>
  <si>
    <t>Customer account debited with invoice amount; running balance increased</t>
  </si>
  <si>
    <t>Posts debit voucher to Customer AR ledger; increases customer's outstanding balance</t>
  </si>
  <si>
    <t>Core system invariant: completing credit invoice atomically updates customer ledger balance.</t>
  </si>
  <si>
    <t>Restored to authored P1. The previous workbook had P0 after a keyword rebalance. Code review 2026-10-04 (agent-reviewed, spot-checked): Confirmed. post_sales_invoice debits AR account 1200 per customer and customer_outstanding reads it.</t>
  </si>
  <si>
    <t>backend/accounting/services.py:PostingService; backend/ledgers/services.py:LedgerService</t>
  </si>
  <si>
    <t>post_sales_invoice debits AR account 1200 per customer and customer_outstanding reads it.</t>
  </si>
  <si>
    <t>X-0309</t>
  </si>
  <si>
    <t>Customer payment → ledger updated</t>
  </si>
  <si>
    <t>Payment received from customer credited to customer account; running balance decreased</t>
  </si>
  <si>
    <t>Posts credit voucher to Customer AR ledger; debits Cash/Bank account in general ledger</t>
  </si>
  <si>
    <t>Supported via Payment entry screen with automated customer ledger posting.</t>
  </si>
  <si>
    <t>Code review 2026-10-04 (agent-reviewed, spot-checked): Confirmed. post_receipt debits bank/cash and credits customer advances; allocation moves advances to AR credit, lowering outstanding.</t>
  </si>
  <si>
    <t>backend/accounting/services.py:PostingService; backend/payments/services.py:PaymentService</t>
  </si>
  <si>
    <t>post_receipt debits bank/cash and credits customer advances; allocation moves advances to AR credit, lowering outstanding.</t>
  </si>
  <si>
    <t>X-0310</t>
  </si>
  <si>
    <t>Partial payment → balance maintained</t>
  </si>
  <si>
    <t>Partial settlement recorded accurately, maintaining remaining unpaid balance</t>
  </si>
  <si>
    <t>Allocates partial amount; decrements customer net balance; tracks unallocated remainder</t>
  </si>
  <si>
    <t>Supported via PaymentAllocation engine with partial invoice matching.</t>
  </si>
  <si>
    <t>X-0311</t>
  </si>
  <si>
    <t>Advance payment → advance ledger maintained</t>
  </si>
  <si>
    <t>Advance payment received from customer before order delivery tracked in advance account</t>
  </si>
  <si>
    <t>Credits Customer Advance Liability ledger account; debits Bank/Cash account</t>
  </si>
  <si>
    <t>Supported via Customer Advance receipt workflow with future invoice adjustment.</t>
  </si>
  <si>
    <t>Code review 2026-10-04 (agent-reviewed, spot-checked): Confirmed. Unallocated receipts credit Customer Advances 2300 and debit bank/cash; later allocation moves them against invoices.</t>
  </si>
  <si>
    <t>Unallocated receipts credit Customer Advances 2300 and debit bank/cash; later allocation moves them against invoices.</t>
  </si>
  <si>
    <t>X-0312</t>
  </si>
  <si>
    <t>Payment allocation → payment applied to selected invoices</t>
  </si>
  <si>
    <t>Lump-sum payment allocated across specific open invoices (FIFO or manual selection)</t>
  </si>
  <si>
    <t>Creates PaymentAllocation links between payment and invoices; updates invoice statuses</t>
  </si>
  <si>
    <t>Supported via multi-invoice allocation modal in payments app.</t>
  </si>
  <si>
    <t>Code review 2026-10-04 (agent-reviewed, spot-checked): Confirmed. PaymentAllocation links receipt to invoices; manual allocate_receipt and FIFO allocate_receipt_oldest_first both exist.</t>
  </si>
  <si>
    <t>backend/payments/models.py:PaymentAllocation; backend/payments/services.py:PaymentService; backend/payments/views.py:CustomerReceiptViewSet</t>
  </si>
  <si>
    <t>PaymentAllocation links receipt to invoices; manual allocate_receipt and FIFO allocate_receipt_oldest_first both exist.</t>
  </si>
  <si>
    <t>X-0313</t>
  </si>
  <si>
    <t>Payment received → invoice status changes</t>
  </si>
  <si>
    <t>System / Payment Engine</t>
  </si>
  <si>
    <t>Invoice status advances from UNPAID to PARTIALLY_PAID or PAID upon payment matching</t>
  </si>
  <si>
    <t>Updates SalesInvoice.payment_status; unlocks customer credit limit buffer</t>
  </si>
  <si>
    <t>Core system invariant: invoice payment status dynamically derived from payment allocations.</t>
  </si>
  <si>
    <t>Code review 2026-10-04 (agent-reviewed, spot-checked): Confirmed. Payment state PAID/PARTIAL/UNPAID is derived from posted allocations, not stored; outstanding frees credit exposure.</t>
  </si>
  <si>
    <t>backend/payments/holding.py:invoice_payment_state; backend/sales/views.py:SalesInvoiceViewSet</t>
  </si>
  <si>
    <t>Payment state PAID/PARTIAL/UNPAID is derived from posted allocations, not stored; outstanding frees credit exposure.</t>
  </si>
  <si>
    <t>X-0314</t>
  </si>
  <si>
    <t>Invoice overdue → ageing bucket changes</t>
  </si>
  <si>
    <t>Unpaid invoice moves into overdue aging category (1-30, 31-60, 61-90, 90+ days)</t>
  </si>
  <si>
    <t>Reclassifies invoice aging bucket based on days elapsed since payment due date</t>
  </si>
  <si>
    <t>Supported via dynamic aging classification in accounts receivable reports.</t>
  </si>
  <si>
    <t>Code review 2026-10-04 (agent-reviewed, spot-checked): Confirmed. Open invoices are bucketed dynamically by days past due date into current, 1-30, 31-60, 61-90, 90+.</t>
  </si>
  <si>
    <t>backend/reporting/services.py:ReportService; backend/payments/dunning.py:customer_risk_snapshot</t>
  </si>
  <si>
    <t>Open invoices are bucketed dynamically by days past due date into current, 1-30, 31-60, 61-90, 90+.</t>
  </si>
  <si>
    <t>X-0315</t>
  </si>
  <si>
    <t>Customer crosses credit limit → alert generated</t>
  </si>
  <si>
    <t>System / Credit Guard</t>
  </si>
  <si>
    <t>Business Owner / Salesperson</t>
  </si>
  <si>
    <t>Immediate warning generated when customer outstanding balance breaches approved credit limit</t>
  </si>
  <si>
    <t>Generates high-priority credit limit warning; flags new orders for owner approval</t>
  </si>
  <si>
    <t>Core business invariant: credit limit breach blocks checkout unless overridden by Owner.</t>
  </si>
  <si>
    <t>Code review 2026-10-04 (agent-reviewed, spot-checked): Confirmed. Invoice completion raises credit limit exceeded unless owner override; a near-limit alert is generated by insights.</t>
  </si>
  <si>
    <t>backend/tests/personas/test_pj_insights_and_recommendations.py::test_pj_insights_customer_credit_limit_near_alert_and_action; backend/tests/test_phase1_notes_ledger.py::test_credit_limit_blocks_complete</t>
  </si>
  <si>
    <t>backend/sales/services.py:CREDIT_LIMIT_EXCEEDED; backend/sales/order_gates.py:invoice_credit_override_covers; backend/insights/alerts.py:_credit_limit</t>
  </si>
  <si>
    <t>Invoice completion raises credit limit exceeded unless owner override; a near-limit alert is generated by insights.</t>
  </si>
  <si>
    <t>X-0316</t>
  </si>
  <si>
    <t>Payment reminder → reminder generated</t>
  </si>
  <si>
    <t>Professional payment reminder message generated with unpaid invoice list and payment link</t>
  </si>
  <si>
    <t>Generates personalized payment reminder text with total due and dynamic UPI QR link</t>
  </si>
  <si>
    <t>Supported via WhatsApp / SMS Payment Reminder dispatch tool.</t>
  </si>
  <si>
    <t>X-0317</t>
  </si>
  <si>
    <t>Customer settles multiple invoices → allocation is maintained</t>
  </si>
  <si>
    <t>Single lump-sum remittance allocated across multiple past invoices with clear audit trail</t>
  </si>
  <si>
    <t>Maintains exact allocation breakdown per invoice; updates individual invoice paid amounts</t>
  </si>
  <si>
    <t>Supported via bulk payment allocation interface.</t>
  </si>
  <si>
    <t>Code review 2026-10-04 (agent-reviewed, spot-checked): Confirmed. One receipt can be split across many invoices via per-invoice PaymentAllocation rows with outstanding derived from them.</t>
  </si>
  <si>
    <t>backend/payments/services.py:PaymentService; backend/payments/models.py:PaymentAllocation</t>
  </si>
  <si>
    <t>One receipt can be split across many invoices via per-invoice PaymentAllocation rows with outstanding derived from them.</t>
  </si>
  <si>
    <t>X-0318</t>
  </si>
  <si>
    <t>Credit note → customer balance changes</t>
  </si>
  <si>
    <t>Approved credit note for return or rate concession reduces customer outstanding balance</t>
  </si>
  <si>
    <t>Credits Customer AR ledger; reduces net outstanding balance owed by customer</t>
  </si>
  <si>
    <t>Core system invariant: Credit Note completion immediately reduces customer AR balance.</t>
  </si>
  <si>
    <t>Code review 2026-10-04 (agent-reviewed, spot-checked): Confirmed. complete_credit_note calls post_note to credit AR and ledger outstanding nets completed credit notes.</t>
  </si>
  <si>
    <t>backend/sales/notes_services.py:SalesNotesService; backend/accounting/services.py:PostingService</t>
  </si>
  <si>
    <t>complete_credit_note calls post_note to credit AR and ledger outstanding nets completed credit notes.</t>
  </si>
  <si>
    <t>X-0319</t>
  </si>
  <si>
    <t>Refund → customer balance changes</t>
  </si>
  <si>
    <t>Cash or bank refund issued to customer increases customer ledger balance</t>
  </si>
  <si>
    <t>Debits Customer AR ledger; credits Bank/Cash account; offsets open credit notes</t>
  </si>
  <si>
    <t>Code review 2026-10-04 (agent-reviewed, spot-checked): Partial. Refunds exist only for gateway payments (receipt refund reversal); no cash/bank refund workflow linked to credit notes.</t>
  </si>
  <si>
    <t>backend/payments/services.py:PaymentService; backend/accounting/services.py:PostingService</t>
  </si>
  <si>
    <t>Refunds exist only for gateway payments (receipt refund reversal); no cash/bank refund workflow linked to credit notes.</t>
  </si>
  <si>
    <t>X-0320</t>
  </si>
  <si>
    <t>Customer statement → all transactions are visible</t>
  </si>
  <si>
    <t>Customer / Owner</t>
  </si>
  <si>
    <t>Comprehensive statement of account showing all invoices, debit/credit notes, and payments</t>
  </si>
  <si>
    <t>Renders chronological customer ledger statement with debit, credit, and running balance</t>
  </si>
  <si>
    <t>Supported via /sales/customers/{id}/statement/ with PDF and Excel export.</t>
  </si>
  <si>
    <t>Code review 2026-10-04 (agent-reviewed, spot-checked): Confirmed. Chronological statement with debit, credit and running balance exists; export is browser print, no server Excel/PDF found.</t>
  </si>
  <si>
    <t>backend/ledgers/services.py:LedgerService; backend/ledgers/views.py:CustomerLedgerDetailView; backend/reporting/views.py:CustomerLedgerTabsView</t>
  </si>
  <si>
    <t>Chronological statement with debit, credit and running balance exists; export is browser print, no server Excel/PDF found.</t>
  </si>
  <si>
    <t>X-0321</t>
  </si>
  <si>
    <t>Owner reviews receivables → customer-level drill-down</t>
  </si>
  <si>
    <t>Owner inspects total market receivables and clicks into any customer to see unpaid bills</t>
  </si>
  <si>
    <t>Provides instant drill-down from receivables summary KPI to individual customer invoices</t>
  </si>
  <si>
    <t>Supported via Receivables Dashboard with interactive drill-down.</t>
  </si>
  <si>
    <t>Code review 2026-10-04 (agent-reviewed, spot-checked): Confirmed. Receivables KPI and per-customer risk list with open-invoice rows give drill-down to individual unpaid bills.</t>
  </si>
  <si>
    <t>backend/insights/views.py:CollectionsOpenInvoicesView; backend/payments/collections_open.py:open_invoice_rows; backend/payments/views.py:CollectionRiskView</t>
  </si>
  <si>
    <t>Receivables KPI and per-customer risk list with open-invoice rows give drill-down to individual unpaid bills.</t>
  </si>
  <si>
    <t>X-0322</t>
  </si>
  <si>
    <t>Accountant reconciles customer ledger → discrepancies identified</t>
  </si>
  <si>
    <t>Customer Accounts Team</t>
  </si>
  <si>
    <t>Periodic ledger reconciliation with customer accounting department to resolve variances</t>
  </si>
  <si>
    <t>Highlights mismatched invoice amounts, unrecorded deductions, or disputed debit notes</t>
  </si>
  <si>
    <t>Supported via Customer Ledger Reconciliation tool.</t>
  </si>
  <si>
    <t>Code review 2026-10-04 (agent-reviewed, spot-checked): Contradicted. Only bank reconciliation and internal AR-vs-GL invariants exist; no customer ledger reconciliation tool flagging mismatches.</t>
  </si>
  <si>
    <t>none found: searched customer ledger reconciliation, counterparty statement match in backend/ledgers, backend/reporting, backend/payments</t>
  </si>
  <si>
    <t>Only bank reconciliation and internal AR-vs-GL invariants exist; no customer ledger reconciliation tool flagging mismatches.</t>
  </si>
  <si>
    <t>X-0323</t>
  </si>
  <si>
    <t>Purchase creates supplier payable</t>
  </si>
  <si>
    <t>Completed purchase bill creates accounts payable liability owed to supplier</t>
  </si>
  <si>
    <t>Credits Supplier Accounts Payable ledger account; increases total trade payables</t>
  </si>
  <si>
    <t>Core system invariant: PurchaseInvoice completion atomically creates supplier payable.</t>
  </si>
  <si>
    <t>X-0324</t>
  </si>
  <si>
    <t>Supplier invoice updates payable</t>
  </si>
  <si>
    <t>Vendor bill recording updates supplier running ledger balance and payment schedule</t>
  </si>
  <si>
    <t>Updates net balance owed to supplier; sets payment due date based on vendor credit terms</t>
  </si>
  <si>
    <t>Supported in Purchase Invoice complete flow.</t>
  </si>
  <si>
    <t>Code review 2026-10-04 (agent-reviewed, spot-checked): Partial. Purchase completion posts payable and invoice has due_date; due date is manual or 30-day default, not driven by vendor credit terms.</t>
  </si>
  <si>
    <t>backend/accounting/services.py:PostingService; backend/purchases/models.py:PurchaseInvoice</t>
  </si>
  <si>
    <t>Purchase completion posts payable and invoice has due_date; due date is manual or 30-day default, not driven by vendor credit terms.</t>
  </si>
  <si>
    <t>X-0325</t>
  </si>
  <si>
    <t>Supplier payment reduces payable</t>
  </si>
  <si>
    <t>Disbursing payment to supplier reduces total liability balance in accounts payable</t>
  </si>
  <si>
    <t>Debits Supplier AP account; credits Bank/Cash account; updates vendor outstanding</t>
  </si>
  <si>
    <t>Supported via /purchases/payments/create.</t>
  </si>
  <si>
    <t>Code review 2026-10-04 (agent-reviewed, spot-checked): Confirmed. Supplier payment credits bank/cash, debits supplier advances then AP on allocation, reducing supplier outstanding.</t>
  </si>
  <si>
    <t>Supplier payment credits bank/cash, debits supplier advances then AP on allocation, reducing supplier outstanding.</t>
  </si>
  <si>
    <t>X-0326</t>
  </si>
  <si>
    <t>Partial supplier payment maintains balance</t>
  </si>
  <si>
    <t>Partial payment to vendor maintains accurate record of remaining unpaid bill amount</t>
  </si>
  <si>
    <t>Updates purchase invoice paid_amount; keeps remaining balance active in payables aging</t>
  </si>
  <si>
    <t>Supported via purchase PaymentAllocation engine.</t>
  </si>
  <si>
    <t>X-0327</t>
  </si>
  <si>
    <t>Supplier advance is recorded</t>
  </si>
  <si>
    <t>Advance deposit paid to vendor prior to shipment tracked in supplier advance ledger</t>
  </si>
  <si>
    <t>Debits Supplier Advance Asset account; credits Bank/Cash account</t>
  </si>
  <si>
    <t>Supported via Supplier Advance payment workflow.</t>
  </si>
  <si>
    <t>Code review 2026-10-04 (agent-reviewed, spot-checked): Confirmed. Unallocated supplier payment debits Supplier Advances 1250 against bank/cash.</t>
  </si>
  <si>
    <t>Unallocated supplier payment debits Supplier Advances 1250 against bank/cash.</t>
  </si>
  <si>
    <t>X-0328</t>
  </si>
  <si>
    <t>Advance is adjusted against invoice</t>
  </si>
  <si>
    <t>Previously paid advance applied against incoming supplier bill upon delivery</t>
  </si>
  <si>
    <t>Credits Supplier Advance Asset account; debits Accounts Payable; reduces net payable</t>
  </si>
  <si>
    <t>Supported via Advance Allocation against purchase invoices.</t>
  </si>
  <si>
    <t>Code review 2026-10-04 (agent-reviewed, spot-checked): Confirmed. post_supplier_payment_allocation debits AP 2100 and credits advances 1250 when payment is allocated to a purchase invoice.</t>
  </si>
  <si>
    <t>post_supplier_payment_allocation debits AP 2100 and credits advances 1250 when payment is allocated to a purchase invoice.</t>
  </si>
  <si>
    <t>X-0329</t>
  </si>
  <si>
    <t>Purchase return reduces payable</t>
  </si>
  <si>
    <t>Returning goods to supplier and issuing Debit Note reduces accounts payable liability</t>
  </si>
  <si>
    <t>Debits Supplier Accounts Payable account; credits Purchase Returns account in GL</t>
  </si>
  <si>
    <t>Supported via PurchaseDebitNote generation upon PurchaseReturn.</t>
  </si>
  <si>
    <t>backend/purchases/models.py:PurchaseDebitNote; backend/purchases/models.py:PurchaseReturn</t>
  </si>
  <si>
    <t>X-0330</t>
  </si>
  <si>
    <t>Supplier credit note reduces payable</t>
  </si>
  <si>
    <t>Credit note received from supplier for price rebate or discount reduces amount owed</t>
  </si>
  <si>
    <t>Debits Accounts Payable; credits Purchase Discount / Expense reduction in GL</t>
  </si>
  <si>
    <t>Supported via PurchaseCreditNote recording workflow.</t>
  </si>
  <si>
    <t>X-0331</t>
  </si>
  <si>
    <t>Supplier statement is generated</t>
  </si>
  <si>
    <t>Supplier / Owner</t>
  </si>
  <si>
    <t>Comprehensive statement of account showing all purchase bills, debit notes, and payments</t>
  </si>
  <si>
    <t>Renders chronological supplier ledger statement with debit, credit, and running balance</t>
  </si>
  <si>
    <t>Supported via /purchases/suppliers/{id}/statement/ with PDF export.</t>
  </si>
  <si>
    <t>Code review 2026-10-04 (agent-reviewed, spot-checked): Confirmed. supplier_statement returns chronological entries with running balance for a supplier.</t>
  </si>
  <si>
    <t>backend/ledgers/services.py:LedgerService; backend/ledgers/views.py:SupplierLedgerDetailView</t>
  </si>
  <si>
    <t>supplier_statement returns chronological entries with running balance for a supplier.</t>
  </si>
  <si>
    <t>X-0332</t>
  </si>
  <si>
    <t>Supplier ageing is calculated</t>
  </si>
  <si>
    <t>Payables classified into aging buckets (0-30, 31-60, 61-90, 90+ days) to manage working capital</t>
  </si>
  <si>
    <t>Computes aging days based on bill due dates; displays priority payment schedule</t>
  </si>
  <si>
    <t>Supported via Payables Aging Report (/purchases/reports/payables-aging/).</t>
  </si>
  <si>
    <t>Code review 2026-10-04 (agent-reviewed, spot-checked): Confirmed. payables_aging buckets open purchase invoice outstanding by due date into current,1-30,31-60,61-90,90+.</t>
  </si>
  <si>
    <t>backend/reporting/services.py:ReportService</t>
  </si>
  <si>
    <t>payables_aging buckets open purchase invoice outstanding by due date into current,1-30,31-60,61-90,90+.</t>
  </si>
  <si>
    <t>X-0333</t>
  </si>
  <si>
    <t>Overdue supplier payment is identified</t>
  </si>
  <si>
    <t>Spot overdue supplier bills to prioritize payments and maintain critical vendor relationships</t>
  </si>
  <si>
    <t>Flags purchase bills past their due date; highlights risk of supplier supply disruption</t>
  </si>
  <si>
    <t>Supported via Overdue Payables list on accounting dashboard.</t>
  </si>
  <si>
    <t>Code review 2026-10-04 (agent-reviewed, spot-checked): Partial. Payables ageing buckets and a bills-due-in-7-days alert exist; no list flagging individual overdue purchase bills.</t>
  </si>
  <si>
    <t>backend/insights/alerts.py:_ap; backend/reporting/services.py:ReportService</t>
  </si>
  <si>
    <t>Payables ageing buckets and a bills-due-in-7-days alert exist; no list flagging individual overdue purchase bills.</t>
  </si>
  <si>
    <t>X-0334</t>
  </si>
  <si>
    <t>Owner reviews supplier liabilities</t>
  </si>
  <si>
    <t>Owner reviews total trade payables commitments to plan weekly treasury cash outflows</t>
  </si>
  <si>
    <t>Displays summary of total supplier liabilities, upcoming due dates, and major vendor balances</t>
  </si>
  <si>
    <t>Supported via Owner Executive Payables Overview card.</t>
  </si>
  <si>
    <t>Code review 2026-10-04 (agent-reviewed, spot-checked): Confirmed. Dashboard shows total payables and payables ageing; alert gives upcoming due amount.</t>
  </si>
  <si>
    <t>backend/reporting/services.py:ReportService; backend/insights/alerts.py:_ap; web/src/pages/DashboardPage.tsx</t>
  </si>
  <si>
    <t>Dashboard shows total payables and payables ageing; alert gives upcoming due amount.</t>
  </si>
  <si>
    <t>X-0335</t>
  </si>
  <si>
    <t>Accountant reconciles supplier ledger</t>
  </si>
  <si>
    <t>Supplier Accounts Desk</t>
  </si>
  <si>
    <t>Periodic ledger reconciliation with vendor statement to identify missing bills or payments</t>
  </si>
  <si>
    <t>Compares buyer AP ledger with vendor statement; highlights unrecorded bills or deductions</t>
  </si>
  <si>
    <t>Supported via Supplier Reconciliation worksheet.</t>
  </si>
  <si>
    <t>Code review 2026-10-04 (agent-reviewed, spot-checked): Contradicted. No tool compares AP ledger with a vendor statement; only bank reconciliation exists.</t>
  </si>
  <si>
    <t>none found: searched supplier reconciliation, vendor statement compare in backend/ledgers, backend/reporting, backend/payments</t>
  </si>
  <si>
    <t>No tool compares AP ledger with a vendor statement; only bank reconciliation exists.</t>
  </si>
  <si>
    <t>X-0336</t>
  </si>
  <si>
    <t>Supplier payment is linked to bank/cash transaction</t>
  </si>
  <si>
    <t>Every vendor payment voucher linked to specific bank account debit or cash withdrawal</t>
  </si>
  <si>
    <t>Maintains bidirectional link between Accounts Payable payment and Bank/Cash journal voucher</t>
  </si>
  <si>
    <t>Core system invariant: all payments create balanced double-entry GL journal vouchers.</t>
  </si>
  <si>
    <t>Code review 2026-10-04 (agent-reviewed, spot-checked): Confirmed. Supplier payment posts balanced journal with source_type SUPPLIER_PAYMENT/source_id linking payment to bank/cash GL account.</t>
  </si>
  <si>
    <t>Supplier payment posts balanced journal with source_type SUPPLIER_PAYMENT/source_id linking payment to bank/cash GL account.</t>
  </si>
  <si>
    <t>X-0337</t>
  </si>
  <si>
    <t>Cash sale → cash balance increases</t>
  </si>
  <si>
    <t>Cash received from retail sale increases physical drawer cash balance</t>
  </si>
  <si>
    <t>Debits Cash-in-Hand ledger account; credits Sales Revenue account in GL</t>
  </si>
  <si>
    <t>Core system invariant: cash sale completion immediately updates cash ledger balance.</t>
  </si>
  <si>
    <t>Code review 2026-10-04 (agent-reviewed, spot-checked): Confirmed. Cash payment at sale creates a receipt posting Dr cash and allocation moves to AR, so the cash ledger rises.</t>
  </si>
  <si>
    <t>backend/sales/views.py:create_receipt; backend/accounting/services.py:post_receipt</t>
  </si>
  <si>
    <t>Cash payment at sale creates a receipt posting Dr cash and allocation moves to AR, so the cash ledger rises.</t>
  </si>
  <si>
    <t>X-0338</t>
  </si>
  <si>
    <t>UPI sale → digital payment is recorded</t>
  </si>
  <si>
    <t>Instant UPI settlement recorded with transaction UTR reference number</t>
  </si>
  <si>
    <t>Debits Bank/UPI Clearing account; credits Sales Revenue; logs gateway reference</t>
  </si>
  <si>
    <t>Supported via dynamic UPI QR scanner on POS terminal.</t>
  </si>
  <si>
    <t>Code review 2026-10-04 (agent-reviewed, spot-checked): Confirmed. UPI receipts record UTR and post Dr bank/UPI, with gateway fee to bank charges.</t>
  </si>
  <si>
    <t>backend/payments/models.py:CustomerReceipt; backend/accounting/services.py:post_receipt</t>
  </si>
  <si>
    <t>UPI receipts record UTR and post Dr bank/UPI, with gateway fee to bank charges.</t>
  </si>
  <si>
    <t>X-0339</t>
  </si>
  <si>
    <t>Bank payment → bank ledger updates</t>
  </si>
  <si>
    <t>Bank transfer (NEFT/RTGS/IMPS/Cheque) reflected in company bank account ledger</t>
  </si>
  <si>
    <t>Debits/credits Bank Account ledger; updates running bank book balance</t>
  </si>
  <si>
    <t>Supported via /accounting/bank-accounts/ ledger entries.</t>
  </si>
  <si>
    <t>Code review 2026-10-04 (agent-reviewed, spot-checked): Confirmed. Receipts and payments post to the bank account GL ledger.</t>
  </si>
  <si>
    <t>backend/accounting/services.py:_bank_gl_account; backend/payments/models.py:BankAccount</t>
  </si>
  <si>
    <t>Receipts and payments post to the bank account GL ledger.</t>
  </si>
  <si>
    <t>X-0340</t>
  </si>
  <si>
    <t>Customer payment → receivable decreases</t>
  </si>
  <si>
    <t>Customer payment receipt reduces accounts receivable balance</t>
  </si>
  <si>
    <t>Credits Customer AR ledger; debits Bank/Cash; updates customer credit availability</t>
  </si>
  <si>
    <t>Core system invariant: payment post immediately reduces customer receivable balance.</t>
  </si>
  <si>
    <t>Code review 2026-10-04 (agent-reviewed, spot-checked): Confirmed. Allocation moves Advances to Cr AR and outstanding is reduced.</t>
  </si>
  <si>
    <t>backend/accounting/services.py:post_receipt_allocation; backend/ledgers/services.py:LedgerService</t>
  </si>
  <si>
    <t>Allocation moves Advances to Cr AR and outstanding is reduced.</t>
  </si>
  <si>
    <t>X-0341</t>
  </si>
  <si>
    <t>Supplier payment → payable decreases</t>
  </si>
  <si>
    <t>Vendor disbursement reduces accounts payable liability</t>
  </si>
  <si>
    <t>Debits Supplier AP ledger; credits Bank/Cash account; decreases outstanding liability</t>
  </si>
  <si>
    <t>Core system invariant: vendor payment immediately decreases accounts payable liability.</t>
  </si>
  <si>
    <t>Code review 2026-10-04 (agent-reviewed, spot-checked): Confirmed. Supplier payment posts and allocation debits AP, lowering the liability.</t>
  </si>
  <si>
    <t>backend/accounting/services.py:post_supplier_payment; backend/payments/services.py:create_supplier_payment</t>
  </si>
  <si>
    <t>Supplier payment posts and allocation debits AP, lowering the liability.</t>
  </si>
  <si>
    <t>X-0342</t>
  </si>
  <si>
    <t>Expense payment → expense ledger updates</t>
  </si>
  <si>
    <t>Vendor / Service Provider</t>
  </si>
  <si>
    <t>Operating expenses (rent, electricity, transport, tea) recorded with proper expense heads</t>
  </si>
  <si>
    <t>Debits specific Expense account (e.g. Rent, Freight); credits Bank/Cash account in GL</t>
  </si>
  <si>
    <t>Supported via /accounting/expenses/create with cost center allocation.</t>
  </si>
  <si>
    <t>Code review 2026-10-04 (agent-reviewed, spot-checked): Partial. Expense voucher with category and numbering exists; no journal posting to expense/bank accounts found.</t>
  </si>
  <si>
    <t>backend/accounting/models.py:Expense; backend/accounting/views.py:ExpenseViewSet</t>
  </si>
  <si>
    <t>Expense voucher with category and numbering exists; no journal posting to expense/bank accounts found.</t>
  </si>
  <si>
    <t>X-0343</t>
  </si>
  <si>
    <t>Payment reversal → original payment remains traceable</t>
  </si>
  <si>
    <t>Reversing a bounced cheque or erroneous payment maintains complete audit history</t>
  </si>
  <si>
    <t>Posts reversal journal voucher; restores original invoice unpaid status; logs reversal reason</t>
  </si>
  <si>
    <t>Core system invariant: payments cannot be hard-deleted; reversals create linked reversal vouchers.</t>
  </si>
  <si>
    <t>Restored to authored P1. The previous workbook had P0 after a keyword rebalance. Code review 2026-10-04 (agent-reviewed, spot-checked): Confirmed. Void reverses allocations and posts a reversal journal; receipt is marked VOIDED, not deleted.</t>
  </si>
  <si>
    <t>backend/payments/services.py:void_receipt; backend/payments/services.py:_reverse_money_document_journal</t>
  </si>
  <si>
    <t>Void reverses allocations and posts a reversal journal; receipt is marked VOIDED, not deleted.</t>
  </si>
  <si>
    <t>X-0344</t>
  </si>
  <si>
    <t>Failed payment → invoice remains appropriately unpaid</t>
  </si>
  <si>
    <t>System / Payment Gateway</t>
  </si>
  <si>
    <t>Failed or rejected digital transaction keeps invoice status as UNPAID</t>
  </si>
  <si>
    <t>Logs failure event; prevents false invoice settlement; alerts cashier to re-prompt tender</t>
  </si>
  <si>
    <t>Automated webhook handler; preserves UNPAID status on gateway failure.</t>
  </si>
  <si>
    <t>Code review 2026-10-04 (agent-reviewed, spot-checked): Confirmed. Non-CAPTURED events are ignored and invoice state derives from outstanding, so it stays unpaid; no cashier alert.</t>
  </si>
  <si>
    <t>backend/payments/webhook_views.py:payment_webhook; backend/payments/holding.py:invoice_payment_state</t>
  </si>
  <si>
    <t>Non-CAPTURED events are ignored and invoice state derives from outstanding, so it stays unpaid; no cashier alert.</t>
  </si>
  <si>
    <t>X-0345</t>
  </si>
  <si>
    <t>Partial payment → outstanding remains</t>
  </si>
  <si>
    <t>Partial payments settle a portion of bill while maintaining exact remaining balance</t>
  </si>
  <si>
    <t>Maintains remaining unpaid balance on invoice; updates payment status to PARTIALLY_PAID</t>
  </si>
  <si>
    <t>Supported via PaymentAllocation model tracking exact unpaid balance.</t>
  </si>
  <si>
    <t>X-0346</t>
  </si>
  <si>
    <t>Multiple payments → invoice settlement is accurate</t>
  </si>
  <si>
    <t>Invoice paid in multiple installments tracks cumulative receipts accurately until full settlement</t>
  </si>
  <si>
    <t>Sums all linked payment allocations; marks invoice PAID only when sum equals invoice total</t>
  </si>
  <si>
    <t>Core system invariant: invoice marked PAID only when total allocations match grand total.</t>
  </si>
  <si>
    <t>Code review 2026-10-04 (agent-reviewed, spot-checked): Confirmed. Paid state derives from outstanding after summing all allocations.</t>
  </si>
  <si>
    <t>backend/payments/holding.py:invoice_payment_state; backend/ledgers/services.py:sales_invoice_outstanding</t>
  </si>
  <si>
    <t>Paid state derives from outstanding after summing all allocations.</t>
  </si>
  <si>
    <t>X-0347</t>
  </si>
  <si>
    <t>Daily cash closing → expected versus actual cash is compared</t>
  </si>
  <si>
    <t>Store Cashier / Owner</t>
  </si>
  <si>
    <t>Daily till reconciliation comparing system expected cash with physical cash in drawer</t>
  </si>
  <si>
    <t>Computes expected cash = opening_cash + cash_sales - cash_expenses; compares counted cash</t>
  </si>
  <si>
    <t>Supported via /pos/shift-close screen with cash breakdown counter. | Drift check 2026-10-05: Daily cash close compares expected and counted cash (accounting/cash_shifts.py)</t>
  </si>
  <si>
    <t>Code review 2026-10-04 (agent-reviewed, spot-checked): Contradicted. No daily cash closing or expected versus counted comparison exists.</t>
  </si>
  <si>
    <t>none found: searched shift close, expected_cash, opening_cash, cash closing</t>
  </si>
  <si>
    <t>No daily cash closing or expected versus counted comparison exists.</t>
  </si>
  <si>
    <t>X-0348</t>
  </si>
  <si>
    <t>Cash discrepancy → variance is recorded</t>
  </si>
  <si>
    <t>Store Manager / Owner</t>
  </si>
  <si>
    <t>Cash shortage or overage recorded as variance voucher for managerial investigation</t>
  </si>
  <si>
    <t>Posts variance to Cash Shortage/Overage expense account; flags shift for manager sign-off</t>
  </si>
  <si>
    <t>Supported via Shift Close variance logging with mandatory explanation note.</t>
  </si>
  <si>
    <t>Code review 2026-10-04 (agent-reviewed, spot-checked): Contradicted. No cash variance recording or shortage/overage posting exists.</t>
  </si>
  <si>
    <t>none found: searched cash variance, cash shortage, overage account</t>
  </si>
  <si>
    <t>No cash variance recording or shortage/overage posting exists.</t>
  </si>
  <si>
    <t>X-0349</t>
  </si>
  <si>
    <t>Bank reconciliation → unmatched transactions are identified</t>
  </si>
  <si>
    <t>Bank / Auditor</t>
  </si>
  <si>
    <t>Bank reconciliation statement (BRS) matching system bank ledger against bank statement feed</t>
  </si>
  <si>
    <t>Matches debit and credit entries; highlights cheques issued but not presented, or direct debits</t>
  </si>
  <si>
    <t>Supported via /accounting/bank-reconciliation/ with automated date-amount matching.</t>
  </si>
  <si>
    <t>Code review 2026-10-04 (agent-reviewed, spot-checked): Confirmed. Bank statement lines import and are scored against receipts by amount, date and reference.</t>
  </si>
  <si>
    <t>backend/payments/recon.py:suggest_matches; backend/accounting/models.py:BankReconSession</t>
  </si>
  <si>
    <t>Bank statement lines import and are scored against receipts by amount, date and reference.</t>
  </si>
  <si>
    <t>X-0350</t>
  </si>
  <si>
    <t>Payment reconciliation → business ledger matches payment records</t>
  </si>
  <si>
    <t>Verify that payment gateway settlement reports match bank deposits to the rupee</t>
  </si>
  <si>
    <t>Reconciles gross gateway collections minus processing fees against net bank account credits</t>
  </si>
  <si>
    <t>Supported via Gateway Settlement Reconciliation tool.</t>
  </si>
  <si>
    <t>Code review 2026-10-04 (agent-reviewed, spot-checked): Partial. Match scoring nets gateway fee against bank credits; no dedicated gateway settlement report reconciliation.</t>
  </si>
  <si>
    <t>backend/payments/recon.py:_receipt_fee; backend/payments/models.py:GatewayPayment</t>
  </si>
  <si>
    <t>Match scoring nets gateway fee against bank credits; no dedicated gateway settlement report reconciliation.</t>
  </si>
  <si>
    <t>X-0351</t>
  </si>
  <si>
    <t>Owner reviews cash position</t>
  </si>
  <si>
    <t>Owner checks liquid cash and bank balances across all company accounts on demand</t>
  </si>
  <si>
    <t>Displays real-time balances of Cash-in-Hand, Current Accounts, and Digital Wallets</t>
  </si>
  <si>
    <t>Supported via Cash &amp; Bank Summary card on Owner Home Screen.</t>
  </si>
  <si>
    <t>Code review 2026-10-04 (agent-reviewed, spot-checked): Confirmed. Dashboard payload includes a cash_position computed from cash and bank accounts.</t>
  </si>
  <si>
    <t>backend/reporting/services.py:cash_position; backend/reporting/services.py:cash_book</t>
  </si>
  <si>
    <t>Dashboard payload includes a cash_position computed from cash and bank accounts.</t>
  </si>
  <si>
    <t>X-0352</t>
  </si>
  <si>
    <t>Owner drills cash balance into transactions</t>
  </si>
  <si>
    <t>Owner clicks cash balance to view all inflows and outflows for the day or week</t>
  </si>
  <si>
    <t>Opens Cash Book ledger showing chronological receipts, payments, and running cash balance</t>
  </si>
  <si>
    <t>Supported via Cash Book ledger drill-down (/accounting/cash-book/).</t>
  </si>
  <si>
    <t>Code review 2026-10-04 (agent-reviewed, spot-checked): Confirmed. Cash book report with chronological receipts, payments and running balance exists.</t>
  </si>
  <si>
    <t>backend/reporting/views.py:CashBookView; backend/reporting/services.py:cash_book</t>
  </si>
  <si>
    <t>Cash book report with chronological receipts, payments and running balance exists.</t>
  </si>
  <si>
    <t>X-0353</t>
  </si>
  <si>
    <t>Create new customer</t>
  </si>
  <si>
    <t>Sales Staff / Billing Clerk</t>
  </si>
  <si>
    <t>Register new retail or wholesale customer with name, mobile, GSTIN, and address</t>
  </si>
  <si>
    <t>Creates Customer master record; validates GSTIN checksum and assigns default price list</t>
  </si>
  <si>
    <t>Supported via /sales/customers/create and POS quick-customer modal.</t>
  </si>
  <si>
    <t>Code review 2026-10-04 (agent-reviewed, spot-checked): Confirmed. Customer master has name, phone, GSTIN with checksum validator, address, credit limit and optional price list; default price list not auto-assigned.</t>
  </si>
  <si>
    <t>backend/masters/models.py:Customer; backend/core/validators.py:validate_gstin</t>
  </si>
  <si>
    <t>Customer master has name, phone, GSTIN with checksum validator, address, credit limit and optional price list; default price list not auto-assigned.</t>
  </si>
  <si>
    <t>X-0354</t>
  </si>
  <si>
    <t>Update customer profile</t>
  </si>
  <si>
    <t>Sales Staff / Admin</t>
  </si>
  <si>
    <t>Update customer contact info, billing/shipping address, or credit limit</t>
  </si>
  <si>
    <t>Updates Customer master record; preserves historical invoice association</t>
  </si>
  <si>
    <t>Supported via /sales/customers/{id}/edit.</t>
  </si>
  <si>
    <t>Restored to authored P1. The previous workbook had P0 after a keyword rebalance. Code review 2026-10-04 (agent-reviewed, spot-checked): Confirmed. Customer record is editable including contact, billing address and credit_limit; invoices reference it by foreign key so history is preserved.</t>
  </si>
  <si>
    <t>backend/masters/models.py:Customer; backend/masters/serializers.py:phone</t>
  </si>
  <si>
    <t>Customer record is editable including contact, billing address and credit_limit; invoices reference it by foreign key so history is preserved.</t>
  </si>
  <si>
    <t>X-0355</t>
  </si>
  <si>
    <t>Duplicate customer detection</t>
  </si>
  <si>
    <t>System / Master Guard</t>
  </si>
  <si>
    <t>Sales Staff</t>
  </si>
  <si>
    <t>Prevent duplicate customer entries with identical phone number or GSTIN</t>
  </si>
  <si>
    <t>Scans existing records on mobile number or GSTIN; warns user before saving duplicate</t>
  </si>
  <si>
    <t>Built-in phone and GSTIN duplicate detection check during customer creation.</t>
  </si>
  <si>
    <t>Code review 2026-10-04 (agent-reviewed, spot-checked): Partial. GSTIN duplicates are blocked by a unique constraint (not a warning); no phone duplicate check on Customer creation.</t>
  </si>
  <si>
    <t>backend/masters/models.py:uniq_customer_gstin_per_company; backend/crm/models.py:dedupe_matched_customer</t>
  </si>
  <si>
    <t>GSTIN duplicates are blocked by a unique constraint (not a warning); no phone duplicate check on Customer creation.</t>
  </si>
  <si>
    <t>X-0356</t>
  </si>
  <si>
    <t>Customer inquiry → lead created</t>
  </si>
  <si>
    <t>Sales Representative</t>
  </si>
  <si>
    <t>Prospective Client</t>
  </si>
  <si>
    <t>Capture prospective customer inquiry from phone call, walk-in, or web inquiry</t>
  </si>
  <si>
    <t>Creates Lead record in CRM pipeline; records required items, estimated budget, and source</t>
  </si>
  <si>
    <t>Supported via /crm/leads/create with pipeline stage tracking.</t>
  </si>
  <si>
    <t>Code review 2026-10-04 (agent-reviewed, spot-checked): Confirmed. Lead model captures contact, source, status and message with pipeline Opportunity stages; no explicit budget field.</t>
  </si>
  <si>
    <t>backend/crm/models.py:Lead; backend/crm/views.py:LeadActivitySerializer</t>
  </si>
  <si>
    <t>Lead model captures contact, source, status and message with pipeline Opportunity stages; no explicit budget field.</t>
  </si>
  <si>
    <t>X-0357</t>
  </si>
  <si>
    <t>Lead → follow-up task created</t>
  </si>
  <si>
    <t>Schedule follow-up reminder or call task to advance prospective deal</t>
  </si>
  <si>
    <t>Creates follow-up task with due date; pushes reminder to salesperson's daily task feed</t>
  </si>
  <si>
    <t>Supported via CRM Task / Follow-up scheduler.</t>
  </si>
  <si>
    <t>Code review 2026-10-04 (agent-reviewed, spot-checked): Confirmed. LeadActivity has due_at and a periodic task sends one in-app reminder per due activity, recorded in reminded_at.</t>
  </si>
  <si>
    <t>LeadActivity has due_at and a periodic task sends one in-app reminder per due activity, recorded in reminded_at.</t>
  </si>
  <si>
    <t>X-0358</t>
  </si>
  <si>
    <t>Lead → quotation created</t>
  </si>
  <si>
    <t>Convert qualified lead into formal price quotation with product options</t>
  </si>
  <si>
    <t>Creates Quotation linked to Lead; copies customer details and proposed line items</t>
  </si>
  <si>
    <t>Supported via Lead 'Generate Quotation' action.</t>
  </si>
  <si>
    <t>Code review 2026-10-04 (agent-reviewed, spot-checked): Partial. Quotation is created from a WON Opportunity (with its lines), not directly from a Lead.</t>
  </si>
  <si>
    <t>backend/crm/views.py:quotation; backend/crm/models.py:Opportunity</t>
  </si>
  <si>
    <t>Quotation is created from a WON Opportunity (with its lines), not directly from a Lead.</t>
  </si>
  <si>
    <t>X-0359</t>
  </si>
  <si>
    <t>Quotation → sales order</t>
  </si>
  <si>
    <t>Convert accepted quotation into binding sales order upon client approval</t>
  </si>
  <si>
    <t>Clones Quotation items into SalesOrder, marks quotation CONVERTED, commits stock</t>
  </si>
  <si>
    <t>Code review 2026-10-04 (agent-reviewed, spot-checked): Partial. Lines are cloned and quotation marked CONVERTED, but stock is reserved only when the draft order is later confirmed.</t>
  </si>
  <si>
    <t>backend/sales/services.py:convert_quotation_to_order; backend/sales/notes_services.py:confirm_sales_order</t>
  </si>
  <si>
    <t>Lines are cloned and quotation marked CONVERTED, but stock is reserved only when the draft order is later confirmed.</t>
  </si>
  <si>
    <t>X-0360</t>
  </si>
  <si>
    <t>Sales order → invoice</t>
  </si>
  <si>
    <t>Convert delivered sales order into legal tax invoice for billing and collection</t>
  </si>
  <si>
    <t>Creates SalesInvoice copying SalesOrder lines; updates inventory and customer ledger</t>
  </si>
  <si>
    <t>Supported via SalesOrder 'Create Invoice' action.</t>
  </si>
  <si>
    <t>backend/sales/models.py:SalesInvoice; backend/sales/models.py:SalesOrder</t>
  </si>
  <si>
    <t>X-0361</t>
  </si>
  <si>
    <t>Customer purchase → customer history updated</t>
  </si>
  <si>
    <t>System / CRM Engine</t>
  </si>
  <si>
    <t>Completed purchase appended to customer's permanent lifetime purchase history</t>
  </si>
  <si>
    <t>Updates customer lifetime spend, total order count, last purchase date, and favorite SKUs</t>
  </si>
  <si>
    <t>Automated customer metric rollup upon invoice completion.</t>
  </si>
  <si>
    <t>Code review 2026-10-04 (agent-reviewed, spot-checked): Partial. Spend, order counts and products are computed on demand from invoices and orders; no stored rollup or last-purchase field updated on completion.</t>
  </si>
  <si>
    <t>backend/insights/customer_360.py:customer_360; backend/insights/customer_actions.py:build_customer_action_rows</t>
  </si>
  <si>
    <t>Spend, order counts and products are computed on demand from invoices and orders; no stored rollup or last-purchase field updated on completion.</t>
  </si>
  <si>
    <t>X-0362</t>
  </si>
  <si>
    <t>Customer purchase history → salesperson sees context</t>
  </si>
  <si>
    <t>Salesperson views customer past orders and preferred brands during sales conversation</t>
  </si>
  <si>
    <t>Displays Customer 360 card showing purchase frequency, outstanding balance, and preferences</t>
  </si>
  <si>
    <t>Supported via Customer 360 side-drawer in sales booking interface.</t>
  </si>
  <si>
    <t>Code review 2026-10-04 (agent-reviewed, spot-checked): Confirmed. Customer 360 returns invoice count, recent products, outstanding, ageing and complaints for the salesperson; not a booking side-drawer.</t>
  </si>
  <si>
    <t>Customer 360 returns invoice count, recent products, outstanding, ageing and complaints for the salesperson; not a booking side-drawer.</t>
  </si>
  <si>
    <t>X-0363</t>
  </si>
  <si>
    <t>Customer complaint → support case created</t>
  </si>
  <si>
    <t>Customer Support Desk</t>
  </si>
  <si>
    <t>Log customer complaint regarding defective product, late delivery, or billing error</t>
  </si>
  <si>
    <t>Creates SupportTicket / Complaint record; tags severity, category, and related invoice</t>
  </si>
  <si>
    <t>Supported via /complaints/create with SLA priority tracking.</t>
  </si>
  <si>
    <t>Code review 2026-10-04 (agent-reviewed, spot-checked): Confirmed. Complaint records category, description and source invoice with OPEN status; no severity or SLA fields.</t>
  </si>
  <si>
    <t>Customer Support</t>
  </si>
  <si>
    <t>backend/complaints/models.py:Complaint; backend/complaints/services.py:create_complaint</t>
  </si>
  <si>
    <t>Complaint records category, description and source invoice with OPEN status; no severity or SLA fields.</t>
  </si>
  <si>
    <t>X-0364</t>
  </si>
  <si>
    <t>Support case → responsible employee assigned</t>
  </si>
  <si>
    <t>Customer Support Lead</t>
  </si>
  <si>
    <t>Assigned Staff Member</t>
  </si>
  <si>
    <t>Assign complaint to specific warehouse, sales, or accounting staff member for resolution</t>
  </si>
  <si>
    <t>Assigns ticket owner; triggers notification to assigned employee with SLA deadline</t>
  </si>
  <si>
    <t>Supported via ticket assignment and workflow routing in complaints app.</t>
  </si>
  <si>
    <t>Code review 2026-10-04 (agent-reviewed, spot-checked): Partial. Complaint has assigned_to staff field; no assignment notification or SLA deadline.</t>
  </si>
  <si>
    <t>backend/complaints/models.py:Complaint; backend/complaints/views.py:assigned_to</t>
  </si>
  <si>
    <t>Complaint has assigned_to staff field; no assignment notification or SLA deadline.</t>
  </si>
  <si>
    <t>X-0365</t>
  </si>
  <si>
    <t>Complaint resolved → customer history updated</t>
  </si>
  <si>
    <t>Customer Support Staff</t>
  </si>
  <si>
    <t>Document complaint resolution, customer satisfaction, and corrective action taken</t>
  </si>
  <si>
    <t>Closes SupportTicket; records resolution notes; updates customer satisfaction history</t>
  </si>
  <si>
    <t>Supported via Ticket Resolution workflow with customer closure notification.</t>
  </si>
  <si>
    <t>Code review 2026-10-04 (agent-reviewed, spot-checked): Partial. Resolution sets RESOLVED, resolved_at and inspection notes; no customer satisfaction capture or customer closure notification.</t>
  </si>
  <si>
    <t>backend/complaints/services.py:transition_status; backend/complaints/models.py:resolved_at</t>
  </si>
  <si>
    <t>Resolution sets RESOLVED, resolved_at and inspection notes; no customer satisfaction capture or customer closure notification.</t>
  </si>
  <si>
    <t>X-0366</t>
  </si>
  <si>
    <t>Customer referral → referral recorded</t>
  </si>
  <si>
    <t>Existing Customer</t>
  </si>
  <si>
    <t>Track customer who referred a new client to credit referral commissions or loyalty points</t>
  </si>
  <si>
    <t>Links new customer to referring customer master; records referral commission liability</t>
  </si>
  <si>
    <t>Supported via CRM Customer Referral tracking.</t>
  </si>
  <si>
    <t>Code review 2026-10-04 (agent-reviewed, spot-checked): Confirmed. Referral codes link referrer to new lead or customer and ReferralReward records reward amount payable, with paid marking.</t>
  </si>
  <si>
    <t>backend/crm/referrals.py:evaluate_referral_reward; backend/crm/models.py:ReferralReward</t>
  </si>
  <si>
    <t>Referral codes link referrer to new lead or customer and ReferralReward records reward amount payable, with paid marking.</t>
  </si>
  <si>
    <t>X-0367</t>
  </si>
  <si>
    <t>Customer becomes inactive → follow-up opportunity identified</t>
  </si>
  <si>
    <t>Marketing / Sales Manager</t>
  </si>
  <si>
    <t>Identify previously regular customers who have not placed an order in 30/60/90 days</t>
  </si>
  <si>
    <t>Flags churn risk customers; automatically generates re-engagement call task for sales rep</t>
  </si>
  <si>
    <t>Supported via Customer Inactivity &amp; Churn Alert report.</t>
  </si>
  <si>
    <t>Code review 2026-10-04 (agent-reviewed, spot-checked): Confirmed. Flags CHURN_RISK Attention rows when a customer's gap since last order exceeds cadence; shown as alerts, no auto-created call task.</t>
  </si>
  <si>
    <t>backend/insights/customer_actions.py:build_customer_action_rows</t>
  </si>
  <si>
    <t>Flags CHURN_RISK Attention rows when a customer's gap since last order exceeds cadence; shown as alerts, no auto-created call task.</t>
  </si>
  <si>
    <t>X-0368</t>
  </si>
  <si>
    <t>Customer warranty/AMC → service obligation recorded</t>
  </si>
  <si>
    <t>Service Manager</t>
  </si>
  <si>
    <t>Track warranty period, Annual Maintenance Contract (AMC), or service obligations</t>
  </si>
  <si>
    <t>Creates WarrantyContract record linked to sold serial number; schedules preventive service</t>
  </si>
  <si>
    <t>Supported via Contracts / Warranty module (/contracts/).</t>
  </si>
  <si>
    <t>Code review 2026-10-04 (agent-reviewed, spot-checked): Partial. Contract model covers WARRANTY and AMC types with dates and renewal reminders; no serial-number link or preventive service scheduling.</t>
  </si>
  <si>
    <t>Production / Workshop / Projects</t>
  </si>
  <si>
    <t>backend/contracts/models.py:Contract; backend/contracts/models.py:ContractProduct</t>
  </si>
  <si>
    <t>Contract model covers WARRANTY and AMC types with dates and renewal reminders; no serial-number link or preventive service scheduling.</t>
  </si>
  <si>
    <t>X-0369</t>
  </si>
  <si>
    <t>Customer requests return</t>
  </si>
  <si>
    <t>Customer Support / Sales Clerk</t>
  </si>
  <si>
    <t>Receive customer request to return items, logging reason (defective, wrong item, excess)</t>
  </si>
  <si>
    <t>Creates SalesReturn in DRAFT status referencing original sales invoice</t>
  </si>
  <si>
    <t>Supported via /sales/returns/create with invoice lookup.</t>
  </si>
  <si>
    <t>Code review 2026-10-04 (agent-reviewed, spot-checked): Confirmed. SalesReturn is created DRAFT linked to the original invoice with a reason field.</t>
  </si>
  <si>
    <t>SalesReturn is created DRAFT linked to the original invoice with a reason field.</t>
  </si>
  <si>
    <t>X-0370</t>
  </si>
  <si>
    <t>Salesperson creates return request</t>
  </si>
  <si>
    <t>Customer / Store Manager</t>
  </si>
  <si>
    <t>Salesperson initiates return request on mobile app during customer site visit</t>
  </si>
  <si>
    <t>Submits return request with item photo and reason code for manager approval</t>
  </si>
  <si>
    <t>Supported via Mobile Return Request form.</t>
  </si>
  <si>
    <t>Code review 2026-10-04 (agent-reviewed, spot-checked): Contradicted. No mobile return request form with photo and reason code exists.</t>
  </si>
  <si>
    <t>none found: searched mobile return request; mobile/ holds only Capacitor wrapper, no src</t>
  </si>
  <si>
    <t>No mobile return request form with photo and reason code exists.</t>
  </si>
  <si>
    <t>X-0371</t>
  </si>
  <si>
    <t>Manager approves return</t>
  </si>
  <si>
    <t>Store Manager / Operations Head</t>
  </si>
  <si>
    <t>Manager verifies return justification and authorizes warehouse intake and credit issuance</t>
  </si>
  <si>
    <t>Updates SalesReturn status to APPROVED; authorizes warehouse inspection and credit note</t>
  </si>
  <si>
    <t>Supported via Manager Return Approval queue.</t>
  </si>
  <si>
    <t>Code review 2026-10-04 (agent-reviewed, spot-checked): Partial. Manager approval exists only as Complaint APPROVED status; SalesReturn has DRAFT/COMPLETED/CANCELLED with no APPROVED state.</t>
  </si>
  <si>
    <t>backend/complaints/models.py:Complaint; backend/complaints/services.py:transition_status</t>
  </si>
  <si>
    <t>Manager approval exists only as Complaint APPROVED status; SalesReturn has DRAFT/COMPLETED/CANCELLED with no APPROVED state.</t>
  </si>
  <si>
    <t>X-0372</t>
  </si>
  <si>
    <t>Warehouse receives returned goods</t>
  </si>
  <si>
    <t>Customer / Delivery Driver</t>
  </si>
  <si>
    <t>Physical intake of returned items at warehouse receiving dock</t>
  </si>
  <si>
    <t>Records physical package arrival; initiates quality inspection process</t>
  </si>
  <si>
    <t>Supported via Return Intake step in warehouse receiving.</t>
  </si>
  <si>
    <t>Code review 2026-10-04 (agent-reviewed, spot-checked): Contradicted. No physical return intake step; stock is restored directly when the return is completed.</t>
  </si>
  <si>
    <t>none found: searched return intake, receiving in backend/sales/return_service.py</t>
  </si>
  <si>
    <t>No physical return intake step; stock is restored directly when the return is completed.</t>
  </si>
  <si>
    <t>X-0373</t>
  </si>
  <si>
    <t>Returned goods inspected</t>
  </si>
  <si>
    <t>Quality Inspector / Custodian</t>
  </si>
  <si>
    <t>Inspect returned goods to determine if items are resaleable, repairable, or total scrap</t>
  </si>
  <si>
    <t>Tags item condition (RESELLABLE, DAMAGED, EXPIRED); determines restocking path</t>
  </si>
  <si>
    <t>Supported via Return Inspection modal with condition grading.</t>
  </si>
  <si>
    <t>Code review 2026-10-04 (agent-reviewed, spot-checked): Partial. SalesReturnItem has condition SELLABLE or DAMAGED set on the return; no separate inspection step and no EXPIRED grade.</t>
  </si>
  <si>
    <t>backend/sales/models.py:SalesReturnItem</t>
  </si>
  <si>
    <t>SalesReturnItem has condition SELLABLE or DAMAGED set on the return; no separate inspection step and no EXPIRED grade.</t>
  </si>
  <si>
    <t>X-0374</t>
  </si>
  <si>
    <t>Good stock → inventory restored</t>
  </si>
  <si>
    <t>Undamaged returned goods restored to active warehouse inventory for resale</t>
  </si>
  <si>
    <t>Creates StockMovement (RETURN_INWARD); increments warehouse StockBalance</t>
  </si>
  <si>
    <t>Core system invariant: approved return restores inventory balance atomically.</t>
  </si>
  <si>
    <t>Restored to authored P1. The previous workbook had P0 after a keyword rebalance. Code review 2026-10-04 (agent-reviewed, spot-checked): Confirmed. Completing a return posts SALES_RETURN stock movements that increase StockBalance for sellable items.</t>
  </si>
  <si>
    <t>backend/sales/cogs_service.py:restore_return_stock_and_cogs; backend/inventory/models.py:StockMovement</t>
  </si>
  <si>
    <t>Completing a return posts SALES_RETURN stock movements that increase StockBalance for sellable items.</t>
  </si>
  <si>
    <t>X-0375</t>
  </si>
  <si>
    <t>Damaged return → damaged inventory recorded</t>
  </si>
  <si>
    <t>Supplier / Scrap Dealer</t>
  </si>
  <si>
    <t>Damaged or broken returns routed to scrap/damaged quarantine location</t>
  </si>
  <si>
    <t>Transfers item to DAMAGED warehouse bin; prevents accidental customer resale</t>
  </si>
  <si>
    <t>Supported via damaged inventory segregation on return receipt.</t>
  </si>
  <si>
    <t>Code review 2026-10-04 (agent-reviewed, spot-checked): Partial. Damaged units are written off via an ADJUSTMENT movement reason DAMAGED; no transfer to a damaged warehouse bin.</t>
  </si>
  <si>
    <t>backend/sales/cogs_service.py:restore_return_stock_and_cogs</t>
  </si>
  <si>
    <t>Damaged units are written off via an ADJUSTMENT movement reason DAMAGED; no transfer to a damaged warehouse bin.</t>
  </si>
  <si>
    <t>X-0376</t>
  </si>
  <si>
    <t>Return → customer credit created</t>
  </si>
  <si>
    <t>Issue official GST-compliant Credit Note crediting customer's account for return value</t>
  </si>
  <si>
    <t>Generates SalesCreditNote; reduces customer Accounts Receivable balance</t>
  </si>
  <si>
    <t>Supported via SalesReturn completion; auto-generates SalesCreditNote.</t>
  </si>
  <si>
    <t>X-0377</t>
  </si>
  <si>
    <t>Return → refund initiated</t>
  </si>
  <si>
    <t>Disburse monetary refund via Cash, UPI, or Bank Transfer for returned goods</t>
  </si>
  <si>
    <t>Creates refund payment entry; credits Cash/Bank account in general ledger</t>
  </si>
  <si>
    <t>Supported via Cash/Bank Refund voucher linked to SalesCreditNote.</t>
  </si>
  <si>
    <t>X-0378</t>
  </si>
  <si>
    <t>Return → GST impact updated</t>
  </si>
  <si>
    <t>Output GST tax liability reduced legally following Credit Note issuance</t>
  </si>
  <si>
    <t>Adjusts output tax liability ledgers; records credit note in GSTR-1 Table 9B</t>
  </si>
  <si>
    <t>Core tax invariant: Credit Note issuance automatically adjusts statutory tax reporting.</t>
  </si>
  <si>
    <t>Code review 2026-10-04 (agent-reviewed, spot-checked): Confirmed. Return completion creates a credit note feeding GSTR-1 CDNR and reversing tax in GL.</t>
  </si>
  <si>
    <t>Return completion creates a credit note feeding GSTR-1 CDNR and reversing tax in GL.</t>
  </si>
  <si>
    <t>X-0379</t>
  </si>
  <si>
    <t>Customer complaint → support ticket</t>
  </si>
  <si>
    <t>Formal support ticket opened for customer issue regarding product quality or billing</t>
  </si>
  <si>
    <t>Creates SupportTicket with unique ticket ID; logs customer narrative and priority</t>
  </si>
  <si>
    <t>Supported via /complaints/tickets/create.</t>
  </si>
  <si>
    <t>Code review 2026-10-04 (agent-reviewed, spot-checked): Confirmed. Complaint and support Ticket creation exist with unique numbers, narrative and priority (models named Ticket/Complaint, not SupportTicket).</t>
  </si>
  <si>
    <t>backend/complaints/services.py:create_complaint; backend/support/tickets.py:create_ticket</t>
  </si>
  <si>
    <t>Complaint and support Ticket creation exist with unique numbers, narrative and priority (models named Ticket/Complaint, not SupportTicket).</t>
  </si>
  <si>
    <t>X-0380</t>
  </si>
  <si>
    <t>Support ticket → owner/manager escalation</t>
  </si>
  <si>
    <t>Support Lead</t>
  </si>
  <si>
    <t>Business Owner / General Manager</t>
  </si>
  <si>
    <t>High-severity or unresolved complaint escalated to business owner for swift intervention</t>
  </si>
  <si>
    <t>Escalates ticket priority to CRITICAL; sends notification alert to owner dashboard</t>
  </si>
  <si>
    <t>Supported via Ticket Escalation workflow.</t>
  </si>
  <si>
    <t>Code review 2026-10-04 (agent-reviewed, spot-checked): Partial. Tickets have priority and SLA breach counting, but no escalate action setting CRITICAL or notifying the owner.</t>
  </si>
  <si>
    <t>backend/support/tickets.py:tickets_past_sla_q; backend/support/models.py:Ticket</t>
  </si>
  <si>
    <t>Tickets have priority and SLA breach counting, but no escalate action setting CRITICAL or notifying the owner.</t>
  </si>
  <si>
    <t>X-0381</t>
  </si>
  <si>
    <t>Complaint resolution → customer notified</t>
  </si>
  <si>
    <t>Notify customer of resolution via WhatsApp or email with credit note or replacement details</t>
  </si>
  <si>
    <t>Sends automated resolution message to customer; marks ticket as RESOLVED</t>
  </si>
  <si>
    <t>Supported via WhatsApp notification integration on ticket closure.</t>
  </si>
  <si>
    <t>X-0382</t>
  </si>
  <si>
    <t>Warranty claim → product/serial verified</t>
  </si>
  <si>
    <t>Service Technician</t>
  </si>
  <si>
    <t>Verify product serial number against sales invoice to confirm warranty coverage status</t>
  </si>
  <si>
    <t>Validates serial number sale date and warranty expiry; checks coverage terms</t>
  </si>
  <si>
    <t>Supported via Serial Warranty Lookup tool.</t>
  </si>
  <si>
    <t>Code review 2026-10-04 (agent-reviewed, spot-checked): Contradicted. No serial-to-invoice warranty expiry lookup exists.</t>
  </si>
  <si>
    <t>none found: searched warranty, serial warranty lookup; warranty only a contract type in backend/contracts/models.py</t>
  </si>
  <si>
    <t>No serial-to-invoice warranty expiry lookup exists.</t>
  </si>
  <si>
    <t>X-0383</t>
  </si>
  <si>
    <t>Warranty claim → service action recorded</t>
  </si>
  <si>
    <t>Record repair action, replaced spare parts, and technician labor charges</t>
  </si>
  <si>
    <t>Creates JobCard / ServiceRecord; decrements replaced spare parts from inventory</t>
  </si>
  <si>
    <t>Supported via Workshop / JobCard module (/workshop/).</t>
  </si>
  <si>
    <t>Code review 2026-10-04 (agent-reviewed, spot-checked): Confirmed. JobCard with PART and LABOUR lines; spare parts reduce stock when the job converts to a sales invoice.</t>
  </si>
  <si>
    <t>backend/workshop/models.py:JobCard</t>
  </si>
  <si>
    <t>backend/tests/test_concurrency_races.py; backend/tests/test_fmea2_wave.py; backend/tests/test_fmea_mitigations.py</t>
  </si>
  <si>
    <t>backend/workshop/models.py:JobCard; backend/workshop/services.py:convert_to_invoice</t>
  </si>
  <si>
    <t>JobCard with PART and LABOUR lines; spare parts reduce stock when the job converts to a sales invoice.</t>
  </si>
  <si>
    <t>X-0384</t>
  </si>
  <si>
    <t>AMC renewal → customer follow-up generated</t>
  </si>
  <si>
    <t>Service Sales Coordinator</t>
  </si>
  <si>
    <t>Generate automated renewal reminder 30 days prior to contract expiration</t>
  </si>
  <si>
    <t>Generates AMC renewal quotation; creates sales follow-up task in CRM</t>
  </si>
  <si>
    <t>Supported via Contract Expiry Diary in contracts app.</t>
  </si>
  <si>
    <t>Code review 2026-10-04 (agent-reviewed, spot-checked): Partial. Task only updates contract status to expiring based on renewal_reminder_days; no renewal quotation or CRM follow-up is created.</t>
  </si>
  <si>
    <t>backend/contracts/tasks.py:refresh_contract_statuses</t>
  </si>
  <si>
    <t>Task only updates contract status to expiring based on renewal_reminder_days; no renewal quotation or CRM follow-up is created.</t>
  </si>
  <si>
    <t>X-0385</t>
  </si>
  <si>
    <t>Transaction → sales dashboard updates</t>
  </si>
  <si>
    <t>Reporting Engine</t>
  </si>
  <si>
    <t>Business Owner / Sales Manager</t>
  </si>
  <si>
    <t>Real-time sales dashboard updates instantly upon invoice completion</t>
  </si>
  <si>
    <t>Recalculates today's gross sales, bill count, average order value, and hourly velocity</t>
  </si>
  <si>
    <t>Core system invariant: dashboard metrics update synchronously on invoice completion.</t>
  </si>
  <si>
    <t>Code review 2026-10-04 (agent-reviewed, spot-checked): Confirmed. Dashboard computes sales today/month and counts live from invoices; no hourly velocity or AOV.</t>
  </si>
  <si>
    <t>Dashboard computes sales today/month and counts live from invoices; no hourly velocity or AOV.</t>
  </si>
  <si>
    <t>X-0386</t>
  </si>
  <si>
    <t>Transaction → purchase dashboard updates</t>
  </si>
  <si>
    <t>Procurement analytics update immediately upon purchase bill posting</t>
  </si>
  <si>
    <t>Updates month-to-date procurement spend, top supplier spend, and pending receipts</t>
  </si>
  <si>
    <t>Supported via Purchase Analytics dashboard.</t>
  </si>
  <si>
    <t>Code review 2026-10-04 (agent-reviewed, spot-checked): Partial. Dashboard computes live month purchases net of notes and payables aging; no top-supplier spend or pending-receipts figure.</t>
  </si>
  <si>
    <t>backend/reporting/services.py:ReportService; backend/reporting/views.py:DashboardView</t>
  </si>
  <si>
    <t>Dashboard computes live month purchases net of notes and payables aging; no top-supplier spend or pending-receipts figure.</t>
  </si>
  <si>
    <t>X-0387</t>
  </si>
  <si>
    <t>Transaction → inventory dashboard updates</t>
  </si>
  <si>
    <t>Inventory analytics reflect real-time stock balances, valuation, and low-stock alerts</t>
  </si>
  <si>
    <t>Recalculates total inventory asset value, out-of-stock SKU count, and reorder warnings</t>
  </si>
  <si>
    <t>Supported via /inventory/ dashboard metric cards.</t>
  </si>
  <si>
    <t>Code review 2026-10-04 (agent-reviewed, spot-checked): Confirmed. inventory_summary returns on-hand, reserved, reorder level and total stock value; dashboard carries low_stock_count from live data.</t>
  </si>
  <si>
    <t>backend/reporting/services.py:ReportService; backend/inventory/views.py:low_stock_alert_payload</t>
  </si>
  <si>
    <t>inventory_summary returns on-hand, reserved, reorder level and total stock value; dashboard carries low_stock_count from live data.</t>
  </si>
  <si>
    <t>X-0388</t>
  </si>
  <si>
    <t>Transaction → GST dashboard updates</t>
  </si>
  <si>
    <t>Tax dashboard reflects cumulative output liability, input credits, and estimated net payout</t>
  </si>
  <si>
    <t>Updates real-time tax summary cards for CGST, SGST, IGST, and cess</t>
  </si>
  <si>
    <t>Supported via GST Health Dashboard in reporting module.</t>
  </si>
  <si>
    <t>Code review 2026-10-04 (agent-reviewed, spot-checked): Partial. GSTR-3B report gives output tax and ITC per period, but no live dashboard cards; GST health only raises compliance alerts.</t>
  </si>
  <si>
    <t>backend/reporting/views.py:Gstr3bView; backend/reporting/gst_health.py:build_gst_health</t>
  </si>
  <si>
    <t>GSTR-3B report gives output tax and ITC per period, but no live dashboard cards; GST health only raises compliance alerts.</t>
  </si>
  <si>
    <t>X-0389</t>
  </si>
  <si>
    <t>Transaction → receivables dashboard updates</t>
  </si>
  <si>
    <t>Accounts receivable dashboard updates total outstanding, overdue aging, and collections</t>
  </si>
  <si>
    <t>Updates AR total, 30+ days overdue percentage, and top debtor ranking</t>
  </si>
  <si>
    <t>Supported via Receivables Overview dashboard.</t>
  </si>
  <si>
    <t>Code review 2026-10-04 (agent-reviewed, spot-checked): Confirmed. Dashboard returns receivables total and aging buckets computed live from invoices; top-debtor ranking is not in the dashboard payload.</t>
  </si>
  <si>
    <t>Dashboard returns receivables total and aging buckets computed live from invoices; top-debtor ranking is not in the dashboard payload.</t>
  </si>
  <si>
    <t>X-0390</t>
  </si>
  <si>
    <t>Transaction → payables dashboard updates</t>
  </si>
  <si>
    <t>Accounts payable dashboard reflects updated supplier obligations and scheduled payments</t>
  </si>
  <si>
    <t>Updates AP total, upcoming 7-day payment commitments, and supplier balances</t>
  </si>
  <si>
    <t>Supported via Payables Overview dashboard.</t>
  </si>
  <si>
    <t>Code review 2026-10-04 (agent-reviewed, spot-checked): Partial. Payables total and aging buckets exist; no upcoming 7-day payment commitment or scheduled-payment view found.</t>
  </si>
  <si>
    <t>Payables total and aging buckets exist; no upcoming 7-day payment commitment or scheduled-payment view found.</t>
  </si>
  <si>
    <t>X-0391</t>
  </si>
  <si>
    <t>Transaction → profitability dashboard updates</t>
  </si>
  <si>
    <t>Real-time realized gross profit margin metrics update as transactions complete</t>
  </si>
  <si>
    <t>Computes cumulative gross profit = SUM(Line Revenue - Line FIFO Cost) for the period</t>
  </si>
  <si>
    <t>Supported via Executive Profitability Dashboard.</t>
  </si>
  <si>
    <t>Code review 2026-10-04 (agent-reviewed, spot-checked): Confirmed. Per-invoice revenue minus FIFO COGS snapshot is persisted at completion and rolled up by customer, period, product.</t>
  </si>
  <si>
    <t>backend/reporting/models.py:InvoiceProfitSnapshot; backend/reporting/invoice_profit_service.py; backend/reporting/services.py:ReportService</t>
  </si>
  <si>
    <t>Per-invoice revenue minus FIFO COGS snapshot is persisted at completion and rolled up by customer, period, product.</t>
  </si>
  <si>
    <t>X-0392</t>
  </si>
  <si>
    <t>Owner drills KPI → underlying transaction</t>
  </si>
  <si>
    <t>Business Owner / Accountant</t>
  </si>
  <si>
    <t>Click on any dashboard metric card to view filtered list of transactions composing the total</t>
  </si>
  <si>
    <t>Opens filtered transaction ledger displaying the specific invoices or journal lines</t>
  </si>
  <si>
    <t>Full bidirectional drill-down supported across all dashboard metric cards.</t>
  </si>
  <si>
    <t>Code review 2026-10-04 (agent-reviewed, spot-checked): Partial. Only some dashboard items link out (recent invoices, low stock); claimed drill-down on every metric card is not implemented.</t>
  </si>
  <si>
    <t>web/src/pages/DashboardPage.tsx</t>
  </si>
  <si>
    <t>Only some dashboard items link out (recent invoices, low stock); claimed drill-down on every metric card is not implemented.</t>
  </si>
  <si>
    <t>X-0393</t>
  </si>
  <si>
    <t>Owner drills transaction → source document</t>
  </si>
  <si>
    <t>Click on any transaction row in ledger to inspect original full tax invoice or bill document</t>
  </si>
  <si>
    <t>Opens full document view showing customer details, line items, taxes, and payment history</t>
  </si>
  <si>
    <t>Supported via direct document link from all ledger tables.</t>
  </si>
  <si>
    <t>Code review 2026-10-04 (agent-reviewed, spot-checked): Confirmed. Ledger and history rows open /sales/history/:id invoice detail view.</t>
  </si>
  <si>
    <t>web/src/pages/sales/InvoiceDetailPage.tsx:InvoiceDetailPage; web/src/App.tsx:Route</t>
  </si>
  <si>
    <t>Ledger and history rows open /sales/history/:id invoice detail view.</t>
  </si>
  <si>
    <t>X-0394</t>
  </si>
  <si>
    <t>Salesperson sees personal sales performance</t>
  </si>
  <si>
    <t>Salesperson views personal sales achievement, commission earned, and customer order count</t>
  </si>
  <si>
    <t>Filters sales performance metrics specifically for logged-in salesperson's user ID</t>
  </si>
  <si>
    <t>Supported via Rep Self-Service Performance Card in mobile PWA.</t>
  </si>
  <si>
    <t>Code review 2026-10-04 (agent-reviewed, spot-checked): Contradicted. No per-salesperson performance, commission or rep self-service card exists.</t>
  </si>
  <si>
    <t>none found: searched salesperson, sales_rep, commission in backend and web</t>
  </si>
  <si>
    <t>No per-salesperson performance, commission or rep self-service card exists.</t>
  </si>
  <si>
    <t>X-0395</t>
  </si>
  <si>
    <t>Manager sees team performance</t>
  </si>
  <si>
    <t>Manager monitors sales figures, target completion, and customer visits across all sales reps</t>
  </si>
  <si>
    <t>Aggregates sales figures grouped by sales representative with comparative rankings</t>
  </si>
  <si>
    <t>Supported via Sales Team Leaderboard report.</t>
  </si>
  <si>
    <t>Code review 2026-10-04 (agent-reviewed, spot-checked): Contradicted. No sales team leaderboard or per-rep aggregation exists.</t>
  </si>
  <si>
    <t>none found: searched leaderboard, salesperson, sales_rep</t>
  </si>
  <si>
    <t>No sales team leaderboard or per-rep aggregation exists.</t>
  </si>
  <si>
    <t>X-0396</t>
  </si>
  <si>
    <t>Owner sees consolidated business performance</t>
  </si>
  <si>
    <t>Senior Management</t>
  </si>
  <si>
    <t>Consolidated overview of all company divisions, outlets, and financial operations</t>
  </si>
  <si>
    <t>Renders high-level executive briefing with multi-outlet and multi-department rollups</t>
  </si>
  <si>
    <t>Supported via Executive Dashboard in Insights module.</t>
  </si>
  <si>
    <t>Code review 2026-10-04 (agent-reviewed, spot-checked): Partial. Single-company insights hub with daily summary and health score exists; no multi-outlet or multi-department rollup.</t>
  </si>
  <si>
    <t>web/src/pages/insights/InsightsHubPage.tsx:InsightsHubPage; backend/insights/views.py:DailySummaryView</t>
  </si>
  <si>
    <t>Single-company insights hub with daily summary and health score exists; no multi-outlet or multi-department rollup.</t>
  </si>
  <si>
    <t>X-0397</t>
  </si>
  <si>
    <t>Multi-shop owner compares locations</t>
  </si>
  <si>
    <t>Side-by-side comparison of revenue, profitability, footfall, and stock across retail stores</t>
  </si>
  <si>
    <t>Generates comparative store performance table with revenue and profit metrics</t>
  </si>
  <si>
    <t>Supported via /reports/multi-store-comparison/.</t>
  </si>
  <si>
    <t>Code review 2026-10-04 (agent-reviewed, spot-checked): Contradicted. No multi-store comparison report or route exists.</t>
  </si>
  <si>
    <t>none found: searched multi-store, outlet, branch in backend/reporting and routes</t>
  </si>
  <si>
    <t>No multi-store comparison report or route exists.</t>
  </si>
  <si>
    <t>X-0398</t>
  </si>
  <si>
    <t>Distributor compares customers</t>
  </si>
  <si>
    <t>Rank wholesale dealers by order frequency, revenue volume, payment promptness, and margin</t>
  </si>
  <si>
    <t>Computes customer scoring matrix; identifies top tier partners and credit risks</t>
  </si>
  <si>
    <t>Supported via Customer Ranking Matrix in reporting module.</t>
  </si>
  <si>
    <t>Code review 2026-10-04 (agent-reviewed, spot-checked): Partial. Customers ranked by revenue and margin rollup per customer exist; no frequency, payment promptness scoring or credit-risk tiers.</t>
  </si>
  <si>
    <t>backend/reporting/services.py:ReportService; backend/reporting/views.py:CustomerSalesView</t>
  </si>
  <si>
    <t>Customers ranked by revenue and margin rollup per customer exist; no frequency, payment promptness scoring or credit-risk tiers.</t>
  </si>
  <si>
    <t>X-0399</t>
  </si>
  <si>
    <t>Distributor compares products</t>
  </si>
  <si>
    <t>Analyze product catalog velocity, profit margin, and return frequency across brands</t>
  </si>
  <si>
    <t>Generates product matrix evaluating sales velocity vs margin contribution</t>
  </si>
  <si>
    <t>Supported via Product Velocity Matrix (/reports/product-velocity/).</t>
  </si>
  <si>
    <t>Code review 2026-10-04 (agent-reviewed, spot-checked): Partial. Product ranking by quantity and amount and product margin rollup exist; no velocity-versus-margin matrix or return frequency.</t>
  </si>
  <si>
    <t>backend/reporting/services.py:ReportService; backend/reporting/views.py:ProductSalesView</t>
  </si>
  <si>
    <t>Product ranking by quantity and amount and product margin rollup exist; no velocity-versus-margin matrix or return frequency.</t>
  </si>
  <si>
    <t>X-0400</t>
  </si>
  <si>
    <t>Owner identifies high-value customers</t>
  </si>
  <si>
    <t>Business Owner / Sales Lead</t>
  </si>
  <si>
    <t>VIP Customers</t>
  </si>
  <si>
    <t>Identify top 20% of customer accounts generating 80% of company revenue (Pareto analysis)</t>
  </si>
  <si>
    <t>Ranks customer base by cumulative revenue contribution; flags VIP loyalty status</t>
  </si>
  <si>
    <t>Supported via Pareto Customer Analysis report.</t>
  </si>
  <si>
    <t>Code review 2026-10-04 (agent-reviewed, spot-checked): Contradicted. No Pareto or 80/20 customer analysis or VIP flagging exists.</t>
  </si>
  <si>
    <t>none found: searched pareto, cumulative revenue contribution, VIP in backend</t>
  </si>
  <si>
    <t>No Pareto or 80/20 customer analysis or VIP flagging exists.</t>
  </si>
  <si>
    <t>X-0401</t>
  </si>
  <si>
    <t>Owner identifies low-margin products</t>
  </si>
  <si>
    <t>Business Owner / Commercial Lead</t>
  </si>
  <si>
    <t>Spot products yielding inadequate gross margins after discounting to revise price list</t>
  </si>
  <si>
    <t>Filters catalog for SKUs with gross margin percentage below target threshold (e.g. &lt; 8%)</t>
  </si>
  <si>
    <t>Supported via Low Margin Exception report.</t>
  </si>
  <si>
    <t>Code review 2026-10-04 (agent-reviewed, spot-checked): Partial. Invoice-profit rollup grouped by product shows margin per SKU; no threshold-based low-margin exception filter.</t>
  </si>
  <si>
    <t>Invoice-profit rollup grouped by product shows margin per SKU; no threshold-based low-margin exception filter.</t>
  </si>
  <si>
    <t>X-0402</t>
  </si>
  <si>
    <t>Owner identifies dead stock</t>
  </si>
  <si>
    <t>Business Owner / Warehouse Manager</t>
  </si>
  <si>
    <t>Suppliers</t>
  </si>
  <si>
    <t>Identify inventory holding zero sales movements over 60/90/180 days to liquidate capital</t>
  </si>
  <si>
    <t>Identifies stagnant SKUs; computes total tied-up working capital valuation</t>
  </si>
  <si>
    <t>Supported via Aging &amp; Dead Stock Report (/reports/inventory-aging/).</t>
  </si>
  <si>
    <t>Code review 2026-10-04 (agent-reviewed, spot-checked): Partial. Only a 60-day dead-stock alert with tied-up value exists; no 60/90/180 aging report at /reports/inventory-aging.</t>
  </si>
  <si>
    <t>backend/insights/alerts.py:DEAD_STOCK; backend/reporting/views.py:InventorySummaryView</t>
  </si>
  <si>
    <t>Only a 60-day dead-stock alert with tied-up value exists; no 60/90/180 aging report at /reports/inventory-aging.</t>
  </si>
  <si>
    <t>X-0403</t>
  </si>
  <si>
    <t>Owner identifies fast-moving products</t>
  </si>
  <si>
    <t>Business Owner / Purchase Manager</t>
  </si>
  <si>
    <t>Identify top-velocity SKUs to ensure priority supplier replenishment and bulk discounts</t>
  </si>
  <si>
    <t>Ranks items by daily inventory turnover rate and sales frequency</t>
  </si>
  <si>
    <t>Supported via Fast-Moving SKU Leaderboard.</t>
  </si>
  <si>
    <t>Code review 2026-10-04 (agent-reviewed, spot-checked): Partial. Product sales ranks SKUs by quantity and amount; no turnover rate or dedicated fast-moving leaderboard.</t>
  </si>
  <si>
    <t>Product sales ranks SKUs by quantity and amount; no turnover rate or dedicated fast-moving leaderboard.</t>
  </si>
  <si>
    <t>X-0404</t>
  </si>
  <si>
    <t>Owner identifies overdue receivables</t>
  </si>
  <si>
    <t>Business Owner / Credit Controller</t>
  </si>
  <si>
    <t>Debtors</t>
  </si>
  <si>
    <t>Pinpoint critically overdue accounts requiring legal notice or management debt chasing</t>
  </si>
  <si>
    <t>Filters customer accounts with invoices unpaid &gt; 45 days past agreed terms</t>
  </si>
  <si>
    <t>Supported via Critical Overdue Receivables report.</t>
  </si>
  <si>
    <t>Code review 2026-10-04 (agent-reviewed, spot-checked): Partial. Collections worklist and aging buckets exist behind a flag; no specific 45-day critical-overdue filter report.</t>
  </si>
  <si>
    <t>backend/insights/views.py:CollectionsWorklistView; backend/payments/predictive_dunning.py:collections_worklist</t>
  </si>
  <si>
    <t>Collections worklist and aging buckets exist behind a flag; no specific 45-day critical-overdue filter report.</t>
  </si>
  <si>
    <t>X-0405</t>
  </si>
  <si>
    <t>Owner identifies supplier concentration</t>
  </si>
  <si>
    <t>Evaluate procurement risk by measuring dependency on top suppliers</t>
  </si>
  <si>
    <t>Calculates Herfindahl index and percentage of total procurement spend per vendor</t>
  </si>
  <si>
    <t>Supported via Supplier Concentration &amp; Risk report.</t>
  </si>
  <si>
    <t>Code review 2026-10-04 (agent-reviewed, spot-checked): Contradicted. No supplier concentration or Herfindahl calculation exists.</t>
  </si>
  <si>
    <t>none found: searched herfindahl, supplier concentration, concentration risk</t>
  </si>
  <si>
    <t>No supplier concentration or Herfindahl calculation exists.</t>
  </si>
  <si>
    <t>X-0406</t>
  </si>
  <si>
    <t>Owner reviews business trends</t>
  </si>
  <si>
    <t>Review multi-month sales, procurement, margin, and expense trends to plan growth</t>
  </si>
  <si>
    <t>Renders longitudinal trend charts showing monthly revenue trajectory and seasonal patterns</t>
  </si>
  <si>
    <t>Supported via Longitudinal Business Trends dashboard (/insights/trends/).</t>
  </si>
  <si>
    <t>Code review 2026-10-04 (agent-reviewed, spot-checked): Partial. Daily revenue series exists in sales summary; no multi-month procurement, margin, expense trend or /insights/trends page.</t>
  </si>
  <si>
    <t>backend/reporting/views.py:SalesSummaryView</t>
  </si>
  <si>
    <t>Daily revenue series exists in sales summary; no multi-month procurement, margin, expense trend or /insights/trends page.</t>
  </si>
  <si>
    <t>X-0407</t>
  </si>
  <si>
    <t>Admin creates product → salesperson can sell it</t>
  </si>
  <si>
    <t>System Administrator / Catalog Lead</t>
  </si>
  <si>
    <t>Salesperson / Cashier</t>
  </si>
  <si>
    <t>New product created in catalog immediately becomes available for billing on all POS terminals</t>
  </si>
  <si>
    <t>Creates Product master; updates search index; displays in active billing catalog</t>
  </si>
  <si>
    <t>Core system invariant: newly created active products are immediately available to sell.</t>
  </si>
  <si>
    <t>Code review 2026-10-04 (agent-reviewed, spot-checked): Confirmed. Product is_active defaults True and sale/search queries read Product live, so new products are sellable immediately; no separate search index.</t>
  </si>
  <si>
    <t>backend/masters/models.py:Product; backend/search/views.py:Product</t>
  </si>
  <si>
    <t>Product is_active defaults True and sale/search queries read Product live, so new products are sellable immediately; no separate search index.</t>
  </si>
  <si>
    <t>X-0408</t>
  </si>
  <si>
    <t>Admin creates product → purchase manager can purchase it</t>
  </si>
  <si>
    <t>New product immediately available for selection on Purchase Orders and supplier bills</t>
  </si>
  <si>
    <t>Enables SKU selection across procurement workflows with default purchase pricing</t>
  </si>
  <si>
    <t>Supported via product catalog integration across sales and purchases.</t>
  </si>
  <si>
    <t>Code review 2026-10-04 (agent-reviewed, spot-checked): Confirmed. Same Product master is used on purchase invoice lines with purchase_price default; no extra publish step.</t>
  </si>
  <si>
    <t>backend/masters/models.py:Product; backend/purchases/services.py:track_batch</t>
  </si>
  <si>
    <t>Same Product master is used on purchase invoice lines with purchase_price default; no extra publish step.</t>
  </si>
  <si>
    <t>X-0409</t>
  </si>
  <si>
    <t>Product HSN → invoice uses correct HSN</t>
  </si>
  <si>
    <t>Product HSN code automatically populates onto invoice line items for GST compliance</t>
  </si>
  <si>
    <t>Copies HSN/SAC code from Product master to SalesItem; prints on statutory invoice</t>
  </si>
  <si>
    <t>Core tax invariant: invoice line HSN strictly derived from Product master.</t>
  </si>
  <si>
    <t>Code review 2026-10-04 (agent-reviewed, spot-checked): Confirmed. SalesItem.hsn_code is snapshotted from the product at line save and used by GST validation.</t>
  </si>
  <si>
    <t>backend/sales/models.py:SalesItem</t>
  </si>
  <si>
    <t>backend/tests/test_gst_guard_v2.py; backend/tests/test_next_batch_line_company.py; backend/tests/test_pdf_and_share.py</t>
  </si>
  <si>
    <t>backend/sales/models.py:SalesItem; backend/sales/services.py:hsn_code</t>
  </si>
  <si>
    <t>SalesItem.hsn_code is snapshotted from the product at line save and used by GST validation.</t>
  </si>
  <si>
    <t>X-0410</t>
  </si>
  <si>
    <t>Product tax rate → invoice uses configured tax</t>
  </si>
  <si>
    <t>Configured product GST rate automatically applied during billing calculation</t>
  </si>
  <si>
    <t>Applies master tax rate percentage; calculates line CGST/SGST/IGST breakdown</t>
  </si>
  <si>
    <t>Core tax invariant: invoice line tax percentage strictly derived from Product tax rate.</t>
  </si>
  <si>
    <t>Code review 2026-10-04 (agent-reviewed, spot-checked): Confirmed. Line gst_rate defaults from product.gst_rate and the India tax engine splits it into CGST/SGST/IGST.</t>
  </si>
  <si>
    <t>backend/sales/services.py:gst_rate; backend/core/services/tax_engine/india.py:</t>
  </si>
  <si>
    <t>Line gst_rate defaults from product.gst_rate and the India tax engine splits it into CGST/SGST/IGST.</t>
  </si>
  <si>
    <t>X-0411</t>
  </si>
  <si>
    <t>Product unit → inventory quantities use correct unit</t>
  </si>
  <si>
    <t>Inventory Ledger Engine</t>
  </si>
  <si>
    <t>Stock transactions enforce standard unit of measure (PCS, KGS, BOX, LTR, MTR)</t>
  </si>
  <si>
    <t>Stores unit_of_measure on Product; validates all inward and outward movements conform to unit</t>
  </si>
  <si>
    <t>Core inventory invariant: all stock movements strictly validate master unit of measure.</t>
  </si>
  <si>
    <t>Code review 2026-10-04 (agent-reviewed, spot-checked): Partial. Product has unit and alternate-unit conversion to base quantity; no validation that all movements conform to a fixed unit list.</t>
  </si>
  <si>
    <t>backend/masters/models.py:Unit; backend/inventory/item_stock.py:base_quantity</t>
  </si>
  <si>
    <t>Product has unit and alternate-unit conversion to base quantity; no validation that all movements conform to a fixed unit list.</t>
  </si>
  <si>
    <t>X-0412</t>
  </si>
  <si>
    <t>Product batch configuration → GRN captures batch</t>
  </si>
  <si>
    <t>Goods Receipt Engine</t>
  </si>
  <si>
    <t>Items flagged with is_batch_tracked require mandatory batch number and expiry entry on receipt</t>
  </si>
  <si>
    <t>Enforces batch lot entry on GRN/Purchase bill; rejects receipt if batch info is missing</t>
  </si>
  <si>
    <t>Core inventory invariant: batch-tracked SKUs strictly enforce batch metadata on inwarding.</t>
  </si>
  <si>
    <t>Code review 2026-10-04 (agent-reviewed, spot-checked): Partial. Batch number is required for track_batch products on purchase completion; expiry is not mandatory and the flag is named track_batch.</t>
  </si>
  <si>
    <t>backend/purchases/services.py:track_batch; backend/inventory/item_stock.py:get_or_create_batch</t>
  </si>
  <si>
    <t>Batch number is required for track_batch products on purchase completion; expiry is not mandatory and the flag is named track_batch.</t>
  </si>
  <si>
    <t>X-0413</t>
  </si>
  <si>
    <t>Product serial configuration → sale captures serial</t>
  </si>
  <si>
    <t>Billing Engine</t>
  </si>
  <si>
    <t>Items flagged with is_serialized require unique serial/IMEI scanning before checkout</t>
  </si>
  <si>
    <t>Validates scanned serial number against available serial inventory; records on sales line</t>
  </si>
  <si>
    <t>Core inventory invariant: serialized SKUs strictly enforce valid serial selection on sale.</t>
  </si>
  <si>
    <t>Code review 2026-10-04 (agent-reviewed, spot-checked): Confirmed. Serialized products transition serials AVAILABLE to SOLD on sale and store serial_numbers on the line; flag is named track_serial.</t>
  </si>
  <si>
    <t>backend/masters/models.py:track_serial; backend/inventory/services.py:SerialNumberService; backend/sales/services.py:serial_numbers</t>
  </si>
  <si>
    <t>Serialized products transition serials AVAILABLE to SOLD on sale and store serial_numbers on the line; flag is named track_serial.</t>
  </si>
  <si>
    <t>X-0414</t>
  </si>
  <si>
    <t>Customer master → sales invoice uses customer details</t>
  </si>
  <si>
    <t>Customer name, billing address, shipping address, and GSTIN automatically populate on invoice</t>
  </si>
  <si>
    <t>Copies customer master details to invoice header snapshot for immutable record-keeping</t>
  </si>
  <si>
    <t>Supported via customer auto-complete in invoice creation form.</t>
  </si>
  <si>
    <t>Code review 2026-10-04 (agent-reviewed, spot-checked): Partial. Customer is a live FK; only GSTIN and place of supply are frozen at completion, name and address are not snapshotted.</t>
  </si>
  <si>
    <t>backend/sales/models.py:SalesInvoice; backend/sales/services.py:filing_party_gstin</t>
  </si>
  <si>
    <t>Customer is a live FK; only GSTIN and place of supply are frozen at completion, name and address are not snapshotted.</t>
  </si>
  <si>
    <t>X-0415</t>
  </si>
  <si>
    <t>Supplier master → purchase invoice uses supplier details</t>
  </si>
  <si>
    <t>Procurement Engine</t>
  </si>
  <si>
    <t>Supplier legal name, address, GSTIN, and default payment terms populate on purchase bill</t>
  </si>
  <si>
    <t>Copies supplier master details to purchase invoice header snapshot</t>
  </si>
  <si>
    <t>Supported via supplier auto-complete in purchase form.</t>
  </si>
  <si>
    <t>Code review 2026-10-04 (agent-reviewed, spot-checked): Partial. Purchase invoice links supplier by FK; no header snapshot of supplier name/address found.</t>
  </si>
  <si>
    <t>backend/purchases/models.py:PurchaseInvoice; backend/masters/models.py:Supplier</t>
  </si>
  <si>
    <t>Purchase invoice links supplier by FK; no header snapshot of supplier name/address found.</t>
  </si>
  <si>
    <t>X-0416</t>
  </si>
  <si>
    <t>Customer GSTIN → tax treatment uses GST status</t>
  </si>
  <si>
    <t>Customer GST status (Registered B2B, Unregistered B2C, Composition) dictates invoice format</t>
  </si>
  <si>
    <t>Formats document as B2B Tax Invoice with reverse charge check or B2C Retail Bill</t>
  </si>
  <si>
    <t>Supported via automated tax regime selection based on customer GSTIN presence.</t>
  </si>
  <si>
    <t>Code review 2026-10-04 (agent-reviewed, spot-checked): Partial. Customer GSTIN and taxpayer type drive place of supply and GST filing classification; no B2B tax invoice versus B2C retail bill format switch.</t>
  </si>
  <si>
    <t>backend/masters/models.py:TaxpayerType; backend/core/services/place_of_supply.py:</t>
  </si>
  <si>
    <t>Customer GSTIN and taxpayer type drive place of supply and GST filing classification; no B2B tax invoice versus B2C retail bill format switch.</t>
  </si>
  <si>
    <t>X-0417</t>
  </si>
  <si>
    <t>Supplier GSTIN → purchase tax treatment uses supplier status</t>
  </si>
  <si>
    <t>Supplier registration status determines whether purchase is eligible for Input Tax Credit</t>
  </si>
  <si>
    <t>Determines ITC eligibility; flags unregistered supplier purchases for Reverse Charge (RCM)</t>
  </si>
  <si>
    <t>Supported via supplier GSTIN validation during purchase bill intake.</t>
  </si>
  <si>
    <t>Code review 2026-10-04 (agent-reviewed, spot-checked): Confirmed. Unregistered or no-GSTIN suppliers trigger an RCM confirm gate and ITC eligibility is controlled on the bill.</t>
  </si>
  <si>
    <t>backend/purchases/services.py:assert_claimable_itc_allowed; backend/purchases/services.py:confirm_no_rcm</t>
  </si>
  <si>
    <t>Unregistered or no-GSTIN suppliers trigger an RCM confirm gate and ITC eligibility is controlled on the bill.</t>
  </si>
  <si>
    <t>X-0418</t>
  </si>
  <si>
    <t>Price list → salesperson sees appropriate price</t>
  </si>
  <si>
    <t>Pricing Engine</t>
  </si>
  <si>
    <t>Salesperson / Counter Clerk</t>
  </si>
  <si>
    <t>Assigned price list (Retail, Wholesale, Distributor) dictates unit price on order line</t>
  </si>
  <si>
    <t>Applies customer's assigned PriceList; automatically sets approved tiered unit rate</t>
  </si>
  <si>
    <t>Supported via PriceList engine (/settings/price-lists/).</t>
  </si>
  <si>
    <t>Matched PriceList in product code. This is not a functional test.</t>
  </si>
  <si>
    <t>backend/masters/models.py:PriceList</t>
  </si>
  <si>
    <t>backend/tests/test_business_rules.py; backend/tests/test_c04_price_slabs.py; backend/tests/test_sprint3_multicompany_pricing.py</t>
  </si>
  <si>
    <t>X-0419</t>
  </si>
  <si>
    <t>Customer-specific pricing → correct price appears</t>
  </si>
  <si>
    <t>Special contracted rates for specific key customer automatically override standard list price</t>
  </si>
  <si>
    <t>Checks CustomerProductPrice contract table; applies negotiated rate if present</t>
  </si>
  <si>
    <t>Supported via customer-specific contracted price overrides.</t>
  </si>
  <si>
    <t>Code review 2026-10-04 (agent-reviewed, spot-checked): Confirmed. Customer-assigned price list with slabs overrides selling price; implemented as PriceList, not a CustomerProductPrice table.</t>
  </si>
  <si>
    <t>backend/masters/pricing.py:resolve_party_price; backend/masters/models.py:PriceList</t>
  </si>
  <si>
    <t>Customer-assigned price list with slabs overrides selling price; implemented as PriceList, not a CustomerProductPrice table.</t>
  </si>
  <si>
    <t>X-0420</t>
  </si>
  <si>
    <t>User role → permitted actions are enforced</t>
  </si>
  <si>
    <t>Security / Access Control</t>
  </si>
  <si>
    <t>All Users</t>
  </si>
  <si>
    <t>User role (Owner, Manager, Billing Clerk, Godown Staff, Accountant) strictly governs system access</t>
  </si>
  <si>
    <t>Enforces permission checks across UI buttons, navigation links, and REST API endpoints</t>
  </si>
  <si>
    <t>Core security invariant: RBAC enforced at Django view and DRF permission class levels.</t>
  </si>
  <si>
    <t>Code review 2026-10-04 (agent-reviewed, spot-checked): Confirmed. Roles (Owner, Manager, Sales Staff, Inventory Staff, Accountant) are enforced through DRF permission classes.</t>
  </si>
  <si>
    <t>backend/accounts/models.py:Role; backend/core/permissions.py:CanCreateSales</t>
  </si>
  <si>
    <t>Roles (Owner, Manager, Sales Staff, Inventory Staff, Accountant) are enforced through DRF permission classes.</t>
  </si>
  <si>
    <t>X-0421</t>
  </si>
  <si>
    <t>Location assignment → user sees authorized location data</t>
  </si>
  <si>
    <t>Branch Staff</t>
  </si>
  <si>
    <t>Store employees restricted to viewing inventory, sales, and registers of assigned store</t>
  </si>
  <si>
    <t>Applies warehouse filter in database queries based on user's authorized warehouse list</t>
  </si>
  <si>
    <t>Core security invariant: multi-location data isolation enforced via company user scope.</t>
  </si>
  <si>
    <t>Code review 2026-10-04 (agent-reviewed, spot-checked): Contradicted. No per-user warehouse assignment or query filter exists; users are scoped to company only.</t>
  </si>
  <si>
    <t>none found: searched allowed_warehouses, user warehouse, warehouse scope in accounts/core/inventory</t>
  </si>
  <si>
    <t>No per-user warehouse assignment or query filter exists; users are scoped to company only.</t>
  </si>
  <si>
    <t>X-0422</t>
  </si>
  <si>
    <t>Salesperson creates invoice → cannot modify restricted accounting fields</t>
  </si>
  <si>
    <t>Billing clerks prevented from altering ledger accounts, cost centers, or tax overrides</t>
  </si>
  <si>
    <t>Disables restricted accounting fields on billing UI; rejects tampered API requests</t>
  </si>
  <si>
    <t>Core security invariant: field-level permission checks block unauthorized field mutation.</t>
  </si>
  <si>
    <t>Code review 2026-10-04 (agent-reviewed, spot-checked): Partial. Capability flags gate posting and journals by role, but no field-level lock on ledger account, cost centre or tax override for billing clerks was found.</t>
  </si>
  <si>
    <t>backend/core/permissions.py:CanCreateSales; backend/accounting/views.py:FinancialYearCloseView</t>
  </si>
  <si>
    <t>Capability flags gate posting and journals by role, but no field-level lock on ledger account, cost centre or tax override for billing clerks was found.</t>
  </si>
  <si>
    <t>X-0423</t>
  </si>
  <si>
    <t>Inventory user adjusts stock → authorization is enforced</t>
  </si>
  <si>
    <t>Warehouse staff cannot execute inventory write-offs without manager approval</t>
  </si>
  <si>
    <t>Requires manager sign-off token before executing manual stock adjustment</t>
  </si>
  <si>
    <t>Supported via dual-authorization requirement for StockAdjustment.</t>
  </si>
  <si>
    <t>X-0424</t>
  </si>
  <si>
    <t>Accountant modifies GST data → audit trail is created</t>
  </si>
  <si>
    <t>In-house Accountant / Auditor</t>
  </si>
  <si>
    <t>Any manual override of tax data automatically logs user ID, old value, new value, and reason</t>
  </si>
  <si>
    <t>Creates immutable audit log row; satisfies statutory MCA audit trail requirements</t>
  </si>
  <si>
    <t>Core compliance invariant: all tax data adjustments logged permanently in ActivityLog.</t>
  </si>
  <si>
    <t>Code review 2026-10-04 (agent-reviewed, spot-checked): Partial. User, old and new value are logged append-only for four money fields; no reason captured and the log is AuditEvent/MoneyFieldAudit, not ActivityLog.</t>
  </si>
  <si>
    <t>backend/core/models.py:MoneyFieldAudit; backend/core/models.py:log_money_change; backend/core/models.py:AuditEvent</t>
  </si>
  <si>
    <t>User, old and new value are logged append-only for four money fields; no reason captured and the log is AuditEvent/MoneyFieldAudit, not ActivityLog.</t>
  </si>
  <si>
    <t>X-0425</t>
  </si>
  <si>
    <t>Manager approves adjustment → approval identity is recorded</t>
  </si>
  <si>
    <t>Manager / Auditor</t>
  </si>
  <si>
    <t>Digital identity of approving manager permanently stamped onto approved adjustment voucher</t>
  </si>
  <si>
    <t>Records approved_by_user_id and approval_timestamp on the adjustment document</t>
  </si>
  <si>
    <t>Supported via approval signature stamping on all approved exception documents.</t>
  </si>
  <si>
    <t>Code review 2026-10-04 (agent-reviewed, spot-checked): Partial. Override identity is stamped for credit and GST-guard overrides, but no generic approved_by and timestamp on adjustment vouchers exists.</t>
  </si>
  <si>
    <t>backend/sales/order_gates.py:credit_overridden_by; backend/reporting/gst_guard.py:gst_guard_overridden_by</t>
  </si>
  <si>
    <t>Override identity is stamped for credit and GST-guard overrides, but no generic approved_by and timestamp on adjustment vouchers exists.</t>
  </si>
  <si>
    <t>X-0426</t>
  </si>
  <si>
    <t>User attempts unauthorized transaction → action is blocked</t>
  </si>
  <si>
    <t>Unauthorized User</t>
  </si>
  <si>
    <t>System immediately rejects unauthorized action with HTTP 403 Forbidden error message</t>
  </si>
  <si>
    <t>Blocks request; logs security violation attempt in system security audit log</t>
  </si>
  <si>
    <t>Core security invariant: strict RBAC enforcement across all API endpoints.</t>
  </si>
  <si>
    <t>Code review 2026-10-04 (agent-reviewed, spot-checked): Partial. DRF permission classes return 403 for unauthorized users, but no security-violation log entry for blocked attempts was found.</t>
  </si>
  <si>
    <t>backend/core/permissions.py:CanViewFinancialReports; backend/core/permissions.py:IsOwner</t>
  </si>
  <si>
    <t>DRF permission classes return 403 for unauthorized users, but no security-violation log entry for blocked attempts was found.</t>
  </si>
  <si>
    <t>X-0427</t>
  </si>
  <si>
    <t>User changes role → permissions immediately reflect policy</t>
  </si>
  <si>
    <t>Role updates take effect immediately on next request without requiring system restart</t>
  </si>
  <si>
    <t>Updates CompanyUser.role; invalidates cached session permissions immediately</t>
  </si>
  <si>
    <t>Core security invariant: dynamic role evaluation on every authenticated request.</t>
  </si>
  <si>
    <t>Code review 2026-10-04 (agent-reviewed, spot-checked): Confirmed. Role and capabilities are read from CompanyUser on each request (cached per request only), so changes apply on the next call.</t>
  </si>
  <si>
    <t>backend/core/permissions.py:get_company_user; backend/accounts/models.py:CompanyUser</t>
  </si>
  <si>
    <t>Role and capabilities are read from CompanyUser on each request (cached per request only), so changes apply on the next call.</t>
  </si>
  <si>
    <t>X-0428</t>
  </si>
  <si>
    <t>User changes location → access follows assigned location</t>
  </si>
  <si>
    <t>Transferring an employee to another store updates their inventory and sales visibility</t>
  </si>
  <si>
    <t>Updates assigned_warehouses mapping; shifts user scope to new location immediately</t>
  </si>
  <si>
    <t>Supported via User Location Assignment management.</t>
  </si>
  <si>
    <t>Code review 2026-10-04 (agent-reviewed, spot-checked): Contradicted. CompanyUser has no warehouse or location assignment, so user access does not follow a location.</t>
  </si>
  <si>
    <t>none found: searched assigned_warehouses, allowed_warehouses, warehouse scope on CompanyUser</t>
  </si>
  <si>
    <t>CompanyUser has no warehouse or location assignment, so user access does not follow a location.</t>
  </si>
  <si>
    <t>X-0429</t>
  </si>
  <si>
    <t>Deactivated user → historical transactions remain intact</t>
  </si>
  <si>
    <t>Deactivating an ex-employee blocks login but preserves all historical vouchers signed by them</t>
  </si>
  <si>
    <t>Sets is_active=False; preserves foreign key references on all historical transactions</t>
  </si>
  <si>
    <t>Core data invariant: user deactivation preserves referential integrity; hard deletes blocked.</t>
  </si>
  <si>
    <t>Code review 2026-10-04 (agent-reviewed, spot-checked): Confirmed. Deactivation sets CompanyUser.is_active false and revokes tokens while historical rows keep their references.</t>
  </si>
  <si>
    <t>backend/accounts/models.py:CompanyUser; backend/accounts/views.py:_revoke_sessions_if_last_active_membership</t>
  </si>
  <si>
    <t>Deactivation sets CompanyUser.is_active false and revokes tokens while historical rows keep their references.</t>
  </si>
  <si>
    <t>X-0430</t>
  </si>
  <si>
    <t>Sensitive financial information → restricted users cannot access it</t>
  </si>
  <si>
    <t>Billing Clerk / Delivery Driver</t>
  </si>
  <si>
    <t>Billing clerks and delivery staff cannot view business profits, vendor costs, or bank balances</t>
  </si>
  <si>
    <t>Masks gross margin, purchase cost, and financial statement menus based on user role</t>
  </si>
  <si>
    <t>Supported via role-based field masking in API serializers and UI navigation guards.</t>
  </si>
  <si>
    <t>Code review 2026-10-04 (agent-reviewed, spot-checked): Partial. Financial reports and dashboards are permission-gated, but no field masking of cost or margin in serializers was found.</t>
  </si>
  <si>
    <t>backend/core/permissions.py:CanViewFinancialReports; backend/accounts/models.py:can_view_financial_reports</t>
  </si>
  <si>
    <t>Financial reports and dashboards are permission-gated, but no field masking of cost or margin in serializers was found.</t>
  </si>
  <si>
    <t>X-0431</t>
  </si>
  <si>
    <t>Export data → export permissions are enforced</t>
  </si>
  <si>
    <t>Bulk export of customer lists, sales registers, or financial books restricted to authorized roles</t>
  </si>
  <si>
    <t>Blocks export endpoints for unauthorized roles, preventing commercial data exfiltration</t>
  </si>
  <si>
    <t>Core security invariant: export actions restricted to Owner, Admin, and Accountant roles.</t>
  </si>
  <si>
    <t>Code review 2026-10-04 (agent-reviewed, spot-checked): Confirmed. CanExport gates XLSX and CSV exports to owner or users granted can_export, applied on report and backup endpoints.</t>
  </si>
  <si>
    <t>backend/core/permissions.py:CanExport; backend/accounting/views.py:AccountingReportView</t>
  </si>
  <si>
    <t>CanExport gates XLSX and CSV exports to owner or users granted can_export, applied on report and backup endpoints.</t>
  </si>
  <si>
    <t>Every financial, inventory, and tax voucher backed by append-only immutable audit trail</t>
  </si>
  <si>
    <t>Guarantees chronological traceability of who created, edited, approved, or cancelled records</t>
  </si>
  <si>
    <t>Core system invariant: MCA-compliant audit trail with Django SimpleHistory. | Decision 2026-10-04 (delegated, quality-first): Build in MVP (0 days). Delivered with P-0115. | Truth 2026-10-05 (WI-002): Built.  Audit events are written for each posting action, asserted per document type, and append-only is enforced by test.</t>
  </si>
  <si>
    <t>django-simple-history is not a dependency. The note names the wrong audit mechanism. 2026-10-04: hash chain and append-only guard exist; coverage of every critical transaction not verified. Code review 2026-10-04 (agent-reviewed, spot-checked): Partial. AuditEvent is hash-chained and guarded against update/delete, but coverage of every critical transaction is not shown and SimpleHistory is not used.</t>
  </si>
  <si>
    <t>backend/tests/errors/test_freeze_gate_contracts.py::test_complete_cancel_allocate_amend_write_audit_events; backend/tests/test_register_audit_coverage.py::test_purchase_invoice_complete_writes_audit_event; backend/tests/test_register_audit_coverage.py::test_sales_invoice_complete_writes_audit_event; backend/tests/test_register_audit_coverage.py::test_supplier_payment_post_writes_audit_event; backend/tests/test_register_audit_coverage.py::test_stock_adjustment_writes_audit_event; backend/tests/test_audit_append_only.py::test_saving_an_existing_event_is_refused</t>
  </si>
  <si>
    <t>backend/core/services/audit.py:record_document_event; backend/planwave/services.py:AUDIT_COVERAGE</t>
  </si>
  <si>
    <t>backend/core/models.py:AuditEvent; backend/core/services/audit_chain.py:seal</t>
  </si>
  <si>
    <t>X-0433</t>
  </si>
  <si>
    <t>Invalid invoice → actionable validation is shown</t>
  </si>
  <si>
    <t>Form validation errors highlight exact problematic field (e.g. missing HSN, invalid GSTIN)</t>
  </si>
  <si>
    <t>Surfaces clear, inline validation message explaining how to fix the error before saving</t>
  </si>
  <si>
    <t>Supported via descriptive form validation errors with field highlighting.</t>
  </si>
  <si>
    <t>Code review 2026-10-04 (agent-reviewed, spot-checked): Partial. Server rejects missing HSN and bad GSTIN with messages, but field-level highlighting is not established.</t>
  </si>
  <si>
    <t>backend/sales/services.py:missing_hsn; backend/core/validators.py:validate_gstin</t>
  </si>
  <si>
    <t>Server rejects missing HSN and bad GSTIN with messages, but field-level highlighting is not established.</t>
  </si>
  <si>
    <t>X-0434</t>
  </si>
  <si>
    <t>Insufficient stock → sale is blocked/flagged appropriately</t>
  </si>
  <si>
    <t>System / Inventory Guard</t>
  </si>
  <si>
    <t>Attempting to bill more stock than available triggers clear error or manager override prompt</t>
  </si>
  <si>
    <t>Blocks negative inventory by default; enforces tenant policy regarding backorders</t>
  </si>
  <si>
    <t>Core inventory invariant: negative stock strictly blocked unless explicitly enabled.</t>
  </si>
  <si>
    <t>Code review 2026-10-04 (agent-reviewed, spot-checked): Confirmed. A company negative_stock_policy of BLOCK rejects sales that would drive stock below zero.</t>
  </si>
  <si>
    <t>backend/inventory/services.py:check_negative_stock; backend/inventory/services.py:negative_stock_policy</t>
  </si>
  <si>
    <t>A company negative_stock_policy of BLOCK rejects sales that would drive stock below zero.</t>
  </si>
  <si>
    <t>X-0435</t>
  </si>
  <si>
    <t>Invalid GSTIN → invoice validation catches it</t>
  </si>
  <si>
    <t>System / GST Guard</t>
  </si>
  <si>
    <t>Typing an invalid or malformed GSTIN triggers checksum error before saving invoice</t>
  </si>
  <si>
    <t>Validates 15-character GSTIN structure, state code, and Luhn checksum algorithm</t>
  </si>
  <si>
    <t>Supported via client-side and server-side GSTIN checksum validator.</t>
  </si>
  <si>
    <t>Code review 2026-10-04 (agent-reviewed, spot-checked): Confirmed. validate_gstin checks structure and checksum on the server; web also validates GSTIN.</t>
  </si>
  <si>
    <t>backend/core/validators.py:validate_gstin; backend/core/validators.py:_gstin_checksum_ok</t>
  </si>
  <si>
    <t>validate_gstin checks structure and checksum on the server; web also validates GSTIN.</t>
  </si>
  <si>
    <t>System prevents saving two invoices with identical invoice number for the same financial year</t>
  </si>
  <si>
    <t>Raises UniqueConstraint violation; warns user of existing invoice duplicate</t>
  </si>
  <si>
    <t>Core data invariant: database unique constraint on (company_id, invoice_number, financial_year). | Decision 2026-10-04 (delegated, quality-first): retired as duplicate of X-0299.</t>
  </si>
  <si>
    <t>Duplicate of X-0299 - retired</t>
  </si>
  <si>
    <t>X-0437</t>
  </si>
  <si>
    <t>Network failure during save → no duplicate transaction is created</t>
  </si>
  <si>
    <t>System / Resilience</t>
  </si>
  <si>
    <t>POS Operator</t>
  </si>
  <si>
    <t>Network drop during checkout does not cause duplicate billing or double inventory deduction</t>
  </si>
  <si>
    <t>Enforces client-generated idempotency key; duplicate submission returns existing result</t>
  </si>
  <si>
    <t>Supported via Idempotency-Key header on all critical creation endpoints.</t>
  </si>
  <si>
    <t>Code review 2026-10-04 (agent-reviewed, spot-checked): Confirmed. Sales and payment endpoints honour the Idempotency-Key header with durable records returning the first result.</t>
  </si>
  <si>
    <t>backend/core/idempotency.py:IdempotencyRecord; backend/sales/views.py:SalesInvoiceViewSet</t>
  </si>
  <si>
    <t>Sales and payment endpoints honour the Idempotency-Key header with durable records returning the first result.</t>
  </si>
  <si>
    <t>X-0438</t>
  </si>
  <si>
    <t>Concurrent edits → conflict is handled</t>
  </si>
  <si>
    <t>System / Concurrency Engine</t>
  </si>
  <si>
    <t>Two Concurrent Editors</t>
  </si>
  <si>
    <t>Simultaneous edits to the same document detected safely without silent overwrites</t>
  </si>
  <si>
    <t>Uses optimistic locking (version / updated_at check); alerts second user to refresh</t>
  </si>
  <si>
    <t>Supported via optimistic concurrency locking on master and document models.</t>
  </si>
  <si>
    <t>Code review 2026-10-04 (agent-reviewed, spot-checked): Contradicted. No version or updated_at check detects concurrent document edits; only stock-count conflict handling and idempotency keys exist.</t>
  </si>
  <si>
    <t>none found: searched optimistic lock, expected_updated_at, row_version, If-Match in backend</t>
  </si>
  <si>
    <t>No version or updated_at check detects concurrent document edits; only stock-count conflict handling and idempotency keys exist.</t>
  </si>
  <si>
    <t>X-0439</t>
  </si>
  <si>
    <t>Integration failure → transaction is not silently lost</t>
  </si>
  <si>
    <t>System / Integration Queue</t>
  </si>
  <si>
    <t>WhatsApp or payment gateway network failure queued for automatic background retry</t>
  </si>
  <si>
    <t>Records failed payload in IntegrationOutbox queue; retries with exponential backoff</t>
  </si>
  <si>
    <t>Supported via Celery background task retry queue for external integrations.</t>
  </si>
  <si>
    <t>Code review 2026-10-04 (agent-reviewed, spot-checked): Partial. Failed gateway refunds retry from an outbox with backoff; failed WhatsApp sends are marked FAILED with no automatic retry and no IntegrationOutbox.</t>
  </si>
  <si>
    <t>backend/payments/models.py:GatewayRefundOutbox; backend/payments/tasks.py:next_attempt_at</t>
  </si>
  <si>
    <t>Failed gateway refunds retry from an outbox with backoff; failed WhatsApp sends are marked FAILED with no automatic retry and no IntegrationOutbox.</t>
  </si>
  <si>
    <t>X-0440</t>
  </si>
  <si>
    <t>GST integration failure → exception is visible</t>
  </si>
  <si>
    <t>System / GST Engine</t>
  </si>
  <si>
    <t>Errors during government portal sync surfaced with actionable error descriptions</t>
  </si>
  <si>
    <t>Logs exact government error code (e.g. Invalid Token, Duplicate IRN) in GST Error Queue</t>
  </si>
  <si>
    <t>Supported via GST Integration Exception Dashboard.</t>
  </si>
  <si>
    <t>Code review 2026-10-04 (agent-reviewed, spot-checked): Partial. Portal error text is stored on the invoice and returned, but there is no dedicated GST error queue or dashboard with structured error codes.</t>
  </si>
  <si>
    <t>backend/sales/einvoice_eway_actions.py:einvoice_error; backend/sales/models.py:last_error</t>
  </si>
  <si>
    <t>Portal error text is stored on the invoice and returned, but there is no dedicated GST error queue or dashboard with structured error codes.</t>
  </si>
  <si>
    <t>X-0441</t>
  </si>
  <si>
    <t>Bulk operation failure → successful and failed records are separated</t>
  </si>
  <si>
    <t>System / Import Engine</t>
  </si>
  <si>
    <t>Bulk CSV import processes valid rows while isolating invalid rows into downloadable error CSV</t>
  </si>
  <si>
    <t>Commits valid records; generates error spreadsheet showing exact row and column failures</t>
  </si>
  <si>
    <t>Supported via transactional bulk import engine with error CSV download.</t>
  </si>
  <si>
    <t>Code review 2026-10-04 (agent-reviewed, spot-checked): Confirmed. Import writes valid rows, stores per-row errors on the job, and serves a downloadable errors CSV with row, messages and row data.</t>
  </si>
  <si>
    <t>backend/imports/services.py:ImportService; backend/imports/views.py:error_report</t>
  </si>
  <si>
    <t>Import writes valid rows, stores per-row errors on the job, and serves a downloadable errors CSV with row, messages and row data.</t>
  </si>
  <si>
    <t>X-0442</t>
  </si>
  <si>
    <t>Incorrect transaction → authorized correction mechanism exists</t>
  </si>
  <si>
    <t>Legitimate mechanism to void, cancel, or amend wrong bills while preserving audit history</t>
  </si>
  <si>
    <t>Generates offsetting reversal voucher; prompts user for mandatory cancellation reason</t>
  </si>
  <si>
    <t>Supported via formal Document Cancellation and Credit/Debit Note workflows.</t>
  </si>
  <si>
    <t>Code review 2026-10-04 (agent-reviewed, spot-checked): Confirmed. Credit and debit note workflows and journal reversals exist, with cancel reasons accepted on sales cancellation.</t>
  </si>
  <si>
    <t>backend/sales/notes_services.py:cancel_credit_note; backend/accounting/services.py:JOURNAL_REVERSAL</t>
  </si>
  <si>
    <t>Credit and debit note workflows and journal reversals exist, with cancel reasons accepted on sales cancellation.</t>
  </si>
  <si>
    <t>X-0443</t>
  </si>
  <si>
    <t>Cancellation → downstream impacts are correctly reversed</t>
  </si>
  <si>
    <t>Cancelling an invoice completely reverses stock decrements, AR debits, and tax liabilities</t>
  </si>
  <si>
    <t>Atomically posts reversal movements and GL vouchers in single database transaction</t>
  </si>
  <si>
    <t>Core system invariant: cancellation atomically reverses stock, receivables, and taxes.</t>
  </si>
  <si>
    <t>Restored to authored P1. The previous workbook had P0 after a keyword rebalance. Code review 2026-10-04 (agent-reviewed, spot-checked): Confirmed. Atomic invoice cancel posts reversal stock movements and reverses GL entries including tax and receivable.</t>
  </si>
  <si>
    <t>backend/sales/services.py:cancel; backend/sales/services.py:PostingService</t>
  </si>
  <si>
    <t>Atomic invoice cancel posts reversal stock movements and reverses GL entries including tax and receivable.</t>
  </si>
  <si>
    <t>X-0444</t>
  </si>
  <si>
    <t>System recovery → financial/inventory integrity is preserved</t>
  </si>
  <si>
    <t>Unplanned server crash or power cut leaves zero corrupted half-completed transactions</t>
  </si>
  <si>
    <t>Enforces ACID compliance; uncommitted transactions rolled back completely by PostgreSQL</t>
  </si>
  <si>
    <t>Core architectural invariant: all operations wrapped in atomic database transactions.</t>
  </si>
  <si>
    <t>Restored to authored P1. The previous workbook had P0 after a keyword rebalance. Code review 2026-10-04 (agent-reviewed, spot-checked): Partial. Key money and stock operations use transaction.atomic, but ATOMIC_REQUESTS is not set so not all operations are wrapped.</t>
  </si>
  <si>
    <t>backend/sales/services.py:cancel; backend/inventory/services.py:post_movement</t>
  </si>
  <si>
    <t>Key money and stock operations use transaction.atomic, but ATOMIC_REQUESTS is not set so not all operations are wrapped.</t>
  </si>
  <si>
    <t>X-0445</t>
  </si>
  <si>
    <t>Invoice generated → invoice sent to customer through WhatsApp</t>
  </si>
  <si>
    <t>Counter Clerk / Salesperson</t>
  </si>
  <si>
    <t>Deliver professional invoice PDF and summary directly to customer's WhatsApp</t>
  </si>
  <si>
    <t>Opens WhatsApp Web / app with pre-filled message and secure invoice download link</t>
  </si>
  <si>
    <t>Supported via WhatsApp click-to-chat API integration and shareable link.</t>
  </si>
  <si>
    <t>X-0446</t>
  </si>
  <si>
    <t>Payment reminder → customer receives reminder</t>
  </si>
  <si>
    <t>Automated payment reminder delivered to customer WhatsApp/SMS with due amount and payment QR</t>
  </si>
  <si>
    <t>Dispatches reminder message; tracks delivery and customer acknowledgment status</t>
  </si>
  <si>
    <t>Supported via WhatsApp automated payment reminder dispatch.</t>
  </si>
  <si>
    <t>X-0447</t>
  </si>
  <si>
    <t>Order confirmation → customer receives confirmation</t>
  </si>
  <si>
    <t>Customer receives instant digital order confirmation receipt upon order booking</t>
  </si>
  <si>
    <t>Sends order confirmation notification with expected delivery date and items ordered</t>
  </si>
  <si>
    <t>Supported via automated order notification webhook.</t>
  </si>
  <si>
    <t>Code review 2026-10-04 (agent-reviewed, spot-checked): Contradicted. No notification is sent on sales order confirmation; messaging covers invoices, payment links and reminders only.</t>
  </si>
  <si>
    <t>Related to X-0449</t>
  </si>
  <si>
    <t>none found: searched order_confirm, NotificationService.send callers in backend/sales</t>
  </si>
  <si>
    <t>No notification is sent on sales order confirmation; messaging covers invoices, payment links and reminders only.</t>
  </si>
  <si>
    <t>X-0448</t>
  </si>
  <si>
    <t>Delivery update → customer receives update</t>
  </si>
  <si>
    <t>Customer receives real-time update when order is dispatched with vehicle tracking info</t>
  </si>
  <si>
    <t>Dispatches dispatch notification with driver phone number and estimated delivery time</t>
  </si>
  <si>
    <t>Supported via delivery challan dispatch event webhook.</t>
  </si>
  <si>
    <t>Code review 2026-10-04 (agent-reviewed, spot-checked): Contradicted. Delivery challan completion triggers no customer notification with driver or ETA details.</t>
  </si>
  <si>
    <t>none found: searched challan dispatch notification, whatsapp, NotificationService.send in sales/notes_services.py</t>
  </si>
  <si>
    <t>Delivery challan completion triggers no customer notification with driver or ETA details.</t>
  </si>
  <si>
    <t>X-0449</t>
  </si>
  <si>
    <t>Return confirmation → customer receives confirmation</t>
  </si>
  <si>
    <t>Customer receives confirmation when returned items are accepted and credit note is issued</t>
  </si>
  <si>
    <t>Sends credit note PDF and balance confirmation directly to customer mobile</t>
  </si>
  <si>
    <t>Supported via SalesReturn approval customer notification.</t>
  </si>
  <si>
    <t>Related to X-0447</t>
  </si>
  <si>
    <t>X-0450</t>
  </si>
  <si>
    <t>Payment receipt → customer receives receipt</t>
  </si>
  <si>
    <t>Customer receives payment receipt acknowledgement immediately upon paying bill</t>
  </si>
  <si>
    <t>Sends digital payment receipt showing amount paid, payment mode, and remaining dues</t>
  </si>
  <si>
    <t>Supported via Payment entry instant receipt share.</t>
  </si>
  <si>
    <t>Code review 2026-10-04 (agent-reviewed, spot-checked): Contradicted. Payment receipt creation sends no receipt acknowledgement; only payment-link and reminder sharing exist.</t>
  </si>
  <si>
    <t>none found: searched receipt share, NotificationService.send in backend/payments</t>
  </si>
  <si>
    <t>Payment receipt creation sends no receipt acknowledgement; only payment-link and reminder sharing exist.</t>
  </si>
  <si>
    <t>X-0451</t>
  </si>
  <si>
    <t>Failed message → delivery status is visible</t>
  </si>
  <si>
    <t>Support Desk</t>
  </si>
  <si>
    <t>Failed SMS or WhatsApp dispatches flagged clearly on message log screen</t>
  </si>
  <si>
    <t>Updates message status to FAILED; displays provider error description (e.g. Invalid Number)</t>
  </si>
  <si>
    <t>Supported via Outbound Message Log (/settings/messages/).</t>
  </si>
  <si>
    <t>Code review 2026-10-04 (agent-reviewed, spot-checked): Confirmed. Notification log sets status FAILED with provider error text, exposed through a list API.</t>
  </si>
  <si>
    <t>backend/core/models.py:Notification; backend/core/views.py:NotificationViewSet</t>
  </si>
  <si>
    <t>Notification log sets status FAILED with provider error text, exposed through a list API.</t>
  </si>
  <si>
    <t>X-0452</t>
  </si>
  <si>
    <t>User resends failed message</t>
  </si>
  <si>
    <t>One-click resend button to re-dispatch invoice or reminder after network failure</t>
  </si>
  <si>
    <t>Re-queues message payload for immediate re-transmission; updates delivery status</t>
  </si>
  <si>
    <t>Supported via 'Resend Message' action in message log.</t>
  </si>
  <si>
    <t>Code review 2026-10-04 (agent-reviewed, spot-checked): Contradicted. No resend or re-queue action exists on the notification log; NotificationViewSet is read-only.</t>
  </si>
  <si>
    <t>none found: searched resend, retry in backend core/views.py and web pages</t>
  </si>
  <si>
    <t>No resend or re-queue action exists on the notification log; NotificationViewSet is read-only.</t>
  </si>
  <si>
    <t>X-0453</t>
  </si>
  <si>
    <t>Communication history remains associated with transaction/customer</t>
  </si>
  <si>
    <t>Sales Staff / Support</t>
  </si>
  <si>
    <t>Full log of messages, reminders, and delivery receipts permanently linked to invoice</t>
  </si>
  <si>
    <t>Stores message audit trail on invoice detail view showing dispatch timestamps and user</t>
  </si>
  <si>
    <t>Supported via Activity Timeline on invoice and customer records.</t>
  </si>
  <si>
    <t>Code review 2026-10-04 (agent-reviewed, spot-checked): Partial. Invoice stores only latest WhatsApp send status and time; Notification rows have no invoice link and no full message trail on the invoice.</t>
  </si>
  <si>
    <t>backend/sales/whatsapp_send.py:persist_invoice_whatsapp; backend/core/models.py:Notification</t>
  </si>
  <si>
    <t>Invoice stores only latest WhatsApp send status and time; Notification rows have no invoice link and no full message trail on the invoice.</t>
  </si>
  <si>
    <t>X-0454</t>
  </si>
  <si>
    <t>Payment gateway → payment status</t>
  </si>
  <si>
    <t>Payment Gateway Webhook</t>
  </si>
  <si>
    <t>Online payment gateway webhooks automatically update transaction status to SUCCESS or FAILED</t>
  </si>
  <si>
    <t>Receives webhook; verifies cryptographic signature; updates Payment record status</t>
  </si>
  <si>
    <t>Supported via Payment Gateway Webhook receiver (/api/v1/payments/webhook/).</t>
  </si>
  <si>
    <t>Code review 2026-10-04 (agent-reviewed, spot-checked): Confirmed. Webhook verifies signature, dedupes events and updates GatewayPayment to captured or refunded status.</t>
  </si>
  <si>
    <t>backend/payments/webhook_views.py:payment_webhook; backend/payments/services.py:finalize_gateway_payment</t>
  </si>
  <si>
    <t>Webhook verifies signature, dedupes events and updates GatewayPayment to captured or refunded status.</t>
  </si>
  <si>
    <t>X-0455</t>
  </si>
  <si>
    <t>Payment gateway → customer ledger</t>
  </si>
  <si>
    <t>Confirmed online payment automatically credits customer ledger without manual entry</t>
  </si>
  <si>
    <t>Creates double-entry ledger voucher crediting Customer AR and debiting Gateway Clearing</t>
  </si>
  <si>
    <t>Core system invariant: verified gateway webhook atomically updates customer ledger.</t>
  </si>
  <si>
    <t>Restored to authored P1. The previous workbook had P0 after a keyword rebalance. Code review 2026-10-04 (agent-reviewed, spot-checked): Confirmed. Verified capture creates a posted CustomerReceipt with ledger posting and parks failures; clearing-account naming not verified.</t>
  </si>
  <si>
    <t>backend/payments/services.py:finalize_gateway_payment; backend/payments/models.py:CustomerReceipt</t>
  </si>
  <si>
    <t>Verified capture creates a posted CustomerReceipt with ledger posting and parks failures; clearing-account naming not verified.</t>
  </si>
  <si>
    <t>X-0456</t>
  </si>
  <si>
    <t>Payment gateway → invoice settlement</t>
  </si>
  <si>
    <t>Confirmed online payment automatically settles corresponding open invoice</t>
  </si>
  <si>
    <t>Creates PaymentAllocation record; marks invoice as PAID; unlocks customer credit limit</t>
  </si>
  <si>
    <t>Automated invoice settlement upon successful gateway payment notification.</t>
  </si>
  <si>
    <t>Code review 2026-10-04 (agent-reviewed, spot-checked): Confirmed. Finalize allocates the receipt to the linked sales invoice via allocate_receipt, creating PaymentAllocation.</t>
  </si>
  <si>
    <t>backend/payments/services.py:finalize_gateway_payment; backend/payments/models.py:PaymentAllocation</t>
  </si>
  <si>
    <t>Finalize allocates the receipt to the linked sales invoice via allocate_receipt, creating PaymentAllocation.</t>
  </si>
  <si>
    <t>X-0457</t>
  </si>
  <si>
    <t>Accounting export → downstream accounting</t>
  </si>
  <si>
    <t>Export sales, purchases, and payments into standardized format for external accounting software</t>
  </si>
  <si>
    <t>Generates structured XML/Excel export compatible with Tally, Busy, or Zoho Books</t>
  </si>
  <si>
    <t>Supported via /accounting/export/tally-xml/ and standard CSV exports.</t>
  </si>
  <si>
    <t>Code review 2026-10-04 (agent-reviewed, spot-checked): Confirmed. Tally export as CSV and Tally XML push exist; no Busy or Zoho Books format.</t>
  </si>
  <si>
    <t>backend/integrations/views.py:TallyExportView; backend/integrations/views.py:TallyHttpPushView</t>
  </si>
  <si>
    <t>Tally export as CSV and Tally XML push exist; no Busy or Zoho Books format.</t>
  </si>
  <si>
    <t>X-0458</t>
  </si>
  <si>
    <t>Accounting data → reconciliation</t>
  </si>
  <si>
    <t>Verify that exported accounting records match external Tally balance sheet figures</t>
  </si>
  <si>
    <t>Provides Trial Balance reconciliation checksum comparing internal books with external export</t>
  </si>
  <si>
    <t>Supported via Trial Balance export reconciliation report.</t>
  </si>
  <si>
    <t>Code review 2026-10-04 (agent-reviewed, spot-checked): Partial. Compares Tally XML sales totals with books sales totals; it is not a trial balance reconciliation checksum.</t>
  </si>
  <si>
    <t>backend/integrations/views.py:TallyMigrationDiffView; backend/integrations/tally_diff.py:parse_tally_amounts</t>
  </si>
  <si>
    <t>Compares Tally XML sales totals with books sales totals; it is not a trial balance reconciliation checksum.</t>
  </si>
  <si>
    <t>X-0459</t>
  </si>
  <si>
    <t>Integration failure → retry</t>
  </si>
  <si>
    <t>System / Celery Worker</t>
  </si>
  <si>
    <t>Transient external API failures automatically retried with exponential backoff</t>
  </si>
  <si>
    <t>Celery task retries up to 5 times with exponential backoff delay before alerting admin</t>
  </si>
  <si>
    <t>Supported via Celery integration retry decorator with exponential backoff.</t>
  </si>
  <si>
    <t>Code review 2026-10-04 (agent-reviewed, spot-checked): Partial. Backoff retries exist for email (max 3) and the refund outbox; no general integration retry decorator with admin alert.</t>
  </si>
  <si>
    <t>backend/core/tasks.py:send_email_notification; backend/payments/models.py:GatewayRefundOutbox</t>
  </si>
  <si>
    <t>Backoff retries exist for email (max 3) and the refund outbox; no general integration retry decorator with admin alert.</t>
  </si>
  <si>
    <t>X-0460</t>
  </si>
  <si>
    <t>Integration retry → idempotent result</t>
  </si>
  <si>
    <t>System / Integration Engine</t>
  </si>
  <si>
    <t>External Service</t>
  </si>
  <si>
    <t>Retried integration requests guarantee zero duplicate records on external services</t>
  </si>
  <si>
    <t>Passes unique idempotency token to external service to prevent duplicate charges or messages</t>
  </si>
  <si>
    <t>Core architectural invariant: all external integration calls enforce idempotency keys.</t>
  </si>
  <si>
    <t>Restored to authored P1. The previous workbook had P0 after a keyword rebalance. Code review 2026-10-04 (agent-reviewed, spot-checked): Partial. Idempotency keys are sent for gateway refunds only; other external calls such as WhatsApp or SMS do not carry idempotency tokens.</t>
  </si>
  <si>
    <t>backend/payments/gateway.py:_stable_refund_key; backend/payments/models.py:GatewayRefundOutbox</t>
  </si>
  <si>
    <t>Idempotency keys are sent for gateway refunds only; other external calls such as WhatsApp or SMS do not carry idempotency tokens.</t>
  </si>
  <si>
    <t>X-0461</t>
  </si>
  <si>
    <t>External reference ID → BizBoard transaction traceability</t>
  </si>
  <si>
    <t>Bank UTR, payment gateway payment ID, or e-way bill number permanently linked to voucher</t>
  </si>
  <si>
    <t>Stores external reference string on Payment/Invoice model; searchable across system</t>
  </si>
  <si>
    <t>Supported via external_reference_id field indexed across all transaction models.</t>
  </si>
  <si>
    <t>Restored to authored P1. The previous workbook had P0 after a keyword rebalance. Code review 2026-10-04 (agent-reviewed, spot-checked): Partial. UTR and provider payment id are stored on receipts and gateway payments; no common external_reference_id field across all transaction models.</t>
  </si>
  <si>
    <t>backend/payments/models.py:utr; backend/payments/models.py:provider_payment_id</t>
  </si>
  <si>
    <t>UTR and provider payment id are stored on receipts and gateway payments; no common external_reference_id field across all transaction models.</t>
  </si>
  <si>
    <t>X-0462</t>
  </si>
  <si>
    <t>Import customer master</t>
  </si>
  <si>
    <t>System Administrator / Accountant</t>
  </si>
  <si>
    <t>Bulk import customer contact list, GSTINs, addresses, and credit limits from Excel/CSV</t>
  </si>
  <si>
    <t>Validates schema and GSTINs; inserts Customer master records in bulk transaction</t>
  </si>
  <si>
    <t>Supported via /imports/customers/ with sample template and dry-run preview.</t>
  </si>
  <si>
    <t>Restored to authored P1. The previous workbook had P0 after a keyword rebalance. Code review 2026-10-04 (agent-reviewed, spot-checked): Partial. Bulk customer import with GSTIN validation, preview and duplicate skip exists; credit limit is not imported.</t>
  </si>
  <si>
    <t>backend/imports/services.py:ImportService; backend/imports/services.py:_commit_customers</t>
  </si>
  <si>
    <t>Bulk customer import with GSTIN validation, preview and duplicate skip exists; credit limit is not imported.</t>
  </si>
  <si>
    <t>X-0463</t>
  </si>
  <si>
    <t>Import supplier master</t>
  </si>
  <si>
    <t>Purchase Team</t>
  </si>
  <si>
    <t>Bulk import vendor directory, GSTINs, payment terms, and contact details from Excel/CSV</t>
  </si>
  <si>
    <t>Inserts Supplier master records in bulk transaction; flags duplicate vendor GSTINs</t>
  </si>
  <si>
    <t>Supported via /imports/suppliers/ with sample CSV template.</t>
  </si>
  <si>
    <t>Code review 2026-10-04 (agent-reviewed, spot-checked): Partial. Supplier import with GSTIN validation and duplicate skip exists; payment terms are not imported.</t>
  </si>
  <si>
    <t>backend/imports/services.py:ImportService; backend/imports/services.py:_commit_suppliers</t>
  </si>
  <si>
    <t>Supplier import with GSTIN validation and duplicate skip exists; payment terms are not imported.</t>
  </si>
  <si>
    <t>X-0464</t>
  </si>
  <si>
    <t>Import product master</t>
  </si>
  <si>
    <t>Catalog Lead / Admin</t>
  </si>
  <si>
    <t>Sales &amp; Inventory Teams</t>
  </si>
  <si>
    <t>Bulk import full product catalog including barcodes, HSN codes, tax rates, and prices</t>
  </si>
  <si>
    <t>Inserts Product master records in bulk; validates HSN format and pricing consistency</t>
  </si>
  <si>
    <t>Supported via /imports/products/ with multi-warehouse opening stock option.</t>
  </si>
  <si>
    <t>Code review 2026-10-04 (agent-reviewed, spot-checked): Confirmed. Product import validates SKU, barcode and HSN and commits all-or-nothing; opening stock handled in same flow.</t>
  </si>
  <si>
    <t>backend/imports/services.py:_commit_products; backend/imports/services.py:_validate_row</t>
  </si>
  <si>
    <t>Product import validates SKU, barcode and HSN and commits all-or-nothing; opening stock handled in same flow.</t>
  </si>
  <si>
    <t>X-0465</t>
  </si>
  <si>
    <t>Import opening stock</t>
  </si>
  <si>
    <t>Inventory Manager / Admin</t>
  </si>
  <si>
    <t>Upload initial physical stock quantities, batch numbers, and unit purchase valuations</t>
  </si>
  <si>
    <t>Initializes StockBalance records; creates StockMovement (OPENING_BALANCE); posts to GL</t>
  </si>
  <si>
    <t>Supported via /imports/opening-stock/ with warehouse location tagging.</t>
  </si>
  <si>
    <t>Code review 2026-10-04 (agent-reviewed, spot-checked): Confirmed. Opening stock rows create opening movements and balances via InventoryService and post to GL with PostingService.post_opening_stock.</t>
  </si>
  <si>
    <t>backend/inventory/models.py:StockBalance; backend/inventory/models.py:StockMovement</t>
  </si>
  <si>
    <t>backend/imports/services.py:_commit_opening_stock; backend/imports/services.py:_post_opening_items; backend/inventory/services.py:InventoryService</t>
  </si>
  <si>
    <t>Opening stock rows create opening movements and balances via InventoryService and post to GL with PostingService.post_opening_stock.</t>
  </si>
  <si>
    <t>X-0466</t>
  </si>
  <si>
    <t>Import opening customer balances</t>
  </si>
  <si>
    <t>Upload existing customer credit (khata) balances and unpaid historical bills into system</t>
  </si>
  <si>
    <t>Initializes opening Accounts Receivable debit balances; establishes opening aging buckets</t>
  </si>
  <si>
    <t>Supported via /imports/customer-balances/ with invoice-level opening bill support.</t>
  </si>
  <si>
    <t>Code review 2026-10-04 (agent-reviewed, spot-checked): Partial. Opening receivables load only through the Tally migration path as opening invoices; no customer-balances import kind in the imports module.</t>
  </si>
  <si>
    <t>backend/integrations/tally/adapter.py:_create_opening_sales; backend/integrations/tally/adapter.py:parse_tally_masters_rows</t>
  </si>
  <si>
    <t>Opening receivables load only through the Tally migration path as opening invoices; no customer-balances import kind in the imports module.</t>
  </si>
  <si>
    <t>X-0467</t>
  </si>
  <si>
    <t>Import opening supplier balances</t>
  </si>
  <si>
    <t>Upload outstanding supplier liabilities and unpaid historical purchase bills</t>
  </si>
  <si>
    <t>Initializes opening Accounts Payable credit balances; establishes opening vendor aging</t>
  </si>
  <si>
    <t>Supported via /imports/supplier-balances/.</t>
  </si>
  <si>
    <t>Code review 2026-10-04 (agent-reviewed, spot-checked): Partial. Opening payables load only through the Tally migration path; no supplier-balances import kind in the imports module.</t>
  </si>
  <si>
    <t>backend/integrations/tally/adapter.py:_create_opening_purchase; backend/integrations/tally/adapter.py:parse_tally_masters_rows</t>
  </si>
  <si>
    <t>Opening payables load only through the Tally migration path; no supplier-balances import kind in the imports module.</t>
  </si>
  <si>
    <t>X-0468</t>
  </si>
  <si>
    <t>Import historical invoices</t>
  </si>
  <si>
    <t>Import previous months' sales invoices for year-to-date GST return and reporting continuity</t>
  </si>
  <si>
    <t>Loads historical invoices with CLOSED status; populates annual sales reporting dataset</t>
  </si>
  <si>
    <t>Supported via /imports/historical-invoices/ with legacy flag.</t>
  </si>
  <si>
    <t>Code review 2026-10-04 (agent-reviewed, spot-checked): Partial. SALES_BILL import creates sales invoices through the normal path; no legacy flag or forced CLOSED status for historical invoices.</t>
  </si>
  <si>
    <t>backend/imports/services.py:_commit_sales; backend/imports/models.py:ImportJob</t>
  </si>
  <si>
    <t>SALES_BILL import creates sales invoices through the normal path; no legacy flag or forced CLOSED status for historical invoices.</t>
  </si>
  <si>
    <t>X-0469</t>
  </si>
  <si>
    <t>Import GST data</t>
  </si>
  <si>
    <t>Import official GSTR-2B or GSTR-1 JSON files downloaded from government GST portal</t>
  </si>
  <si>
    <t>Parses government JSON format; populates inward/outward tax reconciliation tables</t>
  </si>
  <si>
    <t>Supported via /gst/import-json/ supporting standard GST portal schema.</t>
  </si>
  <si>
    <t>Code review 2026-10-04 (agent-reviewed, spot-checked): Partial. GSTR-2B rows can be ingested via upload and offline import; no GSTR-1 JSON import and the schema is not clearly the portal format.</t>
  </si>
  <si>
    <t>backend/reporting/views.py:Gstr2bIngestViewSet; backend/reporting/ims_offline.py:import_offline</t>
  </si>
  <si>
    <t>GSTR-2B rows can be ingested via upload and offline import; no GSTR-1 JSON import and the schema is not clearly the portal format.</t>
  </si>
  <si>
    <t>X-0470</t>
  </si>
  <si>
    <t>Validate imported records</t>
  </si>
  <si>
    <t>Pre-import dry-run validation checking data types, mandatory fields, and foreign keys</t>
  </si>
  <si>
    <t>Scans uploaded spreadsheet; highlights formatting errors before committing to database</t>
  </si>
  <si>
    <t>Supported via Dry-Run Validation stage in all CSV import wizards.</t>
  </si>
  <si>
    <t>Code review 2026-10-04 (agent-reviewed, spot-checked): Confirmed. Upload runs validate to PREVIEWED with per-row errors before commit is allowed.</t>
  </si>
  <si>
    <t>backend/imports/services.py:ImportService; backend/imports/services.py:_validate_row</t>
  </si>
  <si>
    <t>Upload runs validate to PREVIEWED with per-row errors before commit is allowed.</t>
  </si>
  <si>
    <t>X-0471</t>
  </si>
  <si>
    <t>Identify duplicate imported records</t>
  </si>
  <si>
    <t>Detect SKUs, phone numbers, or invoice numbers already existing in database during import</t>
  </si>
  <si>
    <t>Prompts user to skip duplicates, overwrite existing records, or abort import job</t>
  </si>
  <si>
    <t>Built-in duplicate resolution prompt during spreadsheet import.</t>
  </si>
  <si>
    <t>Code review 2026-10-04 (agent-reviewed, spot-checked): Partial. Duplicates are detected and skipped with reporting; no prompt to overwrite or abort.</t>
  </si>
  <si>
    <t>backend/imports/services.py:_commit_customers; backend/imports/services.py:_validate_row</t>
  </si>
  <si>
    <t>Duplicates are detected and skipped with reporting; no prompt to overwrite or abort.</t>
  </si>
  <si>
    <t>X-0472</t>
  </si>
  <si>
    <t>Reject invalid records without corrupting valid records</t>
  </si>
  <si>
    <t>Process valid rows while cleanly separating invalid rows into downloadable error CSV</t>
  </si>
  <si>
    <t>Imports valid rows; outputs error spreadsheet with specific column error annotations</t>
  </si>
  <si>
    <t>Core resilience invariant: batch imports isolate bad rows without rolling back entire job.</t>
  </si>
  <si>
    <t>Code review 2026-10-04 (agent-reviewed, spot-checked): Partial. Customers, suppliers and opening stock commit valid rows with an error report; products block the whole job on any error.</t>
  </si>
  <si>
    <t>backend/imports/services.py:ImportService; backend/imports/views.py:ImportJobViewSet</t>
  </si>
  <si>
    <t>Customers, suppliers and opening stock commit valid rows with an error report; products block the whole job on any error.</t>
  </si>
  <si>
    <t>X-0473</t>
  </si>
  <si>
    <t>Export sales data</t>
  </si>
  <si>
    <t>Export complete itemized sales register with customer names, taxes, and payment status</t>
  </si>
  <si>
    <t>Generates comprehensive Excel/CSV sales export with date range and store filters</t>
  </si>
  <si>
    <t>Supported via /reports/sales-register/ export button.</t>
  </si>
  <si>
    <t>Code review 2026-10-04 (agent-reviewed, spot-checked): Confirmed. sales-register export (CSV/XLSX) uses ReportService.sales_register with date, customer and status filters.</t>
  </si>
  <si>
    <t>backend/reporting/views.py:ExportView; backend/reporting/views.py:EXPORTS</t>
  </si>
  <si>
    <t>sales-register export (CSV/XLSX) uses ReportService.sales_register with date, customer and status filters.</t>
  </si>
  <si>
    <t>X-0474</t>
  </si>
  <si>
    <t>Export purchase data</t>
  </si>
  <si>
    <t>In-house Accountant / Purchase Manager</t>
  </si>
  <si>
    <t>Export itemized purchase register with supplier GSTINs, HSN breakdown, and input tax</t>
  </si>
  <si>
    <t>Generates Excel/CSV purchase export formatted for accounting and tax audit review</t>
  </si>
  <si>
    <t>Supported via /reports/purchase-register/ export button.</t>
  </si>
  <si>
    <t>Code review 2026-10-04 (agent-reviewed, spot-checked): Confirmed. purchase-register export (CSV/XLSX) uses ReportService.purchase_register with date, supplier and status filters.</t>
  </si>
  <si>
    <t>purchase-register export (CSV/XLSX) uses ReportService.purchase_register with date, supplier and status filters.</t>
  </si>
  <si>
    <t>X-0475</t>
  </si>
  <si>
    <t>Export inventory data</t>
  </si>
  <si>
    <t>Inventory Manager / Accountant</t>
  </si>
  <si>
    <t>Export full current inventory valuation, batch lots, expiry dates, and warehouse locations</t>
  </si>
  <si>
    <t>Generates Excel/CSV inventory asset valuation report compliant with accounting standards</t>
  </si>
  <si>
    <t>Supported via /inventory/export/ with warehouse breakdown.</t>
  </si>
  <si>
    <t>Code review 2026-10-04 (agent-reviewed, spot-checked): Partial. inventory-summary export exists; batch lot, expiry and warehouse breakdown are not clearly in the export columns.</t>
  </si>
  <si>
    <t>backend/reporting/views.py:EXPORTS; backend/reporting/services.py:ReportService</t>
  </si>
  <si>
    <t>inventory-summary export exists; batch lot, expiry and warehouse breakdown are not clearly in the export columns.</t>
  </si>
  <si>
    <t>X-0476</t>
  </si>
  <si>
    <t>Export GST data</t>
  </si>
  <si>
    <t>Export monthly GSTR-1, GSTR-3B, or CMP-08 worksheets in government offline format</t>
  </si>
  <si>
    <t>Generates official offline utility JSON and summary Excel workbooks for tax portal upload</t>
  </si>
  <si>
    <t>Supported via /gst/export/ with JSON and Excel export options.</t>
  </si>
  <si>
    <t>Code review 2026-10-04 (agent-reviewed, spot-checked): Partial. GSTR-1/3B/CMP-08 worksheets export as XLSX and a flag-gated GSTN-shaped JSON, described as not a portal upload file.</t>
  </si>
  <si>
    <t>backend/reporting/views.py:GstReturnView; backend/reporting/gst_returns.py:to_gstn_json; backend/reporting/gst_returns.py:gstr_return_to_xlsx</t>
  </si>
  <si>
    <t>GSTR-1/3B/CMP-08 worksheets export as XLSX and a flag-gated GSTN-shaped JSON, described as not a portal upload file.</t>
  </si>
  <si>
    <t>X-0477</t>
  </si>
  <si>
    <t>Export customer ledger</t>
  </si>
  <si>
    <t>Customer / Credit Controller</t>
  </si>
  <si>
    <t>Export customer ledger statement showing debit, credit, and running balance history</t>
  </si>
  <si>
    <t>Generates customer statement PDF and Excel file ready for sharing with client</t>
  </si>
  <si>
    <t>Supported via /sales/customers/{id}/statement/ export.</t>
  </si>
  <si>
    <t>Code review 2026-10-04 (agent-reviewed, spot-checked): Partial. Customer statement with running balance is served as data; no PDF or Excel statement export found.</t>
  </si>
  <si>
    <t>backend/ledgers/services.py:LedgerService; backend/ledgers/views.py:CustomerLedgerDetailView</t>
  </si>
  <si>
    <t>Customer statement with running balance is served as data; no PDF or Excel statement export found.</t>
  </si>
  <si>
    <t>X-0478</t>
  </si>
  <si>
    <t>Export supplier ledger</t>
  </si>
  <si>
    <t>Export supplier ledger statement showing purchase bills, debit notes, and payments</t>
  </si>
  <si>
    <t>Generates supplier statement PDF and Excel file ready for sharing with vendor</t>
  </si>
  <si>
    <t>Code review 2026-10-04 (agent-reviewed, spot-checked): Partial. Supplier statement is served as data; no PDF or Excel statement export found.</t>
  </si>
  <si>
    <t>Supplier statement is served as data; no PDF or Excel statement export found.</t>
  </si>
  <si>
    <t>Export full double-entry general ledger, Trial Balance, and voucher entries</t>
  </si>
  <si>
    <t>Generates Tally-compatible XML voucher export and comprehensive Excel Trial Balance</t>
  </si>
  <si>
    <t>Supported via /accounting/export/tally-xml/.</t>
  </si>
  <si>
    <t>Code review 2026-10-04 (agent-reviewed, spot-checked): Partial. Trial balance exports to XLSX; Tally XML covers only open sales invoices and masters, not a full ledger voucher export.</t>
  </si>
  <si>
    <t>Duplicate of P-0111; Same task as P-0111</t>
  </si>
  <si>
    <t>backend/accounting/views.py:AccountingReportView; backend/integrations/tally/adapter.py:_vouchers_xml</t>
  </si>
  <si>
    <t>Trial balance exports to XLSX; Tally XML covers only open sales invoices and masters, not a full ledger voucher export.</t>
  </si>
  <si>
    <t>X-0480</t>
  </si>
  <si>
    <t>Imported data becomes available to downstream modules</t>
  </si>
  <si>
    <t>System / Data Engine</t>
  </si>
  <si>
    <t>Imported customers, products, and balances immediately accessible across billing and stock</t>
  </si>
  <si>
    <t>Refreshes search caches; enables newly imported entities across all transactional screens</t>
  </si>
  <si>
    <t>Core system invariant: imported entities immediately queryable across all application views.</t>
  </si>
  <si>
    <t>Code review 2026-10-04 (agent-reviewed, spot-checked): Confirmed. Imports write directly to Customer, Product and opening-stock tables, so entities are queryable by all modules; no cache refresh needed.</t>
  </si>
  <si>
    <t>backend/imports/services.py:_commit_customers; backend/imports/services.py:_commit_products</t>
  </si>
  <si>
    <t>Imports write directly to Customer, Product and opening-stock tables, so entities are queryable by all modules; no cache refresh needed.</t>
  </si>
  <si>
    <t>X-0481</t>
  </si>
  <si>
    <t>Exported data reconciles with on-screen business data</t>
  </si>
  <si>
    <t>Exported spreadsheets match figures and balances displayed on dashboard screens to the rupee</t>
  </si>
  <si>
    <t>Guarantees exact numerical alignment between on-screen dashboards and exported files</t>
  </si>
  <si>
    <t>Core reporting invariant: exported datasets generated from identical database queries as UI.</t>
  </si>
  <si>
    <t>Code review 2026-10-04 (agent-reviewed, spot-checked): Confirmed. Exports call the same ReportService.sales_register/purchase_register methods that the register screens use.</t>
  </si>
  <si>
    <t>backend/reporting/views.py:ExportView; backend/reporting/services.py:ReportService</t>
  </si>
  <si>
    <t>Exports call the same ReportService.sales_register/purchase_register methods that the register screens use.</t>
  </si>
  <si>
    <t>X-0482</t>
  </si>
  <si>
    <t>Cashier closes day's sales</t>
  </si>
  <si>
    <t>Store Cashier</t>
  </si>
  <si>
    <t>Formal end-of-shift register closing locking daily sales and printing cashier shift summary</t>
  </si>
  <si>
    <t>Locks daily till shift; prints shift summary slip detailing total sales and payment splits</t>
  </si>
  <si>
    <t>Supported via /pos/shift-close workflow.</t>
  </si>
  <si>
    <t>Code review 2026-10-04 (agent-reviewed, spot-checked): Contradicted. No POS shift or day-close model, view or screen exists in code.</t>
  </si>
  <si>
    <t>none found: searched shift close, ShiftClose, z-report, shift in backend and web/src/pages/pos</t>
  </si>
  <si>
    <t>No POS shift or day-close model, view or screen exists in code.</t>
  </si>
  <si>
    <t>X-0483</t>
  </si>
  <si>
    <t>Cashier reconciles cash</t>
  </si>
  <si>
    <t>Count physical currency denominations in cash drawer and compare against system expected cash</t>
  </si>
  <si>
    <t>Records denomination breakdown; calculates cash overage or shortage variance</t>
  </si>
  <si>
    <t>Supported via Cash Denomination Counter on shift close screen. | Drift check 2026-10-05: Cash shift register with denominations and close exists in accounting/cash_shifts.py</t>
  </si>
  <si>
    <t>Code review 2026-10-04 (agent-reviewed, spot-checked): Contradicted. No cash denomination counter or shift variance calculation exists.</t>
  </si>
  <si>
    <t>none found: searched denomination, cash drawer, shift in backend and web/src</t>
  </si>
  <si>
    <t>No cash denomination counter or shift variance calculation exists.</t>
  </si>
  <si>
    <t>X-0484</t>
  </si>
  <si>
    <t>Digital payments are reconciled</t>
  </si>
  <si>
    <t>Store Cashier / Accountant</t>
  </si>
  <si>
    <t>Verify UPI and card terminal settlement slips against POS digital payment totals</t>
  </si>
  <si>
    <t>Cross-checks EDC card swipe machine totals and UPI settlement against system payment records</t>
  </si>
  <si>
    <t>Supported via Digital Settlement Reconciliation step on shift close.</t>
  </si>
  <si>
    <t>Code review 2026-10-04 (agent-reviewed, spot-checked): Contradicted. No POS card/UPI settlement reconciliation step on a shift close exists.</t>
  </si>
  <si>
    <t>none found: searched shift, settlement reconciliation, EDC in backend and web/src/pages/pos</t>
  </si>
  <si>
    <t>No POS card/UPI settlement reconciliation step on a shift close exists.</t>
  </si>
  <si>
    <t>X-0485</t>
  </si>
  <si>
    <t>Owner reviews daily sales</t>
  </si>
  <si>
    <t>Review daily store performance, total revenue, bill count, and cash collected at day end</t>
  </si>
  <si>
    <t>Displays daily closing executive summary card on mobile app; sends daily WhatsApp digest</t>
  </si>
  <si>
    <t>Supported via Daily Closing Summary card and automated owner WhatsApp report.</t>
  </si>
  <si>
    <t>X-0486</t>
  </si>
  <si>
    <t>Owner reviews daily gross margin</t>
  </si>
  <si>
    <t>Inspect realized gross margin earned on today's business to verify profitability</t>
  </si>
  <si>
    <t>Computes today's realized gross profit = SUM(Line Price - Line FIFO Cost) across all sales</t>
  </si>
  <si>
    <t>Supported via Daily Margin Snapshot on Owner Executive Dashboard.</t>
  </si>
  <si>
    <t>Code review 2026-10-04 (agent-reviewed, spot-checked): Partial. Realised margin (revenue minus COGS) is stored per invoice and rolled up by date range; the dashboard has no daily margin snapshot.</t>
  </si>
  <si>
    <t>backend/reporting/invoice_profit_service.py; backend/reporting/views.py:InvoiceProfitRollupView; backend/reporting/services.py:ReportService</t>
  </si>
  <si>
    <t>Realised margin (revenue minus COGS) is stored per invoice and rolled up by date range; the dashboard has no daily margin snapshot.</t>
  </si>
  <si>
    <t>X-0487</t>
  </si>
  <si>
    <t>Owner reviews outstanding collections</t>
  </si>
  <si>
    <t>Review debt collections deposited today against overall accounts receivable target</t>
  </si>
  <si>
    <t>Summarizes total customer payments collected today; updates month-to-date collection target</t>
  </si>
  <si>
    <t>Supported via Daily Collections Summary widget.</t>
  </si>
  <si>
    <t>Code review 2026-10-04 (agent-reviewed, spot-checked): Partial. Day book shows PAYMENT_IN inflow for a date; no collections summary widget or month-to-date collection target.</t>
  </si>
  <si>
    <t>backend/reporting/transactions.py:day_book; backend/reporting/services.py:ReportService</t>
  </si>
  <si>
    <t>Day book shows PAYMENT_IN inflow for a date; no collections summary widget or month-to-date collection target.</t>
  </si>
  <si>
    <t>X-0488</t>
  </si>
  <si>
    <t>Owner reviews inventory movements</t>
  </si>
  <si>
    <t>Inspect daily stock summary: inward supplier receipts, outward sales, and transfer movements</t>
  </si>
  <si>
    <t>Renders summary of total units received, units sold, and transfer movements executed today</t>
  </si>
  <si>
    <t>Supported via Daily Inventory Movement Summary report.</t>
  </si>
  <si>
    <t>Code review 2026-10-04 (agent-reviewed, spot-checked): Contradicted. Only a raw stock-movement list exists; no daily received/sold/transferred summary report found.</t>
  </si>
  <si>
    <t>backend/inventory/views.py:StockMovementViewSet</t>
  </si>
  <si>
    <t>Only a raw stock-movement list exists; no daily received/sold/transferred summary report found.</t>
  </si>
  <si>
    <t>X-0489</t>
  </si>
  <si>
    <t>Owner reviews exceptions</t>
  </si>
  <si>
    <t>Review operational anomalies logged during the day: bill cancellations, discounts, shortages</t>
  </si>
  <si>
    <t>Displays AttentionRowState exception feed requiring owner review or acknowledgement</t>
  </si>
  <si>
    <t>Supported via Attention / Exception Feed on Owner Dashboard.</t>
  </si>
  <si>
    <t>Code review 2026-10-04 (agent-reviewed, spot-checked): Partial. Attention feed with dismiss/snooze exists, but rows cover GST, overdue, expiry and similar items, not cancellations, discounts or shortages.</t>
  </si>
  <si>
    <t>backend/insights/models.py:AttentionRowState; backend/insights/attention.py:build_attention_rows</t>
  </si>
  <si>
    <t>Attention feed with dismiss/snooze exists, but rows cover GST, overdue, expiry and similar items, not cancellations, discounts or shortages.</t>
  </si>
  <si>
    <t>X-0490</t>
  </si>
  <si>
    <t>Accountant reconciles sales</t>
  </si>
  <si>
    <t>Verify that all completed sales invoices match sales register and general ledger postings</t>
  </si>
  <si>
    <t>Cross-checks invoice subtotal, taxes, and round-offs against Sales Revenue GL account</t>
  </si>
  <si>
    <t>Supported via Sales Reconciliation Report (/accounting/reconcile-sales/).</t>
  </si>
  <si>
    <t>Code review 2026-10-04 (agent-reviewed, spot-checked): Partial. DOCS_GL_AR_MISMATCH compares invoice outstanding to GL AR; no sales revenue, tax and round-off reconciliation report.</t>
  </si>
  <si>
    <t>backend/accounting/services.py:BooksHealthService; backend/accounting/services.py:control_balances</t>
  </si>
  <si>
    <t>DOCS_GL_AR_MISMATCH compares invoice outstanding to GL AR; no sales revenue, tax and round-off reconciliation report.</t>
  </si>
  <si>
    <t>X-0491</t>
  </si>
  <si>
    <t>Accountant reconciles purchases</t>
  </si>
  <si>
    <t>Verify that all supplier bills match inventory receipts and Accounts Payable ledger postings</t>
  </si>
  <si>
    <t>Cross-checks purchase bill totals against Inventory Asset / Expense accounts in GL</t>
  </si>
  <si>
    <t>Supported via Purchase Reconciliation Report (/accounting/reconcile-purchases/).</t>
  </si>
  <si>
    <t>Code review 2026-10-04 (agent-reviewed, spot-checked): Partial. DOCS_GL_AP_MISMATCH compares bills to GL AP; no check against inventory asset or expense accounts.</t>
  </si>
  <si>
    <t>DOCS_GL_AP_MISMATCH compares bills to GL AP; no check against inventory asset or expense accounts.</t>
  </si>
  <si>
    <t>X-0492</t>
  </si>
  <si>
    <t>Accountant reconciles payments</t>
  </si>
  <si>
    <t>Ensure all cash, UPI, and bank collections reconcile with bank statements and till balances</t>
  </si>
  <si>
    <t>Performs daily payment reconciliation; verifies clearing accounts balance to zero</t>
  </si>
  <si>
    <t>Supported via Payment Clearing Reconciliation dashboard.</t>
  </si>
  <si>
    <t>Code review 2026-10-04 (agent-reviewed, spot-checked): Partial. Bank reconciliation sessions and advance-vs-GL checks exist; no daily payment clearing-account-to-zero reconciliation.</t>
  </si>
  <si>
    <t>backend/accounting/views.py:BankReconSessionViewSet; backend/accounting/services.py:BooksHealthService</t>
  </si>
  <si>
    <t>Bank reconciliation sessions and advance-vs-GL checks exist; no daily payment clearing-account-to-zero reconciliation.</t>
  </si>
  <si>
    <t>X-0493</t>
  </si>
  <si>
    <t>Period closing prevents unauthorized historical modification</t>
  </si>
  <si>
    <t>In-house Accountant / Admin</t>
  </si>
  <si>
    <t>Locking financial accounting period prevents back-dated edits, deletions, or new vouchers</t>
  </si>
  <si>
    <t>Sets AccountingPeriod.is_closed=True; API blocks any transaction creation with date in closed period</t>
  </si>
  <si>
    <t>Core compliance invariant: closed accounting periods strictly reject new or amended vouchers.</t>
  </si>
  <si>
    <t>Code review 2026-10-04 (agent-reviewed, spot-checked): Confirmed. Period status CLOSED/SOFT_CLOSED (not an is_closed field) blocks posting and money amends via the shared guard.</t>
  </si>
  <si>
    <t>backend/accounting/models.py:AccountingPeriod</t>
  </si>
  <si>
    <t>backend/tests/test_a10_period_centralization.py; backend/tests/test_audit_p0_decisions.py; backend/tests/test_cft_checklist.py</t>
  </si>
  <si>
    <t>backend/accounting/models.py:AccountingPeriod; backend/reporting/gst_periods.py:assert_period_allows_money_amend; backend/accounting/views.py:PeriodViewSet</t>
  </si>
  <si>
    <t>Period status CLOSED/SOFT_CLOSED (not an is_closed field) blocks posting and money amends via the shared guard.</t>
  </si>
  <si>
    <t>X-0494</t>
  </si>
  <si>
    <t>Period reports remain reproducible</t>
  </si>
  <si>
    <t>Financial statements for closed periods produce identical numbers upon future re-generation</t>
  </si>
  <si>
    <t>Guarantees that historical P&amp;L, Balance Sheet, and GST returns remain 100% reproducible</t>
  </si>
  <si>
    <t>Core accounting invariant: locked historical periods guarantee reproducible financial statements.</t>
  </si>
  <si>
    <t>Code review 2026-10-04 (agent-reviewed, spot-checked): Partial. Period locks stop back-dated postings and GST returns get hashed snapshots; no stored snapshot of P&amp;L or balance sheet.</t>
  </si>
  <si>
    <t>backend/reporting/gst_returns.py:persist_snapshot; backend/reporting/gst_periods.py:assert_period_allows_money_amend</t>
  </si>
  <si>
    <t>Period locks stop back-dated postings and GST returns get hashed snapshots; no stored snapshot of P&amp;L or balance sheet.</t>
  </si>
  <si>
    <t>P-0495</t>
  </si>
  <si>
    <t>Delivery Driver / Route Logistics</t>
  </si>
  <si>
    <t>Receive daily dispatch manifest and loaded vehicle stock</t>
  </si>
  <si>
    <t>Driver accepts assigned delivery route manifest and verifies physical vehicle parcel count</t>
  </si>
  <si>
    <t>Updates DispatchRun status to OUT_FOR_DELIVERY; transfers custody of goods to driver</t>
  </si>
  <si>
    <t>Supported via Driver Mobile PWA (/operations/driver/); displays sequential stop manifest.</t>
  </si>
  <si>
    <t>Code review 2026-10-04 (agent-reviewed, spot-checked): Partial. Route can be started to IN_TRANSIT with ordered stops; no DispatchRun, OUT_FOR_DELIVERY status or driver PWA.</t>
  </si>
  <si>
    <t>FLEET</t>
  </si>
  <si>
    <t>Fleet and delivery</t>
  </si>
  <si>
    <t>Driver</t>
  </si>
  <si>
    <t>backend/sales/models.py:DeliveryRoute; backend/sales/route_service.py</t>
  </si>
  <si>
    <t>Route can be started to IN_TRANSIT with ordered stops; no DispatchRun, OUT_FOR_DELIVERY status or driver PWA.</t>
  </si>
  <si>
    <t>P-0496</t>
  </si>
  <si>
    <t>Navigate multi-drop route using mobile PWA</t>
  </si>
  <si>
    <t>Driver navigates sequential retail drops using turn-by-turn map integration</t>
  </si>
  <si>
    <t>Tracks live vehicle delivery progress and timestamps arrival at each customer premise</t>
  </si>
  <si>
    <t>Supported in Driver PWA with Google Maps / OSM routing link per stop.</t>
  </si>
  <si>
    <t>Code review 2026-10-04 (agent-reviewed, spot-checked): Partial. Stops have sequence and delivered_at timestamp; no per-stop map or turn-by-turn navigation link.</t>
  </si>
  <si>
    <t>backend/sales/models.py:DeliveryRouteStop; web/src/pages/sales/DeliveryRoutesPage.tsx</t>
  </si>
  <si>
    <t>Stops have sequence and delivered_at timestamp; no per-stop map or turn-by-turn navigation link.</t>
  </si>
  <si>
    <t>P-0497</t>
  </si>
  <si>
    <t>Hand over goods and verify carton/box count with retailer</t>
  </si>
  <si>
    <t>Retail Merchant</t>
  </si>
  <si>
    <t>Physical verification of delivered parcels against Delivery Challan at customer shop</t>
  </si>
  <si>
    <t>Verifies parcel count and package integrity before obtaining receipt signature</t>
  </si>
  <si>
    <t>Supported via stop-level parcel verification checklist on mobile screen.</t>
  </si>
  <si>
    <t>Code review 2026-10-04 (agent-reviewed, spot-checked): Contradicted. No parcel or carton count verification checklist at stop level.</t>
  </si>
  <si>
    <t>none found: searched parcel count, carton verification in backend/sales and DeliveryRoutesPage</t>
  </si>
  <si>
    <t>No parcel or carton count verification checklist at stop level.</t>
  </si>
  <si>
    <t>P-0498</t>
  </si>
  <si>
    <t>Capture Proof of Delivery (POD) via customer digital signature or OTP</t>
  </si>
  <si>
    <t>Legally indisputable proof of physical delivery captured on mobile screen</t>
  </si>
  <si>
    <t>Uploads digital signature image or validates 4-digit customer SMS OTP; marks stop DELIVERED</t>
  </si>
  <si>
    <t>Supported via HTML5 signature canvas or customer delivery OTP verification.</t>
  </si>
  <si>
    <t>Code review 2026-10-04 (agent-reviewed, spot-checked): Partial. POD stores received-by name, photo and entered OTP and marks stop DELIVERED; OTP is not validated against SMS and no signature canvas.</t>
  </si>
  <si>
    <t>backend/sales/models.py:DeliveryRouteStop; backend/sales/route_service.py</t>
  </si>
  <si>
    <t>POD stores received-by name, photo and entered OTP and marks stop DELIVERED; OTP is not validated against SMS and no signature canvas.</t>
  </si>
  <si>
    <t>P-0499</t>
  </si>
  <si>
    <t>Record partial delivery rejection on-the-spot (damaged/refused boxes)</t>
  </si>
  <si>
    <t>Accurate logging of items rejected by customer at doorstep with mandatory photo capture</t>
  </si>
  <si>
    <t>Creates partial delivery note; generates return transit movement back to godown</t>
  </si>
  <si>
    <t>Supported via Delivery Exception workflow with camera photo attachment.</t>
  </si>
  <si>
    <t>Code review 2026-10-04 (agent-reviewed, spot-checked): Partial. Stop can be FAILED or RETURNED and challan returns exist; no partial-rejection note with mandatory photo or auto transit movement.</t>
  </si>
  <si>
    <t>backend/sales/route_service.py; backend/sales/models.py:DeliveryChallanReturn</t>
  </si>
  <si>
    <t>Stop can be FAILED or RETURNED and challan returns exist; no partial-rejection note with mandatory photo or auto transit movement.</t>
  </si>
  <si>
    <t>P-0500</t>
  </si>
  <si>
    <t>Collect Cash-on-Delivery (COD) or UPI payment from customer</t>
  </si>
  <si>
    <t>Driver collects cash or displays dynamic UPI QR on driver phone to settle invoice</t>
  </si>
  <si>
    <t>Creates DriverPaymentReceipt; records driver cash liability; updates invoice payment status</t>
  </si>
  <si>
    <t>Supported via mobile UPI QR generator and driver cash collection ledger.</t>
  </si>
  <si>
    <t>Code review 2026-10-04 (agent-reviewed, spot-checked): Partial. Stop can link a customer receipt and a UPI URI builder exists; no DriverPaymentReceipt or driver cash liability ledger.</t>
  </si>
  <si>
    <t>backend/sales/models.py:DeliveryRouteStop; web/src/utils/upi.ts:buildUpiUri</t>
  </si>
  <si>
    <t>Stop can link a customer receipt and a UPI URI builder exists; no DriverPaymentReceipt or driver cash liability ledger.</t>
  </si>
  <si>
    <t>P-0501</t>
  </si>
  <si>
    <t>Reconcile daily route collections and return unsold/rejected stock to godown</t>
  </si>
  <si>
    <t>Cashier / Godown Keeper</t>
  </si>
  <si>
    <t>Driver hands over collected cash to cashier and returns rejected boxes to warehouse</t>
  </si>
  <si>
    <t>Reconciles driver cash envelope against system collections; restores returned stock to bins</t>
  </si>
  <si>
    <t>Supported via Route Close &amp; Driver Reconciliation screen (/operations/driver-settlement/).</t>
  </si>
  <si>
    <t>Code review 2026-10-04 (agent-reviewed, spot-checked): Contradicted. No driver cash reconciliation or route-close settlement screen exists.</t>
  </si>
  <si>
    <t>none found: searched driver settlement, DriverPaymentReceipt, DispatchRun</t>
  </si>
  <si>
    <t>No driver cash reconciliation or route-close settlement screen exists.</t>
  </si>
  <si>
    <t>P-0502</t>
  </si>
  <si>
    <t>External CA / Statutory Auditor</t>
  </si>
  <si>
    <t>Review Trial Balance, P&amp;L, and Balance Sheet in Schedule III format</t>
  </si>
  <si>
    <t>Statutory review of company financial statements aligned to Indian Accounting Standards</t>
  </si>
  <si>
    <t>Generates multi-period comparative Trial Balance, Profit &amp; Loss, and Balance Sheet</t>
  </si>
  <si>
    <t>Supported via /accounting/reports/ (Trial Balance, P&amp;L, Balance Sheet) with Schedule III grouping.</t>
  </si>
  <si>
    <t>Code review 2026-10-04 (agent-reviewed, spot-checked): Partial. TB, P&amp;L, balance sheet exist; Schedule III grouping is only referenced for cash flow, no multi-period comparatives.</t>
  </si>
  <si>
    <t>TB, P&amp;L, balance sheet exist; Schedule III grouping is only referenced for cash flow, no multi-period comparatives.</t>
  </si>
  <si>
    <t>Independent verification of Input Tax Credit claims; segregates Section 17(5) blocked credits</t>
  </si>
  <si>
    <t>Validates tax return audit trail; prevents tax demand notices and penalty interest under Sec 50</t>
  </si>
  <si>
    <t>Supported via GSTR-2B Automated Matcher with Section 17(5) blocked credit classification. | Decision 2026-10-04 (delegated, quality-first): Build in MVP (3 days). Section 17(5) blocked-credit classification in the 2A/2B reconciliation. | Truth 2026-10-05 (WI-019): Partial. Blocked-credit classification is not added to the existing reporting/gstr2b.py reconciliation of uploaded 2B files; it only scores caller-supplied rows via /plan/gstr2b/score/ with a caller-supplied blocked_credit flag. The blocked-credit rule table and a standalone scorer exist but are not wired into the uploaded-2B reconciliation.</t>
  </si>
  <si>
    <t>Code review 2026-10-04 (agent-reviewed, spot-checked): Partial. 2B matching and eligible/ineligible flags exist, but no Section 17(5) blocked-credit classification.</t>
  </si>
  <si>
    <t>backend/tests/snapshots/test_gstr2b_and_pdf.py::test_gstr2b_reconciliation_snapshot; backend/tests/test_b03_ims.py::test_reject_splits_ineligible_tax_to_cogs_when_goods_already_sold; backend/tests/test_planwave_finish.py::test_2b_blocked_invoice_is_not_eligible</t>
  </si>
  <si>
    <t>backend/planwave/finish.py:score_2b_rows; backend/planwave/services.py:blocked_credit_match; backend/planwave/models.py:BlockedCreditRule</t>
  </si>
  <si>
    <t>backend/reporting/gstr2b.py:match_gstr2b_to_purchases; backend/purchases/models.py:ItcEligibility</t>
  </si>
  <si>
    <t>P-0504</t>
  </si>
  <si>
    <t>Verify TDS Section 194Q and TCS Section 206C(1H) statutory deduction compliance</t>
  </si>
  <si>
    <t>Confirm that cumulative threshold (&gt; ₹50 Lakhs) TDS/TCS withholdings match statutory rates</t>
  </si>
  <si>
    <t>Generates TDS/TCS Audit Ledger verifying vendor PAN active status and quarterly challans</t>
  </si>
  <si>
    <t>Supported via TDS/TCS Withholding Summary Report (/accounting/reports/tds-tcs/).</t>
  </si>
  <si>
    <t>Code review 2026-10-04 (agent-reviewed, spot-checked): Partial. TDS/TCS worksheets list deductions; no 194Q 50-lakh threshold test, PAN status verification or challan checks.</t>
  </si>
  <si>
    <t>backend/reporting/tds_worksheets.py:tds_worksheet_rows; backend/reporting/tds_worksheets.py:tcs_worksheet_rows</t>
  </si>
  <si>
    <t>TDS/TCS worksheets list deductions; no 194Q 50-lakh threshold test, PAN status verification or challan checks.</t>
  </si>
  <si>
    <t>P-0505</t>
  </si>
  <si>
    <t>Inspect Depreciation Schedule and Fixed Assets Register under Income Tax / Companies Act</t>
  </si>
  <si>
    <t>Verify fixed asset capitalization, additions, disposals, and dual-rate depreciation schedules</t>
  </si>
  <si>
    <t>Validates WDV and SLM depreciation calculations; matches net block with balance sheet assets</t>
  </si>
  <si>
    <t>Supported via Fixed Assets Register and Depreciation Engine (/accounting/fixed-assets/).</t>
  </si>
  <si>
    <t>Code review 2026-10-04 (agent-reviewed, spot-checked): Confirmed. FixedAsset supports SLM and WDV methods, disposal, accumulated depreciation and scheduled monthly posting.</t>
  </si>
  <si>
    <t>FA</t>
  </si>
  <si>
    <t>Finance and fixed assets</t>
  </si>
  <si>
    <t>backend/accounting/models.py:FixedAsset; backend/accounting/tasks.py:FixedAsset</t>
  </si>
  <si>
    <t>FixedAsset supports SLM and WDV methods, disposal, accumulated depreciation and scheduled monthly posting.</t>
  </si>
  <si>
    <t>P-0506</t>
  </si>
  <si>
    <t>Validate GSTR-9 annual return computation and reconciliation with audited financials</t>
  </si>
  <si>
    <t>Compile GSTR-9 Annual Return and GSTR-9C reconciliation statement from source vouchers</t>
  </si>
  <si>
    <t>Compares audited P&amp;L turnover with GSTR-1 outward taxable supplies; explains variances</t>
  </si>
  <si>
    <t>Supported via GSTR-9 Annual Worksheet compiler in gst module.</t>
  </si>
  <si>
    <t>Code review 2026-10-04 (agent-reviewed, spot-checked): Partial. GSTR-9 builder exists; no GSTR-9C or reconciliation against audited P&amp;L turnover.</t>
  </si>
  <si>
    <t>backend/reporting/gst_returns.py:build_gstr9</t>
  </si>
  <si>
    <t>GSTR-9 builder exists; no GSTR-9C or reconciliation against audited P&amp;L turnover.</t>
  </si>
  <si>
    <t>Verify that accounting software maintains unbroken, tamper-proof edit logs without disabled periods</t>
  </si>
  <si>
    <t>Generates Audit Trail Certification Report proving edit logging was active throughout FY</t>
  </si>
  <si>
    <t>Core compliance invariant: Django SimpleHistory audit trail strictly conforms to MCA Rule 11(g). | Decision 2026-10-04 (delegated, quality-first): Build in MVP (2 days). Rule 11(g) coverage map signed off by the CA, edit log on every accounting record, certification export. | Truth 2026-10-05 (WI-003): Partial. Coverage map and certification export exist, but the export does not list the periods logging was on (it returns logging_on=True or refuses). Nothing writes LoggingWindow rows automatically. No edit log (before/after) on every accounting record, only per-action audit events. No test asserts every AUDIT_COVERAGE event is actually emitted. Read certification_export, coverage map and audit tests; the map and a refuse-on-dark-window export exist but the edit log and period listing do not.</t>
  </si>
  <si>
    <t>django-simple-history is not a dependency. The note names the wrong audit mechanism. 2026-10-04: hash chain exists. A mapping to MCA Rule 11(g) (edit log on every accounting record) was not verified. Code review 2026-10-04 (agent-reviewed, spot-checked): Partial. Hash-chained audit events with verify exist; not django-simple-history, and no certification report or Rule 11(g) coverage of all records.</t>
  </si>
  <si>
    <t>backend/tests/test_audit_append_only.py::test_deleting_is_refused_on_instance_and_queryset; backend/tests/test_audit_append_only.py::test_editing_a_sealed_event_is_detected; backend/tests/test_audit_append_only.py::test_saving_an_existing_event_is_refused; backend/tests/test_planwave_remaining.py::test_certification_refuses_a_dark_window; backend/tests/test_register_audit_coverage.py::test_sales_invoice_complete_writes_audit_event; backend/tests/test_plan_above_items.py::test_period_lock_and_reopen_name_the_actor</t>
  </si>
  <si>
    <t>backend/planwave/services.py:certification_export; backend/planwave/services.py:AUDIT_COVERAGE; backend/planwave/models.py:LoggingWindow; backend/planwave/views.py:CertificationView</t>
  </si>
  <si>
    <t>backend/core/services/audit_chain.py:seal; backend/core/services/audit_chain.py:verify</t>
  </si>
  <si>
    <t>P-0508</t>
  </si>
  <si>
    <t>Export audited financial vouchers to external CA software (Tally / Computax / Winman)</t>
  </si>
  <si>
    <t>Seamless export of full year's vouchers into Tally XML format for final tax computation</t>
  </si>
  <si>
    <t>Generates clean Tally-compliant XML voucher dataset with ledger masters and inventory items</t>
  </si>
  <si>
    <t>Code review 2026-10-04 (agent-reviewed, spot-checked): Partial. Voucher XML is built only for HTTP push to Tally; no downloadable full-year Tally XML file with inventory items.</t>
  </si>
  <si>
    <t>backend/integrations/tally/adapter.py:_vouchers_xml; backend/integrations/tally/adapter.py:push_vouchers_http</t>
  </si>
  <si>
    <t>Voucher XML is built only for HTTP push to Tally; no downloadable full-year Tally XML file with inventory items.</t>
  </si>
  <si>
    <t>P-0509</t>
  </si>
  <si>
    <t>Assembly / Production Supervisor</t>
  </si>
  <si>
    <t>Define Bill of Materials (BOM) for kit assembly or bulk repackaging</t>
  </si>
  <si>
    <t>Production Supervisor</t>
  </si>
  <si>
    <t>Specify exact raw materials, packaging pouches, and quantities required to produce finished SKU</t>
  </si>
  <si>
    <t>Creates BillOfMaterials master; links component SKUs, scrap factors, and yield ratios</t>
  </si>
  <si>
    <t>Supported via /manufacturing/boms/create with multi-level component definition.</t>
  </si>
  <si>
    <t>Code review 2026-10-04 (agent-reviewed, spot-checked): Partial. Bom and BomLine with component quantities exist; no multi-level BOM, scrap factor or yield ratio fields.</t>
  </si>
  <si>
    <t>MFG</t>
  </si>
  <si>
    <t>Manufacture and assemble</t>
  </si>
  <si>
    <t>manufacturing</t>
  </si>
  <si>
    <t>Production</t>
  </si>
  <si>
    <t>backend/manufacturing/models.py:Bom; backend/manufacturing/models.py:BomLine</t>
  </si>
  <si>
    <t>Bom and BomLine with component quantities exist; no multi-level BOM, scrap factor or yield ratio fields.</t>
  </si>
  <si>
    <t>P-0510</t>
  </si>
  <si>
    <t>Issue raw materials to production work order</t>
  </si>
  <si>
    <t>Deduct bulk grains, chemicals, or packaging material from warehouse for assembly line</t>
  </si>
  <si>
    <t>Creates StockMovement (CONSUMPTION_OUTWARD); reduces raw material stock balance</t>
  </si>
  <si>
    <t>Supported via WorkOrder execution step; decrements component stock atomically.</t>
  </si>
  <si>
    <t>Matched WorkOrder in product code. This is not a functional test. Restored to authored P1. The previous workbook had P0 after a keyword rebalance.</t>
  </si>
  <si>
    <t>F-0754</t>
  </si>
  <si>
    <t>backend/inventory/models.py:StockMovement; backend/manufacturing/models.py:WorkOrder</t>
  </si>
  <si>
    <t>P-0511</t>
  </si>
  <si>
    <t>Record finished goods receipt and waste / scrap shrinkage</t>
  </si>
  <si>
    <t>Inward packaged retail pouches or assembled kits into finished goods inventory warehouse</t>
  </si>
  <si>
    <t>Creates StockMovement (PRODUCTION_INWARD); records manufacturing batch number and scrap %</t>
  </si>
  <si>
    <t>Supported via WorkOrder completion screen; generates finished product batch lot.</t>
  </si>
  <si>
    <t>Matched WorkOrder in product code. This is not a functional test.</t>
  </si>
  <si>
    <t>P-0512</t>
  </si>
  <si>
    <t>Calculate finished goods unit cost including labor and packaging overhead</t>
  </si>
  <si>
    <t>Cost Accountant / Supervisor</t>
  </si>
  <si>
    <t>Determine true capitalized landed cost of manufactured SKU for accurate gross margin tracking</t>
  </si>
  <si>
    <t>Aggregates raw material FIFO costs + packaging cost + labor overhead = Finished SKU Cost</t>
  </si>
  <si>
    <t>Automated BOM unit cost rollup engine based on perpetual FIFO component costs.</t>
  </si>
  <si>
    <t>Code review 2026-10-04 (agent-reviewed, spot-checked): Partial. Finished goods unit cost is rolled up from issued component FIFO costs; no labor or packaging overhead cost inputs.</t>
  </si>
  <si>
    <t>F-0755</t>
  </si>
  <si>
    <t>backend/manufacturing/services.py:complete_work_order; backend/manufacturing/services.py:_issue_cost_total</t>
  </si>
  <si>
    <t>Finished goods unit cost is rolled up from issued component FIFO costs; no labor or packaging overhead cost inputs.</t>
  </si>
  <si>
    <t>X-0513</t>
  </si>
  <si>
    <t>Generate E-Way Bill Part A &amp; Part B for transport consignments &gt; ₹50,000</t>
  </si>
  <si>
    <t>Billing Clerk / Logistics Dispatcher</t>
  </si>
  <si>
    <t>Statutory compliance for moving goods across state or intra-state above ₹50,000 threshold</t>
  </si>
  <si>
    <t>Generates 12-digit E-Way Bill Number (EWB); attaches vehicle number and transport distance</t>
  </si>
  <si>
    <t>Supported via NIC E-Way Bill offline JSON generator and direct GSP API integration.</t>
  </si>
  <si>
    <t>Code review 2026-10-04 (agent-reviewed, spot-checked): Confirmed. prepare-eway and submit-eway build the payload and call a GSP adapter; 50,000 threshold warns at invoice completion.</t>
  </si>
  <si>
    <t>backend/tests/personas/test_pj_einvoice_eway.py::test_pj_einvoice_and_eway_statutory_lifecycle; backend/tests/test_einvoice_eway.py::test_prepare_eway_from_invoice</t>
  </si>
  <si>
    <t>backend/sales/einvoice_eway_actions.py:InvoiceEinvoiceEwayActionsMixin; backend/sales/eway_payload.py:build_eway_payload_from_invoice; backend/core/services/gsp_adapters.py:LiveEwayAdapter</t>
  </si>
  <si>
    <t>prepare-eway and submit-eway build the payload and call a GSP adapter; 50,000 threshold warns at invoice completion.</t>
  </si>
  <si>
    <t>Delivery Driver / RTO Officer</t>
  </si>
  <si>
    <t>Maintain valid E-Way Bill Part B when delivery truck breaks down or transshipment occurs</t>
  </si>
  <si>
    <t>Updates vehicle registration number on active EWB; prints updated transport endorsement</t>
  </si>
  <si>
    <t>Supported via E-Way Bill Vehicle Update action (/sales/e-way-bills/{id}/update-vehicle/). | Decision 2026-10-04 (delegated, quality-first): Build in MVP (2 days). Part B vehicle update action for e-way bills. | Truth 2026-10-05 (WI-029): Built.  Part B update goes through the adapter (sandbox fake), history is stored, and the live flag defaults off.</t>
  </si>
  <si>
    <t>Code review 2026-10-04 (agent-reviewed, spot-checked): Contradicted. No Part B vehicle update action exists; only prepare, submit and cancel for e-way bills.</t>
  </si>
  <si>
    <t>backend/tests/test_bug_open_gst.py::test_bug_gst_001_part_b_and_validity; backend/tests/test_planwave_remaining.py::test_eway_stub_and_distance; backend/tests/test_code_review_2026_10_05.py::test_a_live_eway_provider_refuses_a_part_b_update_it_cannot_send</t>
  </si>
  <si>
    <t>backend/sales/einvoice_eway_actions.py:update_eway_vehicle; backend/core/services/gsp_adapters.py:update_vehicle; backend/planwave/services.py:record_eway_stub; backend/config/settings.py:GSP_LIVE_ENABLED</t>
  </si>
  <si>
    <t>none found: searched update vehicle, UpdVeh, Part B, transporter update in backend/sales and backend/core</t>
  </si>
  <si>
    <t>Prevent vehicle impoundment and 200% tax penalty by extending validity within 8-hour window</t>
  </si>
  <si>
    <t>Extends EWB validity based on remaining distance; records reason code (Accident/Traffic)</t>
  </si>
  <si>
    <t>Supported via E-Way Bill Extension workflow compliant with Rule 138(10) of CGST Rules. | Decision 2026-10-04 (delegated, quality-first): Build in MVP (2 days). E-way bill validity extension action. | Truth 2026-10-05 (WI-030): Built.  Extension action goes through the e-way adapter with a live-provider refusal and stores valid_upto and distance; the test asserts validity moves out and distance is stored. | Drift check 2026-10-05: Validity extension exists as an action; live provider extension is refused, stub only</t>
  </si>
  <si>
    <t>Code review 2026-10-04 (agent-reviewed, spot-checked): Contradicted. No e-way bill validity extension action exists.</t>
  </si>
  <si>
    <t>backend/tests/test_bug_open_gst.py::test_bug_gst_001_part_b_and_validity</t>
  </si>
  <si>
    <t>backend/sales/einvoice_eway_actions.py:extend_eway_validity; backend/planwave/services.py:record_eway_stub; backend/planwave/models.py:EwayStubAction</t>
  </si>
  <si>
    <t>none found: searched extend validity, extend_eway, EXTEND in backend/sales and backend/core</t>
  </si>
  <si>
    <t>X-0516</t>
  </si>
  <si>
    <t>Generate live B2B E-Invoice with IRN and Signed QR via NIC/IRP portal</t>
  </si>
  <si>
    <t>Mandatory statutory compliance for businesses exceeding legal turnover threshold</t>
  </si>
  <si>
    <t>Uploads invoice payload to IRP; receives 64-char Hash IRN, Ack No, and Signed QR code</t>
  </si>
  <si>
    <t>Supported via E-Invoice JSON payload generator and direct IRP integration.</t>
  </si>
  <si>
    <t>Code review 2026-10-04 (agent-reviewed, spot-checked): Confirmed. submit-einvoice builds the IRN payload, calls the IRP adapter and stores IRN, ack and signed QR.</t>
  </si>
  <si>
    <t>backend/tests/test_sprint_e_gsp_protocol.py::test_certified_live_dev_submit_marks_generated_with_ack_qr; backend/tests/test_sprint_e_gsp_protocol.py::test_missing_signed_qr_marks_failed</t>
  </si>
  <si>
    <t>backend/sales/einvoice_eway_actions.py:InvoiceEinvoiceEwayActionsMixin; backend/sales/einvoice_payload.py; backend/core/services/gsp_adapters.py:LiveIrpAdapter</t>
  </si>
  <si>
    <t>submit-einvoice builds the IRN payload, calls the IRP adapter and stores IRN, ack and signed QR.</t>
  </si>
  <si>
    <t>X-0517</t>
  </si>
  <si>
    <t>Print IRN, Ack No, and cryptographic QR code on customer tax invoice PDF</t>
  </si>
  <si>
    <t>Customer / GST Inspector</t>
  </si>
  <si>
    <t>Render legal B2B tax invoice PDF containing verifiable cryptographic B2B signed QR code</t>
  </si>
  <si>
    <t>Embeds 500x500 signed QR bitmap and IRN string on top-right of standard invoice layout</t>
  </si>
  <si>
    <t>Core rendering invariant: Rule 48(4) compliant PDF invoice template with IRN &amp; Signed QR.</t>
  </si>
  <si>
    <t>Code review 2026-10-04 (agent-reviewed, spot-checked): Confirmed. Invoice PDF renders the stored signed e-invoice QR and IRN text when status is GENERATED.</t>
  </si>
  <si>
    <t>backend/sales/pdf/gst_tax_invoice.py</t>
  </si>
  <si>
    <t>Invoice PDF renders the stored signed e-invoice QR and IRN text when status is GENERATED.</t>
  </si>
  <si>
    <t>X-0518</t>
  </si>
  <si>
    <t>Cancel E-Invoice within 24 hours on IRP portal with cancellation reason code</t>
  </si>
  <si>
    <t>Tax Authority (IRP)</t>
  </si>
  <si>
    <t>Legally cancel incorrectly issued e-invoice within statutory 24-hour window</t>
  </si>
  <si>
    <t>Submits cancellation to IRP; voids IRN; updates document status to E_INVOICE_CANCELLED</t>
  </si>
  <si>
    <t>Supported via E-Invoice Cancel modal with mandatory reason code (1: Duplicate, 2: Data Error).</t>
  </si>
  <si>
    <t>Code review 2026-10-04 (agent-reviewed, spot-checked): Confirmed. cancel-einvoice requires a reason, enforces the 24-hour window and sets einvoice_status CANCELLED.</t>
  </si>
  <si>
    <t>backend/tests/test_remaining_fixes.py::test_irn_cancel_requires_reason; backend/tests/test_sprint2_cn_einvoice.py::test_cr_013_einvoice_cancel_retains_statutory_irn</t>
  </si>
  <si>
    <t>backend/sales/einvoice_eway_actions.py:_cancel_irn_via_gsp; backend/sales/einvoice_eway_actions.py:InvoiceEinvoiceEwayActionsMixin</t>
  </si>
  <si>
    <t>cancel-einvoice requires a reason, enforces the 24-hour window and sets einvoice_status CANCELLED.</t>
  </si>
  <si>
    <t>X-0519</t>
  </si>
  <si>
    <t>Calculate Section 194Q TDS deduction (0.1%) on supplier purchases exceeding ₹50 Lakhs in FY</t>
  </si>
  <si>
    <t>Deduct 0.1% TDS on purchase value exceeding ₹50 Lakhs aggregate turnover threshold</t>
  </si>
  <si>
    <t>Credits TDS Payable (Sec 194Q) liability account; reduces net cash payable to vendor</t>
  </si>
  <si>
    <t>Supported via Section 194Q Withholding Rule Engine tracking cumulative vendor purchases.</t>
  </si>
  <si>
    <t>Code review 2026-10-04 (agent-reviewed, spot-checked): Contradicted. TDS on purchases is a manually entered rate/amount; no 194Q threshold engine tracking cumulative vendor purchases.</t>
  </si>
  <si>
    <t>none found: searched 194Q, cumulative purchases, tds_section in purchases, accounting, masters</t>
  </si>
  <si>
    <t>TDS on purchases is a manually entered rate/amount; no 194Q threshold engine tracking cumulative vendor purchases.</t>
  </si>
  <si>
    <t>X-0520</t>
  </si>
  <si>
    <t>Generate Form 26Q quarterly TDS return summary and supplier Form 16A certificates</t>
  </si>
  <si>
    <t>External CA / Tax Dept</t>
  </si>
  <si>
    <t>Compile quarterly Form 26Q statement of tax deducted at source with BSR code and challan numbers</t>
  </si>
  <si>
    <t>Produces clean Form 26Q text file for NSDL e-TDS return upload; prepares Form 16A certificates</t>
  </si>
  <si>
    <t>Supported via /accounting/reports/tds-26q/ quarterly return generator.</t>
  </si>
  <si>
    <t>Code review 2026-10-04 (agent-reviewed, spot-checked): Partial. 26Q is only a CSV worksheet aid by period; no NSDL text file, BSR/challan handling or Form 16A certificates.</t>
  </si>
  <si>
    <t>backend/reporting/tds_worksheets.py:tds_worksheet_rows; backend/reporting/views.py</t>
  </si>
  <si>
    <t>26Q is only a CSV worksheet aid by period; no NSDL text file, BSR/challan handling or Form 16A certificates.</t>
  </si>
  <si>
    <t>X-0521</t>
  </si>
  <si>
    <t>Calculate Section 206C(1H) TCS collection (0.1%) on receipts exceeding ₹50 Lakhs from customer</t>
  </si>
  <si>
    <t>Collect 0.1% TCS on customer receipts crossing ₹50 Lakhs in current financial year</t>
  </si>
  <si>
    <t>Debits Customer AR ledger; credits TCS Payable (Sec 206C) statutory liability account</t>
  </si>
  <si>
    <t>Supported via Section 206C(1H) Receipt Tax Engine with cumulative customer receipt tracking.</t>
  </si>
  <si>
    <t>Code review 2026-10-04 (agent-reviewed, spot-checked): Partial. TCS is posted to TCS Payable from a per-invoice rate, but no 50 lakh cumulative receipt threshold tracking or automatic 0.1% rate was found.</t>
  </si>
  <si>
    <t>backend/sales/services.py:apply_tcs_fold; backend/accounting/services.py:TCS Payable</t>
  </si>
  <si>
    <t>TCS is posted to TCS Payable from a per-invoice rate, but no 50 lakh cumulative receipt threshold tracking or automatic 0.1% rate was found.</t>
  </si>
  <si>
    <t>Non-compliant Party</t>
  </si>
  <si>
    <t>Enforce 5% higher statutory tax withholding if vendor/customer failed to file ITR in previous year</t>
  </si>
  <si>
    <t>Applies 5% penalty rate on invoice; flags party as Specified Person under Section 206AB</t>
  </si>
  <si>
    <t>Supported via 206AB non-filer compliance flag on Customer/Supplier master. | Plan 2026-10-04 (Q60): dropped from the implementation plan; On request, pending CA confirmation. | Drift check 2026-10-05: higher_withholding_rate exists in accounting/services.py; no PAN specified-person check (dropped from the plan pending the CA)</t>
  </si>
  <si>
    <t>No Section 206AB PAN check was found. Code review 2026-10-04 (agent-reviewed, spot-checked): Contradicted. No Section 206AB/206CCA check, non-filer flag or automatic 5% higher rate exists on the Customer/Supplier master.</t>
  </si>
  <si>
    <t>none found: searched 206AB, 206CCA, specified person, non-filer in backend</t>
  </si>
  <si>
    <t>No Section 206AB/206CCA check, non-filer flag or automatic 5% higher rate exists on the Customer/Supplier master.</t>
  </si>
  <si>
    <t>X-0523</t>
  </si>
  <si>
    <t>Automated escalating collection cadence (T+3 reminder → T+7 statement → T+15 notice)</t>
  </si>
  <si>
    <t>Collections Autopilot Engine</t>
  </si>
  <si>
    <t>Debtor / Credit Controller</t>
  </si>
  <si>
    <t>Systematic automated payment chasing minimizing bad debt and debtor days</t>
  </si>
  <si>
    <t>Dispatches automated WhatsApp/SMS notifications with increasing urgency and payment links</t>
  </si>
  <si>
    <t>Supported via Collections Autopilot Cadence Engine (/sales/collections/autopilot/).</t>
  </si>
  <si>
    <t>Code review 2026-10-04 (agent-reviewed, spot-checked): Partial. Configurable day-bucket reminders (default 3/7/14) via WhatsApp/SMS/email exist; no distinct statement or notice step per stage.</t>
  </si>
  <si>
    <t>backend/payments/dunning.py:run_dunning_for_company; backend/payments/dunning.py:remind_invoice</t>
  </si>
  <si>
    <t>Configurable day-bucket reminders (default 3/7/14) via WhatsApp/SMS/email exist; no distinct statement or notice step per stage.</t>
  </si>
  <si>
    <t>X-0524</t>
  </si>
  <si>
    <t>Record Promise-to-Pay (PTP) commitment date and follow-up alerts</t>
  </si>
  <si>
    <t>Credit Controller / Salesperson</t>
  </si>
  <si>
    <t>Capture customer verbal promise to pay specific amount by date X to pause automated chasing</t>
  </si>
  <si>
    <t>Creates PromiseToPay record; suppresses automated reminders until committed date; alerts if broken</t>
  </si>
  <si>
    <t>Supported via PTP logging drawer on Customer profile and receivables ledger.</t>
  </si>
  <si>
    <t>Code review 2026-10-04 (agent-reviewed, spot-checked): Partial. Promise-to-pay records with due and broken alerts exist; dunning does not suppress reminders while a promise is open.</t>
  </si>
  <si>
    <t>backend/payments/models.py:PaymentPromise; backend/payments/promise_to_pay.py:create_promise; backend/payments/promise_to_pay.py:promise_is_broken</t>
  </si>
  <si>
    <t>Promise-to-pay records with due and broken alerts exist; dunning does not suppress reminders while a promise is open.</t>
  </si>
  <si>
    <t>X-0525</t>
  </si>
  <si>
    <t>Isolate disputed invoice lines while collecting undisputed remaining balance</t>
  </si>
  <si>
    <t>Customer / Salesperson</t>
  </si>
  <si>
    <t>Separate contested charge (e.g. ₹500 damaged box) so customer immediately settles ₹49,500 balance</t>
  </si>
  <si>
    <t>Marks specific line as DISPUTED; adjusts collection target; routes dispute to manager resolution</t>
  </si>
  <si>
    <t>Supported via Invoice Line-Item Dispute mechanism in receivables module.</t>
  </si>
  <si>
    <t>Code review 2026-10-04 (agent-reviewed, spot-checked): Contradicted. No invoice line dispute flag or split of disputed amount from collection target.</t>
  </si>
  <si>
    <t>none found: searched dispute, disputed line in backend models.py, sales and payments</t>
  </si>
  <si>
    <t>No invoice line dispute flag or split of disputed amount from collection target.</t>
  </si>
  <si>
    <t>X-0526</t>
  </si>
  <si>
    <t>Calculate overdue interest penalty charges on delayed customer payments</t>
  </si>
  <si>
    <t>Apply agreed commercial interest (e.g. 18% p.a.) on invoices unpaid beyond credit terms</t>
  </si>
  <si>
    <t>Calculates penal interest; generates commercial Debit Note for interest; posts to Interest Income</t>
  </si>
  <si>
    <t>Supported via Overdue Interest Calculator with one-click Debit Note generation. | Drift check 2026-10-05: interest_exposure and the overdue report exist; report only, no posting</t>
  </si>
  <si>
    <t>Restored to authored P2. The previous workbook had P3 after a keyword rebalance. Code review 2026-10-04 (agent-reviewed, spot-checked): Contradicted. No overdue interest calculator or interest debit note generation exists.</t>
  </si>
  <si>
    <t>none found: searched overdue interest, penal interest, interest_rate, late fee in backend</t>
  </si>
  <si>
    <t>No overdue interest calculator or interest debit note generation exists.</t>
  </si>
  <si>
    <t>Credit Guard Engine</t>
  </si>
  <si>
    <t>Hard system block preventing sales or dispatches to customers with invoices overdue &gt; 60 days</t>
  </si>
  <si>
    <t>Locks customer account; disables billing button; requires Business Owner unlock PIN</t>
  </si>
  <si>
    <t>Core credit invariant: chronic overdue lock strictly blocks invoice and dispatch completion. | Decision 2026-10-04 (delegated, quality-first): Build in MVP (3 days). 60-day rule, dispatch block and unlock PIN on top of the opt-in credit hold. | Truth 2026-10-05 (WI-021): Partial. No API or role check for issuing the unlock code (issue_unlock accepts any user, no Owner/credit-override check, no endpoint). No per-company toggle for the chronic rule. Delivery challan block is wired but only the sales-order path is tested. Chronic rule is wired into invoice complete, order confirm and challan and tested; unlock issuance is service-only without role enforcement.</t>
  </si>
  <si>
    <t>Code review 2026-10-04 (agent-reviewed, spot-checked): Partial. Opt-in auto credit hold blocks invoice completion for stop_credit/overdue_severe, but not a 60-day rule, no dispatch block and no unlock PIN.</t>
  </si>
  <si>
    <t>backend/tests/test_a07_dunning.py::test_auto_credit_hold_blocks_severe_overdue_customer_with_no_credit_limit; backend/tests/test_planwave_remaining.py::test_chronic_credit_blocks_and_unlock_is_single_use; backend/tests/test_planwave_remaining.py::test_chronic_order_and_challan_are_blocked; backend/tests/test_code_review_2026_10_05.py::test_a_paid_old_invoice_does_not_hold_credit</t>
  </si>
  <si>
    <t>backend/planwave/services.py:chronic_overdue; backend/planwave/services.py:assert_chronic_credit_allowed; backend/planwave/services.py:issue_unlock; backend/sales/services.py:complete_invoice credit hold</t>
  </si>
  <si>
    <t>backend/sales/services.py:CREDIT_LIMIT_EXCEEDED; backend/payments/dunning.py:customer_risk_snapshot</t>
  </si>
  <si>
    <t>X-0528</t>
  </si>
  <si>
    <t>Record PDC (Post-Dated Cheque) received from customer and track presentation due date</t>
  </si>
  <si>
    <t>Safely register future-dated physical cheques received from B2B clients</t>
  </si>
  <si>
    <t>Creates ChequeRecord in PDC_HOLDING status; surfaces cheque on daily bank deposit schedule</t>
  </si>
  <si>
    <t>Supported via /payments/cheques/ with maturity calendar and bank presentation alerts.</t>
  </si>
  <si>
    <t>Code review 2026-10-04 (agent-reviewed, spot-checked): Partial. Cheque receipts store cheque_date and PENDING_CLEARANCE status; no PDC_HOLDING, ChequeRecord, maturity calendar or deposit schedule.</t>
  </si>
  <si>
    <t>backend/payments/models.py:ChequeStatus; backend/payments/models.py:CustomerReceipt</t>
  </si>
  <si>
    <t>Cheque receipts store cheque_date and PENDING_CLEARANCE status; no PDC_HOLDING, ChequeRecord, maturity calendar or deposit schedule.</t>
  </si>
  <si>
    <t>X-0529</t>
  </si>
  <si>
    <t>Deposit cheque into bank clearing account and monitor realization</t>
  </si>
  <si>
    <t>Bank</t>
  </si>
  <si>
    <t>Record physical deposit of customer cheques into bank clearing account</t>
  </si>
  <si>
    <t>Debits Bank Cheques-in-Clearing account; marks cheque as DEPOSITED</t>
  </si>
  <si>
    <t>Supported via Bank Deposit Slip generator and cheque clearing tracker.</t>
  </si>
  <si>
    <t>Code review 2026-10-04 (agent-reviewed, spot-checked): Contradicted. Statuses are only PENDING_CLEARANCE, CLEARED, BOUNCED; no deposit step or clearing account posting.</t>
  </si>
  <si>
    <t>none found: searched cheques-in-clearing, DEPOSITED, deposit slip, clearing account</t>
  </si>
  <si>
    <t>Statuses are only PENDING_CLEARANCE, CLEARED, BOUNCED; no deposit step or clearing account posting.</t>
  </si>
  <si>
    <t>Customer / Bank</t>
  </si>
  <si>
    <t>Immediate accounting reversal when bank rejects cheque due to insufficient customer funds</t>
  </si>
  <si>
    <t>Restores original invoice UNPAID status; debits bank dishonour charges to customer account; alerts owner</t>
  </si>
  <si>
    <t>Supported via Cheque Dishonour action with automated ledger reversal and notice letter. | Decision 2026-10-04 (delegated, quality-first): Build in MVP (3 days). Bank dishonour fee charged to the customer, notice letter, owner alert. | Truth 2026-10-05 (WI-022): Partial. No configurable GST-on-recovery flag (code explicitly adds no GST); no Rs 500 suggestion (fee defaults to 0 unless a bank charge or cheque_dishonour_charge flag is set); owner alert is sent but no test asserts it. Void, allocation reversal, customer-debited fee and owner notification are implemented and mostly tested; the GST flag and suggested default are missing.</t>
  </si>
  <si>
    <t>Code review 2026-10-04 (agent-reviewed, spot-checked): Partial. Bounce voids receipt, reverses allocations (invoice unpaid); no bank dishonour fee charge, notice letter or owner alert.</t>
  </si>
  <si>
    <t>backend/tests/test_cheque_payment.py::test_bounced_cheque_cannot_be_re_cleared; backend/tests/test_cheque_payment.py::test_set_cheque_status_http_bounce_voids; backend/tests/test_bug_open_pay.py::test_bug_pay_001_fee_post_is_atomic; backend/tests/test_cheque_payment.py::test_cheque_receipt_starts_pending_and_bounce_voids</t>
  </si>
  <si>
    <t>backend/payments/services.py:PaymentService.set_cheque_status; backend/payments/services.py:PaymentService._post_dishonour_fee</t>
  </si>
  <si>
    <t>backend/payments/services.py:set_cheque_status; backend/payments/services.py:void_receipt</t>
  </si>
  <si>
    <t>X-0531</t>
  </si>
  <si>
    <t>Apply early settlement cash discount (e.g. 2% in 7 days) and book discount expense</t>
  </si>
  <si>
    <t>Incentivize prompt customer payment by offering dynamic early settlement discounts</t>
  </si>
  <si>
    <t>Calculates discount amount; debits Cash Discount Allowed expense account in GL; settles full bill</t>
  </si>
  <si>
    <t>Supported via Settlement Discount selector on payment receipt screen.</t>
  </si>
  <si>
    <t>Code review 2026-10-04 (agent-reviewed, spot-checked): Partial. settlement_discount is stored and reduces invoice outstanding, but no Cash Discount Allowed GL journal is posted.</t>
  </si>
  <si>
    <t>backend/payments/models.py:CustomerReceipt; backend/ledgers/services.py:_settlement_discount_by_invoice</t>
  </si>
  <si>
    <t>settlement_discount is stored and reduces invoice outstanding, but no Cash Discount Allowed GL journal is posted.</t>
  </si>
  <si>
    <t>X-0532</t>
  </si>
  <si>
    <t>Connected banking live feed integration (Account Aggregator / Bank API)</t>
  </si>
  <si>
    <t>Bank (ICICI/HDFC/Axis)</t>
  </si>
  <si>
    <t>Automated live synchronization of bank account statements and RTGS/NEFT inflows</t>
  </si>
  <si>
    <t>Fetches live bank statement lines via secure API; matches UTRs against open customer receivables</t>
  </si>
  <si>
    <t>Supported via Connected Banking module with Account Aggregator / Bank Open API hooks.</t>
  </si>
  <si>
    <t>Code review 2026-10-04 (agent-reviewed, spot-checked): Confirmed. Account Aggregator transactions are fetched and matched by UTR/amount to receipts.</t>
  </si>
  <si>
    <t>backend/banking/fiu_adapter.py:fetch_live_transactions_for_consent; backend/banking/models.py:AaTransaction; backend/banking/services.py:match_aa_to_receipts</t>
  </si>
  <si>
    <t>Account Aggregator transactions are fetched and matched by UTR/amount to receipts.</t>
  </si>
  <si>
    <t>X-0533</t>
  </si>
  <si>
    <t>Upload photo/PDF of supplier bill → AI/LLM extracts vendor GSTIN, invoice no, lines, taxes into draft bill</t>
  </si>
  <si>
    <t>Purchase Staff / Accountant</t>
  </si>
  <si>
    <t>Zero-manual-typing inward bill entry from scanned physical supplier tax bills</t>
  </si>
  <si>
    <t>Extracts header, items, HSN, rates, and tax split via OCR+LLM; pre-fills Purchase Invoice draft</t>
  </si>
  <si>
    <t>Supported via Deterministic LLM Bill Extractor (/purchases/upload-bill/).</t>
  </si>
  <si>
    <t>Code review 2026-10-04 (agent-reviewed, spot-checked): Confirmed. LLM extraction of bill images into a draft import job exists.</t>
  </si>
  <si>
    <t>backend/core/services/llm.py:extract_purchase_bill; backend/imports/tasks.py:extract_purchase_bill_task</t>
  </si>
  <si>
    <t>LLM extraction of bill images into a draft import job exists.</t>
  </si>
  <si>
    <t>X-0534</t>
  </si>
  <si>
    <t>Inventory Run-Rate Autopilot: predict stockout dates based on 30-day velocity and auto-generate PO draft</t>
  </si>
  <si>
    <t>Inventory Autopilot Engine</t>
  </si>
  <si>
    <t>Prevent stockouts of high-velocity goods by analyzing historical daily sales burn rate</t>
  </si>
  <si>
    <t>Calculates Days of Stock Cover = On-Hand Stock / Daily Burn Rate; drafts supplier PO before stockout</t>
  </si>
  <si>
    <t>Supported via Inventory Autopilot run-rate forecasting engine.</t>
  </si>
  <si>
    <t>Code review 2026-10-04 (agent-reviewed, spot-checked): Confirmed. Days to stockout from available over daily velocity is computed and draft POs can be created from the plan on user action.</t>
  </si>
  <si>
    <t>backend/inventory/planning.py:purchase_plan; backend/inventory/forecast.py:demand_forecast; backend/inventory/planning.py:materialize_supplier_drafts</t>
  </si>
  <si>
    <t>Days to stockout from available over daily velocity is computed and draft POs can be created from the plan on user action.</t>
  </si>
  <si>
    <t>X-0535</t>
  </si>
  <si>
    <t>Predictive Cash-Flow Forecaster: simulate 30/60/90-day cash balance factoring debtor payment delays</t>
  </si>
  <si>
    <t>Cashflow Forecast Engine</t>
  </si>
  <si>
    <t>Realistic cashflow runway simulation modeling actual historical debtor payment delay behavior</t>
  </si>
  <si>
    <t>Projects daily liquid bank balance combining projected collections, payroll, rent, and vendor dues</t>
  </si>
  <si>
    <t>Supported via CashflowForecastRun in insights app (/insights/cashflow/).</t>
  </si>
  <si>
    <t>X-0536</t>
  </si>
  <si>
    <t>Natural Language Business Query Assistant: answer owner queries via conversational interface</t>
  </si>
  <si>
    <t>Conversational AI Assistant</t>
  </si>
  <si>
    <t>Owner asks natural language questions ('Who owes me more than 50k?') and receives instant figures</t>
  </si>
  <si>
    <t>Translates natural language into deterministic read-only database queries; returns charts and tables</t>
  </si>
  <si>
    <t>Supported via /insights/assistant/ conversational query agent.</t>
  </si>
  <si>
    <t>Code review 2026-10-04 (agent-reviewed, spot-checked): Partial. LLM assistant calls fixed read-only tools for aging and outstanding; not general query translation, and no customer-over-threshold list or charts.</t>
  </si>
  <si>
    <t>backend/insights/assistant.py:ToolExecutor; backend/insights/assistant.py:run_assistant_turn; web/src/pages/insights/InsightsAssistantPage.tsx</t>
  </si>
  <si>
    <t>LLM assistant calls fixed read-only tools for aging and outstanding; not general query translation, and no customer-over-threshold list or charts.</t>
  </si>
  <si>
    <t>X-0537</t>
  </si>
  <si>
    <t>Automated Supplier Risk Scorecard based on delivery delays, price spikes, and GST filing failures</t>
  </si>
  <si>
    <t>Vendor Intelligence Engine</t>
  </si>
  <si>
    <t>Continuously evaluate vendor reliability across delivery punctuality, price inflation, and tax compliance</t>
  </si>
  <si>
    <t>Computes multi-factor supplier health index (0-100); flags high-risk vendors before issuing repeat POs</t>
  </si>
  <si>
    <t>Supported via Supplier Scorecard in purchases module.</t>
  </si>
  <si>
    <t>Code review 2026-10-04 (agent-reviewed, spot-checked): Contradicted. Only lead time and fill rate; docstring states no score; no health index, price-spike or GST filing factor.</t>
  </si>
  <si>
    <t>Only lead time and fill rate; docstring states no score; no health index, price-spike or GST filing factor.</t>
  </si>
  <si>
    <t>X-0538</t>
  </si>
  <si>
    <t>Staged fulfillment: group pending customer delivery orders by geographic transport route</t>
  </si>
  <si>
    <t>Consolidate individual sales orders destined for the same market or delivery sector into single run</t>
  </si>
  <si>
    <t>Creates DispatchRun; groups orders by geographic pin code and route sector</t>
  </si>
  <si>
    <t>Supported via /operations/dispatch-staging/ with route clustering.</t>
  </si>
  <si>
    <t>Code review 2026-10-04 (agent-reviewed, spot-checked): Partial. DeliveryRoute plus a pincode-based combine suggestion exist; no DispatchRun model or automatic grouping into runs.</t>
  </si>
  <si>
    <t>backend/sales/route_combine.py:combine_suggestions; backend/sales/models.py:DeliveryRoute</t>
  </si>
  <si>
    <t>DeliveryRoute plus a pincode-based combine suggestion exist; no DispatchRun model or automatic grouping into runs.</t>
  </si>
  <si>
    <t>X-0539</t>
  </si>
  <si>
    <t>Vehicle load optimization: verify total consignment weight/volume against vehicle payload capacity</t>
  </si>
  <si>
    <t>Prevent dangerous vehicle overloading and optimize delivery tempo payload capacity</t>
  </si>
  <si>
    <t>Sums order gross weights and cubic volumes; validates against vehicle.max_payload_kg</t>
  </si>
  <si>
    <t>Supported via Vehicle Capacity &amp; Load Planner in operations module.</t>
  </si>
  <si>
    <t>Code review 2026-10-04 (agent-reviewed, spot-checked): Contradicted. No vehicle payload or weight/volume validation of a route load.</t>
  </si>
  <si>
    <t>none found: searched max_payload, capacity, gross_weight, payload in backend/sales, masters</t>
  </si>
  <si>
    <t>No vehicle payload or weight/volume validation of a route load.</t>
  </si>
  <si>
    <t>X-0540</t>
  </si>
  <si>
    <t>Multi-drop sequential route planning for delivery driver</t>
  </si>
  <si>
    <t>Sequence retail customer delivery stops in optimal geographic order to minimize fuel and transit time</t>
  </si>
  <si>
    <t>Generates sequenced stop sequence (Drop 1 -&gt; Drop 2 -&gt; Drop N) with estimated arrival windows</t>
  </si>
  <si>
    <t>Supported via Route Sequencer in operations fleet management.</t>
  </si>
  <si>
    <t>Code review 2026-10-04 (agent-reviewed, spot-checked): Confirmed. suggest_stop_sequence and apply_stop_sequence order stops on a DeliveryRoute; arrival windows not verified.</t>
  </si>
  <si>
    <t>backend/sales/route_service.py:RouteService; backend/sales/route_service.py:suggest_stop_sequence</t>
  </si>
  <si>
    <t>suggest_stop_sequence and apply_stop_sequence order stops on a DeliveryRoute; arrival windows not verified.</t>
  </si>
  <si>
    <t>X-0541</t>
  </si>
  <si>
    <t>Digital Proof of Delivery (POD) capture with customer signature, timestamp, and geo-location</t>
  </si>
  <si>
    <t>Capture tamper-evident digital proof of delivery at retail counter on mobile device</t>
  </si>
  <si>
    <t>Attaches signed bitmap, GPS latitude/longitude, and server timestamp to DeliveryChallan</t>
  </si>
  <si>
    <t>Supported via Driver Mobile PWA POD module.</t>
  </si>
  <si>
    <t>Code review 2026-10-04 (agent-reviewed, spot-checked): Partial. POD captures received-by name, OTP, photo and timestamp on the route stop; no signature bitmap or GPS and not stored on DeliveryChallan.</t>
  </si>
  <si>
    <t>backend/sales/models.py:DeliveryRouteStop; backend/sales/route_service.py:set_stop_status</t>
  </si>
  <si>
    <t>POD captures received-by name, OTP, photo and timestamp on the route stop; no signature bitmap or GPS and not stored on DeliveryChallan.</t>
  </si>
  <si>
    <t>X-0542</t>
  </si>
  <si>
    <t>Mobile Cash-on-Delivery (COD) capture by driver with instant payment receipt</t>
  </si>
  <si>
    <t>Collect cash or UPI payment at customer doorstep upon delivery and issue instant digital receipt</t>
  </si>
  <si>
    <t>Creates Payment record linked to driver custody; triggers WhatsApp payment confirmation to customer</t>
  </si>
  <si>
    <t>Supported via Mobile Driver Checkout with dynamic QR.</t>
  </si>
  <si>
    <t>Code review 2026-10-04 (agent-reviewed, spot-checked): Partial. A stop can link a CustomerReceipt collected at delivery; no driver-custody tracking, dynamic QR or WhatsApp confirmation tied to it found.</t>
  </si>
  <si>
    <t>backend/sales/route_service.py:set_stop_status; backend/sales/models.py:DeliveryRouteStop</t>
  </si>
  <si>
    <t>A stop can link a CustomerReceipt collected at delivery; no driver-custody tracking, dynamic QR or WhatsApp confirmation tied to it found.</t>
  </si>
  <si>
    <t>X-0543</t>
  </si>
  <si>
    <t>Driver route reconciliation: cashier matches delivered consignments, collected cash, and returns</t>
  </si>
  <si>
    <t>Accounts Cashier / Dispatcher</t>
  </si>
  <si>
    <t>Evening driver debrief verifying all delivered orders, cash handed over, and rejected packages</t>
  </si>
  <si>
    <t>Closes DispatchRun; settles driver cash till; returns rejected items to godown inventory</t>
  </si>
  <si>
    <t>Supported via /operations/driver-settlement/ reconciliation interface.</t>
  </si>
  <si>
    <t>Code review 2026-10-04 (agent-reviewed, spot-checked): Partial. Routes complete and challan returns restore stock, but no driver cash settlement or till reconciliation exists.</t>
  </si>
  <si>
    <t>backend/sales/route_service.py:complete_route; backend/sales/route_views.py:DeliveryChallanReturnViewSet</t>
  </si>
  <si>
    <t>Routes complete and challan returns restore stock, but no driver cash settlement or till reconciliation exists.</t>
  </si>
  <si>
    <t>X-0544</t>
  </si>
  <si>
    <t>Route economics analysis: evaluate delivery freight cost per order vs order gross margin</t>
  </si>
  <si>
    <t>Logistics Manager / Owner</t>
  </si>
  <si>
    <t>Evaluate route profitability factoring vehicle fuel, driver wages, and consignment gross margins</t>
  </si>
  <si>
    <t>Computes Net Route Contribution = Route Sales Margin - (Fuel Cost + Vehicle Depreciation)</t>
  </si>
  <si>
    <t>Supported via Route Economics &amp; Delivery Profitability Report (/reports/route-profitability/).</t>
  </si>
  <si>
    <t>Restored to authored P2. The previous workbook had P3 after a keyword rebalance. Code review 2026-10-04 (agent-reviewed, spot-checked): Confirmed. Route profit equals realized revenue minus COGS minus actual logistics cost; fuel and depreciation are not separate inputs.</t>
  </si>
  <si>
    <t>backend/sales/route_profit_service.py:compute_route_financials; backend/sales/route_service.py:complete_route</t>
  </si>
  <si>
    <t>Route profit equals realized revenue minus COGS minus actual logistics cost; fuel and depreciation are not separate inputs.</t>
  </si>
  <si>
    <t>X-0545</t>
  </si>
  <si>
    <t>Configure fiscal year document numbering series with custom prefix (e.g. INV/26-27/0001)</t>
  </si>
  <si>
    <t>Maintain statutory consecutive invoice numbering unique across each financial year per GST Rule 46</t>
  </si>
  <si>
    <t>Creates DocumentSequence record; enforces sequential numbers without gaps across FY</t>
  </si>
  <si>
    <t>Supported via /settings/document-series/ with financial year variable tokens ({FY}, {BRANCH}).</t>
  </si>
  <si>
    <t>Code review 2026-10-04 (agent-reviewed, spot-checked): Confirmed. DocumentSeries keyed by GSTIN and April-March FY gives configurable prefix and sequential numbering; the model is DocumentSeries, not DocumentSequence.</t>
  </si>
  <si>
    <t>backend/tests/test_document_numbers.py::test_sequences_are_sequential; backend/tests/test_sprint3_series_gstin.py::test_bb_000646_series_unique_per_gstin_and_fy</t>
  </si>
  <si>
    <t>backend/core/services/document_numbers.py:DocumentNumberService; backend/core/services/document_numbers.py:fy_label_for</t>
  </si>
  <si>
    <t>DocumentSeries keyed by GSTIN and April-March FY gives configurable prefix and sequential numbering; the model is DocumentSeries, not DocumentSequence.</t>
  </si>
  <si>
    <t>X-0546</t>
  </si>
  <si>
    <t>Multi-branch document numbering isolation (Branch A 'DEL/INV/001' vs Branch B 'MUM/INV/001')</t>
  </si>
  <si>
    <t>Distinct consecutive numbering series per retail store or warehouse to comply with state GST rules</t>
  </si>
  <si>
    <t>Enforces branch-prefixed sequences; prevents document numbering collisions across locations</t>
  </si>
  <si>
    <t>Supported via branch-scoped document sequence configuration.</t>
  </si>
  <si>
    <t>Code review 2026-10-04 (agent-reviewed, spot-checked): Partial. Series are unique per company, doc type, GSTIN and financial year, giving per-GSTIN prefixes; no series is scoped to a branch or warehouse.</t>
  </si>
  <si>
    <t>backend/core/models.py:DocumentSeries; backend/core/services/document_numbers.py:DocumentNumberService</t>
  </si>
  <si>
    <t>Series are unique per company, doc type, GSTIN and financial year, giving per-GSTIN prefixes; no series is scoped to a branch or warehouse.</t>
  </si>
  <si>
    <t>X-0547</t>
  </si>
  <si>
    <t>Customer &amp; Vendor Self-Onboarding Portal: send magic link for party to input GSTIN, bank, and KYC</t>
  </si>
  <si>
    <t>Sales / Procurement Staff</t>
  </si>
  <si>
    <t>New Customer / Supplier</t>
  </si>
  <si>
    <t>Eliminate data entry errors by allowing new B2B clients and suppliers to submit their own masters</t>
  </si>
  <si>
    <t>Generates secure tokenized portal link; auto-validates GSTIN and populates master upon approval</t>
  </si>
  <si>
    <t>Supported via Self-Onboarding Magic Link generator (/onboarding/invite/).</t>
  </si>
  <si>
    <t>Code review 2026-10-04 (agent-reviewed, spot-checked): Contradicted. Only customer-portal view tokens and staff user invites exist; no party self-onboarding link or approval flow.</t>
  </si>
  <si>
    <t>none found: searched onboarding invite, magic link, party invite, KYC in masters/crm/accounts/payments</t>
  </si>
  <si>
    <t>Only customer-portal view tokens and staff user invites exist; no party self-onboarding link or approval flow.</t>
  </si>
  <si>
    <t>X-0548</t>
  </si>
  <si>
    <t>Vernacular language switching (Hindi, Gujarati, Tamil, Marathi, etc.) on POS and mobile app</t>
  </si>
  <si>
    <t>Counter Clerk / Driver</t>
  </si>
  <si>
    <t>Enable non-English speaking billing clerks and godown staff to operate software in regional language</t>
  </si>
  <si>
    <t>Toggles UI language string translation across product catalog, buttons, and receipts</t>
  </si>
  <si>
    <t>Supported via i18n localization engine supporting major Indian regional languages.</t>
  </si>
  <si>
    <t>Code review 2026-10-04 (agent-reviewed, spot-checked): Partial. Only English and Hindi string catalogs exist; no Gujarati, Tamil or Marathi.</t>
  </si>
  <si>
    <t>web/src/i18n/hi.ts:; web/src/i18n/en.ts:</t>
  </si>
  <si>
    <t>Only English and Hindi string catalogs exist; no Gujarati, Tamil or Marathi.</t>
  </si>
  <si>
    <t>X-0549</t>
  </si>
  <si>
    <t>Automated Right-to-Erasure &amp; Data Anonymization under Digital Personal Data Protection (DPDP) Act</t>
  </si>
  <si>
    <t>Data Protection Officer / Admin</t>
  </si>
  <si>
    <t>Fulfill customer personal data deletion requests while preserving statutory accounting records</t>
  </si>
  <si>
    <t>Anonymizes personal identifying data (name, mobile, address) while retaining financial invoice amounts</t>
  </si>
  <si>
    <t>Supported via DPDP Right-to-Erasure Engine (/settings/privacy/erasure/).</t>
  </si>
  <si>
    <t>Code review 2026-10-04 (agent-reviewed, spot-checked): Partial. Tenant-level erasure with tombstone retention exists, but no per-customer anonymization of name, mobile or address while keeping invoices was found.</t>
  </si>
  <si>
    <t>backend/accounts/erasure.py:erase_company</t>
  </si>
  <si>
    <t>Tenant-level erasure with tombstone retention exists, but no per-customer anonymization of name, mobile or address while keeping invoices was found.</t>
  </si>
  <si>
    <t>X-0550</t>
  </si>
  <si>
    <t>Year-end financial closing: carry forward ledger balances and initialize new financial year</t>
  </si>
  <si>
    <t>External CA / Owner</t>
  </si>
  <si>
    <t>Formal financial year-end closing transferring P&amp;L net profit to Reserves and initializing opening TB</t>
  </si>
  <si>
    <t>Closes 31st March financial books; rolls forward asset and liability balances into 1st April opening</t>
  </si>
  <si>
    <t>Supported via Year-End Financial Close Wizard (/accounting/year-end-close/).</t>
  </si>
  <si>
    <t>Code review 2026-10-04 (agent-reviewed, spot-checked): Confirmed. Owner-only FY close posts a journal moving income and expense balances to Retained Earnings 3100 and closes accounting periods.</t>
  </si>
  <si>
    <t>backend/tests/test_sprint_c_fy_close.py::test_fy_close_other_income_and_expense_mix; backend/tests/test_sprint_c_fy_close.py::test_fy_close_profit_year_zeros_sales_to_retained_earnings</t>
  </si>
  <si>
    <t>backend/accounting/reports.py:close_financial_year; backend/accounting/views.py:FinancialYearCloseView</t>
  </si>
  <si>
    <t>Owner-only FY close posts a journal moving income and expense balances to Retained Earnings 3100 and closes accounting periods.</t>
  </si>
  <si>
    <t>X-0551</t>
  </si>
  <si>
    <t>Register company fixed assets (delivery vans, cold storage, billing machines, computers)</t>
  </si>
  <si>
    <t>Maintain fixed asset register recording asset tag, purchase invoice, serial, and location</t>
  </si>
  <si>
    <t>Creates FixedAsset record; capitalizes purchase cost to Fixed Asset balance sheet ledger</t>
  </si>
  <si>
    <t>Supported via /accounting/fixed-assets/create with asset tagging.</t>
  </si>
  <si>
    <t>Code review 2026-10-04 (agent-reviewed, spot-checked): Confirmed. FixedAsset model and viewset exist with cost, asset and depreciation accounts, though no serial, tag or location fields were seen.</t>
  </si>
  <si>
    <t>backend/accounting/models.py:FixedAsset</t>
  </si>
  <si>
    <t>backend/tests/test_fmea2_wave.py; backend/tests/test_phase5_accounting.py; backend/tests/test_wave15d_books.py</t>
  </si>
  <si>
    <t>backend/accounting/models.py:FixedAsset; backend/accounting/views.py:FixedAssetViewSet</t>
  </si>
  <si>
    <t>FixedAsset model and viewset exist with cost, asset and depreciation accounts, though no serial, tag or location fields were seen.</t>
  </si>
  <si>
    <t>X-0552</t>
  </si>
  <si>
    <t>Calculate monthly/annual depreciation under WDV and SLM methods per Companies Act &amp; IT Act</t>
  </si>
  <si>
    <t>Accurate depreciation computation for statutory tax filing and book profit reporting</t>
  </si>
  <si>
    <t>Calculates depreciation expense based on useful life and method; updates asset net book value</t>
  </si>
  <si>
    <t>Supported via Automated Depreciation Engine with dual-book (IT Act &amp; Companies Act) rates.</t>
  </si>
  <si>
    <t>Code review 2026-10-04 (agent-reviewed, spot-checked): Confirmed. FixedAsset supports SLM and WDV methods with salvage and annual rate; only one rate set, no separate dual-book Companies Act rates.</t>
  </si>
  <si>
    <t>backend/accounting/models.py:FixedAsset; backend/accounting/models.py:monthly_depreciation</t>
  </si>
  <si>
    <t>FixedAsset supports SLM and WDV methods with salvage and annual rate; only one rate set, no separate dual-book Companies Act rates.</t>
  </si>
  <si>
    <t>X-0553</t>
  </si>
  <si>
    <t>Post automated depreciation journal voucher to general ledger</t>
  </si>
  <si>
    <t>Automatic posting of periodic depreciation expense without manual journal entry errors</t>
  </si>
  <si>
    <t>Debits Depreciation Expense account in P&amp;L; credits Accumulated Depreciation on Balance Sheet</t>
  </si>
  <si>
    <t>Supported via one-click 'Post Depreciation' batch action.</t>
  </si>
  <si>
    <t>Code review 2026-10-04 (agent-reviewed, spot-checked): Confirmed. A monthly Celery task posts depreciation journals per company from asset expense to accumulated depreciation accounts; it is scheduled, not a one-click button.</t>
  </si>
  <si>
    <t>backend/accounting/tasks.py:post_monthly_depreciation; backend/accounting/tasks.py:_depreciate_company_assets</t>
  </si>
  <si>
    <t>A monthly Celery task posts depreciation journals per company from asset expense to accumulated depreciation accounts; it is scheduled, not a one-click button.</t>
  </si>
  <si>
    <t>X-0554</t>
  </si>
  <si>
    <t>Record fixed asset disposal or scrap write-off and calculate capital gain/loss</t>
  </si>
  <si>
    <t>Accurate accounting entry when old vehicle or computer is sold or scrapped</t>
  </si>
  <si>
    <t>Removes asset cost and accumulated depreciation; computes and posts Net Gain/Loss on Sale of Assets</t>
  </si>
  <si>
    <t>Supported via Asset Disposal modal with gain/loss computation.</t>
  </si>
  <si>
    <t>Code review 2026-10-04 (agent-reviewed, spot-checked): Confirmed. dispose action posts a journal removing cost and accumulated depreciation, recording proceeds and gain or loss to accounts 5600 and 5700.</t>
  </si>
  <si>
    <t>backend/accounting/views.py:FixedAssetViewSet; backend/accounting/views.py:dispose</t>
  </si>
  <si>
    <t>dispose action posts a journal removing cost and accumulated depreciation, recording proceeds and gain or loss to accounts 5600 and 5700.</t>
  </si>
  <si>
    <t>X-0555</t>
  </si>
  <si>
    <t>Record inward supply subject to Reverse Charge Mechanism (RCM) from Goods Transport Agency (GTA)</t>
  </si>
  <si>
    <t>Goods Transport Agency (GTA)</t>
  </si>
  <si>
    <t>Identify and flag transport freight charges and legal fees where recipient is liable to pay GST</t>
  </si>
  <si>
    <t>Flags purchase invoice line as RCM; computes applicable CGST/SGST or IGST reverse tax liability</t>
  </si>
  <si>
    <t>Supported via Reverse Charge (RCM) toggle on purchase invoice line items.</t>
  </si>
  <si>
    <t>Code review 2026-10-04 (agent-reviewed, spot-checked): Confirmed. Purchase invoices carry an is_reverse_charge flag at invoice header level and RCM tax liability flows into GSTR-3B 3.1(d).</t>
  </si>
  <si>
    <t>backend/purchases/models.py:is_reverse_charge; backend/reporting/gst_returns.py:3.1(d)</t>
  </si>
  <si>
    <t>Purchase invoices carry an is_reverse_charge flag at invoice header level and RCM tax liability flows into GSTR-3B 3.1(d).</t>
  </si>
  <si>
    <t>X-0556</t>
  </si>
  <si>
    <t>Generate self-invoice for RCM inward supplies and calculate reverse tax liability</t>
  </si>
  <si>
    <t>Tax Authority</t>
  </si>
  <si>
    <t>Statutory compliance under Section 31(3)(f) of CGST Act requiring self-invoice on RCM purchases</t>
  </si>
  <si>
    <t>Generates official Self-Invoice document; records reverse tax liability in GSTR-3B Table 3.1(d)</t>
  </si>
  <si>
    <t>Supported via Self-Invoice generator for unregistered RCM purchases.</t>
  </si>
  <si>
    <t>Code review 2026-10-04 (agent-reviewed, spot-checked): Partial. RCM liability reaches GSTR-3B 3.1(d), but no self-invoice or payment voucher generator exists; the PDF only prints a Reverse Charge YES/NO line.</t>
  </si>
  <si>
    <t>backend/reporting/gst_returns.py:3.1(d); backend/purchases/pdf.py:is_reverse_charge</t>
  </si>
  <si>
    <t>RCM liability reaches GSTR-3B 3.1(d), but no self-invoice or payment voucher generator exists; the PDF only prints a Reverse Charge YES/NO line.</t>
  </si>
  <si>
    <t>X-0557</t>
  </si>
  <si>
    <t>Claim Input Tax Credit on RCM tax paid in cash in subsequent GSTR-3B return</t>
  </si>
  <si>
    <t>Avail eligible Input Tax Credit for RCM tax paid to government in cash ledger</t>
  </si>
  <si>
    <t>Credits eligible ITC in GSTR-3B Table 4(A)(3) after confirming cash payment in Table 6.1</t>
  </si>
  <si>
    <t>Supported via RCM ITC Reconciliation worksheet.</t>
  </si>
  <si>
    <t>Code review 2026-10-04 (agent-reviewed, spot-checked): Partial. RCM books post Input ITC shown as provisional in the 3B builder, but no cash-payment confirmation against Table 6.1 or reconciliation worksheet was found.</t>
  </si>
  <si>
    <t>backend/reporting/gst_returns.py:rcm_itc_provisional; backend/reporting/gst_returns.py:4(A)(3)</t>
  </si>
  <si>
    <t>RCM books post Input ITC shown as provisional in the 3B builder, but no cash-payment confirmation against Table 6.1 or reconciliation worksheet was found.</t>
  </si>
  <si>
    <t>X-0558</t>
  </si>
  <si>
    <t>Composition Scheme merchant calculates quarterly flat turnover tax via CMP-08 without ITC</t>
  </si>
  <si>
    <t>Kirana Shop Owner / Accountant</t>
  </si>
  <si>
    <t>Simplified quarterly flat tax payment (1% for traders/manufacturers) under GST Composition Scheme</t>
  </si>
  <si>
    <t>Computes flat turnover tax; prepares official Statement for Payment of Self-Assessed Tax (CMP-08)</t>
  </si>
  <si>
    <t>Supported via /gst/cmp08/ quarterly return worksheet for composition taxpayers.</t>
  </si>
  <si>
    <t>Code review 2026-10-04 (agent-reviewed, spot-checked): Confirmed. CMP-08 aid computes quarterly flat turnover tax at a configurable rate without ITC, exposed at reports/cmp08/.</t>
  </si>
  <si>
    <t>backend/reporting/gstr2b.py:build_cmp08; backend/reporting/views.py:Cmp08View</t>
  </si>
  <si>
    <t>CMP-08 aid computes quarterly flat turnover tax at a configurable rate without ITC, exposed at reports/cmp08/.</t>
  </si>
  <si>
    <t>X-0559</t>
  </si>
  <si>
    <t>Transition from Composition Scheme to Regular GST Scheme (stock credit under Section 18(1)(c))</t>
  </si>
  <si>
    <t>Claim statutory input tax credit on inputs held in stock when turnover crosses composition limit</t>
  </si>
  <si>
    <t>Compiles stock inventory on transition date; calculates eligible ITC on inputs via Form ITC-01</t>
  </si>
  <si>
    <t>Supported via Composition-to-Regular Transition Assistant.</t>
  </si>
  <si>
    <t>Code review 2026-10-04 (agent-reviewed, spot-checked): Contradicted. No composition-to-regular transition assistant or ITC-01 stock-credit computation exists; composition code only blocks regular returns.</t>
  </si>
  <si>
    <t>none found: searched ITC-01, section 18(1)(c), composition transition, stock credit</t>
  </si>
  <si>
    <t>No composition-to-regular transition assistant or ITC-01 stock-credit computation exists; composition code only blocks regular returns.</t>
  </si>
  <si>
    <t>X-0560</t>
  </si>
  <si>
    <t>Issue non-GST / Bill of Supply for nil-rated, exempted, or non-taxable goods</t>
  </si>
  <si>
    <t>Issue legally compliant Bill of Supply (without tax charges) for fresh fruits, milk, unbranded grains</t>
  </si>
  <si>
    <t>Renders Bill of Supply per Rule 49; separates exempt turnover from taxable supplies in GSTR-1 Table 8</t>
  </si>
  <si>
    <t>Supported via Bill of Supply document template for exempt and nil-rated sales.</t>
  </si>
  <si>
    <t>Code review 2026-10-04 (agent-reviewed, spot-checked): Partial. NON_GST invoice type renders without tax and nil-rated amounts are bucketed in GSTR-1, but no distinct Rule 49 Bill of Supply template or numbering was found.</t>
  </si>
  <si>
    <t>backend/sales/models.py:NON_GST; backend/sales/pdf/gst_tax_invoice.py:show_tax</t>
  </si>
  <si>
    <t>NON_GST invoice type renders without tax and nil-rated amounts are bucketed in GSTR-1, but no distinct Rule 49 Bill of Supply template or numbering was found.</t>
  </si>
  <si>
    <t>S</t>
  </si>
  <si>
    <t>System / Reconciliation Worker</t>
  </si>
  <si>
    <t>Continuous verification that sum of all debits equals sum of all credits across the entire company GL</t>
  </si>
  <si>
    <t>Triggers high-priority alert if debit-credit discrepancy != 0; quarantines corrupted ledger batches</t>
  </si>
  <si>
    <t>Trial-balance reporting exists in accounting.reports.trial_balance, and books health exposes trial_balance_balanced. No hourly Celery beat task that quarantines unbalanced batches was found. | Decision 2026-10-04 (delegated, quality-first): Build in MVP (3 days). Scheduled worker runs trial-balance and invariants nightly, quarantines unbalanced batches and alerts. | Truth 2026-10-05 (WI-005): Partial. No invariant for payment allocations within payment amounts; no registered invariant for ledger output tax equals invoice tax (only a one-off test); AR/AP control vs outstanding only as dashboard-vs-aging projection checks; quarantine block wired to GST soft-close and GSTR export but not to accounting period lock; ops mailbox is only a log line; no test that the nightly run creates the quarantine row end to end; test_plan_s_0561.py absent. Quarantine, nightly sweep and owner/accountant in-app alert exist and are tested, but several named invariants and the ops-mailbox alert are missing.</t>
  </si>
  <si>
    <t>Category moved off Payments &amp; Reconciliation. The previous note claimed an hourly Celery quarantine worker. 2026-10-04: no background worker found. A check_invariants management command exists (backend/core/management/commands/check_invariants.py) and the trial balance report exposes trial_balance_balanced. Code review 2026-10-04 (agent-reviewed, spot-checked): Partial. Trial balance check and invariants command exist; no scheduled worker or quarantine of unbalanced batches.</t>
  </si>
  <si>
    <t>backend/tests/test_holistic_80.py::test_trial_balance_balanced_after_lifecycle_close; backend/tests/test_phase5_accounting.py::test_trial_balance_and_balance_sheet_equation; backend/tests/test_planwave_remaining.py::test_quarantine_blocks_close_and_clears; backend/tests/test_code_review_2026_10_05.py::test_one_open_quarantine_row_per_company; backend/tests/test_fmea_mitigations.py::test_tc_fmea_010_a_failed_invariant_notifies_the_owner_in_app; backend/tests/test_register_integrity_gaps.py::test_output_tax_in_ledger_equals_sum_of_completed_invoice_tax</t>
  </si>
  <si>
    <t>backend/accounting/reports.py:trial_balance; backend/core/tasks.py:nightly_invariants_task; backend/planwave/services.py:open_quarantine; backend/planwave/services.py:assert_books_clear; backend/reporting/gst_periods.py:soft_close_period</t>
  </si>
  <si>
    <t>backend/tests/test_fmea_mitigations.py; backend/tests/test_holistic_80.py; backend/tests/test_holistic_95.py</t>
  </si>
  <si>
    <t>backend/accounting/reports.py:trial_balance; backend/core/management/commands/check_invariants.py</t>
  </si>
  <si>
    <t>System / Inventory Engine</t>
  </si>
  <si>
    <t>System / Inventory Worker</t>
  </si>
  <si>
    <t>Automatically release reserved stock back to available pool when uncompleted POS/web cart expires</t>
  </si>
  <si>
    <t>Decrements reserved_quantity and increments available_quantity on StockBalance after 30-min timeout</t>
  </si>
  <si>
    <t>No CartSession model and no 30-minute cart-expiry release worker were found. Do not treat that timeout as implemented. | Truth 2026-10-05 (WI-051): Partial. No expiry on confirmed sales-order reservations; releasing a hold does not release any stock reservation; no scheduled task calls release_expired_pos_holds; expiry hours are a function argument, not company-configurable. Only a POS hold row that can be marked released exists; reservation release is not wired.</t>
  </si>
  <si>
    <t>Previous note cited CartSession.updated_at. That model does not exist. Code review 2026-10-04 (agent-reviewed, spot-checked): Partial. Reserve and release functions exist for orders; no cart session or 30-minute expiry release worker.</t>
  </si>
  <si>
    <t>backend/tests/test_planwave_finish.py::test_pos_hold_expires_and_the_row_remains</t>
  </si>
  <si>
    <t>backend/inventory/models.py:StockBalance; backend/inventory/services.py:available_quantity; backend/planwave/finish.py:hold_pos_cart; backend/planwave/finish.py:release_expired_pos_holds; backend/planwave/models.py:PosCartHold</t>
  </si>
  <si>
    <t>backend/inventory/services.py:reserve_stock; backend/inventory/services.py:release_reservation; backend/inventory/models.py:StockBalance</t>
  </si>
  <si>
    <t>Reserve and release functions exist for orders; no cart session or 30-minute expiry release worker.</t>
  </si>
  <si>
    <t>S-0563</t>
  </si>
  <si>
    <t>System / Cache Engine</t>
  </si>
  <si>
    <t>Event-driven product catalog cache invalidation across distributed POS nodes</t>
  </si>
  <si>
    <t>System / Redis Cache</t>
  </si>
  <si>
    <t>Price or tax changes made on central server instantly purge local Redis/memory caches on POS terminals</t>
  </si>
  <si>
    <t>Broadcasts WebSocket invalidation message; forces POS client-side indexedDB cache refresh within 500ms</t>
  </si>
  <si>
    <t>Django post_save signal on Product master triggers Redis pub/sub cache purge event.</t>
  </si>
  <si>
    <t>Code review 2026-10-04 (agent-reviewed, spot-checked): Partial. Server list cache is deleted on master writes; no WebSocket or pub/sub broadcast to POS client caches.</t>
  </si>
  <si>
    <t>Server list cache is deleted on master writes; no WebSocket or pub/sub broadcast to POS client caches.</t>
  </si>
  <si>
    <t>S-0564</t>
  </si>
  <si>
    <t>System / Document Engine</t>
  </si>
  <si>
    <t>Asynchronous PDF document generation queue for high-volume invoice printing</t>
  </si>
  <si>
    <t>Sub-second checkout response by offloading heavy WeasyPrint/PDF generation to background worker pool</t>
  </si>
  <si>
    <t>Returns instant HTTP 201 Created with JSON; queues PDF render job; pushes download URL via WebSocket</t>
  </si>
  <si>
    <t>Offloads PDF rendering to dedicated Celery worker; decouples HTTP request-response cycle.</t>
  </si>
  <si>
    <t>Code review 2026-10-04 (agent-reviewed, spot-checked): Partial. PDF generation is queued to Celery with pdf_status polling; no WebSocket push of download URL.</t>
  </si>
  <si>
    <t>backend/sales/tasks.py:generate_invoice_pdf; backend/sales/views.py</t>
  </si>
  <si>
    <t>PDF generation is queued to Celery with pdf_status polling; no WebSocket push of download URL.</t>
  </si>
  <si>
    <t>S-0565</t>
  </si>
  <si>
    <t>System / Sequence Engine</t>
  </si>
  <si>
    <t>Atomic database sequence locking preventing concurrent invoice numbering gaps</t>
  </si>
  <si>
    <t>All Billing Users</t>
  </si>
  <si>
    <t>Guarantee zero missing numbers in statutory invoice sequences even under heavy concurrent billing</t>
  </si>
  <si>
    <t>Uses PostgreSQL SELECT FOR UPDATE on DocumentSequence row; strictly guarantees sequential numbering</t>
  </si>
  <si>
    <t>Postgres row-level lock on sequence master; strictly satisfies GST Rule 46 sequentiality mandate.</t>
  </si>
  <si>
    <t>Code review 2026-10-04 (agent-reviewed, spot-checked): Confirmed. DocumentNumberService locks the DocumentSeries row with select_for_update when issuing numbers; model is DocumentSeries, not DocumentSequence.</t>
  </si>
  <si>
    <t>backend/tests/test_concurrency_races.py::test_concurrent_invoice_numbering_no_duplicate</t>
  </si>
  <si>
    <t>backend/core/services/document_numbers.py:DocumentNumberService</t>
  </si>
  <si>
    <t>DocumentNumberService locks the DocumentSeries row with select_for_update when issuing numbers; model is DocumentSeries, not DocumentSequence.</t>
  </si>
  <si>
    <t>S-0566</t>
  </si>
  <si>
    <t>System / Outbox Engine</t>
  </si>
  <si>
    <t>Transactional Outbox pattern for external webhook and message dispatch</t>
  </si>
  <si>
    <t>System / Outbox Worker</t>
  </si>
  <si>
    <t>Guarantees that WhatsApp/SMS notifications are never lost if external provider fails during checkout</t>
  </si>
  <si>
    <t>Writes notification payload to database in same atomic transaction as invoice; background worker polls and sends</t>
  </si>
  <si>
    <t>Transactional Outbox pattern implementation; achieves at-least-once delivery guarantee.</t>
  </si>
  <si>
    <t>Code review 2026-10-04 (agent-reviewed, spot-checked): Partial. Outbox exists only for gateway refunds; WhatsApp and SMS notifications are sent synchronously with no outbox written in the invoice transaction.</t>
  </si>
  <si>
    <t>backend/payments/models.py:GatewayRefundOutbox; backend/core/services/notifications.py:NotificationService</t>
  </si>
  <si>
    <t>Outbox exists only for gateway refunds; WhatsApp and SMS notifications are sent synchronously with no outbox written in the invoice transaction.</t>
  </si>
  <si>
    <t>S-0567</t>
  </si>
  <si>
    <t>Nightly automated accounts receivable and payable aging bucket reclassification</t>
  </si>
  <si>
    <t>System / Cron Worker</t>
  </si>
  <si>
    <t>Daily recalculation of debtor and creditor aging buckets (0-30, 31-60, 61-90, 90+ days) at midnight</t>
  </si>
  <si>
    <t>Updates cached aging summaries on Customer and Supplier records; refreshes executive dashboard</t>
  </si>
  <si>
    <t>Nightly cron job evaluating (today - invoice.due_date); updates denormalized aging summary table.</t>
  </si>
  <si>
    <t>Matched due_date in product code. This is not a functional test.</t>
  </si>
  <si>
    <t>System / Integrity Engine</t>
  </si>
  <si>
    <t>System / ORM Guard</t>
  </si>
  <si>
    <t>Prevent accidental cascading deletion of critical historical invoices when master entity is removed</t>
  </si>
  <si>
    <t>Enforces on_delete=models.PROTECT on all transaction foreign keys; routes deletions to is_deleted=True</t>
  </si>
  <si>
    <t>Core architectural invariant: models.PROTECT enforced across all financial and inventory FKs. | Decision 2026-10-04 (delegated, quality-first): Build in MVP (4 days). Soft delete (is_deleted) on masters, PROTECT on line-item foreign keys, restore flow. | Truth 2026-10-05 (WI-006): Partial. Soft delete exists on Customer, Supplier, Product, Warehouse, PriceList and sales FKs are PROTECT, but some child FKs to Customer/Product/Warehouse remain CASCADE (payments dunning/portal/promise, warehouse reorder/running costs). orphan_report and its management command have no test. Restore permission is Owner/Manager/Accountant, not Owner/Admin only. Only Customer is tested for soft-delete and restore. Soft-delete, restore and orphan report exist and customer paths are tested, but cascades remain and the orphan report is untested.</t>
  </si>
  <si>
    <t>Code review 2026-10-04 (agent-reviewed, spot-checked): Partial. PROTECT is widely used on transaction foreign keys, but line items cascade and no is_deleted soft-delete mechanism exists.</t>
  </si>
  <si>
    <t>backend/tests/test_business_rules.py::test_bom_component_soft_deletes_not_error; backend/tests/test_business_rules.py::test_referenced_product_soft_deletes; backend/tests/test_planwave_remaining.py::test_soft_deleted_customer_hides_and_hard_delete_is_refused; backend/tests/test_planwave_finish.py::test_restore_brings_a_customer_back</t>
  </si>
  <si>
    <t>backend/core/models.py:SoftDeleteFields; backend/planwave/finish.py:restore_master; backend/planwave/finish.py:orphan_report; backend/planwave/views.py:RestoreMasterView</t>
  </si>
  <si>
    <t>backend/sales/models.py:SalesInvoice; backend/inventory/models.py:StockMovement</t>
  </si>
  <si>
    <t>S-0569</t>
  </si>
  <si>
    <t>System / Telemetry Engine</t>
  </si>
  <si>
    <t>Automated API latency, error rate, and slow-query telemetry logger</t>
  </si>
  <si>
    <t>System / Telemetry Middleware</t>
  </si>
  <si>
    <t>DevOps / Architect</t>
  </si>
  <si>
    <t>Track 95th percentile (P95) response times and pinpoint database queries taking &gt; 200ms</t>
  </si>
  <si>
    <t>Logs structured JSON telemetry to APM; alerts engineering if checkout latency breaches 1.0 second</t>
  </si>
  <si>
    <t>Django middleware logging request duration, SQL query count, and memory allocation.</t>
  </si>
  <si>
    <t>Kept P3. The previous workbook had P3. Authored priority was P2.</t>
  </si>
  <si>
    <t>Kept P3. The previous workbook had P3. Authored priority was P2. Code review 2026-10-04 (agent-reviewed, spot-checked): Partial. Request duration is logged as JSON and counted, but no slow-query logging, P95, SQL count or latency alerting exists.</t>
  </si>
  <si>
    <t>KEPT_PREVIOUS</t>
  </si>
  <si>
    <t>backend/core/middleware.py:RequestIdMiddleware; backend/core/ops_metrics.py:record_http_result</t>
  </si>
  <si>
    <t>Request duration is logged as JSON and counted, but no slow-query logging, P95, SQL count or latency alerting exists.</t>
  </si>
  <si>
    <t>System / Backup Engine</t>
  </si>
  <si>
    <t>System / Backup Daemon</t>
  </si>
  <si>
    <t>Zero-data-loss point-in-time recovery (PITR) capability in case of physical cloud hardware catastrophe</t>
  </si>
  <si>
    <t>Uploads encrypted pg_dump and Write-Ahead Logs (WAL) to air-gapped S3 bucket with 30-day retention</t>
  </si>
  <si>
    <t>Automated backup script with AES-256 encryption and automated test-restore health check. | Decision 2026-10-04 (delegated, quality-first): Build in MVP (3 days). WAL archiving and point-in-time recovery plus the daily encrypted dump; restore drill documented. | Truth 2026-10-05 (WI-007): Partial. No WAL archiving or point-in-time recovery, no RPO 5 min / RTO 1 h configuration, no provider key-service integration (GPG/age recipient only), and no timed restore drill log in qos/evidence. Daily encrypted dump script and a restore drill workflow exist but the WAL/PITR half and the recorded timed drill do not.</t>
  </si>
  <si>
    <t>Code review 2026-10-04 (agent-reviewed, spot-checked): Partial. Daily GPG or age-encrypted pg_dump with optional offsite copy exists; no WAL archiving or PITR configuration was found.</t>
  </si>
  <si>
    <t>backend/tests/test_backup_scripts.py::test_encrypted_dump_uses_age_and_is_not_plaintext_named; backend/tests/test_backup_scripts.py::test_offsite_command_receives_the_file_and_failure_is_fatal; backend/tests/test_backup_scripts.py::test_retention_is_by_age_but_keeps_the_newest_min_keep</t>
  </si>
  <si>
    <t>scripts/backup.sh; scripts/restore_drill.sh; .github/workflows/backup-restore-drill.yml</t>
  </si>
  <si>
    <t>scripts/backup.sh:pg_dump; scripts/backup.sh:BACKUP_OFFSITE_CMD</t>
  </si>
  <si>
    <t>S-0571</t>
  </si>
  <si>
    <t>System / Cleanup Engine</t>
  </si>
  <si>
    <t>Temporary file and export archive garbage collection worker</t>
  </si>
  <si>
    <t>System / Maintenance Worker</t>
  </si>
  <si>
    <t>Prevent server disk exhaustion by automatically purging generated Excel/PDF export temp files older than 48h</t>
  </si>
  <si>
    <t>Deletes expired temporary media files and orphaned import CSV uploads; frees local server storage</t>
  </si>
  <si>
    <t>Daily Celery maintenance job cleaning /tmp/media_exports/ directory.</t>
  </si>
  <si>
    <t>Kept P3. The previous workbook had P3. Authored priority was P2. Code review 2026-10-04 (agent-reviewed, spot-checked): Contradicted. Only HelpEvent, idempotency and sandbox sweeps exist; no export or temp media garbage collection task.</t>
  </si>
  <si>
    <t>none found: searched cleanup, purge, media_exports, temp file in tasks.py</t>
  </si>
  <si>
    <t>Only HelpEvent, idempotency and sandbox sweeps exist; no export or temp media garbage collection task.</t>
  </si>
  <si>
    <t>System / Rate Limiter</t>
  </si>
  <si>
    <t>System / Redis Rate Limiter</t>
  </si>
  <si>
    <t>Anonymous / External Users</t>
  </si>
  <si>
    <t>Prevent brute force password guessing, OTP flooding, and DDoS attacks on auth and public checkout APIs</t>
  </si>
  <si>
    <t>Enforces strict per-IP and per-tenant rate limits (e.g. max 5 login attempts/min, 100 API requests/min)</t>
  </si>
  <si>
    <t>Django Ratelimit with Redis backend; returns HTTP 429 Too Many Requests. | Decision 2026-10-04 (delegated, quality-first): Build in MVP (2 days). Redis token bucket on public endpoints with per-tenant limits. | Truth 2026-10-05 (WI-008): Partial. Authenticated API is limited per credential at 100 per 10 s plus 1500/min per IP, not 600/min per tenant; fixed-window cache counter, not a token bucket; webhook limit is per IP and signature verification is separate; Redis-down alert is a single log line; no tests for register 5/h, portal 60/min, or the API limits. Login, OTP, register, portal, webhook rules and fail-closed fallback exist, but the tenant API limit differs from scope and several rules are untested.</t>
  </si>
  <si>
    <t>Code review 2026-10-04 (agent-reviewed, spot-checked): Partial. DRF scoped throttles limit login, OTP and register per minute and return 429, but they are not django-ratelimit or a token bucket, and per-tenant limits are partial.</t>
  </si>
  <si>
    <t>backend/tests/test_auth.py::test_login_locks_out_after_repeated_failures; backend/tests/test_auth.py::test_otp_request_throttle_scope_enforced_by_drf; backend/tests/test_public_pay_rate_limit.py::test_public_pay_token_endpoint_is_rate_limited; backend/tests/test_planwave_remaining.py::test_rate_limit_refuses_the_eleventh_login; backend/tests/test_planwave_remaining.py::test_same_account_login_stops_at_six; backend/tests/test_planwave_remaining.py::test_cache_down_closes_login_and_leaves_api_up; backend/tests/test_plan_above_items.py::test_otp_limit_follows_the_phone_not_the_ip</t>
  </si>
  <si>
    <t>backend/planwave/ratelimit.py:rules_for; backend/planwave/ratelimit.py:_hit; backend/planwave/ratelimit.py:PlanRateLimitMiddleware</t>
  </si>
  <si>
    <t>backend/config/settings.py:DEFAULT_THROTTLE_RATES</t>
  </si>
  <si>
    <t>S-0573</t>
  </si>
  <si>
    <t>Automated payment gateway webhook signature cryptographic verification worker</t>
  </si>
  <si>
    <t>System / Webhook Engine</t>
  </si>
  <si>
    <t>Ensure payment gateway callback authenticity and reject fraudulent spoofed payment completion requests</t>
  </si>
  <si>
    <t>Verifies HMAC SHA-256 signature using webhook secret; rejects unverified payload with HTTP 400</t>
  </si>
  <si>
    <t>Core security invariant: HMAC signature verification required before marking invoice PAID.</t>
  </si>
  <si>
    <t>Code review 2026-10-04 (agent-reviewed, spot-checked): Confirmed. Adapter HMAC-SHA256 verify_webhook runs before settlement; invalid signature is rejected (HTTP 401, not 400).</t>
  </si>
  <si>
    <t>backend/tests/errors/test_webhook_and_async_contracts.py::test_billing_webhook_rejects_bad_signature_and_dedups_replay; backend/tests/test_phase3_payments.py::test_webhook_hmac_fail_rejected</t>
  </si>
  <si>
    <t>backend/payments/gateway.py:RazorpayAdapter; backend/payments/webhook_views.py:payment_webhook</t>
  </si>
  <si>
    <t>Adapter HMAC-SHA256 verify_webhook runs before settlement; invalid signature is rejected (HTTP 401, not 400).</t>
  </si>
  <si>
    <t>System / Alert Engine</t>
  </si>
  <si>
    <t>System / AI Anomaly Worker</t>
  </si>
  <si>
    <t>Detect employee fraud or fat-finger typos (e.g. ₹5,00,000 bill on retail counter or 90% discount)</t>
  </si>
  <si>
    <t>Flags transaction as STATISTICAL_OUTLIER; generates urgent AttentionRowState notification for owner</t>
  </si>
  <si>
    <t>Z-score statistical anomaly detector running on invoice completion signal. | Truth 2026-10-05 (WI-064): Partial. The discount median is across all the customer's lines rather than the item's; the rupee floor is a code default, not per company; the review queue is list-only (no resolve) and has no UI; review_completed_sale and the queue endpoint are untested. Flagging rule and queue table exist with a unit test, but item-level median, per-company thresholds and an exercised queue are missing.</t>
  </si>
  <si>
    <t>No Z-score invoice anomaly detector was found. Code review 2026-10-04 (agent-reviewed, spot-checked): Partial. Threshold alerts for below-cost and high discount exist; no Z-score or abnormal bill-amount detection.</t>
  </si>
  <si>
    <t>backend/tests/test_planwave_remaining.py::test_provision_interest_anomaly_cashflow_and_2b</t>
  </si>
  <si>
    <t>backend/insights/models.py:AttentionRowState; backend/planwave/services.py:flag_anomaly; backend/planwave/finish.py:review_completed_sale; backend/planwave/models.py:AnomalyReview; backend/planwave/views.py:AnomalyList</t>
  </si>
  <si>
    <t>backend/insights/alerts.py:SALE_BELOW_COST; backend/insights/alerts.py:DISCOUNT_OVER_THRESHOLD; backend/insights/models.py:AttentionRowState</t>
  </si>
  <si>
    <t>Threshold alerts for below-cost and high discount exist; no Z-score or abnormal bill-amount detection.</t>
  </si>
  <si>
    <t>S-0575</t>
  </si>
  <si>
    <t>System / Lock Engine</t>
  </si>
  <si>
    <t>Pessimistic database locking on concurrent warehouse stock deduction</t>
  </si>
  <si>
    <t>Multiple Billing Clerks</t>
  </si>
  <si>
    <t>Prevent negative inventory race condition when two cashiers bill the last remaining unit simultaneously</t>
  </si>
  <si>
    <t>Executes SELECT FOR UPDATE on StockBalance row; serializes deduction; rejects second bill cleanly</t>
  </si>
  <si>
    <t>Core concurrency invariant: atomic row-level lock on StockBalance during checkout.</t>
  </si>
  <si>
    <t>backend/tests/test_concurrency_races.py::test_concurrent_sales_complete_oversell_blocked; backend/tests/test_concurrency_races.py::test_concurrent_stock_oversell_blocked</t>
  </si>
  <si>
    <t>S-0576</t>
  </si>
  <si>
    <t>System / Indexing Engine</t>
  </si>
  <si>
    <t>Automated PostgreSQL Trigram and GIN full-text search indexing on product catalog</t>
  </si>
  <si>
    <t>System / Search Engine</t>
  </si>
  <si>
    <t>Sub-50ms search response when scanning barcodes or typing misspelled product brand names</t>
  </si>
  <si>
    <t>Maintains PostgreSQL pg_trgm and GIN indexes across SKU, Barcode, Brand, and Generic Composition</t>
  </si>
  <si>
    <t>Database GIN trigram index on products; handles partial matching and typo tolerance.</t>
  </si>
  <si>
    <t>Code review 2026-10-04 (agent-reviewed, spot-checked): Contradicted. Search uses icontains/iexact filters; no trigram or GIN index is defined in models.</t>
  </si>
  <si>
    <t>none found: searched pg_trgm, GinIndex, TrigramExtension, SearchVector in non-migration code; backend/search/views.py:UniversalSearchView</t>
  </si>
  <si>
    <t>Search uses icontains/iexact filters; no trigram or GIN index is defined in models.</t>
  </si>
  <si>
    <t>S-0577</t>
  </si>
  <si>
    <t>System / Session Worker</t>
  </si>
  <si>
    <t>Concurrent session limiter and idle token expiration worker</t>
  </si>
  <si>
    <t>System / Auth Worker</t>
  </si>
  <si>
    <t>Enforce single-device login policy per user license and automatically terminate stale browser sessions</t>
  </si>
  <si>
    <t>Invalidates JWT refresh tokens on idle timeout (60 mins); blocks second concurrent browser login</t>
  </si>
  <si>
    <t>Redis session store tracking active user JWT tokens; rejects simultaneous logins if unlicensed.</t>
  </si>
  <si>
    <t>Code review 2026-10-04 (agent-reviewed, spot-checked): Contradicted. No concurrent session limiter or idle-token expiry worker exists; only logout-all and refresh-token blacklisting were found.</t>
  </si>
  <si>
    <t>none found: searched concurrent session, idle timeout, single device, session limit in accounts</t>
  </si>
  <si>
    <t>No concurrent session limiter or idle-token expiry worker exists; only logout-all and refresh-token blacklisting were found.</t>
  </si>
  <si>
    <t>S-0578</t>
  </si>
  <si>
    <t>System / Valuation Worker</t>
  </si>
  <si>
    <t>FIFO cost layer consumption and recalculation worker on back-dated purchase intake</t>
  </si>
  <si>
    <t>System / Costing Engine</t>
  </si>
  <si>
    <t>Ensure inventory cost layers and Cost of Goods Sold (COGS) are retroactively accurate if bills arrive late</t>
  </si>
  <si>
    <t>Re-traverses outward sales movements chronologically; updates COGS and gross margin variance</t>
  </si>
  <si>
    <t>Perpetual FIFO cost re-sequencing engine with accounting adjustment journal creation.</t>
  </si>
  <si>
    <t>Code review 2026-10-04 (agent-reviewed, spot-checked): Contradicted. FIFO layers are consumed in posting order, explicitly not by movement date; no retroactive COGS recalculation worker.</t>
  </si>
  <si>
    <t>backend/inventory/services.py:_apply_cost_layers; none found: searched back-dated FIFO re-sequencing worker</t>
  </si>
  <si>
    <t>FIFO layers are consumed in posting order, explicitly not by movement date; no retroactive COGS recalculation worker.</t>
  </si>
  <si>
    <t>System / Audit Watchdog</t>
  </si>
  <si>
    <t>System / Security Daemon</t>
  </si>
  <si>
    <t>Cryptographically prove in a court of law or tax audit that activity logs have never been altered</t>
  </si>
  <si>
    <t>Computes SHA-256 hash = hash(prev_hash + log_data); creates immutable blockchain-style audit chain</t>
  </si>
  <si>
    <t>Cryptographic audit chain satisfying Section 65B Indian Evidence Act for digital records. | Truth 2026-10-05 (WI-034): Partial. No drill log in qos/evidence; the task-level gap path (running seal_audit_chain_task with a stale heartbeat) is not tested directly. Missed-run check and Owner notification exist and are tested at function level; the drill evidence is absent.</t>
  </si>
  <si>
    <t>Re-checked 2026-10-04: core/services/audit_chain.py seals and verifies a per-company sha256 chain (chain_seq, chain_prev, chain_hash). tests/test_audit_chain_edge_cases.py passed on SQLite on 2026-10-04 (tests/test_audit_append_only.py exists; not re-run). Limits: sealing is a nightly batch, so events after the last seal are not yet protected. Earlier 'Mechanism not found' was stale.</t>
  </si>
  <si>
    <t>tests/test_audit_chain_edge_cases.py passed 2026-10-04 (SQLite)</t>
  </si>
  <si>
    <t>tests/test_audit_chain_edge_cases.py; backend/tests/test_audit_append_only.py::test_editing_a_sealed_event_is_detected; backend/tests/test_audit_append_only.py::test_seal_assigns_a_contiguous_chain_and_verifies; backend/tests/test_plan_audit_seal_session.py::test_seal_gap_alerts_the_owner_and_a_fresh_run_does_not; backend/tests/test_plan_partials.py::test_missed_audit_seal_notifies_the_owner</t>
  </si>
  <si>
    <t>backend/core/tasks.py:seal_audit_chain_task; backend/core/tasks.py:alert_missed_seal; backend/core/tasks.py:seal_gap_seconds</t>
  </si>
  <si>
    <t>S-0580</t>
  </si>
  <si>
    <t>System / EWB Watchdog</t>
  </si>
  <si>
    <t>Automated E-Way Bill expiry warning crawler</t>
  </si>
  <si>
    <t>System / Compliance Worker</t>
  </si>
  <si>
    <t>Scan active E-Way Bills hourly and alert logistics team 4 hours prior to transit validity expiry</t>
  </si>
  <si>
    <t>Surfaces high-priority EWB_EXPIRING_SOON alert; prompts one-click 8-hour validity extension</t>
  </si>
  <si>
    <t>Hourly cron job comparing ewb.valid_upto against now(); pushes alerts to dispatch desk.</t>
  </si>
  <si>
    <t>Kept P0. The previous workbook had P0. Authored priority was P1.</t>
  </si>
  <si>
    <t>Matched valid_upto in product code. This is not a functional test. Kept P0. The previous workbook had P0. Authored priority was P1.</t>
  </si>
  <si>
    <t>UX</t>
  </si>
  <si>
    <t>Counter Clerk / POS Operator</t>
  </si>
  <si>
    <t>Cashier can complete 100% of retail checkout (scan, discount, tender, print) without touching mouse</t>
  </si>
  <si>
    <t>Reduces checkout time from 45s to 12s per customer; eliminates repetitive strain injury</t>
  </si>
  <si>
    <t>POS keys in web/src/pages/pos/PosPage.tsx: F2 focuses search, F1 cash, F4 card, F5 and F6 UPI, F7 credit, F8 holds the session. The previous note reversed this map. | Truth 2026-10-05 (WI-052): Partial. Function-key shortcuts exist and are tested, but there is no test of full keyboard-only navigation (tab order, line editing, arrow selection, quantity changes). web/src/__tests__/ux_0581.test.tsx does not exist. POS hotkeys F1-F11 are built and tested; complete keyboard-only navigation is not demonstrated.</t>
  </si>
  <si>
    <t>Previous note said F1 search, F4 cash, and F8 print. Code review 2026-10-04 (agent-reviewed, spot-checked): Partial. F-keys cover search, tender, hold, clear and reprint, but no keyboard path for discount; keyboard-only completion is not fully shown.</t>
  </si>
  <si>
    <t>web/src/pages/pos/PosPage.hotkeys.test.tsx::F2 focuses and selects the barcode search input; web/src/pages/pos/PosPage.hotkeys.test.tsx::F1 triggers cash payment and completes checkout; web/src/pages/pos/PosPage.hotkeys.test.tsx::F10 clears the active cart</t>
  </si>
  <si>
    <t>web/src/pages/pos/PosPage.tsx; web/src/pages/pos/PosPage.hotkeys.test.tsx</t>
  </si>
  <si>
    <t>web/src/pages/pos/PosPage.tsx:holdAndCreateSession</t>
  </si>
  <si>
    <t>F-keys cover search, tender, hold, clear and reprint, but no keyboard path for discount; keyboard-only completion is not fully shown.</t>
  </si>
  <si>
    <t>Hold current customer's cart when they step away to pick another item; bill next customer immediately</t>
  </si>
  <si>
    <t>Saves active cart in memory/indexedDB; recalls held cart with 1 click; eliminates queue blockage</t>
  </si>
  <si>
    <t>Session hold is F8 (holdAndCreateSession). F9 recalls when more than one session exists. F6 tenders UPI. A five-cart cap was not verified. | Truth 2026-10-05 (WI-053): Partial. Multi-cart hold in the web is client-side sessionStorage only; the backend PosCartHold is not called by the web and creates no stock reservation, so reservation survival is unproven; no web/src/__tests__/ux_0582.test.tsx. Hold and recall of several carts works in the UI but does not reserve stock.</t>
  </si>
  <si>
    <t>Previous note called F6 Hold Bill. Code review 2026-10-04 (agent-reviewed, spot-checked): Confirmed. F8 holds the cart and opens a new session; F9 and Ctrl+1-9 switch sessions. Cap of five not checked.</t>
  </si>
  <si>
    <t>web/src/pages/pos/PosPage.hotkeys.test.tsx; backend/tests/test_planwave_finish.py::test_pos_hold_expires_and_the_row_remains</t>
  </si>
  <si>
    <t>web/src/pages/pos/PosPage.tsx; backend/planwave/finish.py:hold_pos_cart; backend/planwave/finish.py:release_expired_pos_holds</t>
  </si>
  <si>
    <t>F8 holds the cart and opens a new session; F9 and Ctrl+1-9 switch sessions. Cap of five not checked.</t>
  </si>
  <si>
    <t>UX-0583</t>
  </si>
  <si>
    <t>All Roles</t>
  </si>
  <si>
    <t>Universal 10-second 'Undo' toast notification on accidental deletions or cancellations</t>
  </si>
  <si>
    <t>Business User</t>
  </si>
  <si>
    <t>Allows user to instantly reverse accidental deletion of draft order or line item without data loss</t>
  </si>
  <si>
    <t>Delays destructive database purge by 10 seconds; restores UI state seamlessly if user clicks Undo</t>
  </si>
  <si>
    <t>Nielsen Heuristic 3: User Control &amp; Freedom. Snackbar toast with interactive Undo action.</t>
  </si>
  <si>
    <t>Code review 2026-10-04 (agent-reviewed, spot-checked): Contradicted. No Undo snackbar or delayed destructive delete exists in the web app; only bank match unmatch was found.</t>
  </si>
  <si>
    <t>Platform scope</t>
  </si>
  <si>
    <t>none found: searched undo, onUndo in web/src components and pages</t>
  </si>
  <si>
    <t>No Undo snackbar or delayed destructive delete exists in the web app; only bank match unmatch was found.</t>
  </si>
  <si>
    <t>UX-0584</t>
  </si>
  <si>
    <t>Contextual inline error guidance with auto-fix suggestions on GST validation failures</t>
  </si>
  <si>
    <t>Billing Clerk / Accountant</t>
  </si>
  <si>
    <t>Instead of cryptic 'Invalid Tax' error, UI explains: 'Customer is in Maharashtra. Apply IGST instead of CGST'</t>
  </si>
  <si>
    <t>Provides 1-click 'Auto-Fix Tax' button; resolves user confusion and eliminates support tickets</t>
  </si>
  <si>
    <t>Nielsen Heuristic 9: Error Recovery. Inline alert banner with prescriptive remediation action.</t>
  </si>
  <si>
    <t>Code review 2026-10-04 (agent-reviewed, spot-checked): Contradicted. No Auto-Fix Tax button or IGST-vs-CGST remediation message; tax split is derived from place of supply instead.</t>
  </si>
  <si>
    <t>none found: searched auto-fix, IGST instead in web/src and backend/sales</t>
  </si>
  <si>
    <t>No Auto-Fix Tax button or IGST-vs-CGST remediation message; tax split is derived from place of supply instead.</t>
  </si>
  <si>
    <t>UX-0585</t>
  </si>
  <si>
    <t>Visual empty-state illustrations with actionable onboarding shortcuts</t>
  </si>
  <si>
    <t>New Business Owner</t>
  </si>
  <si>
    <t>When opening a new account with zero sales, screen shows friendly graphic and 'Create Your First Bill' button</t>
  </si>
  <si>
    <t>Guides user directly into productive action; reduces first-day churn by 40%</t>
  </si>
  <si>
    <t>Designed empty states with call-to-action buttons across Invoices, Customers, and Products.</t>
  </si>
  <si>
    <t>Code review 2026-10-04 (agent-reviewed, spot-checked): Partial. Empty states with add actions exist on some lists; no illustrations and no Create Your First Bill prompt found.</t>
  </si>
  <si>
    <t>web/src/components/PageState.tsx:EmptyState</t>
  </si>
  <si>
    <t>Empty states with add actions exist on some lists; no illustrations and no Create Your First Bill prompt found.</t>
  </si>
  <si>
    <t>Power User / Owner</t>
  </si>
  <si>
    <t>Instantly navigate to any customer profile, invoice, report, or action from anywhere in app via Ctrl+K</t>
  </si>
  <si>
    <t>Reduces menu clicking; allows keyboard navigation to any screen in under 2 seconds</t>
  </si>
  <si>
    <t>Command Palette modal (Ctrl+K) indexing system routes, recent records, and quick actions. | Truth 2026-10-05 (WI-054): Partial. Palette lists navigation routes only; no data search and no actions; no test file. Ctrl+K navigation palette exists but lacks search and actions and is untested. | Drift check 2026-10-05: CommandPalette.tsx exists (Ctrl+K over navigation); no customer or invoice search, no arrow-key selection</t>
  </si>
  <si>
    <t>No Ctrl+K command palette was found in the web client. Code review 2026-10-04 (agent-reviewed, spot-checked): Contradicted. No command palette or Ctrl+K handler exists.</t>
  </si>
  <si>
    <t>web/src/components/CommandPalette.tsx:CommandPalette; web/src/layouts/AppShell.tsx</t>
  </si>
  <si>
    <t>none found: searched ctrl+k, command palette, omnibar in web/src</t>
  </si>
  <si>
    <t>No command palette or Ctrl+K handler exists.</t>
  </si>
  <si>
    <t>UX-0587</t>
  </si>
  <si>
    <t>Dynamic customer credit health pill with color-coded risk indicator during billing</t>
  </si>
  <si>
    <t>Real-time visual pill on billing header showing customer credit status (Green: OK, Yellow: Near Limit, Red: Blocked)</t>
  </si>
  <si>
    <t>Prevents embarrassing checkout arguments; alerts clerk to customer payment status before packing items</t>
  </si>
  <si>
    <t>Color-coded Credit Health badge on customer search dropdown and order cart header.</t>
  </si>
  <si>
    <t>Code review 2026-10-04 (agent-reviewed, spot-checked): Partial. Only a red credit-hold chip shown for stop-credit or severe overdue; no green or yellow near-limit states.</t>
  </si>
  <si>
    <t>web/src/components/CreditHoldChip.tsx:CreditHoldChip; web/src/pages/sales/NewInvoicePage.tsx:CreditHoldChip</t>
  </si>
  <si>
    <t>Only a red credit-hold chip shown for stop-credit or severe overdue; no green or yellow near-limit states.</t>
  </si>
  <si>
    <t>Warehouse Picker</t>
  </si>
  <si>
    <t>Stock search displays exact physical warehouse location tag (e.g. 'Godown 1 &gt; Aisle B &gt; Shelf 3')</t>
  </si>
  <si>
    <t>Reduces order picking search time from 5 minutes to 30 seconds per item</t>
  </si>
  <si>
    <t>Displays location_tag pill on product row in warehouse pick lists and search results. | Truth 2026-10-05 (WI-055): Not built. No rack or bin location field on stock models, serializers or the stock and picking views, and no badge component. Searched backend inventory models and web/src for rack/bin/shelf location and found nothing.</t>
  </si>
  <si>
    <t>No location_tag shelf-locator field was found. Code review 2026-10-04 (agent-reviewed, spot-checked): Contradicted. No shelf or rack locator field exists on stock or warehouse models.</t>
  </si>
  <si>
    <t>none found: searched location_tag, shelf, rack, aisle, bin_location in backend and web</t>
  </si>
  <si>
    <t>No shelf or rack locator field exists on stock or warehouse models.</t>
  </si>
  <si>
    <t>UX-0589</t>
  </si>
  <si>
    <t>Interactive spreadsheet-style inline grid editing for bulk transaction review</t>
  </si>
  <si>
    <t>Edit HSN codes, tax rates, or accounts across 50 purchase bills in single Excel-like data grid</t>
  </si>
  <si>
    <t>Eliminates opening 50 individual forms; enables rapid month-end review in 15 minutes</t>
  </si>
  <si>
    <t>Keyboard-driven DataGrid with arrow key navigation, cell copy-paste, and batch save.</t>
  </si>
  <si>
    <t>Code review 2026-10-04 (agent-reviewed, spot-checked): Contradicted. No spreadsheet-style editable grid for bulk purchase bill review.</t>
  </si>
  <si>
    <t>none found: searched DataGrid, ag-grid, spreadsheet, bulk edit in web/src</t>
  </si>
  <si>
    <t>No spreadsheet-style editable grid for bulk purchase bill review.</t>
  </si>
  <si>
    <t>Shows real-time progress bar (e.g. 'Row 450 of 1,200 imported - 15 seconds remaining') during large imports</t>
  </si>
  <si>
    <t>Prevents anxious users from refreshing browser or aborting ongoing database import jobs</t>
  </si>
  <si>
    <t>Nielsen Heuristic 1: Visibility of System Status. WebSocket progress bar with row counter. | Truth 2026-10-05 (WI-056): Partial. A progress bar with an ETA exists but is a time-based estimate (0.05 s per row), not server progress, and has no test; no ux_0590.test.tsx. Visible progress and ETA exist in the import commit UI but it is estimated and untested.</t>
  </si>
  <si>
    <t>No WebSocket import-progress channel was found. Code review 2026-10-04 (agent-reviewed, spot-checked): Contradicted. ImportJob has no progress counter, websocket channel or time-remaining estimate for bulk imports.</t>
  </si>
  <si>
    <t>web/src/pages/settings/ImportPage.tsx</t>
  </si>
  <si>
    <t>none found: searched progress, rows_done, processed in backend/imports</t>
  </si>
  <si>
    <t>ImportJob has no progress counter, websocket channel or time-remaining estimate for bulk imports.</t>
  </si>
  <si>
    <t>Bystanders / Customers</t>
  </si>
  <si>
    <t>Quick eye icon toggle that obscures revenue, bank balance, and profit numbers when customers are standing nearby</t>
  </si>
  <si>
    <t>Protects business financial confidentiality while allowing owner to review operational lists</t>
  </si>
  <si>
    <t>Privacy Mode toggle (Shift+P) replacing currency digits with '₹ ••••••' across dashboard. | Truth 2026-10-05 (WI-057): Partial. No test; only components using MoneyText are masked, other rupee displays may not be. Toggle with Shift+P and session storage exists, but nothing tests it. | Drift check 2026-10-05: PrivacyMask provider and toggle exist; blur covers papers and table cells only</t>
  </si>
  <si>
    <t>Set to P3. The previous workbook had P2. Authored priority was P2.</t>
  </si>
  <si>
    <t>No Shift+P privacy mask was found in the web client. Set to P3. The previous workbook had P2. Authored priority was P2. Code review 2026-10-04 (agent-reviewed, spot-checked): Contradicted. No privacy mask toggle exists.</t>
  </si>
  <si>
    <t>OVERRIDDEN</t>
  </si>
  <si>
    <t>web/src/privacy/PrivacyMask.tsx:PrivacyMaskProvider; web/src/components/insights/MoneyText.tsx:MoneyText; web/src/layouts/AppShell.tsx</t>
  </si>
  <si>
    <t>none found: searched privacy mask, hideAmounts, shift+P in web/src</t>
  </si>
  <si>
    <t>No privacy mask toggle exists.</t>
  </si>
  <si>
    <t>UX-0592</t>
  </si>
  <si>
    <t>Sound feedback cues on barcode scan success, duplicate scan, and error</t>
  </si>
  <si>
    <t>Distinct audible beeps confirming successful barcode scan (high chime) vs error/out-of-stock (low buzz)</t>
  </si>
  <si>
    <t>Allows clerk to scan rapid supermarket items without glancing back and forth at computer monitor</t>
  </si>
  <si>
    <t>Web Audio API sound synthesizers for SCAN_SUCCESS, DUPLICATE_WARNING, and ERROR_BLOCK. | Drift check 2026-10-05: scanSounds.ts exists (web audio cues)</t>
  </si>
  <si>
    <t>Kept P3. The previous workbook had P3. Authored priority was P2. Code review 2026-10-04 (agent-reviewed, spot-checked): Contradicted. No sound feedback code exists for scan success, duplicate or error.</t>
  </si>
  <si>
    <t>none found: searched AudioContext, createOscillator, new Audio, beep in web/src</t>
  </si>
  <si>
    <t>No sound feedback code exists for scan success, duplicate or error.</t>
  </si>
  <si>
    <t>UX-0593</t>
  </si>
  <si>
    <t>High-contrast outdoor glare mode for mobile field order booking</t>
  </si>
  <si>
    <t>Optimized ultra-high-contrast UI theme designed for readability under direct bright Indian sunlight</t>
  </si>
  <si>
    <t>Eliminates outdoor screen squinting; enables smooth order booking on dusty street corners</t>
  </si>
  <si>
    <t>Outdoor Sunlight Mode with pure black text on pure white background and bold 16px typography.</t>
  </si>
  <si>
    <t>Restored to authored P2. The previous workbook had P3 after a keyword rebalance. Code review 2026-10-04 (agent-reviewed, spot-checked): Contradicted. No outdoor or high-contrast theme mode exists; theme only adjusts specific contrast colors.</t>
  </si>
  <si>
    <t>none found: searched outdoor, sunlight, glare, highContrast in web/src and web/src/theme</t>
  </si>
  <si>
    <t>No outdoor or high-contrast theme mode exists; theme only adjusts specific contrast colors.</t>
  </si>
  <si>
    <t>UX-0594</t>
  </si>
  <si>
    <t>Persistent customer quick-create side drawer without losing current document state</t>
  </si>
  <si>
    <t>New Customer</t>
  </si>
  <si>
    <t>Slide-out drawer allowing full new customer onboarding without navigating away or losing active cart items</t>
  </si>
  <si>
    <t>Saves customer master; auto-selects newly created party in active bill; cart remains 100% intact</t>
  </si>
  <si>
    <t>Non-modal slide-over drawer (Flyout) with isolated form state preserving background cart.</t>
  </si>
  <si>
    <t>Code review 2026-10-04 (agent-reviewed, spot-checked): Partial. Customer is created in a modal Dialog on the invoice page, auto-selected, cart intact; it is not a slide-out drawer.</t>
  </si>
  <si>
    <t>web/src/pages/sales/invoice/InvoicePartyPanel.tsx:onCustomerCreated; web/src/pages/sales/NewInvoicePage.tsx:onCustomerCreated</t>
  </si>
  <si>
    <t>Customer is created in a modal Dialog on the invoice page, auto-selected, cart intact; it is not a slide-out drawer.</t>
  </si>
  <si>
    <t>UX-0595</t>
  </si>
  <si>
    <t>Executive Morning Briefing card summarizing '3 Things That Need You Today'</t>
  </si>
  <si>
    <t>Top of dashboard highlights 3 prioritized action items (e.g. '₹1.2L overdue from Sharma', '5 items out of stock')</t>
  </si>
  <si>
    <t>Eliminates analytical paralysis; gives owner clear 5-minute action plan every morning</t>
  </si>
  <si>
    <t>Priority Triage Engine generating 3 high-impact daily call-to-action cards.</t>
  </si>
  <si>
    <t>Code review 2026-10-04 (agent-reviewed, spot-checked): Partial. Dashboard shows top 3 business alerts and a ranked attention feed; not a dedicated daily briefing engine.</t>
  </si>
  <si>
    <t>web/src/pages/DashboardPage.tsx:topBiz; backend/insights/attention.py</t>
  </si>
  <si>
    <t>Dashboard shows top 3 business alerts and a ranked attention feed; not a dedicated daily briefing engine.</t>
  </si>
  <si>
    <t>Permanently cancelling an annual return or deleting a company requires typing 'DELETE' to confirm</t>
  </si>
  <si>
    <t>Prevents catastrophic accidental clicks on destructive administrative actions</t>
  </si>
  <si>
    <t>Nielsen Heuristic 5: Error Prevention. Type-to-confirm modal on high-risk operations. | Decision 2026-10-04 (delegated, quality-first): Build in Pilot (1 days). Typed-confirmation input on destructive dialogs. | Truth 2026-10-05 (WI-043): Partial. Typed confirmation is opt-in and used on only a few dialogs (contracts, campaigns, growth widgets); other destructive dialogs do not require typing. Planned file web/src/__tests__/ux_0596.test.tsx does not exist. The reusable typed-confirm component is built and tested but applied to only a few destructive dialogs.</t>
  </si>
  <si>
    <t>Code review 2026-10-04 (agent-reviewed, spot-checked): Contradicted. ConfirmDialog has no typed-confirmation input; no type-DELETE flow found.</t>
  </si>
  <si>
    <t>web (frontend)</t>
  </si>
  <si>
    <t>web/src/components/ConfirmDialog.test.tsx::BUG-UI-005 requires the document number before a destructive confirm; web/src/components/ConfirmDialog.test.tsx::asks for nothing to be typed unless the caller opts in</t>
  </si>
  <si>
    <t>web/src/components/ConfirmDialog.tsx:requireTyped; web/src/pages/contracts/ContractsPage.tsx; web/src/pages/crm/CampaignsPage.tsx</t>
  </si>
  <si>
    <t>none found: searched type-to-confirm, confirmPhrase, DELETE typing in web/src/components/ConfirmDialog.tsx</t>
  </si>
  <si>
    <t>UX-0597</t>
  </si>
  <si>
    <t>Quick quantity multiplier keypad shortcuts during retail barcode scanning</t>
  </si>
  <si>
    <t>Typing '5*' followed by scanning barcode automatically adds 5 units without scanning 5 individual times</t>
  </si>
  <si>
    <t>Accelerates supermarket checkout for multi-pack items (e.g. 10 soap bars)</t>
  </si>
  <si>
    <t>POS input parser supporting syntax 'N*BARCODE' or scanning followed by '+' key increment.</t>
  </si>
  <si>
    <t>Code review 2026-10-04 (agent-reviewed, spot-checked): Contradicted. tryAddByBarcode matches the raw string exactly; no quantity-multiplier syntax is parsed.</t>
  </si>
  <si>
    <t>none found: searched N*barcode parser, multiplier in web/src/pages/pos/PosPage.tsx:tryAddByBarcode</t>
  </si>
  <si>
    <t>tryAddByBarcode matches the raw string exactly; no quantity-multiplier syntax is parsed.</t>
  </si>
  <si>
    <t>UX-0598</t>
  </si>
  <si>
    <t>Live responsive document print preview with paper size switching (A4 vs A5 vs Thermal)</t>
  </si>
  <si>
    <t>Instant visual preview of invoice layout showing exact pagination, logo placement, and fold lines</t>
  </si>
  <si>
    <t>Allows instant toggling between 2-inch thermal slip, 3-inch roll, and A4 tax invoice before printing</t>
  </si>
  <si>
    <t>Client-side SVG/HTML print preview modal with live CSS media query switching.</t>
  </si>
  <si>
    <t>Code review 2026-10-04 (agent-reviewed, spot-checked): Contradicted. Only buttons that download 80mm or 58mm thermal PDFs exist; no live preview modal or A4/A5/thermal switching.</t>
  </si>
  <si>
    <t>none found: searched print preview, paper size in web/src; web/src/pages/sales/InvoiceDetailPage.tsx:handleThermalPrint</t>
  </si>
  <si>
    <t>Only buttons that download 80mm or 58mm thermal PDFs exist; no live preview modal or A4/A5/thermal switching.</t>
  </si>
  <si>
    <t>UX-0599</t>
  </si>
  <si>
    <t>Split-screen side-by-side reconciliation interface with drag-and-drop manual matching</t>
  </si>
  <si>
    <t>Left pane shows Purchase Register; right pane shows GSTR-2B government feed; click to match</t>
  </si>
  <si>
    <t>Makes tax reconciliation intuitive and visually satisfying; highlights rate and date differences in red</t>
  </si>
  <si>
    <t>Dual-pane interactive reconciliation workbench with automated match suggestions.</t>
  </si>
  <si>
    <t>Code review 2026-10-04 (agent-reviewed, spot-checked): Contradicted. Reconciliation is a single table with a match button and status dropdown; no dual-pane or drag-and-drop manual matching.</t>
  </si>
  <si>
    <t>web/src/pages/reports/Gstr2bPage.tsx:matchGstr2b</t>
  </si>
  <si>
    <t>Reconciliation is a single table with a match button and status dropdown; no dual-pane or drag-and-drop manual matching.</t>
  </si>
  <si>
    <t>UX-0600</t>
  </si>
  <si>
    <t>Contextual in-app chat and comment threads on specific invoices and orders</t>
  </si>
  <si>
    <t>Salesperson / Accountant</t>
  </si>
  <si>
    <t>Internal staff can leave notes ('Customer requested 3 days extra credit') directly on invoice audit panel</t>
  </si>
  <si>
    <t>Eliminates scattered WhatsApp internal chat; preserves institutional context alongside transaction</t>
  </si>
  <si>
    <t>Activity Timeline comment box with user @mentions attached to Document model.</t>
  </si>
  <si>
    <t>Code review 2026-10-04 (agent-reviewed, spot-checked): Contradicted. No comment thread or @mention model attached to invoices or orders exists; only support TicketComment.</t>
  </si>
  <si>
    <t>none found: searched comment, note, mention classes in backend sales, core and web</t>
  </si>
  <si>
    <t>No comment thread or @mention model attached to invoices or orders exists; only support TicketComment.</t>
  </si>
  <si>
    <t>C-0601</t>
  </si>
  <si>
    <t>C</t>
  </si>
  <si>
    <t>Statutory Compliance</t>
  </si>
  <si>
    <t>CGST Rule 46 mandatory invoice particulars validation guard</t>
  </si>
  <si>
    <t>Tax Engine / Validator</t>
  </si>
  <si>
    <t>Ensure all 16 statutory particulars required by Rule 46 (GSTIN, HSN, Place of Supply, Date, Serial) are present</t>
  </si>
  <si>
    <t>Hard-blocks saving invoice if any mandatory statutory field is missing; guarantees legal defensibility</t>
  </si>
  <si>
    <t>Rule 46 statutory validator running on SalesInvoice.pre_save; raises descriptive ValidationError.</t>
  </si>
  <si>
    <t>backend/tests/errors/test_error_paths.py::test_gst_invoice_without_place_of_supply_is_4xx_with_help_code; backend/tests/test_gst_guard_v2.py::test_missing_hsn_b2b_blocks_completion</t>
  </si>
  <si>
    <t>Tax Auditor / Accountant</t>
  </si>
  <si>
    <t>Verify all 4 statutory conditions: tax invoice in hand, goods received, tax paid to govt, return filed</t>
  </si>
  <si>
    <t>Tags ITC verification checklist on purchase bill; prevents claiming irregular credit subject to 24% interest</t>
  </si>
  <si>
    <t>4-condition statutory ITC checklist on Purchase Invoice audit verification panel. | Decision 2026-10-04 (delegated, quality-first): Build in MVP (4 days). Four-condition Section 16(2) checklist on each purchase bill. | Truth 2026-10-05 (WI-016): Partial. Only the negative case is tested (no test that a fully attested bill is claimable or that the 180-day check works); no per-bill warning or checklist UI in the web app; ITC attestation API untested. Model, hook at purchase completion, claimable summary and an exclusion test exist but the positive path, 180-day test and bill-level warning are unproven or absent.</t>
  </si>
  <si>
    <t>Code review 2026-10-04 (agent-reviewed, spot-checked): Partial. Only a single UNREVIEWED/CLAIMABLE/INELIGIBLE flag exists; no four-condition Section 16(2) checklist on the purchase bill.</t>
  </si>
  <si>
    <t>backend/tests/test_planwave_finish.py::test_unconfirmed_bill_is_excluded_from_claimable_itc</t>
  </si>
  <si>
    <t>backend/planwave/models.py:ItcBillCheck; backend/planwave/finish.py:classify_purchase_bill; backend/planwave/finish.py:itc_summary; backend/planwave/services.py:itc_claimable</t>
  </si>
  <si>
    <t>backend/purchases/models.py:ItcEligibility; backend/accounting/services.py:reclass_rejected_itc</t>
  </si>
  <si>
    <t>Tax Engine / Cron</t>
  </si>
  <si>
    <t>Strictly identify purchase invoices approaching the 30th November cutoff for claiming previous year's ITC</t>
  </si>
  <si>
    <t>Alerts user 60 days, 30 days, and 7 days prior to cutoff; flags expired invoices as ITC_TIME_BARRED</t>
  </si>
  <si>
    <t>Automated rule evaluating invoice.date vs FY cutoff date (30th Nov); sets itc_status=TIME_BARRED. | Decision 2026-10-04 (delegated, quality-first): Build in MVP (3 days). 60-day and 7-day alert tiers, TIME_BARRED status and ITC exclusion. | Truth 2026-10-05 (WI-017): Partial. 60 and 7 day warnings only fire when someone POSTs /plan/itc/summary/; no scheduled task; DUE_60/DUE_7 statuses and alert sending are untested; test_plan_c_0603.py absent. Deadline math, TIME_BARRED exclusion and CLAIMED_REVIEW exist and are tested; proactive alerting is manual and untested.</t>
  </si>
  <si>
    <t>Re-checked 2026-10-04: reporting/ims.py computes a Section 16(4) deadline per row, flags rows expiring within 30 days and raises an alert (insights/attention.py). tests/test_b03_ims.py passes. An automated ITC exclusion engine was not found. Earlier 'Mechanism not found' was stale. Code review 2026-10-04 (agent-reviewed, spot-checked): Partial. Deadline and a 30-day expiry alert/digest exist; no 60/7-day tiers and no TIME_BARRED status or exclusion engine.</t>
  </si>
  <si>
    <t>tests/test_b03_ims.py; backend/tests/test_b03_ims.py::test_section_16_4_past_window_not_pending_forever; backend/tests/test_planwave_remaining.py::test_gst_rules; backend/tests/test_planwave_finish.py::test_unconfirmed_bill_is_excluded_from_claimable_itc</t>
  </si>
  <si>
    <t>backend/planwave/services.py:section_16_4_status; backend/planwave/finish.py:refresh_itc_status; backend/planwave/finish.py:alert_itc_deadlines; backend/planwave/finish.py:itc_summary</t>
  </si>
  <si>
    <t>Automatically flag purchase expenses on motor vehicles, food &amp; beverages, and gifts as ineligible ITC</t>
  </si>
  <si>
    <t>Transfers tax amount to Expense/Asset cost rather than Input Tax Credit ledger per Section 17(5)</t>
  </si>
  <si>
    <t>Built-in HSN/SAC statutory classification rule tagging blocked credits directly to expense ledgers. | Decision 2026-10-04 (delegated, quality-first): Build in MVP (5 days). Section 17(5) auto-classification (motor vehicle, food, gifts) with override and audit. | Truth 2026-10-05 (WI-018): Partial. Rule table is only six seeded rows (food, motor vehicles, club, works contract, personal, exempt) and not the full s.17(5) list. Blocked bills are only flagged on ItcBillCheck; GST is not posted to expense/asset instead of ITC receivable. No Owner/Accountant override with reason. Category match is by product category name. No test of classify_purchase_bill blocking or of effective-date handling beyond one HSN match. A dated rule table and matcher exist, but accounting reclassification, override and the full list are missing.</t>
  </si>
  <si>
    <t>Code review 2026-10-04 (agent-reviewed, spot-checked): Partial. Ineligible ITC can be reclassified to expense/inventory, but no automatic motor vehicle/food/gift classification; only composition-supplier auto-ineligible.</t>
  </si>
  <si>
    <t>backend/tests/test_planwave_remaining.py::test_gst_rules</t>
  </si>
  <si>
    <t>backend/planwave/services.py:blocked_credit_match; backend/planwave/services.py:SECTION_17_RULES; backend/planwave/models.py:BlockedCreditRule; backend/planwave/finish.py:classify_purchase_bill</t>
  </si>
  <si>
    <t>backend/accounting/services.py:reclass_rejected_itc; backend/purchases/serializers.py:itc_eligibility</t>
  </si>
  <si>
    <t>C-0605</t>
  </si>
  <si>
    <t>Section 34 CGST Act Credit and Debit Note statutory linking and time-limit validation</t>
  </si>
  <si>
    <t>Ensure every GST credit note references original tax invoice number and date, and is issued before statutory cutoff</t>
  </si>
  <si>
    <t>Validates original invoice link; blocks credit note issuance after 30th November of subsequent FY</t>
  </si>
  <si>
    <t>Section 34 validator enforcing mandatory original_invoice_id and statutory date limit check.</t>
  </si>
  <si>
    <t>Code review 2026-10-04 (agent-reviewed, spot-checked): Confirmed. Credit note requires a PROTECT FK to the original invoice and completion raises past the 30 Nov Sec 34(2) deadline.</t>
  </si>
  <si>
    <t>backend/tests/test_b4_b5_notes_serial.py::test_cr129_purchase_cn_rejects_draft_source_invoice; backend/tests/test_b4_b5_notes_serial.py::test_cr129_purchase_cn_rejects_note_date_before_invoice</t>
  </si>
  <si>
    <t>backend/sales/notes_services.py:complete_credit_note; backend/sales/models.py:SalesCreditNote</t>
  </si>
  <si>
    <t>Credit note requires a PROTECT FK to the original invoice and completion raises past the 30 Nov Sec 34(2) deadline.</t>
  </si>
  <si>
    <t>E-Way Bill Engine</t>
  </si>
  <si>
    <t>Accurate calculation of road transit distance between consignor and consignee PIN codes per government logic</t>
  </si>
  <si>
    <t>Fetches official NIC PIN-to-PIN distance; computes statutory E-Way Bill validity days (1 day per 200 km)</t>
  </si>
  <si>
    <t>NIC E-Way Bill Distance API integration with fallback offline PIN code distance matrix. | Decision 2026-10-04 (delegated, quality-first): Build in MVP (3 days). Rule 138 PIN-to-PIN distance lookup and validity computation. | Truth 2026-10-05 (WI-032): Partial. Validity is a hard-coded ceil(distance/100); no configurable slab table, no effective dates, no CA confirmation. Distance-based validity function exists but the configurable dated slab table is missing.</t>
  </si>
  <si>
    <t>Code review 2026-10-04 (agent-reviewed, spot-checked): Contradicted. Distance is a user-entered field; no NIC PIN-to-PIN lookup or 200 km validity computation (validity comes from provider response).</t>
  </si>
  <si>
    <t>backend/tests/test_partial_closures.py::test_bb_000639_eway_requires_distance; backend/tests/test_planwave_remaining.py::test_eway_stub_and_distance</t>
  </si>
  <si>
    <t>backend/planwave/services.py:eway_validity_days</t>
  </si>
  <si>
    <t>backend/sales/eway_payload.py:transport_distance_km</t>
  </si>
  <si>
    <t>Tax Engine / Calculator</t>
  </si>
  <si>
    <t>Calculate statutory interest on delayed tax liability payment from electronic cash ledger</t>
  </si>
  <si>
    <t>Computes interest on net tax liability paid through cash after return due date per Section 50(1)</t>
  </si>
  <si>
    <t>Automated interest computation worksheet for delayed GSTR-3B filings. | Decision 2026-10-04 (delegated, quality-first): Build in MVP (3 days). Section 50 interest calculator and delayed-filing worksheet. | Truth 2026-10-05 (WI-020): Partial. No Rule 88B net cash liability basis for late-filed returns; inputs are typed in rather than derived from late-paid tax; rates table has a single dated row; no CA-confirmation marker. 18%/24% interest, dated rate table, CSV and no-journal exist; the Rule 88B basis is missing. | Drift check 2026-10-05: Section 50 worksheet and CSV exist in planwave; rates are a single dated row pending the CA</t>
  </si>
  <si>
    <t>Kept P0. The previous workbook had P0. Authored priority was P1. Code review 2026-10-04 (agent-reviewed, spot-checked): Contradicted. No Section 50 interest calculator or delayed-filing worksheet exists.</t>
  </si>
  <si>
    <t>backend/tests/test_planwave_remaining.py::test_gst_rules; backend/tests/test_planwave_finish.py::test_section_50_csv_posts_no_journal</t>
  </si>
  <si>
    <t>backend/planwave/services.py:section_50_interest; backend/planwave/finish.py:section_50_csv; backend/planwave/views.py:Section50CsvView</t>
  </si>
  <si>
    <t>none found: searched interest, section_50, late fee, delayed GSTR-3B in backend</t>
  </si>
  <si>
    <t>C-0608</t>
  </si>
  <si>
    <t>Drug License Form 20B / 21B statutory licence number printing on pharmaceutical bills</t>
  </si>
  <si>
    <t>Document Renderer</t>
  </si>
  <si>
    <t>Mandatory display of wholesale/retail Drug License numbers and Pharmacist Registration ID on medicine invoices</t>
  </si>
  <si>
    <t>Renders DL numbers prominently on invoice header per Drugs and Cosmetics Act requirements</t>
  </si>
  <si>
    <t>CompanyStatutoryLicence model integration; auto-embeds Form 20B/21B licence strings.</t>
  </si>
  <si>
    <t>Matched CompanyStatutoryLicence in product code. This is not a functional test.</t>
  </si>
  <si>
    <t>backend/accounts/models.py:CompanyStatutoryLicence</t>
  </si>
  <si>
    <t>backend/tests/test_roadmap_items.py</t>
  </si>
  <si>
    <t>Pharmacist / Dispenser</t>
  </si>
  <si>
    <t>Maintain statutory prescription drug register recording prescribing doctor name, patient address, and batch</t>
  </si>
  <si>
    <t>Generates Schedule H/H1 inspection register exportable for state Drug Controller audits</t>
  </si>
  <si>
    <t>Supported via Prescription / Doctor logging modal on Schedule H pharma products. | Decision 2026-10-04 (delegated, quality-first): Build in MVP (5 days). Schedule H/X register with doctor and prescription logging, printable for inspectors. | Truth 2026-10-05 (WI-015): Built.  Flag-gated (pharmacy_enabled default off) completion block, Schedule X prescription note, CSV and PDF register and 3-year configurable retention all exist and are asserted; pharmacist review is external. | Drift check 2026-10-05: Schedule H/H1/X check and register exist behind a per-tenant flag; pharmacist review of layout and retention pending</t>
  </si>
  <si>
    <t>Code review 2026-10-04 (agent-reviewed, spot-checked): Contradicted. No Schedule H/X register or doctor/prescription logging; only drug licence numbers and batch on invoices exist.</t>
  </si>
  <si>
    <t>backend/tests/test_planwave_remaining.py::test_pharmacy_flag_gates_schedule_x; backend/tests/test_planwave_remaining.py::test_pharmacy_blocks_sale_complete; backend/tests/test_planwave_finish.py::test_pharmacy_register_lists_the_dispense; backend/tests/test_plan_remaining_open.py::test_pharmacy_register_pdf_names_the_patient</t>
  </si>
  <si>
    <t>backend/planwave/services.py:assert_pharmacy_sale; backend/planwave/finish.py:pharmacy_register_csv; backend/planwave/finish.py:pharmacy_register_pdf; backend/planwave/models.py:PharmacyDispense</t>
  </si>
  <si>
    <t>none found: searched schedule_h, prescription, doctor, prescribing</t>
  </si>
  <si>
    <t>C-0610</t>
  </si>
  <si>
    <t>FSSAI 14-digit food safety licence number validation and mandatory invoice printing</t>
  </si>
  <si>
    <t>Kirana / FMCG Merchant</t>
  </si>
  <si>
    <t>Enforce printing of mandatory 14-digit FSSAI licence number on all food product invoices per FSSAI order</t>
  </si>
  <si>
    <t>Validates 14-digit FSSAI regex; embeds licence on invoice footer; separates food from non-food HSNs</t>
  </si>
  <si>
    <t>CompanyStatutoryLicence FSSAI validator and invoice template footer rendering.</t>
  </si>
  <si>
    <t>C-0611</t>
  </si>
  <si>
    <t>Legal Metrology (Packaged Commodities) Rules mandatory unit price declaration</t>
  </si>
  <si>
    <t>Display both packaged MRP and unit selling price (per gram / per ml / per piece) on retail bills</t>
  </si>
  <si>
    <t>Computes and prints unit price declaration compliant with Legal Metrology Amendment Rules</t>
  </si>
  <si>
    <t>Supported via Unit Sale Price (USP) calculator and POS receipt formatting.</t>
  </si>
  <si>
    <t>Code review 2026-10-04 (agent-reviewed, spot-checked): Contradicted. Receipts print unit_price per line only; no unit-price-per-gram/ml declaration or USP calculator found.</t>
  </si>
  <si>
    <t>backend/sales/pdf/thermal_receipt.py:format_money</t>
  </si>
  <si>
    <t>Receipts print unit_price per line only; no unit-price-per-gram/ml declaration or USP calculator found.</t>
  </si>
  <si>
    <t>C-0612</t>
  </si>
  <si>
    <t>Section 194C TDS withholding on commercial transport and contractor payments</t>
  </si>
  <si>
    <t>Transporter / Contractor</t>
  </si>
  <si>
    <t>Deduct 1% (Individual) or 2% (Company) TDS on freight payments exceeding ₹30,000 single or ₹1,00,000 aggregate</t>
  </si>
  <si>
    <t>Credits TDS Payable (Sec 194C) account; generates Form 26Q quarterly compliance entries</t>
  </si>
  <si>
    <t>Expense entry Section 194C withholding rule with transporter PAN validation.</t>
  </si>
  <si>
    <t>Code review 2026-10-04 (agent-reviewed, spot-checked): Partial. TDS is manual section/rate on the bill and credits 2265 TDS Payable; no 194C threshold, PAN-based rate or 26Q generation beyond a worksheet.</t>
  </si>
  <si>
    <t>backend/core/services/tax_engine/india.py:fold_tds_from_rate; backend/purchases/models.py:tds_section</t>
  </si>
  <si>
    <t>TDS is manual section/rate on the bill and credits 2265 TDS Payable; no 194C threshold, PAN-based rate or 26Q generation beyond a worksheet.</t>
  </si>
  <si>
    <t>C-0613</t>
  </si>
  <si>
    <t>Section 194J TDS withholding on professional and legal service fees</t>
  </si>
  <si>
    <t>External CA / Legal Counsel</t>
  </si>
  <si>
    <t>Deduct 10% (or 2% technical service) TDS on professional consultancy fees exceeding ₹30,000 threshold</t>
  </si>
  <si>
    <t>Creates TDS payable liability; tracks annual professional fee expenditure per consultant</t>
  </si>
  <si>
    <t>Expense voucher Section 194J deduction rule with Form 16A certificate generation.</t>
  </si>
  <si>
    <t>Code review 2026-10-04 (agent-reviewed, spot-checked): Partial. Manual TDS rate/section and worksheet exist; no 194J threshold rule, per-consultant annual tracking or Form 16A generation.</t>
  </si>
  <si>
    <t>backend/core/services/tax_engine/india.py:fold_tds_from_rate; backend/reporting/tds_worksheets.py:tds_worksheet_rows</t>
  </si>
  <si>
    <t>Manual TDS rate/section and worksheet exist; no 194J threshold rule, per-consultant annual tracking or Form 16A generation.</t>
  </si>
  <si>
    <t>Tax Engine / Compliance</t>
  </si>
  <si>
    <t>Supplier / Customer</t>
  </si>
  <si>
    <t>Verify whether supplier/customer is a 'Specified Person' subject to 5% higher TDS/TCS deduction</t>
  </si>
  <si>
    <t>Stores Section 206AB verification status on party master; updates deduction rates automatically</t>
  </si>
  <si>
    <t>PAN 206AB compliance check utility supporting bulk party verification. | Plan 2026-10-04 (Q60): dropped from the implementation plan; On request, pending CA confirmation. | Drift check 2026-10-05: Supplier.income_tax_specified_person flag and apply_specified_person_tds exist; no PAN utility lookup (dropped from the plan pending the CA)</t>
  </si>
  <si>
    <t>No Section 206AB PAN check was found. Code review 2026-10-04 (agent-reviewed, spot-checked): Contradicted. No Section 206AB specified-person check or rate uplift anywhere in code.</t>
  </si>
  <si>
    <t>none found: searched 206AB, 206CCA, specified person</t>
  </si>
  <si>
    <t>No Section 206AB specified-person check or rate uplift anywhere in code.</t>
  </si>
  <si>
    <t>C-0615</t>
  </si>
  <si>
    <t>Rule 42 and Rule 43 CGST Rules proportionate reversal of common input tax credit</t>
  </si>
  <si>
    <t>External CA / Accountant</t>
  </si>
  <si>
    <t>Calculate monthly and annual proportionate ITC reversal for goods used for both taxable and exempt supplies</t>
  </si>
  <si>
    <t>Computes common credit reversal ratio; posts reversal journal voucher to GL and GSTR-3B Table 4(B)(1)</t>
  </si>
  <si>
    <t>Rule 42/43 Common Credit Reversal Worksheet compiler in gst module.</t>
  </si>
  <si>
    <t>Code review 2026-10-04 (agent-reviewed, spot-checked): Contradicted. No proportionate common-credit reversal computation or journal; only an ITC reversed/ineligible flag section in GSTR-3B.</t>
  </si>
  <si>
    <t>none found: searched rule 42, rule 43, common credit, exempt supplies reversal</t>
  </si>
  <si>
    <t>No proportionate common-credit reversal computation or journal; only an ITC reversed/ineligible flag section in GSTR-3B.</t>
  </si>
  <si>
    <t>Generate cryptographic certification log proving that software edit log feature was enabled at all times</t>
  </si>
  <si>
    <t>Renders MCA Audit Trail Compliance Report detailing database immutability and user change logs</t>
  </si>
  <si>
    <t>MCA Rule 11(g) compliance export module verifying zero disabled audit logging intervals. | Decision 2026-10-04 (delegated, quality-first): Build in MVP (0 days). Delivered with P-0507: report certifying logging was never disabled. | Truth 2026-10-05 (WI-004): Built.  Certification export checks chain integrity and logging windows and is tested for both the pass and the refusal.</t>
  </si>
  <si>
    <t>Code review 2026-10-04 (agent-reviewed, spot-checked): Partial. A hash-chained, append-guarded audit log exists, but no Rule 11(g) compliance report or export certifying logging was never disabled.</t>
  </si>
  <si>
    <t>backend/tests/test_audit_chain_edge_cases.py::test_nightly_task_reports_a_tampered_chain_without_raising; backend/tests/test_audit_chain_edge_cases.py::test_swapping_two_sealed_events_is_detected; backend/tests/test_planwave_remaining.py::test_certification_refuses_a_dark_window</t>
  </si>
  <si>
    <t>backend/planwave/services.py:certification_export; backend/planwave/views.py:CertificationView; backend/planwave/models.py:LoggingWindow</t>
  </si>
  <si>
    <t>backend/core/models.py:AuditEvent; backend/core/tasks.py:seal_audit_chain_task</t>
  </si>
  <si>
    <t>C-0617</t>
  </si>
  <si>
    <t>Section 128A CGST Act amnesty scheme conditional waiver tracking and reconciliation</t>
  </si>
  <si>
    <t>Track tax demand notices eligible for interest and penalty waiver under Section 128A GST amnesty</t>
  </si>
  <si>
    <t>Prepares statement of disputed tax paid; reconciles waiver eligibility for FY 2017-18 to 2019-20</t>
  </si>
  <si>
    <t>Section 128A amnesty reconciliation tracking report in GST compliance module. | Decision 2026-10-04 (delegated, quality-first): Build in GA (3 days): amnesty tracking and reconciliation for CA clients. | Plan 2026-10-04 (Q62): dropped from the implementation plan; On request, pending CA confirmation.</t>
  </si>
  <si>
    <t>Kept P3. The previous workbook had P3. Authored priority was P2. Code review 2026-10-04 (agent-reviewed, spot-checked): Contradicted. No Section 128A amnesty tracking or reconciliation.</t>
  </si>
  <si>
    <t>none found: searched 128A, amnesty</t>
  </si>
  <si>
    <t>No Section 128A amnesty tracking or reconciliation.</t>
  </si>
  <si>
    <t>Split large multi-ton consignment into multiple small delivery tempos with individual Part B records</t>
  </si>
  <si>
    <t>Generates multi-vehicle E-Way Bill manifest; tracks individual vehicle delivery completion</t>
  </si>
  <si>
    <t>Supported via NIC Multi-Vehicle E-Way Bill transshipment module. | Decision 2026-10-04 (delegated, quality-first): Build in MVP (2 days). Part B time-limit alert and multi-vehicle splitting. | Truth 2026-10-05 (WI-031): Partial. No Part B time-limit alert; multi-vehicle split is only a quantity check, with no per-vehicle storage and no test; no link to the e-way bill record or GSP flag. A stub action table with Part B/extend/split validation exists; the time-limit alert and tested split are missing.</t>
  </si>
  <si>
    <t>Kept P0. The previous workbook had P0. Authored priority was P1. Code review 2026-10-04 (agent-reviewed, spot-checked): Contradicted. No Part B vehicle update or multi-vehicle consignment splitting; e-way is a single bill per document.</t>
  </si>
  <si>
    <t>backend/tests/test_planwave_remaining.py::test_eway_stub_and_distance</t>
  </si>
  <si>
    <t>backend/planwave/services.py:record_eway_stub; backend/planwave/models.py:EwayStubAction; backend/planwave/views.py:EwayStubView</t>
  </si>
  <si>
    <t>none found: searched multi-vehicle, part_b, vehicle update</t>
  </si>
  <si>
    <t>C-0619</t>
  </si>
  <si>
    <t>Section 171 CGST Act Anti-Profiteering tax rate cut price reduction compliance verification</t>
  </si>
  <si>
    <t>Catalog Manager</t>
  </si>
  <si>
    <t>Verify that government GST rate reductions (e.g. 18% to 12%) are commensurate with selling price cuts</t>
  </si>
  <si>
    <t>Calculates price reduction formula; adjusts product master selling prices to pass benefit to consumers</t>
  </si>
  <si>
    <t>Anti-profiteering price adjustment audit worksheet. | Decision 2026-10-04 (delegated, quality-first): Build in GA (3 days): anti-profiteering price-cut compliance view. | Plan 2026-10-04 (Q63): dropped from the implementation plan; On request, pending CA confirmation.</t>
  </si>
  <si>
    <t>Kept P3. The previous workbook had P3. Authored priority was P2. Code review 2026-10-04 (agent-reviewed, spot-checked): Contradicted. No anti-profiteering price-reduction audit or price adjustment.</t>
  </si>
  <si>
    <t>none found: searched anti-profiteering, section 171, rate cut</t>
  </si>
  <si>
    <t>No anti-profiteering price-reduction audit or price adjustment.</t>
  </si>
  <si>
    <t>C-0620</t>
  </si>
  <si>
    <t>Digital Personal Data Protection (DPDP) Act 2023 customer consent logging and withdrawal</t>
  </si>
  <si>
    <t>Data Protection Officer</t>
  </si>
  <si>
    <t>Capture explicit digital consent from customer for WhatsApp marketing messages and data processing</t>
  </si>
  <si>
    <t>Logs consent timestamp and IP address; immediately halts marketing messaging upon consent withdrawal</t>
  </si>
  <si>
    <t>Customer Consent Ledger conforming to Section 6 of Indian DPDP Act 2023.</t>
  </si>
  <si>
    <t>Code review 2026-10-04 (agent-reviewed, spot-checked): Partial. A boolean WhatsApp opt-in gates cloud sends; no consent ledger with timestamp and IP, and no withdrawal log.</t>
  </si>
  <si>
    <t>backend/masters/models.py:whatsapp_opt_in; backend/core/services/whatsapp.py:opt_in</t>
  </si>
  <si>
    <t>A boolean WhatsApp opt-in gates cloud sends; no consent ledger with timestamp and IP, and no withdrawal log.</t>
  </si>
  <si>
    <t>SEC-0621</t>
  </si>
  <si>
    <t>SEC</t>
  </si>
  <si>
    <t>Multi-tenant PostgreSQL Row-Level Security (RLS) tenant isolation enforcement</t>
  </si>
  <si>
    <t>Database Engine / RLS</t>
  </si>
  <si>
    <t>Hardware-enforced tenant isolation guaranteeing Company A can never view or modify Company B data</t>
  </si>
  <si>
    <t>Sets GUC app.company_id per database connection; rejects any query attempting cross-tenant access</t>
  </si>
  <si>
    <t>PostgreSQL native Row-Level Security (RLS) policies on all tenant-scoped tables.</t>
  </si>
  <si>
    <t>Matched ostgreSQL in product code. This is not a functional test.</t>
  </si>
  <si>
    <t>backend/tests/test_rls_coverage.py::test_every_tenant_table_is_in_the_rls_migration; backend/tests/test_rls_coverage.py::test_rls_policy_present_and_forced_on_postgres</t>
  </si>
  <si>
    <t>API Serializer / UI Guard</t>
  </si>
  <si>
    <t>Billing Clerk / Driver</t>
  </si>
  <si>
    <t>Billing clerks and delivery staff cannot inspect supplier purchase costs or gross margin percentages</t>
  </si>
  <si>
    <t>Omits cost_price and margin fields from JSON serializer response based on requesting user role</t>
  </si>
  <si>
    <t>Role-scoped serializer field permissions in Django REST Framework. | Decision 2026-10-04 (delegated, quality-first): Build in MVP (2 days). Role-based field masking for purchase price and margin in serializers, exports and PDFs. | Truth 2026-10-05 (WI-009): Partial. Masking is applied only to the Product serializer and the plan catalogue CSV/PDF. Margin and cost on invoice-profit reports, purchase lines, other exports and PDFs are not masked via this helper. Role set uses OWNER/ACCOUNTANT/MANAGER; no Purchase Manager or Inventory Manager distinction and INVENTORY_STAFF is masked. Below-cost warning is only a product-level flag, not a POS server check. Product API and catalogue export masking is tested with real assertions, but wider API, report and PDF surfaces are not covered.</t>
  </si>
  <si>
    <t>Code review 2026-10-04 (agent-reviewed, spot-checked): Contradicted. Product serializer exposes purchase_price with no role-based omission; no cost or margin masking by role was found.</t>
  </si>
  <si>
    <t>backend/tests/test_a03_preview.py::test_preview_totals_omits_margin_for_staff_without_financial_reports_permission; backend/tests/test_planwave_remaining.py::test_product_api_omits_cost_for_sales_staff; backend/tests/test_planwave_remaining.py::test_cost_fields_are_omitted_for_sales_staff; backend/tests/test_plan_above_items.py::test_catalogue_export_omits_cost_for_sales_staff</t>
  </si>
  <si>
    <t>backend/planwave/services.py:mask_commercial; backend/masters/serializers.py:ProductSerializer.to_representation; backend/planwave/finish.py:catalog_rows; backend/planwave/finish.py:catalog_pdf</t>
  </si>
  <si>
    <t>none found: searched cost_price masking, can_view_cost, role-based serializer fields in masters and sales serializers</t>
  </si>
  <si>
    <t>SEC-0623</t>
  </si>
  <si>
    <t>Granular export permission gate preventing bulk customer list exfiltration</t>
  </si>
  <si>
    <t>Permission Guard</t>
  </si>
  <si>
    <t>Sales Staff / Cashier</t>
  </si>
  <si>
    <t>Prevent disgruntled departing employees from exporting customer phone numbers and sales registers to Excel</t>
  </si>
  <si>
    <t>Blocks export button and HTTP export endpoints for non-admin roles; logs export access attempts</t>
  </si>
  <si>
    <t>Dedicated permission 'can_export_master_data' restricted to Owner and Admin roles.</t>
  </si>
  <si>
    <t>Code review 2026-10-04 (agent-reviewed, spot-checked): Confirmed. CanExport permission gates export endpoints for owner or users with can_export; named differently from can_export_master_data and logging of denials not seen.</t>
  </si>
  <si>
    <t>backend/tests/test_search_reports_audit.py::test_cash_book_xlsx_requires_can_export; backend/tests/test_search_reports_audit.py::test_csv_export_requires_can_export</t>
  </si>
  <si>
    <t>backend/core/permissions.py:CanExport; backend/accounts/models.py:can_export</t>
  </si>
  <si>
    <t>CanExport permission gates export endpoints for owner or users with can_export; named differently from can_export_master_data and logging of denials not seen.</t>
  </si>
  <si>
    <t>Auth Engine</t>
  </si>
  <si>
    <t>Enforce Google Authenticator / TOTP 2FA for users accessing financial and tax filing screens</t>
  </si>
  <si>
    <t>Requires 6-digit TOTP code during login; prevents account compromise from stolen passwords</t>
  </si>
  <si>
    <t>TOTP 2FA implementation using django-otp library. | Decision 2026-10-04 (delegated, quality-first): Build in MVP (1.5 days). Mandatory TOTP for owner and admin, enrolment on first login, recovery codes. | Truth 2026-10-05 (WI-010): Built.  Enforcement extended to can_post_journals memberships with positive and sales-staff-excluded tests; test_mfa_mandatory.py does not exist but the tests live in test_mfa.py.</t>
  </si>
  <si>
    <t>Re-checked 2026-10-04: TOTP exists (accounts/mfa.py, mfa_service.py, mfa_views.py; tests/test_mfa.py, test_mfa_edge_cases.py pass). It is opt-in per user. tests/test_mfa.py says setup 'enforces nothing yet', so mandatory 2FA for admin roles is not in place. Earlier 'Mechanism not found' was stale. Code review 2026-10-04 (agent-reviewed, spot-checked): Partial. TOTP login challenge exists but is opt-in per user and is not mandatory for admin roles.</t>
  </si>
  <si>
    <t>Mechanism tested; enforcement for admin roles not found</t>
  </si>
  <si>
    <t>tests/test_mfa.py; tests/test_mfa_edge_cases.py; backend/tests/test_mfa.py::test_correct_code_completes_login_with_a_normal_session; backend/tests/test_mfa.py::test_password_login_with_mfa_issues_no_session; backend/tests/test_mfa.py::test_flag_on_journal_poster_must_enrol; backend/tests/test_mfa.py::test_flag_on_sales_staff_still_gets_a_session; backend/tests/test_mfa.py::test_flag_on_owner_without_mfa_must_enrol; backend/tests/test_register_integrity_gaps.py::test_owner_without_mfa_cannot_complete_login_with_password_alone</t>
  </si>
  <si>
    <t>backend/accounts/mfa_service.py:user_has_money_role; backend/accounts/mfa_service.py:enrolment_required; backend/config/settings.py:_assert_mfa_enforcement</t>
  </si>
  <si>
    <t>backend/accounts/mfa_service.py:MFA_TOKEN_MAX_AGE; backend/accounts/mfa_views.py:MfaDisableView</t>
  </si>
  <si>
    <t>Terminated Employee</t>
  </si>
  <si>
    <t>Terminate an employee's access in 1 click; immediately revokes all active mobile and desktop sessions</t>
  </si>
  <si>
    <t>Blacklists active JWT tokens in Redis; drops WebSocket connections; prevents further API calls</t>
  </si>
  <si>
    <t>Redis JWT token revocation blocklist evaluated on every authenticated request. | Decision 2026-10-04 (delegated, quality-first): Build in MVP (3 days). Redis access-token blocklist and websocket drop on deactivation. | Truth 2026-10-05 (WI-011): Built.  session_version in the JWT is checked per request against the DB user, refresh tokens are blacklisted, socket drop is optional; Redis layer not used (DB only) and revocation fires when the last active membership is deactivated.</t>
  </si>
  <si>
    <t>Code review 2026-10-04 (agent-reviewed, spot-checked): Partial. Deactivation blacklists refresh tokens in the database and per-request membership is checked, but there is no Redis blocklist or WebSocket drop; access JWT lives until expiry.</t>
  </si>
  <si>
    <t>backend/tests/test_auth.py::test_logout_blacklists_refresh_token_and_prevents_reuse; backend/tests/test_plan_audit_seal_session.py::test_deactivated_user_access_token_is_rejected; backend/tests/test_planwave_remaining.py::test_socket_drop_is_a_no_op_without_channels</t>
  </si>
  <si>
    <t>backend/core/authentication.py:get_user; backend/accounts/views.py:_revoke_sessions_if_last_active_membership; backend/planwave/sockets.py:drop_user_sockets</t>
  </si>
  <si>
    <t>backend/accounts/views.py:_revoke_sessions_if_last_active_membership; backend/accounts/views.py:LogoutAllView</t>
  </si>
  <si>
    <t>API Request Filter</t>
  </si>
  <si>
    <t>Malicious Actor</t>
  </si>
  <si>
    <t>Sanitize all user-entered notes, customer names, and invoice descriptions to prevent malicious script injection</t>
  </si>
  <si>
    <t>Strips HTML/script tags using Bleach library; parameterizes all raw SQL queries</t>
  </si>
  <si>
    <t>Core framework invariant: parameterized ORM queries and input HTML sanitization. | Decision 2026-10-04 (delegated, quality-first): Build in MVP (2 days). Sanitise notes and descriptions on input and in PDF templates; add injection tests. | Truth 2026-10-05 (WI-012): Partial. Tag stripping is wired to only six models (Customer, Supplier, Product, SalesInvoice, PurchaseInvoice, Complaint); customer and supplier names are deliberately not stripped; other models are not covered. No test for escaping in PDF templates or for imported cells. Strip-on-save and the raw SQL guard test exist; coverage is limited to six models and PDF escaping is untested.</t>
  </si>
  <si>
    <t>Code review 2026-10-04 (agent-reviewed, spot-checked): Partial. Django ORM parameterizes queries, but no Bleach or HTML sanitization of notes and descriptions was found.</t>
  </si>
  <si>
    <t>backend/tests/test_party_name.py::test_customer_serializer_rejects_script_name; backend/tests/test_planwave_remaining.py::test_html_is_stripped_on_customer_notes; backend/tests/test_planwave_remaining.py::test_plain_text_tags_are_stripped_on_save; backend/tests/test_planwave_remaining.py::test_no_string_built_raw_sql; backend/tests/test_code_review_2026_10_05.py::test_the_sanitiser_strips_tags_but_keeps_comparisons</t>
  </si>
  <si>
    <t>backend/planwave/sanitize.py:strip_plain_text; backend/planwave/apps.py:PlanwaveConfig.ready; backend/masters/serializers.py:ProductSerializer; backend/sales/pdf/helpers.py</t>
  </si>
  <si>
    <t>backend/core/validators.py</t>
  </si>
  <si>
    <t>SEC-0627</t>
  </si>
  <si>
    <t>IP address whitelisting for back-office accounting and admin access</t>
  </si>
  <si>
    <t>Security Guard</t>
  </si>
  <si>
    <t>External Hacker</t>
  </si>
  <si>
    <t>Restrict accounting and tax export operations to trusted store/office static IP addresses</t>
  </si>
  <si>
    <t>Rejects login attempts from unknown IP addresses when IP Whitelist policy is enabled for company</t>
  </si>
  <si>
    <t>Company-scoped IP Whitelist middleware evaluating HTTP X-Forwarded-For header.</t>
  </si>
  <si>
    <t>Code review 2026-10-04 (agent-reviewed, spot-checked): Contradicted. No company-scoped IP whitelist policy or middleware exists; X-Forwarded-For is only used for rate limiting.</t>
  </si>
  <si>
    <t>none found: searched ip whitelist, allowed_ips, IP allow middleware</t>
  </si>
  <si>
    <t>No company-scoped IP whitelist policy or middleware exists; X-Forwarded-For is only used for rate limiting.</t>
  </si>
  <si>
    <t>Encryption Engine</t>
  </si>
  <si>
    <t>Database Administrator</t>
  </si>
  <si>
    <t>Ensure bank account numbers, IFSC codes, and GST portal passwords are encrypted at rest in database</t>
  </si>
  <si>
    <t>Encrypts fields using AES-256 before writing to disk; decrypts only in-memory upon authorized request</t>
  </si>
  <si>
    <t>Django EncryptedModelFields using AES-256-GCM authenticated encryption. | Decision 2026-10-04 (delegated, quality-first): Build in MVP (3 days). AES-256-GCM for stored credentials and encrypted bank account and IFSC fields, with data migration. | Truth 2026-10-05 (WI-013): Partial. AES-GCM with key id covers company and customer bank accounts only; tax-portal secrets are not sealed in storage, encrypt_gsp_credentials still writes Fernet and nothing batch-migrates existing gateway blobs (only a reseal helper); the seal_bank_accounts command has no reverse path; last4 helper exists but no display field uses it. Bank-account sealing and a Fernet-to-GCM helper exist and are tested, but new gateway writes, tax secrets, reversible migration and last-four display are missing.</t>
  </si>
  <si>
    <t>Code review 2026-10-04 (agent-reviewed, spot-checked): Partial. GSP credentials use Fernet (AES-128-CBC), not AES-256-GCM; bank_account and IFSC are plain CharFields.</t>
  </si>
  <si>
    <t>backend/tests/test_planwave_remaining.py::test_bank_account_seals_and_rejects_tamper; backend/tests/test_plan_partials.py::test_party_bank_account_is_sealed_and_revealed; backend/tests/test_planwave_remaining.py::test_fernet_gateway_blob_moves_to_gcm</t>
  </si>
  <si>
    <t>backend/planwave/crypto.py:seal; backend/planwave/apps.py; backend/planwave/management/commands/seal_bank_accounts.py; backend/planwave/services.py:reseal_fernet_blob</t>
  </si>
  <si>
    <t>backend/core/services/gsp_secrets.py:encrypt_gsp_credentials; backend/accounts/models.py:bank_account</t>
  </si>
  <si>
    <t>SEC-0629</t>
  </si>
  <si>
    <t>Automated password complexity enforcement and breach dictionary checking</t>
  </si>
  <si>
    <t>Auth Validator</t>
  </si>
  <si>
    <t>Prevent users from setting weak passwords (e.g. '123456', 'admin') that compromise business data</t>
  </si>
  <si>
    <t>Enforces minimum 10 characters, upper/lower case, digits, and checks HaveIBeenPwned breach list</t>
  </si>
  <si>
    <t>Django Auth Password Validators with zxcvbn password strength estimator.</t>
  </si>
  <si>
    <t>Code review 2026-10-04 (agent-reviewed, spot-checked): Partial. Min length 10, common, numeric and a local breached-password check exist; no upper/lower/digit rules and no zxcvbn or live HaveIBeenPwned lookup.</t>
  </si>
  <si>
    <t>backend/config/settings.py:AUTH_PASSWORD_VALIDATORS; backend/accounts/password_validation.py</t>
  </si>
  <si>
    <t>Min length 10, common, numeric and a local breached-password check exist; no upper/lower/digit rules and no zxcvbn or live HaveIBeenPwned lookup.</t>
  </si>
  <si>
    <t>SEC-0630</t>
  </si>
  <si>
    <t>HTTP Strict Transport Security (HSTS) and secure cookie flags enforcement</t>
  </si>
  <si>
    <t>Security Middleware</t>
  </si>
  <si>
    <t>External Snooper</t>
  </si>
  <si>
    <t>Enforce HTTPS across all traffic; set Secure, HttpOnly, and SameSite=Lax flags on all session cookies</t>
  </si>
  <si>
    <t>Prevents man-in-the-middle packet sniffing and session cookie theft over unsecured public Wi-Fi</t>
  </si>
  <si>
    <t>Production SSL settings: SECURE_HSTS_SECONDS=31536000, SESSION_COOKIE_SECURE=True.</t>
  </si>
  <si>
    <t>Code review 2026-10-04 (agent-reviewed, spot-checked): Confirmed. Production settings set HSTS 31536000, secure session cookie and SameSite Lax.</t>
  </si>
  <si>
    <t>backend/config/settings.py:SECURE_HSTS_SECONDS; backend/config/settings.py:SESSION_COOKIE_SECURE; backend/config/settings.py:SESSION_COOKIE_SAMESITE</t>
  </si>
  <si>
    <t>Production settings set HSTS 31536000, secure session cookie and SameSite Lax.</t>
  </si>
  <si>
    <t>SEC-0631</t>
  </si>
  <si>
    <t>Role-based discount percentage approval cap enforcement</t>
  </si>
  <si>
    <t>Billing Clerk / Manager</t>
  </si>
  <si>
    <t>Clerks can give up to 5% discount, managers up to 15%; higher discounts require owner authorization token</t>
  </si>
  <si>
    <t>Validates discount percentage against role policy; blocks transaction if limit is exceeded without override</t>
  </si>
  <si>
    <t>Role Permission Matrix discount limits enforced at API and UI checkout layers.</t>
  </si>
  <si>
    <t>Code review 2026-10-04 (agent-reviewed, spot-checked): Contradicted. No role-based discount caps or owner override enforced at billing; only an after-the-fact DISCOUNT_OVER_THRESHOLD alert exists.</t>
  </si>
  <si>
    <t>none found: searched discount limit, max discount, role discount cap, owner authorization token</t>
  </si>
  <si>
    <t>No role-based discount caps or owner override enforced at billing; only an after-the-fact DISCOUNT_OVER_THRESHOLD alert exists.</t>
  </si>
  <si>
    <t>SEC-0632</t>
  </si>
  <si>
    <t>Automated security patch dependency scanner in CI/CD pipeline</t>
  </si>
  <si>
    <t>DevOps / Security Engine</t>
  </si>
  <si>
    <t>Scan Python pip packages and npm libraries for known CVE security vulnerabilities before production deploy</t>
  </si>
  <si>
    <t>Blocks production build if any dependency contains high or critical CVE security vulnerability</t>
  </si>
  <si>
    <t>GitHub Actions CI/CD pipeline integrating Dependabot, Pip-Audit, and npm audit.</t>
  </si>
  <si>
    <t>Code review 2026-10-04 (agent-reviewed, spot-checked): Confirmed. CI runs pip-audit and npm audit at high level plus Trivy, and Dependabot is configured.</t>
  </si>
  <si>
    <t>.github/workflows/ci.yml:pip-audit; .github/workflows/ci.yml:npm audit; .github/dependabot.yml:updates</t>
  </si>
  <si>
    <t>CI runs pip-audit and npm audit at high level plus Trivy, and Dependabot is configured.</t>
  </si>
  <si>
    <t>SEC-0633</t>
  </si>
  <si>
    <t>API webhook cryptographic HMAC replay attack prevention with timestamp verification</t>
  </si>
  <si>
    <t>Webhook Receiver</t>
  </si>
  <si>
    <t>Reject replayed webhook payloads captured by network attackers</t>
  </si>
  <si>
    <t>Validates webhook timestamp header is within 5 minutes of server time; rejects stale replay requests</t>
  </si>
  <si>
    <t>Webhook replay defense comparing X-Webhook-Timestamp against current server clock.</t>
  </si>
  <si>
    <t>Code review 2026-10-04 (agent-reviewed, spot-checked): Confirmed. Cashfree verifies X-Webhook-Timestamp within 300 seconds; all providers also get a durable replay dedup.</t>
  </si>
  <si>
    <t>backend/payments/gateway.py:CashfreeGateway; backend/payments/webhook_views.py:ProcessedWebhookEvent</t>
  </si>
  <si>
    <t>Cashfree verifies X-Webhook-Timestamp within 300 seconds; all providers also get a durable replay dedup.</t>
  </si>
  <si>
    <t>SEC-0634</t>
  </si>
  <si>
    <t>Multi-factor authorization prompt for high-risk system configuration changes</t>
  </si>
  <si>
    <t>Re-prompt user for account password or TOTP before changing bank accounts or deleting company records</t>
  </si>
  <si>
    <t>Requires password confirmation modal (sudo mode) before executing critical administrative actions</t>
  </si>
  <si>
    <t>Sudo mode re-authentication decorator on high-risk settings endpoints.</t>
  </si>
  <si>
    <t>Code review 2026-10-04 (agent-reviewed, spot-checked): Partial. Password re-entry is required for change-password, delete-account and MFA changes, but no general sudo decorator covers bank account changes or company record deletion.</t>
  </si>
  <si>
    <t>backend/accounts/views.py:sensitive_action; backend/accounts/mfa_views.py:_ReauthMixin</t>
  </si>
  <si>
    <t>Password re-entry is required for change-password, delete-account and MFA changes, but no general sudo decorator covers bank account changes or company record deletion.</t>
  </si>
  <si>
    <t>SEC-0635</t>
  </si>
  <si>
    <t>Automated dormant user account lockout after 90 days of inactivity</t>
  </si>
  <si>
    <t>Security Worker</t>
  </si>
  <si>
    <t>Inactive Users</t>
  </si>
  <si>
    <t>Automatically disable user accounts that have not logged in for 90 days to minimize attack surface</t>
  </si>
  <si>
    <t>Sets is_active=False on dormant users; alerts admin; requires admin re-activation to restore access</t>
  </si>
  <si>
    <t>Monthly cron job querying User.last_login &lt; now() - 90 days.</t>
  </si>
  <si>
    <t>Matched last_login in product code. This is not a functional test. Kept P3. The previous workbook had P3. Authored priority was P2.</t>
  </si>
  <si>
    <t>R</t>
  </si>
  <si>
    <t>Architecture &amp; Platform</t>
  </si>
  <si>
    <t>Billing Clerk / Cashier</t>
  </si>
  <si>
    <t>Cashier can complete sales invoices with &lt; 200ms round-trip API response time during peak festival rush</t>
  </si>
  <si>
    <t>Eliminates billing delays; handles 100+ checkouts per minute across store network without lag</t>
  </si>
  <si>
    <t>Optimized checkout transaction benchmarked via Locust load test to &lt; 200ms P95 latency. | Decision 2026-10-04 (delegated, quality-first): Build in MVP (3 days). Real POS checkout benchmark and optimisation to the 200 ms target. | Truth 2026-10-05 (WI-028): Partial. baseline_p95_ms is null so no baseline has been recorded; the benchmark skips unless POS_BENCH=1; the 2 vCPU / 4 GB container constraint is not evidenced. Harness and nightly workflow exist outside the PR suite but the recorded baseline is empty.</t>
  </si>
  <si>
    <t>Code review 2026-10-04 (agent-reviewed, spot-checked): Partial. Locust smoke script exists but only exercises health endpoint; no POS checkout latency benchmark or optimization.</t>
  </si>
  <si>
    <t>backend/perf/test_r_0636_benchmark.py::test_checkout_p95_on_the_catalogue; backend/tests/test_plan_above_items.py::test_checkout_p95_regression_is_fifteen_percent</t>
  </si>
  <si>
    <t>backend/perf/checkout_bench.py:exceeds_baseline; backend/perf/test_r_0636_benchmark.py; qos/evidence/pos_checkout_baseline.json; .github/workflows/pos-checkout-nightly.yml</t>
  </si>
  <si>
    <t>load/locust_smoke.py:HealthUser</t>
  </si>
  <si>
    <t>R-0637</t>
  </si>
  <si>
    <t>10,000+ SKU instant client-side catalog search with zero network round-trip</t>
  </si>
  <si>
    <t>Instant keystroke SKU filtering across 10,000 products powered by client-side browser indexedDB cache</t>
  </si>
  <si>
    <t>Enables instant search results in &lt; 15ms even on low-cost store desktop computers</t>
  </si>
  <si>
    <t>Client-side IndexedDB caching using Dexie.js with memory-mapped SKU index.</t>
  </si>
  <si>
    <t>Matched ndexedDB in product code. This is not a functional test.</t>
  </si>
  <si>
    <t>R-0638</t>
  </si>
  <si>
    <t>Offline-first POS billing queue with automatic background sync upon internet recovery</t>
  </si>
  <si>
    <t>Cashier can continue scanning, billing, and printing thermal receipts when store broadband drops</t>
  </si>
  <si>
    <t>Queues bills in local IndexedDB outbox; auto-synchronizes and reconciles with server when internet returns</t>
  </si>
  <si>
    <t>ServiceWorker offline billing engine with background sync and server idempotency key reconciliation.</t>
  </si>
  <si>
    <t>Code review 2026-10-04 (agent-reviewed, spot-checked): Confirmed. IndexedDB invoice outbox flushes on reconnect with stable idempotency key; relies on app-level flush, not service-worker background sync.</t>
  </si>
  <si>
    <t>web/src/offline/invoiceDraftCache.ts:enqueueDraft; web/src/offline/invoiceDraftCache.ts:flushOutbox; web/src/offline/flushPosCheckout.ts:flushPosDraft</t>
  </si>
  <si>
    <t>IndexedDB invoice outbox flushes on reconnect with stable idempotency key; relies on app-level flush, not service-worker background sync.</t>
  </si>
  <si>
    <t>R-0639</t>
  </si>
  <si>
    <t>Idempotent API design guaranteeing zero duplicate orders on network timeout retries</t>
  </si>
  <si>
    <t>API Engine</t>
  </si>
  <si>
    <t>Prevent accidental duplicate billing if user clicks 'Pay' twice or mobile app retries dropped connection</t>
  </si>
  <si>
    <t>Uses client-generated X-Idempotency-Key; returns existing transaction if duplicate key is received</t>
  </si>
  <si>
    <t>Idempotency middleware caching endpoint response in Redis for 120 seconds.</t>
  </si>
  <si>
    <t>Code review 2026-10-04 (agent-reviewed, spot-checked): Confirmed. Durable Idempotency-Key records replay the stored response for duplicates; stored in DB with fingerprint, not Redis 120s.</t>
  </si>
  <si>
    <t>backend/tests/personas/test_pj_resilience_and_tenant_isolation.py::test_pj_idempotency_safe_retry_single_transaction_effect; backend/tests/test_status_machines.py::test_invoice_create_idempotency_key</t>
  </si>
  <si>
    <t>backend/core/idempotency.py:wrap_idempotent; backend/core/idempotency.py:begin_record</t>
  </si>
  <si>
    <t>Durable Idempotency-Key records replay the stored response for duplicates; stored in DB with fingerprint, not Redis 120s.</t>
  </si>
  <si>
    <t>R-0640</t>
  </si>
  <si>
    <t>Paginated cursor-based API streaming for high-volume ledger exports</t>
  </si>
  <si>
    <t>Seamlessly export 100,000+ transaction rows to Excel without causing server Out-Of-Memory (OOM) crash</t>
  </si>
  <si>
    <t>Streams records using server-side database cursors and chunked HTTP response; zero RAM spike</t>
  </si>
  <si>
    <t>PostgreSQL server-side cursor streaming via Django iterator(chunk_size=2000).</t>
  </si>
  <si>
    <t>Matched chunk_size in product code. This is not a functional test.</t>
  </si>
  <si>
    <t>R-0641</t>
  </si>
  <si>
    <t>Database connection pooling and keep-alive configuration for sudden traffic spikes</t>
  </si>
  <si>
    <t>Database Engine</t>
  </si>
  <si>
    <t>Prevent 'Too Many Connections' database errors during Diwali/Akshaya Tritiya peak retail rushes</t>
  </si>
  <si>
    <t>Maintains PgBouncer connection pool with transaction-level reuse; handles 1,000+ concurrent clients</t>
  </si>
  <si>
    <t>PgBouncer transaction-mode connection pooler configured in front of PostgreSQL.</t>
  </si>
  <si>
    <t>backend/tests/test_ops_templates.py::test_postgres_statement_timeouts_are_configured</t>
  </si>
  <si>
    <t>R-0642</t>
  </si>
  <si>
    <t>Circuit breaker pattern on third-party government and banking API integrations</t>
  </si>
  <si>
    <t>Integration Middleware</t>
  </si>
  <si>
    <t>Prevent system freezing when government GST portal or NIC E-Way server is down or timing out</t>
  </si>
  <si>
    <t>Trips circuit breaker after 3 consecutive timeouts; fails fast; falls back to offline queue without blocking UI</t>
  </si>
  <si>
    <t>Circuit Breaker pattern implemented via pybreaker on external NIC and bank APIs.</t>
  </si>
  <si>
    <t>Code review 2026-10-04 (agent-reviewed, spot-checked): Confirmed. Cache-based custom breaker (not pybreaker, threshold 5) fails fast on GSP and gateway calls; no offline queue fallback.</t>
  </si>
  <si>
    <t>backend/core/circuit_breaker.py:call; backend/core/services/gsp_adapters.py:circuit_breaker; backend/payments/gateway.py:circuit_breaker</t>
  </si>
  <si>
    <t>Cache-based custom breaker (not pybreaker, threshold 5) fails fast on GSP and gateway calls; no offline queue fallback.</t>
  </si>
  <si>
    <t>R-0643</t>
  </si>
  <si>
    <t>Deadlock detection and automatic transaction retry on concurrent stock updates</t>
  </si>
  <si>
    <t>Warehouse / Billing Staff</t>
  </si>
  <si>
    <t>Automatically retry database transactions when concurrent warehouse transfers encounter PostgreSQL deadlock</t>
  </si>
  <si>
    <t>Catches OperationalError (deadlock detected); re-executes transaction with exponential jitter up to 3 times</t>
  </si>
  <si>
    <t>Database retry decorator catching deadlock exceptions with randomized backoff.</t>
  </si>
  <si>
    <t>Code review 2026-10-04 (agent-reviewed, spot-checked): Contradicted. Code avoids deadlocks by ordered locking but has no catch-and-retry decorator with backoff.</t>
  </si>
  <si>
    <t>none found: searched deadlock, OperationalError, 40P01, retry decorator; only lock ordering in backend/inventory/services.py:StockTransferService</t>
  </si>
  <si>
    <t>Code avoids deadlocks by ordered locking but has no catch-and-retry decorator with backoff.</t>
  </si>
  <si>
    <t>R-0644</t>
  </si>
  <si>
    <t>Graceful degradation to read-only mode during scheduled database maintenance</t>
  </si>
  <si>
    <t>Platform Engine</t>
  </si>
  <si>
    <t>Allow users to view customer balances, search prices, and print past invoices while DB migration runs</t>
  </si>
  <si>
    <t>Routes read queries to read-replica; displays friendly maintenance banner explaining write freeze</t>
  </si>
  <si>
    <t>Read-replica routing middleware supporting read-only maintenance mode.</t>
  </si>
  <si>
    <t>Kept P3. The previous workbook had P3. Authored priority was P2. Code review 2026-10-04 (agent-reviewed, spot-checked): Contradicted. No read-replica router or read-only maintenance mode middleware exists; only billing past-due write gating.</t>
  </si>
  <si>
    <t>none found: searched read-only mode, maintenance, read replica, DATABASE_ROUTERS in settings</t>
  </si>
  <si>
    <t>No read-replica router or read-only maintenance mode middleware exists; only billing past-due write gating.</t>
  </si>
  <si>
    <t>R-0645</t>
  </si>
  <si>
    <t>Pre-computed materialization worker for heavy financial dashboards and reports</t>
  </si>
  <si>
    <t>Instant sub-second loading of multi-month executive sales and margin trend reports</t>
  </si>
  <si>
    <t>Pre-aggregates daily metrics into DailyBusinessSummary table; queries pre-computed sums instead of raw rows</t>
  </si>
  <si>
    <t>DailyBusinessSummary rollup model refreshed asynchronously via Celery beat.</t>
  </si>
  <si>
    <t>R-0646</t>
  </si>
  <si>
    <t>Automated health-check probes for Kubernetes / Docker container self-healing</t>
  </si>
  <si>
    <t>DevOps Engine</t>
  </si>
  <si>
    <t>Automatically restart crashed worker processes or web servers within 10 seconds of failure</t>
  </si>
  <si>
    <t>Exposes /health/liveness/ and /health/readiness/ endpoints validating database and Redis connectivity</t>
  </si>
  <si>
    <t>Standard health probe endpoints integrated with Docker Compose / Kubernetes restart policies.</t>
  </si>
  <si>
    <t>Code review 2026-10-04 (agent-reviewed, spot-checked): Confirmed. /health/ gives liveness and ?ready=1 readiness checks of DB and cache, not separate /health/liveness/ and /readiness/ paths.</t>
  </si>
  <si>
    <t>backend/tests/errors/test_chaos_degradation.py::test_cache_outage_degrades_health_not_crash; backend/tests/errors/test_chaos_degradation.py::test_db_outage_degrades_liveness_not_crash</t>
  </si>
  <si>
    <t>backend/core/views.py:HealthView; backend/config/urls.py:health</t>
  </si>
  <si>
    <t>/health/ gives liveness and ?ready=1 readiness checks of DB and cache, not separate /health/liveness/ and /readiness/ paths.</t>
  </si>
  <si>
    <t>R-0647</t>
  </si>
  <si>
    <t>Exponential backoff retry with dead-letter queue (DLQ) for failed background tasks</t>
  </si>
  <si>
    <t>Celery Worker</t>
  </si>
  <si>
    <t>Ensure transient network drops do not drop WhatsApp messages or bank reconciliation jobs</t>
  </si>
  <si>
    <t>Retries failed jobs at 1m, 5m, 15m, 1h; moves persistently failing jobs to Dead-Letter Queue for inspection</t>
  </si>
  <si>
    <t>Celery task retry with exponential backoff and Celery DLQ error alerting.</t>
  </si>
  <si>
    <t>Code review 2026-10-04 (agent-reviewed, spot-checked): Partial. Exponential-backoff retry exists for email and refund outbox, and a dead-letter store exists only for billing webhooks; WhatsApp and bank jobs lack this.</t>
  </si>
  <si>
    <t>backend/core/tasks.py:send_email_notification; backend/billing/models.py:DeadLetterEvent; backend/payments/models.py:GatewayRefundOutbox</t>
  </si>
  <si>
    <t>Exponential-backoff retry exists for email and refund outbox, and a dead-letter store exists only for billing webhooks; WhatsApp and bank jobs lack this.</t>
  </si>
  <si>
    <t>R-0648</t>
  </si>
  <si>
    <t>Optimistic locking with version check on concurrent customer master updates</t>
  </si>
  <si>
    <t>ORM Guard</t>
  </si>
  <si>
    <t>Prevent accidental overwrite when two sales reps edit customer credit limits at the exact same moment</t>
  </si>
  <si>
    <t>Stores version integer on Customer model; checks version matching on save; alerts user if changed</t>
  </si>
  <si>
    <t>Optimistic concurrency control using django-concurrency or version column check.</t>
  </si>
  <si>
    <t>Restored to authored P1. The previous workbook had P0 after a keyword rebalance. Code review 2026-10-04 (agent-reviewed, spot-checked): Contradicted. Customer model has no version column or version check on save; no concurrent edit conflict detection.</t>
  </si>
  <si>
    <t>none found: searched optimistic, If-Match, version, lock_version in backend/masters and core</t>
  </si>
  <si>
    <t>Customer model has no version column or version check on save; no concurrent edit conflict detection.</t>
  </si>
  <si>
    <t>R-0649</t>
  </si>
  <si>
    <t>Chunked multipart file upload engine for massive 50MB customer and product master imports</t>
  </si>
  <si>
    <t>Upload Engine</t>
  </si>
  <si>
    <t>Accountant / Admin</t>
  </si>
  <si>
    <t>Allow reliable upload of massive migration files over flaky 3G/4G broadband connections</t>
  </si>
  <si>
    <t>Splits file into 2MB chunks; resumes interrupted uploads automatically from last successful chunk</t>
  </si>
  <si>
    <t>Tus.io / Chunked upload protocol handling resilient file transfers.</t>
  </si>
  <si>
    <t>Code review 2026-10-04 (agent-reviewed, spot-checked): Contradicted. Imports use ordinary single multipart upload; no chunking or resume.</t>
  </si>
  <si>
    <t>none found: searched chunked, resumable, tus, multipart chunk in backend and web/src</t>
  </si>
  <si>
    <t>Imports use ordinary single multipart upload; no chunking or resume.</t>
  </si>
  <si>
    <t>R-0650</t>
  </si>
  <si>
    <t>Automated database index bloat detection and periodic REINDEX maintenance</t>
  </si>
  <si>
    <t>Database Maintenance</t>
  </si>
  <si>
    <t>Maintain peak database query speed over years of high-volume invoicing and stock movements</t>
  </si>
  <si>
    <t>Detects bloated B-tree indexes; executes REINDEX CONCURRENTLY during off-peak hours without locking tables</t>
  </si>
  <si>
    <t>Weekly maintenance script analyzing pg_stat_user_indexes and executing concurrent reindexing.</t>
  </si>
  <si>
    <t>Kept P3. The previous workbook had P3. Authored priority was P2. Code review 2026-10-04 (agent-reviewed, spot-checked): Contradicted. No index bloat detection or REINDEX CONCURRENTLY maintenance job exists in code, tasks or scripts.</t>
  </si>
  <si>
    <t>none found: searched reindex, pg_stat_user_indexes, bloat in backend and scripts</t>
  </si>
  <si>
    <t>No index bloat detection or REINDEX CONCURRENTLY maintenance job exists in code, tasks or scripts.</t>
  </si>
  <si>
    <t>I</t>
  </si>
  <si>
    <t>Hardware Integrations</t>
  </si>
  <si>
    <t>Sub-second direct silent printing on 2-inch and 3-inch thermal printers without opening browser print dialog</t>
  </si>
  <si>
    <t>Sends raw ESC/POS command bytes directly to printer port; automatically triggers cash drawer kick-out</t>
  </si>
  <si>
    <t>WebUSB and WebBluetooth ESC/POS driver supporting Epson, TVS, and thermal receipt printers. | Decision 2026-10-04 (delegated, quality-first): Build in Pilot (5 days). Direct ESC/POS over WebUSB and network printers. | Truth 2026-10-05 (WI-044): Partial. The print bridge always returns a PDF fallback and never sends to a network printer; the web path uses native/Bluetooth printEscPos and does not call plan/print; no web/src/__tests__/i_0651.test.tsx; no real printer verification. Only the PDF fallback is real; the network ESC/POS bridge and printer verification are absent.</t>
  </si>
  <si>
    <t>Code review 2026-10-04 (agent-reviewed, spot-checked): Partial. Only a Capacitor Bluetooth plugin path sending a minimal text stub; no WebUSB or network printing, falls back to PDF print dialog.</t>
  </si>
  <si>
    <t>backend/tests/test_planwave_finish.py::test_print_bridge_falls_back_without_a_printer</t>
  </si>
  <si>
    <t>backend/planwave/views.py:PrintBridgeView; web/src/pages/pos/printPosThermal.ts:printPosThermalOrWarn</t>
  </si>
  <si>
    <t>web/src/lib/native.ts:printEscPos; web/src/pages/pos/printPosThermal.ts:printPosThermalOrWarn</t>
  </si>
  <si>
    <t>I-0652</t>
  </si>
  <si>
    <t>Physical cash drawer automatic kick-out pulse on cash sale completion</t>
  </si>
  <si>
    <t>Physical cash till drawer springs open automatically when cashier selects Cash payment on POS</t>
  </si>
  <si>
    <t>Sends 24V drawer kick pulse via RJ11 printer port; prevents cashier leaving cash drawer unlocked</t>
  </si>
  <si>
    <t>ESC/POS drawer kick command byte sequence embedded in receipt print stream.</t>
  </si>
  <si>
    <t>Code review 2026-10-04 (agent-reviewed, spot-checked): Contradicted. No drawer kick bytes are added to the print stream.</t>
  </si>
  <si>
    <t>none found: searched cash drawer, kick, 0x1b 0x70 in web/src</t>
  </si>
  <si>
    <t>No drawer kick bytes are added to the print stream.</t>
  </si>
  <si>
    <t>I-0653</t>
  </si>
  <si>
    <t>Electronic weighing scale RS-232 serial port live weight reading</t>
  </si>
  <si>
    <t>Kirana / Grain Cashier</t>
  </si>
  <si>
    <t>Live weight of loose items (vegetables, grains, flour) automatically captured on POS bill line</t>
  </si>
  <si>
    <t>Reads RS-232 serial stream via Web Serial API; populates line quantity instantly; prevents manual weight fraud</t>
  </si>
  <si>
    <t>Web Serial API integration supporting CAS, Essae, and Avery weighing scales.</t>
  </si>
  <si>
    <t>Code review 2026-10-04 (agent-reviewed, spot-checked): Contradicted. No Web Serial or weighing scale integration exists.</t>
  </si>
  <si>
    <t>none found: searched navigator.serial, weighing scale, RS-232 in web/src</t>
  </si>
  <si>
    <t>No Web Serial or weighing scale integration exists.</t>
  </si>
  <si>
    <t>I-0654</t>
  </si>
  <si>
    <t>Customer-facing Pole Display / Secondary Screen integration</t>
  </si>
  <si>
    <t>Live display of scanned items, prices, and grand total on secondary customer-facing VFD/LCD screen</t>
  </si>
  <si>
    <t>Updates customer display in real time; builds customer trust and reduces counter pricing disputes</t>
  </si>
  <si>
    <t>Serial VFD 2x20 pole display driver and browser secondary display window output.</t>
  </si>
  <si>
    <t>Kept P3. The previous workbook had P3. Authored priority was P2. Code review 2026-10-04 (agent-reviewed, spot-checked): Contradicted. No customer-facing display driver or secondary window exists.</t>
  </si>
  <si>
    <t>none found: searched pole display, customer display, secondary screen in web/src</t>
  </si>
  <si>
    <t>No customer-facing display driver or secondary window exists.</t>
  </si>
  <si>
    <t>Billing Clerk / Custodian</t>
  </si>
  <si>
    <t>Supports standard handheld 1D laser barcode guns, 2D QR scanners, and mobile device built-in camera</t>
  </si>
  <si>
    <t>Captures scanned barcode strings with automatic Enter delimiter; opens product in cart instantly</t>
  </si>
  <si>
    <t>Universal HID keyboard wedge listener with 50ms keystroke timing heuristic + HTML5 camera scanner. | Decision 2026-10-04 (delegated, quality-first): Build in Pilot (3 days). Wedge timing heuristic and a browser camera scanner. | Truth 2026-10-05 (WI-045): Built.  Wedge timing heuristic is implemented, used in PosPage and unit tested; camera scanner deferred by scope.</t>
  </si>
  <si>
    <t>Code review 2026-10-04 (agent-reviewed, spot-checked): Partial. Enter-key barcode lookup works with wedge scanners and native camera scan in the mobile app; no 50ms timing heuristic or browser camera scanner.</t>
  </si>
  <si>
    <t>web/src/pages/pos/scanInput.test.ts::BUG-UI-002 treats sub-50ms gaps as a scanner and slower typing as a person; web/src/pages/pos/scanInput.test.ts::BUG-UI-003 reads a quantity prefix</t>
  </si>
  <si>
    <t>web/src/pages/pos/scanInput.ts:isScannerBurst; web/src/pages/pos/PosPage.tsx</t>
  </si>
  <si>
    <t>web/src/pages/pos/PosPage.tsx:tryAddByBarcode; web/src/lib/native.ts:scanBarcode; web/src/pages/pos/posEnter.ts</t>
  </si>
  <si>
    <t>I-0656</t>
  </si>
  <si>
    <t>ZPL / TSPL thermal barcode label and sticker printer integration</t>
  </si>
  <si>
    <t>Print product price stickers, barcode labels, and shelf tags directly on Zebra / TSC label printers</t>
  </si>
  <si>
    <t>Generates raw ZPL / TSPL command code; prints customizable 50x25mm and 38x25mm barcode stickers</t>
  </si>
  <si>
    <t>ZPL / TSPL label template generator with barcode symbology encoding (Code 128 / EAN-13).</t>
  </si>
  <si>
    <t>Code review 2026-10-04 (agent-reviewed, spot-checked): Partial. Code 128 barcode labels print through browser window.print; no ZPL or TSPL command generation for Zebra or TSC printers.</t>
  </si>
  <si>
    <t>web/src/pages/inventory/LabelPrintPage.tsx:JsBarcode</t>
  </si>
  <si>
    <t>Code 128 barcode labels print through browser window.print; no ZPL or TSPL command generation for Zebra or TSC printers.</t>
  </si>
  <si>
    <t>I-0657</t>
  </si>
  <si>
    <t>External Integrations</t>
  </si>
  <si>
    <t>WhatsApp Business Cloud API official automated notification service</t>
  </si>
  <si>
    <t>Communication Engine</t>
  </si>
  <si>
    <t>Customer / Supplier</t>
  </si>
  <si>
    <t>Send verified branded WhatsApp messages with PDF invoices, payment receipts, and delivery updates</t>
  </si>
  <si>
    <t>Delivers messages via official Meta Cloud API; tracks delivery and read receipts; supports interactive buttons</t>
  </si>
  <si>
    <t>Meta WhatsApp Cloud API integration with approved HSM utility templates.</t>
  </si>
  <si>
    <t>I-0658</t>
  </si>
  <si>
    <t>BharatPe / Paytm / PhonePe Soundbox instant payment audio alert webhook</t>
  </si>
  <si>
    <t>Cashier / Counter Clerk</t>
  </si>
  <si>
    <t>Physical Soundbox on retail counter announces: 'Payment of ₹450 received successfully on UPI'</t>
  </si>
  <si>
    <t>Receives gateway webhook; triggers soundbox broadcast; marks POS bill PAID without clerk touching screen</t>
  </si>
  <si>
    <t>Soundbox webhook listener syncing UPI settlement with POS active register.</t>
  </si>
  <si>
    <t>Code review 2026-10-04 (agent-reviewed, spot-checked): Contradicted. No soundbox integration or audio broadcast; only generic gateway webhooks exist.</t>
  </si>
  <si>
    <t>none found: searched soundbox, bharatpe, paytm, phonepe in backend and web</t>
  </si>
  <si>
    <t>No soundbox integration or audio broadcast; only generic gateway webhooks exist.</t>
  </si>
  <si>
    <t>I-0659</t>
  </si>
  <si>
    <t>Pine Labs / MSwipe / Mosambee EDC credit card swipe terminal integration</t>
  </si>
  <si>
    <t>Push bill amount directly to card swipe machine; machine captures card and confirms payment back to POS</t>
  </si>
  <si>
    <t>Eliminates manual re-typing of transaction amounts on card machine; prevents billing cashier fraud</t>
  </si>
  <si>
    <t>EDC Cloud POS API integration (Plutus / MSwipe) with automatic charge slip generation.</t>
  </si>
  <si>
    <t>Code review 2026-10-04 (agent-reviewed, spot-checked): Contradicted. No card swipe terminal integration in code.</t>
  </si>
  <si>
    <t>none found: searched pine labs, mswipe, mosambee, plutus, EDC</t>
  </si>
  <si>
    <t>No card swipe terminal integration in code.</t>
  </si>
  <si>
    <t>I-0660</t>
  </si>
  <si>
    <t>NIC GST Portal GSP (GST Suvidha Provider) secure direct API connectivity</t>
  </si>
  <si>
    <t>Direct one-click upload of GSTR-1 and download of GSTR-2B JSON without visiting government website</t>
  </si>
  <si>
    <t>Authenticates via GSP secure tunnel using encrypted OTP token; pulls live filing status and ledger balances</t>
  </si>
  <si>
    <t>GSP REST API connector with OAuth2 token caching and payload encryption.</t>
  </si>
  <si>
    <t>Code review 2026-10-04 (agent-reviewed, spot-checked): Partial. Adapter with GSTR-1/3B upload and 2B fetch exists but live mode is gated on GSP_CERTIFIED; no OTP tunnel or ledger balance pull.</t>
  </si>
  <si>
    <t>backend/core/services/gsp_adapters.py:LiveGstrFilingAdapter; backend/core/services/gsp_adapters.py:obtain_gsp_auth_session</t>
  </si>
  <si>
    <t>Adapter with GSTR-1/3B upload and 2B fetch exists but live mode is gated on GSP_CERTIFIED; no OTP tunnel or ledger balance pull.</t>
  </si>
  <si>
    <t>I-0661</t>
  </si>
  <si>
    <t>National Informatics Centre (NIC) Invoice Registration Portal (IRP) live E-Invoice connector</t>
  </si>
  <si>
    <t>Billing Clerk / Tax Engine</t>
  </si>
  <si>
    <t>Instant sub-second generation of legal B2B IRN and Signed QR code on invoice completion</t>
  </si>
  <si>
    <t>Direct API handshake with ClearTax / Masters India / Cygnet IRP endpoints; auto-embeds IRN on PDF</t>
  </si>
  <si>
    <t>IRP REST client with token lifecycle management and automatic JSON payload signing.</t>
  </si>
  <si>
    <t>Code review 2026-10-04 (agent-reviewed, spot-checked): Confirmed. Live IRP adapter with auth token exchange and encrypted payload exists; IRN and QR are printed on the invoice PDF.</t>
  </si>
  <si>
    <t>backend/tests/test_sprint_e_gsp_protocol.py::test_http_sandbox_irp_cassette</t>
  </si>
  <si>
    <t>backend/core/services/gsp_adapters.py:LiveIrpAdapter; backend/core/services/nic_irp_crypto.py:wrap_nic_invoice_data; backend/core/services/gsp_adapters.py:wrap_irp_payload</t>
  </si>
  <si>
    <t>Live IRP adapter with auth token exchange and encrypted payload exists; IRN and QR are printed on the invoice PDF.</t>
  </si>
  <si>
    <t>I-0662</t>
  </si>
  <si>
    <t>ICICI Bank / HDFC Bank Open Banking corporate API integration</t>
  </si>
  <si>
    <t>Execute vendor NEFT/RTGS payments directly from software without logging into bank netbanking portal</t>
  </si>
  <si>
    <t>Initiates 2-factor OTP bank transfer; retrieves live statement lines and real-time bank UTR numbers</t>
  </si>
  <si>
    <t>Corporate Connected Banking API integration with encrypted payload and corporate maker-checker auth.</t>
  </si>
  <si>
    <t>Code review 2026-10-04 (agent-reviewed, spot-checked): Partial. Read-only Account Aggregator statement fetch exists; no ICICI/HDFC bank API, NEFT/RTGS initiation or OTP transfer.</t>
  </si>
  <si>
    <t>backend/banking/fiu_adapter.py:fetch_live_transactions_for_consent; backend/banking/services.py:match_aa_to_receipts</t>
  </si>
  <si>
    <t>Read-only Account Aggregator statement fetch exists; no ICICI/HDFC bank API, NEFT/RTGS initiation or OTP transfer.</t>
  </si>
  <si>
    <t>I-0663</t>
  </si>
  <si>
    <t>Government GSTIN Verification API auto-fill on customer and supplier creation</t>
  </si>
  <si>
    <t>Type 15-character GSTIN; software automatically fetches legal name, trade name, address, and status</t>
  </si>
  <si>
    <t>Eliminates manual typing errors; validates that counterparty GSTIN is active and not cancelled</t>
  </si>
  <si>
    <t>GSTIN Public Search API integration auto-populating master entity forms.</t>
  </si>
  <si>
    <t>Code review 2026-10-04 (agent-reviewed, spot-checked): Partial. GSTIN verify action fetches legal name and status via sandbox provider (null default); no address/trade name autofill on create.</t>
  </si>
  <si>
    <t>backend/core/services/gstin_verify.py:apply_verification; backend/masters/views.py:CustomerViewSet; backend/core/services/gstin_verify.py:HttpGstinProvider</t>
  </si>
  <si>
    <t>GSTIN verify action fetches legal name and status via sandbox provider (null default); no address/trade name autofill on create.</t>
  </si>
  <si>
    <t>I-0664</t>
  </si>
  <si>
    <t>Google Maps &amp; OpenStreetMap Directions API route optimization</t>
  </si>
  <si>
    <t>Calculate optimal delivery stop sequence and live turn-by-turn navigation distance for delivery tempos</t>
  </si>
  <si>
    <t>Optimizes route order; computes accurate delivery transit ETA; minimizes diesel consumption</t>
  </si>
  <si>
    <t>Google Maps Directions API integration with waypoint sequencing optimization.</t>
  </si>
  <si>
    <t>Kept P3. The previous workbook had P3. Authored priority was P2. Code review 2026-10-04 (agent-reviewed, spot-checked): Partial. Stop sequencing uses local nearest-neighbour and pincode haversine; no Google Maps or OSM Directions API call.</t>
  </si>
  <si>
    <t>backend/sales/route_optimization.py:NearestNeighborTwoOptStrategy; backend/sales/route_optimization.py:haversine_km</t>
  </si>
  <si>
    <t>Stop sequencing uses local nearest-neighbour and pincode haversine; no Google Maps or OSM Directions API call.</t>
  </si>
  <si>
    <t>I-0665</t>
  </si>
  <si>
    <t>DLT-approved transactional SMS gateway integration (MSG91 / Fast2SMS)</t>
  </si>
  <si>
    <t>Deliver statutory invoice summary SMS with DLT-registered Header ID and approved 14-digit entity ID</t>
  </si>
  <si>
    <t>Dispatches SMS to feature phones and customers without WhatsApp; satisfies TRAI DLT regulations</t>
  </si>
  <si>
    <t>TRAI DLT compliant SMS gateway connector with approved template ID matching.</t>
  </si>
  <si>
    <t>Code review 2026-10-04 (agent-reviewed, spot-checked): Partial. MSG91 adapter with DLT template id exists for OTP and reminders; no Fast2SMS, invoice-summary SMS, or entity/header id handling.</t>
  </si>
  <si>
    <t>backend/core/services/sms.py:_send_msg91; backend/payments/dunning.py:_send_sms</t>
  </si>
  <si>
    <t>MSG91 adapter with DLT template id exists for OTP and reminders; no Fast2SMS, invoice-summary SMS, or entity/header id handling.</t>
  </si>
  <si>
    <t>SaaS</t>
  </si>
  <si>
    <t>Platform / SaaS Admin</t>
  </si>
  <si>
    <t>Self-service tenant signup and automated workspace database provisioning</t>
  </si>
  <si>
    <t>New Customer (Merchant)</t>
  </si>
  <si>
    <t>New merchant signs up on website, verifies phone via OTP, and gets active company workspace in 60s</t>
  </si>
  <si>
    <t>Creates Company, initial CompanyUser (OWNER), default Chart of Accounts, and primary Warehouse</t>
  </si>
  <si>
    <t>Automated tenant onboarding pipeline provisioning company defaults and seed accounts. | Decision 2026-10-04 (delegated, quality-first): Keep in MVP: built. Add an end-to-end test and a load test of provisioning. | Truth 2026-10-05 (WI-050): Partial. The test runs 20 sequential signups in the normal suite, not 20 concurrent out of 50, and not as a nightly or manual job; no signup-to-workspace end-to-end check beyond company creation. Uniqueness and p95 are asserted but under sequential load and inside the PR run.</t>
  </si>
  <si>
    <t>Code review 2026-10-04 (agent-reviewed, spot-checked): Confirmed. RegisterView verifies OTP then creates Company, OWNER CompanyUser, default warehouse and chart of accounts in one transaction.</t>
  </si>
  <si>
    <t>backend/tests/test_auth.py::test_register_creates_user_company_and_owner_membership; backend/tests/test_plan_remaining_open.py::test_twenty_signups_stay_unique_and_under_ten_seconds</t>
  </si>
  <si>
    <t>backend/accounts/models.py:CompanyUser; backend/accounts/views.py; backend/tests/test_plan_remaining_open.py</t>
  </si>
  <si>
    <t>backend/accounts/views.py:RegisterView; backend/accounting/services.py:seed_chart_of_accounts</t>
  </si>
  <si>
    <t>RegisterView verifies OTP then creates Company, OWNER CompanyUser, default warehouse and chart of accounts in one transaction.</t>
  </si>
  <si>
    <t>SaaS-0667</t>
  </si>
  <si>
    <t>Multi-company workspace switcher for serial entrepreneurs and accounting firms</t>
  </si>
  <si>
    <t>Business Owner / CA</t>
  </si>
  <si>
    <t>Single login credentials allow switching between multiple registered companies or client accounts</t>
  </si>
  <si>
    <t>Toggles active company context in session header; preserves strict data isolation between companies</t>
  </si>
  <si>
    <t>Tenant context switching middleware evaluating active company_id header with permission check.</t>
  </si>
  <si>
    <t>Code review 2026-10-04 (agent-reviewed, spot-checked): Confirmed. Users with multiple memberships switch active company; X-Company-Id header is validated against membership.</t>
  </si>
  <si>
    <t>backend/accounts/views.py:SwitchCompanyView; backend/core/permissions.py:get_company_user; backend/accounts/views.py:MembershipsListView</t>
  </si>
  <si>
    <t>Users with multiple memberships switch active company; X-Company-Id header is validated against membership.</t>
  </si>
  <si>
    <t>SaaS-0668</t>
  </si>
  <si>
    <t>Subscription tier and plan quota enforcement engine (Invoices/month, SKUs, Users)</t>
  </si>
  <si>
    <t>Subscription Engine</t>
  </si>
  <si>
    <t>Enforce commercial plan limits (Free: 100 bills/mo, Pro: 2,000 bills/mo, Enterprise: Unlimited)</t>
  </si>
  <si>
    <t>Checks monthly invoice count before invoice completion; prompts 1-click plan upgrade if limit reached</t>
  </si>
  <si>
    <t>Subscription Plan Quota validator checking tenant usage against active tier limits. | Decision 2026-10-04 (delegated, quality-first): Keep in MVP: built and tested.</t>
  </si>
  <si>
    <t>Code review 2026-10-04 (agent-reviewed, spot-checked): Confirmed. Plan quota check blocks invoice completion with PLAN_QUOTA_EXCEEDED, with 0 meaning unlimited.</t>
  </si>
  <si>
    <t>backend/tests/test_saas_quotas_and_dlq.py::test_monthly_complete_quota_blocks_purchase_complete; backend/tests/test_saas_quotas_and_dlq.py::test_monthly_complete_quota_blocks_second_complete</t>
  </si>
  <si>
    <t>backend/billing/quotas.py:assert_complete_allowed; backend/billing/models.py:Plan</t>
  </si>
  <si>
    <t>Plan quota check blocks invoice completion with PLAN_QUOTA_EXCEEDED, with 0 meaning unlimited.</t>
  </si>
  <si>
    <t>Automated monthly/annual recurring credit card / UPI auto-debit for software subscription fee</t>
  </si>
  <si>
    <t>Charges customer; activates subscription period; automatically emails GST-compliant B2B SaaS tax invoice</t>
  </si>
  <si>
    <t>Razorpay / Stripe recurring subscription webhook integration with automated invoice delivery. | Decision 2026-10-04 (delegated, quality-first): Build in Pilot (5 days). GST invoice generation and emailing for subscription charges. | Truth 2026-10-05 (WI-046): Partial. The generator has no production caller: nothing invokes issue_platform_gst_invoice on a Cashfree or PayU subscription capture (payments/services.py only comments on it). No PDF is produced and email is a notification body only. Generator with place of supply, CGST/SGST/IGST split, idempotency and no gateway SDK is tested but is not wired to a capture event.</t>
  </si>
  <si>
    <t>Code review 2026-10-04 (agent-reviewed, spot-checked): Partial. Razorpay subscriptions are created and status synced; no SaaS GST invoice generation or emailing found.</t>
  </si>
  <si>
    <t>backend/tests/test_sprint_d_saas_billing.py::test_bb_000671_webhook_updates_subscription_status; backend/tests/test_plan_remaining_open.py::test_cashfree_capture_issues_one_gst_invoice_and_payu_is_idempotent; backend/tests/test_plan_remaining_open.py::test_same_state_capture_splits_cgst_and_sgst</t>
  </si>
  <si>
    <t>backend/billing/platform_gst.py:issue_platform_gst_invoice; backend/billing/models.py:PlatformGstInvoice</t>
  </si>
  <si>
    <t>backend/billing/services.py:_create_razorpay_subscription; backend/billing/services.py:apply_razorpay_subscription_status</t>
  </si>
  <si>
    <t>SaaS-0670</t>
  </si>
  <si>
    <t>Grace period management and automated read-only downgrade on subscription payment failure</t>
  </si>
  <si>
    <t>When credit card payment fails, provide 7-day grace period before shifting account to read-only mode</t>
  </si>
  <si>
    <t>Dispatches payment retry alerts; locks write actions after 7 days while preserving access to past records</t>
  </si>
  <si>
    <t>Automated dunning workflow transitioning tenant status (ACTIVE -&gt; PAST_DUE -&gt; READ_ONLY).</t>
  </si>
  <si>
    <t>Code review 2026-10-04 (agent-reviewed, spot-checked): Confirmed. PAST_DUE status with configurable grace days blocks writes via middleware and dunning notices go out; read access remains.</t>
  </si>
  <si>
    <t>backend/billing/models.py:Subscription; backend/billing/middleware.py:SubscriptionWriteGateMiddleware; backend/billing/dunning.py</t>
  </si>
  <si>
    <t>PAST_DUE status with configurable grace days blocks writes via middleware and dunning notices go out; read access remains.</t>
  </si>
  <si>
    <t>SaaS-0671</t>
  </si>
  <si>
    <t>Role license seating and per-user add-on billing management</t>
  </si>
  <si>
    <t>Manage number of authorized staff login seats (e.g. 3 POS cashiers, 1 accountant, 1 manager)</t>
  </si>
  <si>
    <t>Tracks allocated user seats; calculates prorated monthly add-on fee for additional employee logins</t>
  </si>
  <si>
    <t>User seat quota manager in /settings/billing/ with prorated billing adjustments.</t>
  </si>
  <si>
    <t>Code review 2026-10-04 (agent-reviewed, spot-checked): Partial. Plan seat limits are tracked and enforced; no per-user add-on fee or prorated billing (code states no proration).</t>
  </si>
  <si>
    <t>backend/billing/quotas.py:seat_count; backend/accounts/views.py:_enforce_plan_seat_limit; backend/billing/models.py</t>
  </si>
  <si>
    <t>Plan seat limits are tracked and enforced; no per-user add-on fee or prorated billing (code states no proration).</t>
  </si>
  <si>
    <t>SaaS-0672</t>
  </si>
  <si>
    <t>Self-service full tenant data export package upon subscription cancellation</t>
  </si>
  <si>
    <t>Departing customer can download complete backup of all products, customers, invoices, and ledgers in 1 zip</t>
  </si>
  <si>
    <t>Generates clean ZIP archive containing all historical Excel books and document PDFs; zero vendor lock-in</t>
  </si>
  <si>
    <t>Export All Data tool in /settings/privacy/ generating comprehensive tenant data archive.</t>
  </si>
  <si>
    <t>Code review 2026-10-04 (agent-reviewed, spot-checked): Confirmed. Owner can download an encrypted zip of all company rows (JSON/CSV) and file assets; Excel/PDF books not specifically generated.</t>
  </si>
  <si>
    <t>backend/accounts/export_views.py:TenantExportView; backend/accounts/tenant_backup.py:encrypt_export_zip</t>
  </si>
  <si>
    <t>Owner can download an encrypted zip of all company rows (JSON/CSV) and file assets; Excel/PDF books not specifically generated.</t>
  </si>
  <si>
    <t>SaaS-0673</t>
  </si>
  <si>
    <t>Tenant account soft-deletion and 30-day recovery holding period</t>
  </si>
  <si>
    <t>When merchant deletes account, data is placed in 30-day quarantine before permanent physical purge</t>
  </si>
  <si>
    <t>Allows remorseful customer to reactivate account within 30 days; executes permanent purge after 30 days</t>
  </si>
  <si>
    <t>Soft-delete lifecycle with 30-day cron expiration job executing hard cascade cleanup.</t>
  </si>
  <si>
    <t>Code review 2026-10-04 (agent-reviewed, spot-checked): Partial. Tombstone soft-delete and purge job exist, but retention is 8 years for GST and no 30-day reactivation window was found.</t>
  </si>
  <si>
    <t>backend/accounts/erasure.py:erase_company; backend/accounts/erasure.py:purge_expired_tombstones</t>
  </si>
  <si>
    <t>Tombstone soft-delete and purge job exist, but retention is 8 years for GST and no 30-day reactivation window was found.</t>
  </si>
  <si>
    <t>SaaS-0674</t>
  </si>
  <si>
    <t>White-label branding and custom domain mapping for enterprise distributors</t>
  </si>
  <si>
    <t>Enterprise Admin</t>
  </si>
  <si>
    <t>Large distributor can point software to their custom domain (e.g. portal.sharmadistributors.com)</t>
  </si>
  <si>
    <t>Customizes portal logo, theme colors, login screen, and outbound customer notification emails</t>
  </si>
  <si>
    <t>Multi-tenant custom domain CNAME routing with automated Let's Encrypt SSL provisioning.</t>
  </si>
  <si>
    <t>Kept P3. The previous workbook had P3. Authored priority was P2. Code review 2026-10-04 (agent-reviewed, spot-checked): Contradicted. No custom domain mapping, branding or white-label support exists.</t>
  </si>
  <si>
    <t>none found: searched custom_domain, white-label, cname, brand theme in backend</t>
  </si>
  <si>
    <t>No custom domain mapping, branding or white-label support exists.</t>
  </si>
  <si>
    <t>SaaS-0675</t>
  </si>
  <si>
    <t>SaaS SuperAdmin analytics dashboard (MRR, Churn, DAU, Feature Adoption)</t>
  </si>
  <si>
    <t>SaaS Product Manager</t>
  </si>
  <si>
    <t>Executive Team</t>
  </si>
  <si>
    <t>Track software business metrics: Monthly Recurring Revenue (MRR), churn rate, daily active users (DAU)</t>
  </si>
  <si>
    <t>Aggregates anonymized product analytics; identifies popular features and at-risk churn accounts</t>
  </si>
  <si>
    <t>Internal SaaS SuperAdmin telemetry dashboard tracking Stripe/Razorpay MRR and user activity.</t>
  </si>
  <si>
    <t>Code review 2026-10-04 (agent-reviewed, spot-checked): Contradicted. No MRR, churn rate or DAU aggregation for a SuperAdmin dashboard.</t>
  </si>
  <si>
    <t>none found: searched mrr, dau, feature adoption in billing, core, insights, accounts</t>
  </si>
  <si>
    <t>No MRR, churn rate or DAU aggregation for a SuperAdmin dashboard.</t>
  </si>
  <si>
    <t>SaaS-0676</t>
  </si>
  <si>
    <t>Feature flag management and progressive rollout engine across tenant cohorts</t>
  </si>
  <si>
    <t>Product Manager / Engineer</t>
  </si>
  <si>
    <t>Beta Merchants</t>
  </si>
  <si>
    <t>Safely test new capabilities (e.g. new E-Invoice engine) with 5% of pilot merchants before full release</t>
  </si>
  <si>
    <t>Enables or disables feature toggles based on tenant ID, plan tier, or opt-in beta program</t>
  </si>
  <si>
    <t>Feature Flag engine (Waffle/LaunchDarkly pattern) evaluating tenant eligibility in real time.</t>
  </si>
  <si>
    <t>Restored to authored P1. The previous workbook had P0 after a keyword rebalance. Code review 2026-10-04 (agent-reviewed, spot-checked): Partial. Per-company and plan-module flag overrides exist; no percentage/cohort rollout or opt-in beta program evaluation.</t>
  </si>
  <si>
    <t>backend/core/services/feature_flags.py:build_feature_flags; backend/core/services/feature_flags.py:ROLLOUT_GRANTABLE_KEYS</t>
  </si>
  <si>
    <t>Per-company and plan-module flag overrides exist; no percentage/cohort rollout or opt-in beta program evaluation.</t>
  </si>
  <si>
    <t>SaaS-0677</t>
  </si>
  <si>
    <t>14-day full-featured free trial with automated milestone onboarding nudges</t>
  </si>
  <si>
    <t>Customer Success Team</t>
  </si>
  <si>
    <t>Merchant experiences full software capabilities for 14 days without entering credit card</t>
  </si>
  <si>
    <t>Sends automated helpful tips on Day 1 (Add Product), Day 3 (First Bill), Day 7 (GST Report)</t>
  </si>
  <si>
    <t>Automated trial lifecycle manager with milestone-based email/WhatsApp onboarding triggers.</t>
  </si>
  <si>
    <t>SaaS-0678</t>
  </si>
  <si>
    <t>Automated tenant data isolation audit and penetration testing verification</t>
  </si>
  <si>
    <t>SaaS Architect</t>
  </si>
  <si>
    <t>Continuous automated testing proving that no tenant can ever execute SQL query accessing another tenant's row</t>
  </si>
  <si>
    <t>Executes synthetic multi-tenant test suite simulating cross-tenant query injection attacks</t>
  </si>
  <si>
    <t>Automated pytest multi-tenant isolation verification test suite running in CI/CD pipeline. | Decision 2026-10-04 (delegated, quality-first): Keep in MVP: built and tested.</t>
  </si>
  <si>
    <t>Code review 2026-10-04 (agent-reviewed, spot-checked): Confirmed. Cross-tenant isolation pytest suite runs in CI; it tests ORM and API isolation rather than SQL injection attacks.</t>
  </si>
  <si>
    <t>backend/tests/tenancy/test_endpoint_isolation.py::test_tenant_a_cannot_read_tenant_b_row; backend/tests/tenancy/test_route_isolation_matrix.py::test_every_detail_route_is_isolated_across_tenants</t>
  </si>
  <si>
    <t>backend/tests/test_tenant_isolation.py:test_customers_are_isolated; .github/workflows/ci.yml:Tenant isolation smoke</t>
  </si>
  <si>
    <t>Cross-tenant isolation pytest suite runs in CI; it tests ORM and API isolation rather than SQL injection attacks.</t>
  </si>
  <si>
    <t>SaaS-0679</t>
  </si>
  <si>
    <t>SuperAdmin 'Impersonate Tenant' support capability with mandatory audit logging</t>
  </si>
  <si>
    <t>Troubled Merchant</t>
  </si>
  <si>
    <t>Customer support agent can view merchant's screen to troubleshoot bug with merchant's explicit permission</t>
  </si>
  <si>
    <t>Generates temporary 15-minute support token; logs every staff action; displays bright 'Support Mode' banner</t>
  </si>
  <si>
    <t>Sudo impersonation engine requiring time-limited authorization and permanent audit logging.</t>
  </si>
  <si>
    <t>Code review 2026-10-04 (agent-reviewed, spot-checked): Contradicted. No support impersonation capability, 15-minute support token or Support Mode banner exists in backend code.</t>
  </si>
  <si>
    <t>none found: searched impersonat in backend</t>
  </si>
  <si>
    <t>No support impersonation capability, 15-minute support token or Support Mode banner exists in backend code.</t>
  </si>
  <si>
    <t>SaaS-0680</t>
  </si>
  <si>
    <t>In-app customer feedback, feature request, and bug reporting widget</t>
  </si>
  <si>
    <t>Product Team</t>
  </si>
  <si>
    <t>Users can report issues, attach screenshots, or upvote feature requests directly from app footer</t>
  </si>
  <si>
    <t>Routes user feedback directly to product management backlog; updates user when feature ships</t>
  </si>
  <si>
    <t>In-app feedback modal capturing console logs, screen resolution, and user screenshot.</t>
  </si>
  <si>
    <t>Kept P3. The previous workbook had P3. Authored priority was P2. Code review 2026-10-04 (agent-reviewed, spot-checked): Partial. Help feedback form stores feedback for ops triage; no screenshot or console capture, upvoting, or ship notifications.</t>
  </si>
  <si>
    <t>backend/core/help_views.py:HelpFeedbackView; web/src/pages/help/HelpFeedbackForm.tsx</t>
  </si>
  <si>
    <t>Help feedback form stores feedback for ops triage; no screenshot or console capture, upvoting, or ship notifications.</t>
  </si>
  <si>
    <t>D-0681</t>
  </si>
  <si>
    <t>D</t>
  </si>
  <si>
    <t>AI &amp; Differentiation</t>
  </si>
  <si>
    <t>Deterministic LLM bill extraction: photo of crumpled paper bill → structured draft invoice</t>
  </si>
  <si>
    <t>Merchant snaps photo of physical vendor bill using mobile camera; AI extracts line items with 99% accuracy</t>
  </si>
  <si>
    <t>Parses vendor GSTIN, invoice number, items, HSN, rates, and taxes; pre-fills purchase invoice in 5 seconds</t>
  </si>
  <si>
    <t>Differentiator vs Tally/Vyapar: Vision LLM + OCR parsing pipeline with deterministic schema validation. | Decision 2026-10-04 (delegated, quality-first): Keep in MVP: built and tested.</t>
  </si>
  <si>
    <t>Code review 2026-10-04 (agent-reviewed, spot-checked): Confirmed. Vision LLM extraction of bill images with normalised payload feeds a purchase draft.</t>
  </si>
  <si>
    <t>backend/tests/test_purchase_bill_import.py::test_purchase_bill_commit_creates_products_and_draft; backend/tests/test_purchase_bill_import.py::test_purchase_bill_extract_preview</t>
  </si>
  <si>
    <t>Vision LLM extraction of bill images with normalised payload feeds a purchase draft.</t>
  </si>
  <si>
    <t>D-0682</t>
  </si>
  <si>
    <t>WhatsApp Conversational Khata Bot: customer sends photo of handwritten order list → creates sales order</t>
  </si>
  <si>
    <t>Sales Staff / Merchant</t>
  </si>
  <si>
    <t>Retail Customer</t>
  </si>
  <si>
    <t>Customer sends WhatsApp image of handwritten grocery/hardware slip; AI converts into formal digital order</t>
  </si>
  <si>
    <t>Transcribes handwritten items; matches against store product catalog; pre-populates cart for merchant confirmation</t>
  </si>
  <si>
    <t>Differentiator vs market: Multi-modal handwritten text recognition mapped to tenant SKU catalog.</t>
  </si>
  <si>
    <t>Kept P3. The previous workbook had P3. Authored priority was P1.</t>
  </si>
  <si>
    <t>Kept P3. The previous workbook had P3. Authored priority was P1. Code review 2026-10-04 (agent-reviewed, spot-checked): Contradicted. No WhatsApp inbound image handling or handwritten order extraction into sales orders; only supplier-bill photo extraction prompt exists.</t>
  </si>
  <si>
    <t>none found: searched handwritten, whatsapp inbound, media in backend/core/services/whatsapp.py</t>
  </si>
  <si>
    <t>No WhatsApp inbound image handling or handwritten order extraction into sales orders; only supplier-bill photo extraction prompt exists.</t>
  </si>
  <si>
    <t>D-0683</t>
  </si>
  <si>
    <t>Inventory Autopilot: predictive run-rate stockout forecaster with automated vendor PO dispatch</t>
  </si>
  <si>
    <t>AI predicts exact date product will run out of stock based on seasonal velocity and lead time</t>
  </si>
  <si>
    <t>Calculates recommended replenishment order; automatically drafts PO to best-priced supplier before stockout</t>
  </si>
  <si>
    <t>Differentiator vs static min/max: dynamic velocity-adjusted reorder forecasting algorithm.</t>
  </si>
  <si>
    <t>Code review 2026-10-04 (agent-reviewed, spot-checked): Partial. Run-rate forecast and days-to-stockout drive draft POs per last supplier, but creation is user-triggered and not best-price or seasonal.</t>
  </si>
  <si>
    <t>backend/inventory/forecast.py:demand_forecast; backend/inventory/planning.py:materialize_supplier_drafts</t>
  </si>
  <si>
    <t>Run-rate forecast and days-to-stockout drive draft POs per last supplier, but creation is user-triggered and not best-price or seasonal.</t>
  </si>
  <si>
    <t>Simulates 30-day cash balance incorporating probabilistic model of which specific debtors pay late</t>
  </si>
  <si>
    <t>Warns owner: 'You will face a ₹2.4 Lakh cash deficit on the 22nd due to GST payment; chase Sharma today'</t>
  </si>
  <si>
    <t>Differentiator vs standard reports: Monte Carlo cashflow simulation factoring historical debtor delay. | Decision 2026-10-04 (delegated, quality-first): Build in GA (10 days). Per-debtor payment-delay model with Monte Carlo cash-flow simulation. | Truth 2026-10-05 (WI-059): Partial. The 1,000 runs cycle the sample deterministically rather than bootstrap-resampling; under 5 invoices it uses the segment average rather than the ageing heuristic; no cash-flow aggregate or UI badge; percentile values are not asserted. Per-debtor delays from the last 12 settled invoices, shrinkage and a low-confidence flag exist, but the simulation is not a real bootstrap and nothing is shown to users.</t>
  </si>
  <si>
    <t>Code review 2026-10-04 (agent-reviewed, spot-checked): Contradicted. Forecast uses fixed heuristic collection rates by ageing bucket and fixed +/-15% band; no Monte Carlo or per-debtor delay.</t>
  </si>
  <si>
    <t>backend/tests/test_phase6_insights.py::test_cashflow_conservation; backend/tests/test_plan_remaining_open.py::test_cashflow_uses_settled_invoices; backend/tests/test_planwave_remaining.py::test_provision_interest_anomaly_cashflow_and_2b</t>
  </si>
  <si>
    <t>backend/planwave/services.py:cashflow_forecast; backend/planwave/finish.py:debtor_delays; backend/planwave/finish.py:cashflow_for_customer</t>
  </si>
  <si>
    <t>backend/insights/services.py:forecast_cashflow</t>
  </si>
  <si>
    <t>D-0685</t>
  </si>
  <si>
    <t>Natural language voice and chat conversational assistant ('Ask BizBoard')</t>
  </si>
  <si>
    <t>Owner speaks in Hindi/English: 'Show me my top 5 debtors' or 'How much did we sell yesterday?' and gets instant chart</t>
  </si>
  <si>
    <t>Converts natural language speech into read-only SQL queries; displays formatted card and voice response</t>
  </si>
  <si>
    <t>Differentiator vs legacy ERP: Voice-enabled natural language analytics agent on mobile app.</t>
  </si>
  <si>
    <t>Code review 2026-10-04 (agent-reviewed, spot-checked): Partial. Text NL assistant with company-scoped read tools exists; no SQL generation or voice support found.</t>
  </si>
  <si>
    <t>backend/insights/assistant.py:ToolExecutor</t>
  </si>
  <si>
    <t>Text NL assistant with company-scoped read tools exists; no SQL generation or voice support found.</t>
  </si>
  <si>
    <t>D-0686</t>
  </si>
  <si>
    <t>Route economics and delivery tempo profitability optimization engine</t>
  </si>
  <si>
    <t>Evaluate profitability of individual delivery runs factoring fuel, driver wage, and order margins</t>
  </si>
  <si>
    <t>Flags delivery routes losing money; recommends minimum order value threshold for remote delivery areas</t>
  </si>
  <si>
    <t>Differentiator vs trade competitors: integrated logistics route costing and margin analysis.</t>
  </si>
  <si>
    <t>Code review 2026-10-04 (agent-reviewed, spot-checked): Partial. Routes store logistics cost, realized revenue, COGS and profit; no loss-making route flag or minimum order recommendation.</t>
  </si>
  <si>
    <t>Routes store logistics cost, realized revenue, COGS and profit; no loss-making route flag or minimum order recommendation.</t>
  </si>
  <si>
    <t>D-0687</t>
  </si>
  <si>
    <t>Collections Autopilot: intelligent behavioral debtor chasing with personalized tone modulation</t>
  </si>
  <si>
    <t>Collections Engine</t>
  </si>
  <si>
    <t>Debtor Customer</t>
  </si>
  <si>
    <t>AI customizes payment reminder tone based on customer relationship (polite for VIPs, firm for chronic defaulters)</t>
  </si>
  <si>
    <t>Increases collection recovery by 28%; preserves customer goodwill while ensuring timely debt recovery</t>
  </si>
  <si>
    <t>Differentiator vs spam reminders: dynamic debtor segmentation and personalized payment cadence.</t>
  </si>
  <si>
    <t>Code review 2026-10-04 (agent-reviewed, spot-checked): Partial. Dunning escalates by days overdue and predicted lateness; no relationship-based tone or VIP segmentation.</t>
  </si>
  <si>
    <t>backend/payments/dunning.py:PREDICTIVE_ESCALATION_MIN_LATE_DAYS; backend/masters/models.py:dunning_opt_out</t>
  </si>
  <si>
    <t>Dunning escalates by days overdue and predicted lateness; no relationship-based tone or VIP segmentation.</t>
  </si>
  <si>
    <t>D-0688</t>
  </si>
  <si>
    <t>Supplier Intelligence Scorecard: automated rating on delivery punctuality, price inflation &amp; GST defects</t>
  </si>
  <si>
    <t>Automatically scores suppliers on a 100-point scale factoring fill rate, price spikes, and missing 2B invoices</t>
  </si>
  <si>
    <t>Empowers purchase manager during price negotiations; directs orders to highest-performing vendors</t>
  </si>
  <si>
    <t>Differentiator vs manual spreadsheets: multi-dimensional algorithmic vendor health scorecard.</t>
  </si>
  <si>
    <t>Code review 2026-10-04 (agent-reviewed, spot-checked): Partial. Scorecard uses GSTR-2B mismatch and rejection data only; no delivery punctuality, fill rate or price inflation factors.</t>
  </si>
  <si>
    <t>backend/reporting/ims.py:supplier_scorecard</t>
  </si>
  <si>
    <t>Scorecard uses GSTR-2B mismatch and rejection data only; no delivery punctuality, fill rate or price inflation factors.</t>
  </si>
  <si>
    <t>D-0689</t>
  </si>
  <si>
    <t>Dynamic customer-specific volume slab pricing and margin protection guard</t>
  </si>
  <si>
    <t>Automatically applies tier pricing (e.g. 1-10 pcs: ₹100, 11-50 pcs: ₹92, 51+ pcs: ₹85) while enforcing min margin</t>
  </si>
  <si>
    <t>Ensures volume discounts never drop below mandatory 6% floor margin; alerts manager if breached</t>
  </si>
  <si>
    <t>Differentiator vs competitors: tiered pricing matrix with automated floor margin protection.</t>
  </si>
  <si>
    <t>Code review 2026-10-04 (agent-reviewed, spot-checked): Partial. Quantity-slab price lists exist; margin check only warns on sales orders and does not enforce a floor.</t>
  </si>
  <si>
    <t>backend/masters/models.py:PriceListItem; backend/sales/order_gates.py:margin_warnings</t>
  </si>
  <si>
    <t>Quantity-slab price lists exist; margin check only warns on sales orders and does not enforce a floor.</t>
  </si>
  <si>
    <t>GST Guard Engine</t>
  </si>
  <si>
    <t>Fuzzy matching engine that links purchase bills with GSTR-2B even when invoice numbers have dashes or spaces</t>
  </si>
  <si>
    <t>Reduces manual reconciliation time by 85%; eliminates false mismatch exceptions caused by slash/dash typos</t>
  </si>
  <si>
    <t>Differentiator vs Tally: Levenshtein distance fuzzy invoice matcher with date tolerance. | Decision 2026-10-04 (delegated, quality-first): Build in GA (6 days). Fuzzy and Levenshtein invoice-number matching in the GSTR-2B reconciler. | Truth 2026-10-05 (WI-060): Partial. No numeric fuzzy name score or 0.95/0.80 thresholds (boolean GSTIN and tax-tolerance banding); nothing links automatically; it scores caller-posted rows, not uploaded 2B data. Banding endpoint exists but not the fuzzy scoring, auto-linking or uploaded-2B run.</t>
  </si>
  <si>
    <t>Code review 2026-10-04 (agent-reviewed, spot-checked): Contradicted. Matching uses case-insensitive exact invoice number with tax/date tolerance; no fuzzy or Levenshtein normalisation of dashes/spaces.</t>
  </si>
  <si>
    <t>backend/tests/test_planwave_remaining.py::test_provision_interest_anomaly_cashflow_and_2b; backend/tests/test_planwave_finish.py::test_2b_blocked_invoice_is_not_eligible</t>
  </si>
  <si>
    <t>backend/planwave/services.py:gstr2b_score; backend/planwave/finish.py:score_2b_rows; backend/planwave/views.py:TwoBScoreView</t>
  </si>
  <si>
    <t>D-0691</t>
  </si>
  <si>
    <t>Interactive customer self-service invoice magic link with 1-click UPI payment and dispute raise</t>
  </si>
  <si>
    <t>Customer / Buyer</t>
  </si>
  <si>
    <t>Merchant</t>
  </si>
  <si>
    <t>Customer clicks link on WhatsApp; views beautiful interactive invoice; pays via UPI or raises query on 1 item</t>
  </si>
  <si>
    <t>Accelerates payment collection; provides self-service PDF download without calling store clerk</t>
  </si>
  <si>
    <t>Differentiator vs static PDF: interactive mobile web invoice portal with embedded UPI deep-link.</t>
  </si>
  <si>
    <t>Code review 2026-10-04 (agent-reviewed, spot-checked): Confirmed. Magic-link portal lists open invoices, serves PDF, starts payment link and files a complaint; no UPI deep link in portal itself.</t>
  </si>
  <si>
    <t>backend/payments/portal_views.py:CustomerPortalView; backend/payments/portal_views.py:CustomerPortalPayView; backend/payments/portal_views.py:CustomerPortalComplaintView</t>
  </si>
  <si>
    <t>Magic-link portal lists open invoices, serves PDF, starts payment link and files a complaint; no UPI deep link in portal itself.</t>
  </si>
  <si>
    <t>D-0692</t>
  </si>
  <si>
    <t>AI Dead-Stock Liquidation Assistant: identifies stagnant inventory and suggests promotional bundles</t>
  </si>
  <si>
    <t>Merchandising AI</t>
  </si>
  <si>
    <t>Identifies items holding zero movement for 90 days; recommends pairing with fast-moving items in combo offer</t>
  </si>
  <si>
    <t>Converts trapped dead-stock capital back into liquid cash; prevents inventory obsolescence write-offs</t>
  </si>
  <si>
    <t>Differentiator vs basic aging reports: prescriptive promotional bundling recommendations.</t>
  </si>
  <si>
    <t>Kept P3. The previous workbook had P3. Authored priority was P2. Code review 2026-10-04 (agent-reviewed, spot-checked): Partial. Dead-stock alert flags on-hand items with no sales in 60 days with money value; no promotional bundle recommendation.</t>
  </si>
  <si>
    <t>backend/insights/alerts.py:DEAD_STOCK; backend/insights/services.py:DEAD_STOCK</t>
  </si>
  <si>
    <t>Dead-stock alert flags on-hand items with no sales in 60 days with money value; no promotional bundle recommendation.</t>
  </si>
  <si>
    <t>Migration Engine</t>
  </si>
  <si>
    <t>Accountant / Owner</t>
  </si>
  <si>
    <t>Upload Tally XML backup; system automatically migrates all ledger masters, opening balances, and 3-year history</t>
  </si>
  <si>
    <t>Eliminates manual re-entry barrier; customer can switch from Tally to BizBoard in under 15 minutes</t>
  </si>
  <si>
    <t>Differentiator vs new software: automated Tally XML parser importing 100% of historical chart of accounts. | Decision 2026-10-04 (delegated, quality-first): Build in GA (10 days). Tally XML backup parser and multi-year history migration. | Truth 2026-10-05 (WI-061): Partial. Only the mandatory ledger and stock-item mapping step and a stored job with voucher count exist. No TallyPrime backup parsing, no master or opening balance import and no voucher posting in the wizard; commit endpoint is a stub returning imported False. No wizard UI found. ENABLE_TALLY stays off and the mapping stub is tested, but the migration itself is not implemented.</t>
  </si>
  <si>
    <t>Code review 2026-10-04 (agent-reviewed, spot-checked): Partial. Tally masters CSV/XLSX import with opening balances and wizard exists; no Tally XML backup parser or multi-year history migration.</t>
  </si>
  <si>
    <t>backend/tests/test_phase7_tally.py::test_parse_tally_golden_fixture; backend/tests/test_phase7_tally.py::test_tally_opening_ar_ap_and_error_report; backend/tests/test_planwave_remaining.py::test_bulk_import_and_tally_map; backend/tests/test_plan_partials.py::test_tally_commit_stays_off</t>
  </si>
  <si>
    <t>backend/planwave/services.py:map_tally_import; backend/planwave/views.py:TallyMapView; backend/planwave/views.py:TallyCommitView; backend/planwave/models.py:TallyImportJob</t>
  </si>
  <si>
    <t>backend/integrations/tally/adapter.py:parse_tally_masters_csv; backend/integrations/tally/adapter.py:commit_tally_preview; backend/integrations/views.py:TallyUploadView</t>
  </si>
  <si>
    <t>D-0694</t>
  </si>
  <si>
    <t>Crowdsourced verified HSN code and statutory GST rate auto-suggester</t>
  </si>
  <si>
    <t>Tax Recommendation Engine</t>
  </si>
  <si>
    <t>Type item name (e.g. 'Basmati Rice 5kg'); AI immediately suggests correct HSN code (100630) and GST rate (5%)</t>
  </si>
  <si>
    <t>Eliminates tax classification errors for new grocery and hardware SKUs; protects against tax penalties</t>
  </si>
  <si>
    <t>Differentiator vs competitors: AI HSN classification model trained on 500,000+ Indian retail SKUs.</t>
  </si>
  <si>
    <t>Code review 2026-10-04 (agent-reviewed, spot-checked): Partial. HSN text search over a curated static table returns GST rate; no AI classifier or crowdsourced data from item name.</t>
  </si>
  <si>
    <t>backend/masters/hsn_catalog.py:search_hsn; backend/masters/views.py:ProductViewSet</t>
  </si>
  <si>
    <t>HSN text search over a curated static table returns GST rate; no AI classifier or crowdsourced data from item name.</t>
  </si>
  <si>
    <t>D-0695</t>
  </si>
  <si>
    <t>Daily evening 8 PM WhatsApp executive voice and summary briefing to owner</t>
  </si>
  <si>
    <t>Executive Briefing Bot</t>
  </si>
  <si>
    <t>At 8 PM, owner receives automated WhatsApp voice message and infographic: 'Today's sales: ₹1.8L, Cash: ₹65k, Margin: 14%'</t>
  </si>
  <si>
    <t>Delivers complete business peace of mind without requiring owner to sit in front of computer</t>
  </si>
  <si>
    <t>Differentiator vs dashboard-only: push WhatsApp executive audio briefing and infographic summary.</t>
  </si>
  <si>
    <t>Restored to authored P1. The previous workbook had P3 after a keyword rebalance.</t>
  </si>
  <si>
    <t>Matched WhatsApp in product code. This is not a functional test. Restored to authored P1. The previous workbook had P3 after a keyword rebalance.</t>
  </si>
  <si>
    <t>D-0696</t>
  </si>
  <si>
    <t>Proof of Delivery (POD) photo tamper detection and GPS geo-fence verification</t>
  </si>
  <si>
    <t>Logistics Security Engine</t>
  </si>
  <si>
    <t>Verify that delivery driver captured POD photo physically at customer's shop using geo-fence comparison</t>
  </si>
  <si>
    <t>Prevents driver delivery fraud and false delivery confirmations; eliminates customer delivery disputes</t>
  </si>
  <si>
    <t>Differentiator vs basic delivery apps: GPS geo-fence comparison against customer master coordinates.</t>
  </si>
  <si>
    <t>Kept P3. The previous workbook had P3. Authored priority was P2. Code review 2026-10-04 (agent-reviewed, spot-checked): Contradicted. POD stores photo, OTP and recipient but no GPS capture, geo-fence comparison or tamper check; haversine is only for route sequencing.</t>
  </si>
  <si>
    <t>none found: searched geofence, haversine against POD, tamper in backend/sales</t>
  </si>
  <si>
    <t>POD stores photo, OTP and recipient but no GPS capture, geo-fence comparison or tamper check; haversine is only for route sequencing.</t>
  </si>
  <si>
    <t>D-0697</t>
  </si>
  <si>
    <t>B2B Customer Portal with live customized price lists, ledger statements &amp; re-ordering</t>
  </si>
  <si>
    <t>B2B Retailer Client</t>
  </si>
  <si>
    <t>Wholesale Distributor</t>
  </si>
  <si>
    <t>Wholesale customer logs into self-service portal; sees their specific contracted pricing; places reorders 24/7</t>
  </si>
  <si>
    <t>Increases wholesale order volume by 22%; eliminates late-night phone calls and WhatsApp order confusion</t>
  </si>
  <si>
    <t>Differentiator vs legacy software: self-service B2B ordering portal synchronized with central ERP.</t>
  </si>
  <si>
    <t>Code review 2026-10-04 (agent-reviewed, spot-checked): Partial. Portal shows open invoices, PDF and pay link only; no contracted price lists, ledger statements or re-ordering.</t>
  </si>
  <si>
    <t>Portal shows open invoices, PDF and pay link only; no contracted price lists, ledger statements or re-ordering.</t>
  </si>
  <si>
    <t>D-0698</t>
  </si>
  <si>
    <t>Multi-branch inter-company automated balancing ledger (Mirror Transaction Engine)</t>
  </si>
  <si>
    <t>Inter-Company Engine</t>
  </si>
  <si>
    <t>When Branch A transfers goods to Branch B, system automatically generates matching Inward &amp; Outward vouchers</t>
  </si>
  <si>
    <t>Eliminates manual duplicate voucher entry; ensures inter-branch reconciliation balances to zero</t>
  </si>
  <si>
    <t>Differentiator vs single-store tools: automated double-entry mirror voucher generation.</t>
  </si>
  <si>
    <t>Code review 2026-10-04 (agent-reviewed, spot-checked): Partial. Transfers post paired out and in stock movements; no inter-branch mirror vouchers or reconciliation ledger.</t>
  </si>
  <si>
    <t>Transfers post paired out and in stock movements; no inter-branch mirror vouchers or reconciliation ledger.</t>
  </si>
  <si>
    <t>D-0699</t>
  </si>
  <si>
    <t>Customer Lifetime Value (CLV) and churn prediction scoring</t>
  </si>
  <si>
    <t>CRM Analytics Engine</t>
  </si>
  <si>
    <t>Predicts which regular commercial customers are drifting to competitors based on order interval gaps</t>
  </si>
  <si>
    <t>Alerts sales manager to visit customer before account is completely lost to competition</t>
  </si>
  <si>
    <t>Differentiator vs basic CRM: predictive recency-frequency-monetary (RFM) churn modeling.</t>
  </si>
  <si>
    <t>Kept P3. The previous workbook had P3. Authored priority was P2. Code review 2026-10-04 (agent-reviewed, spot-checked): Partial. CHURN_RISK rows from order-gap vs median interval exist; no CLV or RFM scoring.</t>
  </si>
  <si>
    <t>CHURN_RISK rows from order-gap vs median interval exist; no CLV or RFM scoring.</t>
  </si>
  <si>
    <t>D-0700</t>
  </si>
  <si>
    <t>AI automated WhatsApp payment negotiation bot with settlement discount authorization</t>
  </si>
  <si>
    <t>Autonomous Payment Bot</t>
  </si>
  <si>
    <t>Overdue Debtor</t>
  </si>
  <si>
    <t>AI chats with overdue customer on WhatsApp; offers authorized 2% cash discount if settled within 2 hours</t>
  </si>
  <si>
    <t>Recovers stalled debt autonomously without demanding manual debt collection phone calls from owner</t>
  </si>
  <si>
    <t>Differentiator: goal-directed negotiation agent operating within owner-configured discount rules.</t>
  </si>
  <si>
    <t>Kept P3. The previous workbook had P3. Authored priority was P2. Code review 2026-10-04 (agent-reviewed, spot-checked): Contradicted. No WhatsApp negotiation agent or time-limited discount offer exists; dunning only sends fixed reminders.</t>
  </si>
  <si>
    <t>none found: searched negotiat, settlement_discount, early_pay, cash_discount in backend/payments and core/services/whatsapp.py</t>
  </si>
  <si>
    <t>No WhatsApp negotiation agent or time-limited discount offer exists; dunning only sends fixed reminders.</t>
  </si>
  <si>
    <t>X-0701</t>
  </si>
  <si>
    <t>Concurrent checkout conflict: two cashiers bill last remaining stock unit simultaneously</t>
  </si>
  <si>
    <t>Two Cashiers / Inventory Engine</t>
  </si>
  <si>
    <t>First cashier's checkout succeeds; second cashier receives immediate graceful notification: 'Item out of stock'</t>
  </si>
  <si>
    <t>Prevents negative inventory; prompts second cashier with alternative brand suggestions without crashing cart</t>
  </si>
  <si>
    <t>Enforced via SELECT FOR UPDATE row-level lock on StockBalance; handles concurrent race condition cleanly.</t>
  </si>
  <si>
    <t>Billing Clerk / Business Owner</t>
  </si>
  <si>
    <t>Customer cart exceeds credit limit; clerk sends 1-click WhatsApp approval request to owner; owner taps 'Approve'</t>
  </si>
  <si>
    <t>Authorizes specific invoice without permanently raising customer credit limit; checkout unfreezes immediately</t>
  </si>
  <si>
    <t>Temporary credit limit override token with 15-minute expiration and audit trail stamp. | Decision 2026-10-04 (delegated, quality-first): Build in MVP (3 days). Time-limited WhatsApp approval token with 15-minute expiry for credit-limit overrides. | Truth 2026-10-05 (WI-027): Partial. Token service exists (single-use, 15 minutes, bound to batch) but is not wired into any bulk invoice or credit-limit flow and has no endpoint. Not bound to the requester on redeem. No Awaiting approval invoice status, so over-limit invoices are not held while others proceed. Expiry path is not asserted. Only the token issue and redeem service exists; the bulk-invoice integration and awaiting-approval behaviour are absent.</t>
  </si>
  <si>
    <t>Kept P0. The previous workbook had P0. Authored priority was P1. Code review 2026-10-04 (agent-reviewed, spot-checked): Partial. Owner override with reason is stamped on the order and invoice; no time-limited token, WhatsApp approval request or 15-minute expiry.</t>
  </si>
  <si>
    <t>backend/tests/test_next_batch_so_challan.py::test_credit_override_is_owner_only_and_copies_onto_that_invoice; backend/tests/test_planwave_remaining.py::test_approvals_reject_self_and_expired_tokens; backend/tests/test_code_review_2026_10_05.py::test_a_blank_token_cannot_redeem_an_ordinary_approval</t>
  </si>
  <si>
    <t>backend/planwave/services.py:issue_credit_token; backend/planwave/services.py:redeem_credit_token; backend/planwave/models.py:ApprovalRequest</t>
  </si>
  <si>
    <t>backend/sales/order_gates.py:apply_order_gates; backend/sales/order_gates.py:copy_credit_override</t>
  </si>
  <si>
    <t>X-0703</t>
  </si>
  <si>
    <t>Customer overpays invoice via UPI: excess balance routed to unallocated customer advance account</t>
  </si>
  <si>
    <t>Customer owes ₹4,800 but transfers ₹5,000; invoice is marked PAID and ₹200 credited to Customer Advance account</t>
  </si>
  <si>
    <t>Maintains exact accounting balance; automatically applies ₹200 credit against next purchase</t>
  </si>
  <si>
    <t>PaymentAllocation splits receipt: ₹4,800 applied to invoice, ₹200 created as Advance credit voucher.</t>
  </si>
  <si>
    <t>X-0704</t>
  </si>
  <si>
    <t>Purchase bill rate higher than PO contracted rate: system flags price variance for manager approval</t>
  </si>
  <si>
    <t>Supplier bills ₹110/unit against approved PO contracted rate of ₹100/unit; variance flagged before AP posting</t>
  </si>
  <si>
    <t>Holds invoice payment; prompts Purchase Manager to approve price escalation or generate supplier debit note</t>
  </si>
  <si>
    <t>Automated 3-way matching price tolerance check (0% default tolerance). | Drift check 2026-10-05: Bill rate against PO rate is checked by the 3-way match; manager override exists</t>
  </si>
  <si>
    <t>Code review 2026-10-04 (agent-reviewed, spot-checked): Contradicted. No PO rate versus bill rate check, tolerance or payment hold exists.</t>
  </si>
  <si>
    <t>none found: searched tolerance, price_variance, three_way in backend/purchases</t>
  </si>
  <si>
    <t>No PO rate versus bill rate check, tolerance or payment hold exists.</t>
  </si>
  <si>
    <t>X-0705</t>
  </si>
  <si>
    <t>Customer returns serialized product after 6 months: system verifies serial warranty and original purchase bill</t>
  </si>
  <si>
    <t>Customer Service / Store Clerk</t>
  </si>
  <si>
    <t>Customer brings back broken appliance; scanning serial number brings up original purchase date and warranty terms</t>
  </si>
  <si>
    <t>Verifies warranty is still valid; checks serial history; initiates warranty replacement workflow</t>
  </si>
  <si>
    <t>SerialNumber lifecycle search linking serial to original SalesInvoice and warranty expiry.</t>
  </si>
  <si>
    <t>backend/inventory/models.py:SerialNumber; backend/sales/models.py:SalesInvoice</t>
  </si>
  <si>
    <t>Delivery Drivers / Transporter</t>
  </si>
  <si>
    <t>Delivery tempo carrying ₹10L goods breaks down on highway; goods moved to backup tempo; Part B updated</t>
  </si>
  <si>
    <t>Updates active E-Way Bill vehicle number; preserves transit insurance coverage; prevents police impoundment</t>
  </si>
  <si>
    <t>E-Way Bill Part B vehicle update workflow recording transshipment reason and new vehicle RC. | Decision 2026-10-04 (delegated, quality-first): Build in Pilot (3 days). Transfer vehicle-breakdown Part B workflow on stock transfers. | Truth 2026-10-05 (WI-042): Partial. TRANSFER_PART_B action and history exist only on the generic stub; no fields on stock transfers, no transfer workflow, no test for TRANSFER_PART_B. Only the generic stub action exists, nothing specific to stock transfers and nothing tested.</t>
  </si>
  <si>
    <t>Kept P0. The previous workbook had P0. Authored priority was P1. Code review 2026-10-04 (agent-reviewed, spot-checked): Contradicted. E-way bill handling covers sales invoices only; no stock transfer Part B vehicle update workflow.</t>
  </si>
  <si>
    <t>backend/planwave/models.py:EwayStubAction; backend/planwave/services.py:record_eway_stub</t>
  </si>
  <si>
    <t>none found: searched Part B update, transshipment, vehicle update in inventory and sales</t>
  </si>
  <si>
    <t>Supplier was active when bill was dated but cancelled GSTIN before filing GSTR-1; system flags tax risk</t>
  </si>
  <si>
    <t>Quarantines Input Tax Credit; holds pending payments to supplier until tax filing status is resolved</t>
  </si>
  <si>
    <t>GSTIN status verification engine cross-checking active registration status before ITC claim. | Decision 2026-10-04 (delegated, quality-first): Build in MVP (3 days). ITC quarantine and supplier payment hold when a supplier GSTIN is cancelled. | Truth 2026-10-05 (WI-024): Partial. Cancelled status comes only from a manual Supplier.gstin_cancelled_on field; it is not fed from the existing GSTIN alert source. Availed ITC is not flagged for the CA (only blocked_credit on new bills). Purchase-team alert has no direct test assertion. Payment hold, purchase block, dated ITC block and audited override exist with tests; no link to the alert source and no availed-ITC flag.</t>
  </si>
  <si>
    <t>Code review 2026-10-04 (agent-reviewed, spot-checked): Partial. An alert fires when a GSTIN is cancelled, suspended or invalid, but no ITC quarantine or supplier payment hold was found.</t>
  </si>
  <si>
    <t>backend/tests/test_planwave_remaining.py::test_cancelled_gstin_holds_supplier_payment; backend/tests/test_planwave_remaining.py::test_cancelled_supplier_gstin_blocks_purchase; backend/tests/test_planwave_finish.py::test_gstin_override_is_audited; backend/tests/test_planwave_finish.py::test_sales_staff_cannot_release_a_gstin_hold</t>
  </si>
  <si>
    <t>backend/planwave/services.py:supplier_itc_blocked; backend/planwave/services.py:assert_gstin_override; backend/payments/services.py:create_supplier_payment gstin hold; backend/purchases/services.py:complete gstin_cancelled_on check</t>
  </si>
  <si>
    <t>backend/reporting/gst_health.py:gstin_format_and_status; backend/reporting/gst_health.py:GSTIN_INACTIVE</t>
  </si>
  <si>
    <t>X-0708</t>
  </si>
  <si>
    <t>Network disconnects during thermal receipt printing: reprint last completed receipt with 1 key</t>
  </si>
  <si>
    <t>Thermal printer runs out of paper roll midway through printing; cashier inserts new roll and presses 'Reprint'</t>
  </si>
  <si>
    <t>Reprints exact duplicate receipt stamped with 'DUPLICATE COPY' header without re-creating bill or stock deduction</t>
  </si>
  <si>
    <t>POS 'Reprint Last Bill' action (Ctrl+P) pulling cached print payload without database mutation.</t>
  </si>
  <si>
    <t>Code review 2026-10-04 (agent-reviewed, spot-checked): Partial. F11 or Ctrl+Alt+P reprints the last completed sale without recreating it; no DUPLICATE COPY header on the thermal receipt.</t>
  </si>
  <si>
    <t>web/src/pages/pos/PosPage.tsx:lastCompletedSaleRef</t>
  </si>
  <si>
    <t>F11 or Ctrl+Alt+P reprints the last completed sale without recreating it; no DUPLICATE COPY header on the thermal receipt.</t>
  </si>
  <si>
    <t>X-0709</t>
  </si>
  <si>
    <t>Customer disputed line item on ₹1,00,000 bill: customer pays ₹90,000; ₹10,000 routed to dispute resolution</t>
  </si>
  <si>
    <t>Credit Controller / Cashier</t>
  </si>
  <si>
    <t>Customer disputes ₹10,000 freight charge; pays ₹90,000 undisputed goods cost immediately</t>
  </si>
  <si>
    <t>Allocates ₹90,000 payment; isolates ₹10,000 dispute; keeps customer account active without credit lock</t>
  </si>
  <si>
    <t>Line-item dispute flag allowing partial settlement without triggering credit limit block.</t>
  </si>
  <si>
    <t>Restored to authored P1. The previous workbook had P0 after a keyword rebalance. Code review 2026-10-04 (agent-reviewed, spot-checked): Contradicted. No line-item dispute mechanism to isolate disputed amount while allocating undisputed payment.</t>
  </si>
  <si>
    <t>none found: searched dispute, disputed line, partial settlement in backend</t>
  </si>
  <si>
    <t>No line-item dispute mechanism to isolate disputed amount while allocating undisputed payment.</t>
  </si>
  <si>
    <t>X-0710</t>
  </si>
  <si>
    <t>Batch stock expired overnight: system automatically removes expired batch from active billing terminals</t>
  </si>
  <si>
    <t>Inventory Watchdog / Cron</t>
  </si>
  <si>
    <t>Counter Cashier / Pharmacist</t>
  </si>
  <si>
    <t>Batch reaches 1st of month expiration; morning billing terminals instantly hide batch from checkout selection</t>
  </si>
  <si>
    <t>Prevents cashier accidentally selling expired medicine/food; creates quarantine movement to Expired Bin</t>
  </si>
  <si>
    <t>Midnight cron worker scanning batch_lot.expiry_date &lt; today; sets is_active=False on expired lots.</t>
  </si>
  <si>
    <t>Matched expiry_date in product code. This is not a functional test.</t>
  </si>
  <si>
    <t>X-0711</t>
  </si>
  <si>
    <t>Accountant discovers missing purchase invoice in locked accounting period: authorized supplementary entry</t>
  </si>
  <si>
    <t>In-house Accountant / Business Owner</t>
  </si>
  <si>
    <t>Vendor invoice from previously closed month arrives late; accountant records supplementary voucher in current open period</t>
  </si>
  <si>
    <t>Preserves locked period integrity; records invoice in current period with statutory explanation note</t>
  </si>
  <si>
    <t>AccountingPeriod governance allowing current-period entry of prior-period expenses with audit note.</t>
  </si>
  <si>
    <t>Matched AccountingPeriod in product code. This is not a functional test.</t>
  </si>
  <si>
    <t>X-0712</t>
  </si>
  <si>
    <t>Employee accidentally deletes 20 line items in bulk order: 1-click draft revision rollback</t>
  </si>
  <si>
    <t>Accidental bulk deletion in large 100-line distributor order; clerk restores previous draft version in 1 click</t>
  </si>
  <si>
    <t>Restores previous version snapshot from audit log; recovers all line quantities, prices, and discounts</t>
  </si>
  <si>
    <t>Document draft version history allowing rollback to any previous auto-save snapshot.</t>
  </si>
  <si>
    <t>Code review 2026-10-04 (agent-reviewed, spot-checked): Contradicted. Only a draft_restored telemetry event name exists; no draft version history or one-click rollback of line items is implemented.</t>
  </si>
  <si>
    <t>none found: searched draft version, revision, rollback, snapshot, restore draft</t>
  </si>
  <si>
    <t>Only a draft_restored telemetry event name exists; no draft version history or one-click rollback of line items is implemented.</t>
  </si>
  <si>
    <t>₹50,000 cheque bounces; system reverses invoice payment, marks bill UNPAID, debits ₹350 bank bounce fee to customer</t>
  </si>
  <si>
    <t>Generates formal legal cheque bounce notice under Section 138 of Negotiable Instruments Act; alerts owner</t>
  </si>
  <si>
    <t>Automated Cheque Dishonour workflow with Section 138 statutory notice letter generator. | Decision 2026-10-04 (delegated, quality-first): Build in MVP (2 days). Automated account action and Section 138 notice generator on a dishonoured cheque. | Truth 2026-10-05 (WI-023): Built.  Notice PDF with 30 day demand window, 15 day pay-by from the memo date and advocate disclaimer exists and is asserted.</t>
  </si>
  <si>
    <t>Code review 2026-10-04 (agent-reviewed, spot-checked): Partial. Bounce reverses payment and invoice becomes unpaid; no bank fee debit to customer or Section 138 notice generator.</t>
  </si>
  <si>
    <t>backend/tests/test_cheque_payment.py::test_cheque_receipt_starts_pending_and_bounce_voids; backend/tests/test_planwave_remaining.py::test_section_138_dates_and_provision; backend/tests/test_bug_open_pay.py::test_bug_pay_001_bounce_levies_fee_and_stores_section_138_notice</t>
  </si>
  <si>
    <t>backend/payments/services.py:_store_section_138_notice; backend/planwave/services.py:section_138_dates</t>
  </si>
  <si>
    <t>X-0714</t>
  </si>
  <si>
    <t>Doorstep customer cash refusal: driver captures reason and routes goods back to godown receiving</t>
  </si>
  <si>
    <t>Delivery Driver / Cashier</t>
  </si>
  <si>
    <t>Customer / Godown Custodian</t>
  </si>
  <si>
    <t>Retailer refuses to accept shipment due to cash shortage; driver tags 'CUSTOMER_CASH_SHORTAGE' on mobile PWA</t>
  </si>
  <si>
    <t>Updates delivery status to FAILED_ATTEMPT; keeps goods in driver transit custody until evening godown return</t>
  </si>
  <si>
    <t>Delivery failure exception workflow with driver custody transfer back to warehouse.</t>
  </si>
  <si>
    <t>Code review 2026-10-04 (agent-reviewed, spot-checked): Partial. Stop can be set FAILED, which leaves stock reserved; no reason code or driver custody transfer back to godown.</t>
  </si>
  <si>
    <t>Stop can be set FAILED, which leaves stock reserved; no reason code or driver custody transfer back to godown.</t>
  </si>
  <si>
    <t>Admin / Sales Staff</t>
  </si>
  <si>
    <t>Customer moves to new premises and updates GSTIN; new invoices use new address, historical invoices preserve old address</t>
  </si>
  <si>
    <t>Updates Customer master; historical completed SalesInvoice headers retain immutable address snapshot</t>
  </si>
  <si>
    <t>Core data invariant: invoice headers store immutable address snapshot; master updates do not corrupt historical bills. | Decision 2026-10-04 (delegated, quality-first): Build in MVP (2 days). Snapshot customer name and address on the invoice at completion; backfill existing invoices. | Truth 2026-10-05 (WI-014): Partial. Backfill copies current master data and does not use the audit-history name as of the invoice date; snapshot tests cover sales invoices only, not credit/debit notes or purchase bills. Write-once snapshot with backfill flag exists for all document types, but the audit-history backfill is missing.</t>
  </si>
  <si>
    <t>Code review 2026-10-04 (agent-reviewed, spot-checked): Partial. Only GSTIN and place of supply are frozen at completion; customer name and address are read live so history can change.</t>
  </si>
  <si>
    <t>backend/tests/test_planwave_remaining.py::test_party_snapshot_survives_rename; backend/tests/test_code_review_2026_10_05.py::test_a_backfill_never_overwrites_an_issued_snapshot</t>
  </si>
  <si>
    <t>backend/sales/models.py:SalesInvoice; backend/planwave/services.py:stamp_party; backend/planwave/management/commands/backfill_party_snapshots.py; backend/sales/services.py; backend/purchases/notes_services.py</t>
  </si>
  <si>
    <t>GOS-0716</t>
  </si>
  <si>
    <t>G-OS</t>
  </si>
  <si>
    <t>Growth Lead / Head of Marketing</t>
  </si>
  <si>
    <t>Multi-Channel Marketing Campaign Setup &amp; Budget Allocation</t>
  </si>
  <si>
    <t>Growth Lead / Marketing Manager</t>
  </si>
  <si>
    <t>Business Owner, Finance Manager</t>
  </si>
  <si>
    <t>Enables configuration of multi-channel marketing campaigns (WhatsApp broadcasts, trade exhibitions, Google Ads, print collateral) with discrete allocated budgets, target revenue goals, and expected outcomes.</t>
  </si>
  <si>
    <t>Establishes financial tracking boundaries; links directly with incoming CRM leads, sales opportunities, and completed sales invoices to calculate real-time campaign customer acquisition cost (CAC).</t>
  </si>
  <si>
    <t>Implements Campaign model from web/src/api/growth.ts (createCampaign, updateCampaign) with budget, targetRevenue, and status transitions.</t>
  </si>
  <si>
    <t>Matched createCampaign in product code. This is not a functional test.</t>
  </si>
  <si>
    <t>GOS-CAM</t>
  </si>
  <si>
    <t>Growth campaigns</t>
  </si>
  <si>
    <t>Growth</t>
  </si>
  <si>
    <t>GOS-0717</t>
  </si>
  <si>
    <t>Multi-Stage Campaign Funnel Tracking &amp; Stage Conversion</t>
  </si>
  <si>
    <t>Visualizes real-time conversion velocity across pipeline stages: Inbound Leads -&gt; Open Opportunities -&gt; Won Opportunities with step-level drop-off rates.</t>
  </si>
  <si>
    <t>Identifies marketing channel drop-off points; triggers automatic notifications to sales leadership when lead-to-opportunity conversion drops below target thresholds.</t>
  </si>
  <si>
    <t>Implements getCampaignFunnel API from web/src/api/growth.ts aggregating total leads, opportunities, won opportunities, and funnel stage variance.</t>
  </si>
  <si>
    <t>Matched getCampaignFunnel in product code. This is not a functional test.</t>
  </si>
  <si>
    <t>GOS-0718</t>
  </si>
  <si>
    <t>Marketing Campaign ROI Ratio &amp; Revenue Variance Calculation</t>
  </si>
  <si>
    <t>Finance Manager, Business Owner</t>
  </si>
  <si>
    <t>Computes real-time Return on Investment (ROI) ratio: ((Realized Invoiced Revenue - Budget) / Budget) and calculates positive/negative revenue variance against initial targets.</t>
  </si>
  <si>
    <t>Feeds marketing spend effectiveness into executive P&amp;L dashboard; automatically flags underperforming campaigns where customer acquisition cost exceeds 30-day gross margin.</t>
  </si>
  <si>
    <t>Directly calculates roiRatio and variance metrics defined in Funnel type in web/src/api/growth.ts.</t>
  </si>
  <si>
    <t>Matched roiRatio in product code. This is not a functional test.</t>
  </si>
  <si>
    <t>GOS-0719</t>
  </si>
  <si>
    <t>Parent-Child Campaign Hierarchy &amp; Multi-Territory Rollup</t>
  </si>
  <si>
    <t>Regional Branch Manager</t>
  </si>
  <si>
    <t>Supports structuring overarching marketing umbrellas (e.g., Annual Diwali Expo) with nested sub-campaigns (e.g., North Zone WhatsApp Promo, South Zone Catalog Distribution) with automatic budget and revenue rollups.</t>
  </si>
  <si>
    <t>Aggregates multi-territory campaign performance up to parent campaign totals without manual Excel reconciliation or double-counting.</t>
  </si>
  <si>
    <t>Implements parent-child campaign relationships with rollup object support from web/src/api/growth.ts.</t>
  </si>
  <si>
    <t>GOS-0720</t>
  </si>
  <si>
    <t>Inside Sales / Web Lead Specialist</t>
  </si>
  <si>
    <t>Public Embeddable Web-to-Lead Ingestion Form</t>
  </si>
  <si>
    <t>Provides a lightweight, mobile-responsive public lead capture form (/public/lead-form/) with honeypot spam filtering, CORS validation, and instant CRM lead creation.</t>
  </si>
  <si>
    <t>Auto-ingests inbound trade inquiries from corporate websites, landing pages, and digital QR codes directly into CRM Leads table within 500ms.</t>
  </si>
  <si>
    <t>Implements LeadFormPage.tsx and web-to-lead API endpoint with rate limiting and automated sanitization.</t>
  </si>
  <si>
    <t>Matched LeadFormPage in product code. This is not a functional test.</t>
  </si>
  <si>
    <t>GOS-LEAD</t>
  </si>
  <si>
    <t>Growth leads</t>
  </si>
  <si>
    <t>Inbound Lead Exact-Match Deduplication &amp; Conflict Prevention</t>
  </si>
  <si>
    <t>Enforces strict deduplication on incoming leads using normalized E.164 phone numbers and lowercase email addresses against existing CRM leads and active Customer masters.</t>
  </si>
  <si>
    <t>Prevents multi-rep outreach collisions; appends new inquiry details and campaign tags to existing lead activity timeline rather than creating duplicate customer profiles.</t>
  </si>
  <si>
    <t>Enforces database uniqueness constraints and deduplication matching rules across backend/crm/ models. | Truth 2026-10-05 (WI-047): Built.  Dedupe flow is exercised through the CRM API endpoints (create then resolve-dedupe) as well as the service; test_plan_gos_0721.py itself does not exist.</t>
  </si>
  <si>
    <t>backend/tests/test_os_vision_plan.py::test_manual_lead_dedupe_prompts_instead_of_duplicating; backend/tests/test_os_vision_plan.py::test_resolve_dedupe_new_clears_pending_review; backend/tests/test_plan_remaining_open.py::test_duplicate_lead_is_matched_and_not_created_silently; backend/tests/test_os_vision_plan.py::test_converted_lead_is_not_a_second_party_on_repeat_contact</t>
  </si>
  <si>
    <t>backend/crm/pipeline.py:capture_lead; backend/crm/pipeline.py:DedupePrompt</t>
  </si>
  <si>
    <t>GOS-0722</t>
  </si>
  <si>
    <t>Sales Manager / Team Lead</t>
  </si>
  <si>
    <t>Automated Round-Robin Lead Assignment &amp; 2-Hour SLA Timer</t>
  </si>
  <si>
    <t>Automatically routes newly qualified inbound leads to on-duty sales representatives via round-robin allocation, initiating a 2-hour first-touch SLA countdown timer.</t>
  </si>
  <si>
    <t>Sends instant WhatsApp/push alerts to assigned sales reps; triggers managerial escalation if a high-intent lead remains uncontacted past the 2-hour window.</t>
  </si>
  <si>
    <t>Implements automated assignment logic and response time tracking defined in CRM service layer.</t>
  </si>
  <si>
    <t>GOS-0723</t>
  </si>
  <si>
    <t>Qualified Lead-to-Customer &amp; Opportunity One-Click Conversion</t>
  </si>
  <si>
    <t>Finance Manager, Store Cashier</t>
  </si>
  <si>
    <t>Converts a qualified lead into an official Customer master record while simultaneously creating a linked Opportunity with complete carry-forward of activity notes and interaction logs.</t>
  </si>
  <si>
    <t>Seamlessly bridges top-of-funnel marketing inquiry into bottom-of-funnel accounting and billing workflows without manual data re-entry.</t>
  </si>
  <si>
    <t>Implements convert_lead() service method and UI transition workflow verified in test_sprint_b_crm_convert.py.</t>
  </si>
  <si>
    <t>Matched convert_lead in product code. This is not a functional test.</t>
  </si>
  <si>
    <t>backend/crm/services.py:convert_lead</t>
  </si>
  <si>
    <t>backend/tests/test_os_vision_plan.py; backend/tests/test_referral_self_referral_guard.py; backend/tests/test_sprint_b_crm_convert.py</t>
  </si>
  <si>
    <t>GOS-0724</t>
  </si>
  <si>
    <t>Line-Item Product Requirement Specification on Opportunities</t>
  </si>
  <si>
    <t>Allows sales representatives to attach specific product SKUs, estimated purchase quantities, and target unit prices directly to an Opportunity pipeline record.</t>
  </si>
  <si>
    <t>Enables inventory demand forecasting and procurement pre-planning before sales orders are officially confirmed; feeds realistic bottom-up value into sales pipeline.</t>
  </si>
  <si>
    <t>Implements OpportunityLine CRUD APIs (createOpportunityLine, deleteOpportunityLine) from web/src/api/growth.ts.</t>
  </si>
  <si>
    <t>Matched createOpportunityLine in product code. This is not a functional test.</t>
  </si>
  <si>
    <t>GOS-OPP</t>
  </si>
  <si>
    <t>Growth opportunities</t>
  </si>
  <si>
    <t>backend/crm/models.py:OpportunityLine</t>
  </si>
  <si>
    <t>backend/tests/tenancy/test_route_isolation_matrix.py</t>
  </si>
  <si>
    <t>GOS-0725</t>
  </si>
  <si>
    <t>Sales Manager / Head of Sales</t>
  </si>
  <si>
    <t>Weighted Opportunity Pipeline Stage Forecasting</t>
  </si>
  <si>
    <t>Computes monthly weighted pipeline revenue forecasts by multiplying deal amount by stage probability (e.g., Prospecting 10%, Demo 40%, Negotiation 80%, Won 100%).</t>
  </si>
  <si>
    <t>Feeds forward-looking revenue projections into cashflow and procurement models; surfaces expected closing dates across next 30/60/90 days.</t>
  </si>
  <si>
    <t>Implements getForecast() API in web/src/api/growth.ts returning monthly forecast buckets and unscheduled deal volumes.</t>
  </si>
  <si>
    <t>Matched getForecast in product code. This is not a functional test.</t>
  </si>
  <si>
    <t>GOS-0726</t>
  </si>
  <si>
    <t>Finance Manager / Sales Ops</t>
  </si>
  <si>
    <t>Won-Versus-Invoiced Revenue Gap &amp; Leakage Analytics</t>
  </si>
  <si>
    <t>Sales Manager, Business Owner</t>
  </si>
  <si>
    <t>Performs automated monthly reconciliation between won opportunity contract values and actual posted Sales Invoices (getWonVersusInvoices).</t>
  </si>
  <si>
    <t>Detects revenue leakage, delayed billing, and unfulfilled customer commitments; alerts sales and finance leadership when invoiced revenue lags won pipeline by &gt; 15%.</t>
  </si>
  <si>
    <t>Implements getWonVersusInvoices endpoint comparing closed-won CRM commitments against realized ledger revenue.</t>
  </si>
  <si>
    <t>Matched getWonVersusInvoices in product code. This is not a functional test.</t>
  </si>
  <si>
    <t>GOS-0727</t>
  </si>
  <si>
    <t>Competitor Win/Loss Analytics &amp; Opportunity Loss Tracking</t>
  </si>
  <si>
    <t>Product Strategist, Business Owner</t>
  </si>
  <si>
    <t>Captures primary winning competitor, loss reason category (pricing, feature gap, delivery delay, credit terms), and qualitative debrief notes upon marking an opportunity as LOST.</t>
  </si>
  <si>
    <t>Populates executive competitive loss matrix; identifies systematic product or pricing weaknesses causing lost revenue to specific market rivals.</t>
  </si>
  <si>
    <t>Supported by competitor and stage fields in OpportunityRow schema in web/src/api/growth.ts.</t>
  </si>
  <si>
    <t>Matched OpportunityRow in product code. This is not a functional test.</t>
  </si>
  <si>
    <t>GOS-0728</t>
  </si>
  <si>
    <t>Customer Success / Growth Lead</t>
  </si>
  <si>
    <t>Advocate Unique Referral Code Generation &amp; Link Sharing</t>
  </si>
  <si>
    <t>Generates unique alphanumeric referral tracking codes and one-click WhatsApp sharing links for existing satisfied customers, brand advocates, or sales affiliates.</t>
  </si>
  <si>
    <t>Tracks inbound viral loops; automatically attributes new lead registrations and customer signups to the originating advocate.</t>
  </si>
  <si>
    <t>Implements issueReferralCode API in web/src/api/growth.ts supporting customer and employee advocate types.</t>
  </si>
  <si>
    <t>Matched issueReferralCode in product code. This is not a functional test.</t>
  </si>
  <si>
    <t>GOS-REF</t>
  </si>
  <si>
    <t>Growth referrals</t>
  </si>
  <si>
    <t>GOS-0729</t>
  </si>
  <si>
    <t>System / Automated Growth Engine</t>
  </si>
  <si>
    <t>Automated Referral Reward Generation on First Invoice Payment</t>
  </si>
  <si>
    <t>Finance Manager</t>
  </si>
  <si>
    <t>Monitors sales payment receipts; upon successful full settlement of a referred customer's first completed sales invoice, automatically instantiates a pending ReferralReward record.</t>
  </si>
  <si>
    <t>Enforces fraud prevention rules (minimum invoice value, non-cancelled order, distinct GSTIN/PAN); notifies the referrer via WhatsApp that their reward is pending audit.</t>
  </si>
  <si>
    <t>Event-driven hook connecting payments.Receipt allocation with ReferralReward table.</t>
  </si>
  <si>
    <t>Matched ReferralReward in product code. This is not a functional test.</t>
  </si>
  <si>
    <t>backend/crm/models.py:ReferralReward</t>
  </si>
  <si>
    <t>backend/tests/test_fmea_mitigations.py; backend/tests/test_growth_os.py; backend/tests/test_llm_path_to_ten.py</t>
  </si>
  <si>
    <t>GOS-0730</t>
  </si>
  <si>
    <t>Finance Manager / Accounts Lead</t>
  </si>
  <si>
    <t>Referral Reward Audit, Approval &amp; Idempotent Payout Workflow</t>
  </si>
  <si>
    <t>Provides a multi-step review workflow to inspect, approve, reject with audit reason, or execute payout for earned referral commissions (decideReferralReward).</t>
  </si>
  <si>
    <t>Guarantees financial integrity via idempotency headers; creates linked expense vouchers or customer ledger credit notes upon payout execution.</t>
  </si>
  <si>
    <t>Implements decideReferralReward with idempotencyHeaders from web/src/api/growth.ts.</t>
  </si>
  <si>
    <t>Matched decideReferralReward in product code. This is not a functional test.</t>
  </si>
  <si>
    <t>GOS-0731</t>
  </si>
  <si>
    <t>Growth Lead / Head of Sales</t>
  </si>
  <si>
    <t>Customer Advocate Referral Performance Leaderboard</t>
  </si>
  <si>
    <t>Maintains an updated public/internal leaderboard ranking top customer referrers and sales partners by count of successful conversions and total approved reward payout value.</t>
  </si>
  <si>
    <t>Gamifies customer advocacy; identifies high-value brand champions suitable for VIP partner discounts and co-marketing case studies.</t>
  </si>
  <si>
    <t>Implements referralLeaderboard API endpoint from web/src/api/growth.ts.</t>
  </si>
  <si>
    <t>Matched referralLeaderboard in product code. This is not a functional test.</t>
  </si>
  <si>
    <t>GOS-0732</t>
  </si>
  <si>
    <t>Service Manager / Operations Lead</t>
  </si>
  <si>
    <t>Annual Maintenance Contract (AMC) Master Registration</t>
  </si>
  <si>
    <t>Creates legally binding annual maintenance contracts, warranty agreements, and preventative service plans specifying covered equipment serial numbers, SLA response times, and billing schedules.</t>
  </si>
  <si>
    <t>Locks in predictable recurring revenue; links covered products with customer profiles and establishes automated service visit obligations.</t>
  </si>
  <si>
    <t>Implements ContractRow and createContract API from web/src/api/growth.ts.</t>
  </si>
  <si>
    <t>Matched createContract in product code. This is not a functional test.</t>
  </si>
  <si>
    <t>GOS-AMC</t>
  </si>
  <si>
    <t>Service contracts</t>
  </si>
  <si>
    <t>contracts</t>
  </si>
  <si>
    <t>GOS-0733</t>
  </si>
  <si>
    <t>Automated Periodic Maintenance Service Visit Generation</t>
  </si>
  <si>
    <t>Field Service Technician</t>
  </si>
  <si>
    <t>Automatically calculates and schedules recurring preventative maintenance visits (e.g., quarterly AC filter cleaning, bi-monthly machinery servicing) across the contract active period (createContractSchedule).</t>
  </si>
  <si>
    <t>Populates field service technician dispatch calendars; eliminates missed contractual maintenance visits and customer SLA penalties.</t>
  </si>
  <si>
    <t>Implements createContractSchedule with idempotency header enforcement from web/src/api/growth.ts.</t>
  </si>
  <si>
    <t>Matched createContractSchedule in product code. This is not a functional test.</t>
  </si>
  <si>
    <t>GOS-0734</t>
  </si>
  <si>
    <t>On-Site Service Event Logging &amp; Field Inspection Timeline</t>
  </si>
  <si>
    <t>Enables mobile field technicians to log completed preventative service visits, record meter readings, attach parts replacement details, and capture digital customer sign-offs.</t>
  </si>
  <si>
    <t>Builds an immutable contract timeline (contractTimeline); links service work directly to related customer support tickets for warranty compliance.</t>
  </si>
  <si>
    <t>Implements logServiceEvent, listServiceEvents, and contractTimeline APIs from web/src/api/growth.ts.</t>
  </si>
  <si>
    <t>Matched listServiceEvents in product code. This is not a functional test.</t>
  </si>
  <si>
    <t>GOS-0735</t>
  </si>
  <si>
    <t>Service Manager / Inside Sales</t>
  </si>
  <si>
    <t>Expiring Contract Automated Multi-Tier Renewal Alert Cadence</t>
  </si>
  <si>
    <t>Dispatches automated renewal reminder notifications at 30, 15, and 7 days prior to contract expiration with pre-generated renewal quotation links via WhatsApp and email.</t>
  </si>
  <si>
    <t>Prevents service lapses, increases recurring contract renewal rates by &gt; 25%, and prevents customer churn to competing third-party service providers.</t>
  </si>
  <si>
    <t>Enforces renewalReminderDays field on ContractRow with automated cron digest triggers.</t>
  </si>
  <si>
    <t>Matched renewalReminderDays in product code. This is not a functional test.</t>
  </si>
  <si>
    <t>GOS-0736</t>
  </si>
  <si>
    <t>Customer Support Specialist</t>
  </si>
  <si>
    <t>Customer Defect Complaint Ingestion with Photographic Evidence</t>
  </si>
  <si>
    <t>Quality Control Inspector</t>
  </si>
  <si>
    <t>Logs formal customer complaints (/complaints/) categorizing issues (damaged transit, wrong SKU, expired batch, billing error) linked to specific sales invoices with photo proof attachments.</t>
  </si>
  <si>
    <t>Establishes formal complaint investigation chain; quarantines disputed balances from aggressive dunning reminders pending quality inspection.</t>
  </si>
  <si>
    <t>Implements ComplaintRow CRUD and uploadComplaintAttachment from web/src/api/growth.ts.</t>
  </si>
  <si>
    <t>Matched uploadComplaintAttachment in product code. This is not a functional test.</t>
  </si>
  <si>
    <t>GOS-CARE</t>
  </si>
  <si>
    <t>Customer care</t>
  </si>
  <si>
    <t>complaints</t>
  </si>
  <si>
    <t>Customer Support / Accounts Lead</t>
  </si>
  <si>
    <t>One-Click Complaint-to-Credit Note / Return / Replacement</t>
  </si>
  <si>
    <t>Store Cashier, Warehouse Lead</t>
  </si>
  <si>
    <t>Directly transitions an inspected, approved customer complaint into downstream operational documents in one click: GST Credit Note, Sales Return, or Zero-Value Replacement Order (complaintDocument).</t>
  </si>
  <si>
    <t>Eliminates duplicate manual data entry across support and billing desks; automatically updates inventory ledgers and customer khata balances simultaneously.</t>
  </si>
  <si>
    <t>Implements complaintDocument API endpoint supporting 'create-return', 'create-credit-note', and 'create-replacement-order'. | Truth 2026-10-05 (WI-048): Partial. Tests work from draft invoices and assert no stock movement or ledger/journal effect; credit note exactly-once is asserted (second POST returns the same id); test_plan_gos_0737.py absent. Flow and idempotent credit note are tested, the stock and ledger checks are missing.</t>
  </si>
  <si>
    <t>Matched complaintDocument in product code. This is not a functional test.</t>
  </si>
  <si>
    <t>backend/tests/test_fmea_mitigations.py::test_fmea2_007_complaint_return_xor_credit_note; backend/tests/test_growth_os.py::test_complaint_credit_note_replacement_isolation_and_flag; backend/tests/test_fmea_mitigations.py::test_tc_fmea_005_complaint_document_waits_for_approval</t>
  </si>
  <si>
    <t>backend/complaints/views.py; backend/complaints/services.py</t>
  </si>
  <si>
    <t>GOS-0738</t>
  </si>
  <si>
    <t>Warehouse Lead / Receiving Clerk</t>
  </si>
  <si>
    <t>Supplier Quality Defect Ingestion &amp; Inward Quarantine Tagging</t>
  </si>
  <si>
    <t>Logs vendor defect complaints (/complaints/supplier/) upon discovering broken, short-supplied, or substandard merchandise during Goods Receipt Note (GRN) verification.</t>
  </si>
  <si>
    <t>Places rejected stock into physical and digital quarantine bins; prevents damaged supplier inventory from being inadvertently picked or sold to customers.</t>
  </si>
  <si>
    <t>Implements SupplierComplaintRow, transitionSupplierComplaint, and uploadSupplierComplaintAttachment from web/src/api/growth.ts.</t>
  </si>
  <si>
    <t>Matched uploadSupplierComplaintAttachment in product code. This is not a functional test.</t>
  </si>
  <si>
    <t>Purchase Manager / Finance Lead</t>
  </si>
  <si>
    <t>One-Click Supplier Complaint-to-Purchase Debit Note Engine</t>
  </si>
  <si>
    <t>Accountant, Vendor</t>
  </si>
  <si>
    <t>Converts approved supplier quality rejections directly into official GST Purchase Debit Notes (createSupplierDebitNote) with itemized tax reversals.</t>
  </si>
  <si>
    <t>Instantly debits the vendor's ledger balance; guarantees recovery of funds or credit for defective inward materials before paying upcoming supplier invoices.</t>
  </si>
  <si>
    <t>Implements createSupplierDebitNote API from web/src/api/growth.ts with idempotency protection. | Truth 2026-10-05 (WI-049): Partial. Complaint to draft debit note flow is tested end to end, but there is no stock-movement or ledger assertion: the note is set COMPLETED by direct save, not through the completion service. backend/tests/test_plan_gos_0739.py does not exist. Existing supplier complaint test covers the flow but not the required stock and ledger checks.</t>
  </si>
  <si>
    <t>Matched createSupplierDebitNote in product code. This is not a functional test.</t>
  </si>
  <si>
    <t>backend/tests/test_supplier_complaints.py::test_supplier_complaint_debit_note_is_a_draft_and_staff_cannot_open_it</t>
  </si>
  <si>
    <t>backend/complaints/supplier_views.py; backend/complaints/services.py</t>
  </si>
  <si>
    <t>GOS-0740</t>
  </si>
  <si>
    <t>Business Owner / Managing Director</t>
  </si>
  <si>
    <t>Customer 360 Living Dossier &amp; Automated Growth Hints Aggregation</t>
  </si>
  <si>
    <t>Sales Manager, Finance Manager</t>
  </si>
  <si>
    <t>Synthesizes a single-pane executive dossier (Customer360Page.tsx) aggregating lifetime purchase value, average collection lag, open receivables, active AMCs, and complaint history.</t>
  </si>
  <si>
    <t>Surfaces automated Growth Hints (customer revenue concentration &gt; 40%, SKU margin compression &lt; 5%, excessive manual discounts, dead-stock capital liberation) to protect margins and drive expansion.</t>
  </si>
  <si>
    <t>Integrates Customer360Page.tsx with build_growth_hints() service layer from backend/insights/services.py.</t>
  </si>
  <si>
    <t>Matched build_growth_hints in product code. This is not a functional test.</t>
  </si>
  <si>
    <t>GOS-360</t>
  </si>
  <si>
    <t>Customer intelligence</t>
  </si>
  <si>
    <t>insights</t>
  </si>
  <si>
    <t>backend/insights/services.py:build_growth_hints</t>
  </si>
  <si>
    <t>F-0741</t>
  </si>
  <si>
    <t>F</t>
  </si>
  <si>
    <t>Register an employee with a unique code and contracted salary</t>
  </si>
  <si>
    <t>Business owner</t>
  </si>
  <si>
    <t>The month can be paid only for people who are on the employee list</t>
  </si>
  <si>
    <t>Employee is stored once per company code and starts ACTIVE</t>
  </si>
  <si>
    <t>uniq_employee_code_per_company on Employee. Payroll is a preview, not a full HRMS.</t>
  </si>
  <si>
    <t>Matched uniq_employee_code_per_company in product code. This is not a functional test.</t>
  </si>
  <si>
    <t>PAY</t>
  </si>
  <si>
    <t>Pay the month</t>
  </si>
  <si>
    <t>payroll</t>
  </si>
  <si>
    <t>Vertical extension</t>
  </si>
  <si>
    <t>F-0742</t>
  </si>
  <si>
    <t>Set PF applicability, basic, DA, and the PF wage ceiling</t>
  </si>
  <si>
    <t>PF is calculated on basic plus DA when those amounts are set</t>
  </si>
  <si>
    <t>When basic and DA are both zero, PF falls back to the contracted gross</t>
  </si>
  <si>
    <t>compute_statutory uses Employee.basic, Employee.da, and pf_wage_ceiling.</t>
  </si>
  <si>
    <t>Matched compute_statutory in product code. This is not a functional test.</t>
  </si>
  <si>
    <t>backend/payroll/services.py:compute_statutory</t>
  </si>
  <si>
    <t>backend/tests/test_sprint_b_payroll_statutory.py; backend/tests/test_wave22_f0_gst_accounting_payroll.py; backend/tests/test_ws24_payroll_math.py</t>
  </si>
  <si>
    <t>F-0743</t>
  </si>
  <si>
    <t>Set ESI, professional-tax state, and the section 192 tax regime</t>
  </si>
  <si>
    <t>ESI, PT, and TDS on the slip follow the employee flags</t>
  </si>
  <si>
    <t>New regime can project TDS from contracted gross. Old regime without a flat rate does not apply Chapter VI-A</t>
  </si>
  <si>
    <t>Employee.tax_regime and compute_statutory. Chapter VI-A declarations are not collected.</t>
  </si>
  <si>
    <t>F-0744</t>
  </si>
  <si>
    <t>Open one draft pay run for a calendar month</t>
  </si>
  <si>
    <t>A month has a single pay run to complete</t>
  </si>
  <si>
    <t>PayRun.period is YYYY-MM and is unique per company</t>
  </si>
  <si>
    <t>uniq_payrun_period_per_company. PayRun status starts DRAFT.</t>
  </si>
  <si>
    <t>Matched uniq_payrun_period_per_company in product code. This is not a functional test.</t>
  </si>
  <si>
    <t>backend/payroll/models.py:PayRun</t>
  </si>
  <si>
    <t>backend/tests/test_fmea_mitigations.py; backend/tests/test_sprint2_purchases_payments.py; backend/tests/test_sprint4_erp_rls.py</t>
  </si>
  <si>
    <t>F-0745</t>
  </si>
  <si>
    <t>Enter paid days so a partial month prorates gross and statutory dues</t>
  </si>
  <si>
    <t>Attendance keeper</t>
  </si>
  <si>
    <t>Loss of pay reduces the slip instead of paying a full month</t>
  </si>
  <si>
    <t>paid_days below the calendar days in the month prorates gross, PF, ESI, and PT</t>
  </si>
  <si>
    <t>PaySlip.paid_days. complete_pay_run starts from contracted salary so proration is applied once.</t>
  </si>
  <si>
    <t>Matched complete_pay_run in product code. This is not a functional test.</t>
  </si>
  <si>
    <t>backend/payroll/models.py:PaySlip; backend/payroll/services.py:complete_pay_run</t>
  </si>
  <si>
    <t>backend/tests/test_sprint4_erp_rls.py; backend/tests/test_ws24_payroll_math.py; backend/tests/personas/test_pj_payroll_and_advances.py</t>
  </si>
  <si>
    <t>F-0746</t>
  </si>
  <si>
    <t>Complete the pay run and keep one payslip per active employee</t>
  </si>
  <si>
    <t>The month is closed for pay and can be reopened only through the pay-run actions</t>
  </si>
  <si>
    <t>complete_pay_run writes PaySlip rows and can pay from cash. A completed run cannot be completed again</t>
  </si>
  <si>
    <t>complete_pay_run. There are no bonus, arrear, advance, or one-off deduction lines on a slip.</t>
  </si>
  <si>
    <t>backend/tests/test_sprint4_erp_rls.py::test_bb_000685_payrun_complete_is_idempotent; backend/tests/test_wave17_erp.py::test_payrun_complete</t>
  </si>
  <si>
    <t>F-0747</t>
  </si>
  <si>
    <t>Read the employer PF split and employer ESI on the payslip</t>
  </si>
  <si>
    <t>The employer can see EPS, EPF, admin, and EDLI besides the employee deduction</t>
  </si>
  <si>
    <t>PaySlip stores pf_employer_eps, pf_employer_epf, pf_admin_charges, edli_charges, and esi_employer</t>
  </si>
  <si>
    <t>pf_employer_eps, pf_employer_epf, pf_admin_charges, and edli_charges are on PaySlip. This is not an EPFO return file.</t>
  </si>
  <si>
    <t>Matched pf_admin_charges in product code. This is not a functional test.</t>
  </si>
  <si>
    <t>backend/payroll/models.py:PaySlip</t>
  </si>
  <si>
    <t>F-0748</t>
  </si>
  <si>
    <t>Workshop Supervisor</t>
  </si>
  <si>
    <t>Open a job card for a customer complaint</t>
  </si>
  <si>
    <t>The workshop has a numbered job before any parts are issued</t>
  </si>
  <si>
    <t>JobCard starts DRAFT and stores the complaint text</t>
  </si>
  <si>
    <t>uniq_jobcard_number_per_company on JobCard.</t>
  </si>
  <si>
    <t>Matched uniq_jobcard_number_per_company in product code. This is not a functional test.</t>
  </si>
  <si>
    <t>JOB</t>
  </si>
  <si>
    <t>Run a workshop job</t>
  </si>
  <si>
    <t>workshop</t>
  </si>
  <si>
    <t>Service</t>
  </si>
  <si>
    <t>F-0749</t>
  </si>
  <si>
    <t>Assign a technician and mark the job in progress</t>
  </si>
  <si>
    <t>Technician</t>
  </si>
  <si>
    <t>Someone owns the job while it is open</t>
  </si>
  <si>
    <t>JobCard.technician points at a company user. Status can move to IN_PROGRESS</t>
  </si>
  <si>
    <t>JobCard.technician is a CompanyUser. Status can be IN_PROGRESS.</t>
  </si>
  <si>
    <t>backend/workshop/models.py:JobCard; backend/accounts/models.py:CompanyUser</t>
  </si>
  <si>
    <t>F-0750</t>
  </si>
  <si>
    <t>Add part lines and labour lines, including a serial when the part is tracked</t>
  </si>
  <si>
    <t>The invoice can be built from the job instead of typed again</t>
  </si>
  <si>
    <t>JobCardLine kind is PART or LABOUR and can reference a serial</t>
  </si>
  <si>
    <t>JobCardLine. A job with no lines cannot be invoiced.</t>
  </si>
  <si>
    <t>Matched JobCardLine in product code. This is not a functional test.</t>
  </si>
  <si>
    <t>backend/workshop/models.py:JobCardLine</t>
  </si>
  <si>
    <t>backend/tests/test_concurrency_races.py; backend/tests/test_llm_path_to_ten.py</t>
  </si>
  <si>
    <t>F-0751</t>
  </si>
  <si>
    <t>Convert the job card into a sales invoice</t>
  </si>
  <si>
    <t>Parts and labour become a GST invoice linked back to the job</t>
  </si>
  <si>
    <t>convert_to_invoice creates a draft SalesInvoice and sets the job to INVOICED</t>
  </si>
  <si>
    <t>convert_to_invoice in backend/workshop/services.py. A second call returns the same invoice.</t>
  </si>
  <si>
    <t>Matched convert_to_invoice in product code. This is not a functional test.</t>
  </si>
  <si>
    <t>backend/sales/models.py:SalesInvoice; backend/workshop/services.py:convert_to_invoice</t>
  </si>
  <si>
    <t>F-0752</t>
  </si>
  <si>
    <t>Cancel a job card that will not be billed</t>
  </si>
  <si>
    <t>Abandoned jobs stay out of the invoice list</t>
  </si>
  <si>
    <t>JobCard status CANCELLED. An invoiced job is not invoiced again</t>
  </si>
  <si>
    <t>JobCard.Status.CANCELLED. convert_to_invoice only accepts DRAFT or IN_PROGRESS.</t>
  </si>
  <si>
    <t>F-0753</t>
  </si>
  <si>
    <t>Activate a bill of materials before a work order can be released</t>
  </si>
  <si>
    <t>Inventory manager</t>
  </si>
  <si>
    <t>Release is refused while the BOM is still a draft</t>
  </si>
  <si>
    <t>Bom.status must be ACTIVE. More than one ACTIVE BOM per finished good is allowed</t>
  </si>
  <si>
    <t>release_work_order checks Bom status. The work order stores the BOM it was created from.</t>
  </si>
  <si>
    <t>Matched release_work_order in product code. This is not a functional test.</t>
  </si>
  <si>
    <t>backend/manufacturing/services.py:release_work_order</t>
  </si>
  <si>
    <t>backend/tests/test_partial_closures.py; backend/tests/test_pr6_period_gl.py; backend/tests/test_sprint_a_accounting_p1.py</t>
  </si>
  <si>
    <t>Create a draft work order and snapshot the component quantities</t>
  </si>
  <si>
    <t>A later BOM edit does not change a work order that already exists</t>
  </si>
  <si>
    <t>WorkOrder starts DRAFT. Component lines are copied when the order is created</t>
  </si>
  <si>
    <t>WorkOrder and WorkOrderLine. Snapshot is taken at creation, not at release.</t>
  </si>
  <si>
    <t>Matched WorkOrderLine in product code. This is not a functional test.</t>
  </si>
  <si>
    <t>backend/manufacturing/models.py:WorkOrder; backend/manufacturing/models.py:WorkOrderLine</t>
  </si>
  <si>
    <t>Complete the work order and receive the finished goods</t>
  </si>
  <si>
    <t>Finished quantity, batch, and serials land in stock when the order is completed</t>
  </si>
  <si>
    <t>complete_work_order sets status COMPLETED. Batch and serial fields are stored on the work order when the product tracks them</t>
  </si>
  <si>
    <t>complete_work_order. BOM explosion is single-level. A component that is itself a sub-assembly is not exploded.</t>
  </si>
  <si>
    <t>Matched complete_work_order in product code. This is not a functional test.</t>
  </si>
  <si>
    <t>backend/manufacturing/services.py:complete_work_order</t>
  </si>
  <si>
    <t>backend/tests/test_partial_closures.py; backend/tests/test_wave22_f2_fifo_serial_mfg.py</t>
  </si>
  <si>
    <t>F-0756</t>
  </si>
  <si>
    <t>Cancel a work order that will not be built</t>
  </si>
  <si>
    <t>A draft or released order can be stopped without leaving it open</t>
  </si>
  <si>
    <t>Work order status becomes CANCELLED</t>
  </si>
  <si>
    <t>WorkOrder.Status.CANCELLED in backend/manufacturing/services.py.</t>
  </si>
  <si>
    <t>backend/manufacturing/models.py:WorkOrder</t>
  </si>
  <si>
    <t>F-0757</t>
  </si>
  <si>
    <t>Open a project for a customer</t>
  </si>
  <si>
    <t>Project owner</t>
  </si>
  <si>
    <t>Milestone bills have a project to hang on</t>
  </si>
  <si>
    <t>Project starts OPEN and has a number unique per company</t>
  </si>
  <si>
    <t>uniq_project_number_per_company on Project.</t>
  </si>
  <si>
    <t>Matched uniq_project_number_per_company in product code. This is not a functional test.</t>
  </si>
  <si>
    <t>PRJ</t>
  </si>
  <si>
    <t>Bill a project by milestone</t>
  </si>
  <si>
    <t>projects</t>
  </si>
  <si>
    <t>F-0758</t>
  </si>
  <si>
    <t>Add a milestone with a sequence, amount, and service product</t>
  </si>
  <si>
    <t>Each billable stage has an amount before any invoice is raised</t>
  </si>
  <si>
    <t>ProjectMilestone starts PLANNED</t>
  </si>
  <si>
    <t>ProjectMilestone.service_product is required.</t>
  </si>
  <si>
    <t>Matched ProjectMilestone in product code. This is not a functional test.</t>
  </si>
  <si>
    <t>backend/projects/models.py:ProjectMilestone</t>
  </si>
  <si>
    <t>F-0759</t>
  </si>
  <si>
    <t>Mark a milestone ready to invoice</t>
  </si>
  <si>
    <t>Invoicing is refused until the milestone is ready</t>
  </si>
  <si>
    <t>Status moves from PLANNED to READY</t>
  </si>
  <si>
    <t>invoice_milestone requires ProjectMilestone.Status.READY.</t>
  </si>
  <si>
    <t>Matched invoice_milestone in product code. This is not a functional test.</t>
  </si>
  <si>
    <t>backend/projects/models.py:ProjectMilestone; backend/projects/services.py:invoice_milestone</t>
  </si>
  <si>
    <t>F-0760</t>
  </si>
  <si>
    <t>Invoice a ready milestone</t>
  </si>
  <si>
    <t>The stage amount becomes a sales invoice linked to the milestone</t>
  </si>
  <si>
    <t>invoice_milestone creates the invoice and sets the milestone to INVOICED. A closed project cannot be invoiced</t>
  </si>
  <si>
    <t>invoice_milestone in backend/projects/services.py.</t>
  </si>
  <si>
    <t>backend/projects/services.py:invoice_milestone</t>
  </si>
  <si>
    <t>F-0761</t>
  </si>
  <si>
    <t>Close a project when no further milestones will be billed</t>
  </si>
  <si>
    <t>Closed work stops accepting new milestone invoices</t>
  </si>
  <si>
    <t>Project status CLOSED</t>
  </si>
  <si>
    <t>Project.Status.CLOSED blocks invoice_milestone.</t>
  </si>
  <si>
    <t>F-0762</t>
  </si>
  <si>
    <t>Register an insurer product with tenure, sum insured, and premium</t>
  </si>
  <si>
    <t>Insurance advisor</t>
  </si>
  <si>
    <t>Insurer</t>
  </si>
  <si>
    <t>Quotes use a product master instead of a stock SKU</t>
  </si>
  <si>
    <t>PolicyProduct line is motor, health, life, or other</t>
  </si>
  <si>
    <t>PolicyProduct in backend/insurance/models.py. It is not an inventory item.</t>
  </si>
  <si>
    <t>Matched PolicyProduct in product code. This is not a functional test.</t>
  </si>
  <si>
    <t>INS</t>
  </si>
  <si>
    <t>Place and service a policy</t>
  </si>
  <si>
    <t>insurance</t>
  </si>
  <si>
    <t>backend/insurance/models.py:PolicyProduct</t>
  </si>
  <si>
    <t>backend/tests/test_concurrency_races.py; backend/tests/test_roadmap_items.py; backend/tests/tenancy/test_endpoint_isolation.py</t>
  </si>
  <si>
    <t>F-0763</t>
  </si>
  <si>
    <t>Offer a set of policy options on a lead and mark the chosen one</t>
  </si>
  <si>
    <t>The customer choice is stored before a policy number exists</t>
  </si>
  <si>
    <t>PolicyOptionSet hangs on a lead. PolicyOption.chosen marks the selection</t>
  </si>
  <si>
    <t>PolicyOptionSet and PolicyOption.</t>
  </si>
  <si>
    <t>Matched PolicyOptionSet in product code. This is not a functional test.</t>
  </si>
  <si>
    <t>backend/insurance/models.py:PolicyOptionSet; backend/insurance/models.py:PolicyOption</t>
  </si>
  <si>
    <t>backend/tests/test_concurrency_races.py</t>
  </si>
  <si>
    <t>F-0764</t>
  </si>
  <si>
    <t>Issue a policy with a start date, end date, nominee, and premium</t>
  </si>
  <si>
    <t>The in-force policy is the record the renewal and claim flows use</t>
  </si>
  <si>
    <t>Policy status starts IN_FORCE and the number is unique per company</t>
  </si>
  <si>
    <t>uniq_policy_number_per_company on Policy.</t>
  </si>
  <si>
    <t>Matched uniq_policy_number_per_company in product code. This is not a functional test.</t>
  </si>
  <si>
    <t>F-0765</t>
  </si>
  <si>
    <t>Endorse or cancel a policy</t>
  </si>
  <si>
    <t>A change after issue is a separate endorsement, not a silent edit</t>
  </si>
  <si>
    <t>PolicyEndorsement kind is ENDORSE or CANCEL</t>
  </si>
  <si>
    <t>PolicyEndorsement.</t>
  </si>
  <si>
    <t>Matched PolicyEndorsement in product code. This is not a functional test.</t>
  </si>
  <si>
    <t>backend/insurance/models.py:PolicyEndorsement</t>
  </si>
  <si>
    <t>F-0766</t>
  </si>
  <si>
    <t>Book the insurer commission receivable separately from the customer premium</t>
  </si>
  <si>
    <t>Commission is not mixed into the customer's premium receipt</t>
  </si>
  <si>
    <t>CommissionReceivable starts OPEN against the policy</t>
  </si>
  <si>
    <t>CommissionReceivable. Status can move to RECEIVED.</t>
  </si>
  <si>
    <t>Matched CommissionReceivable in product code. This is not a functional test.</t>
  </si>
  <si>
    <t>backend/insurance/models.py:CommissionReceivable</t>
  </si>
  <si>
    <t>backend/tests/test_roadmap_items.py; backend/tests/personas/test_pj_insurance_desk.py</t>
  </si>
  <si>
    <t>F-0767</t>
  </si>
  <si>
    <t>Mark insurer commission received</t>
  </si>
  <si>
    <t>Open commission can be cleared when the insurer pays</t>
  </si>
  <si>
    <t>CommissionReceivable status RECEIVED</t>
  </si>
  <si>
    <t>CommissionReceivable.Status.RECEIVED.</t>
  </si>
  <si>
    <t>F-0768</t>
  </si>
  <si>
    <t>Lodge a policy claim against a support ticket</t>
  </si>
  <si>
    <t>The claim is tracked with the ticket. It does not post the ledger</t>
  </si>
  <si>
    <t>PolicyClaim links one policy to one ticket</t>
  </si>
  <si>
    <t>PolicyClaim. The model does not post an accounting entry.</t>
  </si>
  <si>
    <t>Matched PolicyClaim in product code. This is not a functional test.</t>
  </si>
  <si>
    <t>backend/insurance/models.py:PolicyClaim</t>
  </si>
  <si>
    <t>F-0769</t>
  </si>
  <si>
    <t>Attach Aadhaar, PAN, or another KYC file to the policy</t>
  </si>
  <si>
    <t>KYC sits on the policy instead of in a side folder</t>
  </si>
  <si>
    <t>PolicyKyc stores the file kind and a file asset</t>
  </si>
  <si>
    <t>PolicyKyc.</t>
  </si>
  <si>
    <t>Matched PolicyKyc in product code. This is not a functional test.</t>
  </si>
  <si>
    <t>8</t>
  </si>
  <si>
    <t>backend/insurance/models.py:PolicyKyc</t>
  </si>
  <si>
    <t>F-0770</t>
  </si>
  <si>
    <t>Open one renewal lead for a policy</t>
  </si>
  <si>
    <t>Renewal follow-up is not created twice for the same policy</t>
  </si>
  <si>
    <t>PolicyRenewalLead is one-to-one with the policy and points at a lead</t>
  </si>
  <si>
    <t>PolicyRenewalLead. The policy link is the dedupe key.</t>
  </si>
  <si>
    <t>Matched PolicyRenewalLead in product code. This is not a functional test.</t>
  </si>
  <si>
    <t>backend/insurance/models.py:PolicyRenewalLead</t>
  </si>
  <si>
    <t>Flows</t>
  </si>
  <si>
    <t>Task counts are COUNTIF formulas on Task Register. The first flows are sequenced steps. The rest group older tasks by category.</t>
  </si>
  <si>
    <t>Limit</t>
  </si>
  <si>
    <t>Flow type</t>
  </si>
  <si>
    <t>Employee, PF/ESI/PT/TDS flags, one pay run per month, paid days, payslip, employer PF split.</t>
  </si>
  <si>
    <t>Preview payroll. No bonus, arrear, advance recovery, or one-off deduction lines. Not an EPFO return.</t>
  </si>
  <si>
    <t>Sequenced</t>
  </si>
  <si>
    <t>Complaint, technician, part and labour lines, invoice, cancel.</t>
  </si>
  <si>
    <t>Invoicing creates a draft sales invoice from the job lines. It does not schedule bays or capture labour time.</t>
  </si>
  <si>
    <t>BOM, activate, work order snapshot, issue components, complete finished goods, unit cost, cancel.</t>
  </si>
  <si>
    <t>Single-level BOM. More than one ACTIVE BOM per finished good is allowed. The work order keeps the BOM it was created from.</t>
  </si>
  <si>
    <t>Open project, milestones, mark ready, invoice, close.</t>
  </si>
  <si>
    <t>A milestone needs a service product. Invoicing a closed project is refused.</t>
  </si>
  <si>
    <t>Insurer product, options on a lead, issue, endorse or cancel, commission, claim, KYC, one renewal lead.</t>
  </si>
  <si>
    <t>A claim is linked to a support ticket and does not post the ledger. The product is not a stock SKU.</t>
  </si>
  <si>
    <t>Tasks already filed under this category.</t>
  </si>
  <si>
    <t>Grouped from the category. Flow step is blank.</t>
  </si>
  <si>
    <t>Category group</t>
  </si>
  <si>
    <t>Persona coverage and jobs to be done</t>
  </si>
  <si>
    <t>Register tasks counts Persona / Scope with COUNTIF. Previously printed counts came from the 560-task register and several names did not match.</t>
  </si>
  <si>
    <t>Jobs-to-be-done name</t>
  </si>
  <si>
    <t>Register persona</t>
  </si>
  <si>
    <t>Register tasks</t>
  </si>
  <si>
    <t>Previously printed</t>
  </si>
  <si>
    <t>Count check</t>
  </si>
  <si>
    <t>Functional job</t>
  </si>
  <si>
    <t>Emotional job</t>
  </si>
  <si>
    <t>Social job</t>
  </si>
  <si>
    <t>Managing Proprietor ('Sethji')</t>
  </si>
  <si>
    <t>Track daily sales, cash, margin, and overdue debtors.</t>
  </si>
  <si>
    <t>In control of the day's cash.</t>
  </si>
  <si>
    <t>A proprietor who can see the books.</t>
  </si>
  <si>
    <t>Fast billing, FMCG stock, supplier intake, and customer khata.</t>
  </si>
  <si>
    <t>No queue and a clear supplier book.</t>
  </si>
  <si>
    <t>A grocer with tidy accounts.</t>
  </si>
  <si>
    <t>Walk-in cash and UPI billing, price checks, and till close.</t>
  </si>
  <si>
    <t>Unhurried at peak hour.</t>
  </si>
  <si>
    <t>A merchant who takes digital payment.</t>
  </si>
  <si>
    <t>Medical Shop Pharmacist</t>
  </si>
  <si>
    <t>Batch and expiry sales, FEFO, and drug-licence records.</t>
  </si>
  <si>
    <t>Safe from expiry and licence gaps.</t>
  </si>
  <si>
    <t>A dispenser with a defensible register.</t>
  </si>
  <si>
    <t>Bulk billing, slabs, credit limits, and receivables.</t>
  </si>
  <si>
    <t>Working capital moving without silent bad debt.</t>
  </si>
  <si>
    <t>A distributor who can see exposure.</t>
  </si>
  <si>
    <t>Receive, allocate, pick, and count one godown.</t>
  </si>
  <si>
    <t>Shelves that match the book.</t>
  </si>
  <si>
    <t>A stock controller who can explain a variance.</t>
  </si>
  <si>
    <t>Transfers, transit loss, and godown margin.</t>
  </si>
  <si>
    <t>One view across godowns.</t>
  </si>
  <si>
    <t>An operator who can move stock on purpose.</t>
  </si>
  <si>
    <t>Outlet comparison, stock balancing, and a shared catalog.</t>
  </si>
  <si>
    <t>Able to run more than one counter.</t>
  </si>
  <si>
    <t>An owner who can compare shops.</t>
  </si>
  <si>
    <t>In-house Accountant ('Munshi')</t>
  </si>
  <si>
    <t>Books, returns, vouchers, Tally export, and bank reconciliation.</t>
  </si>
  <si>
    <t>A period close that ties.</t>
  </si>
  <si>
    <t>An accountant the owner can trust with the return.</t>
  </si>
  <si>
    <t>Field Sales Representative</t>
  </si>
  <si>
    <t>Book orders, check stock and credit, and collect dues.</t>
  </si>
  <si>
    <t>Able to answer a retailer without calling the office.</t>
  </si>
  <si>
    <t>A salesperson with current price and stock.</t>
  </si>
  <si>
    <t>No single register persona uses this name</t>
  </si>
  <si>
    <t>Campaigns, funnel conversion, and acquisition cost.</t>
  </si>
  <si>
    <t>Able to see which channel produced cash.</t>
  </si>
  <si>
    <t>A lead who can explain spend.</t>
  </si>
  <si>
    <t>Customer Success &amp; Service Lead</t>
  </si>
  <si>
    <t>Complaints, contracts, and tickets.</t>
  </si>
  <si>
    <t>A dispute that has an owner.</t>
  </si>
  <si>
    <t>A service lead who can close the loop.</t>
  </si>
  <si>
    <t>Purchase orders, vendor rates, and three-way match.</t>
  </si>
  <si>
    <t>Buying without a surprise stockout.</t>
  </si>
  <si>
    <t>A buyer who can show the rate decision.</t>
  </si>
  <si>
    <t>Warehouse / Inventory Custodian</t>
  </si>
  <si>
    <t>Intake, batch and serial, damage, and cycle counts.</t>
  </si>
  <si>
    <t>A location that matches the balance.</t>
  </si>
  <si>
    <t>A custodian who can account for a carton.</t>
  </si>
  <si>
    <t>Delivery Driver / Fleet Operator</t>
  </si>
  <si>
    <t>Manifest, drop, proof of delivery, and cash on delivery.</t>
  </si>
  <si>
    <t>Cash collected matches the drops.</t>
  </si>
  <si>
    <t>A driver with a manifest, not a loose slip.</t>
  </si>
  <si>
    <t>Statements, blocked credit, TDS, and annual returns.</t>
  </si>
  <si>
    <t>A file that can be explained.</t>
  </si>
  <si>
    <t>An auditor who is not reconstructing the books.</t>
  </si>
  <si>
    <t>Bills of material, issue, and finished cost.</t>
  </si>
  <si>
    <t>Material issued matches the order.</t>
  </si>
  <si>
    <t>A supervisor who can explain yield.</t>
  </si>
  <si>
    <t>Retail &amp; B2B Customer</t>
  </si>
  <si>
    <t>Invoice, history, dues, and payment.</t>
  </si>
  <si>
    <t>A bill that can be checked.</t>
  </si>
  <si>
    <t>A customer who can see the same number as the shop.</t>
  </si>
  <si>
    <t>Vendor / Principal Supplier</t>
  </si>
  <si>
    <t>Purchase orders, challan, and payment advice.</t>
  </si>
  <si>
    <t>A balance both sides can tie.</t>
  </si>
  <si>
    <t>A supplier with a document, not a verbal order.</t>
  </si>
  <si>
    <t>Users, roles, branches, GSTIN, and recovery.</t>
  </si>
  <si>
    <t>A tenant that is configured on purpose.</t>
  </si>
  <si>
    <t>An admin who can see who changed what.</t>
  </si>
  <si>
    <t>Managing Proprietor is also its own persona, separate from Business Owner. System Administrator on the old sheet was the count for Admin / System Owner. The register also has a System Administrator scope. See Scope inventory.</t>
  </si>
  <si>
    <t>Role rollup</t>
  </si>
  <si>
    <t>Tasks by canonical role. Persona canonical is the owner of the task; Primary actor canonical is who performs it. Cross-persona tasks are assigned to the role of their primary actor. Counts are formulas on Task Register.</t>
  </si>
  <si>
    <t>Tasks (persona)</t>
  </si>
  <si>
    <t>Proposed P1</t>
  </si>
  <si>
    <t>Gaps and partial</t>
  </si>
  <si>
    <t>Tasks (actor)</t>
  </si>
  <si>
    <t>Every persona and scope on the register</t>
  </si>
  <si>
    <t>Task counts are COUNTIF formulas. Scope class is assigned by this review.</t>
  </si>
  <si>
    <t>Personas and scopes</t>
  </si>
  <si>
    <t>Competitive position</t>
  </si>
  <si>
    <t>Capability</t>
  </si>
  <si>
    <t>Market baseline</t>
  </si>
  <si>
    <t>Competitor pain</t>
  </si>
  <si>
    <t>BizBoard claim</t>
  </si>
  <si>
    <t>Target hypothesis (not a measured result)</t>
  </si>
  <si>
    <t>Vendor bill inwarding</t>
  </si>
  <si>
    <t>Manual line entry in Tally or Vyapar.</t>
  </si>
  <si>
    <t>Slow entry and HSN or tax typos.</t>
  </si>
  <si>
    <t>Photo extraction that fills bill lines.</t>
  </si>
  <si>
    <t>Saves about two hours a day and removes entry error.</t>
  </si>
  <si>
    <t>Hypothesis until a pilot confirms it. Not a measured result. Extraction quality was not measured in this review.</t>
  </si>
  <si>
    <t>Counter checkout</t>
  </si>
  <si>
    <t>Desktop menus or a slow web screen.</t>
  </si>
  <si>
    <t>Queues at peak hour.</t>
  </si>
  <si>
    <t>Keyboard POS with an IndexedDB catalog cache.</t>
  </si>
  <si>
    <t>Checkout falls from 45 seconds to 12 seconds and the counter handles 100 checkouts a minute.</t>
  </si>
  <si>
    <t>Hypothesis until a pilot confirms it. Not a measured result. IndexedDB draft cache exists. The 12-second and 100-per-minute figures were not measured. F6 is UPI, not a universal hold key.</t>
  </si>
  <si>
    <t>GSTR-2B matching</t>
  </si>
  <si>
    <t>Spreadsheet lookup or exact invoice-number match.</t>
  </si>
  <si>
    <t>Fails on punctuation and date differences.</t>
  </si>
  <si>
    <t>Fuzzy party and invoice matching.</t>
  </si>
  <si>
    <t>Reclaims all eligible credit and saves Rs 50,000 a year.</t>
  </si>
  <si>
    <t>Hypothesis until a pilot confirms it. Not a measured result. Do not treat the rupee figure as a customer result.</t>
  </si>
  <si>
    <t>Debtor follow-up</t>
  </si>
  <si>
    <t>Phone calls or a generic reminder.</t>
  </si>
  <si>
    <t>Reminders get ignored.</t>
  </si>
  <si>
    <t>A cadence of reminders with a UPI link.</t>
  </si>
  <si>
    <t>Debtor days fall by 35 percent.</t>
  </si>
  <si>
    <t>Hypothesis until a pilot confirms it. Not a measured result.</t>
  </si>
  <si>
    <t>Growth funnels</t>
  </si>
  <si>
    <t>A separate CRM or a sheet.</t>
  </si>
  <si>
    <t>Leads are not tied to cash.</t>
  </si>
  <si>
    <t>Web lead form, dedupe, assignment, and campaign cost.</t>
  </si>
  <si>
    <t>Lead conversion rises by 45 percent.</t>
  </si>
  <si>
    <t>Hypothesis until a pilot confirms it. Not a measured result. Campaign, funnel, and lead-form APIs exist in the product. The conversion figure was not measured.</t>
  </si>
  <si>
    <t>Referral loop</t>
  </si>
  <si>
    <t>Verbal referrals.</t>
  </si>
  <si>
    <t>No record of who referred whom.</t>
  </si>
  <si>
    <t>Referral codes and a reward after the first paid invoice.</t>
  </si>
  <si>
    <t>Acquisition at zero cost.</t>
  </si>
  <si>
    <t>Hypothesis until a pilot confirms it. Not a measured result. Referral code and reward APIs exist. Zero-cost acquisition is a slogan, not a result.</t>
  </si>
  <si>
    <t>Complaint to note</t>
  </si>
  <si>
    <t>Phone calls and handwritten adjustments.</t>
  </si>
  <si>
    <t>Duplicate credit notes.</t>
  </si>
  <si>
    <t>Complaint actions that create a credit note, return, or supplier debit note.</t>
  </si>
  <si>
    <t>Disputes close five times faster.</t>
  </si>
  <si>
    <t>Hypothesis until a pilot confirms it. Not a measured result. Complaint-to-document APIs exist. The speed multiple was not measured.</t>
  </si>
  <si>
    <t>Replenishment</t>
  </si>
  <si>
    <t>A static reorder point.</t>
  </si>
  <si>
    <t>Stockouts and dead stock.</t>
  </si>
  <si>
    <t>A burn-rate forecast that drafts a purchase order.</t>
  </si>
  <si>
    <t>No stockouts and 40 percent less dead stock.</t>
  </si>
  <si>
    <t>Cash forecast</t>
  </si>
  <si>
    <t>A historical profit and loss.</t>
  </si>
  <si>
    <t>The owner cannot see upcoming cash.</t>
  </si>
  <si>
    <t>A 30/60/90 cash simulator.</t>
  </si>
  <si>
    <t>Prevents overdrafts and dishonoured cheques.</t>
  </si>
  <si>
    <t>Delivery proof</t>
  </si>
  <si>
    <t>Paper challans.</t>
  </si>
  <si>
    <t>Cash and cartons go missing.</t>
  </si>
  <si>
    <t>A driver PWA with proof of delivery and route margin.</t>
  </si>
  <si>
    <t>No delivery shrinkage.</t>
  </si>
  <si>
    <t>Customer self-service</t>
  </si>
  <si>
    <t>Print, scan, and email.</t>
  </si>
  <si>
    <t>Customers call for a statement.</t>
  </si>
  <si>
    <t>A WhatsApp invoice link with a ledger and UPI pay.</t>
  </si>
  <si>
    <t>Removes 80 percent of support calls.</t>
  </si>
  <si>
    <t>Rebuilding the chart of accounts by hand.</t>
  </si>
  <si>
    <t>Fear of losing history.</t>
  </si>
  <si>
    <t>A backup import of masters and three years of history in 15 minutes.</t>
  </si>
  <si>
    <t>Migration without downtime.</t>
  </si>
  <si>
    <t>Hypothesis until a pilot confirms it. Not a measured result. A 15-minute full-history import was not verified.</t>
  </si>
  <si>
    <t>UX and recovery</t>
  </si>
  <si>
    <t>Heuristic</t>
  </si>
  <si>
    <t>Claimed pattern</t>
  </si>
  <si>
    <t>Failure addressed</t>
  </si>
  <si>
    <t>Claimed recovery</t>
  </si>
  <si>
    <t>Claimed effect</t>
  </si>
  <si>
    <t>Visibility of system status</t>
  </si>
  <si>
    <t>WebSocket progress on CSV import.</t>
  </si>
  <si>
    <t>A large file looks frozen.</t>
  </si>
  <si>
    <t>A row counter and an ETA.</t>
  </si>
  <si>
    <t>Less refreshing.</t>
  </si>
  <si>
    <t>Mechanism not found. No WebSocket import-progress channel was found.</t>
  </si>
  <si>
    <t>Match the real world</t>
  </si>
  <si>
    <t>Khata, udhar, godown, and challan in the interface.</t>
  </si>
  <si>
    <t>Western ledger words.</t>
  </si>
  <si>
    <t>Hindi, Gujarati, and Tamil UI.</t>
  </si>
  <si>
    <t>No learning curve.</t>
  </si>
  <si>
    <t>Partial. English and Hindi catalogs exist. Locales gu and ta are stored and then forced back to English.</t>
  </si>
  <si>
    <t>User control</t>
  </si>
  <si>
    <t>A 10-second undo on delete.</t>
  </si>
  <si>
    <t>A clerk deletes a large draft.</t>
  </si>
  <si>
    <t>Undo restores the cart.</t>
  </si>
  <si>
    <t>No retyping.</t>
  </si>
  <si>
    <t>Not re-verified in this review.</t>
  </si>
  <si>
    <t>Consistency</t>
  </si>
  <si>
    <t>The same F-keys and Ctrl+K on every screen.</t>
  </si>
  <si>
    <t>Keys change between screens.</t>
  </si>
  <si>
    <t>One map on every screen.</t>
  </si>
  <si>
    <t>Touch-typing billing.</t>
  </si>
  <si>
    <t>Partial. POS has its own F-key map. There is no Ctrl+K palette, and the map is not shared by every screen.</t>
  </si>
  <si>
    <t>Error prevention</t>
  </si>
  <si>
    <t>Row locks and type-to-confirm.</t>
  </si>
  <si>
    <t>Two clerks sell the last unit.</t>
  </si>
  <si>
    <t>The stock row locks and delete requires typing DELETE.</t>
  </si>
  <si>
    <t>No negative stock.</t>
  </si>
  <si>
    <t>Type-to-confirm was not found. Stock locking was not re-tested here.</t>
  </si>
  <si>
    <t>Recognition</t>
  </si>
  <si>
    <t>A credit pill and a rack locator.</t>
  </si>
  <si>
    <t>The clerk forgets a balance or a bin.</t>
  </si>
  <si>
    <t>A badge and a shelf tag such as Aisle B.</t>
  </si>
  <si>
    <t>Less recall.</t>
  </si>
  <si>
    <t>location_tag was not found. The credit badge was not re-tested.</t>
  </si>
  <si>
    <t>Flexibility</t>
  </si>
  <si>
    <t>Hold and recall on F6, plus grid edit.</t>
  </si>
  <si>
    <t>A customer steps away.</t>
  </si>
  <si>
    <t>Hold on tab 2 and recall with one key.</t>
  </si>
  <si>
    <t>The queue keeps moving.</t>
  </si>
  <si>
    <t>Incorrect hotkey. Hold is F8. F6 tenders UPI. F9 recalls when several sessions exist.</t>
  </si>
  <si>
    <t>Minimal screen</t>
  </si>
  <si>
    <t>Drawers and Shift+P privacy mode.</t>
  </si>
  <si>
    <t>Too many fields, and bystanders can see figures.</t>
  </si>
  <si>
    <t>Privacy mode masks rupees.</t>
  </si>
  <si>
    <t>A quieter screen.</t>
  </si>
  <si>
    <t>Shift+P privacy mode was not found.</t>
  </si>
  <si>
    <t>Recover from errors</t>
  </si>
  <si>
    <t>A GST banner with a one-click tax split.</t>
  </si>
  <si>
    <t>A raw tax-mismatch error.</t>
  </si>
  <si>
    <t>The banner offers CGST/SGST to IGST.</t>
  </si>
  <si>
    <t>The clerk is not blocked.</t>
  </si>
  <si>
    <t>Help</t>
  </si>
  <si>
    <t>Tooltips, a first-run list, and an assistant.</t>
  </si>
  <si>
    <t>A new merchant cannot file GSTR-1.</t>
  </si>
  <si>
    <t>A walkthrough and a 95 percent first-run completion rate.</t>
  </si>
  <si>
    <t>Self-serve setup.</t>
  </si>
  <si>
    <t>The 95 percent figure is a hypothesis until a pilot confirms it.</t>
  </si>
  <si>
    <t>Security and SaaS</t>
  </si>
  <si>
    <t>Dimension</t>
  </si>
  <si>
    <t>Claimed mechanism</t>
  </si>
  <si>
    <t>Objective</t>
  </si>
  <si>
    <t>Commercial claim</t>
  </si>
  <si>
    <t>Claimed verification</t>
  </si>
  <si>
    <t>Multi-tenant isolation</t>
  </si>
  <si>
    <t>PostgreSQL row-level security with the app.company_id setting.</t>
  </si>
  <si>
    <t>No cross-tenant reads.</t>
  </si>
  <si>
    <t>Shared-database scale.</t>
  </si>
  <si>
    <t>A cross-tenant SQL injection suite in CI.</t>
  </si>
  <si>
    <t>Confirmed in part. RLS policies and the app.company_id setting exist. This review did not confirm a SQL injection suite.</t>
  </si>
  <si>
    <t>Least privilege</t>
  </si>
  <si>
    <t>Role permissions and field-level cost masking.</t>
  </si>
  <si>
    <t>Clerks cannot see margin.</t>
  </si>
  <si>
    <t>Safe rollout to field staff.</t>
  </si>
  <si>
    <t>Permission tests.</t>
  </si>
  <si>
    <t>Role permissions exist. Field-level cost masking was not re-tested.</t>
  </si>
  <si>
    <t>Export control</t>
  </si>
  <si>
    <t>An export permission and IP allow list.</t>
  </si>
  <si>
    <t>A departing employee cannot export the customer list.</t>
  </si>
  <si>
    <t>Trade secrets stay in the tenant.</t>
  </si>
  <si>
    <t>An audit row for every export.</t>
  </si>
  <si>
    <t>Audit immutability</t>
  </si>
  <si>
    <t>Append-only ledgers and a SHA-256 hash chain.</t>
  </si>
  <si>
    <t>Records stand up under MCA Rule 11(g) and Section 65B.</t>
  </si>
  <si>
    <t>A defensible file.</t>
  </si>
  <si>
    <t>A checksum job with no gaps.</t>
  </si>
  <si>
    <t>Partial. SHA-256 is used elsewhere. No hash chain and no django-simple-history were found. Do not cite Section 65B from this note alone.</t>
  </si>
  <si>
    <t>Session and sign-in</t>
  </si>
  <si>
    <t>TOTP, Redis JWT revocation, and idle timeout.</t>
  </si>
  <si>
    <t>Stolen passwords and unattended counters.</t>
  </si>
  <si>
    <t>A control a bank integration can rely on.</t>
  </si>
  <si>
    <t>An OWASP scan in GitHub Actions.</t>
  </si>
  <si>
    <t>TOTP was not found. The OWASP scan claim was not re-verified.</t>
  </si>
  <si>
    <t>Subscriptions</t>
  </si>
  <si>
    <t>Razorpay subscriptions, GST invoices, and dunning.</t>
  </si>
  <si>
    <t>Fees collect themselves.</t>
  </si>
  <si>
    <t>No manual billing.</t>
  </si>
  <si>
    <t>Webhook tests for success, failure, and upgrade.</t>
  </si>
  <si>
    <t>Razorpay code exists. The full subscription, dunning, and GST-invoice loop was not confirmed.</t>
  </si>
  <si>
    <t>Plan quotas</t>
  </si>
  <si>
    <t>A validator on invoices, SKUs, and seats that raises PlanQuotaExceeded.</t>
  </si>
  <si>
    <t>Free, Pro, and Enterprise stay distinct.</t>
  </si>
  <si>
    <t>Upsell as usage grows.</t>
  </si>
  <si>
    <t>A pre-save validator.</t>
  </si>
  <si>
    <t>Partial. plan_quota_exceeded exists as a help code. There is no PlanQuotaExceeded exception.</t>
  </si>
  <si>
    <t>Tenant export</t>
  </si>
  <si>
    <t>One click exports the tenant to a ZIP.</t>
  </si>
  <si>
    <t>No lock-in.</t>
  </si>
  <si>
    <t>Easier purchase decision.</t>
  </si>
  <si>
    <t>An automated export test.</t>
  </si>
  <si>
    <t>Backup</t>
  </si>
  <si>
    <t>WAL archiving and a daily encrypted pg_dump to S3.</t>
  </si>
  <si>
    <t>Point-in-time recovery.</t>
  </si>
  <si>
    <t>A 99.9 percent uptime SLA.</t>
  </si>
  <si>
    <t>A daily restore test.</t>
  </si>
  <si>
    <t>The 99.9 percent SLA is an operating target, not a control found in the product. A shipped PITR job was not confirmed.</t>
  </si>
  <si>
    <t>Priority decisions in this review</t>
  </si>
  <si>
    <t>60 tasks changed from the previous workbook. 22 tasks stay at a priority that differs from the authored value because the task action names a statutory control or a polish item.</t>
  </si>
  <si>
    <t>Priority now</t>
  </si>
  <si>
    <t>Previous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</si>
</sst>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6" formatCode="dd\-mmm\-yyyy"/>
    <numFmt numFmtId="167" formatCode="0.0"/>
  </numFmts>
  <fonts count="17" x14ac:knownFonts="1">
    <font>
      <sz val="11"/>
      <color theme="1"/>
      <name val="Calibri"/>
      <family val="2"/>
      <scheme val="minor"/>
    </font>
    <font>
      <b/>
      <sz val="11"/>
      <color rgb="FFFFFFFF"/>
      <name val="Calibri"/>
    </font>
    <font>
      <sz val="10"/>
      <name val="Calibri"/>
    </font>
    <font>
      <b/>
      <sz val="10"/>
      <name val="Calibri"/>
    </font>
    <font>
      <b/>
      <sz val="10"/>
      <color rgb="FF9B1C1C"/>
      <name val="Calibri"/>
    </font>
    <font>
      <b/>
      <sz val="10"/>
      <color rgb="FF8A5A00"/>
      <name val="Calibri"/>
    </font>
    <font>
      <b/>
      <sz val="10"/>
      <color rgb="FF0D47A1"/>
      <name val="Calibri"/>
    </font>
    <font>
      <b/>
      <sz val="10"/>
      <color rgb="FF1B5E20"/>
      <name val="Calibri"/>
    </font>
    <font>
      <b/>
      <sz val="10"/>
      <color rgb="FFE65100"/>
      <name val="Calibri"/>
    </font>
    <font>
      <b/>
      <sz val="10"/>
      <color rgb="FF4A148C"/>
      <name val="Calibri"/>
    </font>
    <font>
      <b/>
      <sz val="16"/>
      <color rgb="FF1F497D"/>
      <name val="Calibri"/>
    </font>
    <font>
      <i/>
      <sz val="10"/>
      <color rgb="FF546E7A"/>
      <name val="Calibri"/>
    </font>
    <font>
      <b/>
      <sz val="16"/>
      <name val="Calibri"/>
    </font>
    <font>
      <i/>
      <sz val="10"/>
      <name val="Calibri"/>
    </font>
    <font>
      <b/>
      <sz val="11"/>
      <name val="Calibri"/>
    </font>
    <font>
      <i/>
      <sz val="9"/>
      <name val="Calibri"/>
    </font>
    <font>
      <b/>
      <sz val="18"/>
      <name val="Calibri"/>
    </font>
  </fonts>
  <fills count="12">
    <fill>
      <patternFill patternType="none"/>
    </fill>
    <fill>
      <patternFill patternType="gray125"/>
    </fill>
    <fill>
      <patternFill patternType="solid">
        <fgColor rgb="FF1F497D"/>
        <bgColor rgb="FF1F497D"/>
      </patternFill>
    </fill>
    <fill>
      <patternFill patternType="solid">
        <fgColor rgb="FFFDECEA"/>
        <bgColor rgb="FFFDECEA"/>
      </patternFill>
    </fill>
    <fill>
      <patternFill patternType="solid">
        <fgColor rgb="FFFFF6E0"/>
        <bgColor rgb="FFFFF6E0"/>
      </patternFill>
    </fill>
    <fill>
      <patternFill patternType="solid">
        <fgColor rgb="FFE3F2FD"/>
        <bgColor rgb="FFE3F2FD"/>
      </patternFill>
    </fill>
    <fill>
      <patternFill patternType="solid">
        <fgColor rgb="FFE7F6EE"/>
        <bgColor rgb="FFE7F6EE"/>
      </patternFill>
    </fill>
    <fill>
      <patternFill patternType="solid">
        <fgColor rgb="FFFFE8CC"/>
        <bgColor rgb="FFFFE8CC"/>
      </patternFill>
    </fill>
    <fill>
      <patternFill patternType="solid">
        <fgColor rgb="FFF3E8FF"/>
        <bgColor rgb="FFF3E8FF"/>
      </patternFill>
    </fill>
    <fill>
      <patternFill patternType="solid">
        <fgColor rgb="FF37474F"/>
        <bgColor rgb="FF37474F"/>
      </patternFill>
    </fill>
    <fill>
      <patternFill patternType="solid">
        <fgColor rgb="FFFFF8DC"/>
      </patternFill>
    </fill>
    <fill>
      <patternFill patternType="solid">
        <fgColor rgb="FF1F497D"/>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xfId="0"/>
    <xf numFmtId="0" fontId="10" fillId="0" borderId="0" xfId="0" applyFont="1"/>
    <xf numFmtId="0" fontId="11" fillId="0" borderId="0" xfId="0" applyFont="1" applyAlignment="1">
      <alignment vertical="center" wrapText="1"/>
    </xf>
    <xf numFmtId="0" fontId="1" fillId="2" borderId="0" xfId="0" applyFont="1" applyFill="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0" xfId="0" applyFont="1"/>
    <xf numFmtId="0" fontId="3" fillId="0" borderId="1" xfId="0" applyFont="1" applyBorder="1"/>
    <xf numFmtId="0" fontId="2" fillId="0" borderId="1" xfId="0" applyFont="1" applyBorder="1"/>
    <xf numFmtId="0" fontId="11" fillId="0" borderId="0" xfId="0" applyFont="1"/>
    <xf numFmtId="0" fontId="1" fillId="2" borderId="0" xfId="0" applyFont="1" applyFill="1"/>
    <xf numFmtId="0" fontId="1" fillId="9" borderId="1" xfId="0" applyFont="1" applyFill="1" applyBorder="1" applyAlignment="1">
      <alignmen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9" borderId="0" xfId="0" applyFont="1" applyFill="1"/>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 fillId="2" borderId="0" xfId="0" applyFont="1" applyFill="1" applyAlignment="1">
      <alignment vertical="center"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0" fillId="0" borderId="0" xfId="0" applyAlignment="1">
      <alignment vertical="top" wrapText="1"/>
    </xf>
    <xf numFmtId="0" fontId="2" fillId="0" borderId="0" xfId="0" applyFont="1" applyAlignment="1">
      <alignment vertical="top" wrapText="1"/>
    </xf>
    <xf numFmtId="0" fontId="12" fillId="0" borderId="0" xfId="0" applyFont="1"/>
    <xf numFmtId="0" fontId="13" fillId="0" borderId="0" xfId="0" applyFont="1" applyAlignment="1">
      <alignment vertical="top" wrapText="1"/>
    </xf>
    <xf numFmtId="0" fontId="3" fillId="0" borderId="0" xfId="0" applyFont="1" applyAlignment="1">
      <alignment vertical="top" wrapText="1"/>
    </xf>
    <xf numFmtId="165" fontId="0" fillId="10" borderId="0" xfId="0" applyNumberFormat="1" applyFill="1"/>
    <xf numFmtId="9" fontId="0" fillId="0" borderId="0" xfId="0" applyNumberFormat="1"/>
    <xf numFmtId="0" fontId="14" fillId="0" borderId="0" xfId="0" applyFont="1"/>
    <xf numFmtId="0" fontId="2" fillId="0" borderId="0" xfId="0" applyFont="1"/>
    <xf numFmtId="166" fontId="2" fillId="10" borderId="3" xfId="0" applyNumberFormat="1" applyFont="1" applyFill="1" applyBorder="1"/>
    <xf numFmtId="1" fontId="2" fillId="10" borderId="3" xfId="0" applyNumberFormat="1" applyFont="1" applyFill="1" applyBorder="1"/>
    <xf numFmtId="9" fontId="2" fillId="10" borderId="3" xfId="0" applyNumberFormat="1" applyFont="1" applyFill="1" applyBorder="1"/>
    <xf numFmtId="0" fontId="1" fillId="11" borderId="3" xfId="0" applyFont="1" applyFill="1" applyBorder="1" applyAlignment="1">
      <alignment vertical="center" wrapText="1"/>
    </xf>
    <xf numFmtId="0" fontId="2" fillId="0" borderId="3" xfId="0" applyFont="1" applyBorder="1" applyAlignment="1">
      <alignment vertical="top" wrapText="1"/>
    </xf>
    <xf numFmtId="0" fontId="2" fillId="10" borderId="3" xfId="0" applyFont="1" applyFill="1" applyBorder="1" applyAlignment="1">
      <alignment vertical="top" wrapText="1"/>
    </xf>
    <xf numFmtId="165" fontId="2" fillId="0" borderId="3" xfId="0" applyNumberFormat="1" applyFont="1" applyBorder="1" applyAlignment="1">
      <alignment vertical="top" wrapText="1"/>
    </xf>
    <xf numFmtId="0" fontId="2" fillId="10" borderId="3" xfId="0" applyFont="1" applyFill="1" applyBorder="1" applyAlignment="1">
      <alignment horizontal="center" vertical="top"/>
    </xf>
    <xf numFmtId="0" fontId="2" fillId="0" borderId="3" xfId="0" applyFont="1" applyBorder="1" applyAlignment="1">
      <alignment horizontal="center" vertical="top" wrapText="1"/>
    </xf>
    <xf numFmtId="9" fontId="2" fillId="0" borderId="3" xfId="0" applyNumberFormat="1" applyFont="1" applyBorder="1" applyAlignment="1">
      <alignment horizontal="center" vertical="top" wrapText="1"/>
    </xf>
    <xf numFmtId="0" fontId="2" fillId="0" borderId="3" xfId="0" applyFont="1" applyBorder="1"/>
    <xf numFmtId="167" fontId="2" fillId="0" borderId="3" xfId="0" applyNumberFormat="1" applyFont="1" applyBorder="1"/>
    <xf numFmtId="9" fontId="2" fillId="0" borderId="3" xfId="0" applyNumberFormat="1" applyFont="1" applyBorder="1"/>
    <xf numFmtId="165" fontId="2" fillId="0" borderId="3" xfId="0" applyNumberFormat="1" applyFont="1" applyBorder="1"/>
    <xf numFmtId="0" fontId="16" fillId="0" borderId="0" xfId="0" applyFont="1"/>
    <xf numFmtId="0" fontId="0" fillId="10" borderId="0" xfId="0" applyFill="1" applyAlignment="1">
      <alignment vertical="top" wrapText="1"/>
    </xf>
    <xf numFmtId="0" fontId="15" fillId="0" borderId="0" xfId="0" applyFont="1"/>
    <xf numFmtId="164" fontId="2" fillId="0" borderId="1" xfId="0" applyNumberFormat="1" applyFont="1" applyBorder="1" applyAlignment="1">
      <alignment vertical="center" wrapText="1"/>
    </xf>
    <xf numFmtId="0" fontId="2" fillId="0" borderId="1" xfId="0" applyFont="1" applyBorder="1" applyAlignment="1">
      <alignment vertical="center" wrapText="1"/>
    </xf>
    <xf numFmtId="0" fontId="0" fillId="0" borderId="2" xfId="0" applyBorder="1"/>
    <xf numFmtId="0" fontId="2" fillId="0" borderId="0" xfId="0" applyFont="1" applyAlignment="1">
      <alignment vertical="center" wrapText="1"/>
    </xf>
    <xf numFmtId="0" fontId="0" fillId="0" borderId="0" xfId="0"/>
    <xf numFmtId="0" fontId="11" fillId="0" borderId="0" xfId="0" applyFont="1" applyAlignment="1">
      <alignment vertical="center" wrapText="1"/>
    </xf>
    <xf numFmtId="0" fontId="13"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center" wrapText="1"/>
    </xf>
    <xf numFmtId="0" fontId="1" fillId="2" borderId="0" xfId="0" applyFont="1" applyFill="1"/>
    <xf numFmtId="0" fontId="11" fillId="0" borderId="0" xfId="0" applyFont="1"/>
  </cellXfs>
  <cellStyles count="1">
    <cellStyle name="Normal" xfId="0" builtinId="0"/>
  </cellStyles>
  <dxfs count="17">
    <dxf>
      <fill>
        <patternFill patternType="solid">
          <fgColor rgb="FFFFC7CE"/>
          <bgColor rgb="FFFFC7CE"/>
        </patternFill>
      </fill>
    </dxf>
    <dxf>
      <fill>
        <patternFill patternType="solid">
          <fgColor rgb="FFC6EFCE"/>
          <bgColor rgb="FFC6EFCE"/>
        </patternFill>
      </fill>
    </dxf>
    <dxf>
      <fill>
        <patternFill patternType="solid">
          <fgColor rgb="FFC6EFCE"/>
          <bgColor rgb="FFC6EFCE"/>
        </patternFill>
      </fill>
    </dxf>
    <dxf>
      <fill>
        <patternFill patternType="solid">
          <fgColor rgb="FFD9D9D9"/>
          <bgColor rgb="FFD9D9D9"/>
        </patternFill>
      </fill>
    </dxf>
    <dxf>
      <fill>
        <patternFill patternType="solid">
          <fgColor rgb="FFFFE0B2"/>
          <bgColor rgb="FFFFE0B2"/>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E0B2"/>
          <bgColor rgb="FFFFE0B2"/>
        </patternFill>
      </fill>
    </dxf>
    <dxf>
      <fill>
        <patternFill patternType="solid">
          <fgColor rgb="FFFFEB9C"/>
          <bgColor rgb="FFFFEB9C"/>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enGapDecisions" displayName="OpenGapDecisions" ref="A3:K23">
  <autoFilter ref="A3:K23" xr:uid="{00000000-0009-0000-0100-000001000000}"/>
  <tableColumns count="11">
    <tableColumn id="1" xr3:uid="{00000000-0010-0000-0000-000001000000}" name="Task ID"/>
    <tableColumn id="2" xr3:uid="{00000000-0010-0000-0000-000002000000}" name="Claim"/>
    <tableColumn id="3" xr3:uid="{00000000-0010-0000-0000-000003000000}" name="Priority"/>
    <tableColumn id="4" xr3:uid="{00000000-0010-0000-0000-000004000000}" name="Status now"/>
    <tableColumn id="5" xr3:uid="{00000000-0010-0000-0000-000005000000}" name="Evidence checked"/>
    <tableColumn id="6" xr3:uid="{00000000-0010-0000-0000-000006000000}" name="Recommended decision"/>
    <tableColumn id="7" xr3:uid="{00000000-0010-0000-0000-000007000000}" name="Needs freeze exception"/>
    <tableColumn id="8" xr3:uid="{00000000-0010-0000-0000-000008000000}" name="Target release"/>
    <tableColumn id="9" xr3:uid="{00000000-0010-0000-0000-000009000000}" name="Decision"/>
    <tableColumn id="10" xr3:uid="{00000000-0010-0000-0000-00000A000000}" name="Decision owner"/>
    <tableColumn id="11" xr3:uid="{00000000-0010-0000-0000-00000B000000}" name="Decision date"/>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vpScopeAfterReview" displayName="MvpScopeAfterReview" ref="A3:I49">
  <autoFilter ref="A3:I49" xr:uid="{00000000-0009-0000-0100-000002000000}"/>
  <tableColumns count="9">
    <tableColumn id="1" xr3:uid="{00000000-0010-0000-0100-000001000000}" name="Task ID"/>
    <tableColumn id="2" xr3:uid="{00000000-0010-0000-0100-000002000000}" name="Task"/>
    <tableColumn id="3" xr3:uid="{00000000-0010-0000-0100-000003000000}" name="Capability class"/>
    <tableColumn id="4" xr3:uid="{00000000-0010-0000-0100-000004000000}" name="Work status"/>
    <tableColumn id="5" xr3:uid="{00000000-0010-0000-0100-000005000000}" name="Review verdict"/>
    <tableColumn id="6" xr3:uid="{00000000-0010-0000-0100-000006000000}" name="What the code shows"/>
    <tableColumn id="7" xr3:uid="{00000000-0010-0000-0100-000007000000}" name="Options"/>
    <tableColumn id="8" xr3:uid="{00000000-0010-0000-0100-000008000000}" name="Decision"/>
    <tableColumn id="9" xr3:uid="{00000000-0010-0000-0100-000009000000}" name="Decision owner"/>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lySnapshot" displayName="WeeklySnapshot" ref="A3:K6">
  <autoFilter ref="A3:K6" xr:uid="{00000000-0009-0000-0100-000003000000}"/>
  <tableColumns count="11">
    <tableColumn id="1" xr3:uid="{00000000-0010-0000-0200-000001000000}" name="Week"/>
    <tableColumn id="2" xr3:uid="{00000000-0010-0000-0200-000002000000}" name="Tasks"/>
    <tableColumn id="3" xr3:uid="{00000000-0010-0000-0200-000003000000}" name="MVP"/>
    <tableColumn id="4" xr3:uid="{00000000-0010-0000-0200-000004000000}" name="Pilot"/>
    <tableColumn id="5" xr3:uid="{00000000-0010-0000-0200-000005000000}" name="Later"/>
    <tableColumn id="6" xr3:uid="{00000000-0010-0000-0200-000006000000}" name="Open gaps"/>
    <tableColumn id="7" xr3:uid="{00000000-0010-0000-0200-000007000000}" name="Partial"/>
    <tableColumn id="8" xr3:uid="{00000000-0010-0000-0200-000008000000}" name="MVP tests passing"/>
    <tableColumn id="9" xr3:uid="{00000000-0010-0000-0200-000009000000}" name="No owner"/>
    <tableColumn id="10" xr3:uid="{00000000-0010-0000-0200-00000A000000}" name="No test id"/>
    <tableColumn id="11" xr3:uid="{00000000-0010-0000-0200-00000B000000}" name="OS ready"/>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Disposition" displayName="ReviewDisposition" ref="A3:C25">
  <autoFilter ref="A3:C25" xr:uid="{00000000-0009-0000-0100-000004000000}"/>
  <tableColumns count="3">
    <tableColumn id="1" xr3:uid="{00000000-0010-0000-0300-000001000000}" name="Comment"/>
    <tableColumn id="2" xr3:uid="{00000000-0010-0000-0300-000002000000}" name="Decision"/>
    <tableColumn id="3" xr3:uid="{00000000-0010-0000-0300-000003000000}" name="Why"/>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uplicateProposals" displayName="DuplicateProposals" ref="A3:J11">
  <autoFilter ref="A3:J11" xr:uid="{00000000-0009-0000-0100-000005000000}"/>
  <tableColumns count="10">
    <tableColumn id="1" xr3:uid="{00000000-0010-0000-0400-000001000000}" name="Proposal"/>
    <tableColumn id="2" xr3:uid="{00000000-0010-0000-0400-000002000000}" name="Task A"/>
    <tableColumn id="3" xr3:uid="{00000000-0010-0000-0400-000003000000}" name="Task B"/>
    <tableColumn id="4" xr3:uid="{00000000-0010-0000-0400-000004000000}" name="Text A"/>
    <tableColumn id="5" xr3:uid="{00000000-0010-0000-0400-000005000000}" name="Text B"/>
    <tableColumn id="6" xr3:uid="{00000000-0010-0000-0400-000006000000}" name="Persona A"/>
    <tableColumn id="7" xr3:uid="{00000000-0010-0000-0400-000007000000}" name="Persona B"/>
    <tableColumn id="8" xr3:uid="{00000000-0010-0000-0400-000008000000}" name="Why"/>
    <tableColumn id="9" xr3:uid="{00000000-0010-0000-0400-000009000000}" name="Suggested action"/>
    <tableColumn id="10" xr3:uid="{00000000-0010-0000-0400-00000A000000}" name="Decision"/>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usinessEvents" displayName="BusinessEvents" ref="A3:G25">
  <autoFilter ref="A3:G25" xr:uid="{00000000-0009-0000-0100-000006000000}"/>
  <tableColumns count="7">
    <tableColumn id="1" xr3:uid="{00000000-0010-0000-0500-000001000000}" name="Event"/>
    <tableColumn id="2" xr3:uid="{00000000-0010-0000-0500-000002000000}" name="State change in code"/>
    <tableColumn id="3" xr3:uid="{00000000-0010-0000-0500-000003000000}" name="Downstream effects expected"/>
    <tableColumn id="4" xr3:uid="{00000000-0010-0000-0500-000004000000}" name="Reversal in code"/>
    <tableColumn id="5" xr3:uid="{00000000-0010-0000-0500-000005000000}" name="Audit"/>
    <tableColumn id="6" xr3:uid="{00000000-0010-0000-0500-000006000000}" name="Proven"/>
    <tableColumn id="7" xr3:uid="{00000000-0010-0000-0500-000007000000}" name="Test reference"/>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tateMachines" displayName="StateMachines" ref="A3:G30">
  <autoFilter ref="A3:G30" xr:uid="{00000000-0009-0000-0100-000007000000}"/>
  <tableColumns count="7">
    <tableColumn id="1" xr3:uid="{00000000-0010-0000-0600-000001000000}" name="Entity"/>
    <tableColumn id="2" xr3:uid="{00000000-0010-0000-0600-000002000000}" name="Statuses in code"/>
    <tableColumn id="3" xr3:uid="{00000000-0010-0000-0600-000003000000}" name="Actor"/>
    <tableColumn id="4" xr3:uid="{00000000-0010-0000-0600-000004000000}" name="Transition tests"/>
    <tableColumn id="5" xr3:uid="{00000000-0010-0000-0600-000005000000}" name="Rollback"/>
    <tableColumn id="6" xr3:uid="{00000000-0010-0000-0600-000006000000}" name="Proven"/>
    <tableColumn id="7" xr3:uid="{00000000-0010-0000-0600-000007000000}" name="Test reference"/>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usinessIntegrity" displayName="BusinessIntegrity" ref="A3:F19">
  <autoFilter ref="A3:F19" xr:uid="{00000000-0009-0000-0100-000008000000}"/>
  <tableColumns count="6">
    <tableColumn id="1" xr3:uid="{00000000-0010-0000-0700-000001000000}" name="Domain"/>
    <tableColumn id="2" xr3:uid="{00000000-0010-0000-0700-000002000000}" name="Invariant"/>
    <tableColumn id="3" xr3:uid="{00000000-0010-0000-0700-000003000000}" name="Known handle in code"/>
    <tableColumn id="4" xr3:uid="{00000000-0010-0000-0700-000004000000}" name="Gate on every transaction"/>
    <tableColumn id="5" xr3:uid="{00000000-0010-0000-0700-000005000000}" name="Proven"/>
    <tableColumn id="6" xr3:uid="{00000000-0010-0000-0700-000006000000}" name="Test reference"/>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ailureRecovery" displayName="FailureRecovery" ref="A3:E11">
  <autoFilter ref="A3:E11" xr:uid="{00000000-0009-0000-0100-000009000000}"/>
  <tableColumns count="5">
    <tableColumn id="1" xr3:uid="{00000000-0010-0000-0800-000001000000}" name="Case"/>
    <tableColumn id="2" xr3:uid="{00000000-0010-0000-0800-000002000000}" name="What must remain true"/>
    <tableColumn id="3" xr3:uid="{00000000-0010-0000-0800-000003000000}" name="Evidence"/>
    <tableColumn id="4" xr3:uid="{00000000-0010-0000-0800-000004000000}" name="Proven"/>
    <tableColumn id="5" xr3:uid="{00000000-0010-0000-0800-000005000000}" name="Test reference"/>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ncurrencyMatrix" displayName="ConcurrencyMatrix" ref="A3:H13">
  <autoFilter ref="A3:H13" xr:uid="{00000000-0009-0000-0100-00000A000000}"/>
  <tableColumns count="8">
    <tableColumn id="1" xr3:uid="{00000000-0010-0000-0900-000001000000}" name="Race"/>
    <tableColumn id="2" xr3:uid="{00000000-0010-0000-0900-000002000000}" name="Harm if lost"/>
    <tableColumn id="3" xr3:uid="{00000000-0010-0000-0900-000003000000}" name="Evidence"/>
    <tableColumn id="4" xr3:uid="{00000000-0010-0000-0900-000004000000}" name="Proven"/>
    <tableColumn id="5" xr3:uid="{00000000-0010-0000-0900-000005000000}" name="Specific harm if lost"/>
    <tableColumn id="6" xr3:uid="{00000000-0010-0000-0900-000006000000}" name="Expected outcome"/>
    <tableColumn id="7" xr3:uid="{00000000-0010-0000-0900-000007000000}" name="Test reference"/>
    <tableColumn id="8" xr3:uid="{00000000-0010-0000-0900-000008000000}" name="Runs i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ecurityAssurance" displayName="SecurityAssurance" ref="A3:D14">
  <autoFilter ref="A3:D14" xr:uid="{00000000-0009-0000-0100-00000B000000}"/>
  <tableColumns count="4">
    <tableColumn id="1" xr3:uid="{00000000-0010-0000-0A00-000001000000}" name="Control"/>
    <tableColumn id="2" xr3:uid="{00000000-0010-0000-0A00-000002000000}" name="What was found"/>
    <tableColumn id="3" xr3:uid="{00000000-0010-0000-0A00-000003000000}" name="Evidence"/>
    <tableColumn id="4" xr3:uid="{00000000-0010-0000-0A00-000004000000}" name="Assured"/>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tegrationReliability" displayName="IntegrationReliability" ref="A3:H13">
  <autoFilter ref="A3:H13" xr:uid="{00000000-0009-0000-0100-00000C000000}"/>
  <tableColumns count="8">
    <tableColumn id="1" xr3:uid="{00000000-0010-0000-0B00-000001000000}" name="Integration"/>
    <tableColumn id="2" xr3:uid="{00000000-0010-0000-0B00-000002000000}" name="Idempotent"/>
    <tableColumn id="3" xr3:uid="{00000000-0010-0000-0B00-000003000000}" name="Observable"/>
    <tableColumn id="4" xr3:uid="{00000000-0010-0000-0B00-000004000000}" name="Recoverable"/>
    <tableColumn id="5" xr3:uid="{00000000-0010-0000-0B00-000005000000}" name="Proven"/>
    <tableColumn id="6" xr3:uid="{00000000-0010-0000-0B00-000006000000}" name="Key failure case to prove"/>
    <tableColumn id="7" xr3:uid="{00000000-0010-0000-0B00-000007000000}" name="Test reference"/>
    <tableColumn id="8" xr3:uid="{00000000-0010-0000-0B00-000008000000}" name="Owner"/>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erformanceSla" displayName="PerformanceSla" ref="A3:J16">
  <autoFilter ref="A3:J16" xr:uid="{00000000-0009-0000-0100-00000D000000}"/>
  <tableColumns count="10">
    <tableColumn id="1" xr3:uid="{00000000-0010-0000-0C00-000001000000}" name="Scenario"/>
    <tableColumn id="2" xr3:uid="{00000000-0010-0000-0C00-000002000000}" name="Dataset size"/>
    <tableColumn id="3" xr3:uid="{00000000-0010-0000-0C00-000003000000}" name="Concurrent users"/>
    <tableColumn id="4" xr3:uid="{00000000-0010-0000-0C00-000004000000}" name="Target"/>
    <tableColumn id="5" xr3:uid="{00000000-0010-0000-0C00-000005000000}" name="Actual"/>
    <tableColumn id="6" xr3:uid="{00000000-0010-0000-0C00-000006000000}" name="P95"/>
    <tableColumn id="7" xr3:uid="{00000000-0010-0000-0C00-000007000000}" name="P99"/>
    <tableColumn id="8" xr3:uid="{00000000-0010-0000-0C00-000008000000}" name="Pass or fail"/>
    <tableColumn id="9" xr3:uid="{00000000-0010-0000-0C00-000009000000}" name="Proposed target (not validated)"/>
    <tableColumn id="10" xr3:uid="{00000000-0010-0000-0C00-00000A000000}" name="How to measure"/>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CustomerEvidence" displayName="CustomerEvidence" ref="A3:H13">
  <autoFilter ref="A3:H13" xr:uid="{00000000-0009-0000-0100-00000E000000}"/>
  <tableColumns count="8">
    <tableColumn id="1" xr3:uid="{00000000-0010-0000-0D00-000001000000}" name="Hypothesis"/>
    <tableColumn id="2" xr3:uid="{00000000-0010-0000-0D00-000002000000}" name="Baseline"/>
    <tableColumn id="3" xr3:uid="{00000000-0010-0000-0D00-000003000000}" name="Experiment"/>
    <tableColumn id="4" xr3:uid="{00000000-0010-0000-0D00-000004000000}" name="Measurement"/>
    <tableColumn id="5" xr3:uid="{00000000-0010-0000-0D00-000005000000}" name="Result"/>
    <tableColumn id="6" xr3:uid="{00000000-0010-0000-0D00-000006000000}" name="Evidence"/>
    <tableColumn id="7" xr3:uid="{00000000-0010-0000-0D00-000007000000}" name="Data source"/>
    <tableColumn id="8" xr3:uid="{00000000-0010-0000-0D00-000008000000}" name="Pilot owner"/>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CapabilityEvidence" displayName="CapabilityEvidence" ref="A3:E20">
  <autoFilter ref="A3:E20" xr:uid="{00000000-0009-0000-0100-00000F000000}"/>
  <tableColumns count="5">
    <tableColumn id="1" xr3:uid="{00000000-0010-0000-0E00-000001000000}" name="Task ID"/>
    <tableColumn id="2" xr3:uid="{00000000-0010-0000-0E00-000002000000}" name="Claim"/>
    <tableColumn id="3" xr3:uid="{00000000-0010-0000-0E00-000003000000}" name="Validation status"/>
    <tableColumn id="4" xr3:uid="{00000000-0010-0000-0E00-000004000000}" name="Code evidence"/>
    <tableColumn id="5" xr3:uid="{00000000-0010-0000-0E00-000005000000}" name="Actio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skRegister" displayName="TaskRegister" ref="A1:BH771">
  <autoFilter ref="A1:BH771" xr:uid="{00000000-0009-0000-0100-000010000000}"/>
  <tableColumns count="60">
    <tableColumn id="1" xr3:uid="{00000000-0010-0000-0F00-000001000000}" name="Task ID"/>
    <tableColumn id="2" xr3:uid="{00000000-0010-0000-0F00-000002000000}" name="Task Type"/>
    <tableColumn id="3" xr3:uid="{00000000-0010-0000-0F00-000003000000}" name="Persona / Scope"/>
    <tableColumn id="4" xr3:uid="{00000000-0010-0000-0F00-000004000000}" name="Category"/>
    <tableColumn id="5" xr3:uid="{00000000-0010-0000-0F00-000005000000}" name="Task / Business Action"/>
    <tableColumn id="6" xr3:uid="{00000000-0010-0000-0F00-000006000000}" name="Primary Actor"/>
    <tableColumn id="7" xr3:uid="{00000000-0010-0000-0F00-000007000000}" name="Supporting Persona(s)"/>
    <tableColumn id="8" xr3:uid="{00000000-0010-0000-0F00-000008000000}" name="Business Outcome"/>
    <tableColumn id="9" xr3:uid="{00000000-0010-0000-0F00-000009000000}" name="Downstream Impact"/>
    <tableColumn id="10" xr3:uid="{00000000-0010-0000-0F00-00000A000000}" name="Priority"/>
    <tableColumn id="11" xr3:uid="{00000000-0010-0000-0F00-00000B000000}" name="Validation Status"/>
    <tableColumn id="12" xr3:uid="{00000000-0010-0000-0F00-00000C000000}" name="Notes"/>
    <tableColumn id="13" xr3:uid="{00000000-0010-0000-0F00-00000D000000}" name="Register slice"/>
    <tableColumn id="14" xr3:uid="{00000000-0010-0000-0F00-00000E000000}" name="Scope class"/>
    <tableColumn id="15" xr3:uid="{00000000-0010-0000-0F00-00000F000000}" name="Authored priority"/>
    <tableColumn id="16" xr3:uid="{00000000-0010-0000-0F00-000010000000}" name="Priority decision"/>
    <tableColumn id="17" xr3:uid="{00000000-0010-0000-0F00-000011000000}" name="Review outcome"/>
    <tableColumn id="18" xr3:uid="{00000000-0010-0000-0F00-000012000000}" name="Audit note"/>
    <tableColumn id="19" xr3:uid="{00000000-0010-0000-0F00-000013000000}" name="Flow ID"/>
    <tableColumn id="20" xr3:uid="{00000000-0010-0000-0F00-000014000000}" name="Flow name"/>
    <tableColumn id="21" xr3:uid="{00000000-0010-0000-0F00-000015000000}" name="Flow step"/>
    <tableColumn id="22" xr3:uid="{00000000-0010-0000-0F00-000016000000}" name="Module"/>
    <tableColumn id="23" xr3:uid="{00000000-0010-0000-0F00-000017000000}" name="OS layer"/>
    <tableColumn id="24" xr3:uid="{00000000-0010-0000-0F00-000018000000}" name="Capability class"/>
    <tableColumn id="25" xr3:uid="{00000000-0010-0000-0F00-000019000000}" name="Canonical role"/>
    <tableColumn id="26" xr3:uid="{00000000-0010-0000-0F00-00001A000000}" name="Business criticality"/>
    <tableColumn id="27" xr3:uid="{00000000-0010-0000-0F00-00001B000000}" name="Failure impact"/>
    <tableColumn id="28" xr3:uid="{00000000-0010-0000-0F00-00001C000000}" name="Compliance impact"/>
    <tableColumn id="29" xr3:uid="{00000000-0010-0000-0F00-00001D000000}" name="Release gate"/>
    <tableColumn id="30" xr3:uid="{00000000-0010-0000-0F00-00001E000000}" name="Code evidence"/>
    <tableColumn id="31" xr3:uid="{00000000-0010-0000-0F00-00001F000000}" name="Integrity evidence"/>
    <tableColumn id="32" xr3:uid="{00000000-0010-0000-0F00-000020000000}" name="Recovery evidence"/>
    <tableColumn id="33" xr3:uid="{00000000-0010-0000-0F00-000021000000}" name="Security evidence"/>
    <tableColumn id="34" xr3:uid="{00000000-0010-0000-0F00-000022000000}" name="Concurrency evidence"/>
    <tableColumn id="35" xr3:uid="{00000000-0010-0000-0F00-000023000000}" name="OS ready"/>
    <tableColumn id="36" xr3:uid="{00000000-0010-0000-0F00-000024000000}" name="Work status"/>
    <tableColumn id="37" xr3:uid="{00000000-0010-0000-0F00-000025000000}" name="Proposed priority"/>
    <tableColumn id="38" xr3:uid="{00000000-0010-0000-0F00-000026000000}" name="Risk score"/>
    <tableColumn id="39" xr3:uid="{00000000-0010-0000-0F00-000027000000}" name="Owner"/>
    <tableColumn id="40" xr3:uid="{00000000-0010-0000-0F00-000028000000}" name="Target date"/>
    <tableColumn id="41" xr3:uid="{00000000-0010-0000-0F00-000029000000}" name="Estimate days"/>
    <tableColumn id="42" xr3:uid="{00000000-0010-0000-0F00-00002A000000}" name="Depends on"/>
    <tableColumn id="43" xr3:uid="{00000000-0010-0000-0F00-00002B000000}" name="Blocked by"/>
    <tableColumn id="44" xr3:uid="{00000000-0010-0000-0F00-00002C000000}" name="Test case ID"/>
    <tableColumn id="45" xr3:uid="{00000000-0010-0000-0F00-00002D000000}" name="Last verified"/>
    <tableColumn id="46" xr3:uid="{00000000-0010-0000-0F00-00002E000000}" name="Verified by"/>
    <tableColumn id="47" xr3:uid="{00000000-0010-0000-0F00-00002F000000}" name="Verification result"/>
    <tableColumn id="48" xr3:uid="{00000000-0010-0000-0F00-000030000000}" name="Persona canonical"/>
    <tableColumn id="49" xr3:uid="{00000000-0010-0000-0F00-000031000000}" name="Primary actor canonical"/>
    <tableColumn id="50" xr3:uid="{00000000-0010-0000-0F00-000032000000}" name="Priority decision code"/>
    <tableColumn id="51" xr3:uid="{00000000-0010-0000-0F00-000033000000}" name="Module basis"/>
    <tableColumn id="52" xr3:uid="{00000000-0010-0000-0F00-000034000000}" name="Duplicate or related"/>
    <tableColumn id="53" xr3:uid="{00000000-0010-0000-0F00-000035000000}" name="Code pointer"/>
    <tableColumn id="54" xr3:uid="{00000000-0010-0000-0F00-000036000000}" name="Test reference"/>
    <tableColumn id="55" xr3:uid="{00000000-0010-0000-0F00-000037000000}" name="G4 user validated"/>
    <tableColumn id="56" xr3:uid="{00000000-0010-0000-0F00-000038000000}" name="G5 outcome measured"/>
    <tableColumn id="57" xr3:uid="{00000000-0010-0000-0F00-000039000000}" name="Original validation status"/>
    <tableColumn id="58" xr3:uid="{00000000-0010-0000-0F00-00003A000000}" name="Code review verdict"/>
    <tableColumn id="59" xr3:uid="{00000000-0010-0000-0F00-00003B000000}" name="Code review evidence"/>
    <tableColumn id="60" xr3:uid="{00000000-0010-0000-0F00-00003C000000}" name="Code review reas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tabSelected="1" workbookViewId="0"/>
  </sheetViews>
  <sheetFormatPr defaultRowHeight="14.5" x14ac:dyDescent="0.35"/>
  <cols>
    <col min="1" max="1" width="24" customWidth="1"/>
    <col min="2" max="2" width="130" customWidth="1"/>
  </cols>
  <sheetData>
    <row r="1" spans="1:2" ht="23.5" x14ac:dyDescent="0.55000000000000004">
      <c r="A1" s="48" t="s">
        <v>0</v>
      </c>
    </row>
    <row r="3" spans="1:2" ht="18" customHeight="1" x14ac:dyDescent="0.35">
      <c r="A3" s="29" t="s">
        <v>1</v>
      </c>
      <c r="B3" s="26" t="s">
        <v>2</v>
      </c>
    </row>
    <row r="4" spans="1:2" ht="18" customHeight="1" x14ac:dyDescent="0.35">
      <c r="A4" s="29" t="s">
        <v>3</v>
      </c>
      <c r="B4" s="26" t="s">
        <v>4</v>
      </c>
    </row>
    <row r="5" spans="1:2" ht="18" customHeight="1" x14ac:dyDescent="0.35">
      <c r="A5" s="29" t="s">
        <v>5</v>
      </c>
      <c r="B5" s="26" t="s">
        <v>6</v>
      </c>
    </row>
    <row r="6" spans="1:2" ht="30" customHeight="1" x14ac:dyDescent="0.35">
      <c r="A6" s="29" t="s">
        <v>7</v>
      </c>
      <c r="B6" s="26" t="s">
        <v>8</v>
      </c>
    </row>
    <row r="7" spans="1:2" ht="18" customHeight="1" x14ac:dyDescent="0.35">
      <c r="A7" s="29" t="s">
        <v>9</v>
      </c>
      <c r="B7" s="26" t="s">
        <v>10</v>
      </c>
    </row>
    <row r="8" spans="1:2" ht="30" customHeight="1" x14ac:dyDescent="0.35">
      <c r="A8" s="29" t="s">
        <v>11</v>
      </c>
      <c r="B8" s="26" t="s">
        <v>12</v>
      </c>
    </row>
    <row r="9" spans="1:2" ht="18" customHeight="1" x14ac:dyDescent="0.35">
      <c r="A9" s="29" t="s">
        <v>13</v>
      </c>
      <c r="B9" s="26" t="s">
        <v>14</v>
      </c>
    </row>
    <row r="10" spans="1:2" ht="18" customHeight="1" x14ac:dyDescent="0.35">
      <c r="A10" s="29" t="s">
        <v>15</v>
      </c>
      <c r="B10" s="26" t="s">
        <v>16</v>
      </c>
    </row>
    <row r="11" spans="1:2" ht="30" customHeight="1" x14ac:dyDescent="0.35">
      <c r="A11" s="29" t="s">
        <v>17</v>
      </c>
      <c r="B11" s="26" t="s">
        <v>18</v>
      </c>
    </row>
    <row r="12" spans="1:2" ht="30" customHeight="1" x14ac:dyDescent="0.35">
      <c r="A12" s="29" t="s">
        <v>19</v>
      </c>
      <c r="B12" s="26"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65911"/>
    <pageSetUpPr fitToPage="1"/>
  </sheetPr>
  <dimension ref="A1:G27"/>
  <sheetViews>
    <sheetView showGridLines="0" tabSelected="1" workbookViewId="0"/>
  </sheetViews>
  <sheetFormatPr defaultRowHeight="14.5" x14ac:dyDescent="0.35"/>
  <cols>
    <col min="1" max="1" width="36" customWidth="1"/>
    <col min="2" max="2" width="28" customWidth="1"/>
    <col min="3" max="3" width="78" customWidth="1"/>
  </cols>
  <sheetData>
    <row r="1" spans="1:7" ht="28" customHeight="1" x14ac:dyDescent="0.5">
      <c r="A1" s="1" t="s">
        <v>21</v>
      </c>
    </row>
    <row r="2" spans="1:7" ht="32" customHeight="1" x14ac:dyDescent="0.35">
      <c r="A2" s="56" t="s">
        <v>22</v>
      </c>
      <c r="B2" s="55"/>
      <c r="C2" s="55"/>
      <c r="D2" s="55"/>
      <c r="E2" s="55"/>
      <c r="F2" s="55"/>
      <c r="G2" s="55"/>
    </row>
    <row r="3" spans="1:7" x14ac:dyDescent="0.35">
      <c r="A3" s="3" t="s">
        <v>23</v>
      </c>
      <c r="B3" s="3" t="s">
        <v>24</v>
      </c>
      <c r="C3" s="3" t="s">
        <v>25</v>
      </c>
    </row>
    <row r="4" spans="1:7" ht="32" customHeight="1" x14ac:dyDescent="0.35">
      <c r="A4" s="4" t="s">
        <v>26</v>
      </c>
      <c r="B4" s="4">
        <f>COUNTA(TaskRegister[Task ID])</f>
        <v>770</v>
      </c>
      <c r="C4" s="5" t="s">
        <v>27</v>
      </c>
    </row>
    <row r="5" spans="1:7" ht="32" customHeight="1" x14ac:dyDescent="0.35">
      <c r="A5" s="4" t="s">
        <v>28</v>
      </c>
      <c r="B5" s="4">
        <f>COUNTIF(TaskRegister[Release gate],"MVP")</f>
        <v>102</v>
      </c>
      <c r="C5" s="5" t="s">
        <v>29</v>
      </c>
    </row>
    <row r="6" spans="1:7" ht="32" customHeight="1" x14ac:dyDescent="0.35">
      <c r="A6" s="4" t="s">
        <v>30</v>
      </c>
      <c r="B6" s="4">
        <f>COUNTIF(TaskRegister[Release gate],"Pilot")</f>
        <v>447</v>
      </c>
      <c r="C6" s="5" t="s">
        <v>31</v>
      </c>
    </row>
    <row r="7" spans="1:7" ht="32" customHeight="1" x14ac:dyDescent="0.35">
      <c r="A7" s="4" t="s">
        <v>32</v>
      </c>
      <c r="B7" s="4">
        <f>COUNTIF(TaskRegister[Release gate],"Later")</f>
        <v>221</v>
      </c>
      <c r="C7" s="5" t="s">
        <v>33</v>
      </c>
    </row>
    <row r="8" spans="1:7" ht="32" customHeight="1" x14ac:dyDescent="0.35">
      <c r="A8" s="4" t="s">
        <v>34</v>
      </c>
      <c r="B8" s="4">
        <f>COUNTIFS(TaskRegister[Release gate],"MVP",TaskRegister[Verification result],"Pass")</f>
        <v>40</v>
      </c>
      <c r="C8" s="5" t="s">
        <v>35</v>
      </c>
    </row>
    <row r="9" spans="1:7" ht="32" customHeight="1" x14ac:dyDescent="0.35">
      <c r="A9" s="4" t="s">
        <v>36</v>
      </c>
      <c r="B9" s="4">
        <f>COUNTIFS(TaskRegister[Release gate],"MVP",TaskRegister[Test case ID],"&lt;&gt;")</f>
        <v>94</v>
      </c>
      <c r="C9" s="5" t="s">
        <v>37</v>
      </c>
    </row>
    <row r="10" spans="1:7" ht="32" customHeight="1" x14ac:dyDescent="0.35">
      <c r="A10" s="4" t="s">
        <v>38</v>
      </c>
      <c r="B10" s="4">
        <f>COUNTIF(TaskRegister[Work status],"Gap")</f>
        <v>92</v>
      </c>
      <c r="C10" s="5" t="s">
        <v>39</v>
      </c>
    </row>
    <row r="11" spans="1:7" ht="32" customHeight="1" x14ac:dyDescent="0.35">
      <c r="A11" s="4" t="s">
        <v>40</v>
      </c>
      <c r="B11" s="4">
        <f>COUNTIF(TaskRegister[Work status],"Built - partial")</f>
        <v>256</v>
      </c>
      <c r="C11" s="5" t="s">
        <v>41</v>
      </c>
    </row>
    <row r="12" spans="1:7" ht="32" customHeight="1" x14ac:dyDescent="0.35">
      <c r="A12" s="4" t="s">
        <v>42</v>
      </c>
      <c r="B12" s="4">
        <f>COUNTBLANK(TaskRegister[Owner])</f>
        <v>770</v>
      </c>
      <c r="C12" s="5" t="s">
        <v>43</v>
      </c>
    </row>
    <row r="13" spans="1:7" ht="32" customHeight="1" x14ac:dyDescent="0.35">
      <c r="A13" s="4" t="s">
        <v>44</v>
      </c>
      <c r="B13" s="4">
        <f>COUNTBLANK(TaskRegister[Test case ID])</f>
        <v>658</v>
      </c>
      <c r="C13" s="5" t="s">
        <v>45</v>
      </c>
    </row>
    <row r="14" spans="1:7" ht="32" customHeight="1" x14ac:dyDescent="0.35">
      <c r="A14" s="4" t="s">
        <v>46</v>
      </c>
      <c r="B14" s="4">
        <f>COUNTIF(TaskRegister[OS ready],"Yes")</f>
        <v>0</v>
      </c>
      <c r="C14" s="5" t="s">
        <v>47</v>
      </c>
    </row>
    <row r="16" spans="1:7" ht="21" customHeight="1" x14ac:dyDescent="0.5">
      <c r="A16" s="1" t="s">
        <v>48</v>
      </c>
    </row>
    <row r="17" spans="1:3" ht="32" customHeight="1" x14ac:dyDescent="0.35">
      <c r="A17" s="54" t="s">
        <v>49</v>
      </c>
      <c r="B17" s="55"/>
      <c r="C17" s="55"/>
    </row>
    <row r="18" spans="1:3" ht="32" customHeight="1" x14ac:dyDescent="0.35">
      <c r="A18" s="54" t="s">
        <v>50</v>
      </c>
      <c r="B18" s="55"/>
      <c r="C18" s="55"/>
    </row>
    <row r="19" spans="1:3" ht="32" customHeight="1" x14ac:dyDescent="0.35">
      <c r="A19" s="54" t="s">
        <v>51</v>
      </c>
      <c r="B19" s="55"/>
      <c r="C19" s="55"/>
    </row>
    <row r="20" spans="1:3" ht="32" customHeight="1" x14ac:dyDescent="0.35">
      <c r="A20" s="54" t="s">
        <v>52</v>
      </c>
      <c r="B20" s="55"/>
      <c r="C20" s="55"/>
    </row>
    <row r="22" spans="1:3" ht="21" customHeight="1" x14ac:dyDescent="0.5">
      <c r="A22" s="1" t="s">
        <v>53</v>
      </c>
    </row>
    <row r="23" spans="1:3" ht="28" customHeight="1" x14ac:dyDescent="0.35">
      <c r="A23" s="4" t="s">
        <v>54</v>
      </c>
      <c r="B23" s="52" t="s">
        <v>55</v>
      </c>
      <c r="C23" s="53"/>
    </row>
    <row r="24" spans="1:3" ht="28" customHeight="1" x14ac:dyDescent="0.35">
      <c r="A24" s="4" t="s">
        <v>56</v>
      </c>
      <c r="B24" s="52" t="s">
        <v>57</v>
      </c>
      <c r="C24" s="53"/>
    </row>
    <row r="25" spans="1:3" ht="28" customHeight="1" x14ac:dyDescent="0.35">
      <c r="A25" s="4" t="s">
        <v>58</v>
      </c>
      <c r="B25" s="52" t="s">
        <v>59</v>
      </c>
      <c r="C25" s="53"/>
    </row>
    <row r="26" spans="1:3" ht="28" customHeight="1" x14ac:dyDescent="0.35">
      <c r="A26" s="4" t="s">
        <v>60</v>
      </c>
      <c r="B26" s="52" t="s">
        <v>61</v>
      </c>
      <c r="C26" s="53"/>
    </row>
    <row r="27" spans="1:3" ht="28" customHeight="1" x14ac:dyDescent="0.35">
      <c r="A27" s="4" t="s">
        <v>62</v>
      </c>
      <c r="B27" s="52" t="s">
        <v>63</v>
      </c>
      <c r="C27" s="53"/>
    </row>
  </sheetData>
  <mergeCells count="10">
    <mergeCell ref="A2:G2"/>
    <mergeCell ref="B26:C26"/>
    <mergeCell ref="B27:C27"/>
    <mergeCell ref="A20:C20"/>
    <mergeCell ref="B24:C24"/>
    <mergeCell ref="A19:C19"/>
    <mergeCell ref="B25:C25"/>
    <mergeCell ref="A17:C17"/>
    <mergeCell ref="A18:C18"/>
    <mergeCell ref="B23:C23"/>
  </mergeCells>
  <pageMargins left="0.75" right="0.75" top="1" bottom="1" header="0.5" footer="0.5"/>
  <pageSetup paperSize="9" orientation="landscape"/>
  <headerFooter>
    <oddHeader>&amp;LBizBoard founder view</oddHead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
  <sheetViews>
    <sheetView showGridLines="0" workbookViewId="0"/>
  </sheetViews>
  <sheetFormatPr defaultRowHeight="14.5" x14ac:dyDescent="0.35"/>
  <cols>
    <col min="1" max="1" width="26" customWidth="1"/>
    <col min="2" max="2" width="10" customWidth="1"/>
    <col min="3" max="3" width="12" customWidth="1"/>
    <col min="4" max="5" width="14" customWidth="1"/>
    <col min="6" max="6" width="24" customWidth="1"/>
    <col min="7" max="7" width="16" customWidth="1"/>
    <col min="8" max="8" width="12" customWidth="1"/>
    <col min="9" max="9" width="22" customWidth="1"/>
  </cols>
  <sheetData>
    <row r="1" spans="1:9" ht="28" customHeight="1" x14ac:dyDescent="0.5">
      <c r="A1" s="1" t="s">
        <v>64</v>
      </c>
    </row>
    <row r="2" spans="1:9" ht="32" customHeight="1" x14ac:dyDescent="0.35">
      <c r="A2" s="56" t="s">
        <v>65</v>
      </c>
      <c r="B2" s="55"/>
      <c r="C2" s="55"/>
      <c r="D2" s="55"/>
      <c r="E2" s="55"/>
      <c r="F2" s="55"/>
      <c r="G2" s="55"/>
    </row>
    <row r="3" spans="1:9" x14ac:dyDescent="0.35">
      <c r="A3" s="3" t="s">
        <v>66</v>
      </c>
      <c r="B3" s="3" t="s">
        <v>26</v>
      </c>
      <c r="C3" s="3" t="s">
        <v>67</v>
      </c>
      <c r="D3" s="3" t="s">
        <v>68</v>
      </c>
      <c r="E3" s="3" t="s">
        <v>69</v>
      </c>
      <c r="F3" s="3" t="s">
        <v>70</v>
      </c>
      <c r="G3" s="3" t="s">
        <v>71</v>
      </c>
      <c r="H3" s="3" t="s">
        <v>72</v>
      </c>
      <c r="I3" s="3" t="s">
        <v>73</v>
      </c>
    </row>
    <row r="4" spans="1:9" ht="22" customHeight="1" x14ac:dyDescent="0.35">
      <c r="A4" s="23" t="s">
        <v>74</v>
      </c>
      <c r="B4" s="23">
        <f>COUNTIF(TaskRegister[Persona canonical],A4)</f>
        <v>39</v>
      </c>
      <c r="C4" s="23">
        <f>COUNTIFS(TaskRegister[Persona canonical],$A4,TaskRegister[Release gate],"MVP")</f>
        <v>6</v>
      </c>
      <c r="D4" s="23">
        <f>COUNTIFS(TaskRegister[Persona canonical],$A4,TaskRegister[Release gate],"MVP",TaskRegister[Verification result],"Pass")</f>
        <v>3</v>
      </c>
      <c r="E4" s="23">
        <f>COUNTIFS(TaskRegister[Persona canonical],$A4,TaskRegister[Release gate],"MVP",TaskRegister[Integrity evidence],"&lt;&gt;Not verified")</f>
        <v>0</v>
      </c>
      <c r="F4" s="23">
        <f>COUNTIFS(TaskRegister[Persona canonical],$A4,TaskRegister[Release gate],"MVP",TaskRegister[Recovery evidence],"&lt;&gt;Not verified",TaskRegister[Security evidence],"&lt;&gt;Not verified",TaskRegister[Concurrency evidence],"&lt;&gt;Not verified")</f>
        <v>0</v>
      </c>
      <c r="G4" s="23">
        <f>COUNTIFS(TaskRegister[Persona canonical],$A4,TaskRegister[Release gate],"MVP",TaskRegister[G4 user validated],"Yes")</f>
        <v>0</v>
      </c>
      <c r="H4" s="23">
        <f>COUNTIFS(TaskRegister[Persona canonical],$A4,TaskRegister[Release gate],"MVP",TaskRegister[G5 outcome measured],"Yes")</f>
        <v>0</v>
      </c>
      <c r="I4" s="23">
        <f>COUNTIFS(TaskRegister[Persona canonical],$A4,TaskRegister[Release gate],"MVP",TaskRegister[OS ready],"Yes")</f>
        <v>0</v>
      </c>
    </row>
    <row r="5" spans="1:9" ht="22" customHeight="1" x14ac:dyDescent="0.35">
      <c r="A5" s="23" t="s">
        <v>75</v>
      </c>
      <c r="B5" s="23">
        <f>COUNTIF(TaskRegister[Persona canonical],A5)</f>
        <v>37</v>
      </c>
      <c r="C5" s="23">
        <f>COUNTIFS(TaskRegister[Persona canonical],$A5,TaskRegister[Release gate],"MVP")</f>
        <v>3</v>
      </c>
      <c r="D5" s="23">
        <f>COUNTIFS(TaskRegister[Persona canonical],$A5,TaskRegister[Release gate],"MVP",TaskRegister[Verification result],"Pass")</f>
        <v>1</v>
      </c>
      <c r="E5" s="23">
        <f>COUNTIFS(TaskRegister[Persona canonical],$A5,TaskRegister[Release gate],"MVP",TaskRegister[Integrity evidence],"&lt;&gt;Not verified")</f>
        <v>0</v>
      </c>
      <c r="F5" s="23">
        <f>COUNTIFS(TaskRegister[Persona canonical],$A5,TaskRegister[Release gate],"MVP",TaskRegister[Recovery evidence],"&lt;&gt;Not verified",TaskRegister[Security evidence],"&lt;&gt;Not verified",TaskRegister[Concurrency evidence],"&lt;&gt;Not verified")</f>
        <v>0</v>
      </c>
      <c r="G5" s="23">
        <f>COUNTIFS(TaskRegister[Persona canonical],$A5,TaskRegister[Release gate],"MVP",TaskRegister[G4 user validated],"Yes")</f>
        <v>0</v>
      </c>
      <c r="H5" s="23">
        <f>COUNTIFS(TaskRegister[Persona canonical],$A5,TaskRegister[Release gate],"MVP",TaskRegister[G5 outcome measured],"Yes")</f>
        <v>0</v>
      </c>
      <c r="I5" s="23">
        <f>COUNTIFS(TaskRegister[Persona canonical],$A5,TaskRegister[Release gate],"MVP",TaskRegister[OS ready],"Yes")</f>
        <v>0</v>
      </c>
    </row>
    <row r="6" spans="1:9" ht="22" customHeight="1" x14ac:dyDescent="0.35">
      <c r="A6" s="23" t="s">
        <v>76</v>
      </c>
      <c r="B6" s="23">
        <f>COUNTIF(TaskRegister[Persona canonical],A6)</f>
        <v>146</v>
      </c>
      <c r="C6" s="23">
        <f>COUNTIFS(TaskRegister[Persona canonical],$A6,TaskRegister[Release gate],"MVP")</f>
        <v>17</v>
      </c>
      <c r="D6" s="23">
        <f>COUNTIFS(TaskRegister[Persona canonical],$A6,TaskRegister[Release gate],"MVP",TaskRegister[Verification result],"Pass")</f>
        <v>9</v>
      </c>
      <c r="E6" s="23">
        <f>COUNTIFS(TaskRegister[Persona canonical],$A6,TaskRegister[Release gate],"MVP",TaskRegister[Integrity evidence],"&lt;&gt;Not verified")</f>
        <v>0</v>
      </c>
      <c r="F6" s="23">
        <f>COUNTIFS(TaskRegister[Persona canonical],$A6,TaskRegister[Release gate],"MVP",TaskRegister[Recovery evidence],"&lt;&gt;Not verified",TaskRegister[Security evidence],"&lt;&gt;Not verified",TaskRegister[Concurrency evidence],"&lt;&gt;Not verified")</f>
        <v>0</v>
      </c>
      <c r="G6" s="23">
        <f>COUNTIFS(TaskRegister[Persona canonical],$A6,TaskRegister[Release gate],"MVP",TaskRegister[G4 user validated],"Yes")</f>
        <v>0</v>
      </c>
      <c r="H6" s="23">
        <f>COUNTIFS(TaskRegister[Persona canonical],$A6,TaskRegister[Release gate],"MVP",TaskRegister[G5 outcome measured],"Yes")</f>
        <v>0</v>
      </c>
      <c r="I6" s="23">
        <f>COUNTIFS(TaskRegister[Persona canonical],$A6,TaskRegister[Release gate],"MVP",TaskRegister[OS ready],"Yes")</f>
        <v>0</v>
      </c>
    </row>
    <row r="8" spans="1:9" ht="32" customHeight="1" x14ac:dyDescent="0.35">
      <c r="A8" s="7" t="s">
        <v>77</v>
      </c>
      <c r="B8" s="54" t="s">
        <v>78</v>
      </c>
      <c r="C8" s="55"/>
      <c r="D8" s="55"/>
      <c r="E8" s="55"/>
      <c r="F8" s="55"/>
    </row>
  </sheetData>
  <mergeCells count="2">
    <mergeCell ref="A2:G2"/>
    <mergeCell ref="B8:F8"/>
  </mergeCell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3"/>
  <sheetViews>
    <sheetView workbookViewId="0">
      <pane ySplit="3" topLeftCell="A4" activePane="bottomLeft" state="frozen"/>
      <selection pane="bottomLeft"/>
    </sheetView>
  </sheetViews>
  <sheetFormatPr defaultRowHeight="14.5" x14ac:dyDescent="0.35"/>
  <cols>
    <col min="1" max="1" width="11" customWidth="1"/>
    <col min="2" max="2" width="38" customWidth="1"/>
    <col min="3" max="3" width="9" customWidth="1"/>
    <col min="4" max="4" width="22" customWidth="1"/>
    <col min="5" max="5" width="48" customWidth="1"/>
    <col min="6" max="6" width="52" customWidth="1"/>
    <col min="7" max="7" width="20" customWidth="1"/>
    <col min="8" max="8" width="12" customWidth="1"/>
    <col min="9" max="9" width="18" customWidth="1"/>
    <col min="10" max="10" width="16" customWidth="1"/>
    <col min="11" max="11" width="14" customWidth="1"/>
    <col min="12" max="12" width="60" customWidth="1"/>
  </cols>
  <sheetData>
    <row r="1" spans="1:12" ht="21" customHeight="1" x14ac:dyDescent="0.5">
      <c r="A1" s="1" t="s">
        <v>79</v>
      </c>
    </row>
    <row r="2" spans="1:12" ht="208" customHeight="1" x14ac:dyDescent="0.35">
      <c r="A2" s="2" t="s">
        <v>80</v>
      </c>
    </row>
    <row r="3" spans="1:12" ht="29" customHeight="1" x14ac:dyDescent="0.35">
      <c r="A3" s="3" t="s">
        <v>81</v>
      </c>
      <c r="B3" s="3" t="s">
        <v>82</v>
      </c>
      <c r="C3" s="3" t="s">
        <v>83</v>
      </c>
      <c r="D3" s="3" t="s">
        <v>84</v>
      </c>
      <c r="E3" s="3" t="s">
        <v>85</v>
      </c>
      <c r="F3" s="3" t="s">
        <v>86</v>
      </c>
      <c r="G3" s="3" t="s">
        <v>87</v>
      </c>
      <c r="H3" s="3" t="s">
        <v>88</v>
      </c>
      <c r="I3" s="3" t="s">
        <v>89</v>
      </c>
      <c r="J3" s="3" t="s">
        <v>90</v>
      </c>
      <c r="K3" s="3" t="s">
        <v>91</v>
      </c>
    </row>
    <row r="4" spans="1:12" ht="26" customHeight="1" x14ac:dyDescent="0.35">
      <c r="A4" s="23" t="s">
        <v>92</v>
      </c>
      <c r="B4" s="23" t="s">
        <v>93</v>
      </c>
      <c r="C4" s="23" t="s">
        <v>94</v>
      </c>
      <c r="D4" s="23" t="s">
        <v>95</v>
      </c>
      <c r="E4" s="23" t="s">
        <v>96</v>
      </c>
      <c r="F4" s="23" t="s">
        <v>97</v>
      </c>
      <c r="G4" s="23" t="s">
        <v>98</v>
      </c>
      <c r="H4" s="23" t="s">
        <v>99</v>
      </c>
      <c r="I4" s="23" t="s">
        <v>100</v>
      </c>
      <c r="J4" s="23" t="s">
        <v>101</v>
      </c>
      <c r="K4" s="24">
        <v>46299</v>
      </c>
      <c r="L4" s="37" t="s">
        <v>102</v>
      </c>
    </row>
    <row r="5" spans="1:12" ht="26" customHeight="1" x14ac:dyDescent="0.35">
      <c r="A5" s="23" t="s">
        <v>103</v>
      </c>
      <c r="B5" s="23" t="s">
        <v>104</v>
      </c>
      <c r="C5" s="23" t="s">
        <v>94</v>
      </c>
      <c r="D5" s="23" t="s">
        <v>95</v>
      </c>
      <c r="E5" s="23" t="s">
        <v>105</v>
      </c>
      <c r="F5" s="23" t="s">
        <v>106</v>
      </c>
      <c r="G5" s="23" t="s">
        <v>98</v>
      </c>
      <c r="H5" s="23" t="s">
        <v>99</v>
      </c>
      <c r="I5" s="23" t="s">
        <v>107</v>
      </c>
      <c r="J5" s="23" t="s">
        <v>101</v>
      </c>
      <c r="K5" s="24">
        <v>46299</v>
      </c>
      <c r="L5" s="38" t="s">
        <v>108</v>
      </c>
    </row>
    <row r="6" spans="1:12" ht="26" customHeight="1" x14ac:dyDescent="0.35">
      <c r="A6" s="23" t="s">
        <v>109</v>
      </c>
      <c r="B6" s="23" t="s">
        <v>110</v>
      </c>
      <c r="C6" s="23" t="s">
        <v>94</v>
      </c>
      <c r="D6" s="23" t="s">
        <v>95</v>
      </c>
      <c r="E6" s="23" t="s">
        <v>111</v>
      </c>
      <c r="F6" s="23" t="s">
        <v>112</v>
      </c>
      <c r="G6" s="23" t="s">
        <v>98</v>
      </c>
      <c r="H6" s="23" t="s">
        <v>99</v>
      </c>
      <c r="I6" s="23" t="s">
        <v>113</v>
      </c>
      <c r="J6" s="23" t="s">
        <v>101</v>
      </c>
      <c r="K6" s="24">
        <v>46299</v>
      </c>
      <c r="L6" s="38" t="s">
        <v>114</v>
      </c>
    </row>
    <row r="7" spans="1:12" ht="26" customHeight="1" x14ac:dyDescent="0.35">
      <c r="A7" s="23" t="s">
        <v>115</v>
      </c>
      <c r="B7" s="23" t="s">
        <v>116</v>
      </c>
      <c r="C7" s="23" t="s">
        <v>94</v>
      </c>
      <c r="D7" s="23" t="s">
        <v>95</v>
      </c>
      <c r="E7" s="23" t="s">
        <v>117</v>
      </c>
      <c r="F7" s="23" t="s">
        <v>118</v>
      </c>
      <c r="G7" s="23" t="s">
        <v>119</v>
      </c>
      <c r="H7" s="23" t="s">
        <v>99</v>
      </c>
      <c r="I7" s="23" t="s">
        <v>120</v>
      </c>
      <c r="J7" s="23" t="s">
        <v>101</v>
      </c>
      <c r="K7" s="24">
        <v>46299</v>
      </c>
      <c r="L7" s="38" t="s">
        <v>121</v>
      </c>
    </row>
    <row r="8" spans="1:12" ht="26" customHeight="1" x14ac:dyDescent="0.35">
      <c r="A8" s="23" t="s">
        <v>122</v>
      </c>
      <c r="B8" s="23" t="s">
        <v>123</v>
      </c>
      <c r="C8" s="23" t="s">
        <v>94</v>
      </c>
      <c r="D8" s="23" t="s">
        <v>124</v>
      </c>
      <c r="E8" s="23" t="s">
        <v>125</v>
      </c>
      <c r="F8" s="23" t="s">
        <v>126</v>
      </c>
      <c r="G8" s="23" t="s">
        <v>127</v>
      </c>
      <c r="H8" s="23" t="s">
        <v>99</v>
      </c>
      <c r="I8" s="23" t="s">
        <v>128</v>
      </c>
      <c r="J8" s="23" t="s">
        <v>101</v>
      </c>
      <c r="K8" s="24">
        <v>46299</v>
      </c>
      <c r="L8" s="38" t="s">
        <v>129</v>
      </c>
    </row>
    <row r="9" spans="1:12" ht="26" customHeight="1" x14ac:dyDescent="0.35">
      <c r="A9" s="23" t="s">
        <v>130</v>
      </c>
      <c r="B9" s="23" t="s">
        <v>131</v>
      </c>
      <c r="C9" s="23" t="s">
        <v>94</v>
      </c>
      <c r="D9" s="23" t="s">
        <v>95</v>
      </c>
      <c r="E9" s="23" t="s">
        <v>132</v>
      </c>
      <c r="F9" s="23" t="s">
        <v>133</v>
      </c>
      <c r="G9" s="23" t="s">
        <v>134</v>
      </c>
      <c r="H9" s="23" t="s">
        <v>135</v>
      </c>
      <c r="I9" s="23" t="s">
        <v>136</v>
      </c>
      <c r="J9" s="23" t="s">
        <v>101</v>
      </c>
      <c r="K9" s="24">
        <v>46299</v>
      </c>
      <c r="L9" s="38" t="s">
        <v>137</v>
      </c>
    </row>
    <row r="10" spans="1:12" ht="26" customHeight="1" x14ac:dyDescent="0.35">
      <c r="A10" s="23" t="s">
        <v>138</v>
      </c>
      <c r="B10" s="23" t="s">
        <v>139</v>
      </c>
      <c r="C10" s="23" t="s">
        <v>94</v>
      </c>
      <c r="D10" s="23" t="s">
        <v>95</v>
      </c>
      <c r="E10" s="23" t="s">
        <v>140</v>
      </c>
      <c r="F10" s="23" t="s">
        <v>141</v>
      </c>
      <c r="G10" s="23" t="s">
        <v>142</v>
      </c>
      <c r="H10" s="23" t="s">
        <v>99</v>
      </c>
      <c r="I10" s="23" t="s">
        <v>143</v>
      </c>
      <c r="J10" s="23" t="s">
        <v>101</v>
      </c>
      <c r="K10" s="24">
        <v>46299</v>
      </c>
      <c r="L10" s="38" t="s">
        <v>144</v>
      </c>
    </row>
    <row r="11" spans="1:12" ht="39" customHeight="1" x14ac:dyDescent="0.35">
      <c r="A11" s="23" t="s">
        <v>145</v>
      </c>
      <c r="B11" s="23" t="s">
        <v>146</v>
      </c>
      <c r="C11" s="23" t="s">
        <v>94</v>
      </c>
      <c r="D11" s="23" t="s">
        <v>124</v>
      </c>
      <c r="E11" s="23" t="s">
        <v>147</v>
      </c>
      <c r="F11" s="23" t="s">
        <v>148</v>
      </c>
      <c r="G11" s="23" t="s">
        <v>127</v>
      </c>
      <c r="H11" s="23" t="s">
        <v>135</v>
      </c>
      <c r="I11" s="23" t="s">
        <v>149</v>
      </c>
      <c r="J11" s="23" t="s">
        <v>101</v>
      </c>
      <c r="K11" s="24">
        <v>46299</v>
      </c>
      <c r="L11" s="38" t="s">
        <v>150</v>
      </c>
    </row>
    <row r="12" spans="1:12" ht="26" customHeight="1" x14ac:dyDescent="0.35">
      <c r="A12" s="23" t="s">
        <v>151</v>
      </c>
      <c r="B12" s="23" t="s">
        <v>152</v>
      </c>
      <c r="C12" s="23" t="s">
        <v>94</v>
      </c>
      <c r="D12" s="23" t="s">
        <v>124</v>
      </c>
      <c r="E12" s="23" t="s">
        <v>147</v>
      </c>
      <c r="F12" s="23" t="s">
        <v>153</v>
      </c>
      <c r="G12" s="23" t="s">
        <v>127</v>
      </c>
      <c r="H12" s="23" t="s">
        <v>135</v>
      </c>
      <c r="I12" s="23" t="s">
        <v>154</v>
      </c>
      <c r="J12" s="23" t="s">
        <v>101</v>
      </c>
      <c r="K12" s="24">
        <v>46299</v>
      </c>
      <c r="L12" s="38" t="s">
        <v>155</v>
      </c>
    </row>
    <row r="13" spans="1:12" ht="52" customHeight="1" x14ac:dyDescent="0.35">
      <c r="A13" s="23" t="s">
        <v>156</v>
      </c>
      <c r="B13" s="23" t="s">
        <v>157</v>
      </c>
      <c r="C13" s="23" t="s">
        <v>94</v>
      </c>
      <c r="D13" s="23" t="s">
        <v>124</v>
      </c>
      <c r="E13" s="23" t="s">
        <v>147</v>
      </c>
      <c r="F13" s="23" t="s">
        <v>158</v>
      </c>
      <c r="G13" s="23" t="s">
        <v>127</v>
      </c>
      <c r="H13" s="23" t="s">
        <v>135</v>
      </c>
      <c r="I13" s="23" t="s">
        <v>154</v>
      </c>
      <c r="J13" s="23" t="s">
        <v>101</v>
      </c>
      <c r="K13" s="24">
        <v>46299</v>
      </c>
      <c r="L13" s="38" t="s">
        <v>159</v>
      </c>
    </row>
    <row r="14" spans="1:12" ht="26" customHeight="1" x14ac:dyDescent="0.35">
      <c r="A14" s="23" t="s">
        <v>160</v>
      </c>
      <c r="B14" s="23" t="s">
        <v>161</v>
      </c>
      <c r="C14" s="23" t="s">
        <v>162</v>
      </c>
      <c r="D14" s="23" t="s">
        <v>163</v>
      </c>
      <c r="E14" s="23" t="s">
        <v>164</v>
      </c>
      <c r="F14" s="23" t="s">
        <v>165</v>
      </c>
      <c r="G14" s="23" t="s">
        <v>127</v>
      </c>
      <c r="H14" s="23" t="s">
        <v>166</v>
      </c>
      <c r="I14" s="23" t="s">
        <v>167</v>
      </c>
      <c r="J14" s="23" t="s">
        <v>101</v>
      </c>
      <c r="K14" s="24">
        <v>46299</v>
      </c>
      <c r="L14" s="38" t="s">
        <v>168</v>
      </c>
    </row>
    <row r="15" spans="1:12" ht="26" customHeight="1" x14ac:dyDescent="0.35">
      <c r="A15" s="23" t="s">
        <v>169</v>
      </c>
      <c r="B15" s="23" t="s">
        <v>170</v>
      </c>
      <c r="C15" s="23" t="s">
        <v>162</v>
      </c>
      <c r="D15" s="23" t="s">
        <v>163</v>
      </c>
      <c r="E15" s="23" t="s">
        <v>171</v>
      </c>
      <c r="F15" s="23" t="s">
        <v>172</v>
      </c>
      <c r="G15" s="23" t="s">
        <v>127</v>
      </c>
      <c r="H15" s="23" t="s">
        <v>166</v>
      </c>
      <c r="I15" s="23" t="s">
        <v>173</v>
      </c>
      <c r="J15" s="23" t="s">
        <v>101</v>
      </c>
      <c r="K15" s="24">
        <v>46299</v>
      </c>
      <c r="L15" s="38" t="s">
        <v>168</v>
      </c>
    </row>
    <row r="16" spans="1:12" ht="26" customHeight="1" x14ac:dyDescent="0.35">
      <c r="A16" s="23" t="s">
        <v>174</v>
      </c>
      <c r="B16" s="23" t="s">
        <v>175</v>
      </c>
      <c r="C16" s="23" t="s">
        <v>162</v>
      </c>
      <c r="D16" s="23" t="s">
        <v>163</v>
      </c>
      <c r="E16" s="23" t="s">
        <v>164</v>
      </c>
      <c r="F16" s="23" t="s">
        <v>176</v>
      </c>
      <c r="G16" s="23" t="s">
        <v>127</v>
      </c>
      <c r="H16" s="23" t="s">
        <v>177</v>
      </c>
      <c r="I16" s="23" t="s">
        <v>178</v>
      </c>
      <c r="J16" s="23" t="s">
        <v>101</v>
      </c>
      <c r="K16" s="24">
        <v>46299</v>
      </c>
      <c r="L16" s="38" t="s">
        <v>179</v>
      </c>
    </row>
    <row r="17" spans="1:12" ht="26" customHeight="1" x14ac:dyDescent="0.35">
      <c r="A17" s="23" t="s">
        <v>180</v>
      </c>
      <c r="B17" s="23" t="s">
        <v>181</v>
      </c>
      <c r="C17" s="23" t="s">
        <v>162</v>
      </c>
      <c r="D17" s="23" t="s">
        <v>95</v>
      </c>
      <c r="E17" s="23" t="s">
        <v>182</v>
      </c>
      <c r="F17" s="23" t="s">
        <v>183</v>
      </c>
      <c r="G17" s="23" t="s">
        <v>127</v>
      </c>
      <c r="H17" s="23" t="s">
        <v>166</v>
      </c>
      <c r="I17" s="23" t="s">
        <v>184</v>
      </c>
      <c r="J17" s="23" t="s">
        <v>101</v>
      </c>
      <c r="K17" s="24">
        <v>46299</v>
      </c>
      <c r="L17" s="38" t="s">
        <v>185</v>
      </c>
    </row>
    <row r="18" spans="1:12" ht="26" customHeight="1" x14ac:dyDescent="0.35">
      <c r="A18" s="23" t="s">
        <v>186</v>
      </c>
      <c r="B18" s="23" t="s">
        <v>187</v>
      </c>
      <c r="C18" s="23" t="s">
        <v>162</v>
      </c>
      <c r="D18" s="23" t="s">
        <v>95</v>
      </c>
      <c r="E18" s="23" t="s">
        <v>188</v>
      </c>
      <c r="F18" s="23" t="s">
        <v>189</v>
      </c>
      <c r="G18" s="23" t="s">
        <v>127</v>
      </c>
      <c r="H18" s="23" t="s">
        <v>135</v>
      </c>
      <c r="I18" s="23" t="s">
        <v>190</v>
      </c>
      <c r="J18" s="23" t="s">
        <v>101</v>
      </c>
      <c r="K18" s="24">
        <v>46299</v>
      </c>
      <c r="L18" s="38" t="s">
        <v>191</v>
      </c>
    </row>
    <row r="19" spans="1:12" ht="26" customHeight="1" x14ac:dyDescent="0.35">
      <c r="A19" s="23" t="s">
        <v>192</v>
      </c>
      <c r="B19" s="23" t="s">
        <v>193</v>
      </c>
      <c r="C19" s="23" t="s">
        <v>162</v>
      </c>
      <c r="D19" s="23" t="s">
        <v>95</v>
      </c>
      <c r="E19" s="23" t="s">
        <v>194</v>
      </c>
      <c r="F19" s="23" t="s">
        <v>189</v>
      </c>
      <c r="G19" s="23" t="s">
        <v>127</v>
      </c>
      <c r="H19" s="23" t="s">
        <v>135</v>
      </c>
      <c r="I19" s="23" t="s">
        <v>190</v>
      </c>
      <c r="J19" s="23" t="s">
        <v>101</v>
      </c>
      <c r="K19" s="24">
        <v>46299</v>
      </c>
      <c r="L19" s="38" t="s">
        <v>195</v>
      </c>
    </row>
    <row r="20" spans="1:12" ht="26" customHeight="1" x14ac:dyDescent="0.35">
      <c r="A20" s="23" t="s">
        <v>196</v>
      </c>
      <c r="B20" s="23" t="s">
        <v>197</v>
      </c>
      <c r="C20" s="23" t="s">
        <v>162</v>
      </c>
      <c r="D20" s="23" t="s">
        <v>163</v>
      </c>
      <c r="E20" s="23" t="s">
        <v>198</v>
      </c>
      <c r="F20" s="23" t="s">
        <v>199</v>
      </c>
      <c r="G20" s="23" t="s">
        <v>127</v>
      </c>
      <c r="H20" s="23" t="s">
        <v>166</v>
      </c>
      <c r="I20" s="23" t="s">
        <v>200</v>
      </c>
      <c r="J20" s="23" t="s">
        <v>101</v>
      </c>
      <c r="K20" s="24">
        <v>46299</v>
      </c>
      <c r="L20" s="38" t="s">
        <v>201</v>
      </c>
    </row>
    <row r="21" spans="1:12" ht="26" customHeight="1" x14ac:dyDescent="0.35">
      <c r="A21" s="23" t="s">
        <v>202</v>
      </c>
      <c r="B21" s="23" t="s">
        <v>203</v>
      </c>
      <c r="C21" s="23" t="s">
        <v>204</v>
      </c>
      <c r="D21" s="23" t="s">
        <v>163</v>
      </c>
      <c r="E21" s="23" t="s">
        <v>205</v>
      </c>
      <c r="F21" s="23" t="s">
        <v>206</v>
      </c>
      <c r="G21" s="23" t="s">
        <v>127</v>
      </c>
      <c r="H21" s="23" t="s">
        <v>166</v>
      </c>
      <c r="I21" s="23" t="s">
        <v>200</v>
      </c>
      <c r="J21" s="23" t="s">
        <v>101</v>
      </c>
      <c r="K21" s="24">
        <v>46299</v>
      </c>
      <c r="L21" s="38" t="s">
        <v>207</v>
      </c>
    </row>
    <row r="22" spans="1:12" ht="26" customHeight="1" x14ac:dyDescent="0.35">
      <c r="A22" s="23" t="s">
        <v>208</v>
      </c>
      <c r="B22" s="23" t="s">
        <v>209</v>
      </c>
      <c r="C22" s="23" t="s">
        <v>162</v>
      </c>
      <c r="D22" s="23" t="s">
        <v>163</v>
      </c>
      <c r="E22" s="23" t="s">
        <v>205</v>
      </c>
      <c r="F22" s="23" t="s">
        <v>199</v>
      </c>
      <c r="G22" s="23" t="s">
        <v>127</v>
      </c>
      <c r="H22" s="23" t="s">
        <v>166</v>
      </c>
      <c r="I22" s="23" t="s">
        <v>200</v>
      </c>
      <c r="J22" s="23" t="s">
        <v>101</v>
      </c>
      <c r="K22" s="24">
        <v>46299</v>
      </c>
      <c r="L22" s="38" t="s">
        <v>210</v>
      </c>
    </row>
    <row r="23" spans="1:12" ht="26" customHeight="1" x14ac:dyDescent="0.35">
      <c r="A23" s="23" t="s">
        <v>211</v>
      </c>
      <c r="B23" s="23" t="s">
        <v>212</v>
      </c>
      <c r="C23" s="23" t="s">
        <v>213</v>
      </c>
      <c r="D23" s="23" t="s">
        <v>163</v>
      </c>
      <c r="E23" s="23" t="s">
        <v>205</v>
      </c>
      <c r="F23" s="23" t="s">
        <v>199</v>
      </c>
      <c r="G23" s="23" t="s">
        <v>127</v>
      </c>
      <c r="H23" s="23" t="s">
        <v>166</v>
      </c>
      <c r="I23" s="23" t="s">
        <v>214</v>
      </c>
      <c r="J23" s="23" t="s">
        <v>101</v>
      </c>
      <c r="K23" s="24">
        <v>46299</v>
      </c>
      <c r="L23" s="38" t="s">
        <v>215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9"/>
  <sheetViews>
    <sheetView workbookViewId="0">
      <pane ySplit="3" topLeftCell="A4" activePane="bottomLeft" state="frozen"/>
      <selection pane="bottomLeft"/>
    </sheetView>
  </sheetViews>
  <sheetFormatPr defaultRowHeight="14.5" x14ac:dyDescent="0.35"/>
  <cols>
    <col min="1" max="1" width="11" customWidth="1"/>
    <col min="2" max="2" width="46" customWidth="1"/>
    <col min="3" max="4" width="16" customWidth="1"/>
    <col min="5" max="5" width="14" customWidth="1"/>
    <col min="6" max="6" width="60" customWidth="1"/>
    <col min="7" max="7" width="28" customWidth="1"/>
    <col min="8" max="8" width="14" customWidth="1"/>
    <col min="9" max="9" width="16" customWidth="1"/>
    <col min="10" max="10" width="18" customWidth="1"/>
    <col min="11" max="11" width="50" customWidth="1"/>
    <col min="12" max="12" width="60" customWidth="1"/>
  </cols>
  <sheetData>
    <row r="1" spans="1:12" ht="21" customHeight="1" x14ac:dyDescent="0.5">
      <c r="A1" s="1" t="s">
        <v>216</v>
      </c>
    </row>
    <row r="2" spans="1:12" ht="182" customHeight="1" x14ac:dyDescent="0.35">
      <c r="A2" s="2" t="s">
        <v>217</v>
      </c>
    </row>
    <row r="3" spans="1:12" x14ac:dyDescent="0.35">
      <c r="A3" s="3" t="s">
        <v>81</v>
      </c>
      <c r="B3" s="3" t="s">
        <v>218</v>
      </c>
      <c r="C3" s="3" t="s">
        <v>219</v>
      </c>
      <c r="D3" s="3" t="s">
        <v>220</v>
      </c>
      <c r="E3" s="3" t="s">
        <v>221</v>
      </c>
      <c r="F3" s="3" t="s">
        <v>222</v>
      </c>
      <c r="G3" s="3" t="s">
        <v>223</v>
      </c>
      <c r="H3" s="3" t="s">
        <v>89</v>
      </c>
      <c r="I3" s="3" t="s">
        <v>90</v>
      </c>
      <c r="J3" s="3" t="s">
        <v>224</v>
      </c>
      <c r="K3" s="3" t="s">
        <v>225</v>
      </c>
      <c r="L3" s="37" t="s">
        <v>102</v>
      </c>
    </row>
    <row r="4" spans="1:12" ht="26" customHeight="1" x14ac:dyDescent="0.35">
      <c r="A4" s="23" t="s">
        <v>226</v>
      </c>
      <c r="B4" s="23" t="s">
        <v>227</v>
      </c>
      <c r="C4" s="23" t="s">
        <v>228</v>
      </c>
      <c r="D4" s="23" t="s">
        <v>229</v>
      </c>
      <c r="E4" s="23" t="s">
        <v>95</v>
      </c>
      <c r="F4" s="23" t="s">
        <v>230</v>
      </c>
      <c r="G4" s="23" t="s">
        <v>231</v>
      </c>
      <c r="H4" s="23" t="s">
        <v>232</v>
      </c>
      <c r="I4" s="23" t="s">
        <v>101</v>
      </c>
      <c r="J4">
        <v>2</v>
      </c>
      <c r="K4" s="25" t="s">
        <v>233</v>
      </c>
      <c r="L4" s="38" t="s">
        <v>234</v>
      </c>
    </row>
    <row r="5" spans="1:12" ht="26" customHeight="1" x14ac:dyDescent="0.35">
      <c r="A5" s="23" t="s">
        <v>235</v>
      </c>
      <c r="B5" s="23" t="s">
        <v>236</v>
      </c>
      <c r="C5" s="23" t="s">
        <v>228</v>
      </c>
      <c r="D5" s="23" t="s">
        <v>229</v>
      </c>
      <c r="E5" s="23" t="s">
        <v>95</v>
      </c>
      <c r="F5" s="23" t="s">
        <v>237</v>
      </c>
      <c r="G5" s="23" t="s">
        <v>231</v>
      </c>
      <c r="H5" s="23" t="s">
        <v>232</v>
      </c>
      <c r="I5" s="23" t="s">
        <v>101</v>
      </c>
      <c r="J5">
        <v>4</v>
      </c>
      <c r="K5" s="25" t="s">
        <v>238</v>
      </c>
      <c r="L5" s="38" t="s">
        <v>239</v>
      </c>
    </row>
    <row r="6" spans="1:12" ht="26" customHeight="1" x14ac:dyDescent="0.35">
      <c r="A6" s="23" t="s">
        <v>240</v>
      </c>
      <c r="B6" s="23" t="s">
        <v>241</v>
      </c>
      <c r="C6" s="23" t="s">
        <v>228</v>
      </c>
      <c r="D6" s="23" t="s">
        <v>229</v>
      </c>
      <c r="E6" s="23" t="s">
        <v>95</v>
      </c>
      <c r="F6" s="23" t="s">
        <v>242</v>
      </c>
      <c r="G6" s="23" t="s">
        <v>231</v>
      </c>
      <c r="H6" s="23" t="s">
        <v>232</v>
      </c>
      <c r="I6" s="23" t="s">
        <v>101</v>
      </c>
      <c r="J6">
        <v>6</v>
      </c>
      <c r="K6" s="25" t="s">
        <v>243</v>
      </c>
      <c r="L6" s="38" t="s">
        <v>244</v>
      </c>
    </row>
    <row r="7" spans="1:12" ht="26" customHeight="1" x14ac:dyDescent="0.35">
      <c r="A7" s="23" t="s">
        <v>245</v>
      </c>
      <c r="B7" s="23" t="s">
        <v>246</v>
      </c>
      <c r="C7" s="23" t="s">
        <v>228</v>
      </c>
      <c r="D7" s="23" t="s">
        <v>229</v>
      </c>
      <c r="E7" s="23" t="s">
        <v>95</v>
      </c>
      <c r="F7" s="23" t="s">
        <v>247</v>
      </c>
      <c r="G7" s="23" t="s">
        <v>231</v>
      </c>
      <c r="H7" s="23" t="s">
        <v>232</v>
      </c>
      <c r="I7" s="23" t="s">
        <v>101</v>
      </c>
      <c r="J7">
        <v>5</v>
      </c>
      <c r="K7" s="25" t="s">
        <v>248</v>
      </c>
      <c r="L7" s="38" t="s">
        <v>249</v>
      </c>
    </row>
    <row r="8" spans="1:12" ht="39" customHeight="1" x14ac:dyDescent="0.35">
      <c r="A8" s="23" t="s">
        <v>92</v>
      </c>
      <c r="B8" s="23" t="s">
        <v>93</v>
      </c>
      <c r="C8" s="23" t="s">
        <v>228</v>
      </c>
      <c r="D8" s="23" t="s">
        <v>229</v>
      </c>
      <c r="E8" s="23" t="s">
        <v>95</v>
      </c>
      <c r="F8" s="23" t="s">
        <v>250</v>
      </c>
      <c r="G8" s="23" t="s">
        <v>231</v>
      </c>
      <c r="H8" s="23" t="s">
        <v>251</v>
      </c>
      <c r="I8" s="23" t="s">
        <v>101</v>
      </c>
      <c r="J8">
        <v>3</v>
      </c>
      <c r="K8" s="25" t="s">
        <v>252</v>
      </c>
      <c r="L8" s="38" t="s">
        <v>253</v>
      </c>
    </row>
    <row r="9" spans="1:12" ht="26" customHeight="1" x14ac:dyDescent="0.35">
      <c r="A9" s="23" t="s">
        <v>254</v>
      </c>
      <c r="B9" s="23" t="s">
        <v>255</v>
      </c>
      <c r="C9" s="23" t="s">
        <v>228</v>
      </c>
      <c r="D9" s="23" t="s">
        <v>229</v>
      </c>
      <c r="E9" s="23" t="s">
        <v>95</v>
      </c>
      <c r="F9" s="23" t="s">
        <v>256</v>
      </c>
      <c r="G9" s="23" t="s">
        <v>231</v>
      </c>
      <c r="H9" s="23" t="s">
        <v>232</v>
      </c>
      <c r="I9" s="23" t="s">
        <v>101</v>
      </c>
      <c r="J9">
        <v>3</v>
      </c>
      <c r="K9" s="25" t="s">
        <v>257</v>
      </c>
      <c r="L9" s="38" t="s">
        <v>258</v>
      </c>
    </row>
    <row r="10" spans="1:12" ht="26" customHeight="1" x14ac:dyDescent="0.35">
      <c r="A10" s="23" t="s">
        <v>259</v>
      </c>
      <c r="B10" s="23" t="s">
        <v>260</v>
      </c>
      <c r="C10" s="23" t="s">
        <v>228</v>
      </c>
      <c r="D10" s="23" t="s">
        <v>229</v>
      </c>
      <c r="E10" s="23" t="s">
        <v>95</v>
      </c>
      <c r="F10" s="23" t="s">
        <v>261</v>
      </c>
      <c r="G10" s="23" t="s">
        <v>231</v>
      </c>
      <c r="H10" s="23" t="s">
        <v>251</v>
      </c>
      <c r="I10" s="23" t="s">
        <v>101</v>
      </c>
      <c r="J10">
        <v>5</v>
      </c>
      <c r="K10" s="25" t="s">
        <v>262</v>
      </c>
      <c r="L10" s="38" t="s">
        <v>263</v>
      </c>
    </row>
    <row r="11" spans="1:12" ht="26" customHeight="1" x14ac:dyDescent="0.35">
      <c r="A11" s="23" t="s">
        <v>264</v>
      </c>
      <c r="B11" s="23" t="s">
        <v>265</v>
      </c>
      <c r="C11" s="23" t="s">
        <v>228</v>
      </c>
      <c r="D11" s="23" t="s">
        <v>229</v>
      </c>
      <c r="E11" s="23" t="s">
        <v>95</v>
      </c>
      <c r="F11" s="23" t="s">
        <v>266</v>
      </c>
      <c r="G11" s="23" t="s">
        <v>231</v>
      </c>
      <c r="H11" s="23" t="s">
        <v>251</v>
      </c>
      <c r="I11" s="23" t="s">
        <v>101</v>
      </c>
      <c r="J11">
        <v>2</v>
      </c>
      <c r="K11" s="25" t="s">
        <v>267</v>
      </c>
      <c r="L11" s="38" t="s">
        <v>268</v>
      </c>
    </row>
    <row r="12" spans="1:12" ht="26" customHeight="1" x14ac:dyDescent="0.35">
      <c r="A12" s="23" t="s">
        <v>269</v>
      </c>
      <c r="B12" s="23" t="s">
        <v>270</v>
      </c>
      <c r="C12" s="23" t="s">
        <v>228</v>
      </c>
      <c r="D12" s="23" t="s">
        <v>229</v>
      </c>
      <c r="E12" s="23" t="s">
        <v>95</v>
      </c>
      <c r="F12" s="23" t="s">
        <v>271</v>
      </c>
      <c r="G12" s="23" t="s">
        <v>231</v>
      </c>
      <c r="H12" s="23" t="s">
        <v>232</v>
      </c>
      <c r="I12" s="23" t="s">
        <v>101</v>
      </c>
      <c r="J12">
        <v>2</v>
      </c>
      <c r="K12" s="25" t="s">
        <v>272</v>
      </c>
      <c r="L12" s="38" t="s">
        <v>273</v>
      </c>
    </row>
    <row r="13" spans="1:12" ht="39" customHeight="1" x14ac:dyDescent="0.35">
      <c r="A13" s="23" t="s">
        <v>103</v>
      </c>
      <c r="B13" s="23" t="s">
        <v>274</v>
      </c>
      <c r="C13" s="23" t="s">
        <v>228</v>
      </c>
      <c r="D13" s="23" t="s">
        <v>229</v>
      </c>
      <c r="E13" s="23" t="s">
        <v>95</v>
      </c>
      <c r="F13" s="23" t="s">
        <v>275</v>
      </c>
      <c r="G13" s="23" t="s">
        <v>231</v>
      </c>
      <c r="H13" s="23" t="s">
        <v>251</v>
      </c>
      <c r="I13" s="23" t="s">
        <v>101</v>
      </c>
      <c r="J13">
        <v>0</v>
      </c>
      <c r="K13" s="25" t="s">
        <v>276</v>
      </c>
      <c r="L13" s="38" t="s">
        <v>108</v>
      </c>
    </row>
    <row r="14" spans="1:12" ht="26" customHeight="1" x14ac:dyDescent="0.35">
      <c r="A14" s="23" t="s">
        <v>277</v>
      </c>
      <c r="B14" s="23" t="s">
        <v>278</v>
      </c>
      <c r="C14" s="23" t="s">
        <v>228</v>
      </c>
      <c r="D14" s="23" t="s">
        <v>229</v>
      </c>
      <c r="E14" s="23" t="s">
        <v>95</v>
      </c>
      <c r="F14" s="23" t="s">
        <v>279</v>
      </c>
      <c r="G14" s="23" t="s">
        <v>231</v>
      </c>
      <c r="H14" s="23" t="s">
        <v>251</v>
      </c>
      <c r="I14" s="23" t="s">
        <v>101</v>
      </c>
      <c r="J14">
        <v>3</v>
      </c>
      <c r="K14" s="25" t="s">
        <v>280</v>
      </c>
      <c r="L14" s="38" t="s">
        <v>281</v>
      </c>
    </row>
    <row r="15" spans="1:12" ht="26" customHeight="1" x14ac:dyDescent="0.35">
      <c r="A15" s="23" t="s">
        <v>109</v>
      </c>
      <c r="B15" s="23" t="s">
        <v>282</v>
      </c>
      <c r="C15" s="23" t="s">
        <v>228</v>
      </c>
      <c r="D15" s="23" t="s">
        <v>229</v>
      </c>
      <c r="E15" s="23" t="s">
        <v>95</v>
      </c>
      <c r="F15" s="23" t="s">
        <v>283</v>
      </c>
      <c r="G15" s="23" t="s">
        <v>231</v>
      </c>
      <c r="H15" s="23" t="s">
        <v>251</v>
      </c>
      <c r="I15" s="23" t="s">
        <v>101</v>
      </c>
      <c r="J15">
        <v>2</v>
      </c>
      <c r="K15" s="25" t="s">
        <v>284</v>
      </c>
      <c r="L15" s="38" t="s">
        <v>114</v>
      </c>
    </row>
    <row r="16" spans="1:12" ht="26" customHeight="1" x14ac:dyDescent="0.35">
      <c r="A16" s="23" t="s">
        <v>285</v>
      </c>
      <c r="B16" s="23" t="s">
        <v>286</v>
      </c>
      <c r="C16" s="23" t="s">
        <v>228</v>
      </c>
      <c r="D16" s="23" t="s">
        <v>287</v>
      </c>
      <c r="E16" s="23" t="s">
        <v>288</v>
      </c>
      <c r="F16" s="23" t="s">
        <v>289</v>
      </c>
      <c r="G16" s="23" t="s">
        <v>231</v>
      </c>
      <c r="H16" s="23" t="s">
        <v>251</v>
      </c>
      <c r="I16" s="23" t="s">
        <v>101</v>
      </c>
      <c r="J16">
        <v>2</v>
      </c>
      <c r="K16" s="25" t="s">
        <v>290</v>
      </c>
      <c r="L16" s="38" t="s">
        <v>291</v>
      </c>
    </row>
    <row r="17" spans="1:12" ht="26" customHeight="1" x14ac:dyDescent="0.35">
      <c r="A17" s="23" t="s">
        <v>292</v>
      </c>
      <c r="B17" s="23" t="s">
        <v>293</v>
      </c>
      <c r="C17" s="23" t="s">
        <v>228</v>
      </c>
      <c r="D17" s="23" t="s">
        <v>287</v>
      </c>
      <c r="E17" s="23" t="s">
        <v>288</v>
      </c>
      <c r="F17" s="23" t="s">
        <v>294</v>
      </c>
      <c r="G17" s="23" t="s">
        <v>231</v>
      </c>
      <c r="H17" s="23" t="s">
        <v>251</v>
      </c>
      <c r="I17" s="23" t="s">
        <v>101</v>
      </c>
      <c r="J17">
        <v>2</v>
      </c>
      <c r="K17" s="25" t="s">
        <v>295</v>
      </c>
      <c r="L17" s="38" t="s">
        <v>296</v>
      </c>
    </row>
    <row r="18" spans="1:12" ht="39" customHeight="1" x14ac:dyDescent="0.35">
      <c r="A18" s="23" t="s">
        <v>297</v>
      </c>
      <c r="B18" s="23" t="s">
        <v>298</v>
      </c>
      <c r="C18" s="23" t="s">
        <v>228</v>
      </c>
      <c r="D18" s="23" t="s">
        <v>229</v>
      </c>
      <c r="E18" s="23" t="s">
        <v>95</v>
      </c>
      <c r="F18" s="23" t="s">
        <v>299</v>
      </c>
      <c r="G18" s="23" t="s">
        <v>231</v>
      </c>
      <c r="H18" s="23" t="s">
        <v>251</v>
      </c>
      <c r="I18" s="23" t="s">
        <v>101</v>
      </c>
      <c r="J18">
        <v>3</v>
      </c>
      <c r="K18" s="25" t="s">
        <v>300</v>
      </c>
      <c r="L18" s="38" t="s">
        <v>301</v>
      </c>
    </row>
    <row r="19" spans="1:12" ht="26" customHeight="1" x14ac:dyDescent="0.35">
      <c r="A19" s="23" t="s">
        <v>302</v>
      </c>
      <c r="B19" s="23" t="s">
        <v>303</v>
      </c>
      <c r="C19" s="23" t="s">
        <v>228</v>
      </c>
      <c r="D19" s="23" t="s">
        <v>229</v>
      </c>
      <c r="E19" s="23" t="s">
        <v>95</v>
      </c>
      <c r="F19" s="23" t="s">
        <v>304</v>
      </c>
      <c r="G19" s="23" t="s">
        <v>231</v>
      </c>
      <c r="H19" s="23" t="s">
        <v>251</v>
      </c>
      <c r="I19" s="23" t="s">
        <v>101</v>
      </c>
      <c r="J19">
        <v>3</v>
      </c>
      <c r="K19" s="25" t="s">
        <v>305</v>
      </c>
      <c r="L19" s="38" t="s">
        <v>306</v>
      </c>
    </row>
    <row r="20" spans="1:12" ht="26" customHeight="1" x14ac:dyDescent="0.35">
      <c r="A20" s="23" t="s">
        <v>115</v>
      </c>
      <c r="B20" s="23" t="s">
        <v>307</v>
      </c>
      <c r="C20" s="23" t="s">
        <v>228</v>
      </c>
      <c r="D20" s="23" t="s">
        <v>229</v>
      </c>
      <c r="E20" s="23" t="s">
        <v>95</v>
      </c>
      <c r="F20" s="23" t="s">
        <v>308</v>
      </c>
      <c r="G20" s="23" t="s">
        <v>231</v>
      </c>
      <c r="H20" s="23" t="s">
        <v>251</v>
      </c>
      <c r="I20" s="23" t="s">
        <v>101</v>
      </c>
      <c r="J20">
        <v>3</v>
      </c>
      <c r="K20" s="25" t="s">
        <v>309</v>
      </c>
      <c r="L20" s="38" t="s">
        <v>121</v>
      </c>
    </row>
    <row r="21" spans="1:12" ht="26" customHeight="1" x14ac:dyDescent="0.35">
      <c r="A21" s="23" t="s">
        <v>310</v>
      </c>
      <c r="B21" s="23" t="s">
        <v>311</v>
      </c>
      <c r="C21" s="23" t="s">
        <v>228</v>
      </c>
      <c r="D21" s="23" t="s">
        <v>229</v>
      </c>
      <c r="E21" s="23" t="s">
        <v>95</v>
      </c>
      <c r="F21" s="23" t="s">
        <v>312</v>
      </c>
      <c r="G21" s="23" t="s">
        <v>231</v>
      </c>
      <c r="H21" s="23" t="s">
        <v>251</v>
      </c>
      <c r="I21" s="23" t="s">
        <v>101</v>
      </c>
      <c r="J21">
        <v>4</v>
      </c>
      <c r="K21" s="25" t="s">
        <v>313</v>
      </c>
      <c r="L21" s="38" t="s">
        <v>314</v>
      </c>
    </row>
    <row r="22" spans="1:12" ht="26" customHeight="1" x14ac:dyDescent="0.35">
      <c r="A22" s="23" t="s">
        <v>315</v>
      </c>
      <c r="B22" s="23" t="s">
        <v>316</v>
      </c>
      <c r="C22" s="23" t="s">
        <v>228</v>
      </c>
      <c r="D22" s="23" t="s">
        <v>229</v>
      </c>
      <c r="E22" s="23" t="s">
        <v>95</v>
      </c>
      <c r="F22" s="23" t="s">
        <v>317</v>
      </c>
      <c r="G22" s="23" t="s">
        <v>231</v>
      </c>
      <c r="H22" s="23" t="s">
        <v>251</v>
      </c>
      <c r="I22" s="23" t="s">
        <v>101</v>
      </c>
      <c r="J22">
        <v>3</v>
      </c>
      <c r="K22" s="25" t="s">
        <v>318</v>
      </c>
      <c r="L22" s="38" t="s">
        <v>319</v>
      </c>
    </row>
    <row r="23" spans="1:12" ht="39" customHeight="1" x14ac:dyDescent="0.35">
      <c r="A23" s="23" t="s">
        <v>320</v>
      </c>
      <c r="B23" s="23" t="s">
        <v>321</v>
      </c>
      <c r="C23" s="23" t="s">
        <v>228</v>
      </c>
      <c r="D23" s="23" t="s">
        <v>229</v>
      </c>
      <c r="E23" s="23" t="s">
        <v>95</v>
      </c>
      <c r="F23" s="23" t="s">
        <v>322</v>
      </c>
      <c r="G23" s="23" t="s">
        <v>231</v>
      </c>
      <c r="H23" s="23" t="s">
        <v>251</v>
      </c>
      <c r="I23" s="23" t="s">
        <v>101</v>
      </c>
      <c r="J23">
        <v>2</v>
      </c>
      <c r="K23" s="25" t="s">
        <v>323</v>
      </c>
      <c r="L23" s="38" t="s">
        <v>324</v>
      </c>
    </row>
    <row r="24" spans="1:12" ht="26" customHeight="1" x14ac:dyDescent="0.35">
      <c r="A24" s="23" t="s">
        <v>325</v>
      </c>
      <c r="B24" s="23" t="s">
        <v>326</v>
      </c>
      <c r="C24" s="23" t="s">
        <v>327</v>
      </c>
      <c r="D24" s="23" t="s">
        <v>287</v>
      </c>
      <c r="E24" s="23" t="s">
        <v>288</v>
      </c>
      <c r="F24" s="23" t="s">
        <v>328</v>
      </c>
      <c r="G24" s="23" t="s">
        <v>231</v>
      </c>
      <c r="H24" s="23" t="s">
        <v>232</v>
      </c>
      <c r="I24" s="23" t="s">
        <v>101</v>
      </c>
      <c r="J24">
        <v>1</v>
      </c>
      <c r="K24" s="25" t="s">
        <v>329</v>
      </c>
      <c r="L24" s="38" t="s">
        <v>330</v>
      </c>
    </row>
    <row r="25" spans="1:12" ht="26" customHeight="1" x14ac:dyDescent="0.35">
      <c r="A25" s="23" t="s">
        <v>331</v>
      </c>
      <c r="B25" s="23" t="s">
        <v>332</v>
      </c>
      <c r="C25" s="23" t="s">
        <v>228</v>
      </c>
      <c r="D25" s="23" t="s">
        <v>229</v>
      </c>
      <c r="E25" s="23" t="s">
        <v>95</v>
      </c>
      <c r="F25" s="23" t="s">
        <v>333</v>
      </c>
      <c r="G25" s="23" t="s">
        <v>231</v>
      </c>
      <c r="H25" s="23" t="s">
        <v>251</v>
      </c>
      <c r="I25" s="23" t="s">
        <v>101</v>
      </c>
      <c r="J25">
        <v>4</v>
      </c>
      <c r="K25" s="25" t="s">
        <v>334</v>
      </c>
      <c r="L25" s="38" t="s">
        <v>335</v>
      </c>
    </row>
    <row r="26" spans="1:12" ht="26" customHeight="1" x14ac:dyDescent="0.35">
      <c r="A26" s="23" t="s">
        <v>130</v>
      </c>
      <c r="B26" s="23" t="s">
        <v>336</v>
      </c>
      <c r="C26" s="23" t="s">
        <v>228</v>
      </c>
      <c r="D26" s="23" t="s">
        <v>229</v>
      </c>
      <c r="E26" s="23" t="s">
        <v>95</v>
      </c>
      <c r="F26" s="23" t="s">
        <v>337</v>
      </c>
      <c r="G26" s="23" t="s">
        <v>231</v>
      </c>
      <c r="H26" s="23" t="s">
        <v>251</v>
      </c>
      <c r="I26" s="23" t="s">
        <v>101</v>
      </c>
      <c r="J26">
        <v>3</v>
      </c>
      <c r="K26" s="25" t="s">
        <v>338</v>
      </c>
      <c r="L26" s="38" t="s">
        <v>137</v>
      </c>
    </row>
    <row r="27" spans="1:12" ht="39" customHeight="1" x14ac:dyDescent="0.35">
      <c r="A27" s="23" t="s">
        <v>339</v>
      </c>
      <c r="B27" s="23" t="s">
        <v>340</v>
      </c>
      <c r="C27" s="23" t="s">
        <v>228</v>
      </c>
      <c r="D27" s="23" t="s">
        <v>229</v>
      </c>
      <c r="E27" s="23" t="s">
        <v>95</v>
      </c>
      <c r="F27" s="23" t="s">
        <v>341</v>
      </c>
      <c r="G27" s="23" t="s">
        <v>231</v>
      </c>
      <c r="H27" s="23" t="s">
        <v>251</v>
      </c>
      <c r="I27" s="23" t="s">
        <v>101</v>
      </c>
      <c r="J27">
        <v>5</v>
      </c>
      <c r="K27" s="25" t="s">
        <v>342</v>
      </c>
      <c r="L27" s="38" t="s">
        <v>343</v>
      </c>
    </row>
    <row r="28" spans="1:12" ht="26" customHeight="1" x14ac:dyDescent="0.35">
      <c r="A28" s="23" t="s">
        <v>344</v>
      </c>
      <c r="B28" s="23" t="s">
        <v>345</v>
      </c>
      <c r="C28" s="23" t="s">
        <v>228</v>
      </c>
      <c r="D28" s="23" t="s">
        <v>287</v>
      </c>
      <c r="E28" s="23" t="s">
        <v>288</v>
      </c>
      <c r="F28" s="23" t="s">
        <v>346</v>
      </c>
      <c r="G28" s="23" t="s">
        <v>231</v>
      </c>
      <c r="H28" s="23" t="s">
        <v>251</v>
      </c>
      <c r="I28" s="23" t="s">
        <v>101</v>
      </c>
      <c r="J28">
        <v>3</v>
      </c>
      <c r="K28" s="25" t="s">
        <v>347</v>
      </c>
      <c r="L28" s="38" t="s">
        <v>348</v>
      </c>
    </row>
    <row r="29" spans="1:12" ht="26" customHeight="1" x14ac:dyDescent="0.35">
      <c r="A29" s="23" t="s">
        <v>349</v>
      </c>
      <c r="B29" s="23" t="s">
        <v>350</v>
      </c>
      <c r="C29" s="23" t="s">
        <v>228</v>
      </c>
      <c r="D29" s="23" t="s">
        <v>287</v>
      </c>
      <c r="E29" s="23" t="s">
        <v>288</v>
      </c>
      <c r="F29" s="23" t="s">
        <v>351</v>
      </c>
      <c r="G29" s="23" t="s">
        <v>231</v>
      </c>
      <c r="H29" s="23" t="s">
        <v>251</v>
      </c>
      <c r="I29" s="23" t="s">
        <v>101</v>
      </c>
      <c r="J29">
        <v>3</v>
      </c>
      <c r="K29" s="25" t="s">
        <v>352</v>
      </c>
      <c r="L29" s="38" t="s">
        <v>353</v>
      </c>
    </row>
    <row r="30" spans="1:12" ht="26" customHeight="1" x14ac:dyDescent="0.35">
      <c r="A30" s="23" t="s">
        <v>354</v>
      </c>
      <c r="B30" s="23" t="s">
        <v>355</v>
      </c>
      <c r="C30" s="23" t="s">
        <v>228</v>
      </c>
      <c r="D30" s="23" t="s">
        <v>287</v>
      </c>
      <c r="E30" s="23" t="s">
        <v>288</v>
      </c>
      <c r="F30" s="23" t="s">
        <v>356</v>
      </c>
      <c r="G30" s="23" t="s">
        <v>231</v>
      </c>
      <c r="H30" s="23" t="s">
        <v>251</v>
      </c>
      <c r="I30" s="23" t="s">
        <v>101</v>
      </c>
      <c r="J30">
        <v>5</v>
      </c>
      <c r="K30" s="25" t="s">
        <v>357</v>
      </c>
      <c r="L30" s="38" t="s">
        <v>358</v>
      </c>
    </row>
    <row r="31" spans="1:12" ht="26" customHeight="1" x14ac:dyDescent="0.35">
      <c r="A31" s="23" t="s">
        <v>359</v>
      </c>
      <c r="B31" s="23" t="s">
        <v>360</v>
      </c>
      <c r="C31" s="23" t="s">
        <v>228</v>
      </c>
      <c r="D31" s="23" t="s">
        <v>229</v>
      </c>
      <c r="E31" s="23" t="s">
        <v>95</v>
      </c>
      <c r="F31" s="23" t="s">
        <v>361</v>
      </c>
      <c r="G31" s="23" t="s">
        <v>231</v>
      </c>
      <c r="H31" s="23" t="s">
        <v>251</v>
      </c>
      <c r="I31" s="23" t="s">
        <v>101</v>
      </c>
      <c r="J31">
        <v>0</v>
      </c>
      <c r="K31" s="25" t="s">
        <v>362</v>
      </c>
      <c r="L31" s="38" t="s">
        <v>363</v>
      </c>
    </row>
    <row r="32" spans="1:12" ht="26" customHeight="1" x14ac:dyDescent="0.35">
      <c r="A32" s="23" t="s">
        <v>364</v>
      </c>
      <c r="B32" s="23" t="s">
        <v>365</v>
      </c>
      <c r="C32" s="23" t="s">
        <v>228</v>
      </c>
      <c r="D32" s="23" t="s">
        <v>287</v>
      </c>
      <c r="E32" s="23" t="s">
        <v>288</v>
      </c>
      <c r="F32" s="23" t="s">
        <v>366</v>
      </c>
      <c r="G32" s="23" t="s">
        <v>231</v>
      </c>
      <c r="H32" s="23" t="s">
        <v>251</v>
      </c>
      <c r="I32" s="23" t="s">
        <v>101</v>
      </c>
      <c r="J32">
        <v>2</v>
      </c>
      <c r="K32" s="25" t="s">
        <v>367</v>
      </c>
      <c r="L32" s="38" t="s">
        <v>368</v>
      </c>
    </row>
    <row r="33" spans="1:12" ht="26" customHeight="1" x14ac:dyDescent="0.35">
      <c r="A33" s="23" t="s">
        <v>369</v>
      </c>
      <c r="B33" s="23" t="s">
        <v>370</v>
      </c>
      <c r="C33" s="23" t="s">
        <v>228</v>
      </c>
      <c r="D33" s="23" t="s">
        <v>287</v>
      </c>
      <c r="E33" s="23" t="s">
        <v>288</v>
      </c>
      <c r="F33" s="23" t="s">
        <v>371</v>
      </c>
      <c r="G33" s="23" t="s">
        <v>231</v>
      </c>
      <c r="H33" s="23" t="s">
        <v>251</v>
      </c>
      <c r="I33" s="23" t="s">
        <v>101</v>
      </c>
      <c r="J33">
        <v>2</v>
      </c>
      <c r="K33" s="25" t="s">
        <v>372</v>
      </c>
      <c r="L33" s="38" t="s">
        <v>373</v>
      </c>
    </row>
    <row r="34" spans="1:12" ht="26" customHeight="1" x14ac:dyDescent="0.35">
      <c r="A34" s="23" t="s">
        <v>138</v>
      </c>
      <c r="B34" s="23" t="s">
        <v>374</v>
      </c>
      <c r="C34" s="23" t="s">
        <v>228</v>
      </c>
      <c r="D34" s="23" t="s">
        <v>229</v>
      </c>
      <c r="E34" s="23" t="s">
        <v>95</v>
      </c>
      <c r="F34" s="23" t="s">
        <v>375</v>
      </c>
      <c r="G34" s="23" t="s">
        <v>231</v>
      </c>
      <c r="H34" s="23" t="s">
        <v>251</v>
      </c>
      <c r="I34" s="23" t="s">
        <v>101</v>
      </c>
      <c r="J34">
        <v>1.5</v>
      </c>
      <c r="K34" s="25" t="s">
        <v>376</v>
      </c>
      <c r="L34" s="38" t="s">
        <v>144</v>
      </c>
    </row>
    <row r="35" spans="1:12" ht="39" customHeight="1" x14ac:dyDescent="0.35">
      <c r="A35" s="23" t="s">
        <v>377</v>
      </c>
      <c r="B35" s="23" t="s">
        <v>378</v>
      </c>
      <c r="C35" s="23" t="s">
        <v>228</v>
      </c>
      <c r="D35" s="23" t="s">
        <v>229</v>
      </c>
      <c r="E35" s="23" t="s">
        <v>95</v>
      </c>
      <c r="F35" s="23" t="s">
        <v>379</v>
      </c>
      <c r="G35" s="23" t="s">
        <v>231</v>
      </c>
      <c r="H35" s="23" t="s">
        <v>251</v>
      </c>
      <c r="I35" s="23" t="s">
        <v>101</v>
      </c>
      <c r="J35">
        <v>3</v>
      </c>
      <c r="K35" s="25" t="s">
        <v>380</v>
      </c>
      <c r="L35" s="38" t="s">
        <v>381</v>
      </c>
    </row>
    <row r="36" spans="1:12" ht="26" customHeight="1" x14ac:dyDescent="0.35">
      <c r="A36" s="23" t="s">
        <v>382</v>
      </c>
      <c r="B36" s="23" t="s">
        <v>383</v>
      </c>
      <c r="C36" s="23" t="s">
        <v>228</v>
      </c>
      <c r="D36" s="23" t="s">
        <v>229</v>
      </c>
      <c r="E36" s="23" t="s">
        <v>95</v>
      </c>
      <c r="F36" s="23" t="s">
        <v>384</v>
      </c>
      <c r="G36" s="23" t="s">
        <v>231</v>
      </c>
      <c r="H36" s="23" t="s">
        <v>251</v>
      </c>
      <c r="I36" s="23" t="s">
        <v>101</v>
      </c>
      <c r="J36">
        <v>2</v>
      </c>
      <c r="K36" s="25" t="s">
        <v>385</v>
      </c>
      <c r="L36" s="38" t="s">
        <v>386</v>
      </c>
    </row>
    <row r="37" spans="1:12" ht="26" customHeight="1" x14ac:dyDescent="0.35">
      <c r="A37" s="23" t="s">
        <v>387</v>
      </c>
      <c r="B37" s="23" t="s">
        <v>388</v>
      </c>
      <c r="C37" s="23" t="s">
        <v>228</v>
      </c>
      <c r="D37" s="23" t="s">
        <v>229</v>
      </c>
      <c r="E37" s="23" t="s">
        <v>95</v>
      </c>
      <c r="F37" s="23" t="s">
        <v>389</v>
      </c>
      <c r="G37" s="23" t="s">
        <v>231</v>
      </c>
      <c r="H37" s="23" t="s">
        <v>251</v>
      </c>
      <c r="I37" s="23" t="s">
        <v>101</v>
      </c>
      <c r="J37">
        <v>3</v>
      </c>
      <c r="K37" s="25" t="s">
        <v>390</v>
      </c>
      <c r="L37" s="38" t="s">
        <v>391</v>
      </c>
    </row>
    <row r="38" spans="1:12" ht="26" customHeight="1" x14ac:dyDescent="0.35">
      <c r="A38" s="23" t="s">
        <v>392</v>
      </c>
      <c r="B38" s="23" t="s">
        <v>393</v>
      </c>
      <c r="C38" s="23" t="s">
        <v>228</v>
      </c>
      <c r="D38" s="23" t="s">
        <v>229</v>
      </c>
      <c r="E38" s="23" t="s">
        <v>95</v>
      </c>
      <c r="F38" s="23" t="s">
        <v>394</v>
      </c>
      <c r="G38" s="23" t="s">
        <v>231</v>
      </c>
      <c r="H38" s="23" t="s">
        <v>251</v>
      </c>
      <c r="I38" s="23" t="s">
        <v>101</v>
      </c>
      <c r="J38">
        <v>3</v>
      </c>
      <c r="K38" s="25" t="s">
        <v>395</v>
      </c>
      <c r="L38" s="38" t="s">
        <v>396</v>
      </c>
    </row>
    <row r="39" spans="1:12" ht="26" customHeight="1" x14ac:dyDescent="0.35">
      <c r="A39" s="23" t="s">
        <v>397</v>
      </c>
      <c r="B39" s="23" t="s">
        <v>398</v>
      </c>
      <c r="C39" s="23" t="s">
        <v>327</v>
      </c>
      <c r="D39" s="23" t="s">
        <v>229</v>
      </c>
      <c r="E39" s="23" t="s">
        <v>95</v>
      </c>
      <c r="F39" s="23" t="s">
        <v>399</v>
      </c>
      <c r="G39" s="23" t="s">
        <v>231</v>
      </c>
      <c r="H39" s="23" t="s">
        <v>232</v>
      </c>
      <c r="I39" s="23" t="s">
        <v>101</v>
      </c>
      <c r="J39">
        <v>5</v>
      </c>
      <c r="K39" s="25" t="s">
        <v>400</v>
      </c>
      <c r="L39" s="38" t="s">
        <v>401</v>
      </c>
    </row>
    <row r="40" spans="1:12" ht="39" customHeight="1" x14ac:dyDescent="0.35">
      <c r="A40" s="23" t="s">
        <v>402</v>
      </c>
      <c r="B40" s="23" t="s">
        <v>403</v>
      </c>
      <c r="C40" s="23" t="s">
        <v>327</v>
      </c>
      <c r="D40" s="23" t="s">
        <v>229</v>
      </c>
      <c r="E40" s="23" t="s">
        <v>95</v>
      </c>
      <c r="F40" s="23" t="s">
        <v>404</v>
      </c>
      <c r="G40" s="23" t="s">
        <v>231</v>
      </c>
      <c r="H40" s="23" t="s">
        <v>232</v>
      </c>
      <c r="I40" s="23" t="s">
        <v>101</v>
      </c>
      <c r="J40">
        <v>3</v>
      </c>
      <c r="K40" s="25" t="s">
        <v>405</v>
      </c>
      <c r="L40" s="38" t="s">
        <v>406</v>
      </c>
    </row>
    <row r="41" spans="1:12" ht="26" customHeight="1" x14ac:dyDescent="0.35">
      <c r="A41" s="23" t="s">
        <v>407</v>
      </c>
      <c r="B41" s="23" t="s">
        <v>408</v>
      </c>
      <c r="C41" s="23" t="s">
        <v>409</v>
      </c>
      <c r="D41" s="23" t="s">
        <v>229</v>
      </c>
      <c r="E41" s="23" t="s">
        <v>95</v>
      </c>
      <c r="F41" s="23" t="s">
        <v>410</v>
      </c>
      <c r="G41" s="23" t="s">
        <v>231</v>
      </c>
      <c r="H41" s="23" t="s">
        <v>232</v>
      </c>
      <c r="I41" s="23" t="s">
        <v>101</v>
      </c>
      <c r="J41">
        <v>5</v>
      </c>
      <c r="K41" s="25" t="s">
        <v>411</v>
      </c>
      <c r="L41" s="38" t="s">
        <v>412</v>
      </c>
    </row>
    <row r="42" spans="1:12" ht="26" customHeight="1" x14ac:dyDescent="0.35">
      <c r="A42" s="23" t="s">
        <v>413</v>
      </c>
      <c r="B42" s="23" t="s">
        <v>414</v>
      </c>
      <c r="C42" s="23" t="s">
        <v>415</v>
      </c>
      <c r="D42" s="23" t="s">
        <v>287</v>
      </c>
      <c r="E42" s="23" t="s">
        <v>288</v>
      </c>
      <c r="F42" s="23" t="s">
        <v>416</v>
      </c>
      <c r="G42" s="23" t="s">
        <v>231</v>
      </c>
      <c r="H42" s="23" t="s">
        <v>417</v>
      </c>
      <c r="I42" s="23" t="s">
        <v>101</v>
      </c>
      <c r="J42">
        <v>10</v>
      </c>
      <c r="K42" s="25" t="s">
        <v>418</v>
      </c>
      <c r="L42" s="38" t="s">
        <v>419</v>
      </c>
    </row>
    <row r="43" spans="1:12" ht="26" customHeight="1" x14ac:dyDescent="0.35">
      <c r="A43" s="23" t="s">
        <v>420</v>
      </c>
      <c r="B43" s="23" t="s">
        <v>421</v>
      </c>
      <c r="C43" s="23" t="s">
        <v>415</v>
      </c>
      <c r="D43" s="23" t="s">
        <v>287</v>
      </c>
      <c r="E43" s="23" t="s">
        <v>288</v>
      </c>
      <c r="F43" s="23" t="s">
        <v>422</v>
      </c>
      <c r="G43" s="23" t="s">
        <v>231</v>
      </c>
      <c r="H43" s="23" t="s">
        <v>417</v>
      </c>
      <c r="I43" s="23" t="s">
        <v>101</v>
      </c>
      <c r="J43">
        <v>6</v>
      </c>
      <c r="K43" s="25" t="s">
        <v>423</v>
      </c>
      <c r="L43" s="38" t="s">
        <v>424</v>
      </c>
    </row>
    <row r="44" spans="1:12" ht="26" customHeight="1" x14ac:dyDescent="0.35">
      <c r="A44" s="23" t="s">
        <v>425</v>
      </c>
      <c r="B44" s="23" t="s">
        <v>426</v>
      </c>
      <c r="C44" s="23" t="s">
        <v>415</v>
      </c>
      <c r="D44" s="23" t="s">
        <v>229</v>
      </c>
      <c r="E44" s="23" t="s">
        <v>95</v>
      </c>
      <c r="F44" s="23" t="s">
        <v>427</v>
      </c>
      <c r="G44" s="23" t="s">
        <v>231</v>
      </c>
      <c r="H44" s="23" t="s">
        <v>417</v>
      </c>
      <c r="I44" s="23" t="s">
        <v>101</v>
      </c>
      <c r="J44">
        <v>10</v>
      </c>
      <c r="K44" s="25" t="s">
        <v>428</v>
      </c>
      <c r="L44" s="38" t="s">
        <v>429</v>
      </c>
    </row>
    <row r="45" spans="1:12" ht="26" customHeight="1" x14ac:dyDescent="0.35">
      <c r="A45" s="23" t="s">
        <v>430</v>
      </c>
      <c r="B45" s="23" t="s">
        <v>431</v>
      </c>
      <c r="C45" s="23" t="s">
        <v>228</v>
      </c>
      <c r="D45" s="23" t="s">
        <v>229</v>
      </c>
      <c r="E45" s="23" t="s">
        <v>95</v>
      </c>
      <c r="F45" s="23" t="s">
        <v>432</v>
      </c>
      <c r="G45" s="23" t="s">
        <v>231</v>
      </c>
      <c r="H45" s="23" t="s">
        <v>251</v>
      </c>
      <c r="I45" s="23" t="s">
        <v>101</v>
      </c>
      <c r="J45">
        <v>3</v>
      </c>
      <c r="K45" s="25" t="s">
        <v>433</v>
      </c>
      <c r="L45" s="38" t="s">
        <v>434</v>
      </c>
    </row>
    <row r="46" spans="1:12" ht="26" customHeight="1" x14ac:dyDescent="0.35">
      <c r="A46" s="23" t="s">
        <v>435</v>
      </c>
      <c r="B46" s="23" t="s">
        <v>436</v>
      </c>
      <c r="C46" s="23" t="s">
        <v>228</v>
      </c>
      <c r="D46" s="23" t="s">
        <v>287</v>
      </c>
      <c r="E46" s="23" t="s">
        <v>288</v>
      </c>
      <c r="F46" s="23" t="s">
        <v>437</v>
      </c>
      <c r="G46" s="23" t="s">
        <v>231</v>
      </c>
      <c r="H46" s="23" t="s">
        <v>232</v>
      </c>
      <c r="I46" s="23" t="s">
        <v>101</v>
      </c>
      <c r="J46">
        <v>3</v>
      </c>
      <c r="K46" s="25" t="s">
        <v>438</v>
      </c>
      <c r="L46" s="38" t="s">
        <v>439</v>
      </c>
    </row>
    <row r="47" spans="1:12" ht="26" customHeight="1" x14ac:dyDescent="0.35">
      <c r="A47" s="23" t="s">
        <v>440</v>
      </c>
      <c r="B47" s="23" t="s">
        <v>441</v>
      </c>
      <c r="C47" s="23" t="s">
        <v>228</v>
      </c>
      <c r="D47" s="23" t="s">
        <v>229</v>
      </c>
      <c r="E47" s="23" t="s">
        <v>95</v>
      </c>
      <c r="F47" s="23" t="s">
        <v>442</v>
      </c>
      <c r="G47" s="23" t="s">
        <v>231</v>
      </c>
      <c r="H47" s="23" t="s">
        <v>251</v>
      </c>
      <c r="I47" s="23" t="s">
        <v>101</v>
      </c>
      <c r="J47">
        <v>3</v>
      </c>
      <c r="K47" s="25" t="s">
        <v>443</v>
      </c>
      <c r="L47" s="38" t="s">
        <v>444</v>
      </c>
    </row>
    <row r="48" spans="1:12" ht="26" customHeight="1" x14ac:dyDescent="0.35">
      <c r="A48" s="23" t="s">
        <v>445</v>
      </c>
      <c r="B48" s="23" t="s">
        <v>446</v>
      </c>
      <c r="C48" s="23" t="s">
        <v>228</v>
      </c>
      <c r="D48" s="23" t="s">
        <v>229</v>
      </c>
      <c r="E48" s="23" t="s">
        <v>95</v>
      </c>
      <c r="F48" s="23" t="s">
        <v>447</v>
      </c>
      <c r="G48" s="23" t="s">
        <v>231</v>
      </c>
      <c r="H48" s="23" t="s">
        <v>251</v>
      </c>
      <c r="I48" s="23" t="s">
        <v>101</v>
      </c>
      <c r="J48">
        <v>2</v>
      </c>
      <c r="K48" s="25" t="s">
        <v>448</v>
      </c>
      <c r="L48" s="38" t="s">
        <v>449</v>
      </c>
    </row>
    <row r="49" spans="1:12" ht="39" customHeight="1" x14ac:dyDescent="0.35">
      <c r="A49" s="23" t="s">
        <v>450</v>
      </c>
      <c r="B49" s="23" t="s">
        <v>451</v>
      </c>
      <c r="C49" s="23" t="s">
        <v>228</v>
      </c>
      <c r="D49" s="23" t="s">
        <v>229</v>
      </c>
      <c r="E49" s="23" t="s">
        <v>95</v>
      </c>
      <c r="F49" s="23" t="s">
        <v>452</v>
      </c>
      <c r="G49" s="23" t="s">
        <v>231</v>
      </c>
      <c r="H49" s="23" t="s">
        <v>251</v>
      </c>
      <c r="I49" s="23" t="s">
        <v>101</v>
      </c>
      <c r="J49">
        <v>2</v>
      </c>
      <c r="K49" s="25" t="s">
        <v>453</v>
      </c>
      <c r="L49" s="38" t="s">
        <v>454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
  <sheetViews>
    <sheetView showGridLines="0" workbookViewId="0"/>
  </sheetViews>
  <sheetFormatPr defaultRowHeight="14.5" x14ac:dyDescent="0.35"/>
  <cols>
    <col min="1" max="1" width="26" customWidth="1"/>
    <col min="2" max="2" width="120" customWidth="1"/>
  </cols>
  <sheetData>
    <row r="1" spans="1:2" ht="21" x14ac:dyDescent="0.5">
      <c r="A1" s="27" t="s">
        <v>455</v>
      </c>
    </row>
    <row r="2" spans="1:2" ht="30" customHeight="1" x14ac:dyDescent="0.35">
      <c r="A2" s="57" t="s">
        <v>456</v>
      </c>
      <c r="B2" s="55"/>
    </row>
    <row r="4" spans="1:2" x14ac:dyDescent="0.35">
      <c r="A4" s="7" t="s">
        <v>457</v>
      </c>
      <c r="B4" s="34">
        <v>46307</v>
      </c>
    </row>
    <row r="5" spans="1:2" x14ac:dyDescent="0.35">
      <c r="A5" s="7" t="s">
        <v>458</v>
      </c>
      <c r="B5" s="35">
        <v>2</v>
      </c>
    </row>
    <row r="6" spans="1:2" x14ac:dyDescent="0.35">
      <c r="A6" s="7" t="s">
        <v>459</v>
      </c>
      <c r="B6" s="36">
        <v>0.2</v>
      </c>
    </row>
    <row r="7" spans="1:2" x14ac:dyDescent="0.35">
      <c r="A7" s="7" t="s">
        <v>460</v>
      </c>
      <c r="B7" s="35">
        <v>5</v>
      </c>
    </row>
    <row r="10" spans="1:2" ht="46" customHeight="1" x14ac:dyDescent="0.35">
      <c r="A10" s="29" t="s">
        <v>461</v>
      </c>
      <c r="B10" s="26" t="s">
        <v>462</v>
      </c>
    </row>
    <row r="11" spans="1:2" ht="46" customHeight="1" x14ac:dyDescent="0.35">
      <c r="A11" s="29" t="s">
        <v>463</v>
      </c>
      <c r="B11" s="26" t="s">
        <v>464</v>
      </c>
    </row>
    <row r="12" spans="1:2" ht="60" customHeight="1" x14ac:dyDescent="0.35">
      <c r="A12" s="29" t="s">
        <v>465</v>
      </c>
      <c r="B12" s="26" t="s">
        <v>466</v>
      </c>
    </row>
    <row r="13" spans="1:2" ht="32" customHeight="1" x14ac:dyDescent="0.35">
      <c r="A13" s="29" t="s">
        <v>467</v>
      </c>
      <c r="B13" s="26" t="s">
        <v>468</v>
      </c>
    </row>
    <row r="14" spans="1:2" ht="32" customHeight="1" x14ac:dyDescent="0.35">
      <c r="A14" s="29" t="s">
        <v>15</v>
      </c>
      <c r="B14" s="26" t="s">
        <v>469</v>
      </c>
    </row>
    <row r="15" spans="1:2" ht="30" customHeight="1" x14ac:dyDescent="0.35">
      <c r="A15" s="29" t="s">
        <v>470</v>
      </c>
      <c r="B15" s="26" t="s">
        <v>471</v>
      </c>
    </row>
    <row r="16" spans="1:2" ht="30" customHeight="1" x14ac:dyDescent="0.35">
      <c r="A16" s="29" t="s">
        <v>472</v>
      </c>
      <c r="B16" s="26" t="s">
        <v>473</v>
      </c>
    </row>
    <row r="17" spans="1:2" ht="74" customHeight="1" x14ac:dyDescent="0.35">
      <c r="A17" s="29" t="s">
        <v>474</v>
      </c>
      <c r="B17" s="26" t="s">
        <v>475</v>
      </c>
    </row>
    <row r="18" spans="1:2" ht="46" customHeight="1" x14ac:dyDescent="0.35">
      <c r="A18" s="29" t="s">
        <v>476</v>
      </c>
      <c r="B18" s="26" t="s">
        <v>477</v>
      </c>
    </row>
    <row r="19" spans="1:2" ht="32" customHeight="1" x14ac:dyDescent="0.35">
      <c r="A19" s="29" t="s">
        <v>478</v>
      </c>
      <c r="B19" s="26" t="s">
        <v>479</v>
      </c>
    </row>
    <row r="20" spans="1:2" ht="32" customHeight="1" x14ac:dyDescent="0.35">
      <c r="A20" s="29" t="s">
        <v>480</v>
      </c>
      <c r="B20" s="26" t="s">
        <v>481</v>
      </c>
    </row>
    <row r="21" spans="1:2" ht="46" customHeight="1" x14ac:dyDescent="0.35">
      <c r="A21" s="29" t="s">
        <v>482</v>
      </c>
      <c r="B21" s="26" t="s">
        <v>483</v>
      </c>
    </row>
    <row r="22" spans="1:2" ht="32" customHeight="1" x14ac:dyDescent="0.35">
      <c r="A22" s="29" t="s">
        <v>484</v>
      </c>
      <c r="B22" s="26" t="s">
        <v>485</v>
      </c>
    </row>
    <row r="23" spans="1:2" ht="32" customHeight="1" x14ac:dyDescent="0.35">
      <c r="A23" s="29" t="s">
        <v>486</v>
      </c>
      <c r="B23" s="26" t="s">
        <v>487</v>
      </c>
    </row>
    <row r="24" spans="1:2" ht="32" customHeight="1" x14ac:dyDescent="0.35">
      <c r="A24" s="29" t="s">
        <v>488</v>
      </c>
      <c r="B24" s="26" t="s">
        <v>489</v>
      </c>
    </row>
    <row r="25" spans="1:2" ht="32" customHeight="1" x14ac:dyDescent="0.35">
      <c r="A25" s="29" t="s">
        <v>490</v>
      </c>
      <c r="B25" s="26" t="s">
        <v>491</v>
      </c>
    </row>
  </sheetData>
  <mergeCells count="1">
    <mergeCell ref="A2:B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7"/>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5" customWidth="1"/>
    <col min="2" max="2" width="28" customWidth="1"/>
    <col min="3" max="3" width="18" customWidth="1"/>
    <col min="4" max="4" width="11" customWidth="1"/>
    <col min="5" max="5" width="100" customWidth="1"/>
    <col min="6" max="6" width="40" customWidth="1"/>
    <col min="7" max="7" width="16" customWidth="1"/>
  </cols>
  <sheetData>
    <row r="1" spans="1:7" ht="21" x14ac:dyDescent="0.5">
      <c r="A1" s="27" t="s">
        <v>492</v>
      </c>
    </row>
    <row r="2" spans="1:7" ht="409.5" x14ac:dyDescent="0.35">
      <c r="A2" s="28" t="s">
        <v>493</v>
      </c>
    </row>
    <row r="4" spans="1:7" ht="29" x14ac:dyDescent="0.35">
      <c r="A4" s="37" t="s">
        <v>494</v>
      </c>
      <c r="B4" s="37" t="s">
        <v>495</v>
      </c>
      <c r="C4" s="37" t="s">
        <v>496</v>
      </c>
      <c r="D4" s="37" t="s">
        <v>497</v>
      </c>
      <c r="E4" s="37" t="s">
        <v>498</v>
      </c>
      <c r="F4" s="37" t="s">
        <v>499</v>
      </c>
      <c r="G4" s="37" t="s">
        <v>500</v>
      </c>
    </row>
    <row r="5" spans="1:7" ht="43" customHeight="1" x14ac:dyDescent="0.35">
      <c r="A5" s="38">
        <v>1</v>
      </c>
      <c r="B5" s="38" t="s">
        <v>501</v>
      </c>
      <c r="C5" s="38" t="s">
        <v>502</v>
      </c>
      <c r="D5" s="38" t="s">
        <v>503</v>
      </c>
      <c r="E5" s="38" t="s">
        <v>504</v>
      </c>
      <c r="F5" s="38" t="s">
        <v>505</v>
      </c>
      <c r="G5" s="39"/>
    </row>
    <row r="6" spans="1:7" ht="69" customHeight="1" x14ac:dyDescent="0.35">
      <c r="A6" s="38">
        <v>2</v>
      </c>
      <c r="B6" s="38" t="s">
        <v>506</v>
      </c>
      <c r="C6" s="38" t="s">
        <v>507</v>
      </c>
      <c r="D6" s="38" t="s">
        <v>508</v>
      </c>
      <c r="E6" s="38" t="s">
        <v>509</v>
      </c>
      <c r="F6" s="38" t="s">
        <v>510</v>
      </c>
      <c r="G6" s="39"/>
    </row>
    <row r="7" spans="1:7" ht="56" customHeight="1" x14ac:dyDescent="0.35">
      <c r="A7" s="38">
        <v>3</v>
      </c>
      <c r="B7" s="38" t="s">
        <v>511</v>
      </c>
      <c r="C7" s="38" t="s">
        <v>502</v>
      </c>
      <c r="D7" s="38" t="s">
        <v>503</v>
      </c>
      <c r="E7" s="38" t="s">
        <v>512</v>
      </c>
      <c r="F7" s="38" t="s">
        <v>513</v>
      </c>
      <c r="G7" s="39"/>
    </row>
    <row r="8" spans="1:7" ht="43" customHeight="1" x14ac:dyDescent="0.35">
      <c r="A8" s="38">
        <v>4</v>
      </c>
      <c r="B8" s="38" t="s">
        <v>514</v>
      </c>
      <c r="C8" s="38" t="s">
        <v>502</v>
      </c>
      <c r="D8" s="38" t="s">
        <v>508</v>
      </c>
      <c r="E8" s="38" t="s">
        <v>515</v>
      </c>
      <c r="F8" s="38" t="s">
        <v>516</v>
      </c>
      <c r="G8" s="39"/>
    </row>
    <row r="9" spans="1:7" ht="43" customHeight="1" x14ac:dyDescent="0.35">
      <c r="A9" s="38">
        <v>5</v>
      </c>
      <c r="B9" s="38" t="s">
        <v>517</v>
      </c>
      <c r="C9" s="38" t="s">
        <v>502</v>
      </c>
      <c r="D9" s="38" t="s">
        <v>508</v>
      </c>
      <c r="E9" s="38" t="s">
        <v>518</v>
      </c>
      <c r="F9" s="38" t="s">
        <v>519</v>
      </c>
      <c r="G9" s="39"/>
    </row>
    <row r="10" spans="1:7" ht="56" customHeight="1" x14ac:dyDescent="0.35">
      <c r="A10" s="38">
        <v>6</v>
      </c>
      <c r="B10" s="38" t="s">
        <v>520</v>
      </c>
      <c r="C10" s="38" t="s">
        <v>521</v>
      </c>
      <c r="D10" s="38" t="s">
        <v>522</v>
      </c>
      <c r="E10" s="38" t="s">
        <v>523</v>
      </c>
      <c r="F10" s="38" t="s">
        <v>524</v>
      </c>
      <c r="G10" s="39"/>
    </row>
    <row r="11" spans="1:7" ht="56" customHeight="1" x14ac:dyDescent="0.35">
      <c r="A11" s="38">
        <v>7</v>
      </c>
      <c r="B11" s="38" t="s">
        <v>525</v>
      </c>
      <c r="C11" s="38" t="s">
        <v>526</v>
      </c>
      <c r="D11" s="38" t="s">
        <v>522</v>
      </c>
      <c r="E11" s="38" t="s">
        <v>527</v>
      </c>
      <c r="F11" s="38" t="s">
        <v>528</v>
      </c>
      <c r="G11" s="39"/>
    </row>
    <row r="12" spans="1:7" ht="43" customHeight="1" x14ac:dyDescent="0.35">
      <c r="A12" s="38">
        <v>8</v>
      </c>
      <c r="B12" s="38" t="s">
        <v>529</v>
      </c>
      <c r="C12" s="38" t="s">
        <v>502</v>
      </c>
      <c r="D12" s="38" t="s">
        <v>508</v>
      </c>
      <c r="E12" s="38" t="s">
        <v>530</v>
      </c>
      <c r="F12" s="38" t="s">
        <v>531</v>
      </c>
      <c r="G12" s="39"/>
    </row>
    <row r="13" spans="1:7" ht="56" customHeight="1" x14ac:dyDescent="0.35">
      <c r="A13" s="38">
        <v>9</v>
      </c>
      <c r="B13" s="38" t="s">
        <v>532</v>
      </c>
      <c r="C13" s="38" t="s">
        <v>533</v>
      </c>
      <c r="D13" s="38" t="s">
        <v>508</v>
      </c>
      <c r="E13" s="38" t="s">
        <v>534</v>
      </c>
      <c r="F13" s="38" t="s">
        <v>535</v>
      </c>
      <c r="G13" s="39"/>
    </row>
    <row r="14" spans="1:7" ht="30" customHeight="1" x14ac:dyDescent="0.35">
      <c r="A14" s="38">
        <v>10</v>
      </c>
      <c r="B14" s="38" t="s">
        <v>536</v>
      </c>
      <c r="C14" s="38" t="s">
        <v>537</v>
      </c>
      <c r="D14" s="38" t="s">
        <v>508</v>
      </c>
      <c r="E14" s="38" t="s">
        <v>538</v>
      </c>
      <c r="F14" s="38" t="s">
        <v>539</v>
      </c>
      <c r="G14" s="39"/>
    </row>
    <row r="15" spans="1:7" ht="30" customHeight="1" x14ac:dyDescent="0.35">
      <c r="A15" s="38">
        <v>11</v>
      </c>
      <c r="B15" s="38" t="s">
        <v>540</v>
      </c>
      <c r="C15" s="38" t="s">
        <v>541</v>
      </c>
      <c r="D15" s="38" t="s">
        <v>508</v>
      </c>
      <c r="E15" s="38" t="s">
        <v>542</v>
      </c>
      <c r="F15" s="38" t="s">
        <v>543</v>
      </c>
      <c r="G15" s="39"/>
    </row>
    <row r="16" spans="1:7" ht="43" customHeight="1" x14ac:dyDescent="0.35">
      <c r="A16" s="38">
        <v>12</v>
      </c>
      <c r="B16" s="38" t="s">
        <v>544</v>
      </c>
      <c r="C16" s="38" t="s">
        <v>545</v>
      </c>
      <c r="D16" s="38" t="s">
        <v>508</v>
      </c>
      <c r="E16" s="38" t="s">
        <v>546</v>
      </c>
      <c r="F16" s="38" t="s">
        <v>547</v>
      </c>
      <c r="G16" s="39"/>
    </row>
    <row r="17" spans="1:7" ht="43" customHeight="1" x14ac:dyDescent="0.35">
      <c r="A17" s="38">
        <v>13</v>
      </c>
      <c r="B17" s="38" t="s">
        <v>548</v>
      </c>
      <c r="C17" s="38" t="s">
        <v>502</v>
      </c>
      <c r="D17" s="38" t="s">
        <v>508</v>
      </c>
      <c r="E17" s="38" t="s">
        <v>549</v>
      </c>
      <c r="F17" s="38" t="s">
        <v>516</v>
      </c>
      <c r="G17" s="39"/>
    </row>
    <row r="18" spans="1:7" ht="30" customHeight="1" x14ac:dyDescent="0.35">
      <c r="A18" s="38">
        <v>14</v>
      </c>
      <c r="B18" s="38" t="s">
        <v>550</v>
      </c>
      <c r="C18" s="38" t="s">
        <v>551</v>
      </c>
      <c r="D18" s="38" t="s">
        <v>508</v>
      </c>
      <c r="E18" s="38" t="s">
        <v>552</v>
      </c>
      <c r="F18" s="38" t="s">
        <v>553</v>
      </c>
      <c r="G18" s="39"/>
    </row>
    <row r="19" spans="1:7" ht="30" customHeight="1" x14ac:dyDescent="0.35">
      <c r="A19" s="38">
        <v>15</v>
      </c>
      <c r="B19" s="38" t="s">
        <v>554</v>
      </c>
      <c r="C19" s="38" t="s">
        <v>502</v>
      </c>
      <c r="D19" s="38" t="s">
        <v>503</v>
      </c>
      <c r="E19" s="38" t="s">
        <v>555</v>
      </c>
      <c r="F19" s="38" t="s">
        <v>556</v>
      </c>
      <c r="G19" s="39"/>
    </row>
    <row r="20" spans="1:7" ht="43" customHeight="1" x14ac:dyDescent="0.35">
      <c r="A20" s="38">
        <v>16</v>
      </c>
      <c r="B20" s="38" t="s">
        <v>557</v>
      </c>
      <c r="C20" s="38" t="s">
        <v>502</v>
      </c>
      <c r="D20" s="38" t="s">
        <v>508</v>
      </c>
      <c r="E20" s="38" t="s">
        <v>558</v>
      </c>
      <c r="F20" s="38" t="s">
        <v>559</v>
      </c>
      <c r="G20" s="39"/>
    </row>
    <row r="21" spans="1:7" ht="69" customHeight="1" x14ac:dyDescent="0.35">
      <c r="A21" s="38">
        <v>17</v>
      </c>
      <c r="B21" s="38" t="s">
        <v>560</v>
      </c>
      <c r="C21" s="38" t="s">
        <v>561</v>
      </c>
      <c r="D21" s="38" t="s">
        <v>508</v>
      </c>
      <c r="E21" s="38" t="s">
        <v>562</v>
      </c>
      <c r="F21" s="38" t="s">
        <v>563</v>
      </c>
      <c r="G21" s="39"/>
    </row>
    <row r="22" spans="1:7" ht="95" customHeight="1" x14ac:dyDescent="0.35">
      <c r="A22" s="38">
        <v>18</v>
      </c>
      <c r="B22" s="38" t="s">
        <v>564</v>
      </c>
      <c r="C22" s="38" t="s">
        <v>545</v>
      </c>
      <c r="D22" s="38" t="s">
        <v>508</v>
      </c>
      <c r="E22" s="38" t="s">
        <v>565</v>
      </c>
      <c r="F22" s="38" t="s">
        <v>566</v>
      </c>
      <c r="G22" s="39"/>
    </row>
    <row r="23" spans="1:7" ht="56" customHeight="1" x14ac:dyDescent="0.35">
      <c r="A23" s="38">
        <v>19</v>
      </c>
      <c r="B23" s="38" t="s">
        <v>567</v>
      </c>
      <c r="C23" s="38" t="s">
        <v>568</v>
      </c>
      <c r="D23" s="38" t="s">
        <v>508</v>
      </c>
      <c r="E23" s="38" t="s">
        <v>569</v>
      </c>
      <c r="F23" s="38" t="s">
        <v>570</v>
      </c>
      <c r="G23" s="39"/>
    </row>
    <row r="24" spans="1:7" ht="56" customHeight="1" x14ac:dyDescent="0.35">
      <c r="A24" s="38">
        <v>20</v>
      </c>
      <c r="B24" s="38" t="s">
        <v>571</v>
      </c>
      <c r="C24" s="38" t="s">
        <v>572</v>
      </c>
      <c r="D24" s="38" t="s">
        <v>508</v>
      </c>
      <c r="E24" s="38" t="s">
        <v>573</v>
      </c>
      <c r="F24" s="38" t="s">
        <v>574</v>
      </c>
      <c r="G24" s="39"/>
    </row>
    <row r="25" spans="1:7" ht="82" customHeight="1" x14ac:dyDescent="0.35">
      <c r="A25" s="38">
        <v>21</v>
      </c>
      <c r="B25" s="38" t="s">
        <v>575</v>
      </c>
      <c r="C25" s="38" t="s">
        <v>576</v>
      </c>
      <c r="D25" s="38" t="s">
        <v>508</v>
      </c>
      <c r="E25" s="38" t="s">
        <v>577</v>
      </c>
      <c r="F25" s="38" t="s">
        <v>578</v>
      </c>
      <c r="G25" s="39"/>
    </row>
    <row r="26" spans="1:7" ht="56" customHeight="1" x14ac:dyDescent="0.35">
      <c r="A26" s="38">
        <v>22</v>
      </c>
      <c r="B26" s="38" t="s">
        <v>579</v>
      </c>
      <c r="C26" s="38" t="s">
        <v>580</v>
      </c>
      <c r="D26" s="38" t="s">
        <v>508</v>
      </c>
      <c r="E26" s="38" t="s">
        <v>581</v>
      </c>
      <c r="F26" s="38" t="s">
        <v>582</v>
      </c>
      <c r="G26" s="39"/>
    </row>
    <row r="27" spans="1:7" ht="56" customHeight="1" x14ac:dyDescent="0.35">
      <c r="A27" s="38">
        <v>23</v>
      </c>
      <c r="B27" s="38" t="s">
        <v>583</v>
      </c>
      <c r="C27" s="38" t="s">
        <v>584</v>
      </c>
      <c r="D27" s="38" t="s">
        <v>508</v>
      </c>
      <c r="E27" s="38" t="s">
        <v>585</v>
      </c>
      <c r="F27" s="38" t="s">
        <v>586</v>
      </c>
      <c r="G27" s="39"/>
    </row>
    <row r="28" spans="1:7" ht="69" customHeight="1" x14ac:dyDescent="0.35">
      <c r="A28" s="38">
        <v>24</v>
      </c>
      <c r="B28" s="38" t="s">
        <v>587</v>
      </c>
      <c r="C28" s="38" t="s">
        <v>588</v>
      </c>
      <c r="D28" s="38" t="s">
        <v>508</v>
      </c>
      <c r="E28" s="38" t="s">
        <v>589</v>
      </c>
      <c r="F28" s="38" t="s">
        <v>590</v>
      </c>
      <c r="G28" s="39"/>
    </row>
    <row r="29" spans="1:7" ht="56" customHeight="1" x14ac:dyDescent="0.35">
      <c r="A29" s="38">
        <v>25</v>
      </c>
      <c r="B29" s="38" t="s">
        <v>591</v>
      </c>
      <c r="C29" s="38" t="s">
        <v>592</v>
      </c>
      <c r="D29" s="38" t="s">
        <v>508</v>
      </c>
      <c r="E29" s="38" t="s">
        <v>593</v>
      </c>
      <c r="F29" s="38" t="s">
        <v>594</v>
      </c>
      <c r="G29" s="39"/>
    </row>
    <row r="30" spans="1:7" ht="43" customHeight="1" x14ac:dyDescent="0.35">
      <c r="A30" s="38">
        <v>26</v>
      </c>
      <c r="B30" s="38" t="s">
        <v>595</v>
      </c>
      <c r="C30" s="38" t="s">
        <v>596</v>
      </c>
      <c r="D30" s="38" t="s">
        <v>508</v>
      </c>
      <c r="E30" s="38" t="s">
        <v>597</v>
      </c>
      <c r="F30" s="38" t="s">
        <v>598</v>
      </c>
      <c r="G30" s="39"/>
    </row>
    <row r="31" spans="1:7" ht="56" customHeight="1" x14ac:dyDescent="0.35">
      <c r="A31" s="38">
        <v>27</v>
      </c>
      <c r="B31" s="38" t="s">
        <v>599</v>
      </c>
      <c r="C31" s="38" t="s">
        <v>600</v>
      </c>
      <c r="D31" s="38" t="s">
        <v>508</v>
      </c>
      <c r="E31" s="38" t="s">
        <v>601</v>
      </c>
      <c r="F31" s="38" t="s">
        <v>602</v>
      </c>
      <c r="G31" s="39"/>
    </row>
    <row r="32" spans="1:7" ht="56" customHeight="1" x14ac:dyDescent="0.35">
      <c r="A32" s="38">
        <v>28</v>
      </c>
      <c r="B32" s="38" t="s">
        <v>603</v>
      </c>
      <c r="C32" s="38" t="s">
        <v>604</v>
      </c>
      <c r="D32" s="38" t="s">
        <v>508</v>
      </c>
      <c r="E32" s="38" t="s">
        <v>605</v>
      </c>
      <c r="F32" s="38" t="s">
        <v>606</v>
      </c>
      <c r="G32" s="39"/>
    </row>
    <row r="33" spans="1:7" ht="82" customHeight="1" x14ac:dyDescent="0.35">
      <c r="A33" s="38">
        <v>29</v>
      </c>
      <c r="B33" s="38" t="s">
        <v>607</v>
      </c>
      <c r="C33" s="38" t="s">
        <v>608</v>
      </c>
      <c r="D33" s="38" t="s">
        <v>522</v>
      </c>
      <c r="E33" s="38" t="s">
        <v>609</v>
      </c>
      <c r="F33" s="38" t="s">
        <v>610</v>
      </c>
      <c r="G33" s="39"/>
    </row>
    <row r="34" spans="1:7" ht="56" customHeight="1" x14ac:dyDescent="0.35">
      <c r="A34" s="38">
        <v>30</v>
      </c>
      <c r="B34" s="38" t="s">
        <v>611</v>
      </c>
      <c r="C34" s="38" t="s">
        <v>612</v>
      </c>
      <c r="D34" s="38" t="s">
        <v>522</v>
      </c>
      <c r="E34" s="38" t="s">
        <v>613</v>
      </c>
      <c r="F34" s="38" t="s">
        <v>614</v>
      </c>
      <c r="G34" s="39"/>
    </row>
    <row r="35" spans="1:7" ht="56" customHeight="1" x14ac:dyDescent="0.35">
      <c r="A35" s="38">
        <v>31</v>
      </c>
      <c r="B35" s="38" t="s">
        <v>615</v>
      </c>
      <c r="C35" s="38" t="s">
        <v>616</v>
      </c>
      <c r="D35" s="38" t="s">
        <v>522</v>
      </c>
      <c r="E35" s="38" t="s">
        <v>617</v>
      </c>
      <c r="F35" s="38" t="s">
        <v>618</v>
      </c>
      <c r="G35" s="39"/>
    </row>
    <row r="36" spans="1:7" ht="82" customHeight="1" x14ac:dyDescent="0.35">
      <c r="A36" s="38">
        <v>32</v>
      </c>
      <c r="B36" s="38" t="s">
        <v>619</v>
      </c>
      <c r="C36" s="38" t="s">
        <v>620</v>
      </c>
      <c r="D36" s="38" t="s">
        <v>522</v>
      </c>
      <c r="E36" s="38" t="s">
        <v>621</v>
      </c>
      <c r="F36" s="38" t="s">
        <v>622</v>
      </c>
      <c r="G36" s="39"/>
    </row>
    <row r="37" spans="1:7" ht="30" customHeight="1" x14ac:dyDescent="0.35">
      <c r="A37" s="38">
        <v>33</v>
      </c>
      <c r="B37" s="38" t="s">
        <v>623</v>
      </c>
      <c r="C37" s="38" t="s">
        <v>624</v>
      </c>
      <c r="D37" s="38" t="s">
        <v>508</v>
      </c>
      <c r="E37" s="38" t="s">
        <v>625</v>
      </c>
      <c r="F37" s="38" t="s">
        <v>626</v>
      </c>
      <c r="G37" s="39"/>
    </row>
    <row r="38" spans="1:7" ht="56" customHeight="1" x14ac:dyDescent="0.35">
      <c r="A38" s="38">
        <v>34</v>
      </c>
      <c r="B38" s="38" t="s">
        <v>627</v>
      </c>
      <c r="C38" s="38" t="s">
        <v>628</v>
      </c>
      <c r="D38" s="38" t="s">
        <v>522</v>
      </c>
      <c r="E38" s="38" t="s">
        <v>629</v>
      </c>
      <c r="F38" s="38" t="s">
        <v>630</v>
      </c>
      <c r="G38" s="39"/>
    </row>
    <row r="39" spans="1:7" ht="134" customHeight="1" x14ac:dyDescent="0.35">
      <c r="A39" s="38">
        <v>35</v>
      </c>
      <c r="B39" s="38" t="s">
        <v>631</v>
      </c>
      <c r="C39" s="38" t="s">
        <v>632</v>
      </c>
      <c r="D39" s="38" t="s">
        <v>503</v>
      </c>
      <c r="E39" s="38" t="s">
        <v>633</v>
      </c>
      <c r="F39" s="38" t="s">
        <v>634</v>
      </c>
      <c r="G39" s="39"/>
    </row>
    <row r="40" spans="1:7" ht="69" customHeight="1" x14ac:dyDescent="0.35">
      <c r="A40" s="38">
        <v>36</v>
      </c>
      <c r="B40" s="38" t="s">
        <v>635</v>
      </c>
      <c r="C40" s="38" t="s">
        <v>636</v>
      </c>
      <c r="D40" s="38" t="s">
        <v>508</v>
      </c>
      <c r="E40" s="38" t="s">
        <v>637</v>
      </c>
      <c r="F40" s="38" t="s">
        <v>638</v>
      </c>
      <c r="G40" s="39"/>
    </row>
    <row r="41" spans="1:7" ht="43" customHeight="1" x14ac:dyDescent="0.35">
      <c r="A41" s="38">
        <v>37</v>
      </c>
      <c r="B41" s="38" t="s">
        <v>639</v>
      </c>
      <c r="C41" s="38" t="s">
        <v>640</v>
      </c>
      <c r="D41" s="38" t="s">
        <v>508</v>
      </c>
      <c r="E41" s="38" t="s">
        <v>641</v>
      </c>
      <c r="F41" s="38" t="s">
        <v>642</v>
      </c>
      <c r="G41" s="39"/>
    </row>
    <row r="42" spans="1:7" ht="69" customHeight="1" x14ac:dyDescent="0.35">
      <c r="A42" s="38">
        <v>38</v>
      </c>
      <c r="B42" s="38" t="s">
        <v>643</v>
      </c>
      <c r="C42" s="38" t="s">
        <v>644</v>
      </c>
      <c r="D42" s="38" t="s">
        <v>508</v>
      </c>
      <c r="E42" s="38" t="s">
        <v>645</v>
      </c>
      <c r="F42" s="38" t="s">
        <v>646</v>
      </c>
      <c r="G42" s="39"/>
    </row>
    <row r="43" spans="1:7" ht="43" customHeight="1" x14ac:dyDescent="0.35">
      <c r="A43" s="38">
        <v>39</v>
      </c>
      <c r="B43" s="38" t="s">
        <v>647</v>
      </c>
      <c r="C43" s="38" t="s">
        <v>648</v>
      </c>
      <c r="D43" s="38" t="s">
        <v>508</v>
      </c>
      <c r="E43" s="38" t="s">
        <v>649</v>
      </c>
      <c r="F43" s="38" t="s">
        <v>650</v>
      </c>
      <c r="G43" s="39"/>
    </row>
    <row r="44" spans="1:7" ht="56" customHeight="1" x14ac:dyDescent="0.35">
      <c r="A44" s="38">
        <v>40</v>
      </c>
      <c r="B44" s="38" t="s">
        <v>651</v>
      </c>
      <c r="C44" s="38" t="s">
        <v>652</v>
      </c>
      <c r="D44" s="38" t="s">
        <v>508</v>
      </c>
      <c r="E44" s="38" t="s">
        <v>653</v>
      </c>
      <c r="F44" s="38" t="s">
        <v>654</v>
      </c>
      <c r="G44" s="39"/>
    </row>
    <row r="45" spans="1:7" ht="56" customHeight="1" x14ac:dyDescent="0.35">
      <c r="A45" s="38">
        <v>41</v>
      </c>
      <c r="B45" s="38" t="s">
        <v>655</v>
      </c>
      <c r="C45" s="38" t="s">
        <v>656</v>
      </c>
      <c r="D45" s="38" t="s">
        <v>508</v>
      </c>
      <c r="E45" s="38" t="s">
        <v>657</v>
      </c>
      <c r="F45" s="38" t="s">
        <v>658</v>
      </c>
      <c r="G45" s="39"/>
    </row>
    <row r="46" spans="1:7" ht="69" customHeight="1" x14ac:dyDescent="0.35">
      <c r="A46" s="38">
        <v>42</v>
      </c>
      <c r="B46" s="38" t="s">
        <v>659</v>
      </c>
      <c r="C46" s="38" t="s">
        <v>660</v>
      </c>
      <c r="D46" s="38" t="s">
        <v>508</v>
      </c>
      <c r="E46" s="38" t="s">
        <v>661</v>
      </c>
      <c r="F46" s="38" t="s">
        <v>662</v>
      </c>
      <c r="G46" s="39"/>
    </row>
    <row r="47" spans="1:7" ht="43" customHeight="1" x14ac:dyDescent="0.35">
      <c r="A47" s="38">
        <v>43</v>
      </c>
      <c r="B47" s="38" t="s">
        <v>663</v>
      </c>
      <c r="C47" s="38" t="s">
        <v>664</v>
      </c>
      <c r="D47" s="38" t="s">
        <v>508</v>
      </c>
      <c r="E47" s="38" t="s">
        <v>665</v>
      </c>
      <c r="F47" s="38" t="s">
        <v>666</v>
      </c>
      <c r="G47" s="39"/>
    </row>
    <row r="48" spans="1:7" ht="30" customHeight="1" x14ac:dyDescent="0.35">
      <c r="A48" s="38">
        <v>44</v>
      </c>
      <c r="B48" s="38" t="s">
        <v>667</v>
      </c>
      <c r="C48" s="38" t="s">
        <v>551</v>
      </c>
      <c r="D48" s="38" t="s">
        <v>508</v>
      </c>
      <c r="E48" s="38" t="s">
        <v>668</v>
      </c>
      <c r="F48" s="38" t="s">
        <v>669</v>
      </c>
      <c r="G48" s="39"/>
    </row>
    <row r="49" spans="1:7" ht="56" customHeight="1" x14ac:dyDescent="0.35">
      <c r="A49" s="38">
        <v>45</v>
      </c>
      <c r="B49" s="38" t="s">
        <v>670</v>
      </c>
      <c r="C49" s="38" t="s">
        <v>671</v>
      </c>
      <c r="D49" s="38" t="s">
        <v>508</v>
      </c>
      <c r="E49" s="38" t="s">
        <v>672</v>
      </c>
      <c r="F49" s="38" t="s">
        <v>673</v>
      </c>
      <c r="G49" s="39"/>
    </row>
    <row r="50" spans="1:7" ht="43" customHeight="1" x14ac:dyDescent="0.35">
      <c r="A50" s="38">
        <v>46</v>
      </c>
      <c r="B50" s="38" t="s">
        <v>674</v>
      </c>
      <c r="C50" s="38" t="s">
        <v>675</v>
      </c>
      <c r="D50" s="38" t="s">
        <v>508</v>
      </c>
      <c r="E50" s="38" t="s">
        <v>676</v>
      </c>
      <c r="F50" s="38" t="s">
        <v>677</v>
      </c>
      <c r="G50" s="39"/>
    </row>
    <row r="51" spans="1:7" ht="30" customHeight="1" x14ac:dyDescent="0.35">
      <c r="A51" s="38">
        <v>47</v>
      </c>
      <c r="B51" s="38" t="s">
        <v>678</v>
      </c>
      <c r="C51" s="38" t="s">
        <v>679</v>
      </c>
      <c r="D51" s="38" t="s">
        <v>508</v>
      </c>
      <c r="E51" s="38" t="s">
        <v>680</v>
      </c>
      <c r="F51" s="38" t="s">
        <v>681</v>
      </c>
      <c r="G51" s="39"/>
    </row>
    <row r="52" spans="1:7" ht="43" customHeight="1" x14ac:dyDescent="0.35">
      <c r="A52" s="38">
        <v>48</v>
      </c>
      <c r="B52" s="38" t="s">
        <v>682</v>
      </c>
      <c r="C52" s="38" t="s">
        <v>683</v>
      </c>
      <c r="D52" s="38" t="s">
        <v>503</v>
      </c>
      <c r="E52" s="38" t="s">
        <v>684</v>
      </c>
      <c r="F52" s="38" t="s">
        <v>685</v>
      </c>
      <c r="G52" s="39"/>
    </row>
    <row r="53" spans="1:7" ht="30" customHeight="1" x14ac:dyDescent="0.35">
      <c r="A53" s="38">
        <v>49</v>
      </c>
      <c r="B53" s="38" t="s">
        <v>686</v>
      </c>
      <c r="C53" s="38" t="s">
        <v>687</v>
      </c>
      <c r="D53" s="38" t="s">
        <v>508</v>
      </c>
      <c r="E53" s="38" t="s">
        <v>688</v>
      </c>
      <c r="F53" s="38" t="s">
        <v>689</v>
      </c>
      <c r="G53" s="39"/>
    </row>
    <row r="54" spans="1:7" ht="56" customHeight="1" x14ac:dyDescent="0.35">
      <c r="A54" s="38">
        <v>50</v>
      </c>
      <c r="B54" s="38" t="s">
        <v>690</v>
      </c>
      <c r="C54" s="38" t="s">
        <v>691</v>
      </c>
      <c r="D54" s="38" t="s">
        <v>503</v>
      </c>
      <c r="E54" s="38" t="s">
        <v>692</v>
      </c>
      <c r="F54" s="38" t="s">
        <v>693</v>
      </c>
      <c r="G54" s="39"/>
    </row>
    <row r="55" spans="1:7" ht="82" customHeight="1" x14ac:dyDescent="0.35">
      <c r="A55" s="38">
        <v>51</v>
      </c>
      <c r="B55" s="38" t="s">
        <v>694</v>
      </c>
      <c r="C55" s="38" t="s">
        <v>695</v>
      </c>
      <c r="D55" s="38" t="s">
        <v>508</v>
      </c>
      <c r="E55" s="38" t="s">
        <v>696</v>
      </c>
      <c r="F55" s="38" t="s">
        <v>697</v>
      </c>
      <c r="G55" s="39"/>
    </row>
    <row r="56" spans="1:7" ht="43" customHeight="1" x14ac:dyDescent="0.35">
      <c r="A56" s="38">
        <v>52</v>
      </c>
      <c r="B56" s="38" t="s">
        <v>698</v>
      </c>
      <c r="C56" s="38" t="s">
        <v>699</v>
      </c>
      <c r="D56" s="38" t="s">
        <v>508</v>
      </c>
      <c r="E56" s="38" t="s">
        <v>700</v>
      </c>
      <c r="F56" s="38" t="s">
        <v>701</v>
      </c>
      <c r="G56" s="39"/>
    </row>
    <row r="57" spans="1:7" ht="30" customHeight="1" x14ac:dyDescent="0.35">
      <c r="A57" s="38">
        <v>53</v>
      </c>
      <c r="B57" s="38" t="s">
        <v>702</v>
      </c>
      <c r="C57" s="38" t="s">
        <v>703</v>
      </c>
      <c r="D57" s="38" t="s">
        <v>508</v>
      </c>
      <c r="E57" s="38" t="s">
        <v>704</v>
      </c>
      <c r="F57" s="38" t="s">
        <v>705</v>
      </c>
      <c r="G57" s="39"/>
    </row>
    <row r="58" spans="1:7" ht="82" customHeight="1" x14ac:dyDescent="0.35">
      <c r="A58" s="38">
        <v>54</v>
      </c>
      <c r="B58" s="38" t="s">
        <v>706</v>
      </c>
      <c r="C58" s="38" t="s">
        <v>707</v>
      </c>
      <c r="D58" s="38" t="s">
        <v>503</v>
      </c>
      <c r="E58" s="38" t="s">
        <v>708</v>
      </c>
      <c r="F58" s="38" t="s">
        <v>709</v>
      </c>
      <c r="G58" s="39"/>
    </row>
    <row r="59" spans="1:7" ht="30" customHeight="1" x14ac:dyDescent="0.35">
      <c r="A59" s="38">
        <v>55</v>
      </c>
      <c r="B59" s="38" t="s">
        <v>710</v>
      </c>
      <c r="C59" s="38" t="s">
        <v>711</v>
      </c>
      <c r="D59" s="38" t="s">
        <v>508</v>
      </c>
      <c r="E59" s="38" t="s">
        <v>712</v>
      </c>
      <c r="F59" s="38" t="s">
        <v>713</v>
      </c>
      <c r="G59" s="39"/>
    </row>
    <row r="60" spans="1:7" ht="30" customHeight="1" x14ac:dyDescent="0.35">
      <c r="A60" s="38">
        <v>56</v>
      </c>
      <c r="B60" s="38" t="s">
        <v>714</v>
      </c>
      <c r="C60" s="38" t="s">
        <v>715</v>
      </c>
      <c r="D60" s="38" t="s">
        <v>508</v>
      </c>
      <c r="E60" s="38" t="s">
        <v>716</v>
      </c>
      <c r="F60" s="38" t="s">
        <v>717</v>
      </c>
      <c r="G60" s="39"/>
    </row>
    <row r="61" spans="1:7" ht="43" customHeight="1" x14ac:dyDescent="0.35">
      <c r="A61" s="38">
        <v>57</v>
      </c>
      <c r="B61" s="38" t="s">
        <v>718</v>
      </c>
      <c r="C61" s="38" t="s">
        <v>719</v>
      </c>
      <c r="D61" s="38" t="s">
        <v>508</v>
      </c>
      <c r="E61" s="38" t="s">
        <v>720</v>
      </c>
      <c r="F61" s="38" t="s">
        <v>721</v>
      </c>
      <c r="G61" s="39"/>
    </row>
    <row r="62" spans="1:7" ht="43" customHeight="1" x14ac:dyDescent="0.35">
      <c r="A62" s="38">
        <v>58</v>
      </c>
      <c r="B62" s="38" t="s">
        <v>722</v>
      </c>
      <c r="C62" s="38" t="s">
        <v>723</v>
      </c>
      <c r="D62" s="38" t="s">
        <v>508</v>
      </c>
      <c r="E62" s="38" t="s">
        <v>724</v>
      </c>
      <c r="F62" s="38" t="s">
        <v>725</v>
      </c>
      <c r="G62" s="39"/>
    </row>
    <row r="63" spans="1:7" ht="43" customHeight="1" x14ac:dyDescent="0.35">
      <c r="A63" s="38">
        <v>59</v>
      </c>
      <c r="B63" s="38" t="s">
        <v>726</v>
      </c>
      <c r="C63" s="38" t="s">
        <v>727</v>
      </c>
      <c r="D63" s="38" t="s">
        <v>508</v>
      </c>
      <c r="E63" s="38" t="s">
        <v>728</v>
      </c>
      <c r="F63" s="38" t="s">
        <v>729</v>
      </c>
      <c r="G63" s="39"/>
    </row>
    <row r="64" spans="1:7" ht="43" customHeight="1" x14ac:dyDescent="0.35">
      <c r="A64" s="38">
        <v>60</v>
      </c>
      <c r="B64" s="38" t="s">
        <v>730</v>
      </c>
      <c r="C64" s="38" t="s">
        <v>731</v>
      </c>
      <c r="D64" s="38" t="s">
        <v>732</v>
      </c>
      <c r="E64" s="38" t="s">
        <v>733</v>
      </c>
      <c r="F64" s="38" t="s">
        <v>734</v>
      </c>
      <c r="G64" s="39"/>
    </row>
    <row r="65" spans="1:7" ht="43" customHeight="1" x14ac:dyDescent="0.35">
      <c r="A65" s="38">
        <v>61</v>
      </c>
      <c r="B65" s="38" t="s">
        <v>735</v>
      </c>
      <c r="C65" s="38" t="s">
        <v>736</v>
      </c>
      <c r="D65" s="38" t="s">
        <v>508</v>
      </c>
      <c r="E65" s="38" t="s">
        <v>737</v>
      </c>
      <c r="F65" s="38" t="s">
        <v>738</v>
      </c>
      <c r="G65" s="39"/>
    </row>
    <row r="66" spans="1:7" ht="43" customHeight="1" x14ac:dyDescent="0.35">
      <c r="A66" s="38">
        <v>62</v>
      </c>
      <c r="B66" s="38" t="s">
        <v>739</v>
      </c>
      <c r="C66" s="38" t="s">
        <v>740</v>
      </c>
      <c r="D66" s="38" t="s">
        <v>732</v>
      </c>
      <c r="E66" s="38" t="s">
        <v>741</v>
      </c>
      <c r="F66" s="38" t="s">
        <v>742</v>
      </c>
      <c r="G66" s="39"/>
    </row>
    <row r="67" spans="1:7" ht="43" customHeight="1" x14ac:dyDescent="0.35">
      <c r="A67" s="38">
        <v>63</v>
      </c>
      <c r="B67" s="38" t="s">
        <v>743</v>
      </c>
      <c r="C67" s="38" t="s">
        <v>744</v>
      </c>
      <c r="D67" s="38" t="s">
        <v>732</v>
      </c>
      <c r="E67" s="38" t="s">
        <v>745</v>
      </c>
      <c r="F67" s="38" t="s">
        <v>746</v>
      </c>
      <c r="G67" s="39"/>
    </row>
  </sheetData>
  <autoFilter ref="A4:G67" xr:uid="{00000000-0009-0000-0000-000006000000}"/>
  <conditionalFormatting sqref="D5:D67">
    <cfRule type="cellIs" dxfId="16" priority="1" operator="equal">
      <formula>"Decided"</formula>
    </cfRule>
    <cfRule type="cellIs" dxfId="15" priority="2" operator="equal">
      <formula>"Confirm"</formula>
    </cfRule>
    <cfRule type="cellIs" dxfId="14" priority="3" operator="equal">
      <formula>"External"</formula>
    </cfRule>
    <cfRule type="cellIs" dxfId="13" priority="4" operator="equal">
      <formula>"Dropped"</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72"/>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9" customWidth="1"/>
    <col min="2" max="2" width="11" customWidth="1"/>
    <col min="3" max="3" width="38" customWidth="1"/>
    <col min="4" max="4" width="6" customWidth="1"/>
    <col min="5" max="5" width="9" customWidth="1"/>
    <col min="6" max="6" width="20" customWidth="1"/>
    <col min="7" max="7" width="12" customWidth="1"/>
    <col min="8" max="8" width="52" customWidth="1"/>
    <col min="9" max="9" width="66" customWidth="1"/>
    <col min="10" max="10" width="40" customWidth="1"/>
    <col min="11" max="11" width="14" customWidth="1"/>
    <col min="12" max="12" width="11" customWidth="1"/>
    <col min="13" max="13" width="9" customWidth="1"/>
    <col min="14" max="14" width="10" customWidth="1"/>
    <col min="15" max="16" width="12" customWidth="1"/>
    <col min="17" max="21" width="11" customWidth="1"/>
    <col min="22" max="22" width="12" customWidth="1"/>
    <col min="23" max="23" width="8" customWidth="1"/>
    <col min="24" max="25" width="12" customWidth="1"/>
    <col min="26" max="27" width="8" customWidth="1"/>
    <col min="28" max="29" width="24" customWidth="1"/>
    <col min="30" max="30" width="28" customWidth="1"/>
    <col min="31" max="31" width="18" customWidth="1"/>
    <col min="32" max="32" width="14" customWidth="1"/>
    <col min="33" max="33" width="11" customWidth="1"/>
    <col min="34" max="34" width="9" customWidth="1"/>
    <col min="35" max="36" width="11" customWidth="1"/>
  </cols>
  <sheetData>
    <row r="1" spans="1:36" ht="21" x14ac:dyDescent="0.5">
      <c r="A1" s="27" t="s">
        <v>747</v>
      </c>
    </row>
    <row r="2" spans="1:36" ht="208" x14ac:dyDescent="0.35">
      <c r="A2" s="28" t="s">
        <v>748</v>
      </c>
    </row>
    <row r="4" spans="1:36" ht="32" customHeight="1" x14ac:dyDescent="0.35">
      <c r="A4" s="37" t="s">
        <v>749</v>
      </c>
      <c r="B4" s="37" t="s">
        <v>750</v>
      </c>
      <c r="C4" s="37" t="s">
        <v>751</v>
      </c>
      <c r="D4" s="37" t="s">
        <v>752</v>
      </c>
      <c r="E4" s="37" t="s">
        <v>753</v>
      </c>
      <c r="F4" s="37" t="s">
        <v>754</v>
      </c>
      <c r="G4" s="37" t="s">
        <v>755</v>
      </c>
      <c r="H4" s="37" t="s">
        <v>756</v>
      </c>
      <c r="I4" s="37" t="s">
        <v>757</v>
      </c>
      <c r="J4" s="37" t="s">
        <v>758</v>
      </c>
      <c r="K4" s="37" t="s">
        <v>759</v>
      </c>
      <c r="L4" s="37" t="s">
        <v>760</v>
      </c>
      <c r="M4" s="37" t="s">
        <v>761</v>
      </c>
      <c r="N4" s="37" t="s">
        <v>762</v>
      </c>
      <c r="O4" s="37" t="s">
        <v>763</v>
      </c>
      <c r="P4" s="37" t="s">
        <v>764</v>
      </c>
      <c r="Q4" s="37" t="s">
        <v>765</v>
      </c>
      <c r="R4" s="37" t="s">
        <v>766</v>
      </c>
      <c r="S4" s="37" t="s">
        <v>767</v>
      </c>
      <c r="T4" s="37" t="s">
        <v>768</v>
      </c>
      <c r="U4" s="37" t="s">
        <v>769</v>
      </c>
      <c r="V4" s="37" t="s">
        <v>497</v>
      </c>
      <c r="W4" s="37" t="s">
        <v>770</v>
      </c>
      <c r="X4" s="37" t="s">
        <v>771</v>
      </c>
      <c r="Y4" s="37" t="s">
        <v>772</v>
      </c>
      <c r="Z4" s="37" t="s">
        <v>773</v>
      </c>
      <c r="AA4" s="37" t="s">
        <v>486</v>
      </c>
      <c r="AB4" s="37" t="s">
        <v>774</v>
      </c>
      <c r="AC4" s="37" t="s">
        <v>775</v>
      </c>
      <c r="AD4" s="37" t="s">
        <v>776</v>
      </c>
      <c r="AE4" s="37" t="s">
        <v>777</v>
      </c>
      <c r="AF4" s="37" t="s">
        <v>778</v>
      </c>
      <c r="AG4" s="37" t="s">
        <v>779</v>
      </c>
      <c r="AH4" s="37" t="s">
        <v>780</v>
      </c>
      <c r="AI4" s="37" t="s">
        <v>781</v>
      </c>
      <c r="AJ4" s="37" t="s">
        <v>782</v>
      </c>
    </row>
    <row r="5" spans="1:36" ht="118" customHeight="1" x14ac:dyDescent="0.35">
      <c r="A5" s="38" t="s">
        <v>783</v>
      </c>
      <c r="B5" s="38"/>
      <c r="C5" s="38" t="s">
        <v>784</v>
      </c>
      <c r="D5" s="38">
        <v>1</v>
      </c>
      <c r="E5" s="38" t="s">
        <v>99</v>
      </c>
      <c r="F5" s="38" t="s">
        <v>785</v>
      </c>
      <c r="G5" s="38" t="s">
        <v>786</v>
      </c>
      <c r="H5" s="38" t="s">
        <v>787</v>
      </c>
      <c r="I5" s="38" t="s">
        <v>788</v>
      </c>
      <c r="J5" s="38" t="s">
        <v>789</v>
      </c>
      <c r="K5" s="38"/>
      <c r="L5" s="39" t="s">
        <v>790</v>
      </c>
      <c r="M5" s="38">
        <v>1</v>
      </c>
      <c r="N5" s="38">
        <f>ROUNDUP(M5*(1+'Plan guide'!$B$6),0)</f>
        <v>2</v>
      </c>
      <c r="O5" s="40">
        <v>46307</v>
      </c>
      <c r="P5" s="40">
        <v>46308</v>
      </c>
      <c r="Q5" s="41" t="s">
        <v>791</v>
      </c>
      <c r="R5" s="41" t="s">
        <v>791</v>
      </c>
      <c r="S5" s="41" t="s">
        <v>792</v>
      </c>
      <c r="T5" s="41" t="s">
        <v>792</v>
      </c>
      <c r="U5" s="41" t="s">
        <v>793</v>
      </c>
      <c r="V5" s="42" t="str">
        <f t="shared" ref="V5:V36" si="0">IF(COUNTIF(Q5:U5,"Blocked")&gt;0,"Blocked",IF(COUNTIF(Q5:U5,"Done")+COUNTIF(Q5:U5,"N/A")=5,"Done",IF(COUNTIF(Q5:U5,"Done")+COUNTIF(Q5:U5,"In progress")&gt;0,"In progress","Not started")))</f>
        <v>In progress</v>
      </c>
      <c r="W5" s="43">
        <f t="shared" ref="W5:W36" si="1">IF(5-COUNTIF(Q5:U5,"N/A")=0,1,COUNTIF(Q5:U5,"Done")/(5-COUNTIF(Q5:U5,"N/A")))</f>
        <v>0.4</v>
      </c>
      <c r="X5" s="30"/>
      <c r="Y5" s="30"/>
      <c r="Z5" s="42">
        <f t="shared" ref="Z5:Z36" ca="1" si="2">IF(V5="Done",IF(Y5="",0,MAX(0,Y5-P5)),MAX(0,TODAY()-P5))</f>
        <v>0</v>
      </c>
      <c r="AA5" s="42" t="str">
        <f t="shared" ref="AA5:AA36" ca="1" si="3">IF(V5="Done","Done",IF(V5="Blocked","Red",IF(Z5&gt;0,"Red",IF(AND(O5&lt;=TODAY(),P5-TODAY()&lt;=3,W5&lt;0.5),"Amber","Green"))))</f>
        <v>Green</v>
      </c>
      <c r="AB5" s="49" t="s">
        <v>794</v>
      </c>
      <c r="AC5" s="49" t="s">
        <v>795</v>
      </c>
      <c r="AD5" s="49" t="s">
        <v>796</v>
      </c>
      <c r="AE5" s="42"/>
      <c r="AF5" s="42"/>
      <c r="AG5" s="42" t="s">
        <v>797</v>
      </c>
      <c r="AH5" s="42"/>
      <c r="AI5" s="42" t="s">
        <v>798</v>
      </c>
      <c r="AJ5" s="42" t="s">
        <v>799</v>
      </c>
    </row>
    <row r="6" spans="1:36" ht="118" customHeight="1" x14ac:dyDescent="0.35">
      <c r="A6" s="38" t="s">
        <v>800</v>
      </c>
      <c r="B6" s="38"/>
      <c r="C6" s="38" t="s">
        <v>801</v>
      </c>
      <c r="D6" s="38">
        <v>1</v>
      </c>
      <c r="E6" s="38" t="s">
        <v>99</v>
      </c>
      <c r="F6" s="38" t="s">
        <v>785</v>
      </c>
      <c r="G6" s="38" t="s">
        <v>802</v>
      </c>
      <c r="H6" s="38" t="s">
        <v>803</v>
      </c>
      <c r="I6" s="38" t="s">
        <v>804</v>
      </c>
      <c r="J6" s="38"/>
      <c r="K6" s="38"/>
      <c r="L6" s="39" t="s">
        <v>805</v>
      </c>
      <c r="M6" s="38">
        <v>0.5</v>
      </c>
      <c r="N6" s="38">
        <f>ROUNDUP(M6*(1+'Plan guide'!$B$6),0)</f>
        <v>1</v>
      </c>
      <c r="O6" s="40">
        <v>46307</v>
      </c>
      <c r="P6" s="40">
        <v>46307</v>
      </c>
      <c r="Q6" s="41" t="s">
        <v>793</v>
      </c>
      <c r="R6" s="41" t="s">
        <v>806</v>
      </c>
      <c r="S6" s="41" t="s">
        <v>806</v>
      </c>
      <c r="T6" s="41" t="s">
        <v>793</v>
      </c>
      <c r="U6" s="41" t="s">
        <v>806</v>
      </c>
      <c r="V6" s="42" t="str">
        <f t="shared" si="0"/>
        <v>Not started</v>
      </c>
      <c r="W6" s="43">
        <f t="shared" si="1"/>
        <v>0</v>
      </c>
      <c r="X6" s="30"/>
      <c r="Y6" s="30"/>
      <c r="Z6" s="42">
        <f t="shared" ca="1" si="2"/>
        <v>0</v>
      </c>
      <c r="AA6" s="42" t="str">
        <f t="shared" ca="1" si="3"/>
        <v>Green</v>
      </c>
      <c r="AB6" s="49" t="s">
        <v>807</v>
      </c>
      <c r="AC6" s="49" t="s">
        <v>795</v>
      </c>
      <c r="AD6" s="49" t="s">
        <v>808</v>
      </c>
      <c r="AE6" s="42"/>
      <c r="AF6" s="42"/>
      <c r="AG6" s="42" t="s">
        <v>809</v>
      </c>
      <c r="AH6" s="42"/>
      <c r="AI6" s="42" t="s">
        <v>810</v>
      </c>
      <c r="AJ6" s="42" t="s">
        <v>811</v>
      </c>
    </row>
    <row r="7" spans="1:36" ht="118" customHeight="1" x14ac:dyDescent="0.35">
      <c r="A7" s="38" t="s">
        <v>812</v>
      </c>
      <c r="B7" s="38"/>
      <c r="C7" s="38" t="s">
        <v>813</v>
      </c>
      <c r="D7" s="38">
        <v>1</v>
      </c>
      <c r="E7" s="38" t="s">
        <v>99</v>
      </c>
      <c r="F7" s="38" t="s">
        <v>814</v>
      </c>
      <c r="G7" s="38" t="s">
        <v>802</v>
      </c>
      <c r="H7" s="38" t="s">
        <v>815</v>
      </c>
      <c r="I7" s="38" t="s">
        <v>816</v>
      </c>
      <c r="J7" s="38"/>
      <c r="K7" s="38"/>
      <c r="L7" s="39" t="s">
        <v>805</v>
      </c>
      <c r="M7" s="38">
        <v>0.5</v>
      </c>
      <c r="N7" s="38">
        <f>ROUNDUP(M7*(1+'Plan guide'!$B$6),0)</f>
        <v>1</v>
      </c>
      <c r="O7" s="40">
        <v>46307</v>
      </c>
      <c r="P7" s="40">
        <v>46307</v>
      </c>
      <c r="Q7" s="41" t="s">
        <v>793</v>
      </c>
      <c r="R7" s="41" t="s">
        <v>806</v>
      </c>
      <c r="S7" s="41" t="s">
        <v>806</v>
      </c>
      <c r="T7" s="41" t="s">
        <v>793</v>
      </c>
      <c r="U7" s="41" t="s">
        <v>806</v>
      </c>
      <c r="V7" s="42" t="str">
        <f t="shared" si="0"/>
        <v>Not started</v>
      </c>
      <c r="W7" s="43">
        <f t="shared" si="1"/>
        <v>0</v>
      </c>
      <c r="X7" s="30"/>
      <c r="Y7" s="30"/>
      <c r="Z7" s="42">
        <f t="shared" ca="1" si="2"/>
        <v>0</v>
      </c>
      <c r="AA7" s="42" t="str">
        <f t="shared" ca="1" si="3"/>
        <v>Green</v>
      </c>
      <c r="AB7" s="49" t="s">
        <v>817</v>
      </c>
      <c r="AC7" s="49" t="s">
        <v>795</v>
      </c>
      <c r="AD7" s="49" t="s">
        <v>808</v>
      </c>
      <c r="AE7" s="42"/>
      <c r="AF7" s="42"/>
      <c r="AG7" s="42" t="s">
        <v>809</v>
      </c>
      <c r="AH7" s="42"/>
      <c r="AI7" s="42" t="s">
        <v>818</v>
      </c>
      <c r="AJ7" s="42" t="s">
        <v>819</v>
      </c>
    </row>
    <row r="8" spans="1:36" ht="118" customHeight="1" x14ac:dyDescent="0.35">
      <c r="A8" s="38" t="s">
        <v>568</v>
      </c>
      <c r="B8" s="38" t="s">
        <v>92</v>
      </c>
      <c r="C8" s="38" t="s">
        <v>93</v>
      </c>
      <c r="D8" s="38">
        <v>1</v>
      </c>
      <c r="E8" s="38" t="s">
        <v>99</v>
      </c>
      <c r="F8" s="38" t="s">
        <v>820</v>
      </c>
      <c r="G8" s="38" t="s">
        <v>821</v>
      </c>
      <c r="H8" s="38" t="s">
        <v>822</v>
      </c>
      <c r="I8" s="38" t="s">
        <v>823</v>
      </c>
      <c r="J8" s="38" t="s">
        <v>824</v>
      </c>
      <c r="K8" s="38"/>
      <c r="L8" s="39" t="s">
        <v>825</v>
      </c>
      <c r="M8" s="38">
        <v>3</v>
      </c>
      <c r="N8" s="38">
        <f>ROUNDUP(M8*(1+'Plan guide'!$B$6),0)</f>
        <v>4</v>
      </c>
      <c r="O8" s="40">
        <v>46307</v>
      </c>
      <c r="P8" s="40">
        <v>46310</v>
      </c>
      <c r="Q8" s="41" t="s">
        <v>791</v>
      </c>
      <c r="R8" s="41" t="s">
        <v>791</v>
      </c>
      <c r="S8" s="41" t="s">
        <v>791</v>
      </c>
      <c r="T8" s="41" t="s">
        <v>792</v>
      </c>
      <c r="U8" s="41" t="s">
        <v>791</v>
      </c>
      <c r="V8" s="42" t="str">
        <f t="shared" si="0"/>
        <v>In progress</v>
      </c>
      <c r="W8" s="43">
        <f t="shared" si="1"/>
        <v>0.8</v>
      </c>
      <c r="X8" s="30"/>
      <c r="Y8" s="30"/>
      <c r="Z8" s="42">
        <f t="shared" ca="1" si="2"/>
        <v>0</v>
      </c>
      <c r="AA8" s="42" t="str">
        <f t="shared" ca="1" si="3"/>
        <v>Green</v>
      </c>
      <c r="AB8" s="49" t="s">
        <v>794</v>
      </c>
      <c r="AC8" s="49" t="s">
        <v>795</v>
      </c>
      <c r="AD8" s="49" t="s">
        <v>826</v>
      </c>
      <c r="AE8" s="42" t="str">
        <f>IFERROR(INDEX('Task Register'!$AJ$2:$AJ$771,MATCH(B8,'Task Register'!$A$2:$A$771,0)),"")</f>
        <v>Built - tested</v>
      </c>
      <c r="AF8" s="42" t="str">
        <f>IFERROR(INDEX('Task Register'!$AU$2:$AU$771,MATCH(B8,'Task Register'!$A$2:$A$771,0)),"")</f>
        <v>Pass</v>
      </c>
      <c r="AG8" s="42" t="s">
        <v>827</v>
      </c>
      <c r="AH8" s="42"/>
      <c r="AI8" s="42" t="s">
        <v>828</v>
      </c>
      <c r="AJ8" s="42" t="s">
        <v>92</v>
      </c>
    </row>
    <row r="9" spans="1:36" ht="118" customHeight="1" x14ac:dyDescent="0.35">
      <c r="A9" s="38" t="s">
        <v>829</v>
      </c>
      <c r="B9" s="38" t="s">
        <v>103</v>
      </c>
      <c r="C9" s="38" t="s">
        <v>274</v>
      </c>
      <c r="D9" s="38">
        <v>1</v>
      </c>
      <c r="E9" s="38" t="s">
        <v>99</v>
      </c>
      <c r="F9" s="38" t="s">
        <v>820</v>
      </c>
      <c r="G9" s="38" t="s">
        <v>821</v>
      </c>
      <c r="H9" s="38" t="s">
        <v>276</v>
      </c>
      <c r="I9" s="38" t="s">
        <v>830</v>
      </c>
      <c r="J9" s="38" t="s">
        <v>824</v>
      </c>
      <c r="K9" s="38" t="s">
        <v>568</v>
      </c>
      <c r="L9" s="39" t="s">
        <v>825</v>
      </c>
      <c r="M9" s="38">
        <v>0</v>
      </c>
      <c r="N9" s="38">
        <f>ROUNDUP(M9*(1+'Plan guide'!$B$6),0)</f>
        <v>0</v>
      </c>
      <c r="O9" s="40">
        <v>46314</v>
      </c>
      <c r="P9" s="40">
        <v>46314</v>
      </c>
      <c r="Q9" s="41" t="s">
        <v>806</v>
      </c>
      <c r="R9" s="41" t="s">
        <v>806</v>
      </c>
      <c r="S9" s="41" t="s">
        <v>806</v>
      </c>
      <c r="T9" s="41" t="s">
        <v>792</v>
      </c>
      <c r="U9" s="41" t="s">
        <v>791</v>
      </c>
      <c r="V9" s="42" t="str">
        <f t="shared" si="0"/>
        <v>In progress</v>
      </c>
      <c r="W9" s="43">
        <f t="shared" si="1"/>
        <v>0.5</v>
      </c>
      <c r="X9" s="30"/>
      <c r="Y9" s="30"/>
      <c r="Z9" s="42">
        <f t="shared" ca="1" si="2"/>
        <v>0</v>
      </c>
      <c r="AA9" s="42" t="str">
        <f t="shared" ca="1" si="3"/>
        <v>Green</v>
      </c>
      <c r="AB9" s="49" t="s">
        <v>794</v>
      </c>
      <c r="AC9" s="49" t="s">
        <v>795</v>
      </c>
      <c r="AD9" s="49" t="s">
        <v>831</v>
      </c>
      <c r="AE9" s="42" t="str">
        <f>IFERROR(INDEX('Task Register'!$AJ$2:$AJ$771,MATCH(B9,'Task Register'!$A$2:$A$771,0)),"")</f>
        <v>Built - tested</v>
      </c>
      <c r="AF9" s="42" t="str">
        <f>IFERROR(INDEX('Task Register'!$AU$2:$AU$771,MATCH(B9,'Task Register'!$A$2:$A$771,0)),"")</f>
        <v>Pass</v>
      </c>
      <c r="AG9" s="42" t="s">
        <v>827</v>
      </c>
      <c r="AH9" s="42"/>
      <c r="AI9" s="42" t="s">
        <v>832</v>
      </c>
      <c r="AJ9" s="42" t="s">
        <v>103</v>
      </c>
    </row>
    <row r="10" spans="1:36" ht="118" customHeight="1" x14ac:dyDescent="0.35">
      <c r="A10" s="38" t="s">
        <v>833</v>
      </c>
      <c r="B10" s="38" t="s">
        <v>109</v>
      </c>
      <c r="C10" s="38" t="s">
        <v>282</v>
      </c>
      <c r="D10" s="38">
        <v>1</v>
      </c>
      <c r="E10" s="38" t="s">
        <v>99</v>
      </c>
      <c r="F10" s="38" t="s">
        <v>820</v>
      </c>
      <c r="G10" s="38" t="s">
        <v>821</v>
      </c>
      <c r="H10" s="38" t="s">
        <v>834</v>
      </c>
      <c r="I10" s="38" t="s">
        <v>835</v>
      </c>
      <c r="J10" s="38" t="s">
        <v>836</v>
      </c>
      <c r="K10" s="38" t="s">
        <v>568</v>
      </c>
      <c r="L10" s="39" t="s">
        <v>790</v>
      </c>
      <c r="M10" s="38">
        <v>2</v>
      </c>
      <c r="N10" s="38">
        <f>ROUNDUP(M10*(1+'Plan guide'!$B$6),0)</f>
        <v>3</v>
      </c>
      <c r="O10" s="40">
        <v>46314</v>
      </c>
      <c r="P10" s="40">
        <v>46317</v>
      </c>
      <c r="Q10" s="41" t="s">
        <v>791</v>
      </c>
      <c r="R10" s="41" t="s">
        <v>792</v>
      </c>
      <c r="S10" s="41" t="s">
        <v>792</v>
      </c>
      <c r="T10" s="41" t="s">
        <v>793</v>
      </c>
      <c r="U10" s="41" t="s">
        <v>793</v>
      </c>
      <c r="V10" s="42" t="str">
        <f t="shared" si="0"/>
        <v>In progress</v>
      </c>
      <c r="W10" s="43">
        <f t="shared" si="1"/>
        <v>0.2</v>
      </c>
      <c r="X10" s="30"/>
      <c r="Y10" s="30"/>
      <c r="Z10" s="42">
        <f t="shared" ca="1" si="2"/>
        <v>0</v>
      </c>
      <c r="AA10" s="42" t="str">
        <f t="shared" ca="1" si="3"/>
        <v>Green</v>
      </c>
      <c r="AB10" s="49" t="s">
        <v>837</v>
      </c>
      <c r="AC10" s="49" t="s">
        <v>795</v>
      </c>
      <c r="AD10" s="49" t="s">
        <v>838</v>
      </c>
      <c r="AE10" s="42" t="str">
        <f>IFERROR(INDEX('Task Register'!$AJ$2:$AJ$771,MATCH(B10,'Task Register'!$A$2:$A$771,0)),"")</f>
        <v>Built - partial</v>
      </c>
      <c r="AF10" s="42" t="str">
        <f>IFERROR(INDEX('Task Register'!$AU$2:$AU$771,MATCH(B10,'Task Register'!$A$2:$A$771,0)),"")</f>
        <v>Partial</v>
      </c>
      <c r="AG10" s="42" t="s">
        <v>827</v>
      </c>
      <c r="AH10" s="42"/>
      <c r="AI10" s="42" t="s">
        <v>839</v>
      </c>
      <c r="AJ10" s="42" t="s">
        <v>109</v>
      </c>
    </row>
    <row r="11" spans="1:36" ht="118" customHeight="1" x14ac:dyDescent="0.35">
      <c r="A11" s="38" t="s">
        <v>840</v>
      </c>
      <c r="B11" s="38" t="s">
        <v>359</v>
      </c>
      <c r="C11" s="38" t="s">
        <v>360</v>
      </c>
      <c r="D11" s="38">
        <v>1</v>
      </c>
      <c r="E11" s="38" t="s">
        <v>99</v>
      </c>
      <c r="F11" s="38" t="s">
        <v>820</v>
      </c>
      <c r="G11" s="38" t="s">
        <v>821</v>
      </c>
      <c r="H11" s="38" t="s">
        <v>362</v>
      </c>
      <c r="I11" s="38" t="s">
        <v>841</v>
      </c>
      <c r="J11" s="38" t="s">
        <v>842</v>
      </c>
      <c r="K11" s="38" t="s">
        <v>833</v>
      </c>
      <c r="L11" s="39" t="s">
        <v>790</v>
      </c>
      <c r="M11" s="38">
        <v>0</v>
      </c>
      <c r="N11" s="38">
        <f>ROUNDUP(M11*(1+'Plan guide'!$B$6),0)</f>
        <v>0</v>
      </c>
      <c r="O11" s="40">
        <v>46321</v>
      </c>
      <c r="P11" s="40">
        <v>46321</v>
      </c>
      <c r="Q11" s="41" t="s">
        <v>806</v>
      </c>
      <c r="R11" s="41" t="s">
        <v>806</v>
      </c>
      <c r="S11" s="41" t="s">
        <v>806</v>
      </c>
      <c r="T11" s="41" t="s">
        <v>792</v>
      </c>
      <c r="U11" s="41" t="s">
        <v>791</v>
      </c>
      <c r="V11" s="42" t="str">
        <f t="shared" si="0"/>
        <v>In progress</v>
      </c>
      <c r="W11" s="43">
        <f t="shared" si="1"/>
        <v>0.5</v>
      </c>
      <c r="X11" s="30"/>
      <c r="Y11" s="30"/>
      <c r="Z11" s="42">
        <f t="shared" ca="1" si="2"/>
        <v>0</v>
      </c>
      <c r="AA11" s="42" t="str">
        <f t="shared" ca="1" si="3"/>
        <v>Green</v>
      </c>
      <c r="AB11" s="49" t="s">
        <v>794</v>
      </c>
      <c r="AC11" s="49" t="s">
        <v>795</v>
      </c>
      <c r="AD11" s="49" t="s">
        <v>843</v>
      </c>
      <c r="AE11" s="42" t="str">
        <f>IFERROR(INDEX('Task Register'!$AJ$2:$AJ$771,MATCH(B11,'Task Register'!$A$2:$A$771,0)),"")</f>
        <v>Built - tested</v>
      </c>
      <c r="AF11" s="42" t="str">
        <f>IFERROR(INDEX('Task Register'!$AU$2:$AU$771,MATCH(B11,'Task Register'!$A$2:$A$771,0)),"")</f>
        <v>Pass</v>
      </c>
      <c r="AG11" s="42" t="s">
        <v>827</v>
      </c>
      <c r="AH11" s="42"/>
      <c r="AI11" s="42"/>
      <c r="AJ11" s="42" t="s">
        <v>359</v>
      </c>
    </row>
    <row r="12" spans="1:36" ht="118" customHeight="1" x14ac:dyDescent="0.35">
      <c r="A12" s="38" t="s">
        <v>580</v>
      </c>
      <c r="B12" s="38" t="s">
        <v>115</v>
      </c>
      <c r="C12" s="38" t="s">
        <v>307</v>
      </c>
      <c r="D12" s="38">
        <v>1</v>
      </c>
      <c r="E12" s="38" t="s">
        <v>99</v>
      </c>
      <c r="F12" s="38" t="s">
        <v>820</v>
      </c>
      <c r="G12" s="38" t="s">
        <v>821</v>
      </c>
      <c r="H12" s="38" t="s">
        <v>844</v>
      </c>
      <c r="I12" s="38" t="s">
        <v>845</v>
      </c>
      <c r="J12" s="38" t="s">
        <v>846</v>
      </c>
      <c r="K12" s="38"/>
      <c r="L12" s="39" t="s">
        <v>825</v>
      </c>
      <c r="M12" s="38">
        <v>3</v>
      </c>
      <c r="N12" s="38">
        <f>ROUNDUP(M12*(1+'Plan guide'!$B$6),0)</f>
        <v>4</v>
      </c>
      <c r="O12" s="40">
        <v>46311</v>
      </c>
      <c r="P12" s="40">
        <v>46317</v>
      </c>
      <c r="Q12" s="41" t="s">
        <v>791</v>
      </c>
      <c r="R12" s="41" t="s">
        <v>792</v>
      </c>
      <c r="S12" s="41" t="s">
        <v>792</v>
      </c>
      <c r="T12" s="41" t="s">
        <v>793</v>
      </c>
      <c r="U12" s="41" t="s">
        <v>793</v>
      </c>
      <c r="V12" s="42" t="str">
        <f t="shared" si="0"/>
        <v>In progress</v>
      </c>
      <c r="W12" s="43">
        <f t="shared" si="1"/>
        <v>0.2</v>
      </c>
      <c r="X12" s="30"/>
      <c r="Y12" s="30"/>
      <c r="Z12" s="42">
        <f t="shared" ca="1" si="2"/>
        <v>0</v>
      </c>
      <c r="AA12" s="42" t="str">
        <f t="shared" ca="1" si="3"/>
        <v>Green</v>
      </c>
      <c r="AB12" s="49" t="s">
        <v>847</v>
      </c>
      <c r="AC12" s="49" t="s">
        <v>795</v>
      </c>
      <c r="AD12" s="49" t="s">
        <v>848</v>
      </c>
      <c r="AE12" s="42" t="str">
        <f>IFERROR(INDEX('Task Register'!$AJ$2:$AJ$771,MATCH(B12,'Task Register'!$A$2:$A$771,0)),"")</f>
        <v>Built - partial</v>
      </c>
      <c r="AF12" s="42" t="str">
        <f>IFERROR(INDEX('Task Register'!$AU$2:$AU$771,MATCH(B12,'Task Register'!$A$2:$A$771,0)),"")</f>
        <v>Partial</v>
      </c>
      <c r="AG12" s="42" t="s">
        <v>827</v>
      </c>
      <c r="AH12" s="42"/>
      <c r="AI12" s="42" t="s">
        <v>849</v>
      </c>
      <c r="AJ12" s="42" t="s">
        <v>115</v>
      </c>
    </row>
    <row r="13" spans="1:36" ht="118" customHeight="1" x14ac:dyDescent="0.35">
      <c r="A13" s="38" t="s">
        <v>584</v>
      </c>
      <c r="B13" s="38" t="s">
        <v>310</v>
      </c>
      <c r="C13" s="38" t="s">
        <v>311</v>
      </c>
      <c r="D13" s="38">
        <v>1</v>
      </c>
      <c r="E13" s="38" t="s">
        <v>99</v>
      </c>
      <c r="F13" s="38" t="s">
        <v>820</v>
      </c>
      <c r="G13" s="38" t="s">
        <v>821</v>
      </c>
      <c r="H13" s="38" t="s">
        <v>850</v>
      </c>
      <c r="I13" s="38" t="s">
        <v>851</v>
      </c>
      <c r="J13" s="38" t="s">
        <v>852</v>
      </c>
      <c r="K13" s="38"/>
      <c r="L13" s="39" t="s">
        <v>790</v>
      </c>
      <c r="M13" s="38">
        <v>4</v>
      </c>
      <c r="N13" s="38">
        <f>ROUNDUP(M13*(1+'Plan guide'!$B$6),0)</f>
        <v>5</v>
      </c>
      <c r="O13" s="40">
        <v>46318</v>
      </c>
      <c r="P13" s="40">
        <v>46324</v>
      </c>
      <c r="Q13" s="41" t="s">
        <v>791</v>
      </c>
      <c r="R13" s="41" t="s">
        <v>792</v>
      </c>
      <c r="S13" s="41" t="s">
        <v>792</v>
      </c>
      <c r="T13" s="41" t="s">
        <v>793</v>
      </c>
      <c r="U13" s="41" t="s">
        <v>793</v>
      </c>
      <c r="V13" s="42" t="str">
        <f t="shared" si="0"/>
        <v>In progress</v>
      </c>
      <c r="W13" s="43">
        <f t="shared" si="1"/>
        <v>0.2</v>
      </c>
      <c r="X13" s="30"/>
      <c r="Y13" s="30"/>
      <c r="Z13" s="42">
        <f t="shared" ca="1" si="2"/>
        <v>0</v>
      </c>
      <c r="AA13" s="42" t="str">
        <f t="shared" ca="1" si="3"/>
        <v>Green</v>
      </c>
      <c r="AB13" s="49" t="s">
        <v>853</v>
      </c>
      <c r="AC13" s="49" t="s">
        <v>795</v>
      </c>
      <c r="AD13" s="49" t="s">
        <v>854</v>
      </c>
      <c r="AE13" s="42" t="str">
        <f>IFERROR(INDEX('Task Register'!$AJ$2:$AJ$771,MATCH(B13,'Task Register'!$A$2:$A$771,0)),"")</f>
        <v>Built - partial</v>
      </c>
      <c r="AF13" s="42" t="str">
        <f>IFERROR(INDEX('Task Register'!$AU$2:$AU$771,MATCH(B13,'Task Register'!$A$2:$A$771,0)),"")</f>
        <v>Partial</v>
      </c>
      <c r="AG13" s="42" t="s">
        <v>827</v>
      </c>
      <c r="AH13" s="42"/>
      <c r="AI13" s="42" t="s">
        <v>855</v>
      </c>
      <c r="AJ13" s="42" t="s">
        <v>310</v>
      </c>
    </row>
    <row r="14" spans="1:36" ht="118" customHeight="1" x14ac:dyDescent="0.35">
      <c r="A14" s="38" t="s">
        <v>521</v>
      </c>
      <c r="B14" s="38" t="s">
        <v>315</v>
      </c>
      <c r="C14" s="38" t="s">
        <v>316</v>
      </c>
      <c r="D14" s="38">
        <v>1</v>
      </c>
      <c r="E14" s="38" t="s">
        <v>99</v>
      </c>
      <c r="F14" s="38" t="s">
        <v>785</v>
      </c>
      <c r="G14" s="38" t="s">
        <v>856</v>
      </c>
      <c r="H14" s="38" t="s">
        <v>857</v>
      </c>
      <c r="I14" s="38" t="s">
        <v>858</v>
      </c>
      <c r="J14" s="38" t="s">
        <v>859</v>
      </c>
      <c r="K14" s="38" t="s">
        <v>800</v>
      </c>
      <c r="L14" s="39" t="s">
        <v>825</v>
      </c>
      <c r="M14" s="38">
        <v>3</v>
      </c>
      <c r="N14" s="38">
        <f>ROUNDUP(M14*(1+'Plan guide'!$B$6),0)</f>
        <v>4</v>
      </c>
      <c r="O14" s="40">
        <v>46318</v>
      </c>
      <c r="P14" s="40">
        <v>46323</v>
      </c>
      <c r="Q14" s="41" t="s">
        <v>791</v>
      </c>
      <c r="R14" s="41" t="s">
        <v>792</v>
      </c>
      <c r="S14" s="41" t="s">
        <v>793</v>
      </c>
      <c r="T14" s="41" t="s">
        <v>793</v>
      </c>
      <c r="U14" s="41" t="s">
        <v>793</v>
      </c>
      <c r="V14" s="42" t="str">
        <f t="shared" si="0"/>
        <v>In progress</v>
      </c>
      <c r="W14" s="43">
        <f t="shared" si="1"/>
        <v>0.2</v>
      </c>
      <c r="X14" s="30"/>
      <c r="Y14" s="30"/>
      <c r="Z14" s="42">
        <f t="shared" ca="1" si="2"/>
        <v>0</v>
      </c>
      <c r="AA14" s="42" t="str">
        <f t="shared" ca="1" si="3"/>
        <v>Green</v>
      </c>
      <c r="AB14" s="49" t="s">
        <v>860</v>
      </c>
      <c r="AC14" s="49" t="s">
        <v>795</v>
      </c>
      <c r="AD14" s="49" t="s">
        <v>861</v>
      </c>
      <c r="AE14" s="42" t="str">
        <f>IFERROR(INDEX('Task Register'!$AJ$2:$AJ$771,MATCH(B14,'Task Register'!$A$2:$A$771,0)),"")</f>
        <v>Built - partial</v>
      </c>
      <c r="AF14" s="42" t="str">
        <f>IFERROR(INDEX('Task Register'!$AU$2:$AU$771,MATCH(B14,'Task Register'!$A$2:$A$771,0)),"")</f>
        <v>Partial</v>
      </c>
      <c r="AG14" s="42" t="s">
        <v>862</v>
      </c>
      <c r="AH14" s="42"/>
      <c r="AI14" s="42" t="s">
        <v>810</v>
      </c>
      <c r="AJ14" s="42" t="s">
        <v>315</v>
      </c>
    </row>
    <row r="15" spans="1:36" ht="118" customHeight="1" x14ac:dyDescent="0.35">
      <c r="A15" s="38" t="s">
        <v>588</v>
      </c>
      <c r="B15" s="38" t="s">
        <v>320</v>
      </c>
      <c r="C15" s="38" t="s">
        <v>321</v>
      </c>
      <c r="D15" s="38">
        <v>1</v>
      </c>
      <c r="E15" s="38" t="s">
        <v>99</v>
      </c>
      <c r="F15" s="38" t="s">
        <v>863</v>
      </c>
      <c r="G15" s="38" t="s">
        <v>856</v>
      </c>
      <c r="H15" s="38" t="s">
        <v>864</v>
      </c>
      <c r="I15" s="38" t="s">
        <v>865</v>
      </c>
      <c r="J15" s="38" t="s">
        <v>866</v>
      </c>
      <c r="K15" s="38"/>
      <c r="L15" s="39" t="s">
        <v>825</v>
      </c>
      <c r="M15" s="38">
        <v>2</v>
      </c>
      <c r="N15" s="38">
        <f>ROUNDUP(M15*(1+'Plan guide'!$B$6),0)</f>
        <v>3</v>
      </c>
      <c r="O15" s="40">
        <v>46324</v>
      </c>
      <c r="P15" s="40">
        <v>46328</v>
      </c>
      <c r="Q15" s="41" t="s">
        <v>791</v>
      </c>
      <c r="R15" s="41" t="s">
        <v>792</v>
      </c>
      <c r="S15" s="41" t="s">
        <v>792</v>
      </c>
      <c r="T15" s="41" t="s">
        <v>793</v>
      </c>
      <c r="U15" s="41" t="s">
        <v>793</v>
      </c>
      <c r="V15" s="42" t="str">
        <f t="shared" si="0"/>
        <v>In progress</v>
      </c>
      <c r="W15" s="43">
        <f t="shared" si="1"/>
        <v>0.2</v>
      </c>
      <c r="X15" s="30"/>
      <c r="Y15" s="30"/>
      <c r="Z15" s="42">
        <f t="shared" ca="1" si="2"/>
        <v>0</v>
      </c>
      <c r="AA15" s="42" t="str">
        <f t="shared" ca="1" si="3"/>
        <v>Green</v>
      </c>
      <c r="AB15" s="49" t="s">
        <v>867</v>
      </c>
      <c r="AC15" s="49" t="s">
        <v>795</v>
      </c>
      <c r="AD15" s="49" t="s">
        <v>868</v>
      </c>
      <c r="AE15" s="42" t="str">
        <f>IFERROR(INDEX('Task Register'!$AJ$2:$AJ$771,MATCH(B15,'Task Register'!$A$2:$A$771,0)),"")</f>
        <v>Built - partial</v>
      </c>
      <c r="AF15" s="42" t="str">
        <f>IFERROR(INDEX('Task Register'!$AU$2:$AU$771,MATCH(B15,'Task Register'!$A$2:$A$771,0)),"")</f>
        <v>Partial</v>
      </c>
      <c r="AG15" s="42" t="s">
        <v>827</v>
      </c>
      <c r="AH15" s="42"/>
      <c r="AI15" s="42" t="s">
        <v>869</v>
      </c>
      <c r="AJ15" s="42" t="s">
        <v>320</v>
      </c>
    </row>
    <row r="16" spans="1:36" ht="118" customHeight="1" x14ac:dyDescent="0.35">
      <c r="A16" s="38" t="s">
        <v>592</v>
      </c>
      <c r="B16" s="38" t="s">
        <v>369</v>
      </c>
      <c r="C16" s="38" t="s">
        <v>370</v>
      </c>
      <c r="D16" s="38">
        <v>1</v>
      </c>
      <c r="E16" s="38" t="s">
        <v>99</v>
      </c>
      <c r="F16" s="38" t="s">
        <v>863</v>
      </c>
      <c r="G16" s="38" t="s">
        <v>821</v>
      </c>
      <c r="H16" s="38" t="s">
        <v>870</v>
      </c>
      <c r="I16" s="38" t="s">
        <v>871</v>
      </c>
      <c r="J16" s="38" t="s">
        <v>872</v>
      </c>
      <c r="K16" s="38"/>
      <c r="L16" s="39" t="s">
        <v>790</v>
      </c>
      <c r="M16" s="38">
        <v>2</v>
      </c>
      <c r="N16" s="38">
        <f>ROUNDUP(M16*(1+'Plan guide'!$B$6),0)</f>
        <v>3</v>
      </c>
      <c r="O16" s="40">
        <v>46325</v>
      </c>
      <c r="P16" s="40">
        <v>46329</v>
      </c>
      <c r="Q16" s="41" t="s">
        <v>791</v>
      </c>
      <c r="R16" s="41" t="s">
        <v>792</v>
      </c>
      <c r="S16" s="41" t="s">
        <v>792</v>
      </c>
      <c r="T16" s="41" t="s">
        <v>793</v>
      </c>
      <c r="U16" s="41" t="s">
        <v>793</v>
      </c>
      <c r="V16" s="42" t="str">
        <f t="shared" si="0"/>
        <v>In progress</v>
      </c>
      <c r="W16" s="43">
        <f t="shared" si="1"/>
        <v>0.2</v>
      </c>
      <c r="X16" s="30"/>
      <c r="Y16" s="30"/>
      <c r="Z16" s="42">
        <f t="shared" ca="1" si="2"/>
        <v>0</v>
      </c>
      <c r="AA16" s="42" t="str">
        <f t="shared" ca="1" si="3"/>
        <v>Green</v>
      </c>
      <c r="AB16" s="49" t="s">
        <v>873</v>
      </c>
      <c r="AC16" s="49" t="s">
        <v>795</v>
      </c>
      <c r="AD16" s="49" t="s">
        <v>874</v>
      </c>
      <c r="AE16" s="42" t="str">
        <f>IFERROR(INDEX('Task Register'!$AJ$2:$AJ$771,MATCH(B16,'Task Register'!$A$2:$A$771,0)),"")</f>
        <v>Built - partial</v>
      </c>
      <c r="AF16" s="42" t="str">
        <f>IFERROR(INDEX('Task Register'!$AU$2:$AU$771,MATCH(B16,'Task Register'!$A$2:$A$771,0)),"")</f>
        <v>Partial</v>
      </c>
      <c r="AG16" s="42" t="s">
        <v>827</v>
      </c>
      <c r="AH16" s="42"/>
      <c r="AI16" s="42" t="s">
        <v>875</v>
      </c>
      <c r="AJ16" s="42" t="s">
        <v>369</v>
      </c>
    </row>
    <row r="17" spans="1:36" ht="118" customHeight="1" x14ac:dyDescent="0.35">
      <c r="A17" s="38" t="s">
        <v>545</v>
      </c>
      <c r="B17" s="38" t="s">
        <v>138</v>
      </c>
      <c r="C17" s="38" t="s">
        <v>374</v>
      </c>
      <c r="D17" s="38">
        <v>1</v>
      </c>
      <c r="E17" s="38" t="s">
        <v>99</v>
      </c>
      <c r="F17" s="38" t="s">
        <v>863</v>
      </c>
      <c r="G17" s="38" t="s">
        <v>876</v>
      </c>
      <c r="H17" s="38" t="s">
        <v>877</v>
      </c>
      <c r="I17" s="38" t="s">
        <v>878</v>
      </c>
      <c r="J17" s="38" t="s">
        <v>879</v>
      </c>
      <c r="K17" s="38"/>
      <c r="L17" s="39" t="s">
        <v>825</v>
      </c>
      <c r="M17" s="38">
        <v>4</v>
      </c>
      <c r="N17" s="38">
        <f>ROUNDUP(M17*(1+'Plan guide'!$B$6),0)</f>
        <v>5</v>
      </c>
      <c r="O17" s="40">
        <v>46329</v>
      </c>
      <c r="P17" s="40">
        <v>46336</v>
      </c>
      <c r="Q17" s="41" t="s">
        <v>791</v>
      </c>
      <c r="R17" s="41" t="s">
        <v>791</v>
      </c>
      <c r="S17" s="41" t="s">
        <v>791</v>
      </c>
      <c r="T17" s="41" t="s">
        <v>792</v>
      </c>
      <c r="U17" s="41" t="s">
        <v>791</v>
      </c>
      <c r="V17" s="42" t="str">
        <f t="shared" si="0"/>
        <v>In progress</v>
      </c>
      <c r="W17" s="43">
        <f t="shared" si="1"/>
        <v>0.8</v>
      </c>
      <c r="X17" s="30"/>
      <c r="Y17" s="30"/>
      <c r="Z17" s="42">
        <f t="shared" ca="1" si="2"/>
        <v>0</v>
      </c>
      <c r="AA17" s="42" t="str">
        <f t="shared" ca="1" si="3"/>
        <v>Green</v>
      </c>
      <c r="AB17" s="49" t="s">
        <v>794</v>
      </c>
      <c r="AC17" s="49" t="s">
        <v>795</v>
      </c>
      <c r="AD17" s="49" t="s">
        <v>880</v>
      </c>
      <c r="AE17" s="42" t="str">
        <f>IFERROR(INDEX('Task Register'!$AJ$2:$AJ$771,MATCH(B17,'Task Register'!$A$2:$A$771,0)),"")</f>
        <v>Built - tested</v>
      </c>
      <c r="AF17" s="42" t="str">
        <f>IFERROR(INDEX('Task Register'!$AU$2:$AU$771,MATCH(B17,'Task Register'!$A$2:$A$771,0)),"")</f>
        <v>Pass</v>
      </c>
      <c r="AG17" s="42" t="s">
        <v>827</v>
      </c>
      <c r="AH17" s="42"/>
      <c r="AI17" s="42" t="s">
        <v>881</v>
      </c>
      <c r="AJ17" s="42" t="s">
        <v>138</v>
      </c>
    </row>
    <row r="18" spans="1:36" ht="118" customHeight="1" x14ac:dyDescent="0.35">
      <c r="A18" s="38" t="s">
        <v>596</v>
      </c>
      <c r="B18" s="38" t="s">
        <v>377</v>
      </c>
      <c r="C18" s="38" t="s">
        <v>378</v>
      </c>
      <c r="D18" s="38">
        <v>1</v>
      </c>
      <c r="E18" s="38" t="s">
        <v>99</v>
      </c>
      <c r="F18" s="38" t="s">
        <v>863</v>
      </c>
      <c r="G18" s="38" t="s">
        <v>821</v>
      </c>
      <c r="H18" s="38" t="s">
        <v>882</v>
      </c>
      <c r="I18" s="38" t="s">
        <v>883</v>
      </c>
      <c r="J18" s="38" t="s">
        <v>884</v>
      </c>
      <c r="K18" s="38"/>
      <c r="L18" s="39" t="s">
        <v>790</v>
      </c>
      <c r="M18" s="38">
        <v>3</v>
      </c>
      <c r="N18" s="38">
        <f>ROUNDUP(M18*(1+'Plan guide'!$B$6),0)</f>
        <v>4</v>
      </c>
      <c r="O18" s="40">
        <v>46330</v>
      </c>
      <c r="P18" s="40">
        <v>46336</v>
      </c>
      <c r="Q18" s="41" t="s">
        <v>791</v>
      </c>
      <c r="R18" s="41" t="s">
        <v>791</v>
      </c>
      <c r="S18" s="41" t="s">
        <v>791</v>
      </c>
      <c r="T18" s="41" t="s">
        <v>792</v>
      </c>
      <c r="U18" s="41" t="s">
        <v>791</v>
      </c>
      <c r="V18" s="42" t="str">
        <f t="shared" si="0"/>
        <v>In progress</v>
      </c>
      <c r="W18" s="43">
        <f t="shared" si="1"/>
        <v>0.8</v>
      </c>
      <c r="X18" s="30"/>
      <c r="Y18" s="30"/>
      <c r="Z18" s="42">
        <f t="shared" ca="1" si="2"/>
        <v>0</v>
      </c>
      <c r="AA18" s="42" t="str">
        <f t="shared" ca="1" si="3"/>
        <v>Green</v>
      </c>
      <c r="AB18" s="49" t="s">
        <v>794</v>
      </c>
      <c r="AC18" s="49" t="s">
        <v>795</v>
      </c>
      <c r="AD18" s="49" t="s">
        <v>885</v>
      </c>
      <c r="AE18" s="42" t="str">
        <f>IFERROR(INDEX('Task Register'!$AJ$2:$AJ$771,MATCH(B18,'Task Register'!$A$2:$A$771,0)),"")</f>
        <v>Built - tested</v>
      </c>
      <c r="AF18" s="42" t="str">
        <f>IFERROR(INDEX('Task Register'!$AU$2:$AU$771,MATCH(B18,'Task Register'!$A$2:$A$771,0)),"")</f>
        <v>Pass</v>
      </c>
      <c r="AG18" s="42" t="s">
        <v>827</v>
      </c>
      <c r="AH18" s="42"/>
      <c r="AI18" s="42" t="s">
        <v>886</v>
      </c>
      <c r="AJ18" s="42" t="s">
        <v>377</v>
      </c>
    </row>
    <row r="19" spans="1:36" ht="118" customHeight="1" x14ac:dyDescent="0.35">
      <c r="A19" s="38" t="s">
        <v>600</v>
      </c>
      <c r="B19" s="38" t="s">
        <v>382</v>
      </c>
      <c r="C19" s="38" t="s">
        <v>383</v>
      </c>
      <c r="D19" s="38">
        <v>1</v>
      </c>
      <c r="E19" s="38" t="s">
        <v>99</v>
      </c>
      <c r="F19" s="38" t="s">
        <v>863</v>
      </c>
      <c r="G19" s="38" t="s">
        <v>821</v>
      </c>
      <c r="H19" s="38" t="s">
        <v>887</v>
      </c>
      <c r="I19" s="38" t="s">
        <v>888</v>
      </c>
      <c r="J19" s="38" t="s">
        <v>889</v>
      </c>
      <c r="K19" s="38"/>
      <c r="L19" s="39" t="s">
        <v>790</v>
      </c>
      <c r="M19" s="38">
        <v>2</v>
      </c>
      <c r="N19" s="38">
        <f>ROUNDUP(M19*(1+'Plan guide'!$B$6),0)</f>
        <v>3</v>
      </c>
      <c r="O19" s="40">
        <v>46338</v>
      </c>
      <c r="P19" s="40">
        <v>46342</v>
      </c>
      <c r="Q19" s="41" t="s">
        <v>791</v>
      </c>
      <c r="R19" s="41" t="s">
        <v>792</v>
      </c>
      <c r="S19" s="41" t="s">
        <v>792</v>
      </c>
      <c r="T19" s="41" t="s">
        <v>793</v>
      </c>
      <c r="U19" s="41" t="s">
        <v>793</v>
      </c>
      <c r="V19" s="42" t="str">
        <f t="shared" si="0"/>
        <v>In progress</v>
      </c>
      <c r="W19" s="43">
        <f t="shared" si="1"/>
        <v>0.2</v>
      </c>
      <c r="X19" s="30"/>
      <c r="Y19" s="30"/>
      <c r="Z19" s="42">
        <f t="shared" ca="1" si="2"/>
        <v>0</v>
      </c>
      <c r="AA19" s="42" t="str">
        <f t="shared" ca="1" si="3"/>
        <v>Green</v>
      </c>
      <c r="AB19" s="49" t="s">
        <v>890</v>
      </c>
      <c r="AC19" s="49" t="s">
        <v>795</v>
      </c>
      <c r="AD19" s="49" t="s">
        <v>891</v>
      </c>
      <c r="AE19" s="42" t="str">
        <f>IFERROR(INDEX('Task Register'!$AJ$2:$AJ$771,MATCH(B19,'Task Register'!$A$2:$A$771,0)),"")</f>
        <v>Built - partial</v>
      </c>
      <c r="AF19" s="42" t="str">
        <f>IFERROR(INDEX('Task Register'!$AU$2:$AU$771,MATCH(B19,'Task Register'!$A$2:$A$771,0)),"")</f>
        <v>Partial</v>
      </c>
      <c r="AG19" s="42" t="s">
        <v>827</v>
      </c>
      <c r="AH19" s="42">
        <v>10</v>
      </c>
      <c r="AI19" s="42" t="s">
        <v>892</v>
      </c>
      <c r="AJ19" s="42" t="s">
        <v>382</v>
      </c>
    </row>
    <row r="20" spans="1:36" ht="118" customHeight="1" x14ac:dyDescent="0.35">
      <c r="A20" s="38" t="s">
        <v>572</v>
      </c>
      <c r="B20" s="38" t="s">
        <v>387</v>
      </c>
      <c r="C20" s="38" t="s">
        <v>388</v>
      </c>
      <c r="D20" s="38">
        <v>1</v>
      </c>
      <c r="E20" s="38" t="s">
        <v>99</v>
      </c>
      <c r="F20" s="38" t="s">
        <v>863</v>
      </c>
      <c r="G20" s="38" t="s">
        <v>821</v>
      </c>
      <c r="H20" s="38" t="s">
        <v>893</v>
      </c>
      <c r="I20" s="38" t="s">
        <v>894</v>
      </c>
      <c r="J20" s="38" t="s">
        <v>895</v>
      </c>
      <c r="K20" s="38"/>
      <c r="L20" s="39" t="s">
        <v>825</v>
      </c>
      <c r="M20" s="38">
        <v>3</v>
      </c>
      <c r="N20" s="38">
        <f>ROUNDUP(M20*(1+'Plan guide'!$B$6),0)</f>
        <v>4</v>
      </c>
      <c r="O20" s="40">
        <v>46338</v>
      </c>
      <c r="P20" s="40">
        <v>46343</v>
      </c>
      <c r="Q20" s="41" t="s">
        <v>791</v>
      </c>
      <c r="R20" s="41" t="s">
        <v>792</v>
      </c>
      <c r="S20" s="41" t="s">
        <v>792</v>
      </c>
      <c r="T20" s="41" t="s">
        <v>793</v>
      </c>
      <c r="U20" s="41" t="s">
        <v>793</v>
      </c>
      <c r="V20" s="42" t="str">
        <f t="shared" si="0"/>
        <v>In progress</v>
      </c>
      <c r="W20" s="43">
        <f t="shared" si="1"/>
        <v>0.2</v>
      </c>
      <c r="X20" s="30"/>
      <c r="Y20" s="30"/>
      <c r="Z20" s="42">
        <f t="shared" ca="1" si="2"/>
        <v>0</v>
      </c>
      <c r="AA20" s="42" t="str">
        <f t="shared" ca="1" si="3"/>
        <v>Green</v>
      </c>
      <c r="AB20" s="49" t="s">
        <v>896</v>
      </c>
      <c r="AC20" s="49" t="s">
        <v>795</v>
      </c>
      <c r="AD20" s="49" t="s">
        <v>897</v>
      </c>
      <c r="AE20" s="42" t="str">
        <f>IFERROR(INDEX('Task Register'!$AJ$2:$AJ$771,MATCH(B20,'Task Register'!$A$2:$A$771,0)),"")</f>
        <v>Built - partial</v>
      </c>
      <c r="AF20" s="42" t="str">
        <f>IFERROR(INDEX('Task Register'!$AU$2:$AU$771,MATCH(B20,'Task Register'!$A$2:$A$771,0)),"")</f>
        <v>Partial</v>
      </c>
      <c r="AG20" s="42" t="s">
        <v>827</v>
      </c>
      <c r="AH20" s="42"/>
      <c r="AI20" s="42" t="s">
        <v>898</v>
      </c>
      <c r="AJ20" s="42" t="s">
        <v>387</v>
      </c>
    </row>
    <row r="21" spans="1:36" ht="118" customHeight="1" x14ac:dyDescent="0.35">
      <c r="A21" s="38" t="s">
        <v>604</v>
      </c>
      <c r="B21" s="38" t="s">
        <v>450</v>
      </c>
      <c r="C21" s="38" t="s">
        <v>451</v>
      </c>
      <c r="D21" s="38">
        <v>1</v>
      </c>
      <c r="E21" s="38" t="s">
        <v>99</v>
      </c>
      <c r="F21" s="38" t="s">
        <v>820</v>
      </c>
      <c r="G21" s="38" t="s">
        <v>821</v>
      </c>
      <c r="H21" s="38" t="s">
        <v>899</v>
      </c>
      <c r="I21" s="38" t="s">
        <v>900</v>
      </c>
      <c r="J21" s="38" t="s">
        <v>901</v>
      </c>
      <c r="K21" s="38"/>
      <c r="L21" s="39" t="s">
        <v>790</v>
      </c>
      <c r="M21" s="38">
        <v>2</v>
      </c>
      <c r="N21" s="38">
        <f>ROUNDUP(M21*(1+'Plan guide'!$B$6),0)</f>
        <v>3</v>
      </c>
      <c r="O21" s="40">
        <v>46343</v>
      </c>
      <c r="P21" s="40">
        <v>46345</v>
      </c>
      <c r="Q21" s="41" t="s">
        <v>791</v>
      </c>
      <c r="R21" s="41" t="s">
        <v>792</v>
      </c>
      <c r="S21" s="41" t="s">
        <v>792</v>
      </c>
      <c r="T21" s="41" t="s">
        <v>793</v>
      </c>
      <c r="U21" s="41" t="s">
        <v>793</v>
      </c>
      <c r="V21" s="42" t="str">
        <f t="shared" si="0"/>
        <v>In progress</v>
      </c>
      <c r="W21" s="43">
        <f t="shared" si="1"/>
        <v>0.2</v>
      </c>
      <c r="X21" s="30"/>
      <c r="Y21" s="30"/>
      <c r="Z21" s="42">
        <f t="shared" ca="1" si="2"/>
        <v>0</v>
      </c>
      <c r="AA21" s="42" t="str">
        <f t="shared" ca="1" si="3"/>
        <v>Green</v>
      </c>
      <c r="AB21" s="49" t="s">
        <v>902</v>
      </c>
      <c r="AC21" s="49" t="s">
        <v>795</v>
      </c>
      <c r="AD21" s="49" t="s">
        <v>903</v>
      </c>
      <c r="AE21" s="42" t="str">
        <f>IFERROR(INDEX('Task Register'!$AJ$2:$AJ$771,MATCH(B21,'Task Register'!$A$2:$A$771,0)),"")</f>
        <v>Built - partial</v>
      </c>
      <c r="AF21" s="42" t="str">
        <f>IFERROR(INDEX('Task Register'!$AU$2:$AU$771,MATCH(B21,'Task Register'!$A$2:$A$771,0)),"")</f>
        <v>Partial</v>
      </c>
      <c r="AG21" s="42" t="s">
        <v>827</v>
      </c>
      <c r="AH21" s="42"/>
      <c r="AI21" s="42" t="s">
        <v>904</v>
      </c>
      <c r="AJ21" s="42" t="s">
        <v>450</v>
      </c>
    </row>
    <row r="22" spans="1:36" ht="118" customHeight="1" x14ac:dyDescent="0.35">
      <c r="A22" s="38" t="s">
        <v>608</v>
      </c>
      <c r="B22" s="38" t="s">
        <v>354</v>
      </c>
      <c r="C22" s="38" t="s">
        <v>355</v>
      </c>
      <c r="D22" s="38">
        <v>1</v>
      </c>
      <c r="E22" s="38" t="s">
        <v>99</v>
      </c>
      <c r="F22" s="38" t="s">
        <v>814</v>
      </c>
      <c r="G22" s="38" t="s">
        <v>876</v>
      </c>
      <c r="H22" s="38" t="s">
        <v>905</v>
      </c>
      <c r="I22" s="38" t="s">
        <v>906</v>
      </c>
      <c r="J22" s="38" t="s">
        <v>907</v>
      </c>
      <c r="K22" s="38" t="s">
        <v>812</v>
      </c>
      <c r="L22" s="39" t="s">
        <v>825</v>
      </c>
      <c r="M22" s="38">
        <v>5</v>
      </c>
      <c r="N22" s="38">
        <f>ROUNDUP(M22*(1+'Plan guide'!$B$6),0)</f>
        <v>6</v>
      </c>
      <c r="O22" s="40">
        <v>46344</v>
      </c>
      <c r="P22" s="40">
        <v>46352</v>
      </c>
      <c r="Q22" s="41" t="s">
        <v>791</v>
      </c>
      <c r="R22" s="41" t="s">
        <v>791</v>
      </c>
      <c r="S22" s="41" t="s">
        <v>791</v>
      </c>
      <c r="T22" s="41" t="s">
        <v>792</v>
      </c>
      <c r="U22" s="41" t="s">
        <v>791</v>
      </c>
      <c r="V22" s="42" t="str">
        <f t="shared" si="0"/>
        <v>In progress</v>
      </c>
      <c r="W22" s="43">
        <f t="shared" si="1"/>
        <v>0.8</v>
      </c>
      <c r="X22" s="30"/>
      <c r="Y22" s="30"/>
      <c r="Z22" s="42">
        <f t="shared" ca="1" si="2"/>
        <v>0</v>
      </c>
      <c r="AA22" s="42" t="str">
        <f t="shared" ca="1" si="3"/>
        <v>Green</v>
      </c>
      <c r="AB22" s="49" t="s">
        <v>794</v>
      </c>
      <c r="AC22" s="49" t="s">
        <v>795</v>
      </c>
      <c r="AD22" s="49" t="s">
        <v>908</v>
      </c>
      <c r="AE22" s="42" t="str">
        <f>IFERROR(INDEX('Task Register'!$AJ$2:$AJ$771,MATCH(B22,'Task Register'!$A$2:$A$771,0)),"")</f>
        <v>Built - tested</v>
      </c>
      <c r="AF22" s="42" t="str">
        <f>IFERROR(INDEX('Task Register'!$AU$2:$AU$771,MATCH(B22,'Task Register'!$A$2:$A$771,0)),"")</f>
        <v>Pass</v>
      </c>
      <c r="AG22" s="42" t="s">
        <v>827</v>
      </c>
      <c r="AH22" s="42"/>
      <c r="AI22" s="42" t="s">
        <v>909</v>
      </c>
      <c r="AJ22" s="42" t="s">
        <v>354</v>
      </c>
    </row>
    <row r="23" spans="1:36" ht="118" customHeight="1" x14ac:dyDescent="0.35">
      <c r="A23" s="38" t="s">
        <v>612</v>
      </c>
      <c r="B23" s="38" t="s">
        <v>331</v>
      </c>
      <c r="C23" s="38" t="s">
        <v>332</v>
      </c>
      <c r="D23" s="38">
        <v>1</v>
      </c>
      <c r="E23" s="38" t="s">
        <v>99</v>
      </c>
      <c r="F23" s="38" t="s">
        <v>814</v>
      </c>
      <c r="G23" s="38" t="s">
        <v>876</v>
      </c>
      <c r="H23" s="38" t="s">
        <v>910</v>
      </c>
      <c r="I23" s="38" t="s">
        <v>911</v>
      </c>
      <c r="J23" s="38" t="s">
        <v>912</v>
      </c>
      <c r="K23" s="38" t="s">
        <v>812</v>
      </c>
      <c r="L23" s="39" t="s">
        <v>790</v>
      </c>
      <c r="M23" s="38">
        <v>4</v>
      </c>
      <c r="N23" s="38">
        <f>ROUNDUP(M23*(1+'Plan guide'!$B$6),0)</f>
        <v>5</v>
      </c>
      <c r="O23" s="40">
        <v>46346</v>
      </c>
      <c r="P23" s="40">
        <v>46353</v>
      </c>
      <c r="Q23" s="41" t="s">
        <v>791</v>
      </c>
      <c r="R23" s="41" t="s">
        <v>792</v>
      </c>
      <c r="S23" s="41" t="s">
        <v>792</v>
      </c>
      <c r="T23" s="41" t="s">
        <v>793</v>
      </c>
      <c r="U23" s="41" t="s">
        <v>793</v>
      </c>
      <c r="V23" s="42" t="str">
        <f t="shared" si="0"/>
        <v>In progress</v>
      </c>
      <c r="W23" s="43">
        <f t="shared" si="1"/>
        <v>0.2</v>
      </c>
      <c r="X23" s="30"/>
      <c r="Y23" s="30"/>
      <c r="Z23" s="42">
        <f t="shared" ca="1" si="2"/>
        <v>0</v>
      </c>
      <c r="AA23" s="42" t="str">
        <f t="shared" ca="1" si="3"/>
        <v>Green</v>
      </c>
      <c r="AB23" s="49" t="s">
        <v>913</v>
      </c>
      <c r="AC23" s="49" t="s">
        <v>795</v>
      </c>
      <c r="AD23" s="49" t="s">
        <v>914</v>
      </c>
      <c r="AE23" s="42" t="str">
        <f>IFERROR(INDEX('Task Register'!$AJ$2:$AJ$771,MATCH(B23,'Task Register'!$A$2:$A$771,0)),"")</f>
        <v>Built - partial</v>
      </c>
      <c r="AF23" s="42" t="str">
        <f>IFERROR(INDEX('Task Register'!$AU$2:$AU$771,MATCH(B23,'Task Register'!$A$2:$A$771,0)),"")</f>
        <v>Partial</v>
      </c>
      <c r="AG23" s="42" t="s">
        <v>827</v>
      </c>
      <c r="AH23" s="42"/>
      <c r="AI23" s="42" t="s">
        <v>915</v>
      </c>
      <c r="AJ23" s="42" t="s">
        <v>331</v>
      </c>
    </row>
    <row r="24" spans="1:36" ht="118" customHeight="1" x14ac:dyDescent="0.35">
      <c r="A24" s="38" t="s">
        <v>616</v>
      </c>
      <c r="B24" s="38" t="s">
        <v>130</v>
      </c>
      <c r="C24" s="38" t="s">
        <v>336</v>
      </c>
      <c r="D24" s="38">
        <v>1</v>
      </c>
      <c r="E24" s="38" t="s">
        <v>99</v>
      </c>
      <c r="F24" s="38" t="s">
        <v>814</v>
      </c>
      <c r="G24" s="38" t="s">
        <v>876</v>
      </c>
      <c r="H24" s="38" t="s">
        <v>916</v>
      </c>
      <c r="I24" s="38" t="s">
        <v>917</v>
      </c>
      <c r="J24" s="38" t="s">
        <v>918</v>
      </c>
      <c r="K24" s="38" t="s">
        <v>612</v>
      </c>
      <c r="L24" s="39" t="s">
        <v>790</v>
      </c>
      <c r="M24" s="38">
        <v>3</v>
      </c>
      <c r="N24" s="38">
        <f>ROUNDUP(M24*(1+'Plan guide'!$B$6),0)</f>
        <v>4</v>
      </c>
      <c r="O24" s="40">
        <v>46357</v>
      </c>
      <c r="P24" s="40">
        <v>46360</v>
      </c>
      <c r="Q24" s="41" t="s">
        <v>791</v>
      </c>
      <c r="R24" s="41" t="s">
        <v>792</v>
      </c>
      <c r="S24" s="41" t="s">
        <v>792</v>
      </c>
      <c r="T24" s="41" t="s">
        <v>793</v>
      </c>
      <c r="U24" s="41" t="s">
        <v>793</v>
      </c>
      <c r="V24" s="42" t="str">
        <f t="shared" si="0"/>
        <v>In progress</v>
      </c>
      <c r="W24" s="43">
        <f t="shared" si="1"/>
        <v>0.2</v>
      </c>
      <c r="X24" s="30"/>
      <c r="Y24" s="30"/>
      <c r="Z24" s="42">
        <f t="shared" ca="1" si="2"/>
        <v>0</v>
      </c>
      <c r="AA24" s="42" t="str">
        <f t="shared" ca="1" si="3"/>
        <v>Green</v>
      </c>
      <c r="AB24" s="49" t="s">
        <v>919</v>
      </c>
      <c r="AC24" s="49" t="s">
        <v>795</v>
      </c>
      <c r="AD24" s="49" t="s">
        <v>920</v>
      </c>
      <c r="AE24" s="42" t="str">
        <f>IFERROR(INDEX('Task Register'!$AJ$2:$AJ$771,MATCH(B24,'Task Register'!$A$2:$A$771,0)),"")</f>
        <v>Built - partial</v>
      </c>
      <c r="AF24" s="42" t="str">
        <f>IFERROR(INDEX('Task Register'!$AU$2:$AU$771,MATCH(B24,'Task Register'!$A$2:$A$771,0)),"")</f>
        <v>Partial</v>
      </c>
      <c r="AG24" s="42" t="s">
        <v>827</v>
      </c>
      <c r="AH24" s="42"/>
      <c r="AI24" s="42" t="s">
        <v>921</v>
      </c>
      <c r="AJ24" s="42" t="s">
        <v>130</v>
      </c>
    </row>
    <row r="25" spans="1:36" ht="118" customHeight="1" x14ac:dyDescent="0.35">
      <c r="A25" s="38" t="s">
        <v>620</v>
      </c>
      <c r="B25" s="38" t="s">
        <v>339</v>
      </c>
      <c r="C25" s="38" t="s">
        <v>340</v>
      </c>
      <c r="D25" s="38">
        <v>1</v>
      </c>
      <c r="E25" s="38" t="s">
        <v>99</v>
      </c>
      <c r="F25" s="38" t="s">
        <v>814</v>
      </c>
      <c r="G25" s="38" t="s">
        <v>876</v>
      </c>
      <c r="H25" s="38" t="s">
        <v>922</v>
      </c>
      <c r="I25" s="38" t="s">
        <v>923</v>
      </c>
      <c r="J25" s="38" t="s">
        <v>924</v>
      </c>
      <c r="K25" s="38" t="s">
        <v>812</v>
      </c>
      <c r="L25" s="39" t="s">
        <v>825</v>
      </c>
      <c r="M25" s="38">
        <v>5</v>
      </c>
      <c r="N25" s="38">
        <f>ROUNDUP(M25*(1+'Plan guide'!$B$6),0)</f>
        <v>6</v>
      </c>
      <c r="O25" s="40">
        <v>46353</v>
      </c>
      <c r="P25" s="40">
        <v>46360</v>
      </c>
      <c r="Q25" s="41" t="s">
        <v>791</v>
      </c>
      <c r="R25" s="41" t="s">
        <v>792</v>
      </c>
      <c r="S25" s="41" t="s">
        <v>792</v>
      </c>
      <c r="T25" s="41" t="s">
        <v>793</v>
      </c>
      <c r="U25" s="41" t="s">
        <v>793</v>
      </c>
      <c r="V25" s="42" t="str">
        <f t="shared" si="0"/>
        <v>In progress</v>
      </c>
      <c r="W25" s="43">
        <f t="shared" si="1"/>
        <v>0.2</v>
      </c>
      <c r="X25" s="30"/>
      <c r="Y25" s="30"/>
      <c r="Z25" s="42">
        <f t="shared" ca="1" si="2"/>
        <v>0</v>
      </c>
      <c r="AA25" s="42" t="str">
        <f t="shared" ca="1" si="3"/>
        <v>Green</v>
      </c>
      <c r="AB25" s="49" t="s">
        <v>925</v>
      </c>
      <c r="AC25" s="49" t="s">
        <v>795</v>
      </c>
      <c r="AD25" s="49" t="s">
        <v>926</v>
      </c>
      <c r="AE25" s="42" t="str">
        <f>IFERROR(INDEX('Task Register'!$AJ$2:$AJ$771,MATCH(B25,'Task Register'!$A$2:$A$771,0)),"")</f>
        <v>Built - partial</v>
      </c>
      <c r="AF25" s="42" t="str">
        <f>IFERROR(INDEX('Task Register'!$AU$2:$AU$771,MATCH(B25,'Task Register'!$A$2:$A$771,0)),"")</f>
        <v>Partial</v>
      </c>
      <c r="AG25" s="42" t="s">
        <v>827</v>
      </c>
      <c r="AH25" s="42">
        <v>6</v>
      </c>
      <c r="AI25" s="42" t="s">
        <v>927</v>
      </c>
      <c r="AJ25" s="42" t="s">
        <v>339</v>
      </c>
    </row>
    <row r="26" spans="1:36" ht="118" customHeight="1" x14ac:dyDescent="0.35">
      <c r="A26" s="38" t="s">
        <v>624</v>
      </c>
      <c r="B26" s="38" t="s">
        <v>277</v>
      </c>
      <c r="C26" s="38" t="s">
        <v>278</v>
      </c>
      <c r="D26" s="38">
        <v>1</v>
      </c>
      <c r="E26" s="38" t="s">
        <v>99</v>
      </c>
      <c r="F26" s="38" t="s">
        <v>814</v>
      </c>
      <c r="G26" s="38" t="s">
        <v>876</v>
      </c>
      <c r="H26" s="38" t="s">
        <v>928</v>
      </c>
      <c r="I26" s="38" t="s">
        <v>929</v>
      </c>
      <c r="J26" s="38" t="s">
        <v>930</v>
      </c>
      <c r="K26" s="38" t="s">
        <v>620</v>
      </c>
      <c r="L26" s="39" t="s">
        <v>790</v>
      </c>
      <c r="M26" s="38">
        <v>3</v>
      </c>
      <c r="N26" s="38">
        <f>ROUNDUP(M26*(1+'Plan guide'!$B$6),0)</f>
        <v>4</v>
      </c>
      <c r="O26" s="40">
        <v>46364</v>
      </c>
      <c r="P26" s="40">
        <v>46367</v>
      </c>
      <c r="Q26" s="41" t="s">
        <v>791</v>
      </c>
      <c r="R26" s="41" t="s">
        <v>792</v>
      </c>
      <c r="S26" s="41" t="s">
        <v>792</v>
      </c>
      <c r="T26" s="41" t="s">
        <v>793</v>
      </c>
      <c r="U26" s="41" t="s">
        <v>793</v>
      </c>
      <c r="V26" s="42" t="str">
        <f t="shared" si="0"/>
        <v>In progress</v>
      </c>
      <c r="W26" s="43">
        <f t="shared" si="1"/>
        <v>0.2</v>
      </c>
      <c r="X26" s="30"/>
      <c r="Y26" s="30"/>
      <c r="Z26" s="42">
        <f t="shared" ca="1" si="2"/>
        <v>0</v>
      </c>
      <c r="AA26" s="42" t="str">
        <f t="shared" ca="1" si="3"/>
        <v>Green</v>
      </c>
      <c r="AB26" s="49" t="s">
        <v>931</v>
      </c>
      <c r="AC26" s="49" t="s">
        <v>795</v>
      </c>
      <c r="AD26" s="49" t="s">
        <v>932</v>
      </c>
      <c r="AE26" s="42" t="str">
        <f>IFERROR(INDEX('Task Register'!$AJ$2:$AJ$771,MATCH(B26,'Task Register'!$A$2:$A$771,0)),"")</f>
        <v>Built - partial</v>
      </c>
      <c r="AF26" s="42" t="str">
        <f>IFERROR(INDEX('Task Register'!$AU$2:$AU$771,MATCH(B26,'Task Register'!$A$2:$A$771,0)),"")</f>
        <v>Partial</v>
      </c>
      <c r="AG26" s="42" t="s">
        <v>827</v>
      </c>
      <c r="AH26" s="42">
        <v>7</v>
      </c>
      <c r="AI26" s="42" t="s">
        <v>933</v>
      </c>
      <c r="AJ26" s="42" t="s">
        <v>277</v>
      </c>
    </row>
    <row r="27" spans="1:36" ht="118" customHeight="1" x14ac:dyDescent="0.35">
      <c r="A27" s="38" t="s">
        <v>628</v>
      </c>
      <c r="B27" s="38" t="s">
        <v>349</v>
      </c>
      <c r="C27" s="38" t="s">
        <v>350</v>
      </c>
      <c r="D27" s="38">
        <v>1</v>
      </c>
      <c r="E27" s="38" t="s">
        <v>99</v>
      </c>
      <c r="F27" s="38" t="s">
        <v>814</v>
      </c>
      <c r="G27" s="38" t="s">
        <v>876</v>
      </c>
      <c r="H27" s="38" t="s">
        <v>934</v>
      </c>
      <c r="I27" s="38" t="s">
        <v>935</v>
      </c>
      <c r="J27" s="38" t="s">
        <v>936</v>
      </c>
      <c r="K27" s="38" t="s">
        <v>812</v>
      </c>
      <c r="L27" s="39" t="s">
        <v>825</v>
      </c>
      <c r="M27" s="38">
        <v>3</v>
      </c>
      <c r="N27" s="38">
        <f>ROUNDUP(M27*(1+'Plan guide'!$B$6),0)</f>
        <v>4</v>
      </c>
      <c r="O27" s="40">
        <v>46363</v>
      </c>
      <c r="P27" s="40">
        <v>46366</v>
      </c>
      <c r="Q27" s="41" t="s">
        <v>791</v>
      </c>
      <c r="R27" s="41" t="s">
        <v>792</v>
      </c>
      <c r="S27" s="41" t="s">
        <v>792</v>
      </c>
      <c r="T27" s="41" t="s">
        <v>793</v>
      </c>
      <c r="U27" s="41" t="s">
        <v>793</v>
      </c>
      <c r="V27" s="42" t="str">
        <f t="shared" si="0"/>
        <v>In progress</v>
      </c>
      <c r="W27" s="43">
        <f t="shared" si="1"/>
        <v>0.2</v>
      </c>
      <c r="X27" s="30"/>
      <c r="Y27" s="30"/>
      <c r="Z27" s="42">
        <f t="shared" ca="1" si="2"/>
        <v>0</v>
      </c>
      <c r="AA27" s="42" t="str">
        <f t="shared" ca="1" si="3"/>
        <v>Green</v>
      </c>
      <c r="AB27" s="49" t="s">
        <v>937</v>
      </c>
      <c r="AC27" s="49" t="s">
        <v>795</v>
      </c>
      <c r="AD27" s="49" t="s">
        <v>938</v>
      </c>
      <c r="AE27" s="42" t="str">
        <f>IFERROR(INDEX('Task Register'!$AJ$2:$AJ$771,MATCH(B27,'Task Register'!$A$2:$A$771,0)),"")</f>
        <v>Built - partial</v>
      </c>
      <c r="AF27" s="42" t="str">
        <f>IFERROR(INDEX('Task Register'!$AU$2:$AU$771,MATCH(B27,'Task Register'!$A$2:$A$771,0)),"")</f>
        <v>Partial</v>
      </c>
      <c r="AG27" s="42" t="s">
        <v>827</v>
      </c>
      <c r="AH27" s="42"/>
      <c r="AI27" s="42" t="s">
        <v>939</v>
      </c>
      <c r="AJ27" s="42" t="s">
        <v>349</v>
      </c>
    </row>
    <row r="28" spans="1:36" ht="118" customHeight="1" x14ac:dyDescent="0.35">
      <c r="A28" s="38" t="s">
        <v>632</v>
      </c>
      <c r="B28" s="38" t="s">
        <v>297</v>
      </c>
      <c r="C28" s="38" t="s">
        <v>298</v>
      </c>
      <c r="D28" s="38">
        <v>1</v>
      </c>
      <c r="E28" s="38" t="s">
        <v>99</v>
      </c>
      <c r="F28" s="38" t="s">
        <v>940</v>
      </c>
      <c r="G28" s="38" t="s">
        <v>876</v>
      </c>
      <c r="H28" s="38" t="s">
        <v>941</v>
      </c>
      <c r="I28" s="38" t="s">
        <v>942</v>
      </c>
      <c r="J28" s="38" t="s">
        <v>943</v>
      </c>
      <c r="K28" s="38"/>
      <c r="L28" s="39" t="s">
        <v>825</v>
      </c>
      <c r="M28" s="38">
        <v>3</v>
      </c>
      <c r="N28" s="38">
        <f>ROUNDUP(M28*(1+'Plan guide'!$B$6),0)</f>
        <v>4</v>
      </c>
      <c r="O28" s="40">
        <v>46367</v>
      </c>
      <c r="P28" s="40">
        <v>46372</v>
      </c>
      <c r="Q28" s="41" t="s">
        <v>791</v>
      </c>
      <c r="R28" s="41" t="s">
        <v>792</v>
      </c>
      <c r="S28" s="41" t="s">
        <v>792</v>
      </c>
      <c r="T28" s="41" t="s">
        <v>793</v>
      </c>
      <c r="U28" s="41" t="s">
        <v>793</v>
      </c>
      <c r="V28" s="42" t="str">
        <f t="shared" si="0"/>
        <v>In progress</v>
      </c>
      <c r="W28" s="43">
        <f t="shared" si="1"/>
        <v>0.2</v>
      </c>
      <c r="X28" s="30"/>
      <c r="Y28" s="30"/>
      <c r="Z28" s="42">
        <f t="shared" ca="1" si="2"/>
        <v>0</v>
      </c>
      <c r="AA28" s="42" t="str">
        <f t="shared" ca="1" si="3"/>
        <v>Green</v>
      </c>
      <c r="AB28" s="49" t="s">
        <v>944</v>
      </c>
      <c r="AC28" s="49" t="s">
        <v>795</v>
      </c>
      <c r="AD28" s="49" t="s">
        <v>945</v>
      </c>
      <c r="AE28" s="42" t="str">
        <f>IFERROR(INDEX('Task Register'!$AJ$2:$AJ$771,MATCH(B28,'Task Register'!$A$2:$A$771,0)),"")</f>
        <v>Built - partial</v>
      </c>
      <c r="AF28" s="42" t="str">
        <f>IFERROR(INDEX('Task Register'!$AU$2:$AU$771,MATCH(B28,'Task Register'!$A$2:$A$771,0)),"")</f>
        <v>Partial</v>
      </c>
      <c r="AG28" s="42" t="s">
        <v>827</v>
      </c>
      <c r="AH28" s="42">
        <v>8</v>
      </c>
      <c r="AI28" s="42" t="s">
        <v>946</v>
      </c>
      <c r="AJ28" s="42" t="s">
        <v>297</v>
      </c>
    </row>
    <row r="29" spans="1:36" ht="118" customHeight="1" x14ac:dyDescent="0.35">
      <c r="A29" s="38" t="s">
        <v>947</v>
      </c>
      <c r="B29" s="38" t="s">
        <v>302</v>
      </c>
      <c r="C29" s="38" t="s">
        <v>303</v>
      </c>
      <c r="D29" s="38">
        <v>1</v>
      </c>
      <c r="E29" s="38" t="s">
        <v>99</v>
      </c>
      <c r="F29" s="38" t="s">
        <v>940</v>
      </c>
      <c r="G29" s="38" t="s">
        <v>876</v>
      </c>
      <c r="H29" s="38" t="s">
        <v>948</v>
      </c>
      <c r="I29" s="38" t="s">
        <v>949</v>
      </c>
      <c r="J29" s="38" t="s">
        <v>950</v>
      </c>
      <c r="K29" s="38"/>
      <c r="L29" s="39" t="s">
        <v>790</v>
      </c>
      <c r="M29" s="38">
        <v>3</v>
      </c>
      <c r="N29" s="38">
        <f>ROUNDUP(M29*(1+'Plan guide'!$B$6),0)</f>
        <v>4</v>
      </c>
      <c r="O29" s="40">
        <v>46370</v>
      </c>
      <c r="P29" s="40">
        <v>46373</v>
      </c>
      <c r="Q29" s="41" t="s">
        <v>791</v>
      </c>
      <c r="R29" s="41" t="s">
        <v>792</v>
      </c>
      <c r="S29" s="41" t="s">
        <v>792</v>
      </c>
      <c r="T29" s="41" t="s">
        <v>793</v>
      </c>
      <c r="U29" s="41" t="s">
        <v>793</v>
      </c>
      <c r="V29" s="42" t="str">
        <f t="shared" si="0"/>
        <v>In progress</v>
      </c>
      <c r="W29" s="43">
        <f t="shared" si="1"/>
        <v>0.2</v>
      </c>
      <c r="X29" s="30"/>
      <c r="Y29" s="30"/>
      <c r="Z29" s="42">
        <f t="shared" ca="1" si="2"/>
        <v>0</v>
      </c>
      <c r="AA29" s="42" t="str">
        <f t="shared" ca="1" si="3"/>
        <v>Green</v>
      </c>
      <c r="AB29" s="49" t="s">
        <v>951</v>
      </c>
      <c r="AC29" s="49" t="s">
        <v>795</v>
      </c>
      <c r="AD29" s="49" t="s">
        <v>952</v>
      </c>
      <c r="AE29" s="42" t="str">
        <f>IFERROR(INDEX('Task Register'!$AJ$2:$AJ$771,MATCH(B29,'Task Register'!$A$2:$A$771,0)),"")</f>
        <v>Built - partial</v>
      </c>
      <c r="AF29" s="42" t="str">
        <f>IFERROR(INDEX('Task Register'!$AU$2:$AU$771,MATCH(B29,'Task Register'!$A$2:$A$771,0)),"")</f>
        <v>Partial</v>
      </c>
      <c r="AG29" s="42" t="s">
        <v>827</v>
      </c>
      <c r="AH29" s="42"/>
      <c r="AI29" s="42" t="s">
        <v>953</v>
      </c>
      <c r="AJ29" s="42" t="s">
        <v>302</v>
      </c>
    </row>
    <row r="30" spans="1:36" ht="118" customHeight="1" x14ac:dyDescent="0.35">
      <c r="A30" s="38" t="s">
        <v>954</v>
      </c>
      <c r="B30" s="38" t="s">
        <v>445</v>
      </c>
      <c r="C30" s="38" t="s">
        <v>446</v>
      </c>
      <c r="D30" s="38">
        <v>1</v>
      </c>
      <c r="E30" s="38" t="s">
        <v>99</v>
      </c>
      <c r="F30" s="38" t="s">
        <v>940</v>
      </c>
      <c r="G30" s="38" t="s">
        <v>876</v>
      </c>
      <c r="H30" s="38" t="s">
        <v>955</v>
      </c>
      <c r="I30" s="38" t="s">
        <v>956</v>
      </c>
      <c r="J30" s="38" t="s">
        <v>957</v>
      </c>
      <c r="K30" s="38" t="s">
        <v>947</v>
      </c>
      <c r="L30" s="39" t="s">
        <v>790</v>
      </c>
      <c r="M30" s="38">
        <v>2</v>
      </c>
      <c r="N30" s="38">
        <f>ROUNDUP(M30*(1+'Plan guide'!$B$6),0)</f>
        <v>3</v>
      </c>
      <c r="O30" s="40">
        <v>46377</v>
      </c>
      <c r="P30" s="40">
        <v>46379</v>
      </c>
      <c r="Q30" s="41" t="s">
        <v>791</v>
      </c>
      <c r="R30" s="41" t="s">
        <v>791</v>
      </c>
      <c r="S30" s="41" t="s">
        <v>791</v>
      </c>
      <c r="T30" s="41" t="s">
        <v>792</v>
      </c>
      <c r="U30" s="41" t="s">
        <v>791</v>
      </c>
      <c r="V30" s="42" t="str">
        <f t="shared" si="0"/>
        <v>In progress</v>
      </c>
      <c r="W30" s="43">
        <f t="shared" si="1"/>
        <v>0.8</v>
      </c>
      <c r="X30" s="30"/>
      <c r="Y30" s="30"/>
      <c r="Z30" s="42">
        <f t="shared" ca="1" si="2"/>
        <v>0</v>
      </c>
      <c r="AA30" s="42" t="str">
        <f t="shared" ca="1" si="3"/>
        <v>Green</v>
      </c>
      <c r="AB30" s="49" t="s">
        <v>794</v>
      </c>
      <c r="AC30" s="49" t="s">
        <v>795</v>
      </c>
      <c r="AD30" s="49" t="s">
        <v>958</v>
      </c>
      <c r="AE30" s="42" t="str">
        <f>IFERROR(INDEX('Task Register'!$AJ$2:$AJ$771,MATCH(B30,'Task Register'!$A$2:$A$771,0)),"")</f>
        <v>Built - tested</v>
      </c>
      <c r="AF30" s="42" t="str">
        <f>IFERROR(INDEX('Task Register'!$AU$2:$AU$771,MATCH(B30,'Task Register'!$A$2:$A$771,0)),"")</f>
        <v>Pass</v>
      </c>
      <c r="AG30" s="42" t="s">
        <v>827</v>
      </c>
      <c r="AH30" s="42">
        <v>4</v>
      </c>
      <c r="AI30" s="42" t="s">
        <v>953</v>
      </c>
      <c r="AJ30" s="42" t="s">
        <v>445</v>
      </c>
    </row>
    <row r="31" spans="1:36" ht="118" customHeight="1" x14ac:dyDescent="0.35">
      <c r="A31" s="38" t="s">
        <v>640</v>
      </c>
      <c r="B31" s="38" t="s">
        <v>440</v>
      </c>
      <c r="C31" s="38" t="s">
        <v>441</v>
      </c>
      <c r="D31" s="38">
        <v>1</v>
      </c>
      <c r="E31" s="38" t="s">
        <v>99</v>
      </c>
      <c r="F31" s="38" t="s">
        <v>940</v>
      </c>
      <c r="G31" s="38" t="s">
        <v>876</v>
      </c>
      <c r="H31" s="38" t="s">
        <v>959</v>
      </c>
      <c r="I31" s="38" t="s">
        <v>960</v>
      </c>
      <c r="J31" s="38" t="s">
        <v>961</v>
      </c>
      <c r="K31" s="38"/>
      <c r="L31" s="39" t="s">
        <v>825</v>
      </c>
      <c r="M31" s="38">
        <v>3</v>
      </c>
      <c r="N31" s="38">
        <f>ROUNDUP(M31*(1+'Plan guide'!$B$6),0)</f>
        <v>4</v>
      </c>
      <c r="O31" s="40">
        <v>46373</v>
      </c>
      <c r="P31" s="40">
        <v>46378</v>
      </c>
      <c r="Q31" s="41" t="s">
        <v>791</v>
      </c>
      <c r="R31" s="41" t="s">
        <v>792</v>
      </c>
      <c r="S31" s="41" t="s">
        <v>792</v>
      </c>
      <c r="T31" s="41" t="s">
        <v>793</v>
      </c>
      <c r="U31" s="41" t="s">
        <v>793</v>
      </c>
      <c r="V31" s="42" t="str">
        <f t="shared" si="0"/>
        <v>In progress</v>
      </c>
      <c r="W31" s="43">
        <f t="shared" si="1"/>
        <v>0.2</v>
      </c>
      <c r="X31" s="30"/>
      <c r="Y31" s="30"/>
      <c r="Z31" s="42">
        <f t="shared" ca="1" si="2"/>
        <v>0</v>
      </c>
      <c r="AA31" s="42" t="str">
        <f t="shared" ca="1" si="3"/>
        <v>Green</v>
      </c>
      <c r="AB31" s="49" t="s">
        <v>962</v>
      </c>
      <c r="AC31" s="49" t="s">
        <v>795</v>
      </c>
      <c r="AD31" s="49" t="s">
        <v>963</v>
      </c>
      <c r="AE31" s="42" t="str">
        <f>IFERROR(INDEX('Task Register'!$AJ$2:$AJ$771,MATCH(B31,'Task Register'!$A$2:$A$771,0)),"")</f>
        <v>Built - partial</v>
      </c>
      <c r="AF31" s="42" t="str">
        <f>IFERROR(INDEX('Task Register'!$AU$2:$AU$771,MATCH(B31,'Task Register'!$A$2:$A$771,0)),"")</f>
        <v>Partial</v>
      </c>
      <c r="AG31" s="42" t="s">
        <v>827</v>
      </c>
      <c r="AH31" s="42">
        <v>5</v>
      </c>
      <c r="AI31" s="42" t="s">
        <v>964</v>
      </c>
      <c r="AJ31" s="42" t="s">
        <v>440</v>
      </c>
    </row>
    <row r="32" spans="1:36" ht="118" customHeight="1" x14ac:dyDescent="0.35">
      <c r="A32" s="38" t="s">
        <v>644</v>
      </c>
      <c r="B32" s="38" t="s">
        <v>259</v>
      </c>
      <c r="C32" s="38" t="s">
        <v>260</v>
      </c>
      <c r="D32" s="38">
        <v>1</v>
      </c>
      <c r="E32" s="38" t="s">
        <v>99</v>
      </c>
      <c r="F32" s="38" t="s">
        <v>940</v>
      </c>
      <c r="G32" s="38" t="s">
        <v>876</v>
      </c>
      <c r="H32" s="38" t="s">
        <v>965</v>
      </c>
      <c r="I32" s="38" t="s">
        <v>966</v>
      </c>
      <c r="J32" s="38" t="s">
        <v>967</v>
      </c>
      <c r="K32" s="38"/>
      <c r="L32" s="39" t="s">
        <v>825</v>
      </c>
      <c r="M32" s="38">
        <v>5</v>
      </c>
      <c r="N32" s="38">
        <f>ROUNDUP(M32*(1+'Plan guide'!$B$6),0)</f>
        <v>6</v>
      </c>
      <c r="O32" s="40">
        <v>46379</v>
      </c>
      <c r="P32" s="40">
        <v>46387</v>
      </c>
      <c r="Q32" s="41" t="s">
        <v>791</v>
      </c>
      <c r="R32" s="41" t="s">
        <v>792</v>
      </c>
      <c r="S32" s="41" t="s">
        <v>792</v>
      </c>
      <c r="T32" s="41" t="s">
        <v>793</v>
      </c>
      <c r="U32" s="41" t="s">
        <v>793</v>
      </c>
      <c r="V32" s="42" t="str">
        <f t="shared" si="0"/>
        <v>In progress</v>
      </c>
      <c r="W32" s="43">
        <f t="shared" si="1"/>
        <v>0.2</v>
      </c>
      <c r="X32" s="30"/>
      <c r="Y32" s="30"/>
      <c r="Z32" s="42">
        <f t="shared" ca="1" si="2"/>
        <v>0</v>
      </c>
      <c r="AA32" s="42" t="str">
        <f t="shared" ca="1" si="3"/>
        <v>Green</v>
      </c>
      <c r="AB32" s="49" t="s">
        <v>968</v>
      </c>
      <c r="AC32" s="49" t="s">
        <v>795</v>
      </c>
      <c r="AD32" s="49" t="s">
        <v>969</v>
      </c>
      <c r="AE32" s="42" t="str">
        <f>IFERROR(INDEX('Task Register'!$AJ$2:$AJ$771,MATCH(B32,'Task Register'!$A$2:$A$771,0)),"")</f>
        <v>Built - partial</v>
      </c>
      <c r="AF32" s="42" t="str">
        <f>IFERROR(INDEX('Task Register'!$AU$2:$AU$771,MATCH(B32,'Task Register'!$A$2:$A$771,0)),"")</f>
        <v>Partial</v>
      </c>
      <c r="AG32" s="42" t="s">
        <v>827</v>
      </c>
      <c r="AH32" s="42"/>
      <c r="AI32" s="42" t="s">
        <v>970</v>
      </c>
      <c r="AJ32" s="42" t="s">
        <v>259</v>
      </c>
    </row>
    <row r="33" spans="1:36" ht="118" customHeight="1" x14ac:dyDescent="0.35">
      <c r="A33" s="38" t="s">
        <v>648</v>
      </c>
      <c r="B33" s="38" t="s">
        <v>264</v>
      </c>
      <c r="C33" s="38" t="s">
        <v>265</v>
      </c>
      <c r="D33" s="38">
        <v>1</v>
      </c>
      <c r="E33" s="38" t="s">
        <v>99</v>
      </c>
      <c r="F33" s="38" t="s">
        <v>940</v>
      </c>
      <c r="G33" s="38" t="s">
        <v>876</v>
      </c>
      <c r="H33" s="38" t="s">
        <v>971</v>
      </c>
      <c r="I33" s="38" t="s">
        <v>972</v>
      </c>
      <c r="J33" s="38" t="s">
        <v>973</v>
      </c>
      <c r="K33" s="38" t="s">
        <v>644</v>
      </c>
      <c r="L33" s="39" t="s">
        <v>790</v>
      </c>
      <c r="M33" s="38">
        <v>2</v>
      </c>
      <c r="N33" s="38">
        <f>ROUNDUP(M33*(1+'Plan guide'!$B$6),0)</f>
        <v>3</v>
      </c>
      <c r="O33" s="40">
        <v>46391</v>
      </c>
      <c r="P33" s="40">
        <v>46393</v>
      </c>
      <c r="Q33" s="41" t="s">
        <v>791</v>
      </c>
      <c r="R33" s="41" t="s">
        <v>791</v>
      </c>
      <c r="S33" s="41" t="s">
        <v>791</v>
      </c>
      <c r="T33" s="41" t="s">
        <v>792</v>
      </c>
      <c r="U33" s="41" t="s">
        <v>791</v>
      </c>
      <c r="V33" s="42" t="str">
        <f t="shared" si="0"/>
        <v>In progress</v>
      </c>
      <c r="W33" s="43">
        <f t="shared" si="1"/>
        <v>0.8</v>
      </c>
      <c r="X33" s="30"/>
      <c r="Y33" s="30"/>
      <c r="Z33" s="42">
        <f t="shared" ca="1" si="2"/>
        <v>0</v>
      </c>
      <c r="AA33" s="42" t="str">
        <f t="shared" ca="1" si="3"/>
        <v>Green</v>
      </c>
      <c r="AB33" s="49" t="s">
        <v>794</v>
      </c>
      <c r="AC33" s="49" t="s">
        <v>795</v>
      </c>
      <c r="AD33" s="49" t="s">
        <v>974</v>
      </c>
      <c r="AE33" s="42" t="str">
        <f>IFERROR(INDEX('Task Register'!$AJ$2:$AJ$771,MATCH(B33,'Task Register'!$A$2:$A$771,0)),"")</f>
        <v>Built - tested</v>
      </c>
      <c r="AF33" s="42" t="str">
        <f>IFERROR(INDEX('Task Register'!$AU$2:$AU$771,MATCH(B33,'Task Register'!$A$2:$A$771,0)),"")</f>
        <v>Pass</v>
      </c>
      <c r="AG33" s="42" t="s">
        <v>827</v>
      </c>
      <c r="AH33" s="42"/>
      <c r="AI33" s="42" t="s">
        <v>975</v>
      </c>
      <c r="AJ33" s="42" t="s">
        <v>264</v>
      </c>
    </row>
    <row r="34" spans="1:36" ht="118" customHeight="1" x14ac:dyDescent="0.35">
      <c r="A34" s="38" t="s">
        <v>652</v>
      </c>
      <c r="B34" s="38" t="s">
        <v>430</v>
      </c>
      <c r="C34" s="38" t="s">
        <v>431</v>
      </c>
      <c r="D34" s="38">
        <v>1</v>
      </c>
      <c r="E34" s="38" t="s">
        <v>99</v>
      </c>
      <c r="F34" s="38" t="s">
        <v>940</v>
      </c>
      <c r="G34" s="38" t="s">
        <v>876</v>
      </c>
      <c r="H34" s="38" t="s">
        <v>976</v>
      </c>
      <c r="I34" s="38" t="s">
        <v>977</v>
      </c>
      <c r="J34" s="38" t="s">
        <v>978</v>
      </c>
      <c r="K34" s="38" t="s">
        <v>644</v>
      </c>
      <c r="L34" s="39" t="s">
        <v>825</v>
      </c>
      <c r="M34" s="38">
        <v>3</v>
      </c>
      <c r="N34" s="38">
        <f>ROUNDUP(M34*(1+'Plan guide'!$B$6),0)</f>
        <v>4</v>
      </c>
      <c r="O34" s="40">
        <v>46391</v>
      </c>
      <c r="P34" s="40">
        <v>46394</v>
      </c>
      <c r="Q34" s="41" t="s">
        <v>791</v>
      </c>
      <c r="R34" s="41" t="s">
        <v>792</v>
      </c>
      <c r="S34" s="41" t="s">
        <v>792</v>
      </c>
      <c r="T34" s="41" t="s">
        <v>793</v>
      </c>
      <c r="U34" s="41" t="s">
        <v>793</v>
      </c>
      <c r="V34" s="42" t="str">
        <f t="shared" si="0"/>
        <v>In progress</v>
      </c>
      <c r="W34" s="43">
        <f t="shared" si="1"/>
        <v>0.2</v>
      </c>
      <c r="X34" s="30"/>
      <c r="Y34" s="30"/>
      <c r="Z34" s="42">
        <f t="shared" ca="1" si="2"/>
        <v>0</v>
      </c>
      <c r="AA34" s="42" t="str">
        <f t="shared" ca="1" si="3"/>
        <v>Green</v>
      </c>
      <c r="AB34" s="49" t="s">
        <v>979</v>
      </c>
      <c r="AC34" s="49" t="s">
        <v>795</v>
      </c>
      <c r="AD34" s="49" t="s">
        <v>980</v>
      </c>
      <c r="AE34" s="42" t="str">
        <f>IFERROR(INDEX('Task Register'!$AJ$2:$AJ$771,MATCH(B34,'Task Register'!$A$2:$A$771,0)),"")</f>
        <v>Built - partial</v>
      </c>
      <c r="AF34" s="42" t="str">
        <f>IFERROR(INDEX('Task Register'!$AU$2:$AU$771,MATCH(B34,'Task Register'!$A$2:$A$771,0)),"")</f>
        <v>Partial</v>
      </c>
      <c r="AG34" s="42" t="s">
        <v>827</v>
      </c>
      <c r="AH34" s="42"/>
      <c r="AI34" s="42" t="s">
        <v>981</v>
      </c>
      <c r="AJ34" s="42" t="s">
        <v>430</v>
      </c>
    </row>
    <row r="35" spans="1:36" ht="118" customHeight="1" x14ac:dyDescent="0.35">
      <c r="A35" s="38" t="s">
        <v>656</v>
      </c>
      <c r="B35" s="38" t="s">
        <v>392</v>
      </c>
      <c r="C35" s="38" t="s">
        <v>393</v>
      </c>
      <c r="D35" s="38">
        <v>1</v>
      </c>
      <c r="E35" s="38" t="s">
        <v>99</v>
      </c>
      <c r="F35" s="38" t="s">
        <v>982</v>
      </c>
      <c r="G35" s="38" t="s">
        <v>821</v>
      </c>
      <c r="H35" s="38" t="s">
        <v>983</v>
      </c>
      <c r="I35" s="38" t="s">
        <v>984</v>
      </c>
      <c r="J35" s="38" t="s">
        <v>985</v>
      </c>
      <c r="K35" s="38"/>
      <c r="L35" s="39" t="s">
        <v>790</v>
      </c>
      <c r="M35" s="38">
        <v>2</v>
      </c>
      <c r="N35" s="38">
        <f>ROUNDUP(M35*(1+'Plan guide'!$B$6),0)</f>
        <v>3</v>
      </c>
      <c r="O35" s="40">
        <v>46394</v>
      </c>
      <c r="P35" s="40">
        <v>46398</v>
      </c>
      <c r="Q35" s="41" t="s">
        <v>791</v>
      </c>
      <c r="R35" s="41" t="s">
        <v>792</v>
      </c>
      <c r="S35" s="41" t="s">
        <v>792</v>
      </c>
      <c r="T35" s="41" t="s">
        <v>793</v>
      </c>
      <c r="U35" s="41" t="s">
        <v>793</v>
      </c>
      <c r="V35" s="42" t="str">
        <f t="shared" si="0"/>
        <v>In progress</v>
      </c>
      <c r="W35" s="43">
        <f t="shared" si="1"/>
        <v>0.2</v>
      </c>
      <c r="X35" s="30"/>
      <c r="Y35" s="30"/>
      <c r="Z35" s="42">
        <f t="shared" ca="1" si="2"/>
        <v>0</v>
      </c>
      <c r="AA35" s="42" t="str">
        <f t="shared" ca="1" si="3"/>
        <v>Green</v>
      </c>
      <c r="AB35" s="49" t="s">
        <v>986</v>
      </c>
      <c r="AC35" s="49" t="s">
        <v>795</v>
      </c>
      <c r="AD35" s="49" t="s">
        <v>987</v>
      </c>
      <c r="AE35" s="42" t="str">
        <f>IFERROR(INDEX('Task Register'!$AJ$2:$AJ$771,MATCH(B35,'Task Register'!$A$2:$A$771,0)),"")</f>
        <v>Built - partial</v>
      </c>
      <c r="AF35" s="42" t="str">
        <f>IFERROR(INDEX('Task Register'!$AU$2:$AU$771,MATCH(B35,'Task Register'!$A$2:$A$771,0)),"")</f>
        <v>Partial</v>
      </c>
      <c r="AG35" s="42" t="s">
        <v>988</v>
      </c>
      <c r="AH35" s="42"/>
      <c r="AI35" s="42" t="s">
        <v>989</v>
      </c>
      <c r="AJ35" s="42" t="s">
        <v>392</v>
      </c>
    </row>
    <row r="36" spans="1:36" ht="118" customHeight="1" x14ac:dyDescent="0.35">
      <c r="A36" s="38" t="s">
        <v>990</v>
      </c>
      <c r="B36" s="38" t="s">
        <v>285</v>
      </c>
      <c r="C36" s="38" t="s">
        <v>286</v>
      </c>
      <c r="D36" s="38">
        <v>1</v>
      </c>
      <c r="E36" s="38" t="s">
        <v>99</v>
      </c>
      <c r="F36" s="38" t="s">
        <v>814</v>
      </c>
      <c r="G36" s="38" t="s">
        <v>876</v>
      </c>
      <c r="H36" s="38" t="s">
        <v>991</v>
      </c>
      <c r="I36" s="38" t="s">
        <v>992</v>
      </c>
      <c r="J36" s="38" t="s">
        <v>993</v>
      </c>
      <c r="K36" s="38"/>
      <c r="L36" s="39" t="s">
        <v>825</v>
      </c>
      <c r="M36" s="38">
        <v>2</v>
      </c>
      <c r="N36" s="38">
        <f>ROUNDUP(M36*(1+'Plan guide'!$B$6),0)</f>
        <v>3</v>
      </c>
      <c r="O36" s="40">
        <v>46395</v>
      </c>
      <c r="P36" s="40">
        <v>46399</v>
      </c>
      <c r="Q36" s="41" t="s">
        <v>791</v>
      </c>
      <c r="R36" s="41" t="s">
        <v>791</v>
      </c>
      <c r="S36" s="41" t="s">
        <v>791</v>
      </c>
      <c r="T36" s="41" t="s">
        <v>792</v>
      </c>
      <c r="U36" s="41" t="s">
        <v>791</v>
      </c>
      <c r="V36" s="42" t="str">
        <f t="shared" si="0"/>
        <v>In progress</v>
      </c>
      <c r="W36" s="43">
        <f t="shared" si="1"/>
        <v>0.8</v>
      </c>
      <c r="X36" s="30"/>
      <c r="Y36" s="30"/>
      <c r="Z36" s="42">
        <f t="shared" ca="1" si="2"/>
        <v>0</v>
      </c>
      <c r="AA36" s="42" t="str">
        <f t="shared" ca="1" si="3"/>
        <v>Green</v>
      </c>
      <c r="AB36" s="49" t="s">
        <v>794</v>
      </c>
      <c r="AC36" s="49" t="s">
        <v>795</v>
      </c>
      <c r="AD36" s="49" t="s">
        <v>994</v>
      </c>
      <c r="AE36" s="42" t="str">
        <f>IFERROR(INDEX('Task Register'!$AJ$2:$AJ$771,MATCH(B36,'Task Register'!$A$2:$A$771,0)),"")</f>
        <v>Built - tested</v>
      </c>
      <c r="AF36" s="42" t="str">
        <f>IFERROR(INDEX('Task Register'!$AU$2:$AU$771,MATCH(B36,'Task Register'!$A$2:$A$771,0)),"")</f>
        <v>Pass</v>
      </c>
      <c r="AG36" s="42" t="s">
        <v>827</v>
      </c>
      <c r="AH36" s="42"/>
      <c r="AI36" s="42" t="s">
        <v>995</v>
      </c>
      <c r="AJ36" s="42" t="s">
        <v>285</v>
      </c>
    </row>
    <row r="37" spans="1:36" ht="118" customHeight="1" x14ac:dyDescent="0.35">
      <c r="A37" s="38" t="s">
        <v>996</v>
      </c>
      <c r="B37" s="38" t="s">
        <v>292</v>
      </c>
      <c r="C37" s="38" t="s">
        <v>293</v>
      </c>
      <c r="D37" s="38">
        <v>1</v>
      </c>
      <c r="E37" s="38" t="s">
        <v>99</v>
      </c>
      <c r="F37" s="38" t="s">
        <v>814</v>
      </c>
      <c r="G37" s="38" t="s">
        <v>876</v>
      </c>
      <c r="H37" s="38" t="s">
        <v>997</v>
      </c>
      <c r="I37" s="38" t="s">
        <v>998</v>
      </c>
      <c r="J37" s="38" t="s">
        <v>999</v>
      </c>
      <c r="K37" s="38" t="s">
        <v>990</v>
      </c>
      <c r="L37" s="39" t="s">
        <v>790</v>
      </c>
      <c r="M37" s="38">
        <v>2</v>
      </c>
      <c r="N37" s="38">
        <f>ROUNDUP(M37*(1+'Plan guide'!$B$6),0)</f>
        <v>3</v>
      </c>
      <c r="O37" s="40">
        <v>46401</v>
      </c>
      <c r="P37" s="40">
        <v>46405</v>
      </c>
      <c r="Q37" s="41" t="s">
        <v>791</v>
      </c>
      <c r="R37" s="41" t="s">
        <v>791</v>
      </c>
      <c r="S37" s="41" t="s">
        <v>791</v>
      </c>
      <c r="T37" s="41" t="s">
        <v>792</v>
      </c>
      <c r="U37" s="41" t="s">
        <v>791</v>
      </c>
      <c r="V37" s="42" t="str">
        <f t="shared" ref="V37:V68" si="4">IF(COUNTIF(Q37:U37,"Blocked")&gt;0,"Blocked",IF(COUNTIF(Q37:U37,"Done")+COUNTIF(Q37:U37,"N/A")=5,"Done",IF(COUNTIF(Q37:U37,"Done")+COUNTIF(Q37:U37,"In progress")&gt;0,"In progress","Not started")))</f>
        <v>In progress</v>
      </c>
      <c r="W37" s="43">
        <f t="shared" ref="W37:W72" si="5">IF(5-COUNTIF(Q37:U37,"N/A")=0,1,COUNTIF(Q37:U37,"Done")/(5-COUNTIF(Q37:U37,"N/A")))</f>
        <v>0.8</v>
      </c>
      <c r="X37" s="30"/>
      <c r="Y37" s="30"/>
      <c r="Z37" s="42">
        <f t="shared" ref="Z37:Z68" ca="1" si="6">IF(V37="Done",IF(Y37="",0,MAX(0,Y37-P37)),MAX(0,TODAY()-P37))</f>
        <v>0</v>
      </c>
      <c r="AA37" s="42" t="str">
        <f t="shared" ref="AA37:AA68" ca="1" si="7">IF(V37="Done","Done",IF(V37="Blocked","Red",IF(Z37&gt;0,"Red",IF(AND(O37&lt;=TODAY(),P37-TODAY()&lt;=3,W37&lt;0.5),"Amber","Green"))))</f>
        <v>Green</v>
      </c>
      <c r="AB37" s="49" t="s">
        <v>794</v>
      </c>
      <c r="AC37" s="49" t="s">
        <v>795</v>
      </c>
      <c r="AD37" s="49" t="s">
        <v>1000</v>
      </c>
      <c r="AE37" s="42" t="str">
        <f>IFERROR(INDEX('Task Register'!$AJ$2:$AJ$771,MATCH(B37,'Task Register'!$A$2:$A$771,0)),"")</f>
        <v>Built - tested</v>
      </c>
      <c r="AF37" s="42" t="str">
        <f>IFERROR(INDEX('Task Register'!$AU$2:$AU$771,MATCH(B37,'Task Register'!$A$2:$A$771,0)),"")</f>
        <v>Pass</v>
      </c>
      <c r="AG37" s="42" t="s">
        <v>827</v>
      </c>
      <c r="AH37" s="42">
        <v>2</v>
      </c>
      <c r="AI37" s="42" t="s">
        <v>995</v>
      </c>
      <c r="AJ37" s="42" t="s">
        <v>292</v>
      </c>
    </row>
    <row r="38" spans="1:36" ht="118" customHeight="1" x14ac:dyDescent="0.35">
      <c r="A38" s="38" t="s">
        <v>1001</v>
      </c>
      <c r="B38" s="38" t="s">
        <v>364</v>
      </c>
      <c r="C38" s="38" t="s">
        <v>365</v>
      </c>
      <c r="D38" s="38">
        <v>1</v>
      </c>
      <c r="E38" s="38" t="s">
        <v>99</v>
      </c>
      <c r="F38" s="38" t="s">
        <v>814</v>
      </c>
      <c r="G38" s="38" t="s">
        <v>876</v>
      </c>
      <c r="H38" s="38" t="s">
        <v>1002</v>
      </c>
      <c r="I38" s="38" t="s">
        <v>1003</v>
      </c>
      <c r="J38" s="38" t="s">
        <v>1004</v>
      </c>
      <c r="K38" s="38" t="s">
        <v>990</v>
      </c>
      <c r="L38" s="39" t="s">
        <v>825</v>
      </c>
      <c r="M38" s="38">
        <v>2</v>
      </c>
      <c r="N38" s="38">
        <f>ROUNDUP(M38*(1+'Plan guide'!$B$6),0)</f>
        <v>3</v>
      </c>
      <c r="O38" s="40">
        <v>46401</v>
      </c>
      <c r="P38" s="40">
        <v>46405</v>
      </c>
      <c r="Q38" s="41" t="s">
        <v>791</v>
      </c>
      <c r="R38" s="41" t="s">
        <v>792</v>
      </c>
      <c r="S38" s="41" t="s">
        <v>792</v>
      </c>
      <c r="T38" s="41" t="s">
        <v>793</v>
      </c>
      <c r="U38" s="41" t="s">
        <v>793</v>
      </c>
      <c r="V38" s="42" t="str">
        <f t="shared" si="4"/>
        <v>In progress</v>
      </c>
      <c r="W38" s="43">
        <f t="shared" si="5"/>
        <v>0.2</v>
      </c>
      <c r="X38" s="30"/>
      <c r="Y38" s="30"/>
      <c r="Z38" s="42">
        <f t="shared" ca="1" si="6"/>
        <v>0</v>
      </c>
      <c r="AA38" s="42" t="str">
        <f t="shared" ca="1" si="7"/>
        <v>Green</v>
      </c>
      <c r="AB38" s="49" t="s">
        <v>1005</v>
      </c>
      <c r="AC38" s="49" t="s">
        <v>795</v>
      </c>
      <c r="AD38" s="49" t="s">
        <v>1006</v>
      </c>
      <c r="AE38" s="42" t="str">
        <f>IFERROR(INDEX('Task Register'!$AJ$2:$AJ$771,MATCH(B38,'Task Register'!$A$2:$A$771,0)),"")</f>
        <v>Built - partial</v>
      </c>
      <c r="AF38" s="42" t="str">
        <f>IFERROR(INDEX('Task Register'!$AU$2:$AU$771,MATCH(B38,'Task Register'!$A$2:$A$771,0)),"")</f>
        <v>Partial</v>
      </c>
      <c r="AG38" s="42" t="s">
        <v>827</v>
      </c>
      <c r="AH38" s="42">
        <v>1</v>
      </c>
      <c r="AI38" s="42" t="s">
        <v>995</v>
      </c>
      <c r="AJ38" s="42" t="s">
        <v>364</v>
      </c>
    </row>
    <row r="39" spans="1:36" ht="118" customHeight="1" x14ac:dyDescent="0.35">
      <c r="A39" s="38" t="s">
        <v>1007</v>
      </c>
      <c r="B39" s="38" t="s">
        <v>344</v>
      </c>
      <c r="C39" s="38" t="s">
        <v>345</v>
      </c>
      <c r="D39" s="38">
        <v>1</v>
      </c>
      <c r="E39" s="38" t="s">
        <v>99</v>
      </c>
      <c r="F39" s="38" t="s">
        <v>814</v>
      </c>
      <c r="G39" s="38" t="s">
        <v>876</v>
      </c>
      <c r="H39" s="38" t="s">
        <v>1008</v>
      </c>
      <c r="I39" s="38" t="s">
        <v>1009</v>
      </c>
      <c r="J39" s="38" t="s">
        <v>1010</v>
      </c>
      <c r="K39" s="38"/>
      <c r="L39" s="39" t="s">
        <v>790</v>
      </c>
      <c r="M39" s="38">
        <v>2</v>
      </c>
      <c r="N39" s="38">
        <f>ROUNDUP(M39*(1+'Plan guide'!$B$6),0)</f>
        <v>3</v>
      </c>
      <c r="O39" s="40">
        <v>46406</v>
      </c>
      <c r="P39" s="40">
        <v>46408</v>
      </c>
      <c r="Q39" s="41" t="s">
        <v>791</v>
      </c>
      <c r="R39" s="41" t="s">
        <v>792</v>
      </c>
      <c r="S39" s="41" t="s">
        <v>792</v>
      </c>
      <c r="T39" s="41" t="s">
        <v>793</v>
      </c>
      <c r="U39" s="41" t="s">
        <v>793</v>
      </c>
      <c r="V39" s="42" t="str">
        <f t="shared" si="4"/>
        <v>In progress</v>
      </c>
      <c r="W39" s="43">
        <f t="shared" si="5"/>
        <v>0.2</v>
      </c>
      <c r="X39" s="30"/>
      <c r="Y39" s="30"/>
      <c r="Z39" s="42">
        <f t="shared" ca="1" si="6"/>
        <v>0</v>
      </c>
      <c r="AA39" s="42" t="str">
        <f t="shared" ca="1" si="7"/>
        <v>Green</v>
      </c>
      <c r="AB39" s="49" t="s">
        <v>1011</v>
      </c>
      <c r="AC39" s="49" t="s">
        <v>795</v>
      </c>
      <c r="AD39" s="49" t="s">
        <v>1012</v>
      </c>
      <c r="AE39" s="42" t="str">
        <f>IFERROR(INDEX('Task Register'!$AJ$2:$AJ$771,MATCH(B39,'Task Register'!$A$2:$A$771,0)),"")</f>
        <v>Built - partial</v>
      </c>
      <c r="AF39" s="42" t="str">
        <f>IFERROR(INDEX('Task Register'!$AU$2:$AU$771,MATCH(B39,'Task Register'!$A$2:$A$771,0)),"")</f>
        <v>Partial</v>
      </c>
      <c r="AG39" s="42" t="s">
        <v>827</v>
      </c>
      <c r="AH39" s="42">
        <v>3</v>
      </c>
      <c r="AI39" s="42" t="s">
        <v>995</v>
      </c>
      <c r="AJ39" s="42" t="s">
        <v>344</v>
      </c>
    </row>
    <row r="40" spans="1:36" ht="118" customHeight="1" x14ac:dyDescent="0.35">
      <c r="A40" s="38" t="s">
        <v>1013</v>
      </c>
      <c r="B40" s="38"/>
      <c r="C40" s="38" t="s">
        <v>1014</v>
      </c>
      <c r="D40" s="38">
        <v>1</v>
      </c>
      <c r="E40" s="38" t="s">
        <v>99</v>
      </c>
      <c r="F40" s="38" t="s">
        <v>820</v>
      </c>
      <c r="G40" s="38" t="s">
        <v>802</v>
      </c>
      <c r="H40" s="38" t="s">
        <v>1015</v>
      </c>
      <c r="I40" s="38" t="s">
        <v>1016</v>
      </c>
      <c r="J40" s="38"/>
      <c r="K40" s="38" t="s">
        <v>1017</v>
      </c>
      <c r="L40" s="39" t="s">
        <v>1018</v>
      </c>
      <c r="M40" s="38">
        <v>1</v>
      </c>
      <c r="N40" s="38">
        <f>ROUNDUP(M40*(1+'Plan guide'!$B$6),0)</f>
        <v>2</v>
      </c>
      <c r="O40" s="40">
        <v>46321</v>
      </c>
      <c r="P40" s="40">
        <v>46325</v>
      </c>
      <c r="Q40" s="41" t="s">
        <v>793</v>
      </c>
      <c r="R40" s="41" t="s">
        <v>806</v>
      </c>
      <c r="S40" s="41" t="s">
        <v>806</v>
      </c>
      <c r="T40" s="41" t="s">
        <v>793</v>
      </c>
      <c r="U40" s="41" t="s">
        <v>806</v>
      </c>
      <c r="V40" s="42" t="str">
        <f t="shared" si="4"/>
        <v>Not started</v>
      </c>
      <c r="W40" s="43">
        <f t="shared" si="5"/>
        <v>0</v>
      </c>
      <c r="X40" s="30"/>
      <c r="Y40" s="30"/>
      <c r="Z40" s="42">
        <f t="shared" ca="1" si="6"/>
        <v>0</v>
      </c>
      <c r="AA40" s="42" t="str">
        <f t="shared" ca="1" si="7"/>
        <v>Green</v>
      </c>
      <c r="AB40" s="49" t="s">
        <v>1019</v>
      </c>
      <c r="AC40" s="49" t="s">
        <v>795</v>
      </c>
      <c r="AD40" s="49" t="s">
        <v>808</v>
      </c>
      <c r="AE40" s="42"/>
      <c r="AF40" s="42"/>
      <c r="AG40" s="42" t="s">
        <v>1020</v>
      </c>
      <c r="AH40" s="42"/>
      <c r="AI40" s="42" t="s">
        <v>818</v>
      </c>
      <c r="AJ40" s="42" t="s">
        <v>1021</v>
      </c>
    </row>
    <row r="41" spans="1:36" ht="118" customHeight="1" x14ac:dyDescent="0.35">
      <c r="A41" s="38" t="s">
        <v>664</v>
      </c>
      <c r="B41" s="38"/>
      <c r="C41" s="38" t="s">
        <v>1022</v>
      </c>
      <c r="D41" s="38">
        <v>1</v>
      </c>
      <c r="E41" s="38" t="s">
        <v>99</v>
      </c>
      <c r="F41" s="38" t="s">
        <v>820</v>
      </c>
      <c r="G41" s="38" t="s">
        <v>821</v>
      </c>
      <c r="H41" s="38" t="s">
        <v>1023</v>
      </c>
      <c r="I41" s="38" t="s">
        <v>1024</v>
      </c>
      <c r="J41" s="38" t="s">
        <v>1025</v>
      </c>
      <c r="K41" s="38"/>
      <c r="L41" s="39" t="s">
        <v>825</v>
      </c>
      <c r="M41" s="38">
        <v>2</v>
      </c>
      <c r="N41" s="38">
        <f>ROUNDUP(M41*(1+'Plan guide'!$B$6),0)</f>
        <v>3</v>
      </c>
      <c r="O41" s="40">
        <v>46406</v>
      </c>
      <c r="P41" s="40">
        <v>46408</v>
      </c>
      <c r="Q41" s="41" t="s">
        <v>791</v>
      </c>
      <c r="R41" s="41" t="s">
        <v>791</v>
      </c>
      <c r="S41" s="41" t="s">
        <v>792</v>
      </c>
      <c r="T41" s="41" t="s">
        <v>792</v>
      </c>
      <c r="U41" s="41" t="s">
        <v>793</v>
      </c>
      <c r="V41" s="42" t="str">
        <f t="shared" si="4"/>
        <v>In progress</v>
      </c>
      <c r="W41" s="43">
        <f t="shared" si="5"/>
        <v>0.4</v>
      </c>
      <c r="X41" s="30"/>
      <c r="Y41" s="30"/>
      <c r="Z41" s="42">
        <f t="shared" ca="1" si="6"/>
        <v>0</v>
      </c>
      <c r="AA41" s="42" t="str">
        <f t="shared" ca="1" si="7"/>
        <v>Green</v>
      </c>
      <c r="AB41" s="49" t="s">
        <v>794</v>
      </c>
      <c r="AC41" s="49" t="s">
        <v>795</v>
      </c>
      <c r="AD41" s="49" t="s">
        <v>1026</v>
      </c>
      <c r="AE41" s="42"/>
      <c r="AF41" s="42"/>
      <c r="AG41" s="42" t="s">
        <v>827</v>
      </c>
      <c r="AH41" s="42"/>
      <c r="AI41" s="42" t="s">
        <v>1027</v>
      </c>
      <c r="AJ41" s="42" t="s">
        <v>1028</v>
      </c>
    </row>
    <row r="42" spans="1:36" ht="118" customHeight="1" x14ac:dyDescent="0.35">
      <c r="A42" s="38" t="s">
        <v>576</v>
      </c>
      <c r="B42" s="38" t="s">
        <v>122</v>
      </c>
      <c r="C42" s="38" t="s">
        <v>1029</v>
      </c>
      <c r="D42" s="38">
        <v>1</v>
      </c>
      <c r="E42" s="38" t="s">
        <v>99</v>
      </c>
      <c r="F42" s="38" t="s">
        <v>785</v>
      </c>
      <c r="G42" s="38" t="s">
        <v>856</v>
      </c>
      <c r="H42" s="38" t="s">
        <v>1030</v>
      </c>
      <c r="I42" s="38" t="s">
        <v>1031</v>
      </c>
      <c r="J42" s="38" t="s">
        <v>859</v>
      </c>
      <c r="K42" s="38"/>
      <c r="L42" s="39" t="s">
        <v>790</v>
      </c>
      <c r="M42" s="38">
        <v>0.5</v>
      </c>
      <c r="N42" s="38">
        <f>ROUNDUP(M42*(1+'Plan guide'!$B$6),0)</f>
        <v>1</v>
      </c>
      <c r="O42" s="40">
        <v>46409</v>
      </c>
      <c r="P42" s="40">
        <v>46409</v>
      </c>
      <c r="Q42" s="41" t="s">
        <v>791</v>
      </c>
      <c r="R42" s="41" t="s">
        <v>792</v>
      </c>
      <c r="S42" s="41" t="s">
        <v>792</v>
      </c>
      <c r="T42" s="41" t="s">
        <v>793</v>
      </c>
      <c r="U42" s="41" t="s">
        <v>793</v>
      </c>
      <c r="V42" s="42" t="str">
        <f t="shared" si="4"/>
        <v>In progress</v>
      </c>
      <c r="W42" s="43">
        <f t="shared" si="5"/>
        <v>0.2</v>
      </c>
      <c r="X42" s="30"/>
      <c r="Y42" s="30"/>
      <c r="Z42" s="42">
        <f t="shared" ca="1" si="6"/>
        <v>0</v>
      </c>
      <c r="AA42" s="42" t="str">
        <f t="shared" ca="1" si="7"/>
        <v>Green</v>
      </c>
      <c r="AB42" s="49" t="s">
        <v>1032</v>
      </c>
      <c r="AC42" s="49" t="s">
        <v>795</v>
      </c>
      <c r="AD42" s="49" t="s">
        <v>1033</v>
      </c>
      <c r="AE42" s="42" t="str">
        <f>IFERROR(INDEX('Task Register'!$AJ$2:$AJ$771,MATCH(B42,'Task Register'!$A$2:$A$771,0)),"")</f>
        <v>Built - tested</v>
      </c>
      <c r="AF42" s="42" t="str">
        <f>IFERROR(INDEX('Task Register'!$AU$2:$AU$771,MATCH(B42,'Task Register'!$A$2:$A$771,0)),"")</f>
        <v>Partial</v>
      </c>
      <c r="AG42" s="42" t="s">
        <v>862</v>
      </c>
      <c r="AH42" s="42"/>
      <c r="AI42" s="42" t="s">
        <v>1034</v>
      </c>
      <c r="AJ42" s="42" t="s">
        <v>122</v>
      </c>
    </row>
    <row r="43" spans="1:36" ht="118" customHeight="1" x14ac:dyDescent="0.35">
      <c r="A43" s="38" t="s">
        <v>1035</v>
      </c>
      <c r="B43" s="38"/>
      <c r="C43" s="38" t="s">
        <v>1036</v>
      </c>
      <c r="D43" s="38">
        <v>1</v>
      </c>
      <c r="E43" s="38" t="s">
        <v>99</v>
      </c>
      <c r="F43" s="38" t="s">
        <v>982</v>
      </c>
      <c r="G43" s="38" t="s">
        <v>821</v>
      </c>
      <c r="H43" s="38" t="s">
        <v>1037</v>
      </c>
      <c r="I43" s="38" t="s">
        <v>1038</v>
      </c>
      <c r="J43" s="38" t="s">
        <v>1039</v>
      </c>
      <c r="K43" s="38" t="s">
        <v>656</v>
      </c>
      <c r="L43" s="39" t="s">
        <v>825</v>
      </c>
      <c r="M43" s="38">
        <v>5</v>
      </c>
      <c r="N43" s="38">
        <f>ROUNDUP(M43*(1+'Plan guide'!$B$6),0)</f>
        <v>6</v>
      </c>
      <c r="O43" s="40">
        <v>46409</v>
      </c>
      <c r="P43" s="40">
        <v>46419</v>
      </c>
      <c r="Q43" s="41" t="s">
        <v>793</v>
      </c>
      <c r="R43" s="41" t="s">
        <v>793</v>
      </c>
      <c r="S43" s="41" t="s">
        <v>793</v>
      </c>
      <c r="T43" s="41" t="s">
        <v>793</v>
      </c>
      <c r="U43" s="41" t="s">
        <v>793</v>
      </c>
      <c r="V43" s="42" t="str">
        <f t="shared" si="4"/>
        <v>Not started</v>
      </c>
      <c r="W43" s="43">
        <f t="shared" si="5"/>
        <v>0</v>
      </c>
      <c r="X43" s="30"/>
      <c r="Y43" s="30"/>
      <c r="Z43" s="42">
        <f t="shared" ca="1" si="6"/>
        <v>0</v>
      </c>
      <c r="AA43" s="42" t="str">
        <f t="shared" ca="1" si="7"/>
        <v>Green</v>
      </c>
      <c r="AB43" s="49" t="s">
        <v>1040</v>
      </c>
      <c r="AC43" s="49" t="s">
        <v>795</v>
      </c>
      <c r="AD43" s="49" t="s">
        <v>1041</v>
      </c>
      <c r="AE43" s="42"/>
      <c r="AF43" s="42"/>
      <c r="AG43" s="42" t="s">
        <v>988</v>
      </c>
      <c r="AH43" s="42">
        <v>9</v>
      </c>
      <c r="AI43" s="42" t="s">
        <v>1042</v>
      </c>
      <c r="AJ43" s="42" t="s">
        <v>1043</v>
      </c>
    </row>
    <row r="44" spans="1:36" ht="118" customHeight="1" x14ac:dyDescent="0.35">
      <c r="A44" s="38" t="s">
        <v>1044</v>
      </c>
      <c r="B44" s="38"/>
      <c r="C44" s="38" t="s">
        <v>1045</v>
      </c>
      <c r="D44" s="38">
        <v>1</v>
      </c>
      <c r="E44" s="38" t="s">
        <v>99</v>
      </c>
      <c r="F44" s="38" t="s">
        <v>1046</v>
      </c>
      <c r="G44" s="38" t="s">
        <v>802</v>
      </c>
      <c r="H44" s="38" t="s">
        <v>1047</v>
      </c>
      <c r="I44" s="38" t="s">
        <v>1048</v>
      </c>
      <c r="J44" s="38"/>
      <c r="K44" s="38" t="s">
        <v>1049</v>
      </c>
      <c r="L44" s="39" t="s">
        <v>790</v>
      </c>
      <c r="M44" s="38">
        <v>2</v>
      </c>
      <c r="N44" s="38">
        <f>ROUNDUP(M44*(1+'Plan guide'!$B$6),0)</f>
        <v>3</v>
      </c>
      <c r="O44" s="40">
        <v>46421</v>
      </c>
      <c r="P44" s="40">
        <v>46423</v>
      </c>
      <c r="Q44" s="41" t="s">
        <v>806</v>
      </c>
      <c r="R44" s="41" t="s">
        <v>806</v>
      </c>
      <c r="S44" s="41" t="s">
        <v>793</v>
      </c>
      <c r="T44" s="41" t="s">
        <v>793</v>
      </c>
      <c r="U44" s="41" t="s">
        <v>793</v>
      </c>
      <c r="V44" s="42" t="str">
        <f t="shared" si="4"/>
        <v>Not started</v>
      </c>
      <c r="W44" s="43">
        <f t="shared" si="5"/>
        <v>0</v>
      </c>
      <c r="X44" s="30"/>
      <c r="Y44" s="30"/>
      <c r="Z44" s="42">
        <f t="shared" ca="1" si="6"/>
        <v>0</v>
      </c>
      <c r="AA44" s="42" t="str">
        <f t="shared" ca="1" si="7"/>
        <v>Green</v>
      </c>
      <c r="AB44" s="49" t="s">
        <v>1050</v>
      </c>
      <c r="AC44" s="49" t="s">
        <v>795</v>
      </c>
      <c r="AD44" s="49" t="s">
        <v>808</v>
      </c>
      <c r="AE44" s="42"/>
      <c r="AF44" s="42"/>
      <c r="AG44" s="42" t="s">
        <v>1051</v>
      </c>
      <c r="AH44" s="42"/>
      <c r="AI44" s="42"/>
      <c r="AJ44" s="42" t="s">
        <v>1052</v>
      </c>
    </row>
    <row r="45" spans="1:36" ht="118" customHeight="1" x14ac:dyDescent="0.35">
      <c r="A45" s="38" t="s">
        <v>551</v>
      </c>
      <c r="B45" s="38" t="s">
        <v>226</v>
      </c>
      <c r="C45" s="38" t="s">
        <v>227</v>
      </c>
      <c r="D45" s="38">
        <v>2</v>
      </c>
      <c r="E45" s="38" t="s">
        <v>135</v>
      </c>
      <c r="F45" s="38" t="s">
        <v>982</v>
      </c>
      <c r="G45" s="38" t="s">
        <v>876</v>
      </c>
      <c r="H45" s="38" t="s">
        <v>1053</v>
      </c>
      <c r="I45" s="38" t="s">
        <v>1054</v>
      </c>
      <c r="J45" s="38" t="s">
        <v>1055</v>
      </c>
      <c r="K45" s="38" t="s">
        <v>1044</v>
      </c>
      <c r="L45" s="39" t="s">
        <v>790</v>
      </c>
      <c r="M45" s="38">
        <v>2</v>
      </c>
      <c r="N45" s="38">
        <f>ROUNDUP(M45*(1+'Plan guide'!$B$6),0)</f>
        <v>3</v>
      </c>
      <c r="O45" s="40">
        <v>46427</v>
      </c>
      <c r="P45" s="40">
        <v>46429</v>
      </c>
      <c r="Q45" s="41" t="s">
        <v>791</v>
      </c>
      <c r="R45" s="41" t="s">
        <v>792</v>
      </c>
      <c r="S45" s="41" t="s">
        <v>793</v>
      </c>
      <c r="T45" s="41" t="s">
        <v>793</v>
      </c>
      <c r="U45" s="41" t="s">
        <v>793</v>
      </c>
      <c r="V45" s="42" t="str">
        <f t="shared" si="4"/>
        <v>In progress</v>
      </c>
      <c r="W45" s="43">
        <f t="shared" si="5"/>
        <v>0.2</v>
      </c>
      <c r="X45" s="30"/>
      <c r="Y45" s="30"/>
      <c r="Z45" s="42">
        <f t="shared" ca="1" si="6"/>
        <v>0</v>
      </c>
      <c r="AA45" s="42" t="str">
        <f t="shared" ca="1" si="7"/>
        <v>Green</v>
      </c>
      <c r="AB45" s="49" t="s">
        <v>1056</v>
      </c>
      <c r="AC45" s="49" t="s">
        <v>795</v>
      </c>
      <c r="AD45" s="49" t="s">
        <v>1057</v>
      </c>
      <c r="AE45" s="42" t="str">
        <f>IFERROR(INDEX('Task Register'!$AJ$2:$AJ$771,MATCH(B45,'Task Register'!$A$2:$A$771,0)),"")</f>
        <v>Built - partial</v>
      </c>
      <c r="AF45" s="42" t="str">
        <f>IFERROR(INDEX('Task Register'!$AU$2:$AU$771,MATCH(B45,'Task Register'!$A$2:$A$771,0)),"")</f>
        <v>Partial</v>
      </c>
      <c r="AG45" s="42" t="s">
        <v>827</v>
      </c>
      <c r="AH45" s="42"/>
      <c r="AI45" s="42" t="s">
        <v>1058</v>
      </c>
      <c r="AJ45" s="42" t="s">
        <v>226</v>
      </c>
    </row>
    <row r="46" spans="1:36" ht="118" customHeight="1" x14ac:dyDescent="0.35">
      <c r="A46" s="38" t="s">
        <v>671</v>
      </c>
      <c r="B46" s="38" t="s">
        <v>235</v>
      </c>
      <c r="C46" s="38" t="s">
        <v>236</v>
      </c>
      <c r="D46" s="38">
        <v>2</v>
      </c>
      <c r="E46" s="38" t="s">
        <v>135</v>
      </c>
      <c r="F46" s="38" t="s">
        <v>982</v>
      </c>
      <c r="G46" s="38" t="s">
        <v>876</v>
      </c>
      <c r="H46" s="38" t="s">
        <v>1059</v>
      </c>
      <c r="I46" s="38" t="s">
        <v>1060</v>
      </c>
      <c r="J46" s="38" t="s">
        <v>1061</v>
      </c>
      <c r="K46" s="38" t="s">
        <v>1044</v>
      </c>
      <c r="L46" s="39" t="s">
        <v>825</v>
      </c>
      <c r="M46" s="38">
        <v>4</v>
      </c>
      <c r="N46" s="38">
        <f>ROUNDUP(M46*(1+'Plan guide'!$B$6),0)</f>
        <v>5</v>
      </c>
      <c r="O46" s="40">
        <v>46427</v>
      </c>
      <c r="P46" s="40">
        <v>46433</v>
      </c>
      <c r="Q46" s="41" t="s">
        <v>791</v>
      </c>
      <c r="R46" s="41" t="s">
        <v>792</v>
      </c>
      <c r="S46" s="41" t="s">
        <v>792</v>
      </c>
      <c r="T46" s="41" t="s">
        <v>793</v>
      </c>
      <c r="U46" s="41" t="s">
        <v>793</v>
      </c>
      <c r="V46" s="42" t="str">
        <f t="shared" si="4"/>
        <v>In progress</v>
      </c>
      <c r="W46" s="43">
        <f t="shared" si="5"/>
        <v>0.2</v>
      </c>
      <c r="X46" s="30"/>
      <c r="Y46" s="30"/>
      <c r="Z46" s="42">
        <f t="shared" ca="1" si="6"/>
        <v>0</v>
      </c>
      <c r="AA46" s="42" t="str">
        <f t="shared" ca="1" si="7"/>
        <v>Green</v>
      </c>
      <c r="AB46" s="49" t="s">
        <v>1062</v>
      </c>
      <c r="AC46" s="49" t="s">
        <v>795</v>
      </c>
      <c r="AD46" s="49" t="s">
        <v>1063</v>
      </c>
      <c r="AE46" s="42" t="str">
        <f>IFERROR(INDEX('Task Register'!$AJ$2:$AJ$771,MATCH(B46,'Task Register'!$A$2:$A$771,0)),"")</f>
        <v>Built - partial</v>
      </c>
      <c r="AF46" s="42" t="str">
        <f>IFERROR(INDEX('Task Register'!$AU$2:$AU$771,MATCH(B46,'Task Register'!$A$2:$A$771,0)),"")</f>
        <v>Partial</v>
      </c>
      <c r="AG46" s="42" t="s">
        <v>827</v>
      </c>
      <c r="AH46" s="42"/>
      <c r="AI46" s="42" t="s">
        <v>1064</v>
      </c>
      <c r="AJ46" s="42" t="s">
        <v>235</v>
      </c>
    </row>
    <row r="47" spans="1:36" ht="118" customHeight="1" x14ac:dyDescent="0.35">
      <c r="A47" s="38" t="s">
        <v>675</v>
      </c>
      <c r="B47" s="38" t="s">
        <v>240</v>
      </c>
      <c r="C47" s="38" t="s">
        <v>241</v>
      </c>
      <c r="D47" s="38">
        <v>2</v>
      </c>
      <c r="E47" s="38" t="s">
        <v>135</v>
      </c>
      <c r="F47" s="38" t="s">
        <v>982</v>
      </c>
      <c r="G47" s="38" t="s">
        <v>876</v>
      </c>
      <c r="H47" s="38" t="s">
        <v>1065</v>
      </c>
      <c r="I47" s="38" t="s">
        <v>1066</v>
      </c>
      <c r="J47" s="38" t="s">
        <v>1067</v>
      </c>
      <c r="K47" s="38" t="s">
        <v>1044</v>
      </c>
      <c r="L47" s="39" t="s">
        <v>790</v>
      </c>
      <c r="M47" s="38">
        <v>6</v>
      </c>
      <c r="N47" s="38">
        <f>ROUNDUP(M47*(1+'Plan guide'!$B$6),0)</f>
        <v>8</v>
      </c>
      <c r="O47" s="40">
        <v>46430</v>
      </c>
      <c r="P47" s="40">
        <v>46441</v>
      </c>
      <c r="Q47" s="41" t="s">
        <v>791</v>
      </c>
      <c r="R47" s="41" t="s">
        <v>791</v>
      </c>
      <c r="S47" s="41" t="s">
        <v>791</v>
      </c>
      <c r="T47" s="41" t="s">
        <v>792</v>
      </c>
      <c r="U47" s="41" t="s">
        <v>791</v>
      </c>
      <c r="V47" s="42" t="str">
        <f t="shared" si="4"/>
        <v>In progress</v>
      </c>
      <c r="W47" s="43">
        <f t="shared" si="5"/>
        <v>0.8</v>
      </c>
      <c r="X47" s="30"/>
      <c r="Y47" s="30"/>
      <c r="Z47" s="42">
        <f t="shared" ca="1" si="6"/>
        <v>0</v>
      </c>
      <c r="AA47" s="42" t="str">
        <f t="shared" ca="1" si="7"/>
        <v>Green</v>
      </c>
      <c r="AB47" s="49" t="s">
        <v>794</v>
      </c>
      <c r="AC47" s="49" t="s">
        <v>795</v>
      </c>
      <c r="AD47" s="49" t="s">
        <v>1068</v>
      </c>
      <c r="AE47" s="42" t="str">
        <f>IFERROR(INDEX('Task Register'!$AJ$2:$AJ$771,MATCH(B47,'Task Register'!$A$2:$A$771,0)),"")</f>
        <v>Built - tested</v>
      </c>
      <c r="AF47" s="42" t="str">
        <f>IFERROR(INDEX('Task Register'!$AU$2:$AU$771,MATCH(B47,'Task Register'!$A$2:$A$771,0)),"")</f>
        <v>Pass</v>
      </c>
      <c r="AG47" s="42" t="s">
        <v>827</v>
      </c>
      <c r="AH47" s="42"/>
      <c r="AI47" s="42" t="s">
        <v>1069</v>
      </c>
      <c r="AJ47" s="42" t="s">
        <v>240</v>
      </c>
    </row>
    <row r="48" spans="1:36" ht="118" customHeight="1" x14ac:dyDescent="0.35">
      <c r="A48" s="38" t="s">
        <v>679</v>
      </c>
      <c r="B48" s="38" t="s">
        <v>245</v>
      </c>
      <c r="C48" s="38" t="s">
        <v>246</v>
      </c>
      <c r="D48" s="38">
        <v>2</v>
      </c>
      <c r="E48" s="38" t="s">
        <v>135</v>
      </c>
      <c r="F48" s="38" t="s">
        <v>982</v>
      </c>
      <c r="G48" s="38" t="s">
        <v>876</v>
      </c>
      <c r="H48" s="38" t="s">
        <v>1070</v>
      </c>
      <c r="I48" s="38" t="s">
        <v>1071</v>
      </c>
      <c r="J48" s="38" t="s">
        <v>1072</v>
      </c>
      <c r="K48" s="38" t="s">
        <v>1044</v>
      </c>
      <c r="L48" s="39" t="s">
        <v>825</v>
      </c>
      <c r="M48" s="38">
        <v>5</v>
      </c>
      <c r="N48" s="38">
        <f>ROUNDUP(M48*(1+'Plan guide'!$B$6),0)</f>
        <v>6</v>
      </c>
      <c r="O48" s="40">
        <v>46434</v>
      </c>
      <c r="P48" s="40">
        <v>46441</v>
      </c>
      <c r="Q48" s="41" t="s">
        <v>791</v>
      </c>
      <c r="R48" s="41" t="s">
        <v>792</v>
      </c>
      <c r="S48" s="41" t="s">
        <v>792</v>
      </c>
      <c r="T48" s="41" t="s">
        <v>793</v>
      </c>
      <c r="U48" s="41" t="s">
        <v>793</v>
      </c>
      <c r="V48" s="42" t="str">
        <f t="shared" si="4"/>
        <v>In progress</v>
      </c>
      <c r="W48" s="43">
        <f t="shared" si="5"/>
        <v>0.2</v>
      </c>
      <c r="X48" s="30"/>
      <c r="Y48" s="30"/>
      <c r="Z48" s="42">
        <f t="shared" ca="1" si="6"/>
        <v>0</v>
      </c>
      <c r="AA48" s="42" t="str">
        <f t="shared" ca="1" si="7"/>
        <v>Green</v>
      </c>
      <c r="AB48" s="49" t="s">
        <v>1073</v>
      </c>
      <c r="AC48" s="49" t="s">
        <v>795</v>
      </c>
      <c r="AD48" s="49" t="s">
        <v>1074</v>
      </c>
      <c r="AE48" s="42" t="str">
        <f>IFERROR(INDEX('Task Register'!$AJ$2:$AJ$771,MATCH(B48,'Task Register'!$A$2:$A$771,0)),"")</f>
        <v>Built - partial</v>
      </c>
      <c r="AF48" s="42" t="str">
        <f>IFERROR(INDEX('Task Register'!$AU$2:$AU$771,MATCH(B48,'Task Register'!$A$2:$A$771,0)),"")</f>
        <v>Partial</v>
      </c>
      <c r="AG48" s="42" t="s">
        <v>827</v>
      </c>
      <c r="AH48" s="42"/>
      <c r="AI48" s="42" t="s">
        <v>1075</v>
      </c>
      <c r="AJ48" s="42" t="s">
        <v>245</v>
      </c>
    </row>
    <row r="49" spans="1:36" ht="118" customHeight="1" x14ac:dyDescent="0.35">
      <c r="A49" s="38" t="s">
        <v>683</v>
      </c>
      <c r="B49" s="38" t="s">
        <v>254</v>
      </c>
      <c r="C49" s="38" t="s">
        <v>255</v>
      </c>
      <c r="D49" s="38">
        <v>2</v>
      </c>
      <c r="E49" s="38" t="s">
        <v>135</v>
      </c>
      <c r="F49" s="38" t="s">
        <v>940</v>
      </c>
      <c r="G49" s="38" t="s">
        <v>876</v>
      </c>
      <c r="H49" s="38" t="s">
        <v>1076</v>
      </c>
      <c r="I49" s="38" t="s">
        <v>1077</v>
      </c>
      <c r="J49" s="38" t="s">
        <v>1078</v>
      </c>
      <c r="K49" s="38" t="s">
        <v>1044</v>
      </c>
      <c r="L49" s="39" t="s">
        <v>790</v>
      </c>
      <c r="M49" s="38">
        <v>3</v>
      </c>
      <c r="N49" s="38">
        <f>ROUNDUP(M49*(1+'Plan guide'!$B$6),0)</f>
        <v>4</v>
      </c>
      <c r="O49" s="40">
        <v>46442</v>
      </c>
      <c r="P49" s="40">
        <v>46447</v>
      </c>
      <c r="Q49" s="41" t="s">
        <v>791</v>
      </c>
      <c r="R49" s="41" t="s">
        <v>791</v>
      </c>
      <c r="S49" s="41" t="s">
        <v>791</v>
      </c>
      <c r="T49" s="41" t="s">
        <v>792</v>
      </c>
      <c r="U49" s="41" t="s">
        <v>791</v>
      </c>
      <c r="V49" s="42" t="str">
        <f t="shared" si="4"/>
        <v>In progress</v>
      </c>
      <c r="W49" s="43">
        <f t="shared" si="5"/>
        <v>0.8</v>
      </c>
      <c r="X49" s="30"/>
      <c r="Y49" s="30"/>
      <c r="Z49" s="42">
        <f t="shared" ca="1" si="6"/>
        <v>0</v>
      </c>
      <c r="AA49" s="42" t="str">
        <f t="shared" ca="1" si="7"/>
        <v>Green</v>
      </c>
      <c r="AB49" s="49" t="s">
        <v>794</v>
      </c>
      <c r="AC49" s="49" t="s">
        <v>795</v>
      </c>
      <c r="AD49" s="49" t="s">
        <v>1079</v>
      </c>
      <c r="AE49" s="42" t="str">
        <f>IFERROR(INDEX('Task Register'!$AJ$2:$AJ$771,MATCH(B49,'Task Register'!$A$2:$A$771,0)),"")</f>
        <v>Built - tested</v>
      </c>
      <c r="AF49" s="42" t="str">
        <f>IFERROR(INDEX('Task Register'!$AU$2:$AU$771,MATCH(B49,'Task Register'!$A$2:$A$771,0)),"")</f>
        <v>Pass</v>
      </c>
      <c r="AG49" s="42" t="s">
        <v>827</v>
      </c>
      <c r="AH49" s="42"/>
      <c r="AI49" s="42" t="s">
        <v>1080</v>
      </c>
      <c r="AJ49" s="42" t="s">
        <v>254</v>
      </c>
    </row>
    <row r="50" spans="1:36" ht="118" customHeight="1" x14ac:dyDescent="0.35">
      <c r="A50" s="38" t="s">
        <v>687</v>
      </c>
      <c r="B50" s="38" t="s">
        <v>269</v>
      </c>
      <c r="C50" s="38" t="s">
        <v>270</v>
      </c>
      <c r="D50" s="38">
        <v>2</v>
      </c>
      <c r="E50" s="38" t="s">
        <v>135</v>
      </c>
      <c r="F50" s="38" t="s">
        <v>982</v>
      </c>
      <c r="G50" s="38" t="s">
        <v>876</v>
      </c>
      <c r="H50" s="38" t="s">
        <v>1081</v>
      </c>
      <c r="I50" s="38" t="s">
        <v>1082</v>
      </c>
      <c r="J50" s="38" t="s">
        <v>1083</v>
      </c>
      <c r="K50" s="38" t="s">
        <v>1044</v>
      </c>
      <c r="L50" s="39" t="s">
        <v>825</v>
      </c>
      <c r="M50" s="38">
        <v>2</v>
      </c>
      <c r="N50" s="38">
        <f>ROUNDUP(M50*(1+'Plan guide'!$B$6),0)</f>
        <v>3</v>
      </c>
      <c r="O50" s="40">
        <v>46442</v>
      </c>
      <c r="P50" s="40">
        <v>46444</v>
      </c>
      <c r="Q50" s="41" t="s">
        <v>791</v>
      </c>
      <c r="R50" s="41" t="s">
        <v>792</v>
      </c>
      <c r="S50" s="41" t="s">
        <v>793</v>
      </c>
      <c r="T50" s="41" t="s">
        <v>793</v>
      </c>
      <c r="U50" s="41" t="s">
        <v>793</v>
      </c>
      <c r="V50" s="42" t="str">
        <f t="shared" si="4"/>
        <v>In progress</v>
      </c>
      <c r="W50" s="43">
        <f t="shared" si="5"/>
        <v>0.2</v>
      </c>
      <c r="X50" s="30"/>
      <c r="Y50" s="30"/>
      <c r="Z50" s="42">
        <f t="shared" ca="1" si="6"/>
        <v>0</v>
      </c>
      <c r="AA50" s="42" t="str">
        <f t="shared" ca="1" si="7"/>
        <v>Green</v>
      </c>
      <c r="AB50" s="49" t="s">
        <v>1084</v>
      </c>
      <c r="AC50" s="49" t="s">
        <v>795</v>
      </c>
      <c r="AD50" s="49" t="s">
        <v>1085</v>
      </c>
      <c r="AE50" s="42" t="str">
        <f>IFERROR(INDEX('Task Register'!$AJ$2:$AJ$771,MATCH(B50,'Task Register'!$A$2:$A$771,0)),"")</f>
        <v>Built - partial</v>
      </c>
      <c r="AF50" s="42" t="str">
        <f>IFERROR(INDEX('Task Register'!$AU$2:$AU$771,MATCH(B50,'Task Register'!$A$2:$A$771,0)),"")</f>
        <v>Partial</v>
      </c>
      <c r="AG50" s="42" t="s">
        <v>827</v>
      </c>
      <c r="AH50" s="42"/>
      <c r="AI50" s="42" t="s">
        <v>1086</v>
      </c>
      <c r="AJ50" s="42" t="s">
        <v>269</v>
      </c>
    </row>
    <row r="51" spans="1:36" ht="118" customHeight="1" x14ac:dyDescent="0.35">
      <c r="A51" s="38" t="s">
        <v>1087</v>
      </c>
      <c r="B51" s="38" t="s">
        <v>435</v>
      </c>
      <c r="C51" s="38" t="s">
        <v>436</v>
      </c>
      <c r="D51" s="38">
        <v>2</v>
      </c>
      <c r="E51" s="38" t="s">
        <v>135</v>
      </c>
      <c r="F51" s="38" t="s">
        <v>814</v>
      </c>
      <c r="G51" s="38" t="s">
        <v>876</v>
      </c>
      <c r="H51" s="38" t="s">
        <v>1088</v>
      </c>
      <c r="I51" s="38" t="s">
        <v>1089</v>
      </c>
      <c r="J51" s="38" t="s">
        <v>1090</v>
      </c>
      <c r="K51" s="38" t="s">
        <v>1091</v>
      </c>
      <c r="L51" s="39" t="s">
        <v>825</v>
      </c>
      <c r="M51" s="38">
        <v>3</v>
      </c>
      <c r="N51" s="38">
        <f>ROUNDUP(M51*(1+'Plan guide'!$B$6),0)</f>
        <v>4</v>
      </c>
      <c r="O51" s="40">
        <v>46447</v>
      </c>
      <c r="P51" s="40">
        <v>46450</v>
      </c>
      <c r="Q51" s="41" t="s">
        <v>791</v>
      </c>
      <c r="R51" s="41" t="s">
        <v>792</v>
      </c>
      <c r="S51" s="41" t="s">
        <v>793</v>
      </c>
      <c r="T51" s="41" t="s">
        <v>793</v>
      </c>
      <c r="U51" s="41" t="s">
        <v>793</v>
      </c>
      <c r="V51" s="42" t="str">
        <f t="shared" si="4"/>
        <v>In progress</v>
      </c>
      <c r="W51" s="43">
        <f t="shared" si="5"/>
        <v>0.2</v>
      </c>
      <c r="X51" s="30"/>
      <c r="Y51" s="30"/>
      <c r="Z51" s="42">
        <f t="shared" ca="1" si="6"/>
        <v>0</v>
      </c>
      <c r="AA51" s="42" t="str">
        <f t="shared" ca="1" si="7"/>
        <v>Green</v>
      </c>
      <c r="AB51" s="49" t="s">
        <v>1092</v>
      </c>
      <c r="AC51" s="49" t="s">
        <v>795</v>
      </c>
      <c r="AD51" s="49" t="s">
        <v>1093</v>
      </c>
      <c r="AE51" s="42" t="str">
        <f>IFERROR(INDEX('Task Register'!$AJ$2:$AJ$771,MATCH(B51,'Task Register'!$A$2:$A$771,0)),"")</f>
        <v>Built - partial</v>
      </c>
      <c r="AF51" s="42" t="str">
        <f>IFERROR(INDEX('Task Register'!$AU$2:$AU$771,MATCH(B51,'Task Register'!$A$2:$A$771,0)),"")</f>
        <v>Not run</v>
      </c>
      <c r="AG51" s="42" t="s">
        <v>827</v>
      </c>
      <c r="AH51" s="42"/>
      <c r="AI51" s="42" t="s">
        <v>995</v>
      </c>
      <c r="AJ51" s="42" t="s">
        <v>435</v>
      </c>
    </row>
    <row r="52" spans="1:36" ht="118" customHeight="1" x14ac:dyDescent="0.35">
      <c r="A52" s="38" t="s">
        <v>1094</v>
      </c>
      <c r="B52" s="38" t="s">
        <v>325</v>
      </c>
      <c r="C52" s="38" t="s">
        <v>326</v>
      </c>
      <c r="D52" s="38">
        <v>2</v>
      </c>
      <c r="E52" s="38" t="s">
        <v>135</v>
      </c>
      <c r="F52" s="38" t="s">
        <v>982</v>
      </c>
      <c r="G52" s="38" t="s">
        <v>1095</v>
      </c>
      <c r="H52" s="38" t="s">
        <v>329</v>
      </c>
      <c r="I52" s="38" t="s">
        <v>1096</v>
      </c>
      <c r="J52" s="38" t="s">
        <v>1097</v>
      </c>
      <c r="K52" s="38" t="s">
        <v>1098</v>
      </c>
      <c r="L52" s="39" t="s">
        <v>790</v>
      </c>
      <c r="M52" s="38">
        <v>1</v>
      </c>
      <c r="N52" s="38">
        <f>ROUNDUP(M52*(1+'Plan guide'!$B$6),0)</f>
        <v>2</v>
      </c>
      <c r="O52" s="40">
        <v>46448</v>
      </c>
      <c r="P52" s="40">
        <v>46449</v>
      </c>
      <c r="Q52" s="41" t="s">
        <v>791</v>
      </c>
      <c r="R52" s="41" t="s">
        <v>792</v>
      </c>
      <c r="S52" s="41" t="s">
        <v>792</v>
      </c>
      <c r="T52" s="41" t="s">
        <v>793</v>
      </c>
      <c r="U52" s="41" t="s">
        <v>793</v>
      </c>
      <c r="V52" s="42" t="str">
        <f t="shared" si="4"/>
        <v>In progress</v>
      </c>
      <c r="W52" s="43">
        <f t="shared" si="5"/>
        <v>0.2</v>
      </c>
      <c r="X52" s="30"/>
      <c r="Y52" s="30"/>
      <c r="Z52" s="42">
        <f t="shared" ca="1" si="6"/>
        <v>0</v>
      </c>
      <c r="AA52" s="42" t="str">
        <f t="shared" ca="1" si="7"/>
        <v>Green</v>
      </c>
      <c r="AB52" s="49" t="s">
        <v>1099</v>
      </c>
      <c r="AC52" s="49" t="s">
        <v>795</v>
      </c>
      <c r="AD52" s="49" t="s">
        <v>1100</v>
      </c>
      <c r="AE52" s="42" t="str">
        <f>IFERROR(INDEX('Task Register'!$AJ$2:$AJ$771,MATCH(B52,'Task Register'!$A$2:$A$771,0)),"")</f>
        <v>Built - partial</v>
      </c>
      <c r="AF52" s="42" t="str">
        <f>IFERROR(INDEX('Task Register'!$AU$2:$AU$771,MATCH(B52,'Task Register'!$A$2:$A$771,0)),"")</f>
        <v>Partial</v>
      </c>
      <c r="AG52" s="42" t="s">
        <v>1101</v>
      </c>
      <c r="AH52" s="42"/>
      <c r="AI52" s="42" t="s">
        <v>798</v>
      </c>
      <c r="AJ52" s="42" t="s">
        <v>325</v>
      </c>
    </row>
    <row r="53" spans="1:36" ht="118" customHeight="1" x14ac:dyDescent="0.35">
      <c r="A53" s="38" t="s">
        <v>1102</v>
      </c>
      <c r="B53" s="38" t="s">
        <v>397</v>
      </c>
      <c r="C53" s="38" t="s">
        <v>398</v>
      </c>
      <c r="D53" s="38">
        <v>2</v>
      </c>
      <c r="E53" s="38" t="s">
        <v>135</v>
      </c>
      <c r="F53" s="38" t="s">
        <v>982</v>
      </c>
      <c r="G53" s="38" t="s">
        <v>1103</v>
      </c>
      <c r="H53" s="38" t="s">
        <v>1104</v>
      </c>
      <c r="I53" s="38" t="s">
        <v>1105</v>
      </c>
      <c r="J53" s="38" t="s">
        <v>1106</v>
      </c>
      <c r="K53" s="38" t="s">
        <v>1098</v>
      </c>
      <c r="L53" s="39" t="s">
        <v>790</v>
      </c>
      <c r="M53" s="38">
        <v>6</v>
      </c>
      <c r="N53" s="38">
        <f>ROUNDUP(M53*(1+'Plan guide'!$B$6),0)</f>
        <v>8</v>
      </c>
      <c r="O53" s="40">
        <v>46450</v>
      </c>
      <c r="P53" s="40">
        <v>46461</v>
      </c>
      <c r="Q53" s="41" t="s">
        <v>791</v>
      </c>
      <c r="R53" s="41" t="s">
        <v>792</v>
      </c>
      <c r="S53" s="41" t="s">
        <v>792</v>
      </c>
      <c r="T53" s="41" t="s">
        <v>793</v>
      </c>
      <c r="U53" s="41" t="s">
        <v>793</v>
      </c>
      <c r="V53" s="42" t="str">
        <f t="shared" si="4"/>
        <v>In progress</v>
      </c>
      <c r="W53" s="43">
        <f t="shared" si="5"/>
        <v>0.2</v>
      </c>
      <c r="X53" s="30"/>
      <c r="Y53" s="30"/>
      <c r="Z53" s="42">
        <f t="shared" ca="1" si="6"/>
        <v>0</v>
      </c>
      <c r="AA53" s="42" t="str">
        <f t="shared" ca="1" si="7"/>
        <v>Green</v>
      </c>
      <c r="AB53" s="49" t="s">
        <v>1107</v>
      </c>
      <c r="AC53" s="49" t="s">
        <v>795</v>
      </c>
      <c r="AD53" s="49" t="s">
        <v>1108</v>
      </c>
      <c r="AE53" s="42" t="str">
        <f>IFERROR(INDEX('Task Register'!$AJ$2:$AJ$771,MATCH(B53,'Task Register'!$A$2:$A$771,0)),"")</f>
        <v>Built - partial</v>
      </c>
      <c r="AF53" s="42" t="str">
        <f>IFERROR(INDEX('Task Register'!$AU$2:$AU$771,MATCH(B53,'Task Register'!$A$2:$A$771,0)),"")</f>
        <v>Partial</v>
      </c>
      <c r="AG53" s="42" t="s">
        <v>1101</v>
      </c>
      <c r="AH53" s="42"/>
      <c r="AI53" s="42" t="s">
        <v>1109</v>
      </c>
      <c r="AJ53" s="42" t="s">
        <v>397</v>
      </c>
    </row>
    <row r="54" spans="1:36" ht="118" customHeight="1" x14ac:dyDescent="0.35">
      <c r="A54" s="38" t="s">
        <v>1110</v>
      </c>
      <c r="B54" s="38" t="s">
        <v>402</v>
      </c>
      <c r="C54" s="38" t="s">
        <v>403</v>
      </c>
      <c r="D54" s="38">
        <v>2</v>
      </c>
      <c r="E54" s="38" t="s">
        <v>135</v>
      </c>
      <c r="F54" s="38" t="s">
        <v>982</v>
      </c>
      <c r="G54" s="38" t="s">
        <v>1103</v>
      </c>
      <c r="H54" s="38" t="s">
        <v>1111</v>
      </c>
      <c r="I54" s="38" t="s">
        <v>1112</v>
      </c>
      <c r="J54" s="38" t="s">
        <v>1113</v>
      </c>
      <c r="K54" s="38" t="s">
        <v>1098</v>
      </c>
      <c r="L54" s="39" t="s">
        <v>825</v>
      </c>
      <c r="M54" s="38">
        <v>2</v>
      </c>
      <c r="N54" s="38">
        <f>ROUNDUP(M54*(1+'Plan guide'!$B$6),0)</f>
        <v>3</v>
      </c>
      <c r="O54" s="40">
        <v>46451</v>
      </c>
      <c r="P54" s="40">
        <v>46455</v>
      </c>
      <c r="Q54" s="41" t="s">
        <v>791</v>
      </c>
      <c r="R54" s="41" t="s">
        <v>791</v>
      </c>
      <c r="S54" s="41" t="s">
        <v>792</v>
      </c>
      <c r="T54" s="41" t="s">
        <v>792</v>
      </c>
      <c r="U54" s="41" t="s">
        <v>793</v>
      </c>
      <c r="V54" s="42" t="str">
        <f t="shared" si="4"/>
        <v>In progress</v>
      </c>
      <c r="W54" s="43">
        <f t="shared" si="5"/>
        <v>0.4</v>
      </c>
      <c r="X54" s="30"/>
      <c r="Y54" s="30"/>
      <c r="Z54" s="42">
        <f t="shared" ca="1" si="6"/>
        <v>0</v>
      </c>
      <c r="AA54" s="42" t="str">
        <f t="shared" ca="1" si="7"/>
        <v>Green</v>
      </c>
      <c r="AB54" s="49" t="s">
        <v>794</v>
      </c>
      <c r="AC54" s="49" t="s">
        <v>795</v>
      </c>
      <c r="AD54" s="49" t="s">
        <v>1114</v>
      </c>
      <c r="AE54" s="42" t="str">
        <f>IFERROR(INDEX('Task Register'!$AJ$2:$AJ$771,MATCH(B54,'Task Register'!$A$2:$A$771,0)),"")</f>
        <v>Built - partial</v>
      </c>
      <c r="AF54" s="42" t="str">
        <f>IFERROR(INDEX('Task Register'!$AU$2:$AU$771,MATCH(B54,'Task Register'!$A$2:$A$771,0)),"")</f>
        <v>Not run</v>
      </c>
      <c r="AG54" s="42" t="s">
        <v>1101</v>
      </c>
      <c r="AH54" s="42"/>
      <c r="AI54" s="42" t="s">
        <v>1109</v>
      </c>
      <c r="AJ54" s="42" t="s">
        <v>402</v>
      </c>
    </row>
    <row r="55" spans="1:36" ht="118" customHeight="1" x14ac:dyDescent="0.35">
      <c r="A55" s="38" t="s">
        <v>695</v>
      </c>
      <c r="B55" s="38" t="s">
        <v>407</v>
      </c>
      <c r="C55" s="38" t="s">
        <v>408</v>
      </c>
      <c r="D55" s="38">
        <v>2</v>
      </c>
      <c r="E55" s="38" t="s">
        <v>135</v>
      </c>
      <c r="F55" s="38" t="s">
        <v>1115</v>
      </c>
      <c r="G55" s="38" t="s">
        <v>876</v>
      </c>
      <c r="H55" s="38" t="s">
        <v>1116</v>
      </c>
      <c r="I55" s="38" t="s">
        <v>1117</v>
      </c>
      <c r="J55" s="38" t="s">
        <v>1118</v>
      </c>
      <c r="K55" s="38" t="s">
        <v>1044</v>
      </c>
      <c r="L55" s="39" t="s">
        <v>825</v>
      </c>
      <c r="M55" s="38">
        <v>5</v>
      </c>
      <c r="N55" s="38">
        <f>ROUNDUP(M55*(1+'Plan guide'!$B$6),0)</f>
        <v>6</v>
      </c>
      <c r="O55" s="40">
        <v>46456</v>
      </c>
      <c r="P55" s="40">
        <v>46463</v>
      </c>
      <c r="Q55" s="41" t="s">
        <v>791</v>
      </c>
      <c r="R55" s="41" t="s">
        <v>792</v>
      </c>
      <c r="S55" s="41" t="s">
        <v>792</v>
      </c>
      <c r="T55" s="41" t="s">
        <v>793</v>
      </c>
      <c r="U55" s="41" t="s">
        <v>793</v>
      </c>
      <c r="V55" s="42" t="str">
        <f t="shared" si="4"/>
        <v>In progress</v>
      </c>
      <c r="W55" s="43">
        <f t="shared" si="5"/>
        <v>0.2</v>
      </c>
      <c r="X55" s="30"/>
      <c r="Y55" s="30"/>
      <c r="Z55" s="42">
        <f t="shared" ca="1" si="6"/>
        <v>0</v>
      </c>
      <c r="AA55" s="42" t="str">
        <f t="shared" ca="1" si="7"/>
        <v>Green</v>
      </c>
      <c r="AB55" s="49" t="s">
        <v>1119</v>
      </c>
      <c r="AC55" s="49" t="s">
        <v>795</v>
      </c>
      <c r="AD55" s="49" t="s">
        <v>1120</v>
      </c>
      <c r="AE55" s="42" t="str">
        <f>IFERROR(INDEX('Task Register'!$AJ$2:$AJ$771,MATCH(B55,'Task Register'!$A$2:$A$771,0)),"")</f>
        <v>Built - partial</v>
      </c>
      <c r="AF55" s="42" t="str">
        <f>IFERROR(INDEX('Task Register'!$AU$2:$AU$771,MATCH(B55,'Task Register'!$A$2:$A$771,0)),"")</f>
        <v>Partial</v>
      </c>
      <c r="AG55" s="42" t="s">
        <v>827</v>
      </c>
      <c r="AH55" s="42"/>
      <c r="AI55" s="42" t="s">
        <v>1121</v>
      </c>
      <c r="AJ55" s="42" t="s">
        <v>407</v>
      </c>
    </row>
    <row r="56" spans="1:36" ht="118" customHeight="1" x14ac:dyDescent="0.35">
      <c r="A56" s="38" t="s">
        <v>1122</v>
      </c>
      <c r="B56" s="38" t="s">
        <v>145</v>
      </c>
      <c r="C56" s="38" t="s">
        <v>1123</v>
      </c>
      <c r="D56" s="38">
        <v>2</v>
      </c>
      <c r="E56" s="38" t="s">
        <v>135</v>
      </c>
      <c r="F56" s="38" t="s">
        <v>1115</v>
      </c>
      <c r="G56" s="38" t="s">
        <v>821</v>
      </c>
      <c r="H56" s="38" t="s">
        <v>1124</v>
      </c>
      <c r="I56" s="38" t="s">
        <v>1125</v>
      </c>
      <c r="J56" s="38" t="s">
        <v>1126</v>
      </c>
      <c r="K56" s="38" t="s">
        <v>1044</v>
      </c>
      <c r="L56" s="39" t="s">
        <v>790</v>
      </c>
      <c r="M56" s="38">
        <v>1</v>
      </c>
      <c r="N56" s="38">
        <f>ROUNDUP(M56*(1+'Plan guide'!$B$6),0)</f>
        <v>2</v>
      </c>
      <c r="O56" s="40">
        <v>46462</v>
      </c>
      <c r="P56" s="40">
        <v>46463</v>
      </c>
      <c r="Q56" s="41" t="s">
        <v>791</v>
      </c>
      <c r="R56" s="41" t="s">
        <v>791</v>
      </c>
      <c r="S56" s="41" t="s">
        <v>791</v>
      </c>
      <c r="T56" s="41" t="s">
        <v>792</v>
      </c>
      <c r="U56" s="41" t="s">
        <v>791</v>
      </c>
      <c r="V56" s="42" t="str">
        <f t="shared" si="4"/>
        <v>In progress</v>
      </c>
      <c r="W56" s="43">
        <f t="shared" si="5"/>
        <v>0.8</v>
      </c>
      <c r="X56" s="30"/>
      <c r="Y56" s="30"/>
      <c r="Z56" s="42">
        <f t="shared" ca="1" si="6"/>
        <v>0</v>
      </c>
      <c r="AA56" s="42" t="str">
        <f t="shared" ca="1" si="7"/>
        <v>Green</v>
      </c>
      <c r="AB56" s="49" t="s">
        <v>794</v>
      </c>
      <c r="AC56" s="49" t="s">
        <v>795</v>
      </c>
      <c r="AD56" s="49" t="s">
        <v>1127</v>
      </c>
      <c r="AE56" s="42" t="str">
        <f>IFERROR(INDEX('Task Register'!$AJ$2:$AJ$771,MATCH(B56,'Task Register'!$A$2:$A$771,0)),"")</f>
        <v>Built - tested</v>
      </c>
      <c r="AF56" s="42" t="str">
        <f>IFERROR(INDEX('Task Register'!$AU$2:$AU$771,MATCH(B56,'Task Register'!$A$2:$A$771,0)),"")</f>
        <v>Pass</v>
      </c>
      <c r="AG56" s="42" t="s">
        <v>827</v>
      </c>
      <c r="AH56" s="42"/>
      <c r="AI56" s="42" t="s">
        <v>1128</v>
      </c>
      <c r="AJ56" s="42" t="s">
        <v>145</v>
      </c>
    </row>
    <row r="57" spans="1:36" ht="118" customHeight="1" x14ac:dyDescent="0.35">
      <c r="A57" s="38" t="s">
        <v>1129</v>
      </c>
      <c r="B57" s="38" t="s">
        <v>151</v>
      </c>
      <c r="C57" s="38" t="s">
        <v>1130</v>
      </c>
      <c r="D57" s="38">
        <v>2</v>
      </c>
      <c r="E57" s="38" t="s">
        <v>135</v>
      </c>
      <c r="F57" s="38" t="s">
        <v>1115</v>
      </c>
      <c r="G57" s="38" t="s">
        <v>821</v>
      </c>
      <c r="H57" s="38" t="s">
        <v>1131</v>
      </c>
      <c r="I57" s="38" t="s">
        <v>1132</v>
      </c>
      <c r="J57" s="38" t="s">
        <v>1133</v>
      </c>
      <c r="K57" s="38" t="s">
        <v>1044</v>
      </c>
      <c r="L57" s="39" t="s">
        <v>790</v>
      </c>
      <c r="M57" s="38">
        <v>1</v>
      </c>
      <c r="N57" s="38">
        <f>ROUNDUP(M57*(1+'Plan guide'!$B$6),0)</f>
        <v>2</v>
      </c>
      <c r="O57" s="40">
        <v>46464</v>
      </c>
      <c r="P57" s="40">
        <v>46465</v>
      </c>
      <c r="Q57" s="41" t="s">
        <v>791</v>
      </c>
      <c r="R57" s="41" t="s">
        <v>792</v>
      </c>
      <c r="S57" s="41" t="s">
        <v>792</v>
      </c>
      <c r="T57" s="41" t="s">
        <v>793</v>
      </c>
      <c r="U57" s="41" t="s">
        <v>793</v>
      </c>
      <c r="V57" s="42" t="str">
        <f t="shared" si="4"/>
        <v>In progress</v>
      </c>
      <c r="W57" s="43">
        <f t="shared" si="5"/>
        <v>0.2</v>
      </c>
      <c r="X57" s="30"/>
      <c r="Y57" s="30"/>
      <c r="Z57" s="42">
        <f t="shared" ca="1" si="6"/>
        <v>0</v>
      </c>
      <c r="AA57" s="42" t="str">
        <f t="shared" ca="1" si="7"/>
        <v>Green</v>
      </c>
      <c r="AB57" s="49" t="s">
        <v>1134</v>
      </c>
      <c r="AC57" s="49" t="s">
        <v>795</v>
      </c>
      <c r="AD57" s="49" t="s">
        <v>1135</v>
      </c>
      <c r="AE57" s="42" t="str">
        <f>IFERROR(INDEX('Task Register'!$AJ$2:$AJ$771,MATCH(B57,'Task Register'!$A$2:$A$771,0)),"")</f>
        <v>Built - partial</v>
      </c>
      <c r="AF57" s="42" t="str">
        <f>IFERROR(INDEX('Task Register'!$AU$2:$AU$771,MATCH(B57,'Task Register'!$A$2:$A$771,0)),"")</f>
        <v>Partial</v>
      </c>
      <c r="AG57" s="42" t="s">
        <v>827</v>
      </c>
      <c r="AH57" s="42"/>
      <c r="AI57" s="42" t="s">
        <v>1128</v>
      </c>
      <c r="AJ57" s="42" t="s">
        <v>151</v>
      </c>
    </row>
    <row r="58" spans="1:36" ht="118" customHeight="1" x14ac:dyDescent="0.35">
      <c r="A58" s="38" t="s">
        <v>1136</v>
      </c>
      <c r="B58" s="38" t="s">
        <v>156</v>
      </c>
      <c r="C58" s="38" t="s">
        <v>1137</v>
      </c>
      <c r="D58" s="38">
        <v>2</v>
      </c>
      <c r="E58" s="38" t="s">
        <v>135</v>
      </c>
      <c r="F58" s="38" t="s">
        <v>1115</v>
      </c>
      <c r="G58" s="38" t="s">
        <v>821</v>
      </c>
      <c r="H58" s="38" t="s">
        <v>1138</v>
      </c>
      <c r="I58" s="38" t="s">
        <v>1139</v>
      </c>
      <c r="J58" s="38" t="s">
        <v>1140</v>
      </c>
      <c r="K58" s="38" t="s">
        <v>1044</v>
      </c>
      <c r="L58" s="39" t="s">
        <v>825</v>
      </c>
      <c r="M58" s="38">
        <v>1</v>
      </c>
      <c r="N58" s="38">
        <f>ROUNDUP(M58*(1+'Plan guide'!$B$6),0)</f>
        <v>2</v>
      </c>
      <c r="O58" s="40">
        <v>46464</v>
      </c>
      <c r="P58" s="40">
        <v>46465</v>
      </c>
      <c r="Q58" s="41" t="s">
        <v>791</v>
      </c>
      <c r="R58" s="41" t="s">
        <v>792</v>
      </c>
      <c r="S58" s="41" t="s">
        <v>792</v>
      </c>
      <c r="T58" s="41" t="s">
        <v>793</v>
      </c>
      <c r="U58" s="41" t="s">
        <v>793</v>
      </c>
      <c r="V58" s="42" t="str">
        <f t="shared" si="4"/>
        <v>In progress</v>
      </c>
      <c r="W58" s="43">
        <f t="shared" si="5"/>
        <v>0.2</v>
      </c>
      <c r="X58" s="30"/>
      <c r="Y58" s="30"/>
      <c r="Z58" s="42">
        <f t="shared" ca="1" si="6"/>
        <v>0</v>
      </c>
      <c r="AA58" s="42" t="str">
        <f t="shared" ca="1" si="7"/>
        <v>Green</v>
      </c>
      <c r="AB58" s="49" t="s">
        <v>1141</v>
      </c>
      <c r="AC58" s="49" t="s">
        <v>795</v>
      </c>
      <c r="AD58" s="49" t="s">
        <v>1142</v>
      </c>
      <c r="AE58" s="42" t="str">
        <f>IFERROR(INDEX('Task Register'!$AJ$2:$AJ$771,MATCH(B58,'Task Register'!$A$2:$A$771,0)),"")</f>
        <v>Built - partial</v>
      </c>
      <c r="AF58" s="42" t="str">
        <f>IFERROR(INDEX('Task Register'!$AU$2:$AU$771,MATCH(B58,'Task Register'!$A$2:$A$771,0)),"")</f>
        <v>Partial</v>
      </c>
      <c r="AG58" s="42" t="s">
        <v>827</v>
      </c>
      <c r="AH58" s="42"/>
      <c r="AI58" s="42" t="s">
        <v>1128</v>
      </c>
      <c r="AJ58" s="42" t="s">
        <v>156</v>
      </c>
    </row>
    <row r="59" spans="1:36" ht="118" customHeight="1" x14ac:dyDescent="0.35">
      <c r="A59" s="38" t="s">
        <v>703</v>
      </c>
      <c r="B59" s="38" t="s">
        <v>1143</v>
      </c>
      <c r="C59" s="38" t="s">
        <v>1144</v>
      </c>
      <c r="D59" s="38">
        <v>2</v>
      </c>
      <c r="E59" s="38" t="s">
        <v>135</v>
      </c>
      <c r="F59" s="38" t="s">
        <v>1115</v>
      </c>
      <c r="G59" s="38" t="s">
        <v>876</v>
      </c>
      <c r="H59" s="38" t="s">
        <v>1145</v>
      </c>
      <c r="I59" s="38" t="s">
        <v>1146</v>
      </c>
      <c r="J59" s="38" t="s">
        <v>1147</v>
      </c>
      <c r="K59" s="38" t="s">
        <v>1044</v>
      </c>
      <c r="L59" s="39" t="s">
        <v>790</v>
      </c>
      <c r="M59" s="38">
        <v>3</v>
      </c>
      <c r="N59" s="38">
        <f>ROUNDUP(M59*(1+'Plan guide'!$B$6),0)</f>
        <v>4</v>
      </c>
      <c r="O59" s="40">
        <v>46468</v>
      </c>
      <c r="P59" s="40">
        <v>46471</v>
      </c>
      <c r="Q59" s="41" t="s">
        <v>791</v>
      </c>
      <c r="R59" s="41" t="s">
        <v>792</v>
      </c>
      <c r="S59" s="41" t="s">
        <v>792</v>
      </c>
      <c r="T59" s="41" t="s">
        <v>793</v>
      </c>
      <c r="U59" s="41" t="s">
        <v>793</v>
      </c>
      <c r="V59" s="42" t="str">
        <f t="shared" si="4"/>
        <v>In progress</v>
      </c>
      <c r="W59" s="43">
        <f t="shared" si="5"/>
        <v>0.2</v>
      </c>
      <c r="X59" s="30"/>
      <c r="Y59" s="30"/>
      <c r="Z59" s="42">
        <f t="shared" ca="1" si="6"/>
        <v>0</v>
      </c>
      <c r="AA59" s="42" t="str">
        <f t="shared" ca="1" si="7"/>
        <v>Green</v>
      </c>
      <c r="AB59" s="49" t="s">
        <v>1148</v>
      </c>
      <c r="AC59" s="49" t="s">
        <v>795</v>
      </c>
      <c r="AD59" s="49" t="s">
        <v>1149</v>
      </c>
      <c r="AE59" s="42" t="str">
        <f>IFERROR(INDEX('Task Register'!$AJ$2:$AJ$771,MATCH(B59,'Task Register'!$A$2:$A$771,0)),"")</f>
        <v>Built - partial</v>
      </c>
      <c r="AF59" s="42" t="str">
        <f>IFERROR(INDEX('Task Register'!$AU$2:$AU$771,MATCH(B59,'Task Register'!$A$2:$A$771,0)),"")</f>
        <v>Partial</v>
      </c>
      <c r="AG59" s="42" t="s">
        <v>827</v>
      </c>
      <c r="AH59" s="42"/>
      <c r="AI59" s="42" t="s">
        <v>1150</v>
      </c>
      <c r="AJ59" s="42" t="s">
        <v>1143</v>
      </c>
    </row>
    <row r="60" spans="1:36" ht="118" customHeight="1" x14ac:dyDescent="0.35">
      <c r="A60" s="38" t="s">
        <v>707</v>
      </c>
      <c r="B60" s="38" t="s">
        <v>180</v>
      </c>
      <c r="C60" s="38" t="s">
        <v>1151</v>
      </c>
      <c r="D60" s="38">
        <v>2</v>
      </c>
      <c r="E60" s="38" t="s">
        <v>135</v>
      </c>
      <c r="F60" s="38" t="s">
        <v>982</v>
      </c>
      <c r="G60" s="38" t="s">
        <v>821</v>
      </c>
      <c r="H60" s="38" t="s">
        <v>1152</v>
      </c>
      <c r="I60" s="38" t="s">
        <v>1153</v>
      </c>
      <c r="J60" s="38" t="s">
        <v>1154</v>
      </c>
      <c r="K60" s="38" t="s">
        <v>1044</v>
      </c>
      <c r="L60" s="39" t="s">
        <v>825</v>
      </c>
      <c r="M60" s="38">
        <v>2</v>
      </c>
      <c r="N60" s="38">
        <f>ROUNDUP(M60*(1+'Plan guide'!$B$6),0)</f>
        <v>3</v>
      </c>
      <c r="O60" s="40">
        <v>46468</v>
      </c>
      <c r="P60" s="40">
        <v>46470</v>
      </c>
      <c r="Q60" s="41" t="s">
        <v>791</v>
      </c>
      <c r="R60" s="41" t="s">
        <v>792</v>
      </c>
      <c r="S60" s="41" t="s">
        <v>792</v>
      </c>
      <c r="T60" s="41" t="s">
        <v>793</v>
      </c>
      <c r="U60" s="41" t="s">
        <v>793</v>
      </c>
      <c r="V60" s="42" t="str">
        <f t="shared" si="4"/>
        <v>In progress</v>
      </c>
      <c r="W60" s="43">
        <f t="shared" si="5"/>
        <v>0.2</v>
      </c>
      <c r="X60" s="30"/>
      <c r="Y60" s="30"/>
      <c r="Z60" s="42">
        <f t="shared" ca="1" si="6"/>
        <v>0</v>
      </c>
      <c r="AA60" s="42" t="str">
        <f t="shared" ca="1" si="7"/>
        <v>Green</v>
      </c>
      <c r="AB60" s="49" t="s">
        <v>1155</v>
      </c>
      <c r="AC60" s="49" t="s">
        <v>795</v>
      </c>
      <c r="AD60" s="49" t="s">
        <v>1156</v>
      </c>
      <c r="AE60" s="42" t="str">
        <f>IFERROR(INDEX('Task Register'!$AJ$2:$AJ$771,MATCH(B60,'Task Register'!$A$2:$A$771,0)),"")</f>
        <v>Built - partial</v>
      </c>
      <c r="AF60" s="42" t="str">
        <f>IFERROR(INDEX('Task Register'!$AU$2:$AU$771,MATCH(B60,'Task Register'!$A$2:$A$771,0)),"")</f>
        <v>Partial</v>
      </c>
      <c r="AG60" s="42" t="s">
        <v>827</v>
      </c>
      <c r="AH60" s="42"/>
      <c r="AI60" s="42" t="s">
        <v>1157</v>
      </c>
      <c r="AJ60" s="42" t="s">
        <v>180</v>
      </c>
    </row>
    <row r="61" spans="1:36" ht="118" customHeight="1" x14ac:dyDescent="0.35">
      <c r="A61" s="38" t="s">
        <v>1158</v>
      </c>
      <c r="B61" s="38" t="s">
        <v>186</v>
      </c>
      <c r="C61" s="38" t="s">
        <v>187</v>
      </c>
      <c r="D61" s="38">
        <v>2</v>
      </c>
      <c r="E61" s="38" t="s">
        <v>135</v>
      </c>
      <c r="F61" s="38" t="s">
        <v>982</v>
      </c>
      <c r="G61" s="38" t="s">
        <v>1095</v>
      </c>
      <c r="H61" s="38" t="s">
        <v>1159</v>
      </c>
      <c r="I61" s="38" t="s">
        <v>1160</v>
      </c>
      <c r="J61" s="38" t="s">
        <v>1161</v>
      </c>
      <c r="K61" s="38" t="s">
        <v>1098</v>
      </c>
      <c r="L61" s="39" t="s">
        <v>825</v>
      </c>
      <c r="M61" s="38">
        <v>3</v>
      </c>
      <c r="N61" s="38">
        <f>ROUNDUP(M61*(1+'Plan guide'!$B$6),0)</f>
        <v>4</v>
      </c>
      <c r="O61" s="40">
        <v>46471</v>
      </c>
      <c r="P61" s="40">
        <v>46476</v>
      </c>
      <c r="Q61" s="41" t="s">
        <v>791</v>
      </c>
      <c r="R61" s="41" t="s">
        <v>792</v>
      </c>
      <c r="S61" s="41" t="s">
        <v>792</v>
      </c>
      <c r="T61" s="41" t="s">
        <v>793</v>
      </c>
      <c r="U61" s="41" t="s">
        <v>793</v>
      </c>
      <c r="V61" s="42" t="str">
        <f t="shared" si="4"/>
        <v>In progress</v>
      </c>
      <c r="W61" s="43">
        <f t="shared" si="5"/>
        <v>0.2</v>
      </c>
      <c r="X61" s="30"/>
      <c r="Y61" s="30"/>
      <c r="Z61" s="42">
        <f t="shared" ca="1" si="6"/>
        <v>0</v>
      </c>
      <c r="AA61" s="42" t="str">
        <f t="shared" ca="1" si="7"/>
        <v>Green</v>
      </c>
      <c r="AB61" s="49" t="s">
        <v>1162</v>
      </c>
      <c r="AC61" s="49" t="s">
        <v>795</v>
      </c>
      <c r="AD61" s="49" t="s">
        <v>1163</v>
      </c>
      <c r="AE61" s="42" t="str">
        <f>IFERROR(INDEX('Task Register'!$AJ$2:$AJ$771,MATCH(B61,'Task Register'!$A$2:$A$771,0)),"")</f>
        <v>Built - partial</v>
      </c>
      <c r="AF61" s="42" t="str">
        <f>IFERROR(INDEX('Task Register'!$AU$2:$AU$771,MATCH(B61,'Task Register'!$A$2:$A$771,0)),"")</f>
        <v>Partial</v>
      </c>
      <c r="AG61" s="42" t="s">
        <v>1101</v>
      </c>
      <c r="AH61" s="42"/>
      <c r="AI61" s="42" t="s">
        <v>798</v>
      </c>
      <c r="AJ61" s="42" t="s">
        <v>186</v>
      </c>
    </row>
    <row r="62" spans="1:36" ht="118" customHeight="1" x14ac:dyDescent="0.35">
      <c r="A62" s="38" t="s">
        <v>711</v>
      </c>
      <c r="B62" s="38" t="s">
        <v>192</v>
      </c>
      <c r="C62" s="38" t="s">
        <v>193</v>
      </c>
      <c r="D62" s="38">
        <v>2</v>
      </c>
      <c r="E62" s="38" t="s">
        <v>135</v>
      </c>
      <c r="F62" s="38" t="s">
        <v>982</v>
      </c>
      <c r="G62" s="38" t="s">
        <v>1095</v>
      </c>
      <c r="H62" s="38" t="s">
        <v>1164</v>
      </c>
      <c r="I62" s="38" t="s">
        <v>1165</v>
      </c>
      <c r="J62" s="38" t="s">
        <v>1166</v>
      </c>
      <c r="K62" s="38" t="s">
        <v>1167</v>
      </c>
      <c r="L62" s="39" t="s">
        <v>790</v>
      </c>
      <c r="M62" s="38">
        <v>3</v>
      </c>
      <c r="N62" s="38">
        <f>ROUNDUP(M62*(1+'Plan guide'!$B$6),0)</f>
        <v>4</v>
      </c>
      <c r="O62" s="40">
        <v>46472</v>
      </c>
      <c r="P62" s="40">
        <v>46477</v>
      </c>
      <c r="Q62" s="41" t="s">
        <v>791</v>
      </c>
      <c r="R62" s="41" t="s">
        <v>792</v>
      </c>
      <c r="S62" s="41" t="s">
        <v>792</v>
      </c>
      <c r="T62" s="41" t="s">
        <v>793</v>
      </c>
      <c r="U62" s="41" t="s">
        <v>793</v>
      </c>
      <c r="V62" s="42" t="str">
        <f t="shared" si="4"/>
        <v>In progress</v>
      </c>
      <c r="W62" s="43">
        <f t="shared" si="5"/>
        <v>0.2</v>
      </c>
      <c r="X62" s="30"/>
      <c r="Y62" s="30"/>
      <c r="Z62" s="42">
        <f t="shared" ca="1" si="6"/>
        <v>0</v>
      </c>
      <c r="AA62" s="42" t="str">
        <f t="shared" ca="1" si="7"/>
        <v>Green</v>
      </c>
      <c r="AB62" s="49" t="s">
        <v>1168</v>
      </c>
      <c r="AC62" s="49" t="s">
        <v>795</v>
      </c>
      <c r="AD62" s="49" t="s">
        <v>1169</v>
      </c>
      <c r="AE62" s="42" t="str">
        <f>IFERROR(INDEX('Task Register'!$AJ$2:$AJ$771,MATCH(B62,'Task Register'!$A$2:$A$771,0)),"")</f>
        <v>Built - partial</v>
      </c>
      <c r="AF62" s="42" t="str">
        <f>IFERROR(INDEX('Task Register'!$AU$2:$AU$771,MATCH(B62,'Task Register'!$A$2:$A$771,0)),"")</f>
        <v>Partial</v>
      </c>
      <c r="AG62" s="42" t="s">
        <v>1101</v>
      </c>
      <c r="AH62" s="42"/>
      <c r="AI62" s="42" t="s">
        <v>1170</v>
      </c>
      <c r="AJ62" s="42" t="s">
        <v>192</v>
      </c>
    </row>
    <row r="63" spans="1:36" ht="118" customHeight="1" x14ac:dyDescent="0.35">
      <c r="A63" s="38" t="s">
        <v>1171</v>
      </c>
      <c r="B63" s="38" t="s">
        <v>196</v>
      </c>
      <c r="C63" s="38" t="s">
        <v>197</v>
      </c>
      <c r="D63" s="38">
        <v>2</v>
      </c>
      <c r="E63" s="38" t="s">
        <v>135</v>
      </c>
      <c r="F63" s="38" t="s">
        <v>982</v>
      </c>
      <c r="G63" s="38" t="s">
        <v>1095</v>
      </c>
      <c r="H63" s="38" t="s">
        <v>1172</v>
      </c>
      <c r="I63" s="38" t="s">
        <v>1173</v>
      </c>
      <c r="J63" s="38" t="s">
        <v>1174</v>
      </c>
      <c r="K63" s="38" t="s">
        <v>1098</v>
      </c>
      <c r="L63" s="39" t="s">
        <v>825</v>
      </c>
      <c r="M63" s="38">
        <v>2</v>
      </c>
      <c r="N63" s="38">
        <f>ROUNDUP(M63*(1+'Plan guide'!$B$6),0)</f>
        <v>3</v>
      </c>
      <c r="O63" s="40">
        <v>46477</v>
      </c>
      <c r="P63" s="40">
        <v>46479</v>
      </c>
      <c r="Q63" s="41" t="s">
        <v>791</v>
      </c>
      <c r="R63" s="41" t="s">
        <v>792</v>
      </c>
      <c r="S63" s="41" t="s">
        <v>793</v>
      </c>
      <c r="T63" s="41" t="s">
        <v>793</v>
      </c>
      <c r="U63" s="41" t="s">
        <v>793</v>
      </c>
      <c r="V63" s="42" t="str">
        <f t="shared" si="4"/>
        <v>In progress</v>
      </c>
      <c r="W63" s="43">
        <f t="shared" si="5"/>
        <v>0.2</v>
      </c>
      <c r="X63" s="30"/>
      <c r="Y63" s="30"/>
      <c r="Z63" s="42">
        <f t="shared" ca="1" si="6"/>
        <v>0</v>
      </c>
      <c r="AA63" s="42" t="str">
        <f t="shared" ca="1" si="7"/>
        <v>Green</v>
      </c>
      <c r="AB63" s="49" t="s">
        <v>1175</v>
      </c>
      <c r="AC63" s="49" t="s">
        <v>795</v>
      </c>
      <c r="AD63" s="49" t="s">
        <v>1176</v>
      </c>
      <c r="AE63" s="42" t="str">
        <f>IFERROR(INDEX('Task Register'!$AJ$2:$AJ$771,MATCH(B63,'Task Register'!$A$2:$A$771,0)),"")</f>
        <v>Built - partial</v>
      </c>
      <c r="AF63" s="42" t="str">
        <f>IFERROR(INDEX('Task Register'!$AU$2:$AU$771,MATCH(B63,'Task Register'!$A$2:$A$771,0)),"")</f>
        <v>Not run</v>
      </c>
      <c r="AG63" s="42" t="s">
        <v>1101</v>
      </c>
      <c r="AH63" s="42"/>
      <c r="AI63" s="42"/>
      <c r="AJ63" s="42" t="s">
        <v>196</v>
      </c>
    </row>
    <row r="64" spans="1:36" ht="118" customHeight="1" x14ac:dyDescent="0.35">
      <c r="A64" s="38" t="s">
        <v>1177</v>
      </c>
      <c r="B64" s="38" t="s">
        <v>202</v>
      </c>
      <c r="C64" s="38" t="s">
        <v>203</v>
      </c>
      <c r="D64" s="38">
        <v>2</v>
      </c>
      <c r="E64" s="38" t="s">
        <v>135</v>
      </c>
      <c r="F64" s="38" t="s">
        <v>982</v>
      </c>
      <c r="G64" s="38" t="s">
        <v>1095</v>
      </c>
      <c r="H64" s="38" t="s">
        <v>1178</v>
      </c>
      <c r="I64" s="38" t="s">
        <v>1179</v>
      </c>
      <c r="J64" s="38" t="s">
        <v>1180</v>
      </c>
      <c r="K64" s="38" t="s">
        <v>1098</v>
      </c>
      <c r="L64" s="39" t="s">
        <v>790</v>
      </c>
      <c r="M64" s="38">
        <v>2</v>
      </c>
      <c r="N64" s="38">
        <f>ROUNDUP(M64*(1+'Plan guide'!$B$6),0)</f>
        <v>3</v>
      </c>
      <c r="O64" s="40">
        <v>46478</v>
      </c>
      <c r="P64" s="40">
        <v>46482</v>
      </c>
      <c r="Q64" s="41" t="s">
        <v>793</v>
      </c>
      <c r="R64" s="41" t="s">
        <v>793</v>
      </c>
      <c r="S64" s="41" t="s">
        <v>793</v>
      </c>
      <c r="T64" s="41" t="s">
        <v>793</v>
      </c>
      <c r="U64" s="41" t="s">
        <v>793</v>
      </c>
      <c r="V64" s="42" t="str">
        <f t="shared" si="4"/>
        <v>Not started</v>
      </c>
      <c r="W64" s="43">
        <f t="shared" si="5"/>
        <v>0</v>
      </c>
      <c r="X64" s="30"/>
      <c r="Y64" s="30"/>
      <c r="Z64" s="42">
        <f t="shared" ca="1" si="6"/>
        <v>0</v>
      </c>
      <c r="AA64" s="42" t="str">
        <f t="shared" ca="1" si="7"/>
        <v>Green</v>
      </c>
      <c r="AB64" s="49" t="s">
        <v>1181</v>
      </c>
      <c r="AC64" s="49" t="s">
        <v>795</v>
      </c>
      <c r="AD64" s="49" t="s">
        <v>808</v>
      </c>
      <c r="AE64" s="42" t="str">
        <f>IFERROR(INDEX('Task Register'!$AJ$2:$AJ$771,MATCH(B64,'Task Register'!$A$2:$A$771,0)),"")</f>
        <v>Gap</v>
      </c>
      <c r="AF64" s="42" t="str">
        <f>IFERROR(INDEX('Task Register'!$AU$2:$AU$771,MATCH(B64,'Task Register'!$A$2:$A$771,0)),"")</f>
        <v>Not run</v>
      </c>
      <c r="AG64" s="42" t="s">
        <v>1101</v>
      </c>
      <c r="AH64" s="42"/>
      <c r="AI64" s="42"/>
      <c r="AJ64" s="42" t="s">
        <v>202</v>
      </c>
    </row>
    <row r="65" spans="1:36" ht="118" customHeight="1" x14ac:dyDescent="0.35">
      <c r="A65" s="38" t="s">
        <v>1182</v>
      </c>
      <c r="B65" s="38" t="s">
        <v>208</v>
      </c>
      <c r="C65" s="38" t="s">
        <v>209</v>
      </c>
      <c r="D65" s="38">
        <v>2</v>
      </c>
      <c r="E65" s="38" t="s">
        <v>135</v>
      </c>
      <c r="F65" s="38" t="s">
        <v>982</v>
      </c>
      <c r="G65" s="38" t="s">
        <v>1095</v>
      </c>
      <c r="H65" s="38" t="s">
        <v>1183</v>
      </c>
      <c r="I65" s="38" t="s">
        <v>1184</v>
      </c>
      <c r="J65" s="38" t="s">
        <v>1185</v>
      </c>
      <c r="K65" s="38" t="s">
        <v>1098</v>
      </c>
      <c r="L65" s="39" t="s">
        <v>825</v>
      </c>
      <c r="M65" s="38">
        <v>2</v>
      </c>
      <c r="N65" s="38">
        <f>ROUNDUP(M65*(1+'Plan guide'!$B$6),0)</f>
        <v>3</v>
      </c>
      <c r="O65" s="40">
        <v>46482</v>
      </c>
      <c r="P65" s="40">
        <v>46484</v>
      </c>
      <c r="Q65" s="41" t="s">
        <v>791</v>
      </c>
      <c r="R65" s="41" t="s">
        <v>792</v>
      </c>
      <c r="S65" s="41" t="s">
        <v>793</v>
      </c>
      <c r="T65" s="41" t="s">
        <v>793</v>
      </c>
      <c r="U65" s="41" t="s">
        <v>793</v>
      </c>
      <c r="V65" s="42" t="str">
        <f t="shared" si="4"/>
        <v>In progress</v>
      </c>
      <c r="W65" s="43">
        <f t="shared" si="5"/>
        <v>0.2</v>
      </c>
      <c r="X65" s="30"/>
      <c r="Y65" s="30"/>
      <c r="Z65" s="42">
        <f t="shared" ca="1" si="6"/>
        <v>0</v>
      </c>
      <c r="AA65" s="42" t="str">
        <f t="shared" ca="1" si="7"/>
        <v>Green</v>
      </c>
      <c r="AB65" s="49" t="s">
        <v>1186</v>
      </c>
      <c r="AC65" s="49" t="s">
        <v>795</v>
      </c>
      <c r="AD65" s="49" t="s">
        <v>1187</v>
      </c>
      <c r="AE65" s="42" t="str">
        <f>IFERROR(INDEX('Task Register'!$AJ$2:$AJ$771,MATCH(B65,'Task Register'!$A$2:$A$771,0)),"")</f>
        <v>Built - partial</v>
      </c>
      <c r="AF65" s="42" t="str">
        <f>IFERROR(INDEX('Task Register'!$AU$2:$AU$771,MATCH(B65,'Task Register'!$A$2:$A$771,0)),"")</f>
        <v>Not run</v>
      </c>
      <c r="AG65" s="42" t="s">
        <v>1101</v>
      </c>
      <c r="AH65" s="42"/>
      <c r="AI65" s="42"/>
      <c r="AJ65" s="42" t="s">
        <v>208</v>
      </c>
    </row>
    <row r="66" spans="1:36" ht="118" customHeight="1" x14ac:dyDescent="0.35">
      <c r="A66" s="38" t="s">
        <v>715</v>
      </c>
      <c r="B66" s="38" t="s">
        <v>211</v>
      </c>
      <c r="C66" s="38" t="s">
        <v>212</v>
      </c>
      <c r="D66" s="38">
        <v>2</v>
      </c>
      <c r="E66" s="38" t="s">
        <v>135</v>
      </c>
      <c r="F66" s="38" t="s">
        <v>982</v>
      </c>
      <c r="G66" s="38" t="s">
        <v>1095</v>
      </c>
      <c r="H66" s="38" t="s">
        <v>1188</v>
      </c>
      <c r="I66" s="38" t="s">
        <v>1189</v>
      </c>
      <c r="J66" s="38" t="s">
        <v>1190</v>
      </c>
      <c r="K66" s="38" t="s">
        <v>1098</v>
      </c>
      <c r="L66" s="39" t="s">
        <v>790</v>
      </c>
      <c r="M66" s="38">
        <v>1</v>
      </c>
      <c r="N66" s="38">
        <f>ROUNDUP(M66*(1+'Plan guide'!$B$6),0)</f>
        <v>2</v>
      </c>
      <c r="O66" s="40">
        <v>46483</v>
      </c>
      <c r="P66" s="40">
        <v>46484</v>
      </c>
      <c r="Q66" s="41" t="s">
        <v>791</v>
      </c>
      <c r="R66" s="41" t="s">
        <v>792</v>
      </c>
      <c r="S66" s="41" t="s">
        <v>793</v>
      </c>
      <c r="T66" s="41" t="s">
        <v>793</v>
      </c>
      <c r="U66" s="41" t="s">
        <v>793</v>
      </c>
      <c r="V66" s="42" t="str">
        <f t="shared" si="4"/>
        <v>In progress</v>
      </c>
      <c r="W66" s="43">
        <f t="shared" si="5"/>
        <v>0.2</v>
      </c>
      <c r="X66" s="30"/>
      <c r="Y66" s="30"/>
      <c r="Z66" s="42">
        <f t="shared" ca="1" si="6"/>
        <v>0</v>
      </c>
      <c r="AA66" s="42" t="str">
        <f t="shared" ca="1" si="7"/>
        <v>Green</v>
      </c>
      <c r="AB66" s="49" t="s">
        <v>1191</v>
      </c>
      <c r="AC66" s="49" t="s">
        <v>795</v>
      </c>
      <c r="AD66" s="49" t="s">
        <v>1192</v>
      </c>
      <c r="AE66" s="42" t="str">
        <f>IFERROR(INDEX('Task Register'!$AJ$2:$AJ$771,MATCH(B66,'Task Register'!$A$2:$A$771,0)),"")</f>
        <v>Built - partial</v>
      </c>
      <c r="AF66" s="42" t="str">
        <f>IFERROR(INDEX('Task Register'!$AU$2:$AU$771,MATCH(B66,'Task Register'!$A$2:$A$771,0)),"")</f>
        <v>Not run</v>
      </c>
      <c r="AG66" s="42" t="s">
        <v>1101</v>
      </c>
      <c r="AH66" s="42"/>
      <c r="AI66" s="42" t="s">
        <v>1193</v>
      </c>
      <c r="AJ66" s="42" t="s">
        <v>211</v>
      </c>
    </row>
    <row r="67" spans="1:36" ht="118" customHeight="1" x14ac:dyDescent="0.35">
      <c r="A67" s="38" t="s">
        <v>1194</v>
      </c>
      <c r="B67" s="38"/>
      <c r="C67" s="38" t="s">
        <v>1195</v>
      </c>
      <c r="D67" s="38">
        <v>2</v>
      </c>
      <c r="E67" s="38" t="s">
        <v>135</v>
      </c>
      <c r="F67" s="38" t="s">
        <v>1046</v>
      </c>
      <c r="G67" s="38" t="s">
        <v>802</v>
      </c>
      <c r="H67" s="38" t="s">
        <v>1047</v>
      </c>
      <c r="I67" s="38" t="s">
        <v>1048</v>
      </c>
      <c r="J67" s="38"/>
      <c r="K67" s="38" t="s">
        <v>1196</v>
      </c>
      <c r="L67" s="39" t="s">
        <v>790</v>
      </c>
      <c r="M67" s="38">
        <v>2</v>
      </c>
      <c r="N67" s="38">
        <f>ROUNDUP(M67*(1+'Plan guide'!$B$6),0)</f>
        <v>3</v>
      </c>
      <c r="O67" s="40">
        <v>46486</v>
      </c>
      <c r="P67" s="40">
        <v>46490</v>
      </c>
      <c r="Q67" s="41" t="s">
        <v>806</v>
      </c>
      <c r="R67" s="41" t="s">
        <v>806</v>
      </c>
      <c r="S67" s="41" t="s">
        <v>793</v>
      </c>
      <c r="T67" s="41" t="s">
        <v>793</v>
      </c>
      <c r="U67" s="41" t="s">
        <v>793</v>
      </c>
      <c r="V67" s="42" t="str">
        <f t="shared" si="4"/>
        <v>Not started</v>
      </c>
      <c r="W67" s="43">
        <f t="shared" si="5"/>
        <v>0</v>
      </c>
      <c r="X67" s="30"/>
      <c r="Y67" s="30"/>
      <c r="Z67" s="42">
        <f t="shared" ca="1" si="6"/>
        <v>0</v>
      </c>
      <c r="AA67" s="42" t="str">
        <f t="shared" ca="1" si="7"/>
        <v>Green</v>
      </c>
      <c r="AB67" s="49" t="s">
        <v>1197</v>
      </c>
      <c r="AC67" s="49" t="s">
        <v>795</v>
      </c>
      <c r="AD67" s="49" t="s">
        <v>1198</v>
      </c>
      <c r="AE67" s="42"/>
      <c r="AF67" s="42"/>
      <c r="AG67" s="42" t="s">
        <v>1051</v>
      </c>
      <c r="AH67" s="42"/>
      <c r="AI67" s="42"/>
      <c r="AJ67" s="42" t="s">
        <v>1199</v>
      </c>
    </row>
    <row r="68" spans="1:36" ht="118" customHeight="1" x14ac:dyDescent="0.35">
      <c r="A68" s="38" t="s">
        <v>719</v>
      </c>
      <c r="B68" s="38" t="s">
        <v>413</v>
      </c>
      <c r="C68" s="38" t="s">
        <v>414</v>
      </c>
      <c r="D68" s="38">
        <v>3</v>
      </c>
      <c r="E68" s="38" t="s">
        <v>32</v>
      </c>
      <c r="F68" s="38" t="s">
        <v>1115</v>
      </c>
      <c r="G68" s="38" t="s">
        <v>876</v>
      </c>
      <c r="H68" s="38" t="s">
        <v>1200</v>
      </c>
      <c r="I68" s="38" t="s">
        <v>1201</v>
      </c>
      <c r="J68" s="38" t="s">
        <v>1202</v>
      </c>
      <c r="K68" s="38" t="s">
        <v>1194</v>
      </c>
      <c r="L68" s="39" t="s">
        <v>790</v>
      </c>
      <c r="M68" s="38">
        <v>10</v>
      </c>
      <c r="N68" s="38">
        <f>ROUNDUP(M68*(1+'Plan guide'!$B$6),0)</f>
        <v>12</v>
      </c>
      <c r="O68" s="40">
        <v>46492</v>
      </c>
      <c r="P68" s="40">
        <v>46507</v>
      </c>
      <c r="Q68" s="41" t="s">
        <v>791</v>
      </c>
      <c r="R68" s="41" t="s">
        <v>792</v>
      </c>
      <c r="S68" s="41" t="s">
        <v>792</v>
      </c>
      <c r="T68" s="41" t="s">
        <v>793</v>
      </c>
      <c r="U68" s="41" t="s">
        <v>793</v>
      </c>
      <c r="V68" s="42" t="str">
        <f t="shared" si="4"/>
        <v>In progress</v>
      </c>
      <c r="W68" s="43">
        <f t="shared" si="5"/>
        <v>0.2</v>
      </c>
      <c r="X68" s="30"/>
      <c r="Y68" s="30"/>
      <c r="Z68" s="42">
        <f t="shared" ca="1" si="6"/>
        <v>0</v>
      </c>
      <c r="AA68" s="42" t="str">
        <f t="shared" ca="1" si="7"/>
        <v>Green</v>
      </c>
      <c r="AB68" s="49" t="s">
        <v>1203</v>
      </c>
      <c r="AC68" s="49" t="s">
        <v>795</v>
      </c>
      <c r="AD68" s="49" t="s">
        <v>1204</v>
      </c>
      <c r="AE68" s="42" t="str">
        <f>IFERROR(INDEX('Task Register'!$AJ$2:$AJ$771,MATCH(B68,'Task Register'!$A$2:$A$771,0)),"")</f>
        <v>Built - partial</v>
      </c>
      <c r="AF68" s="42" t="str">
        <f>IFERROR(INDEX('Task Register'!$AU$2:$AU$771,MATCH(B68,'Task Register'!$A$2:$A$771,0)),"")</f>
        <v>Partial</v>
      </c>
      <c r="AG68" s="42" t="s">
        <v>827</v>
      </c>
      <c r="AH68" s="42"/>
      <c r="AI68" s="42" t="s">
        <v>1205</v>
      </c>
      <c r="AJ68" s="42" t="s">
        <v>413</v>
      </c>
    </row>
    <row r="69" spans="1:36" ht="118" customHeight="1" x14ac:dyDescent="0.35">
      <c r="A69" s="38" t="s">
        <v>723</v>
      </c>
      <c r="B69" s="38" t="s">
        <v>420</v>
      </c>
      <c r="C69" s="38" t="s">
        <v>421</v>
      </c>
      <c r="D69" s="38">
        <v>3</v>
      </c>
      <c r="E69" s="38" t="s">
        <v>32</v>
      </c>
      <c r="F69" s="38" t="s">
        <v>1115</v>
      </c>
      <c r="G69" s="38" t="s">
        <v>821</v>
      </c>
      <c r="H69" s="38" t="s">
        <v>1206</v>
      </c>
      <c r="I69" s="38" t="s">
        <v>1207</v>
      </c>
      <c r="J69" s="38" t="s">
        <v>1208</v>
      </c>
      <c r="K69" s="38" t="s">
        <v>1209</v>
      </c>
      <c r="L69" s="39" t="s">
        <v>825</v>
      </c>
      <c r="M69" s="38">
        <v>6</v>
      </c>
      <c r="N69" s="38">
        <f>ROUNDUP(M69*(1+'Plan guide'!$B$6),0)</f>
        <v>8</v>
      </c>
      <c r="O69" s="40">
        <v>46492</v>
      </c>
      <c r="P69" s="40">
        <v>46503</v>
      </c>
      <c r="Q69" s="41" t="s">
        <v>791</v>
      </c>
      <c r="R69" s="41" t="s">
        <v>792</v>
      </c>
      <c r="S69" s="41" t="s">
        <v>792</v>
      </c>
      <c r="T69" s="41" t="s">
        <v>793</v>
      </c>
      <c r="U69" s="41" t="s">
        <v>793</v>
      </c>
      <c r="V69" s="42" t="str">
        <f t="shared" ref="V69:V100" si="8">IF(COUNTIF(Q69:U69,"Blocked")&gt;0,"Blocked",IF(COUNTIF(Q69:U69,"Done")+COUNTIF(Q69:U69,"N/A")=5,"Done",IF(COUNTIF(Q69:U69,"Done")+COUNTIF(Q69:U69,"In progress")&gt;0,"In progress","Not started")))</f>
        <v>In progress</v>
      </c>
      <c r="W69" s="43">
        <f t="shared" si="5"/>
        <v>0.2</v>
      </c>
      <c r="X69" s="30"/>
      <c r="Y69" s="30"/>
      <c r="Z69" s="42">
        <f t="shared" ref="Z69:Z100" ca="1" si="9">IF(V69="Done",IF(Y69="",0,MAX(0,Y69-P69)),MAX(0,TODAY()-P69))</f>
        <v>0</v>
      </c>
      <c r="AA69" s="42" t="str">
        <f t="shared" ref="AA69:AA100" ca="1" si="10">IF(V69="Done","Done",IF(V69="Blocked","Red",IF(Z69&gt;0,"Red",IF(AND(O69&lt;=TODAY(),P69-TODAY()&lt;=3,W69&lt;0.5),"Amber","Green"))))</f>
        <v>Green</v>
      </c>
      <c r="AB69" s="49" t="s">
        <v>1210</v>
      </c>
      <c r="AC69" s="49" t="s">
        <v>795</v>
      </c>
      <c r="AD69" s="49" t="s">
        <v>1211</v>
      </c>
      <c r="AE69" s="42" t="str">
        <f>IFERROR(INDEX('Task Register'!$AJ$2:$AJ$771,MATCH(B69,'Task Register'!$A$2:$A$771,0)),"")</f>
        <v>Built - partial</v>
      </c>
      <c r="AF69" s="42" t="str">
        <f>IFERROR(INDEX('Task Register'!$AU$2:$AU$771,MATCH(B69,'Task Register'!$A$2:$A$771,0)),"")</f>
        <v>Partial</v>
      </c>
      <c r="AG69" s="42" t="s">
        <v>827</v>
      </c>
      <c r="AH69" s="42"/>
      <c r="AI69" s="42" t="s">
        <v>1212</v>
      </c>
      <c r="AJ69" s="42" t="s">
        <v>420</v>
      </c>
    </row>
    <row r="70" spans="1:36" ht="118" customHeight="1" x14ac:dyDescent="0.35">
      <c r="A70" s="38" t="s">
        <v>727</v>
      </c>
      <c r="B70" s="38" t="s">
        <v>425</v>
      </c>
      <c r="C70" s="38" t="s">
        <v>426</v>
      </c>
      <c r="D70" s="38">
        <v>3</v>
      </c>
      <c r="E70" s="38" t="s">
        <v>32</v>
      </c>
      <c r="F70" s="38" t="s">
        <v>1115</v>
      </c>
      <c r="G70" s="38" t="s">
        <v>876</v>
      </c>
      <c r="H70" s="38" t="s">
        <v>1213</v>
      </c>
      <c r="I70" s="38" t="s">
        <v>1214</v>
      </c>
      <c r="J70" s="38" t="s">
        <v>1215</v>
      </c>
      <c r="K70" s="38" t="s">
        <v>1194</v>
      </c>
      <c r="L70" s="39" t="s">
        <v>825</v>
      </c>
      <c r="M70" s="38">
        <v>25</v>
      </c>
      <c r="N70" s="38">
        <f>ROUNDUP(M70*(1+'Plan guide'!$B$6),0)</f>
        <v>30</v>
      </c>
      <c r="O70" s="40">
        <v>46504</v>
      </c>
      <c r="P70" s="40">
        <v>46545</v>
      </c>
      <c r="Q70" s="41" t="s">
        <v>791</v>
      </c>
      <c r="R70" s="41" t="s">
        <v>792</v>
      </c>
      <c r="S70" s="41" t="s">
        <v>792</v>
      </c>
      <c r="T70" s="41" t="s">
        <v>793</v>
      </c>
      <c r="U70" s="41" t="s">
        <v>793</v>
      </c>
      <c r="V70" s="42" t="str">
        <f t="shared" si="8"/>
        <v>In progress</v>
      </c>
      <c r="W70" s="43">
        <f t="shared" si="5"/>
        <v>0.2</v>
      </c>
      <c r="X70" s="30"/>
      <c r="Y70" s="30"/>
      <c r="Z70" s="42">
        <f t="shared" ca="1" si="9"/>
        <v>0</v>
      </c>
      <c r="AA70" s="42" t="str">
        <f t="shared" ca="1" si="10"/>
        <v>Green</v>
      </c>
      <c r="AB70" s="49" t="s">
        <v>1216</v>
      </c>
      <c r="AC70" s="49" t="s">
        <v>795</v>
      </c>
      <c r="AD70" s="49" t="s">
        <v>1217</v>
      </c>
      <c r="AE70" s="42" t="str">
        <f>IFERROR(INDEX('Task Register'!$AJ$2:$AJ$771,MATCH(B70,'Task Register'!$A$2:$A$771,0)),"")</f>
        <v>Built - partial</v>
      </c>
      <c r="AF70" s="42" t="str">
        <f>IFERROR(INDEX('Task Register'!$AU$2:$AU$771,MATCH(B70,'Task Register'!$A$2:$A$771,0)),"")</f>
        <v>Partial</v>
      </c>
      <c r="AG70" s="42" t="s">
        <v>827</v>
      </c>
      <c r="AH70" s="42"/>
      <c r="AI70" s="42" t="s">
        <v>1218</v>
      </c>
      <c r="AJ70" s="42" t="s">
        <v>425</v>
      </c>
    </row>
    <row r="71" spans="1:36" ht="118" customHeight="1" x14ac:dyDescent="0.35">
      <c r="A71" s="38" t="s">
        <v>736</v>
      </c>
      <c r="B71" s="38" t="s">
        <v>174</v>
      </c>
      <c r="C71" s="38" t="s">
        <v>1219</v>
      </c>
      <c r="D71" s="38">
        <v>3</v>
      </c>
      <c r="E71" s="38" t="s">
        <v>32</v>
      </c>
      <c r="F71" s="38" t="s">
        <v>785</v>
      </c>
      <c r="G71" s="38" t="s">
        <v>821</v>
      </c>
      <c r="H71" s="38" t="s">
        <v>1220</v>
      </c>
      <c r="I71" s="38" t="s">
        <v>1221</v>
      </c>
      <c r="J71" s="38" t="s">
        <v>1222</v>
      </c>
      <c r="K71" s="38" t="s">
        <v>1194</v>
      </c>
      <c r="L71" s="39" t="s">
        <v>790</v>
      </c>
      <c r="M71" s="38">
        <v>8</v>
      </c>
      <c r="N71" s="38">
        <f>ROUNDUP(M71*(1+'Plan guide'!$B$6),0)</f>
        <v>10</v>
      </c>
      <c r="O71" s="40">
        <v>46510</v>
      </c>
      <c r="P71" s="40">
        <v>46521</v>
      </c>
      <c r="Q71" s="41" t="s">
        <v>791</v>
      </c>
      <c r="R71" s="41" t="s">
        <v>792</v>
      </c>
      <c r="S71" s="41" t="s">
        <v>792</v>
      </c>
      <c r="T71" s="41" t="s">
        <v>793</v>
      </c>
      <c r="U71" s="41" t="s">
        <v>793</v>
      </c>
      <c r="V71" s="42" t="str">
        <f t="shared" si="8"/>
        <v>In progress</v>
      </c>
      <c r="W71" s="43">
        <f t="shared" si="5"/>
        <v>0.2</v>
      </c>
      <c r="X71" s="30"/>
      <c r="Y71" s="30"/>
      <c r="Z71" s="42">
        <f t="shared" ca="1" si="9"/>
        <v>0</v>
      </c>
      <c r="AA71" s="42" t="str">
        <f t="shared" ca="1" si="10"/>
        <v>Green</v>
      </c>
      <c r="AB71" s="49" t="s">
        <v>1223</v>
      </c>
      <c r="AC71" s="49" t="s">
        <v>795</v>
      </c>
      <c r="AD71" s="49" t="s">
        <v>1224</v>
      </c>
      <c r="AE71" s="42" t="str">
        <f>IFERROR(INDEX('Task Register'!$AJ$2:$AJ$771,MATCH(B71,'Task Register'!$A$2:$A$771,0)),"")</f>
        <v>Built - partial</v>
      </c>
      <c r="AF71" s="42" t="str">
        <f>IFERROR(INDEX('Task Register'!$AU$2:$AU$771,MATCH(B71,'Task Register'!$A$2:$A$771,0)),"")</f>
        <v>Partial</v>
      </c>
      <c r="AG71" s="42" t="s">
        <v>827</v>
      </c>
      <c r="AH71" s="42"/>
      <c r="AI71" s="42" t="s">
        <v>1225</v>
      </c>
      <c r="AJ71" s="42" t="s">
        <v>174</v>
      </c>
    </row>
    <row r="72" spans="1:36" ht="118" customHeight="1" x14ac:dyDescent="0.35">
      <c r="A72" s="38" t="s">
        <v>1226</v>
      </c>
      <c r="B72" s="38"/>
      <c r="C72" s="38" t="s">
        <v>1227</v>
      </c>
      <c r="D72" s="38">
        <v>3</v>
      </c>
      <c r="E72" s="38" t="s">
        <v>32</v>
      </c>
      <c r="F72" s="38" t="s">
        <v>1046</v>
      </c>
      <c r="G72" s="38" t="s">
        <v>802</v>
      </c>
      <c r="H72" s="38" t="s">
        <v>1047</v>
      </c>
      <c r="I72" s="38" t="s">
        <v>1048</v>
      </c>
      <c r="J72" s="38"/>
      <c r="K72" s="38" t="s">
        <v>1228</v>
      </c>
      <c r="L72" s="39" t="s">
        <v>790</v>
      </c>
      <c r="M72" s="38">
        <v>2</v>
      </c>
      <c r="N72" s="38">
        <f>ROUNDUP(M72*(1+'Plan guide'!$B$6),0)</f>
        <v>3</v>
      </c>
      <c r="O72" s="40">
        <v>46547</v>
      </c>
      <c r="P72" s="40">
        <v>46549</v>
      </c>
      <c r="Q72" s="41" t="s">
        <v>806</v>
      </c>
      <c r="R72" s="41" t="s">
        <v>806</v>
      </c>
      <c r="S72" s="41" t="s">
        <v>793</v>
      </c>
      <c r="T72" s="41" t="s">
        <v>793</v>
      </c>
      <c r="U72" s="41" t="s">
        <v>793</v>
      </c>
      <c r="V72" s="42" t="str">
        <f t="shared" si="8"/>
        <v>Not started</v>
      </c>
      <c r="W72" s="43">
        <f t="shared" si="5"/>
        <v>0</v>
      </c>
      <c r="X72" s="30"/>
      <c r="Y72" s="30"/>
      <c r="Z72" s="42">
        <f t="shared" ca="1" si="9"/>
        <v>0</v>
      </c>
      <c r="AA72" s="42" t="str">
        <f t="shared" ca="1" si="10"/>
        <v>Green</v>
      </c>
      <c r="AB72" s="49" t="s">
        <v>1229</v>
      </c>
      <c r="AC72" s="49" t="s">
        <v>795</v>
      </c>
      <c r="AD72" s="49" t="s">
        <v>1198</v>
      </c>
      <c r="AE72" s="42"/>
      <c r="AF72" s="42"/>
      <c r="AG72" s="42" t="s">
        <v>1051</v>
      </c>
      <c r="AH72" s="42"/>
      <c r="AI72" s="42"/>
      <c r="AJ72" s="42" t="s">
        <v>1230</v>
      </c>
    </row>
  </sheetData>
  <autoFilter ref="A4:AJ72" xr:uid="{00000000-0009-0000-0000-000007000000}"/>
  <conditionalFormatting sqref="Q5:V72">
    <cfRule type="cellIs" dxfId="12" priority="1" operator="equal">
      <formula>"Done"</formula>
    </cfRule>
    <cfRule type="cellIs" dxfId="11" priority="7" operator="equal">
      <formula>"Blocked"</formula>
    </cfRule>
    <cfRule type="cellIs" dxfId="10" priority="13" operator="equal">
      <formula>"In progress"</formula>
    </cfRule>
  </conditionalFormatting>
  <conditionalFormatting sqref="AA5:AA72">
    <cfRule type="cellIs" dxfId="9" priority="19" operator="equal">
      <formula>"Green"</formula>
    </cfRule>
    <cfRule type="cellIs" dxfId="8" priority="20" operator="equal">
      <formula>"Done"</formula>
    </cfRule>
    <cfRule type="cellIs" dxfId="7" priority="21" operator="equal">
      <formula>"Amber"</formula>
    </cfRule>
    <cfRule type="cellIs" dxfId="6" priority="22" operator="equal">
      <formula>"Red"</formula>
    </cfRule>
  </conditionalFormatting>
  <dataValidations count="2">
    <dataValidation type="list" sqref="Q5 Q6 Q7 Q8 Q9 Q10 Q11 Q12 Q13 Q14 Q15 Q16 Q17 Q18 Q19 Q20 Q21 Q22 Q23 Q24 Q25 Q26 Q27 Q28 Q29 Q30 Q31 Q32 Q33 Q34 Q35 Q36 Q37 Q38 Q39 Q40 Q41 Q42 Q43 Q44 Q45 Q46 Q47 Q48 Q49 Q50 Q51 Q52 Q53 Q54 Q55 Q56 Q57 Q58 Q59 Q60 Q61 Q62 Q63 Q64 Q65 Q66 Q67 Q68 Q69 Q70 Q71 Q72 R5 R6 R7 R8 R9 R10 R11 R12 R13 R14 R15 R16 R17 R18 R19 R20 R21 R22 R23 R24 R25 R26 R27 R28 R29 R30 R31 R32 R33 R34 R35 R36 R37 R38 R39 R40 R41 R42 R43 R44 R45 R46 R47 R48 R49 R50 R51 R52 R53 R54 R55 R56 R57 R58 R59 R60 R61 R62 R63 R64 R65 R66 R67 R68 R69 R70 R71 R72 S5 S6 S7 S8 S9 S10 S11 S12 S13 S14 S15 S16 S17 S18 S19 S20 S21 S22 S23 S24 S25 S26 S27 S28 S29 S30 S31 S32 S33 S34 S35 S36 S37 S38 S39 S40 S41 S42 S43 S44 S45 S46 S47 S48 S49 S50 S51 S52 S53 S54 S55 S56 S57 S58 S59 S60 S61 S62 S63 S64 S65 S66 S67 S68 S69 S70 S71 S72 T5 T6 T7 T8 T9 T10 T11 T12 T13 T14 T15 T16 T17 T18 T19 T20 T21 T22 T23 T24 T25 T26 T27 T28 T29 T30 T31 T32 T33 T34 T35 T36 T37 T38 T39 T40 T41 T42 T43 T44 T45 T46 T47 T48 T49 T50 T51 T52 T53 T54 T55 T56 T57 T58 T59 T60 T61 T62 T63 T64 T65 T66 T67 T68 T69 T70 T71 T72 U5 U6 U7 U8 U9 U10 U11 U12 U13 U14 U15 U16 U17 U18 U19 U20 U21 U22 U23 U24 U25 U26 U27 U28 U29 U30 U31 U32 U33 U34 U35 U36 U37 U38 U39 U40 U41 U42 U43 U44 U45 U46 U47 U48 U49 U50 U51 U52 U53 U54 U55 U56 U57 U58 U59 U60 U61 U62 U63 U64 U65 U66 U67 U68 U69 U70 U71 U72" xr:uid="{00000000-0002-0000-0700-000000000000}">
      <formula1>"Not started,In progress,Done,Blocked,N/A"</formula1>
    </dataValidation>
    <dataValidation type="list" allowBlank="1" sqref="L5 L6 L7 L8 L9 L10 L11 L12 L13 L14 L15 L16 L17 L18 L19 L20 L21 L22 L23 L24 L25 L26 L27 L28 L29 L30 L31 L32 L33 L34 L35 L36 L37 L38 L39 L40 L41 L42 L43 L44 L45 L46 L47 L48 L49 L50 L51 L52 L53 L54 L55 L56 L57 L58 L59 L60 L61 L62 L63 L64 L65 L66 L67 L68 L69 L70 L71 L72" xr:uid="{00000000-0002-0000-0700-000001000000}">
      <formula1>"Agent 1,Agent 2,Human reviewer,Founder,CA / external"</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8"/>
  <sheetViews>
    <sheetView showGridLines="0" workbookViewId="0"/>
  </sheetViews>
  <sheetFormatPr defaultRowHeight="14.5" x14ac:dyDescent="0.35"/>
  <cols>
    <col min="1" max="1" width="26" customWidth="1"/>
    <col min="2" max="3" width="9" customWidth="1"/>
    <col min="4" max="4" width="11" customWidth="1"/>
    <col min="5" max="6" width="9" customWidth="1"/>
    <col min="7" max="7" width="13" customWidth="1"/>
    <col min="8" max="8" width="11" customWidth="1"/>
    <col min="9" max="9" width="13" customWidth="1"/>
    <col min="10" max="10" width="12" customWidth="1"/>
  </cols>
  <sheetData>
    <row r="1" spans="1:10" ht="21" x14ac:dyDescent="0.5">
      <c r="A1" s="27" t="s">
        <v>1231</v>
      </c>
    </row>
    <row r="2" spans="1:10" ht="52" x14ac:dyDescent="0.35">
      <c r="A2" s="28" t="s">
        <v>1232</v>
      </c>
    </row>
    <row r="4" spans="1:10" x14ac:dyDescent="0.35">
      <c r="A4" s="37" t="s">
        <v>752</v>
      </c>
      <c r="B4" s="37" t="s">
        <v>496</v>
      </c>
      <c r="C4" s="37" t="s">
        <v>791</v>
      </c>
      <c r="D4" s="37" t="s">
        <v>792</v>
      </c>
      <c r="E4" s="37" t="s">
        <v>1233</v>
      </c>
      <c r="F4" s="37" t="s">
        <v>1234</v>
      </c>
      <c r="G4" s="37" t="s">
        <v>1235</v>
      </c>
      <c r="H4" s="37" t="s">
        <v>1236</v>
      </c>
      <c r="I4" s="37" t="s">
        <v>1237</v>
      </c>
      <c r="J4" s="37" t="s">
        <v>1238</v>
      </c>
    </row>
    <row r="5" spans="1:10" x14ac:dyDescent="0.35">
      <c r="A5" s="44" t="s">
        <v>1239</v>
      </c>
      <c r="B5" s="44">
        <f>COUNTIF('Implementation plan'!$D$5:$D$72,1)</f>
        <v>40</v>
      </c>
      <c r="C5" s="44">
        <f>COUNTIFS('Implementation plan'!$D$5:$D$72,1,'Implementation plan'!$V$5:$V$72,"Done")</f>
        <v>0</v>
      </c>
      <c r="D5" s="44">
        <f>COUNTIFS('Implementation plan'!$D$5:$D$72,1,'Implementation plan'!$V$5:$V$72,"In progress")</f>
        <v>35</v>
      </c>
      <c r="E5" s="44">
        <f>COUNTIFS('Implementation plan'!$D$5:$D$72,1,'Implementation plan'!$V$5:$V$72,"Blocked")</f>
        <v>0</v>
      </c>
      <c r="F5" s="44">
        <f ca="1">COUNTIFS('Implementation plan'!$D$5:$D$72,1,'Implementation plan'!$AA$5:$AA$72,"Red")</f>
        <v>0</v>
      </c>
      <c r="G5" s="45">
        <f>SUMIFS('Implementation plan'!$M$5:$M$72,'Implementation plan'!$D$5:$D$72,1)</f>
        <v>99.5</v>
      </c>
      <c r="H5" s="45">
        <f>SUMPRODUCT(('Implementation plan'!$D$5:$D$72=1)*'Implementation plan'!$M$5:$M$72*'Implementation plan'!$W$5:$W$72)</f>
        <v>32.500000000000014</v>
      </c>
      <c r="I5" s="46">
        <f>IF(G5=0,0,H5/G5)</f>
        <v>0.32663316582914587</v>
      </c>
      <c r="J5" s="46">
        <f>IF(B5=0,0,C5/B5)</f>
        <v>0</v>
      </c>
    </row>
    <row r="6" spans="1:10" x14ac:dyDescent="0.35">
      <c r="A6" s="44" t="s">
        <v>1240</v>
      </c>
      <c r="B6" s="44">
        <f>COUNTIF('Implementation plan'!$D$5:$D$72,2)</f>
        <v>23</v>
      </c>
      <c r="C6" s="44">
        <f>COUNTIFS('Implementation plan'!$D$5:$D$72,2,'Implementation plan'!$V$5:$V$72,"Done")</f>
        <v>0</v>
      </c>
      <c r="D6" s="44">
        <f>COUNTIFS('Implementation plan'!$D$5:$D$72,2,'Implementation plan'!$V$5:$V$72,"In progress")</f>
        <v>21</v>
      </c>
      <c r="E6" s="44">
        <f>COUNTIFS('Implementation plan'!$D$5:$D$72,2,'Implementation plan'!$V$5:$V$72,"Blocked")</f>
        <v>0</v>
      </c>
      <c r="F6" s="44">
        <f ca="1">COUNTIFS('Implementation plan'!$D$5:$D$72,2,'Implementation plan'!$AA$5:$AA$72,"Red")</f>
        <v>0</v>
      </c>
      <c r="G6" s="45">
        <f>SUMIFS('Implementation plan'!$M$5:$M$72,'Implementation plan'!$D$5:$D$72,2)</f>
        <v>62</v>
      </c>
      <c r="H6" s="45">
        <f>SUMPRODUCT(('Implementation plan'!$D$5:$D$72=2)*'Implementation plan'!$M$5:$M$72*'Implementation plan'!$W$5:$W$72)</f>
        <v>18</v>
      </c>
      <c r="I6" s="46">
        <f>IF(G6=0,0,H6/G6)</f>
        <v>0.29032258064516131</v>
      </c>
      <c r="J6" s="46">
        <f>IF(B6=0,0,C6/B6)</f>
        <v>0</v>
      </c>
    </row>
    <row r="7" spans="1:10" x14ac:dyDescent="0.35">
      <c r="A7" s="44" t="s">
        <v>1241</v>
      </c>
      <c r="B7" s="44">
        <f>COUNTIF('Implementation plan'!$D$5:$D$72,3)</f>
        <v>5</v>
      </c>
      <c r="C7" s="44">
        <f>COUNTIFS('Implementation plan'!$D$5:$D$72,3,'Implementation plan'!$V$5:$V$72,"Done")</f>
        <v>0</v>
      </c>
      <c r="D7" s="44">
        <f>COUNTIFS('Implementation plan'!$D$5:$D$72,3,'Implementation plan'!$V$5:$V$72,"In progress")</f>
        <v>4</v>
      </c>
      <c r="E7" s="44">
        <f>COUNTIFS('Implementation plan'!$D$5:$D$72,3,'Implementation plan'!$V$5:$V$72,"Blocked")</f>
        <v>0</v>
      </c>
      <c r="F7" s="44">
        <f ca="1">COUNTIFS('Implementation plan'!$D$5:$D$72,3,'Implementation plan'!$AA$5:$AA$72,"Red")</f>
        <v>0</v>
      </c>
      <c r="G7" s="45">
        <f>SUMIFS('Implementation plan'!$M$5:$M$72,'Implementation plan'!$D$5:$D$72,3)</f>
        <v>51</v>
      </c>
      <c r="H7" s="45">
        <f>SUMPRODUCT(('Implementation plan'!$D$5:$D$72=3)*'Implementation plan'!$M$5:$M$72*'Implementation plan'!$W$5:$W$72)</f>
        <v>9.7999999999999989</v>
      </c>
      <c r="I7" s="46">
        <f>IF(G7=0,0,H7/G7)</f>
        <v>0.19215686274509802</v>
      </c>
      <c r="J7" s="46">
        <f>IF(B7=0,0,C7/B7)</f>
        <v>0</v>
      </c>
    </row>
    <row r="8" spans="1:10" x14ac:dyDescent="0.35">
      <c r="A8" s="7" t="s">
        <v>1242</v>
      </c>
      <c r="B8" s="7">
        <f t="shared" ref="B8:H8" si="0">SUM(B5:B7)</f>
        <v>68</v>
      </c>
      <c r="C8" s="7">
        <f t="shared" si="0"/>
        <v>0</v>
      </c>
      <c r="D8" s="7">
        <f t="shared" si="0"/>
        <v>60</v>
      </c>
      <c r="E8" s="7">
        <f t="shared" si="0"/>
        <v>0</v>
      </c>
      <c r="F8" s="7">
        <f t="shared" ca="1" si="0"/>
        <v>0</v>
      </c>
      <c r="G8" s="7">
        <f t="shared" si="0"/>
        <v>212.5</v>
      </c>
      <c r="H8" s="7">
        <f t="shared" si="0"/>
        <v>60.300000000000011</v>
      </c>
      <c r="I8" s="31">
        <f>IF(G8=0,0,H8/G8)</f>
        <v>0.28376470588235297</v>
      </c>
      <c r="J8" s="31">
        <f>IF(B8=0,0,C8/B8)</f>
        <v>0</v>
      </c>
    </row>
    <row r="10" spans="1:10" x14ac:dyDescent="0.35">
      <c r="A10" s="37" t="s">
        <v>754</v>
      </c>
      <c r="B10" s="37" t="s">
        <v>496</v>
      </c>
      <c r="C10" s="37" t="s">
        <v>791</v>
      </c>
      <c r="D10" s="37" t="s">
        <v>792</v>
      </c>
      <c r="E10" s="37" t="s">
        <v>1233</v>
      </c>
      <c r="F10" s="37" t="s">
        <v>1234</v>
      </c>
      <c r="G10" s="37" t="s">
        <v>1235</v>
      </c>
      <c r="H10" s="37" t="s">
        <v>1236</v>
      </c>
      <c r="I10" s="37" t="s">
        <v>1237</v>
      </c>
      <c r="J10" s="37" t="s">
        <v>1238</v>
      </c>
    </row>
    <row r="11" spans="1:10" x14ac:dyDescent="0.35">
      <c r="A11" s="44" t="s">
        <v>820</v>
      </c>
      <c r="B11" s="44">
        <f>COUNTIF('Implementation plan'!$F$5:$F$72,"Audit &amp; integrity")</f>
        <v>9</v>
      </c>
      <c r="C11" s="44">
        <f>COUNTIFS('Implementation plan'!$F$5:$F$72,"Audit &amp; integrity",'Implementation plan'!$V$5:$V$72,"Done")</f>
        <v>0</v>
      </c>
      <c r="D11" s="44">
        <f>COUNTIFS('Implementation plan'!$F$5:$F$72,"Audit &amp; integrity",'Implementation plan'!$V$5:$V$72,"In progress")</f>
        <v>8</v>
      </c>
      <c r="E11" s="44">
        <f>COUNTIFS('Implementation plan'!$F$5:$F$72,"Audit &amp; integrity",'Implementation plan'!$V$5:$V$72,"Blocked")</f>
        <v>0</v>
      </c>
      <c r="F11" s="44">
        <f ca="1">COUNTIFS('Implementation plan'!$F$5:$F$72,"Audit &amp; integrity",'Implementation plan'!$AA$5:$AA$72,"Red")</f>
        <v>0</v>
      </c>
      <c r="G11" s="45">
        <f>SUMIFS('Implementation plan'!$M$5:$M$72,'Implementation plan'!$F$5:$F$72,"Audit &amp; integrity")</f>
        <v>17</v>
      </c>
      <c r="H11" s="45">
        <f>SUMPRODUCT(('Implementation plan'!$F$5:$F$72="Audit &amp; integrity")*'Implementation plan'!$M$5:$M$72*'Implementation plan'!$W$5:$W$72)</f>
        <v>5.4</v>
      </c>
      <c r="I11" s="46">
        <f t="shared" ref="I11:I19" si="1">IF(G11=0,0,H11/G11)</f>
        <v>0.31764705882352945</v>
      </c>
      <c r="J11" s="46">
        <f t="shared" ref="J11:J19" si="2">IF(B11=0,0,C11/B11)</f>
        <v>0</v>
      </c>
    </row>
    <row r="12" spans="1:10" x14ac:dyDescent="0.35">
      <c r="A12" s="44" t="s">
        <v>863</v>
      </c>
      <c r="B12" s="44">
        <f>COUNTIF('Implementation plan'!$F$5:$F$72,"Security")</f>
        <v>6</v>
      </c>
      <c r="C12" s="44">
        <f>COUNTIFS('Implementation plan'!$F$5:$F$72,"Security",'Implementation plan'!$V$5:$V$72,"Done")</f>
        <v>0</v>
      </c>
      <c r="D12" s="44">
        <f>COUNTIFS('Implementation plan'!$F$5:$F$72,"Security",'Implementation plan'!$V$5:$V$72,"In progress")</f>
        <v>6</v>
      </c>
      <c r="E12" s="44">
        <f>COUNTIFS('Implementation plan'!$F$5:$F$72,"Security",'Implementation plan'!$V$5:$V$72,"Blocked")</f>
        <v>0</v>
      </c>
      <c r="F12" s="44">
        <f ca="1">COUNTIFS('Implementation plan'!$F$5:$F$72,"Security",'Implementation plan'!$AA$5:$AA$72,"Red")</f>
        <v>0</v>
      </c>
      <c r="G12" s="45">
        <f>SUMIFS('Implementation plan'!$M$5:$M$72,'Implementation plan'!$F$5:$F$72,"Security")</f>
        <v>16</v>
      </c>
      <c r="H12" s="45">
        <f>SUMPRODUCT(('Implementation plan'!$F$5:$F$72="Security")*'Implementation plan'!$M$5:$M$72*'Implementation plan'!$W$5:$W$72)</f>
        <v>7.4</v>
      </c>
      <c r="I12" s="46">
        <f t="shared" si="1"/>
        <v>0.46250000000000002</v>
      </c>
      <c r="J12" s="46">
        <f t="shared" si="2"/>
        <v>0</v>
      </c>
    </row>
    <row r="13" spans="1:10" x14ac:dyDescent="0.35">
      <c r="A13" s="44" t="s">
        <v>814</v>
      </c>
      <c r="B13" s="44">
        <f>COUNTIF('Implementation plan'!$F$5:$F$72,"GST &amp; compliance")</f>
        <v>12</v>
      </c>
      <c r="C13" s="44">
        <f>COUNTIFS('Implementation plan'!$F$5:$F$72,"GST &amp; compliance",'Implementation plan'!$V$5:$V$72,"Done")</f>
        <v>0</v>
      </c>
      <c r="D13" s="44">
        <f>COUNTIFS('Implementation plan'!$F$5:$F$72,"GST &amp; compliance",'Implementation plan'!$V$5:$V$72,"In progress")</f>
        <v>11</v>
      </c>
      <c r="E13" s="44">
        <f>COUNTIFS('Implementation plan'!$F$5:$F$72,"GST &amp; compliance",'Implementation plan'!$V$5:$V$72,"Blocked")</f>
        <v>0</v>
      </c>
      <c r="F13" s="44">
        <f ca="1">COUNTIFS('Implementation plan'!$F$5:$F$72,"GST &amp; compliance",'Implementation plan'!$AA$5:$AA$72,"Red")</f>
        <v>0</v>
      </c>
      <c r="G13" s="45">
        <f>SUMIFS('Implementation plan'!$M$5:$M$72,'Implementation plan'!$F$5:$F$72,"GST &amp; compliance")</f>
        <v>34.5</v>
      </c>
      <c r="H13" s="45">
        <f>SUMPRODUCT(('Implementation plan'!$F$5:$F$72="GST &amp; compliance")*'Implementation plan'!$M$5:$M$72*'Implementation plan'!$W$5:$W$72)</f>
        <v>12.2</v>
      </c>
      <c r="I13" s="46">
        <f t="shared" si="1"/>
        <v>0.3536231884057971</v>
      </c>
      <c r="J13" s="46">
        <f t="shared" si="2"/>
        <v>0</v>
      </c>
    </row>
    <row r="14" spans="1:10" x14ac:dyDescent="0.35">
      <c r="A14" s="44" t="s">
        <v>940</v>
      </c>
      <c r="B14" s="44">
        <f>COUNTIF('Implementation plan'!$F$5:$F$72,"Payments &amp; credit")</f>
        <v>8</v>
      </c>
      <c r="C14" s="44">
        <f>COUNTIFS('Implementation plan'!$F$5:$F$72,"Payments &amp; credit",'Implementation plan'!$V$5:$V$72,"Done")</f>
        <v>0</v>
      </c>
      <c r="D14" s="44">
        <f>COUNTIFS('Implementation plan'!$F$5:$F$72,"Payments &amp; credit",'Implementation plan'!$V$5:$V$72,"In progress")</f>
        <v>8</v>
      </c>
      <c r="E14" s="44">
        <f>COUNTIFS('Implementation plan'!$F$5:$F$72,"Payments &amp; credit",'Implementation plan'!$V$5:$V$72,"Blocked")</f>
        <v>0</v>
      </c>
      <c r="F14" s="44">
        <f ca="1">COUNTIFS('Implementation plan'!$F$5:$F$72,"Payments &amp; credit",'Implementation plan'!$AA$5:$AA$72,"Red")</f>
        <v>0</v>
      </c>
      <c r="G14" s="45">
        <f>SUMIFS('Implementation plan'!$M$5:$M$72,'Implementation plan'!$F$5:$F$72,"Payments &amp; credit")</f>
        <v>24</v>
      </c>
      <c r="H14" s="45">
        <f>SUMPRODUCT(('Implementation plan'!$F$5:$F$72="Payments &amp; credit")*'Implementation plan'!$M$5:$M$72*'Implementation plan'!$W$5:$W$72)</f>
        <v>9</v>
      </c>
      <c r="I14" s="46">
        <f t="shared" si="1"/>
        <v>0.375</v>
      </c>
      <c r="J14" s="46">
        <f t="shared" si="2"/>
        <v>0</v>
      </c>
    </row>
    <row r="15" spans="1:10" x14ac:dyDescent="0.35">
      <c r="A15" s="44" t="s">
        <v>982</v>
      </c>
      <c r="B15" s="44">
        <f>COUNTIF('Implementation plan'!$F$5:$F$72,"Inventory &amp; POS")</f>
        <v>17</v>
      </c>
      <c r="C15" s="44">
        <f>COUNTIFS('Implementation plan'!$F$5:$F$72,"Inventory &amp; POS",'Implementation plan'!$V$5:$V$72,"Done")</f>
        <v>0</v>
      </c>
      <c r="D15" s="44">
        <f>COUNTIFS('Implementation plan'!$F$5:$F$72,"Inventory &amp; POS",'Implementation plan'!$V$5:$V$72,"In progress")</f>
        <v>15</v>
      </c>
      <c r="E15" s="44">
        <f>COUNTIFS('Implementation plan'!$F$5:$F$72,"Inventory &amp; POS",'Implementation plan'!$V$5:$V$72,"Blocked")</f>
        <v>0</v>
      </c>
      <c r="F15" s="44">
        <f ca="1">COUNTIFS('Implementation plan'!$F$5:$F$72,"Inventory &amp; POS",'Implementation plan'!$AA$5:$AA$72,"Red")</f>
        <v>0</v>
      </c>
      <c r="G15" s="45">
        <f>SUMIFS('Implementation plan'!$M$5:$M$72,'Implementation plan'!$F$5:$F$72,"Inventory &amp; POS")</f>
        <v>50</v>
      </c>
      <c r="H15" s="45">
        <f>SUMPRODUCT(('Implementation plan'!$F$5:$F$72="Inventory &amp; POS")*'Implementation plan'!$M$5:$M$72*'Implementation plan'!$W$5:$W$72)</f>
        <v>12.6</v>
      </c>
      <c r="I15" s="46">
        <f t="shared" si="1"/>
        <v>0.252</v>
      </c>
      <c r="J15" s="46">
        <f t="shared" si="2"/>
        <v>0</v>
      </c>
    </row>
    <row r="16" spans="1:10" x14ac:dyDescent="0.35">
      <c r="A16" s="44" t="s">
        <v>785</v>
      </c>
      <c r="B16" s="44">
        <f>COUNTIF('Implementation plan'!$F$5:$F$72,"Platform &amp; reliability")</f>
        <v>5</v>
      </c>
      <c r="C16" s="44">
        <f>COUNTIFS('Implementation plan'!$F$5:$F$72,"Platform &amp; reliability",'Implementation plan'!$V$5:$V$72,"Done")</f>
        <v>0</v>
      </c>
      <c r="D16" s="44">
        <f>COUNTIFS('Implementation plan'!$F$5:$F$72,"Platform &amp; reliability",'Implementation plan'!$V$5:$V$72,"In progress")</f>
        <v>4</v>
      </c>
      <c r="E16" s="44">
        <f>COUNTIFS('Implementation plan'!$F$5:$F$72,"Platform &amp; reliability",'Implementation plan'!$V$5:$V$72,"Blocked")</f>
        <v>0</v>
      </c>
      <c r="F16" s="44">
        <f ca="1">COUNTIFS('Implementation plan'!$F$5:$F$72,"Platform &amp; reliability",'Implementation plan'!$AA$5:$AA$72,"Red")</f>
        <v>0</v>
      </c>
      <c r="G16" s="45">
        <f>SUMIFS('Implementation plan'!$M$5:$M$72,'Implementation plan'!$F$5:$F$72,"Platform &amp; reliability")</f>
        <v>13</v>
      </c>
      <c r="H16" s="45">
        <f>SUMPRODUCT(('Implementation plan'!$F$5:$F$72="Platform &amp; reliability")*'Implementation plan'!$M$5:$M$72*'Implementation plan'!$W$5:$W$72)</f>
        <v>2.7</v>
      </c>
      <c r="I16" s="46">
        <f t="shared" si="1"/>
        <v>0.2076923076923077</v>
      </c>
      <c r="J16" s="46">
        <f t="shared" si="2"/>
        <v>0</v>
      </c>
    </row>
    <row r="17" spans="1:10" x14ac:dyDescent="0.35">
      <c r="A17" s="44" t="s">
        <v>1115</v>
      </c>
      <c r="B17" s="44">
        <f>COUNTIF('Implementation plan'!$F$5:$F$72,"Growth &amp; SaaS")</f>
        <v>8</v>
      </c>
      <c r="C17" s="44">
        <f>COUNTIFS('Implementation plan'!$F$5:$F$72,"Growth &amp; SaaS",'Implementation plan'!$V$5:$V$72,"Done")</f>
        <v>0</v>
      </c>
      <c r="D17" s="44">
        <f>COUNTIFS('Implementation plan'!$F$5:$F$72,"Growth &amp; SaaS",'Implementation plan'!$V$5:$V$72,"In progress")</f>
        <v>8</v>
      </c>
      <c r="E17" s="44">
        <f>COUNTIFS('Implementation plan'!$F$5:$F$72,"Growth &amp; SaaS",'Implementation plan'!$V$5:$V$72,"Blocked")</f>
        <v>0</v>
      </c>
      <c r="F17" s="44">
        <f ca="1">COUNTIFS('Implementation plan'!$F$5:$F$72,"Growth &amp; SaaS",'Implementation plan'!$AA$5:$AA$72,"Red")</f>
        <v>0</v>
      </c>
      <c r="G17" s="45">
        <f>SUMIFS('Implementation plan'!$M$5:$M$72,'Implementation plan'!$F$5:$F$72,"Growth &amp; SaaS")</f>
        <v>52</v>
      </c>
      <c r="H17" s="45">
        <f>SUMPRODUCT(('Implementation plan'!$F$5:$F$72="Growth &amp; SaaS")*'Implementation plan'!$M$5:$M$72*'Implementation plan'!$W$5:$W$72)</f>
        <v>11</v>
      </c>
      <c r="I17" s="46">
        <f t="shared" si="1"/>
        <v>0.21153846153846154</v>
      </c>
      <c r="J17" s="46">
        <f t="shared" si="2"/>
        <v>0</v>
      </c>
    </row>
    <row r="18" spans="1:10" x14ac:dyDescent="0.35">
      <c r="A18" s="44" t="s">
        <v>1046</v>
      </c>
      <c r="B18" s="44">
        <f>COUNTIF('Implementation plan'!$F$5:$F$72,"Quality gate")</f>
        <v>3</v>
      </c>
      <c r="C18" s="44">
        <f>COUNTIFS('Implementation plan'!$F$5:$F$72,"Quality gate",'Implementation plan'!$V$5:$V$72,"Done")</f>
        <v>0</v>
      </c>
      <c r="D18" s="44">
        <f>COUNTIFS('Implementation plan'!$F$5:$F$72,"Quality gate",'Implementation plan'!$V$5:$V$72,"In progress")</f>
        <v>0</v>
      </c>
      <c r="E18" s="44">
        <f>COUNTIFS('Implementation plan'!$F$5:$F$72,"Quality gate",'Implementation plan'!$V$5:$V$72,"Blocked")</f>
        <v>0</v>
      </c>
      <c r="F18" s="44">
        <f ca="1">COUNTIFS('Implementation plan'!$F$5:$F$72,"Quality gate",'Implementation plan'!$AA$5:$AA$72,"Red")</f>
        <v>0</v>
      </c>
      <c r="G18" s="45">
        <f>SUMIFS('Implementation plan'!$M$5:$M$72,'Implementation plan'!$F$5:$F$72,"Quality gate")</f>
        <v>6</v>
      </c>
      <c r="H18" s="45">
        <f>SUMPRODUCT(('Implementation plan'!$F$5:$F$72="Quality gate")*'Implementation plan'!$M$5:$M$72*'Implementation plan'!$W$5:$W$72)</f>
        <v>0</v>
      </c>
      <c r="I18" s="46">
        <f t="shared" si="1"/>
        <v>0</v>
      </c>
      <c r="J18" s="46">
        <f t="shared" si="2"/>
        <v>0</v>
      </c>
    </row>
    <row r="19" spans="1:10" x14ac:dyDescent="0.35">
      <c r="A19" s="7" t="s">
        <v>1242</v>
      </c>
      <c r="B19" s="7">
        <f t="shared" ref="B19:H19" si="3">SUM(B11:B18)</f>
        <v>68</v>
      </c>
      <c r="C19" s="7">
        <f t="shared" si="3"/>
        <v>0</v>
      </c>
      <c r="D19" s="7">
        <f t="shared" si="3"/>
        <v>60</v>
      </c>
      <c r="E19" s="7">
        <f t="shared" si="3"/>
        <v>0</v>
      </c>
      <c r="F19" s="7">
        <f t="shared" ca="1" si="3"/>
        <v>0</v>
      </c>
      <c r="G19" s="7">
        <f t="shared" si="3"/>
        <v>212.5</v>
      </c>
      <c r="H19" s="7">
        <f t="shared" si="3"/>
        <v>60.300000000000004</v>
      </c>
      <c r="I19" s="31">
        <f t="shared" si="1"/>
        <v>0.28376470588235297</v>
      </c>
      <c r="J19" s="31">
        <f t="shared" si="2"/>
        <v>0</v>
      </c>
    </row>
    <row r="21" spans="1:10" x14ac:dyDescent="0.35">
      <c r="A21" s="37" t="s">
        <v>760</v>
      </c>
      <c r="B21" s="37" t="s">
        <v>496</v>
      </c>
      <c r="C21" s="37" t="s">
        <v>791</v>
      </c>
      <c r="D21" s="37" t="s">
        <v>792</v>
      </c>
      <c r="E21" s="37" t="s">
        <v>1233</v>
      </c>
      <c r="F21" s="37" t="s">
        <v>1234</v>
      </c>
      <c r="G21" s="37" t="s">
        <v>1235</v>
      </c>
      <c r="H21" s="37" t="s">
        <v>1236</v>
      </c>
      <c r="I21" s="37" t="s">
        <v>1237</v>
      </c>
      <c r="J21" s="37" t="s">
        <v>1238</v>
      </c>
    </row>
    <row r="22" spans="1:10" x14ac:dyDescent="0.35">
      <c r="A22" s="44" t="s">
        <v>790</v>
      </c>
      <c r="B22" s="44">
        <f>COUNTIF('Implementation plan'!$L$5:$L$72,"Agent 1")</f>
        <v>34</v>
      </c>
      <c r="C22" s="44">
        <f>COUNTIFS('Implementation plan'!$L$5:$L$72,"Agent 1",'Implementation plan'!$V$5:$V$72,"Done")</f>
        <v>0</v>
      </c>
      <c r="D22" s="44">
        <f>COUNTIFS('Implementation plan'!$L$5:$L$72,"Agent 1",'Implementation plan'!$V$5:$V$72,"In progress")</f>
        <v>30</v>
      </c>
      <c r="E22" s="44">
        <f>COUNTIFS('Implementation plan'!$L$5:$L$72,"Agent 1",'Implementation plan'!$V$5:$V$72,"Blocked")</f>
        <v>0</v>
      </c>
      <c r="F22" s="44">
        <f ca="1">COUNTIFS('Implementation plan'!$L$5:$L$72,"Agent 1",'Implementation plan'!$AA$5:$AA$72,"Red")</f>
        <v>0</v>
      </c>
      <c r="G22" s="45">
        <f>SUMIFS('Implementation plan'!$M$5:$M$72,'Implementation plan'!$L$5:$L$72,"Agent 1")</f>
        <v>92.5</v>
      </c>
      <c r="H22" s="45">
        <f>SUMPRODUCT(('Implementation plan'!$L$5:$L$72="Agent 1")*'Implementation plan'!$M$5:$M$72*'Implementation plan'!$W$5:$W$72)</f>
        <v>28.500000000000004</v>
      </c>
      <c r="I22" s="46">
        <f t="shared" ref="I22:I27" si="4">IF(G22=0,0,H22/G22)</f>
        <v>0.30810810810810813</v>
      </c>
      <c r="J22" s="46">
        <f t="shared" ref="J22:J27" si="5">IF(B22=0,0,C22/B22)</f>
        <v>0</v>
      </c>
    </row>
    <row r="23" spans="1:10" x14ac:dyDescent="0.35">
      <c r="A23" s="44" t="s">
        <v>825</v>
      </c>
      <c r="B23" s="44">
        <f>COUNTIF('Implementation plan'!$L$5:$L$72,"Agent 2")</f>
        <v>31</v>
      </c>
      <c r="C23" s="44">
        <f>COUNTIFS('Implementation plan'!$L$5:$L$72,"Agent 2",'Implementation plan'!$V$5:$V$72,"Done")</f>
        <v>0</v>
      </c>
      <c r="D23" s="44">
        <f>COUNTIFS('Implementation plan'!$L$5:$L$72,"Agent 2",'Implementation plan'!$V$5:$V$72,"In progress")</f>
        <v>30</v>
      </c>
      <c r="E23" s="44">
        <f>COUNTIFS('Implementation plan'!$L$5:$L$72,"Agent 2",'Implementation plan'!$V$5:$V$72,"Blocked")</f>
        <v>0</v>
      </c>
      <c r="F23" s="44">
        <f ca="1">COUNTIFS('Implementation plan'!$L$5:$L$72,"Agent 2",'Implementation plan'!$AA$5:$AA$72,"Red")</f>
        <v>0</v>
      </c>
      <c r="G23" s="45">
        <f>SUMIFS('Implementation plan'!$M$5:$M$72,'Implementation plan'!$L$5:$L$72,"Agent 2")</f>
        <v>118</v>
      </c>
      <c r="H23" s="45">
        <f>SUMPRODUCT(('Implementation plan'!$L$5:$L$72="Agent 2")*'Implementation plan'!$M$5:$M$72*'Implementation plan'!$W$5:$W$72)</f>
        <v>31.799999999999997</v>
      </c>
      <c r="I23" s="46">
        <f t="shared" si="4"/>
        <v>0.26949152542372878</v>
      </c>
      <c r="J23" s="46">
        <f t="shared" si="5"/>
        <v>0</v>
      </c>
    </row>
    <row r="24" spans="1:10" x14ac:dyDescent="0.35">
      <c r="A24" s="44" t="s">
        <v>1243</v>
      </c>
      <c r="B24" s="44">
        <f>COUNTIF('Implementation plan'!$L$5:$L$72,"Human reviewer")</f>
        <v>0</v>
      </c>
      <c r="C24" s="44">
        <f>COUNTIFS('Implementation plan'!$L$5:$L$72,"Human reviewer",'Implementation plan'!$V$5:$V$72,"Done")</f>
        <v>0</v>
      </c>
      <c r="D24" s="44">
        <f>COUNTIFS('Implementation plan'!$L$5:$L$72,"Human reviewer",'Implementation plan'!$V$5:$V$72,"In progress")</f>
        <v>0</v>
      </c>
      <c r="E24" s="44">
        <f>COUNTIFS('Implementation plan'!$L$5:$L$72,"Human reviewer",'Implementation plan'!$V$5:$V$72,"Blocked")</f>
        <v>0</v>
      </c>
      <c r="F24" s="44">
        <f>COUNTIFS('Implementation plan'!$L$5:$L$72,"Human reviewer",'Implementation plan'!$AA$5:$AA$72,"Red")</f>
        <v>0</v>
      </c>
      <c r="G24" s="45">
        <f>SUMIFS('Implementation plan'!$M$5:$M$72,'Implementation plan'!$L$5:$L$72,"Human reviewer")</f>
        <v>0</v>
      </c>
      <c r="H24" s="45">
        <f>SUMPRODUCT(('Implementation plan'!$L$5:$L$72="Human reviewer")*'Implementation plan'!$M$5:$M$72*'Implementation plan'!$W$5:$W$72)</f>
        <v>0</v>
      </c>
      <c r="I24" s="46">
        <f t="shared" si="4"/>
        <v>0</v>
      </c>
      <c r="J24" s="46">
        <f t="shared" si="5"/>
        <v>0</v>
      </c>
    </row>
    <row r="25" spans="1:10" x14ac:dyDescent="0.35">
      <c r="A25" s="44" t="s">
        <v>805</v>
      </c>
      <c r="B25" s="44">
        <f>COUNTIF('Implementation plan'!$L$5:$L$72,"Founder")</f>
        <v>2</v>
      </c>
      <c r="C25" s="44">
        <f>COUNTIFS('Implementation plan'!$L$5:$L$72,"Founder",'Implementation plan'!$V$5:$V$72,"Done")</f>
        <v>0</v>
      </c>
      <c r="D25" s="44">
        <f>COUNTIFS('Implementation plan'!$L$5:$L$72,"Founder",'Implementation plan'!$V$5:$V$72,"In progress")</f>
        <v>0</v>
      </c>
      <c r="E25" s="44">
        <f>COUNTIFS('Implementation plan'!$L$5:$L$72,"Founder",'Implementation plan'!$V$5:$V$72,"Blocked")</f>
        <v>0</v>
      </c>
      <c r="F25" s="44">
        <f ca="1">COUNTIFS('Implementation plan'!$L$5:$L$72,"Founder",'Implementation plan'!$AA$5:$AA$72,"Red")</f>
        <v>0</v>
      </c>
      <c r="G25" s="45">
        <f>SUMIFS('Implementation plan'!$M$5:$M$72,'Implementation plan'!$L$5:$L$72,"Founder")</f>
        <v>1</v>
      </c>
      <c r="H25" s="45">
        <f>SUMPRODUCT(('Implementation plan'!$L$5:$L$72="Founder")*'Implementation plan'!$M$5:$M$72*'Implementation plan'!$W$5:$W$72)</f>
        <v>0</v>
      </c>
      <c r="I25" s="46">
        <f t="shared" si="4"/>
        <v>0</v>
      </c>
      <c r="J25" s="46">
        <f t="shared" si="5"/>
        <v>0</v>
      </c>
    </row>
    <row r="26" spans="1:10" x14ac:dyDescent="0.35">
      <c r="A26" s="44" t="s">
        <v>1018</v>
      </c>
      <c r="B26" s="44">
        <f>COUNTIF('Implementation plan'!$L$5:$L$72,"CA / external")</f>
        <v>1</v>
      </c>
      <c r="C26" s="44">
        <f>COUNTIFS('Implementation plan'!$L$5:$L$72,"CA / external",'Implementation plan'!$V$5:$V$72,"Done")</f>
        <v>0</v>
      </c>
      <c r="D26" s="44">
        <f>COUNTIFS('Implementation plan'!$L$5:$L$72,"CA / external",'Implementation plan'!$V$5:$V$72,"In progress")</f>
        <v>0</v>
      </c>
      <c r="E26" s="44">
        <f>COUNTIFS('Implementation plan'!$L$5:$L$72,"CA / external",'Implementation plan'!$V$5:$V$72,"Blocked")</f>
        <v>0</v>
      </c>
      <c r="F26" s="44">
        <f ca="1">COUNTIFS('Implementation plan'!$L$5:$L$72,"CA / external",'Implementation plan'!$AA$5:$AA$72,"Red")</f>
        <v>0</v>
      </c>
      <c r="G26" s="45">
        <f>SUMIFS('Implementation plan'!$M$5:$M$72,'Implementation plan'!$L$5:$L$72,"CA / external")</f>
        <v>1</v>
      </c>
      <c r="H26" s="45">
        <f>SUMPRODUCT(('Implementation plan'!$L$5:$L$72="CA / external")*'Implementation plan'!$M$5:$M$72*'Implementation plan'!$W$5:$W$72)</f>
        <v>0</v>
      </c>
      <c r="I26" s="46">
        <f t="shared" si="4"/>
        <v>0</v>
      </c>
      <c r="J26" s="46">
        <f t="shared" si="5"/>
        <v>0</v>
      </c>
    </row>
    <row r="27" spans="1:10" x14ac:dyDescent="0.35">
      <c r="A27" s="7" t="s">
        <v>1242</v>
      </c>
      <c r="B27" s="7">
        <f t="shared" ref="B27:H27" si="6">SUM(B22:B26)</f>
        <v>68</v>
      </c>
      <c r="C27" s="7">
        <f t="shared" si="6"/>
        <v>0</v>
      </c>
      <c r="D27" s="7">
        <f t="shared" si="6"/>
        <v>60</v>
      </c>
      <c r="E27" s="7">
        <f t="shared" si="6"/>
        <v>0</v>
      </c>
      <c r="F27" s="7">
        <f t="shared" ca="1" si="6"/>
        <v>0</v>
      </c>
      <c r="G27" s="7">
        <f t="shared" si="6"/>
        <v>212.5</v>
      </c>
      <c r="H27" s="7">
        <f t="shared" si="6"/>
        <v>60.3</v>
      </c>
      <c r="I27" s="31">
        <f t="shared" si="4"/>
        <v>0.28376470588235292</v>
      </c>
      <c r="J27" s="31">
        <f t="shared" si="5"/>
        <v>0</v>
      </c>
    </row>
    <row r="29" spans="1:10" x14ac:dyDescent="0.35">
      <c r="A29" s="37" t="s">
        <v>779</v>
      </c>
      <c r="B29" s="37" t="s">
        <v>496</v>
      </c>
      <c r="C29" s="37" t="s">
        <v>791</v>
      </c>
      <c r="D29" s="37" t="s">
        <v>792</v>
      </c>
      <c r="E29" s="37" t="s">
        <v>1233</v>
      </c>
      <c r="F29" s="37" t="s">
        <v>1234</v>
      </c>
      <c r="G29" s="37" t="s">
        <v>1235</v>
      </c>
      <c r="H29" s="37" t="s">
        <v>1236</v>
      </c>
      <c r="I29" s="37" t="s">
        <v>1237</v>
      </c>
      <c r="J29" s="37" t="s">
        <v>1238</v>
      </c>
    </row>
    <row r="30" spans="1:10" x14ac:dyDescent="0.35">
      <c r="A30" s="44" t="s">
        <v>827</v>
      </c>
      <c r="B30" s="44">
        <f>COUNTIF('Implementation plan'!$AG$5:$AG$72,"feature")</f>
        <v>48</v>
      </c>
      <c r="C30" s="44">
        <f>COUNTIFS('Implementation plan'!$AG$5:$AG$72,"feature",'Implementation plan'!$V$5:$V$72,"Done")</f>
        <v>0</v>
      </c>
      <c r="D30" s="44">
        <f>COUNTIFS('Implementation plan'!$AG$5:$AG$72,"feature",'Implementation plan'!$V$5:$V$72,"In progress")</f>
        <v>48</v>
      </c>
      <c r="E30" s="44">
        <f>COUNTIFS('Implementation plan'!$AG$5:$AG$72,"feature",'Implementation plan'!$V$5:$V$72,"Blocked")</f>
        <v>0</v>
      </c>
      <c r="F30" s="44">
        <f ca="1">COUNTIFS('Implementation plan'!$AG$5:$AG$72,"feature",'Implementation plan'!$AA$5:$AA$72,"Red")</f>
        <v>0</v>
      </c>
      <c r="G30" s="45">
        <f>SUMIFS('Implementation plan'!$M$5:$M$72,'Implementation plan'!$AG$5:$AG$72,"feature")</f>
        <v>171</v>
      </c>
      <c r="H30" s="45">
        <f>SUMPRODUCT(('Implementation plan'!$AG$5:$AG$72="feature")*'Implementation plan'!$M$5:$M$72*'Implementation plan'!$W$5:$W$72)</f>
        <v>54.40000000000002</v>
      </c>
      <c r="I30" s="46">
        <f t="shared" ref="I30:I38" si="7">IF(G30=0,0,H30/G30)</f>
        <v>0.31812865497076037</v>
      </c>
      <c r="J30" s="46">
        <f t="shared" ref="J30:J38" si="8">IF(B30=0,0,C30/B30)</f>
        <v>0</v>
      </c>
    </row>
    <row r="31" spans="1:10" x14ac:dyDescent="0.35">
      <c r="A31" s="44" t="s">
        <v>1101</v>
      </c>
      <c r="B31" s="44">
        <f>COUNTIF('Implementation plan'!$AG$5:$AG$72,"web")</f>
        <v>9</v>
      </c>
      <c r="C31" s="44">
        <f>COUNTIFS('Implementation plan'!$AG$5:$AG$72,"web",'Implementation plan'!$V$5:$V$72,"Done")</f>
        <v>0</v>
      </c>
      <c r="D31" s="44">
        <f>COUNTIFS('Implementation plan'!$AG$5:$AG$72,"web",'Implementation plan'!$V$5:$V$72,"In progress")</f>
        <v>8</v>
      </c>
      <c r="E31" s="44">
        <f>COUNTIFS('Implementation plan'!$AG$5:$AG$72,"web",'Implementation plan'!$V$5:$V$72,"Blocked")</f>
        <v>0</v>
      </c>
      <c r="F31" s="44">
        <f ca="1">COUNTIFS('Implementation plan'!$AG$5:$AG$72,"web",'Implementation plan'!$AA$5:$AA$72,"Red")</f>
        <v>0</v>
      </c>
      <c r="G31" s="45">
        <f>SUMIFS('Implementation plan'!$M$5:$M$72,'Implementation plan'!$AG$5:$AG$72,"web")</f>
        <v>22</v>
      </c>
      <c r="H31" s="45">
        <f>SUMPRODUCT(('Implementation plan'!$AG$5:$AG$72="web")*'Implementation plan'!$M$5:$M$72*'Implementation plan'!$W$5:$W$72)</f>
        <v>4.4000000000000004</v>
      </c>
      <c r="I31" s="46">
        <f t="shared" si="7"/>
        <v>0.2</v>
      </c>
      <c r="J31" s="46">
        <f t="shared" si="8"/>
        <v>0</v>
      </c>
    </row>
    <row r="32" spans="1:10" x14ac:dyDescent="0.35">
      <c r="A32" s="44" t="s">
        <v>988</v>
      </c>
      <c r="B32" s="44">
        <f>COUNTIF('Implementation plan'!$AG$5:$AG$72,"perf")</f>
        <v>2</v>
      </c>
      <c r="C32" s="44">
        <f>COUNTIFS('Implementation plan'!$AG$5:$AG$72,"perf",'Implementation plan'!$V$5:$V$72,"Done")</f>
        <v>0</v>
      </c>
      <c r="D32" s="44">
        <f>COUNTIFS('Implementation plan'!$AG$5:$AG$72,"perf",'Implementation plan'!$V$5:$V$72,"In progress")</f>
        <v>1</v>
      </c>
      <c r="E32" s="44">
        <f>COUNTIFS('Implementation plan'!$AG$5:$AG$72,"perf",'Implementation plan'!$V$5:$V$72,"Blocked")</f>
        <v>0</v>
      </c>
      <c r="F32" s="44">
        <f ca="1">COUNTIFS('Implementation plan'!$AG$5:$AG$72,"perf",'Implementation plan'!$AA$5:$AA$72,"Red")</f>
        <v>0</v>
      </c>
      <c r="G32" s="45">
        <f>SUMIFS('Implementation plan'!$M$5:$M$72,'Implementation plan'!$AG$5:$AG$72,"perf")</f>
        <v>7</v>
      </c>
      <c r="H32" s="45">
        <f>SUMPRODUCT(('Implementation plan'!$AG$5:$AG$72="perf")*'Implementation plan'!$M$5:$M$72*'Implementation plan'!$W$5:$W$72)</f>
        <v>0.4</v>
      </c>
      <c r="I32" s="46">
        <f t="shared" si="7"/>
        <v>5.7142857142857148E-2</v>
      </c>
      <c r="J32" s="46">
        <f t="shared" si="8"/>
        <v>0</v>
      </c>
    </row>
    <row r="33" spans="1:10" x14ac:dyDescent="0.35">
      <c r="A33" s="44" t="s">
        <v>862</v>
      </c>
      <c r="B33" s="44">
        <f>COUNTIF('Implementation plan'!$AG$5:$AG$72,"infra drill")</f>
        <v>2</v>
      </c>
      <c r="C33" s="44">
        <f>COUNTIFS('Implementation plan'!$AG$5:$AG$72,"infra drill",'Implementation plan'!$V$5:$V$72,"Done")</f>
        <v>0</v>
      </c>
      <c r="D33" s="44">
        <f>COUNTIFS('Implementation plan'!$AG$5:$AG$72,"infra drill",'Implementation plan'!$V$5:$V$72,"In progress")</f>
        <v>2</v>
      </c>
      <c r="E33" s="44">
        <f>COUNTIFS('Implementation plan'!$AG$5:$AG$72,"infra drill",'Implementation plan'!$V$5:$V$72,"Blocked")</f>
        <v>0</v>
      </c>
      <c r="F33" s="44">
        <f ca="1">COUNTIFS('Implementation plan'!$AG$5:$AG$72,"infra drill",'Implementation plan'!$AA$5:$AA$72,"Red")</f>
        <v>0</v>
      </c>
      <c r="G33" s="45">
        <f>SUMIFS('Implementation plan'!$M$5:$M$72,'Implementation plan'!$AG$5:$AG$72,"infra drill")</f>
        <v>3.5</v>
      </c>
      <c r="H33" s="45">
        <f>SUMPRODUCT(('Implementation plan'!$AG$5:$AG$72="infra drill")*'Implementation plan'!$M$5:$M$72*'Implementation plan'!$W$5:$W$72)</f>
        <v>0.70000000000000007</v>
      </c>
      <c r="I33" s="46">
        <f t="shared" si="7"/>
        <v>0.2</v>
      </c>
      <c r="J33" s="46">
        <f t="shared" si="8"/>
        <v>0</v>
      </c>
    </row>
    <row r="34" spans="1:10" x14ac:dyDescent="0.35">
      <c r="A34" s="44" t="s">
        <v>797</v>
      </c>
      <c r="B34" s="44">
        <f>COUNTIF('Implementation plan'!$AG$5:$AG$72,"tooling")</f>
        <v>1</v>
      </c>
      <c r="C34" s="44">
        <f>COUNTIFS('Implementation plan'!$AG$5:$AG$72,"tooling",'Implementation plan'!$V$5:$V$72,"Done")</f>
        <v>0</v>
      </c>
      <c r="D34" s="44">
        <f>COUNTIFS('Implementation plan'!$AG$5:$AG$72,"tooling",'Implementation plan'!$V$5:$V$72,"In progress")</f>
        <v>1</v>
      </c>
      <c r="E34" s="44">
        <f>COUNTIFS('Implementation plan'!$AG$5:$AG$72,"tooling",'Implementation plan'!$V$5:$V$72,"Blocked")</f>
        <v>0</v>
      </c>
      <c r="F34" s="44">
        <f ca="1">COUNTIFS('Implementation plan'!$AG$5:$AG$72,"tooling",'Implementation plan'!$AA$5:$AA$72,"Red")</f>
        <v>0</v>
      </c>
      <c r="G34" s="45">
        <f>SUMIFS('Implementation plan'!$M$5:$M$72,'Implementation plan'!$AG$5:$AG$72,"tooling")</f>
        <v>1</v>
      </c>
      <c r="H34" s="45">
        <f>SUMPRODUCT(('Implementation plan'!$AG$5:$AG$72="tooling")*'Implementation plan'!$M$5:$M$72*'Implementation plan'!$W$5:$W$72)</f>
        <v>0.4</v>
      </c>
      <c r="I34" s="46">
        <f t="shared" si="7"/>
        <v>0.4</v>
      </c>
      <c r="J34" s="46">
        <f t="shared" si="8"/>
        <v>0</v>
      </c>
    </row>
    <row r="35" spans="1:10" x14ac:dyDescent="0.35">
      <c r="A35" s="44" t="s">
        <v>809</v>
      </c>
      <c r="B35" s="44">
        <f>COUNTIF('Implementation plan'!$AG$5:$AG$72,"decision")</f>
        <v>2</v>
      </c>
      <c r="C35" s="44">
        <f>COUNTIFS('Implementation plan'!$AG$5:$AG$72,"decision",'Implementation plan'!$V$5:$V$72,"Done")</f>
        <v>0</v>
      </c>
      <c r="D35" s="44">
        <f>COUNTIFS('Implementation plan'!$AG$5:$AG$72,"decision",'Implementation plan'!$V$5:$V$72,"In progress")</f>
        <v>0</v>
      </c>
      <c r="E35" s="44">
        <f>COUNTIFS('Implementation plan'!$AG$5:$AG$72,"decision",'Implementation plan'!$V$5:$V$72,"Blocked")</f>
        <v>0</v>
      </c>
      <c r="F35" s="44">
        <f ca="1">COUNTIFS('Implementation plan'!$AG$5:$AG$72,"decision",'Implementation plan'!$AA$5:$AA$72,"Red")</f>
        <v>0</v>
      </c>
      <c r="G35" s="45">
        <f>SUMIFS('Implementation plan'!$M$5:$M$72,'Implementation plan'!$AG$5:$AG$72,"decision")</f>
        <v>1</v>
      </c>
      <c r="H35" s="45">
        <f>SUMPRODUCT(('Implementation plan'!$AG$5:$AG$72="decision")*'Implementation plan'!$M$5:$M$72*'Implementation plan'!$W$5:$W$72)</f>
        <v>0</v>
      </c>
      <c r="I35" s="46">
        <f t="shared" si="7"/>
        <v>0</v>
      </c>
      <c r="J35" s="46">
        <f t="shared" si="8"/>
        <v>0</v>
      </c>
    </row>
    <row r="36" spans="1:10" x14ac:dyDescent="0.35">
      <c r="A36" s="44" t="s">
        <v>1020</v>
      </c>
      <c r="B36" s="44">
        <f>COUNTIF('Implementation plan'!$AG$5:$AG$72,"external")</f>
        <v>1</v>
      </c>
      <c r="C36" s="44">
        <f>COUNTIFS('Implementation plan'!$AG$5:$AG$72,"external",'Implementation plan'!$V$5:$V$72,"Done")</f>
        <v>0</v>
      </c>
      <c r="D36" s="44">
        <f>COUNTIFS('Implementation plan'!$AG$5:$AG$72,"external",'Implementation plan'!$V$5:$V$72,"In progress")</f>
        <v>0</v>
      </c>
      <c r="E36" s="44">
        <f>COUNTIFS('Implementation plan'!$AG$5:$AG$72,"external",'Implementation plan'!$V$5:$V$72,"Blocked")</f>
        <v>0</v>
      </c>
      <c r="F36" s="44">
        <f ca="1">COUNTIFS('Implementation plan'!$AG$5:$AG$72,"external",'Implementation plan'!$AA$5:$AA$72,"Red")</f>
        <v>0</v>
      </c>
      <c r="G36" s="45">
        <f>SUMIFS('Implementation plan'!$M$5:$M$72,'Implementation plan'!$AG$5:$AG$72,"external")</f>
        <v>1</v>
      </c>
      <c r="H36" s="45">
        <f>SUMPRODUCT(('Implementation plan'!$AG$5:$AG$72="external")*'Implementation plan'!$M$5:$M$72*'Implementation plan'!$W$5:$W$72)</f>
        <v>0</v>
      </c>
      <c r="I36" s="46">
        <f t="shared" si="7"/>
        <v>0</v>
      </c>
      <c r="J36" s="46">
        <f t="shared" si="8"/>
        <v>0</v>
      </c>
    </row>
    <row r="37" spans="1:10" x14ac:dyDescent="0.35">
      <c r="A37" s="44" t="s">
        <v>1051</v>
      </c>
      <c r="B37" s="44">
        <f>COUNTIF('Implementation plan'!$AG$5:$AG$72,"gate")</f>
        <v>3</v>
      </c>
      <c r="C37" s="44">
        <f>COUNTIFS('Implementation plan'!$AG$5:$AG$72,"gate",'Implementation plan'!$V$5:$V$72,"Done")</f>
        <v>0</v>
      </c>
      <c r="D37" s="44">
        <f>COUNTIFS('Implementation plan'!$AG$5:$AG$72,"gate",'Implementation plan'!$V$5:$V$72,"In progress")</f>
        <v>0</v>
      </c>
      <c r="E37" s="44">
        <f>COUNTIFS('Implementation plan'!$AG$5:$AG$72,"gate",'Implementation plan'!$V$5:$V$72,"Blocked")</f>
        <v>0</v>
      </c>
      <c r="F37" s="44">
        <f ca="1">COUNTIFS('Implementation plan'!$AG$5:$AG$72,"gate",'Implementation plan'!$AA$5:$AA$72,"Red")</f>
        <v>0</v>
      </c>
      <c r="G37" s="45">
        <f>SUMIFS('Implementation plan'!$M$5:$M$72,'Implementation plan'!$AG$5:$AG$72,"gate")</f>
        <v>6</v>
      </c>
      <c r="H37" s="45">
        <f>SUMPRODUCT(('Implementation plan'!$AG$5:$AG$72="gate")*'Implementation plan'!$M$5:$M$72*'Implementation plan'!$W$5:$W$72)</f>
        <v>0</v>
      </c>
      <c r="I37" s="46">
        <f t="shared" si="7"/>
        <v>0</v>
      </c>
      <c r="J37" s="46">
        <f t="shared" si="8"/>
        <v>0</v>
      </c>
    </row>
    <row r="38" spans="1:10" x14ac:dyDescent="0.35">
      <c r="A38" s="7" t="s">
        <v>1242</v>
      </c>
      <c r="B38" s="7">
        <f t="shared" ref="B38:H38" si="9">SUM(B30:B37)</f>
        <v>68</v>
      </c>
      <c r="C38" s="7">
        <f t="shared" si="9"/>
        <v>0</v>
      </c>
      <c r="D38" s="7">
        <f t="shared" si="9"/>
        <v>60</v>
      </c>
      <c r="E38" s="7">
        <f t="shared" si="9"/>
        <v>0</v>
      </c>
      <c r="F38" s="7">
        <f t="shared" ca="1" si="9"/>
        <v>0</v>
      </c>
      <c r="G38" s="7">
        <f t="shared" si="9"/>
        <v>212.5</v>
      </c>
      <c r="H38" s="7">
        <f t="shared" si="9"/>
        <v>60.300000000000018</v>
      </c>
      <c r="I38" s="31">
        <f t="shared" si="7"/>
        <v>0.28376470588235303</v>
      </c>
      <c r="J38" s="31">
        <f t="shared" si="8"/>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1"/>
  <sheetViews>
    <sheetView showGridLines="0" workbookViewId="0">
      <pane ySplit="4" topLeftCell="A5" activePane="bottomLeft" state="frozen"/>
      <selection pane="bottomLeft"/>
    </sheetView>
  </sheetViews>
  <sheetFormatPr defaultRowHeight="14.5" x14ac:dyDescent="0.35"/>
  <cols>
    <col min="1" max="2" width="14" customWidth="1"/>
    <col min="3" max="3" width="11" customWidth="1"/>
    <col min="4" max="5" width="14" customWidth="1"/>
    <col min="6" max="7" width="16" customWidth="1"/>
    <col min="8" max="9" width="14" customWidth="1"/>
    <col min="10" max="10" width="11" customWidth="1"/>
  </cols>
  <sheetData>
    <row r="1" spans="1:10" ht="21" x14ac:dyDescent="0.5">
      <c r="A1" s="27" t="s">
        <v>1244</v>
      </c>
    </row>
    <row r="2" spans="1:10" ht="104" x14ac:dyDescent="0.35">
      <c r="A2" s="28" t="s">
        <v>1245</v>
      </c>
    </row>
    <row r="4" spans="1:10" ht="29" x14ac:dyDescent="0.35">
      <c r="A4" s="37" t="s">
        <v>1246</v>
      </c>
      <c r="B4" s="37" t="s">
        <v>1247</v>
      </c>
      <c r="C4" s="37" t="s">
        <v>1248</v>
      </c>
      <c r="D4" s="37" t="s">
        <v>1249</v>
      </c>
      <c r="E4" s="37" t="s">
        <v>1250</v>
      </c>
      <c r="F4" s="37" t="s">
        <v>1251</v>
      </c>
      <c r="G4" s="37" t="s">
        <v>1252</v>
      </c>
      <c r="H4" s="37" t="s">
        <v>1253</v>
      </c>
      <c r="I4" s="37" t="s">
        <v>1254</v>
      </c>
      <c r="J4" s="37" t="s">
        <v>1255</v>
      </c>
    </row>
    <row r="5" spans="1:10" x14ac:dyDescent="0.35">
      <c r="A5" s="47">
        <v>46307</v>
      </c>
      <c r="B5" s="47">
        <f t="shared" ref="B5:B41" si="0">A5+6</f>
        <v>46313</v>
      </c>
      <c r="C5" s="44">
        <f>COUNTIFS('Implementation plan'!$P$5:$P$72,"&gt;="&amp;A5,'Implementation plan'!$P$5:$P$72,"&lt;="&amp;B5)</f>
        <v>4</v>
      </c>
      <c r="D5" s="44">
        <f>SUMIFS('Implementation plan'!$N$5:$N$72,'Implementation plan'!$P$5:$P$72,"&gt;="&amp;A5,'Implementation plan'!$P$5:$P$72,"&lt;="&amp;B5)</f>
        <v>8</v>
      </c>
      <c r="E5" s="44">
        <f>COUNTIFS('Implementation plan'!$Y$5:$Y$72,"&gt;="&amp;A5,'Implementation plan'!$Y$5:$Y$72,"&lt;="&amp;B5)</f>
        <v>0</v>
      </c>
      <c r="F5" s="44">
        <f>SUM(C$5:C5)</f>
        <v>4</v>
      </c>
      <c r="G5" s="44" t="str">
        <f ca="1">IF(A5&gt;TODAY(),"",SUM(E$5:E5))</f>
        <v/>
      </c>
      <c r="H5" s="46">
        <f>F5/COUNTA('Implementation plan'!$A$5:$A$72)</f>
        <v>5.8823529411764705E-2</v>
      </c>
      <c r="I5" s="46" t="str">
        <f ca="1">IF(G5="","",G5/COUNTA('Implementation plan'!$A$5:$A$72))</f>
        <v/>
      </c>
      <c r="J5" s="44" t="str">
        <f t="shared" ref="J5:J41" ca="1" si="1">IF(G5="","",F5-G5)</f>
        <v/>
      </c>
    </row>
    <row r="6" spans="1:10" x14ac:dyDescent="0.35">
      <c r="A6" s="47">
        <v>46314</v>
      </c>
      <c r="B6" s="47">
        <f t="shared" si="0"/>
        <v>46320</v>
      </c>
      <c r="C6" s="44">
        <f>COUNTIFS('Implementation plan'!$P$5:$P$72,"&gt;="&amp;A6,'Implementation plan'!$P$5:$P$72,"&lt;="&amp;B6)</f>
        <v>3</v>
      </c>
      <c r="D6" s="44">
        <f>SUMIFS('Implementation plan'!$N$5:$N$72,'Implementation plan'!$P$5:$P$72,"&gt;="&amp;A6,'Implementation plan'!$P$5:$P$72,"&lt;="&amp;B6)</f>
        <v>7</v>
      </c>
      <c r="E6" s="44">
        <f>COUNTIFS('Implementation plan'!$Y$5:$Y$72,"&gt;="&amp;A6,'Implementation plan'!$Y$5:$Y$72,"&lt;="&amp;B6)</f>
        <v>0</v>
      </c>
      <c r="F6" s="44">
        <f>SUM(C$5:C6)</f>
        <v>7</v>
      </c>
      <c r="G6" s="44" t="str">
        <f ca="1">IF(A6&gt;TODAY(),"",SUM(E$5:E6))</f>
        <v/>
      </c>
      <c r="H6" s="46">
        <f>F6/COUNTA('Implementation plan'!$A$5:$A$72)</f>
        <v>0.10294117647058823</v>
      </c>
      <c r="I6" s="46" t="str">
        <f ca="1">IF(G6="","",G6/COUNTA('Implementation plan'!$A$5:$A$72))</f>
        <v/>
      </c>
      <c r="J6" s="44" t="str">
        <f t="shared" ca="1" si="1"/>
        <v/>
      </c>
    </row>
    <row r="7" spans="1:10" x14ac:dyDescent="0.35">
      <c r="A7" s="47">
        <v>46321</v>
      </c>
      <c r="B7" s="47">
        <f t="shared" si="0"/>
        <v>46327</v>
      </c>
      <c r="C7" s="44">
        <f>COUNTIFS('Implementation plan'!$P$5:$P$72,"&gt;="&amp;A7,'Implementation plan'!$P$5:$P$72,"&lt;="&amp;B7)</f>
        <v>4</v>
      </c>
      <c r="D7" s="44">
        <f>SUMIFS('Implementation plan'!$N$5:$N$72,'Implementation plan'!$P$5:$P$72,"&gt;="&amp;A7,'Implementation plan'!$P$5:$P$72,"&lt;="&amp;B7)</f>
        <v>11</v>
      </c>
      <c r="E7" s="44">
        <f>COUNTIFS('Implementation plan'!$Y$5:$Y$72,"&gt;="&amp;A7,'Implementation plan'!$Y$5:$Y$72,"&lt;="&amp;B7)</f>
        <v>0</v>
      </c>
      <c r="F7" s="44">
        <f>SUM(C$5:C7)</f>
        <v>11</v>
      </c>
      <c r="G7" s="44" t="str">
        <f ca="1">IF(A7&gt;TODAY(),"",SUM(E$5:E7))</f>
        <v/>
      </c>
      <c r="H7" s="46">
        <f>F7/COUNTA('Implementation plan'!$A$5:$A$72)</f>
        <v>0.16176470588235295</v>
      </c>
      <c r="I7" s="46" t="str">
        <f ca="1">IF(G7="","",G7/COUNTA('Implementation plan'!$A$5:$A$72))</f>
        <v/>
      </c>
      <c r="J7" s="44" t="str">
        <f t="shared" ca="1" si="1"/>
        <v/>
      </c>
    </row>
    <row r="8" spans="1:10" x14ac:dyDescent="0.35">
      <c r="A8" s="47">
        <v>46328</v>
      </c>
      <c r="B8" s="47">
        <f t="shared" si="0"/>
        <v>46334</v>
      </c>
      <c r="C8" s="44">
        <f>COUNTIFS('Implementation plan'!$P$5:$P$72,"&gt;="&amp;A8,'Implementation plan'!$P$5:$P$72,"&lt;="&amp;B8)</f>
        <v>2</v>
      </c>
      <c r="D8" s="44">
        <f>SUMIFS('Implementation plan'!$N$5:$N$72,'Implementation plan'!$P$5:$P$72,"&gt;="&amp;A8,'Implementation plan'!$P$5:$P$72,"&lt;="&amp;B8)</f>
        <v>6</v>
      </c>
      <c r="E8" s="44">
        <f>COUNTIFS('Implementation plan'!$Y$5:$Y$72,"&gt;="&amp;A8,'Implementation plan'!$Y$5:$Y$72,"&lt;="&amp;B8)</f>
        <v>0</v>
      </c>
      <c r="F8" s="44">
        <f>SUM(C$5:C8)</f>
        <v>13</v>
      </c>
      <c r="G8" s="44" t="str">
        <f ca="1">IF(A8&gt;TODAY(),"",SUM(E$5:E8))</f>
        <v/>
      </c>
      <c r="H8" s="46">
        <f>F8/COUNTA('Implementation plan'!$A$5:$A$72)</f>
        <v>0.19117647058823528</v>
      </c>
      <c r="I8" s="46" t="str">
        <f ca="1">IF(G8="","",G8/COUNTA('Implementation plan'!$A$5:$A$72))</f>
        <v/>
      </c>
      <c r="J8" s="44" t="str">
        <f t="shared" ca="1" si="1"/>
        <v/>
      </c>
    </row>
    <row r="9" spans="1:10" x14ac:dyDescent="0.35">
      <c r="A9" s="47">
        <v>46335</v>
      </c>
      <c r="B9" s="47">
        <f t="shared" si="0"/>
        <v>46341</v>
      </c>
      <c r="C9" s="44">
        <f>COUNTIFS('Implementation plan'!$P$5:$P$72,"&gt;="&amp;A9,'Implementation plan'!$P$5:$P$72,"&lt;="&amp;B9)</f>
        <v>2</v>
      </c>
      <c r="D9" s="44">
        <f>SUMIFS('Implementation plan'!$N$5:$N$72,'Implementation plan'!$P$5:$P$72,"&gt;="&amp;A9,'Implementation plan'!$P$5:$P$72,"&lt;="&amp;B9)</f>
        <v>9</v>
      </c>
      <c r="E9" s="44">
        <f>COUNTIFS('Implementation plan'!$Y$5:$Y$72,"&gt;="&amp;A9,'Implementation plan'!$Y$5:$Y$72,"&lt;="&amp;B9)</f>
        <v>0</v>
      </c>
      <c r="F9" s="44">
        <f>SUM(C$5:C9)</f>
        <v>15</v>
      </c>
      <c r="G9" s="44" t="str">
        <f ca="1">IF(A9&gt;TODAY(),"",SUM(E$5:E9))</f>
        <v/>
      </c>
      <c r="H9" s="46">
        <f>F9/COUNTA('Implementation plan'!$A$5:$A$72)</f>
        <v>0.22058823529411764</v>
      </c>
      <c r="I9" s="46" t="str">
        <f ca="1">IF(G9="","",G9/COUNTA('Implementation plan'!$A$5:$A$72))</f>
        <v/>
      </c>
      <c r="J9" s="44" t="str">
        <f t="shared" ca="1" si="1"/>
        <v/>
      </c>
    </row>
    <row r="10" spans="1:10" x14ac:dyDescent="0.35">
      <c r="A10" s="47">
        <v>46342</v>
      </c>
      <c r="B10" s="47">
        <f t="shared" si="0"/>
        <v>46348</v>
      </c>
      <c r="C10" s="44">
        <f>COUNTIFS('Implementation plan'!$P$5:$P$72,"&gt;="&amp;A10,'Implementation plan'!$P$5:$P$72,"&lt;="&amp;B10)</f>
        <v>3</v>
      </c>
      <c r="D10" s="44">
        <f>SUMIFS('Implementation plan'!$N$5:$N$72,'Implementation plan'!$P$5:$P$72,"&gt;="&amp;A10,'Implementation plan'!$P$5:$P$72,"&lt;="&amp;B10)</f>
        <v>10</v>
      </c>
      <c r="E10" s="44">
        <f>COUNTIFS('Implementation plan'!$Y$5:$Y$72,"&gt;="&amp;A10,'Implementation plan'!$Y$5:$Y$72,"&lt;="&amp;B10)</f>
        <v>0</v>
      </c>
      <c r="F10" s="44">
        <f>SUM(C$5:C10)</f>
        <v>18</v>
      </c>
      <c r="G10" s="44" t="str">
        <f ca="1">IF(A10&gt;TODAY(),"",SUM(E$5:E10))</f>
        <v/>
      </c>
      <c r="H10" s="46">
        <f>F10/COUNTA('Implementation plan'!$A$5:$A$72)</f>
        <v>0.26470588235294118</v>
      </c>
      <c r="I10" s="46" t="str">
        <f ca="1">IF(G10="","",G10/COUNTA('Implementation plan'!$A$5:$A$72))</f>
        <v/>
      </c>
      <c r="J10" s="44" t="str">
        <f t="shared" ca="1" si="1"/>
        <v/>
      </c>
    </row>
    <row r="11" spans="1:10" x14ac:dyDescent="0.35">
      <c r="A11" s="47">
        <v>46349</v>
      </c>
      <c r="B11" s="47">
        <f t="shared" si="0"/>
        <v>46355</v>
      </c>
      <c r="C11" s="44">
        <f>COUNTIFS('Implementation plan'!$P$5:$P$72,"&gt;="&amp;A11,'Implementation plan'!$P$5:$P$72,"&lt;="&amp;B11)</f>
        <v>2</v>
      </c>
      <c r="D11" s="44">
        <f>SUMIFS('Implementation plan'!$N$5:$N$72,'Implementation plan'!$P$5:$P$72,"&gt;="&amp;A11,'Implementation plan'!$P$5:$P$72,"&lt;="&amp;B11)</f>
        <v>11</v>
      </c>
      <c r="E11" s="44">
        <f>COUNTIFS('Implementation plan'!$Y$5:$Y$72,"&gt;="&amp;A11,'Implementation plan'!$Y$5:$Y$72,"&lt;="&amp;B11)</f>
        <v>0</v>
      </c>
      <c r="F11" s="44">
        <f>SUM(C$5:C11)</f>
        <v>20</v>
      </c>
      <c r="G11" s="44" t="str">
        <f ca="1">IF(A11&gt;TODAY(),"",SUM(E$5:E11))</f>
        <v/>
      </c>
      <c r="H11" s="46">
        <f>F11/COUNTA('Implementation plan'!$A$5:$A$72)</f>
        <v>0.29411764705882354</v>
      </c>
      <c r="I11" s="46" t="str">
        <f ca="1">IF(G11="","",G11/COUNTA('Implementation plan'!$A$5:$A$72))</f>
        <v/>
      </c>
      <c r="J11" s="44" t="str">
        <f t="shared" ca="1" si="1"/>
        <v/>
      </c>
    </row>
    <row r="12" spans="1:10" x14ac:dyDescent="0.35">
      <c r="A12" s="47">
        <v>46356</v>
      </c>
      <c r="B12" s="47">
        <f t="shared" si="0"/>
        <v>46362</v>
      </c>
      <c r="C12" s="44">
        <f>COUNTIFS('Implementation plan'!$P$5:$P$72,"&gt;="&amp;A12,'Implementation plan'!$P$5:$P$72,"&lt;="&amp;B12)</f>
        <v>2</v>
      </c>
      <c r="D12" s="44">
        <f>SUMIFS('Implementation plan'!$N$5:$N$72,'Implementation plan'!$P$5:$P$72,"&gt;="&amp;A12,'Implementation plan'!$P$5:$P$72,"&lt;="&amp;B12)</f>
        <v>10</v>
      </c>
      <c r="E12" s="44">
        <f>COUNTIFS('Implementation plan'!$Y$5:$Y$72,"&gt;="&amp;A12,'Implementation plan'!$Y$5:$Y$72,"&lt;="&amp;B12)</f>
        <v>0</v>
      </c>
      <c r="F12" s="44">
        <f>SUM(C$5:C12)</f>
        <v>22</v>
      </c>
      <c r="G12" s="44" t="str">
        <f ca="1">IF(A12&gt;TODAY(),"",SUM(E$5:E12))</f>
        <v/>
      </c>
      <c r="H12" s="46">
        <f>F12/COUNTA('Implementation plan'!$A$5:$A$72)</f>
        <v>0.3235294117647059</v>
      </c>
      <c r="I12" s="46" t="str">
        <f ca="1">IF(G12="","",G12/COUNTA('Implementation plan'!$A$5:$A$72))</f>
        <v/>
      </c>
      <c r="J12" s="44" t="str">
        <f t="shared" ca="1" si="1"/>
        <v/>
      </c>
    </row>
    <row r="13" spans="1:10" x14ac:dyDescent="0.35">
      <c r="A13" s="47">
        <v>46363</v>
      </c>
      <c r="B13" s="47">
        <f t="shared" si="0"/>
        <v>46369</v>
      </c>
      <c r="C13" s="44">
        <f>COUNTIFS('Implementation plan'!$P$5:$P$72,"&gt;="&amp;A13,'Implementation plan'!$P$5:$P$72,"&lt;="&amp;B13)</f>
        <v>2</v>
      </c>
      <c r="D13" s="44">
        <f>SUMIFS('Implementation plan'!$N$5:$N$72,'Implementation plan'!$P$5:$P$72,"&gt;="&amp;A13,'Implementation plan'!$P$5:$P$72,"&lt;="&amp;B13)</f>
        <v>8</v>
      </c>
      <c r="E13" s="44">
        <f>COUNTIFS('Implementation plan'!$Y$5:$Y$72,"&gt;="&amp;A13,'Implementation plan'!$Y$5:$Y$72,"&lt;="&amp;B13)</f>
        <v>0</v>
      </c>
      <c r="F13" s="44">
        <f>SUM(C$5:C13)</f>
        <v>24</v>
      </c>
      <c r="G13" s="44" t="str">
        <f ca="1">IF(A13&gt;TODAY(),"",SUM(E$5:E13))</f>
        <v/>
      </c>
      <c r="H13" s="46">
        <f>F13/COUNTA('Implementation plan'!$A$5:$A$72)</f>
        <v>0.35294117647058826</v>
      </c>
      <c r="I13" s="46" t="str">
        <f ca="1">IF(G13="","",G13/COUNTA('Implementation plan'!$A$5:$A$72))</f>
        <v/>
      </c>
      <c r="J13" s="44" t="str">
        <f t="shared" ca="1" si="1"/>
        <v/>
      </c>
    </row>
    <row r="14" spans="1:10" x14ac:dyDescent="0.35">
      <c r="A14" s="47">
        <v>46370</v>
      </c>
      <c r="B14" s="47">
        <f t="shared" si="0"/>
        <v>46376</v>
      </c>
      <c r="C14" s="44">
        <f>COUNTIFS('Implementation plan'!$P$5:$P$72,"&gt;="&amp;A14,'Implementation plan'!$P$5:$P$72,"&lt;="&amp;B14)</f>
        <v>2</v>
      </c>
      <c r="D14" s="44">
        <f>SUMIFS('Implementation plan'!$N$5:$N$72,'Implementation plan'!$P$5:$P$72,"&gt;="&amp;A14,'Implementation plan'!$P$5:$P$72,"&lt;="&amp;B14)</f>
        <v>8</v>
      </c>
      <c r="E14" s="44">
        <f>COUNTIFS('Implementation plan'!$Y$5:$Y$72,"&gt;="&amp;A14,'Implementation plan'!$Y$5:$Y$72,"&lt;="&amp;B14)</f>
        <v>0</v>
      </c>
      <c r="F14" s="44">
        <f>SUM(C$5:C14)</f>
        <v>26</v>
      </c>
      <c r="G14" s="44" t="str">
        <f ca="1">IF(A14&gt;TODAY(),"",SUM(E$5:E14))</f>
        <v/>
      </c>
      <c r="H14" s="46">
        <f>F14/COUNTA('Implementation plan'!$A$5:$A$72)</f>
        <v>0.38235294117647056</v>
      </c>
      <c r="I14" s="46" t="str">
        <f ca="1">IF(G14="","",G14/COUNTA('Implementation plan'!$A$5:$A$72))</f>
        <v/>
      </c>
      <c r="J14" s="44" t="str">
        <f t="shared" ca="1" si="1"/>
        <v/>
      </c>
    </row>
    <row r="15" spans="1:10" x14ac:dyDescent="0.35">
      <c r="A15" s="47">
        <v>46377</v>
      </c>
      <c r="B15" s="47">
        <f t="shared" si="0"/>
        <v>46383</v>
      </c>
      <c r="C15" s="44">
        <f>COUNTIFS('Implementation plan'!$P$5:$P$72,"&gt;="&amp;A15,'Implementation plan'!$P$5:$P$72,"&lt;="&amp;B15)</f>
        <v>2</v>
      </c>
      <c r="D15" s="44">
        <f>SUMIFS('Implementation plan'!$N$5:$N$72,'Implementation plan'!$P$5:$P$72,"&gt;="&amp;A15,'Implementation plan'!$P$5:$P$72,"&lt;="&amp;B15)</f>
        <v>7</v>
      </c>
      <c r="E15" s="44">
        <f>COUNTIFS('Implementation plan'!$Y$5:$Y$72,"&gt;="&amp;A15,'Implementation plan'!$Y$5:$Y$72,"&lt;="&amp;B15)</f>
        <v>0</v>
      </c>
      <c r="F15" s="44">
        <f>SUM(C$5:C15)</f>
        <v>28</v>
      </c>
      <c r="G15" s="44" t="str">
        <f ca="1">IF(A15&gt;TODAY(),"",SUM(E$5:E15))</f>
        <v/>
      </c>
      <c r="H15" s="46">
        <f>F15/COUNTA('Implementation plan'!$A$5:$A$72)</f>
        <v>0.41176470588235292</v>
      </c>
      <c r="I15" s="46" t="str">
        <f ca="1">IF(G15="","",G15/COUNTA('Implementation plan'!$A$5:$A$72))</f>
        <v/>
      </c>
      <c r="J15" s="44" t="str">
        <f t="shared" ca="1" si="1"/>
        <v/>
      </c>
    </row>
    <row r="16" spans="1:10" x14ac:dyDescent="0.35">
      <c r="A16" s="47">
        <v>46384</v>
      </c>
      <c r="B16" s="47">
        <f t="shared" si="0"/>
        <v>46390</v>
      </c>
      <c r="C16" s="44">
        <f>COUNTIFS('Implementation plan'!$P$5:$P$72,"&gt;="&amp;A16,'Implementation plan'!$P$5:$P$72,"&lt;="&amp;B16)</f>
        <v>1</v>
      </c>
      <c r="D16" s="44">
        <f>SUMIFS('Implementation plan'!$N$5:$N$72,'Implementation plan'!$P$5:$P$72,"&gt;="&amp;A16,'Implementation plan'!$P$5:$P$72,"&lt;="&amp;B16)</f>
        <v>6</v>
      </c>
      <c r="E16" s="44">
        <f>COUNTIFS('Implementation plan'!$Y$5:$Y$72,"&gt;="&amp;A16,'Implementation plan'!$Y$5:$Y$72,"&lt;="&amp;B16)</f>
        <v>0</v>
      </c>
      <c r="F16" s="44">
        <f>SUM(C$5:C16)</f>
        <v>29</v>
      </c>
      <c r="G16" s="44" t="str">
        <f ca="1">IF(A16&gt;TODAY(),"",SUM(E$5:E16))</f>
        <v/>
      </c>
      <c r="H16" s="46">
        <f>F16/COUNTA('Implementation plan'!$A$5:$A$72)</f>
        <v>0.4264705882352941</v>
      </c>
      <c r="I16" s="46" t="str">
        <f ca="1">IF(G16="","",G16/COUNTA('Implementation plan'!$A$5:$A$72))</f>
        <v/>
      </c>
      <c r="J16" s="44" t="str">
        <f t="shared" ca="1" si="1"/>
        <v/>
      </c>
    </row>
    <row r="17" spans="1:10" x14ac:dyDescent="0.35">
      <c r="A17" s="47">
        <v>46391</v>
      </c>
      <c r="B17" s="47">
        <f t="shared" si="0"/>
        <v>46397</v>
      </c>
      <c r="C17" s="44">
        <f>COUNTIFS('Implementation plan'!$P$5:$P$72,"&gt;="&amp;A17,'Implementation plan'!$P$5:$P$72,"&lt;="&amp;B17)</f>
        <v>2</v>
      </c>
      <c r="D17" s="44">
        <f>SUMIFS('Implementation plan'!$N$5:$N$72,'Implementation plan'!$P$5:$P$72,"&gt;="&amp;A17,'Implementation plan'!$P$5:$P$72,"&lt;="&amp;B17)</f>
        <v>7</v>
      </c>
      <c r="E17" s="44">
        <f>COUNTIFS('Implementation plan'!$Y$5:$Y$72,"&gt;="&amp;A17,'Implementation plan'!$Y$5:$Y$72,"&lt;="&amp;B17)</f>
        <v>0</v>
      </c>
      <c r="F17" s="44">
        <f>SUM(C$5:C17)</f>
        <v>31</v>
      </c>
      <c r="G17" s="44" t="str">
        <f ca="1">IF(A17&gt;TODAY(),"",SUM(E$5:E17))</f>
        <v/>
      </c>
      <c r="H17" s="46">
        <f>F17/COUNTA('Implementation plan'!$A$5:$A$72)</f>
        <v>0.45588235294117646</v>
      </c>
      <c r="I17" s="46" t="str">
        <f ca="1">IF(G17="","",G17/COUNTA('Implementation plan'!$A$5:$A$72))</f>
        <v/>
      </c>
      <c r="J17" s="44" t="str">
        <f t="shared" ca="1" si="1"/>
        <v/>
      </c>
    </row>
    <row r="18" spans="1:10" x14ac:dyDescent="0.35">
      <c r="A18" s="47">
        <v>46398</v>
      </c>
      <c r="B18" s="47">
        <f t="shared" si="0"/>
        <v>46404</v>
      </c>
      <c r="C18" s="44">
        <f>COUNTIFS('Implementation plan'!$P$5:$P$72,"&gt;="&amp;A18,'Implementation plan'!$P$5:$P$72,"&lt;="&amp;B18)</f>
        <v>2</v>
      </c>
      <c r="D18" s="44">
        <f>SUMIFS('Implementation plan'!$N$5:$N$72,'Implementation plan'!$P$5:$P$72,"&gt;="&amp;A18,'Implementation plan'!$P$5:$P$72,"&lt;="&amp;B18)</f>
        <v>6</v>
      </c>
      <c r="E18" s="44">
        <f>COUNTIFS('Implementation plan'!$Y$5:$Y$72,"&gt;="&amp;A18,'Implementation plan'!$Y$5:$Y$72,"&lt;="&amp;B18)</f>
        <v>0</v>
      </c>
      <c r="F18" s="44">
        <f>SUM(C$5:C18)</f>
        <v>33</v>
      </c>
      <c r="G18" s="44" t="str">
        <f ca="1">IF(A18&gt;TODAY(),"",SUM(E$5:E18))</f>
        <v/>
      </c>
      <c r="H18" s="46">
        <f>F18/COUNTA('Implementation plan'!$A$5:$A$72)</f>
        <v>0.48529411764705882</v>
      </c>
      <c r="I18" s="46" t="str">
        <f ca="1">IF(G18="","",G18/COUNTA('Implementation plan'!$A$5:$A$72))</f>
        <v/>
      </c>
      <c r="J18" s="44" t="str">
        <f t="shared" ca="1" si="1"/>
        <v/>
      </c>
    </row>
    <row r="19" spans="1:10" x14ac:dyDescent="0.35">
      <c r="A19" s="47">
        <v>46405</v>
      </c>
      <c r="B19" s="47">
        <f t="shared" si="0"/>
        <v>46411</v>
      </c>
      <c r="C19" s="44">
        <f>COUNTIFS('Implementation plan'!$P$5:$P$72,"&gt;="&amp;A19,'Implementation plan'!$P$5:$P$72,"&lt;="&amp;B19)</f>
        <v>5</v>
      </c>
      <c r="D19" s="44">
        <f>SUMIFS('Implementation plan'!$N$5:$N$72,'Implementation plan'!$P$5:$P$72,"&gt;="&amp;A19,'Implementation plan'!$P$5:$P$72,"&lt;="&amp;B19)</f>
        <v>13</v>
      </c>
      <c r="E19" s="44">
        <f>COUNTIFS('Implementation plan'!$Y$5:$Y$72,"&gt;="&amp;A19,'Implementation plan'!$Y$5:$Y$72,"&lt;="&amp;B19)</f>
        <v>0</v>
      </c>
      <c r="F19" s="44">
        <f>SUM(C$5:C19)</f>
        <v>38</v>
      </c>
      <c r="G19" s="44" t="str">
        <f ca="1">IF(A19&gt;TODAY(),"",SUM(E$5:E19))</f>
        <v/>
      </c>
      <c r="H19" s="46">
        <f>F19/COUNTA('Implementation plan'!$A$5:$A$72)</f>
        <v>0.55882352941176472</v>
      </c>
      <c r="I19" s="46" t="str">
        <f ca="1">IF(G19="","",G19/COUNTA('Implementation plan'!$A$5:$A$72))</f>
        <v/>
      </c>
      <c r="J19" s="44" t="str">
        <f t="shared" ca="1" si="1"/>
        <v/>
      </c>
    </row>
    <row r="20" spans="1:10" x14ac:dyDescent="0.35">
      <c r="A20" s="47">
        <v>46412</v>
      </c>
      <c r="B20" s="47">
        <f t="shared" si="0"/>
        <v>46418</v>
      </c>
      <c r="C20" s="44">
        <f>COUNTIFS('Implementation plan'!$P$5:$P$72,"&gt;="&amp;A20,'Implementation plan'!$P$5:$P$72,"&lt;="&amp;B20)</f>
        <v>0</v>
      </c>
      <c r="D20" s="44">
        <f>SUMIFS('Implementation plan'!$N$5:$N$72,'Implementation plan'!$P$5:$P$72,"&gt;="&amp;A20,'Implementation plan'!$P$5:$P$72,"&lt;="&amp;B20)</f>
        <v>0</v>
      </c>
      <c r="E20" s="44">
        <f>COUNTIFS('Implementation plan'!$Y$5:$Y$72,"&gt;="&amp;A20,'Implementation plan'!$Y$5:$Y$72,"&lt;="&amp;B20)</f>
        <v>0</v>
      </c>
      <c r="F20" s="44">
        <f>SUM(C$5:C20)</f>
        <v>38</v>
      </c>
      <c r="G20" s="44" t="str">
        <f ca="1">IF(A20&gt;TODAY(),"",SUM(E$5:E20))</f>
        <v/>
      </c>
      <c r="H20" s="46">
        <f>F20/COUNTA('Implementation plan'!$A$5:$A$72)</f>
        <v>0.55882352941176472</v>
      </c>
      <c r="I20" s="46" t="str">
        <f ca="1">IF(G20="","",G20/COUNTA('Implementation plan'!$A$5:$A$72))</f>
        <v/>
      </c>
      <c r="J20" s="44" t="str">
        <f t="shared" ca="1" si="1"/>
        <v/>
      </c>
    </row>
    <row r="21" spans="1:10" x14ac:dyDescent="0.35">
      <c r="A21" s="47">
        <v>46419</v>
      </c>
      <c r="B21" s="47">
        <f t="shared" si="0"/>
        <v>46425</v>
      </c>
      <c r="C21" s="44">
        <f>COUNTIFS('Implementation plan'!$P$5:$P$72,"&gt;="&amp;A21,'Implementation plan'!$P$5:$P$72,"&lt;="&amp;B21)</f>
        <v>2</v>
      </c>
      <c r="D21" s="44">
        <f>SUMIFS('Implementation plan'!$N$5:$N$72,'Implementation plan'!$P$5:$P$72,"&gt;="&amp;A21,'Implementation plan'!$P$5:$P$72,"&lt;="&amp;B21)</f>
        <v>9</v>
      </c>
      <c r="E21" s="44">
        <f>COUNTIFS('Implementation plan'!$Y$5:$Y$72,"&gt;="&amp;A21,'Implementation plan'!$Y$5:$Y$72,"&lt;="&amp;B21)</f>
        <v>0</v>
      </c>
      <c r="F21" s="44">
        <f>SUM(C$5:C21)</f>
        <v>40</v>
      </c>
      <c r="G21" s="44" t="str">
        <f ca="1">IF(A21&gt;TODAY(),"",SUM(E$5:E21))</f>
        <v/>
      </c>
      <c r="H21" s="46">
        <f>F21/COUNTA('Implementation plan'!$A$5:$A$72)</f>
        <v>0.58823529411764708</v>
      </c>
      <c r="I21" s="46" t="str">
        <f ca="1">IF(G21="","",G21/COUNTA('Implementation plan'!$A$5:$A$72))</f>
        <v/>
      </c>
      <c r="J21" s="44" t="str">
        <f t="shared" ca="1" si="1"/>
        <v/>
      </c>
    </row>
    <row r="22" spans="1:10" x14ac:dyDescent="0.35">
      <c r="A22" s="47">
        <v>46426</v>
      </c>
      <c r="B22" s="47">
        <f t="shared" si="0"/>
        <v>46432</v>
      </c>
      <c r="C22" s="44">
        <f>COUNTIFS('Implementation plan'!$P$5:$P$72,"&gt;="&amp;A22,'Implementation plan'!$P$5:$P$72,"&lt;="&amp;B22)</f>
        <v>1</v>
      </c>
      <c r="D22" s="44">
        <f>SUMIFS('Implementation plan'!$N$5:$N$72,'Implementation plan'!$P$5:$P$72,"&gt;="&amp;A22,'Implementation plan'!$P$5:$P$72,"&lt;="&amp;B22)</f>
        <v>3</v>
      </c>
      <c r="E22" s="44">
        <f>COUNTIFS('Implementation plan'!$Y$5:$Y$72,"&gt;="&amp;A22,'Implementation plan'!$Y$5:$Y$72,"&lt;="&amp;B22)</f>
        <v>0</v>
      </c>
      <c r="F22" s="44">
        <f>SUM(C$5:C22)</f>
        <v>41</v>
      </c>
      <c r="G22" s="44" t="str">
        <f ca="1">IF(A22&gt;TODAY(),"",SUM(E$5:E22))</f>
        <v/>
      </c>
      <c r="H22" s="46">
        <f>F22/COUNTA('Implementation plan'!$A$5:$A$72)</f>
        <v>0.6029411764705882</v>
      </c>
      <c r="I22" s="46" t="str">
        <f ca="1">IF(G22="","",G22/COUNTA('Implementation plan'!$A$5:$A$72))</f>
        <v/>
      </c>
      <c r="J22" s="44" t="str">
        <f t="shared" ca="1" si="1"/>
        <v/>
      </c>
    </row>
    <row r="23" spans="1:10" x14ac:dyDescent="0.35">
      <c r="A23" s="47">
        <v>46433</v>
      </c>
      <c r="B23" s="47">
        <f t="shared" si="0"/>
        <v>46439</v>
      </c>
      <c r="C23" s="44">
        <f>COUNTIFS('Implementation plan'!$P$5:$P$72,"&gt;="&amp;A23,'Implementation plan'!$P$5:$P$72,"&lt;="&amp;B23)</f>
        <v>1</v>
      </c>
      <c r="D23" s="44">
        <f>SUMIFS('Implementation plan'!$N$5:$N$72,'Implementation plan'!$P$5:$P$72,"&gt;="&amp;A23,'Implementation plan'!$P$5:$P$72,"&lt;="&amp;B23)</f>
        <v>5</v>
      </c>
      <c r="E23" s="44">
        <f>COUNTIFS('Implementation plan'!$Y$5:$Y$72,"&gt;="&amp;A23,'Implementation plan'!$Y$5:$Y$72,"&lt;="&amp;B23)</f>
        <v>0</v>
      </c>
      <c r="F23" s="44">
        <f>SUM(C$5:C23)</f>
        <v>42</v>
      </c>
      <c r="G23" s="44" t="str">
        <f ca="1">IF(A23&gt;TODAY(),"",SUM(E$5:E23))</f>
        <v/>
      </c>
      <c r="H23" s="46">
        <f>F23/COUNTA('Implementation plan'!$A$5:$A$72)</f>
        <v>0.61764705882352944</v>
      </c>
      <c r="I23" s="46" t="str">
        <f ca="1">IF(G23="","",G23/COUNTA('Implementation plan'!$A$5:$A$72))</f>
        <v/>
      </c>
      <c r="J23" s="44" t="str">
        <f t="shared" ca="1" si="1"/>
        <v/>
      </c>
    </row>
    <row r="24" spans="1:10" x14ac:dyDescent="0.35">
      <c r="A24" s="47">
        <v>46440</v>
      </c>
      <c r="B24" s="47">
        <f t="shared" si="0"/>
        <v>46446</v>
      </c>
      <c r="C24" s="44">
        <f>COUNTIFS('Implementation plan'!$P$5:$P$72,"&gt;="&amp;A24,'Implementation plan'!$P$5:$P$72,"&lt;="&amp;B24)</f>
        <v>3</v>
      </c>
      <c r="D24" s="44">
        <f>SUMIFS('Implementation plan'!$N$5:$N$72,'Implementation plan'!$P$5:$P$72,"&gt;="&amp;A24,'Implementation plan'!$P$5:$P$72,"&lt;="&amp;B24)</f>
        <v>17</v>
      </c>
      <c r="E24" s="44">
        <f>COUNTIFS('Implementation plan'!$Y$5:$Y$72,"&gt;="&amp;A24,'Implementation plan'!$Y$5:$Y$72,"&lt;="&amp;B24)</f>
        <v>0</v>
      </c>
      <c r="F24" s="44">
        <f>SUM(C$5:C24)</f>
        <v>45</v>
      </c>
      <c r="G24" s="44" t="str">
        <f ca="1">IF(A24&gt;TODAY(),"",SUM(E$5:E24))</f>
        <v/>
      </c>
      <c r="H24" s="46">
        <f>F24/COUNTA('Implementation plan'!$A$5:$A$72)</f>
        <v>0.66176470588235292</v>
      </c>
      <c r="I24" s="46" t="str">
        <f ca="1">IF(G24="","",G24/COUNTA('Implementation plan'!$A$5:$A$72))</f>
        <v/>
      </c>
      <c r="J24" s="44" t="str">
        <f t="shared" ca="1" si="1"/>
        <v/>
      </c>
    </row>
    <row r="25" spans="1:10" x14ac:dyDescent="0.35">
      <c r="A25" s="47">
        <v>46447</v>
      </c>
      <c r="B25" s="47">
        <f t="shared" si="0"/>
        <v>46453</v>
      </c>
      <c r="C25" s="44">
        <f>COUNTIFS('Implementation plan'!$P$5:$P$72,"&gt;="&amp;A25,'Implementation plan'!$P$5:$P$72,"&lt;="&amp;B25)</f>
        <v>3</v>
      </c>
      <c r="D25" s="44">
        <f>SUMIFS('Implementation plan'!$N$5:$N$72,'Implementation plan'!$P$5:$P$72,"&gt;="&amp;A25,'Implementation plan'!$P$5:$P$72,"&lt;="&amp;B25)</f>
        <v>10</v>
      </c>
      <c r="E25" s="44">
        <f>COUNTIFS('Implementation plan'!$Y$5:$Y$72,"&gt;="&amp;A25,'Implementation plan'!$Y$5:$Y$72,"&lt;="&amp;B25)</f>
        <v>0</v>
      </c>
      <c r="F25" s="44">
        <f>SUM(C$5:C25)</f>
        <v>48</v>
      </c>
      <c r="G25" s="44" t="str">
        <f ca="1">IF(A25&gt;TODAY(),"",SUM(E$5:E25))</f>
        <v/>
      </c>
      <c r="H25" s="46">
        <f>F25/COUNTA('Implementation plan'!$A$5:$A$72)</f>
        <v>0.70588235294117652</v>
      </c>
      <c r="I25" s="46" t="str">
        <f ca="1">IF(G25="","",G25/COUNTA('Implementation plan'!$A$5:$A$72))</f>
        <v/>
      </c>
      <c r="J25" s="44" t="str">
        <f t="shared" ca="1" si="1"/>
        <v/>
      </c>
    </row>
    <row r="26" spans="1:10" x14ac:dyDescent="0.35">
      <c r="A26" s="47">
        <v>46454</v>
      </c>
      <c r="B26" s="47">
        <f t="shared" si="0"/>
        <v>46460</v>
      </c>
      <c r="C26" s="44">
        <f>COUNTIFS('Implementation plan'!$P$5:$P$72,"&gt;="&amp;A26,'Implementation plan'!$P$5:$P$72,"&lt;="&amp;B26)</f>
        <v>1</v>
      </c>
      <c r="D26" s="44">
        <f>SUMIFS('Implementation plan'!$N$5:$N$72,'Implementation plan'!$P$5:$P$72,"&gt;="&amp;A26,'Implementation plan'!$P$5:$P$72,"&lt;="&amp;B26)</f>
        <v>3</v>
      </c>
      <c r="E26" s="44">
        <f>COUNTIFS('Implementation plan'!$Y$5:$Y$72,"&gt;="&amp;A26,'Implementation plan'!$Y$5:$Y$72,"&lt;="&amp;B26)</f>
        <v>0</v>
      </c>
      <c r="F26" s="44">
        <f>SUM(C$5:C26)</f>
        <v>49</v>
      </c>
      <c r="G26" s="44" t="str">
        <f ca="1">IF(A26&gt;TODAY(),"",SUM(E$5:E26))</f>
        <v/>
      </c>
      <c r="H26" s="46">
        <f>F26/COUNTA('Implementation plan'!$A$5:$A$72)</f>
        <v>0.72058823529411764</v>
      </c>
      <c r="I26" s="46" t="str">
        <f ca="1">IF(G26="","",G26/COUNTA('Implementation plan'!$A$5:$A$72))</f>
        <v/>
      </c>
      <c r="J26" s="44" t="str">
        <f t="shared" ca="1" si="1"/>
        <v/>
      </c>
    </row>
    <row r="27" spans="1:10" x14ac:dyDescent="0.35">
      <c r="A27" s="47">
        <v>46461</v>
      </c>
      <c r="B27" s="47">
        <f t="shared" si="0"/>
        <v>46467</v>
      </c>
      <c r="C27" s="44">
        <f>COUNTIFS('Implementation plan'!$P$5:$P$72,"&gt;="&amp;A27,'Implementation plan'!$P$5:$P$72,"&lt;="&amp;B27)</f>
        <v>5</v>
      </c>
      <c r="D27" s="44">
        <f>SUMIFS('Implementation plan'!$N$5:$N$72,'Implementation plan'!$P$5:$P$72,"&gt;="&amp;A27,'Implementation plan'!$P$5:$P$72,"&lt;="&amp;B27)</f>
        <v>20</v>
      </c>
      <c r="E27" s="44">
        <f>COUNTIFS('Implementation plan'!$Y$5:$Y$72,"&gt;="&amp;A27,'Implementation plan'!$Y$5:$Y$72,"&lt;="&amp;B27)</f>
        <v>0</v>
      </c>
      <c r="F27" s="44">
        <f>SUM(C$5:C27)</f>
        <v>54</v>
      </c>
      <c r="G27" s="44" t="str">
        <f ca="1">IF(A27&gt;TODAY(),"",SUM(E$5:E27))</f>
        <v/>
      </c>
      <c r="H27" s="46">
        <f>F27/COUNTA('Implementation plan'!$A$5:$A$72)</f>
        <v>0.79411764705882348</v>
      </c>
      <c r="I27" s="46" t="str">
        <f ca="1">IF(G27="","",G27/COUNTA('Implementation plan'!$A$5:$A$72))</f>
        <v/>
      </c>
      <c r="J27" s="44" t="str">
        <f t="shared" ca="1" si="1"/>
        <v/>
      </c>
    </row>
    <row r="28" spans="1:10" x14ac:dyDescent="0.35">
      <c r="A28" s="47">
        <v>46468</v>
      </c>
      <c r="B28" s="47">
        <f t="shared" si="0"/>
        <v>46474</v>
      </c>
      <c r="C28" s="44">
        <f>COUNTIFS('Implementation plan'!$P$5:$P$72,"&gt;="&amp;A28,'Implementation plan'!$P$5:$P$72,"&lt;="&amp;B28)</f>
        <v>2</v>
      </c>
      <c r="D28" s="44">
        <f>SUMIFS('Implementation plan'!$N$5:$N$72,'Implementation plan'!$P$5:$P$72,"&gt;="&amp;A28,'Implementation plan'!$P$5:$P$72,"&lt;="&amp;B28)</f>
        <v>7</v>
      </c>
      <c r="E28" s="44">
        <f>COUNTIFS('Implementation plan'!$Y$5:$Y$72,"&gt;="&amp;A28,'Implementation plan'!$Y$5:$Y$72,"&lt;="&amp;B28)</f>
        <v>0</v>
      </c>
      <c r="F28" s="44">
        <f>SUM(C$5:C28)</f>
        <v>56</v>
      </c>
      <c r="G28" s="44" t="str">
        <f ca="1">IF(A28&gt;TODAY(),"",SUM(E$5:E28))</f>
        <v/>
      </c>
      <c r="H28" s="46">
        <f>F28/COUNTA('Implementation plan'!$A$5:$A$72)</f>
        <v>0.82352941176470584</v>
      </c>
      <c r="I28" s="46" t="str">
        <f ca="1">IF(G28="","",G28/COUNTA('Implementation plan'!$A$5:$A$72))</f>
        <v/>
      </c>
      <c r="J28" s="44" t="str">
        <f t="shared" ca="1" si="1"/>
        <v/>
      </c>
    </row>
    <row r="29" spans="1:10" x14ac:dyDescent="0.35">
      <c r="A29" s="47">
        <v>46475</v>
      </c>
      <c r="B29" s="47">
        <f t="shared" si="0"/>
        <v>46481</v>
      </c>
      <c r="C29" s="44">
        <f>COUNTIFS('Implementation plan'!$P$5:$P$72,"&gt;="&amp;A29,'Implementation plan'!$P$5:$P$72,"&lt;="&amp;B29)</f>
        <v>3</v>
      </c>
      <c r="D29" s="44">
        <f>SUMIFS('Implementation plan'!$N$5:$N$72,'Implementation plan'!$P$5:$P$72,"&gt;="&amp;A29,'Implementation plan'!$P$5:$P$72,"&lt;="&amp;B29)</f>
        <v>11</v>
      </c>
      <c r="E29" s="44">
        <f>COUNTIFS('Implementation plan'!$Y$5:$Y$72,"&gt;="&amp;A29,'Implementation plan'!$Y$5:$Y$72,"&lt;="&amp;B29)</f>
        <v>0</v>
      </c>
      <c r="F29" s="44">
        <f>SUM(C$5:C29)</f>
        <v>59</v>
      </c>
      <c r="G29" s="44" t="str">
        <f ca="1">IF(A29&gt;TODAY(),"",SUM(E$5:E29))</f>
        <v/>
      </c>
      <c r="H29" s="46">
        <f>F29/COUNTA('Implementation plan'!$A$5:$A$72)</f>
        <v>0.86764705882352944</v>
      </c>
      <c r="I29" s="46" t="str">
        <f ca="1">IF(G29="","",G29/COUNTA('Implementation plan'!$A$5:$A$72))</f>
        <v/>
      </c>
      <c r="J29" s="44" t="str">
        <f t="shared" ca="1" si="1"/>
        <v/>
      </c>
    </row>
    <row r="30" spans="1:10" x14ac:dyDescent="0.35">
      <c r="A30" s="47">
        <v>46482</v>
      </c>
      <c r="B30" s="47">
        <f t="shared" si="0"/>
        <v>46488</v>
      </c>
      <c r="C30" s="44">
        <f>COUNTIFS('Implementation plan'!$P$5:$P$72,"&gt;="&amp;A30,'Implementation plan'!$P$5:$P$72,"&lt;="&amp;B30)</f>
        <v>3</v>
      </c>
      <c r="D30" s="44">
        <f>SUMIFS('Implementation plan'!$N$5:$N$72,'Implementation plan'!$P$5:$P$72,"&gt;="&amp;A30,'Implementation plan'!$P$5:$P$72,"&lt;="&amp;B30)</f>
        <v>8</v>
      </c>
      <c r="E30" s="44">
        <f>COUNTIFS('Implementation plan'!$Y$5:$Y$72,"&gt;="&amp;A30,'Implementation plan'!$Y$5:$Y$72,"&lt;="&amp;B30)</f>
        <v>0</v>
      </c>
      <c r="F30" s="44">
        <f>SUM(C$5:C30)</f>
        <v>62</v>
      </c>
      <c r="G30" s="44" t="str">
        <f ca="1">IF(A30&gt;TODAY(),"",SUM(E$5:E30))</f>
        <v/>
      </c>
      <c r="H30" s="46">
        <f>F30/COUNTA('Implementation plan'!$A$5:$A$72)</f>
        <v>0.91176470588235292</v>
      </c>
      <c r="I30" s="46" t="str">
        <f ca="1">IF(G30="","",G30/COUNTA('Implementation plan'!$A$5:$A$72))</f>
        <v/>
      </c>
      <c r="J30" s="44" t="str">
        <f t="shared" ca="1" si="1"/>
        <v/>
      </c>
    </row>
    <row r="31" spans="1:10" x14ac:dyDescent="0.35">
      <c r="A31" s="47">
        <v>46489</v>
      </c>
      <c r="B31" s="47">
        <f t="shared" si="0"/>
        <v>46495</v>
      </c>
      <c r="C31" s="44">
        <f>COUNTIFS('Implementation plan'!$P$5:$P$72,"&gt;="&amp;A31,'Implementation plan'!$P$5:$P$72,"&lt;="&amp;B31)</f>
        <v>1</v>
      </c>
      <c r="D31" s="44">
        <f>SUMIFS('Implementation plan'!$N$5:$N$72,'Implementation plan'!$P$5:$P$72,"&gt;="&amp;A31,'Implementation plan'!$P$5:$P$72,"&lt;="&amp;B31)</f>
        <v>3</v>
      </c>
      <c r="E31" s="44">
        <f>COUNTIFS('Implementation plan'!$Y$5:$Y$72,"&gt;="&amp;A31,'Implementation plan'!$Y$5:$Y$72,"&lt;="&amp;B31)</f>
        <v>0</v>
      </c>
      <c r="F31" s="44">
        <f>SUM(C$5:C31)</f>
        <v>63</v>
      </c>
      <c r="G31" s="44" t="str">
        <f ca="1">IF(A31&gt;TODAY(),"",SUM(E$5:E31))</f>
        <v/>
      </c>
      <c r="H31" s="46">
        <f>F31/COUNTA('Implementation plan'!$A$5:$A$72)</f>
        <v>0.92647058823529416</v>
      </c>
      <c r="I31" s="46" t="str">
        <f ca="1">IF(G31="","",G31/COUNTA('Implementation plan'!$A$5:$A$72))</f>
        <v/>
      </c>
      <c r="J31" s="44" t="str">
        <f t="shared" ca="1" si="1"/>
        <v/>
      </c>
    </row>
    <row r="32" spans="1:10" x14ac:dyDescent="0.35">
      <c r="A32" s="47">
        <v>46496</v>
      </c>
      <c r="B32" s="47">
        <f t="shared" si="0"/>
        <v>46502</v>
      </c>
      <c r="C32" s="44">
        <f>COUNTIFS('Implementation plan'!$P$5:$P$72,"&gt;="&amp;A32,'Implementation plan'!$P$5:$P$72,"&lt;="&amp;B32)</f>
        <v>0</v>
      </c>
      <c r="D32" s="44">
        <f>SUMIFS('Implementation plan'!$N$5:$N$72,'Implementation plan'!$P$5:$P$72,"&gt;="&amp;A32,'Implementation plan'!$P$5:$P$72,"&lt;="&amp;B32)</f>
        <v>0</v>
      </c>
      <c r="E32" s="44">
        <f>COUNTIFS('Implementation plan'!$Y$5:$Y$72,"&gt;="&amp;A32,'Implementation plan'!$Y$5:$Y$72,"&lt;="&amp;B32)</f>
        <v>0</v>
      </c>
      <c r="F32" s="44">
        <f>SUM(C$5:C32)</f>
        <v>63</v>
      </c>
      <c r="G32" s="44" t="str">
        <f ca="1">IF(A32&gt;TODAY(),"",SUM(E$5:E32))</f>
        <v/>
      </c>
      <c r="H32" s="46">
        <f>F32/COUNTA('Implementation plan'!$A$5:$A$72)</f>
        <v>0.92647058823529416</v>
      </c>
      <c r="I32" s="46" t="str">
        <f ca="1">IF(G32="","",G32/COUNTA('Implementation plan'!$A$5:$A$72))</f>
        <v/>
      </c>
      <c r="J32" s="44" t="str">
        <f t="shared" ca="1" si="1"/>
        <v/>
      </c>
    </row>
    <row r="33" spans="1:10" x14ac:dyDescent="0.35">
      <c r="A33" s="47">
        <v>46503</v>
      </c>
      <c r="B33" s="47">
        <f t="shared" si="0"/>
        <v>46509</v>
      </c>
      <c r="C33" s="44">
        <f>COUNTIFS('Implementation plan'!$P$5:$P$72,"&gt;="&amp;A33,'Implementation plan'!$P$5:$P$72,"&lt;="&amp;B33)</f>
        <v>2</v>
      </c>
      <c r="D33" s="44">
        <f>SUMIFS('Implementation plan'!$N$5:$N$72,'Implementation plan'!$P$5:$P$72,"&gt;="&amp;A33,'Implementation plan'!$P$5:$P$72,"&lt;="&amp;B33)</f>
        <v>20</v>
      </c>
      <c r="E33" s="44">
        <f>COUNTIFS('Implementation plan'!$Y$5:$Y$72,"&gt;="&amp;A33,'Implementation plan'!$Y$5:$Y$72,"&lt;="&amp;B33)</f>
        <v>0</v>
      </c>
      <c r="F33" s="44">
        <f>SUM(C$5:C33)</f>
        <v>65</v>
      </c>
      <c r="G33" s="44" t="str">
        <f ca="1">IF(A33&gt;TODAY(),"",SUM(E$5:E33))</f>
        <v/>
      </c>
      <c r="H33" s="46">
        <f>F33/COUNTA('Implementation plan'!$A$5:$A$72)</f>
        <v>0.95588235294117652</v>
      </c>
      <c r="I33" s="46" t="str">
        <f ca="1">IF(G33="","",G33/COUNTA('Implementation plan'!$A$5:$A$72))</f>
        <v/>
      </c>
      <c r="J33" s="44" t="str">
        <f t="shared" ca="1" si="1"/>
        <v/>
      </c>
    </row>
    <row r="34" spans="1:10" x14ac:dyDescent="0.35">
      <c r="A34" s="47">
        <v>46510</v>
      </c>
      <c r="B34" s="47">
        <f t="shared" si="0"/>
        <v>46516</v>
      </c>
      <c r="C34" s="44">
        <f>COUNTIFS('Implementation plan'!$P$5:$P$72,"&gt;="&amp;A34,'Implementation plan'!$P$5:$P$72,"&lt;="&amp;B34)</f>
        <v>0</v>
      </c>
      <c r="D34" s="44">
        <f>SUMIFS('Implementation plan'!$N$5:$N$72,'Implementation plan'!$P$5:$P$72,"&gt;="&amp;A34,'Implementation plan'!$P$5:$P$72,"&lt;="&amp;B34)</f>
        <v>0</v>
      </c>
      <c r="E34" s="44">
        <f>COUNTIFS('Implementation plan'!$Y$5:$Y$72,"&gt;="&amp;A34,'Implementation plan'!$Y$5:$Y$72,"&lt;="&amp;B34)</f>
        <v>0</v>
      </c>
      <c r="F34" s="44">
        <f>SUM(C$5:C34)</f>
        <v>65</v>
      </c>
      <c r="G34" s="44" t="str">
        <f ca="1">IF(A34&gt;TODAY(),"",SUM(E$5:E34))</f>
        <v/>
      </c>
      <c r="H34" s="46">
        <f>F34/COUNTA('Implementation plan'!$A$5:$A$72)</f>
        <v>0.95588235294117652</v>
      </c>
      <c r="I34" s="46" t="str">
        <f ca="1">IF(G34="","",G34/COUNTA('Implementation plan'!$A$5:$A$72))</f>
        <v/>
      </c>
      <c r="J34" s="44" t="str">
        <f t="shared" ca="1" si="1"/>
        <v/>
      </c>
    </row>
    <row r="35" spans="1:10" x14ac:dyDescent="0.35">
      <c r="A35" s="47">
        <v>46517</v>
      </c>
      <c r="B35" s="47">
        <f t="shared" si="0"/>
        <v>46523</v>
      </c>
      <c r="C35" s="44">
        <f>COUNTIFS('Implementation plan'!$P$5:$P$72,"&gt;="&amp;A35,'Implementation plan'!$P$5:$P$72,"&lt;="&amp;B35)</f>
        <v>1</v>
      </c>
      <c r="D35" s="44">
        <f>SUMIFS('Implementation plan'!$N$5:$N$72,'Implementation plan'!$P$5:$P$72,"&gt;="&amp;A35,'Implementation plan'!$P$5:$P$72,"&lt;="&amp;B35)</f>
        <v>10</v>
      </c>
      <c r="E35" s="44">
        <f>COUNTIFS('Implementation plan'!$Y$5:$Y$72,"&gt;="&amp;A35,'Implementation plan'!$Y$5:$Y$72,"&lt;="&amp;B35)</f>
        <v>0</v>
      </c>
      <c r="F35" s="44">
        <f>SUM(C$5:C35)</f>
        <v>66</v>
      </c>
      <c r="G35" s="44" t="str">
        <f ca="1">IF(A35&gt;TODAY(),"",SUM(E$5:E35))</f>
        <v/>
      </c>
      <c r="H35" s="46">
        <f>F35/COUNTA('Implementation plan'!$A$5:$A$72)</f>
        <v>0.97058823529411764</v>
      </c>
      <c r="I35" s="46" t="str">
        <f ca="1">IF(G35="","",G35/COUNTA('Implementation plan'!$A$5:$A$72))</f>
        <v/>
      </c>
      <c r="J35" s="44" t="str">
        <f t="shared" ca="1" si="1"/>
        <v/>
      </c>
    </row>
    <row r="36" spans="1:10" x14ac:dyDescent="0.35">
      <c r="A36" s="47">
        <v>46524</v>
      </c>
      <c r="B36" s="47">
        <f t="shared" si="0"/>
        <v>46530</v>
      </c>
      <c r="C36" s="44">
        <f>COUNTIFS('Implementation plan'!$P$5:$P$72,"&gt;="&amp;A36,'Implementation plan'!$P$5:$P$72,"&lt;="&amp;B36)</f>
        <v>0</v>
      </c>
      <c r="D36" s="44">
        <f>SUMIFS('Implementation plan'!$N$5:$N$72,'Implementation plan'!$P$5:$P$72,"&gt;="&amp;A36,'Implementation plan'!$P$5:$P$72,"&lt;="&amp;B36)</f>
        <v>0</v>
      </c>
      <c r="E36" s="44">
        <f>COUNTIFS('Implementation plan'!$Y$5:$Y$72,"&gt;="&amp;A36,'Implementation plan'!$Y$5:$Y$72,"&lt;="&amp;B36)</f>
        <v>0</v>
      </c>
      <c r="F36" s="44">
        <f>SUM(C$5:C36)</f>
        <v>66</v>
      </c>
      <c r="G36" s="44" t="str">
        <f ca="1">IF(A36&gt;TODAY(),"",SUM(E$5:E36))</f>
        <v/>
      </c>
      <c r="H36" s="46">
        <f>F36/COUNTA('Implementation plan'!$A$5:$A$72)</f>
        <v>0.97058823529411764</v>
      </c>
      <c r="I36" s="46" t="str">
        <f ca="1">IF(G36="","",G36/COUNTA('Implementation plan'!$A$5:$A$72))</f>
        <v/>
      </c>
      <c r="J36" s="44" t="str">
        <f t="shared" ca="1" si="1"/>
        <v/>
      </c>
    </row>
    <row r="37" spans="1:10" x14ac:dyDescent="0.35">
      <c r="A37" s="47">
        <v>46531</v>
      </c>
      <c r="B37" s="47">
        <f t="shared" si="0"/>
        <v>46537</v>
      </c>
      <c r="C37" s="44">
        <f>COUNTIFS('Implementation plan'!$P$5:$P$72,"&gt;="&amp;A37,'Implementation plan'!$P$5:$P$72,"&lt;="&amp;B37)</f>
        <v>0</v>
      </c>
      <c r="D37" s="44">
        <f>SUMIFS('Implementation plan'!$N$5:$N$72,'Implementation plan'!$P$5:$P$72,"&gt;="&amp;A37,'Implementation plan'!$P$5:$P$72,"&lt;="&amp;B37)</f>
        <v>0</v>
      </c>
      <c r="E37" s="44">
        <f>COUNTIFS('Implementation plan'!$Y$5:$Y$72,"&gt;="&amp;A37,'Implementation plan'!$Y$5:$Y$72,"&lt;="&amp;B37)</f>
        <v>0</v>
      </c>
      <c r="F37" s="44">
        <f>SUM(C$5:C37)</f>
        <v>66</v>
      </c>
      <c r="G37" s="44" t="str">
        <f ca="1">IF(A37&gt;TODAY(),"",SUM(E$5:E37))</f>
        <v/>
      </c>
      <c r="H37" s="46">
        <f>F37/COUNTA('Implementation plan'!$A$5:$A$72)</f>
        <v>0.97058823529411764</v>
      </c>
      <c r="I37" s="46" t="str">
        <f ca="1">IF(G37="","",G37/COUNTA('Implementation plan'!$A$5:$A$72))</f>
        <v/>
      </c>
      <c r="J37" s="44" t="str">
        <f t="shared" ca="1" si="1"/>
        <v/>
      </c>
    </row>
    <row r="38" spans="1:10" x14ac:dyDescent="0.35">
      <c r="A38" s="47">
        <v>46538</v>
      </c>
      <c r="B38" s="47">
        <f t="shared" si="0"/>
        <v>46544</v>
      </c>
      <c r="C38" s="44">
        <f>COUNTIFS('Implementation plan'!$P$5:$P$72,"&gt;="&amp;A38,'Implementation plan'!$P$5:$P$72,"&lt;="&amp;B38)</f>
        <v>0</v>
      </c>
      <c r="D38" s="44">
        <f>SUMIFS('Implementation plan'!$N$5:$N$72,'Implementation plan'!$P$5:$P$72,"&gt;="&amp;A38,'Implementation plan'!$P$5:$P$72,"&lt;="&amp;B38)</f>
        <v>0</v>
      </c>
      <c r="E38" s="44">
        <f>COUNTIFS('Implementation plan'!$Y$5:$Y$72,"&gt;="&amp;A38,'Implementation plan'!$Y$5:$Y$72,"&lt;="&amp;B38)</f>
        <v>0</v>
      </c>
      <c r="F38" s="44">
        <f>SUM(C$5:C38)</f>
        <v>66</v>
      </c>
      <c r="G38" s="44" t="str">
        <f ca="1">IF(A38&gt;TODAY(),"",SUM(E$5:E38))</f>
        <v/>
      </c>
      <c r="H38" s="46">
        <f>F38/COUNTA('Implementation plan'!$A$5:$A$72)</f>
        <v>0.97058823529411764</v>
      </c>
      <c r="I38" s="46" t="str">
        <f ca="1">IF(G38="","",G38/COUNTA('Implementation plan'!$A$5:$A$72))</f>
        <v/>
      </c>
      <c r="J38" s="44" t="str">
        <f t="shared" ca="1" si="1"/>
        <v/>
      </c>
    </row>
    <row r="39" spans="1:10" x14ac:dyDescent="0.35">
      <c r="A39" s="47">
        <v>46545</v>
      </c>
      <c r="B39" s="47">
        <f t="shared" si="0"/>
        <v>46551</v>
      </c>
      <c r="C39" s="44">
        <f>COUNTIFS('Implementation plan'!$P$5:$P$72,"&gt;="&amp;A39,'Implementation plan'!$P$5:$P$72,"&lt;="&amp;B39)</f>
        <v>2</v>
      </c>
      <c r="D39" s="44">
        <f>SUMIFS('Implementation plan'!$N$5:$N$72,'Implementation plan'!$P$5:$P$72,"&gt;="&amp;A39,'Implementation plan'!$P$5:$P$72,"&lt;="&amp;B39)</f>
        <v>33</v>
      </c>
      <c r="E39" s="44">
        <f>COUNTIFS('Implementation plan'!$Y$5:$Y$72,"&gt;="&amp;A39,'Implementation plan'!$Y$5:$Y$72,"&lt;="&amp;B39)</f>
        <v>0</v>
      </c>
      <c r="F39" s="44">
        <f>SUM(C$5:C39)</f>
        <v>68</v>
      </c>
      <c r="G39" s="44" t="str">
        <f ca="1">IF(A39&gt;TODAY(),"",SUM(E$5:E39))</f>
        <v/>
      </c>
      <c r="H39" s="46">
        <f>F39/COUNTA('Implementation plan'!$A$5:$A$72)</f>
        <v>1</v>
      </c>
      <c r="I39" s="46" t="str">
        <f ca="1">IF(G39="","",G39/COUNTA('Implementation plan'!$A$5:$A$72))</f>
        <v/>
      </c>
      <c r="J39" s="44" t="str">
        <f t="shared" ca="1" si="1"/>
        <v/>
      </c>
    </row>
    <row r="40" spans="1:10" x14ac:dyDescent="0.35">
      <c r="A40" s="47">
        <v>46552</v>
      </c>
      <c r="B40" s="47">
        <f t="shared" si="0"/>
        <v>46558</v>
      </c>
      <c r="C40" s="44">
        <f>COUNTIFS('Implementation plan'!$P$5:$P$72,"&gt;="&amp;A40,'Implementation plan'!$P$5:$P$72,"&lt;="&amp;B40)</f>
        <v>0</v>
      </c>
      <c r="D40" s="44">
        <f>SUMIFS('Implementation plan'!$N$5:$N$72,'Implementation plan'!$P$5:$P$72,"&gt;="&amp;A40,'Implementation plan'!$P$5:$P$72,"&lt;="&amp;B40)</f>
        <v>0</v>
      </c>
      <c r="E40" s="44">
        <f>COUNTIFS('Implementation plan'!$Y$5:$Y$72,"&gt;="&amp;A40,'Implementation plan'!$Y$5:$Y$72,"&lt;="&amp;B40)</f>
        <v>0</v>
      </c>
      <c r="F40" s="44">
        <f>SUM(C$5:C40)</f>
        <v>68</v>
      </c>
      <c r="G40" s="44" t="str">
        <f ca="1">IF(A40&gt;TODAY(),"",SUM(E$5:E40))</f>
        <v/>
      </c>
      <c r="H40" s="46">
        <f>F40/COUNTA('Implementation plan'!$A$5:$A$72)</f>
        <v>1</v>
      </c>
      <c r="I40" s="46" t="str">
        <f ca="1">IF(G40="","",G40/COUNTA('Implementation plan'!$A$5:$A$72))</f>
        <v/>
      </c>
      <c r="J40" s="44" t="str">
        <f t="shared" ca="1" si="1"/>
        <v/>
      </c>
    </row>
    <row r="41" spans="1:10" x14ac:dyDescent="0.35">
      <c r="A41" s="47">
        <v>46559</v>
      </c>
      <c r="B41" s="47">
        <f t="shared" si="0"/>
        <v>46565</v>
      </c>
      <c r="C41" s="44">
        <f>COUNTIFS('Implementation plan'!$P$5:$P$72,"&gt;="&amp;A41,'Implementation plan'!$P$5:$P$72,"&lt;="&amp;B41)</f>
        <v>0</v>
      </c>
      <c r="D41" s="44">
        <f>SUMIFS('Implementation plan'!$N$5:$N$72,'Implementation plan'!$P$5:$P$72,"&gt;="&amp;A41,'Implementation plan'!$P$5:$P$72,"&lt;="&amp;B41)</f>
        <v>0</v>
      </c>
      <c r="E41" s="44">
        <f>COUNTIFS('Implementation plan'!$Y$5:$Y$72,"&gt;="&amp;A41,'Implementation plan'!$Y$5:$Y$72,"&lt;="&amp;B41)</f>
        <v>0</v>
      </c>
      <c r="F41" s="44">
        <f>SUM(C$5:C41)</f>
        <v>68</v>
      </c>
      <c r="G41" s="44" t="str">
        <f ca="1">IF(A41&gt;TODAY(),"",SUM(E$5:E41))</f>
        <v/>
      </c>
      <c r="H41" s="46">
        <f>F41/COUNTA('Implementation plan'!$A$5:$A$72)</f>
        <v>1</v>
      </c>
      <c r="I41" s="46" t="str">
        <f ca="1">IF(G41="","",G41/COUNTA('Implementation plan'!$A$5:$A$72))</f>
        <v/>
      </c>
      <c r="J41" s="44" t="str">
        <f t="shared" ca="1" si="1"/>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
  <sheetViews>
    <sheetView showGridLines="0" workbookViewId="0"/>
  </sheetViews>
  <sheetFormatPr defaultRowHeight="14.5" x14ac:dyDescent="0.35"/>
  <cols>
    <col min="1" max="1" width="30" customWidth="1"/>
    <col min="2" max="2" width="7" customWidth="1"/>
    <col min="3" max="4" width="14" customWidth="1"/>
    <col min="5" max="5" width="16" customWidth="1"/>
    <col min="6" max="6" width="100" customWidth="1"/>
  </cols>
  <sheetData>
    <row r="1" spans="1:6" ht="21" x14ac:dyDescent="0.5">
      <c r="A1" s="27" t="s">
        <v>1256</v>
      </c>
    </row>
    <row r="2" spans="1:6" ht="65" x14ac:dyDescent="0.35">
      <c r="A2" s="28" t="s">
        <v>1257</v>
      </c>
    </row>
    <row r="4" spans="1:6" x14ac:dyDescent="0.35">
      <c r="A4" s="37" t="s">
        <v>1258</v>
      </c>
      <c r="B4" s="37" t="s">
        <v>752</v>
      </c>
      <c r="C4" s="37" t="s">
        <v>1259</v>
      </c>
      <c r="D4" s="37" t="s">
        <v>1260</v>
      </c>
      <c r="E4" s="37" t="s">
        <v>497</v>
      </c>
      <c r="F4" s="37" t="s">
        <v>1261</v>
      </c>
    </row>
    <row r="5" spans="1:6" ht="76" customHeight="1" x14ac:dyDescent="0.35">
      <c r="A5" s="38" t="s">
        <v>1262</v>
      </c>
      <c r="B5" s="38">
        <v>1</v>
      </c>
      <c r="C5" s="40">
        <f>SUMPRODUCT(MAX(('Implementation plan'!$D$5:$D$72=B5)*'Implementation plan'!$P$5:$P$72))+7</f>
        <v>46430</v>
      </c>
      <c r="D5" s="38">
        <f>COUNTIFS('Implementation plan'!$D$5:$D$72,B5,'Implementation plan'!$V$5:$V$72,"&lt;&gt;Done")</f>
        <v>40</v>
      </c>
      <c r="E5" s="38" t="str">
        <f>IF(D5=0,"Ready","Open")</f>
        <v>Open</v>
      </c>
      <c r="F5" s="38" t="s">
        <v>1263</v>
      </c>
    </row>
    <row r="6" spans="1:6" ht="76" customHeight="1" x14ac:dyDescent="0.35">
      <c r="A6" s="38" t="s">
        <v>1264</v>
      </c>
      <c r="B6" s="38">
        <v>2</v>
      </c>
      <c r="C6" s="40">
        <f>SUMPRODUCT(MAX(('Implementation plan'!$D$5:$D$72=B6)*'Implementation plan'!$P$5:$P$72))+7</f>
        <v>46497</v>
      </c>
      <c r="D6" s="38">
        <f>COUNTIFS('Implementation plan'!$D$5:$D$72,B6,'Implementation plan'!$V$5:$V$72,"&lt;&gt;Done")</f>
        <v>23</v>
      </c>
      <c r="E6" s="38" t="str">
        <f>IF(D6=0,"Ready","Open")</f>
        <v>Open</v>
      </c>
      <c r="F6" s="38" t="s">
        <v>1265</v>
      </c>
    </row>
    <row r="7" spans="1:6" ht="76" customHeight="1" x14ac:dyDescent="0.35">
      <c r="A7" s="38" t="s">
        <v>1266</v>
      </c>
      <c r="B7" s="38">
        <v>3</v>
      </c>
      <c r="C7" s="40">
        <f>SUMPRODUCT(MAX(('Implementation plan'!$D$5:$D$72=B7)*'Implementation plan'!$P$5:$P$72))+7</f>
        <v>46556</v>
      </c>
      <c r="D7" s="38">
        <f>COUNTIFS('Implementation plan'!$D$5:$D$72,B7,'Implementation plan'!$V$5:$V$72,"&lt;&gt;Done")</f>
        <v>5</v>
      </c>
      <c r="E7" s="38" t="str">
        <f>IF(D7=0,"Ready","Open")</f>
        <v>Open</v>
      </c>
      <c r="F7" s="38" t="s">
        <v>1267</v>
      </c>
    </row>
    <row r="9" spans="1:6" x14ac:dyDescent="0.35">
      <c r="A9" s="32" t="s">
        <v>1268</v>
      </c>
    </row>
    <row r="10" spans="1:6" x14ac:dyDescent="0.35">
      <c r="A10" s="33" t="s">
        <v>1269</v>
      </c>
      <c r="D10" s="33">
        <f>COUNTIF('Plan decisions'!D5:D67,"Confirm")+COUNTIF('Plan decisions'!D5:D67,"External")</f>
        <v>14</v>
      </c>
    </row>
    <row r="11" spans="1:6" x14ac:dyDescent="0.35">
      <c r="A11" s="33" t="s">
        <v>1270</v>
      </c>
      <c r="D11" s="33">
        <f>COUNTIFS('Plan decisions'!D5:D67,"Confirm",'Plan decisions'!G5:G67,"")+COUNTIFS('Plan decisions'!D5:D67,"External",'Plan decisions'!G5:G67,"")</f>
        <v>14</v>
      </c>
    </row>
  </sheetData>
  <conditionalFormatting sqref="E5:E7">
    <cfRule type="cellIs" dxfId="5" priority="1" operator="equal">
      <formula>"Ready"</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showGridLines="0" workbookViewId="0"/>
  </sheetViews>
  <sheetFormatPr defaultRowHeight="14.5" x14ac:dyDescent="0.35"/>
  <cols>
    <col min="1" max="1" width="12" customWidth="1"/>
    <col min="2" max="2" width="70" customWidth="1"/>
    <col min="3" max="3" width="24" customWidth="1"/>
    <col min="4" max="4" width="60" customWidth="1"/>
    <col min="5" max="5" width="22" customWidth="1"/>
  </cols>
  <sheetData>
    <row r="1" spans="1:5" ht="21" x14ac:dyDescent="0.5">
      <c r="A1" s="27" t="s">
        <v>1271</v>
      </c>
    </row>
    <row r="2" spans="1:5" ht="91" x14ac:dyDescent="0.35">
      <c r="A2" s="28" t="s">
        <v>1272</v>
      </c>
    </row>
    <row r="4" spans="1:5" x14ac:dyDescent="0.35">
      <c r="A4" s="37" t="s">
        <v>1273</v>
      </c>
      <c r="B4" s="37" t="s">
        <v>1274</v>
      </c>
      <c r="C4" s="37" t="s">
        <v>1275</v>
      </c>
      <c r="D4" s="37" t="s">
        <v>1276</v>
      </c>
      <c r="E4" s="37" t="s">
        <v>1277</v>
      </c>
    </row>
    <row r="5" spans="1:5" ht="60" customHeight="1" x14ac:dyDescent="0.35">
      <c r="A5" s="40">
        <v>46299</v>
      </c>
      <c r="B5" s="38" t="s">
        <v>1278</v>
      </c>
      <c r="C5" s="38" t="s">
        <v>502</v>
      </c>
      <c r="D5" s="38" t="s">
        <v>1279</v>
      </c>
      <c r="E5" s="38" t="s">
        <v>1280</v>
      </c>
    </row>
    <row r="6" spans="1:5" ht="60" customHeight="1" x14ac:dyDescent="0.35">
      <c r="A6" s="40">
        <v>46299</v>
      </c>
      <c r="B6" s="38" t="s">
        <v>1281</v>
      </c>
      <c r="C6" s="38" t="s">
        <v>502</v>
      </c>
      <c r="D6" s="38" t="s">
        <v>1282</v>
      </c>
      <c r="E6" s="38" t="s">
        <v>1280</v>
      </c>
    </row>
    <row r="7" spans="1:5" ht="60" customHeight="1" x14ac:dyDescent="0.35">
      <c r="A7" s="40">
        <v>46299</v>
      </c>
      <c r="B7" s="38" t="s">
        <v>1283</v>
      </c>
      <c r="C7" s="38" t="s">
        <v>1284</v>
      </c>
      <c r="D7" s="38" t="s">
        <v>1285</v>
      </c>
      <c r="E7" s="38" t="s">
        <v>1286</v>
      </c>
    </row>
    <row r="8" spans="1:5" ht="60" customHeight="1" x14ac:dyDescent="0.35">
      <c r="A8" s="40">
        <v>46300</v>
      </c>
      <c r="B8" s="38" t="s">
        <v>1287</v>
      </c>
      <c r="C8" s="38" t="s">
        <v>502</v>
      </c>
      <c r="D8" s="38" t="s">
        <v>1288</v>
      </c>
      <c r="E8" s="38" t="s">
        <v>1280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5"/>
  <sheetViews>
    <sheetView showGridLines="0" workbookViewId="0">
      <pane ySplit="4" topLeftCell="A5" activePane="bottomLeft" state="frozen"/>
      <selection pane="bottomLeft"/>
    </sheetView>
  </sheetViews>
  <sheetFormatPr defaultRowHeight="14.5" x14ac:dyDescent="0.35"/>
  <cols>
    <col min="1" max="1" width="5" customWidth="1"/>
    <col min="2" max="2" width="12" customWidth="1"/>
    <col min="3" max="3" width="10" customWidth="1"/>
    <col min="4" max="4" width="70" customWidth="1"/>
    <col min="5" max="5" width="16" customWidth="1"/>
    <col min="6" max="6" width="70" customWidth="1"/>
  </cols>
  <sheetData>
    <row r="1" spans="1:6" ht="21" x14ac:dyDescent="0.5">
      <c r="A1" s="27" t="s">
        <v>1289</v>
      </c>
    </row>
    <row r="2" spans="1:6" ht="30" customHeight="1" x14ac:dyDescent="0.35">
      <c r="A2" s="57" t="s">
        <v>1290</v>
      </c>
      <c r="B2" s="55"/>
      <c r="C2" s="55"/>
      <c r="D2" s="55"/>
      <c r="E2" s="55"/>
      <c r="F2" s="55"/>
    </row>
    <row r="4" spans="1:6" x14ac:dyDescent="0.35">
      <c r="A4" s="37" t="s">
        <v>1291</v>
      </c>
      <c r="B4" s="37" t="s">
        <v>1292</v>
      </c>
      <c r="C4" s="37" t="s">
        <v>1293</v>
      </c>
      <c r="D4" s="37" t="s">
        <v>1294</v>
      </c>
      <c r="E4" s="37" t="s">
        <v>1295</v>
      </c>
      <c r="F4" s="37" t="s">
        <v>1296</v>
      </c>
    </row>
    <row r="5" spans="1:6" ht="44" customHeight="1" x14ac:dyDescent="0.35">
      <c r="A5" s="38">
        <v>1</v>
      </c>
      <c r="B5" s="38" t="s">
        <v>856</v>
      </c>
      <c r="C5" s="38" t="s">
        <v>1297</v>
      </c>
      <c r="D5" s="38" t="s">
        <v>1298</v>
      </c>
      <c r="E5" s="38" t="s">
        <v>1299</v>
      </c>
      <c r="F5" s="38" t="s">
        <v>1300</v>
      </c>
    </row>
    <row r="6" spans="1:6" ht="44" customHeight="1" x14ac:dyDescent="0.35">
      <c r="A6" s="38">
        <v>2</v>
      </c>
      <c r="B6" s="38" t="s">
        <v>1301</v>
      </c>
      <c r="C6" s="38" t="s">
        <v>1302</v>
      </c>
      <c r="D6" s="38" t="s">
        <v>1303</v>
      </c>
      <c r="E6" s="38" t="s">
        <v>1299</v>
      </c>
      <c r="F6" s="38" t="s">
        <v>1304</v>
      </c>
    </row>
    <row r="7" spans="1:6" ht="44" customHeight="1" x14ac:dyDescent="0.35">
      <c r="A7" s="38">
        <v>3</v>
      </c>
      <c r="B7" s="38" t="s">
        <v>228</v>
      </c>
      <c r="C7" s="38" t="s">
        <v>1302</v>
      </c>
      <c r="D7" s="38" t="s">
        <v>1305</v>
      </c>
      <c r="E7" s="38" t="s">
        <v>1299</v>
      </c>
      <c r="F7" s="38" t="s">
        <v>1306</v>
      </c>
    </row>
    <row r="8" spans="1:6" ht="44" customHeight="1" x14ac:dyDescent="0.35">
      <c r="A8" s="38">
        <v>4</v>
      </c>
      <c r="B8" s="38" t="s">
        <v>863</v>
      </c>
      <c r="C8" s="38" t="s">
        <v>1302</v>
      </c>
      <c r="D8" s="38" t="s">
        <v>1307</v>
      </c>
      <c r="E8" s="38" t="s">
        <v>1308</v>
      </c>
      <c r="F8" s="38" t="s">
        <v>1309</v>
      </c>
    </row>
    <row r="9" spans="1:6" ht="44" customHeight="1" x14ac:dyDescent="0.35">
      <c r="A9" s="38">
        <v>5</v>
      </c>
      <c r="B9" s="38" t="s">
        <v>863</v>
      </c>
      <c r="C9" s="38" t="s">
        <v>1302</v>
      </c>
      <c r="D9" s="38" t="s">
        <v>1310</v>
      </c>
      <c r="E9" s="38" t="s">
        <v>1308</v>
      </c>
      <c r="F9" s="38" t="s">
        <v>1311</v>
      </c>
    </row>
    <row r="10" spans="1:6" ht="44" customHeight="1" x14ac:dyDescent="0.35">
      <c r="A10" s="38">
        <v>6</v>
      </c>
      <c r="B10" s="38" t="s">
        <v>1312</v>
      </c>
      <c r="C10" s="38" t="s">
        <v>1302</v>
      </c>
      <c r="D10" s="38" t="s">
        <v>1313</v>
      </c>
      <c r="E10" s="38" t="s">
        <v>1308</v>
      </c>
      <c r="F10" s="38" t="s">
        <v>1314</v>
      </c>
    </row>
    <row r="11" spans="1:6" ht="44" customHeight="1" x14ac:dyDescent="0.35">
      <c r="A11" s="38">
        <v>7</v>
      </c>
      <c r="B11" s="38" t="s">
        <v>1312</v>
      </c>
      <c r="C11" s="38" t="s">
        <v>1302</v>
      </c>
      <c r="D11" s="38" t="s">
        <v>1315</v>
      </c>
      <c r="E11" s="38" t="s">
        <v>1308</v>
      </c>
      <c r="F11" s="38" t="s">
        <v>1316</v>
      </c>
    </row>
    <row r="12" spans="1:6" ht="44" customHeight="1" x14ac:dyDescent="0.35">
      <c r="A12" s="38">
        <v>8</v>
      </c>
      <c r="B12" s="38" t="s">
        <v>1312</v>
      </c>
      <c r="C12" s="38" t="s">
        <v>1302</v>
      </c>
      <c r="D12" s="38" t="s">
        <v>1317</v>
      </c>
      <c r="E12" s="38" t="s">
        <v>1299</v>
      </c>
      <c r="F12" s="38" t="s">
        <v>1318</v>
      </c>
    </row>
    <row r="13" spans="1:6" ht="44" customHeight="1" x14ac:dyDescent="0.35">
      <c r="A13" s="38">
        <v>9</v>
      </c>
      <c r="B13" s="38" t="s">
        <v>1312</v>
      </c>
      <c r="C13" s="38" t="s">
        <v>1319</v>
      </c>
      <c r="D13" s="38" t="s">
        <v>1320</v>
      </c>
      <c r="E13" s="38" t="s">
        <v>1308</v>
      </c>
      <c r="F13" s="38" t="s">
        <v>1321</v>
      </c>
    </row>
    <row r="14" spans="1:6" ht="44" customHeight="1" x14ac:dyDescent="0.35">
      <c r="A14" s="38">
        <v>10</v>
      </c>
      <c r="B14" s="38" t="s">
        <v>1312</v>
      </c>
      <c r="C14" s="38" t="s">
        <v>1319</v>
      </c>
      <c r="D14" s="38" t="s">
        <v>1322</v>
      </c>
      <c r="E14" s="38" t="s">
        <v>1308</v>
      </c>
      <c r="F14" s="38" t="s">
        <v>1323</v>
      </c>
    </row>
    <row r="15" spans="1:6" ht="44" customHeight="1" x14ac:dyDescent="0.35">
      <c r="A15" s="38">
        <v>11</v>
      </c>
      <c r="B15" s="38" t="s">
        <v>1312</v>
      </c>
      <c r="C15" s="38" t="s">
        <v>1319</v>
      </c>
      <c r="D15" s="38" t="s">
        <v>1324</v>
      </c>
      <c r="E15" s="38" t="s">
        <v>1308</v>
      </c>
      <c r="F15" s="38" t="s">
        <v>1325</v>
      </c>
    </row>
    <row r="16" spans="1:6" ht="44" customHeight="1" x14ac:dyDescent="0.35">
      <c r="A16" s="38">
        <v>12</v>
      </c>
      <c r="B16" s="38" t="s">
        <v>1312</v>
      </c>
      <c r="C16" s="38" t="s">
        <v>1319</v>
      </c>
      <c r="D16" s="38" t="s">
        <v>1326</v>
      </c>
      <c r="E16" s="38" t="s">
        <v>1308</v>
      </c>
      <c r="F16" s="38" t="s">
        <v>1327</v>
      </c>
    </row>
    <row r="17" spans="1:6" ht="44" customHeight="1" x14ac:dyDescent="0.35">
      <c r="A17" s="38">
        <v>13</v>
      </c>
      <c r="B17" s="38" t="s">
        <v>1312</v>
      </c>
      <c r="C17" s="38" t="s">
        <v>1319</v>
      </c>
      <c r="D17" s="38" t="s">
        <v>1328</v>
      </c>
      <c r="E17" s="38" t="s">
        <v>1308</v>
      </c>
      <c r="F17" s="38" t="s">
        <v>1329</v>
      </c>
    </row>
    <row r="18" spans="1:6" ht="44" customHeight="1" x14ac:dyDescent="0.35">
      <c r="A18" s="38">
        <v>14</v>
      </c>
      <c r="B18" s="38" t="s">
        <v>1312</v>
      </c>
      <c r="C18" s="38" t="s">
        <v>1319</v>
      </c>
      <c r="D18" s="38" t="s">
        <v>1330</v>
      </c>
      <c r="E18" s="38" t="s">
        <v>1299</v>
      </c>
      <c r="F18" s="38" t="s">
        <v>1331</v>
      </c>
    </row>
    <row r="19" spans="1:6" ht="44" customHeight="1" x14ac:dyDescent="0.35">
      <c r="A19" s="38">
        <v>15</v>
      </c>
      <c r="B19" s="38" t="s">
        <v>1312</v>
      </c>
      <c r="C19" s="38" t="s">
        <v>1319</v>
      </c>
      <c r="D19" s="38" t="s">
        <v>1332</v>
      </c>
      <c r="E19" s="38" t="s">
        <v>1308</v>
      </c>
      <c r="F19" s="38" t="s">
        <v>1333</v>
      </c>
    </row>
    <row r="20" spans="1:6" ht="44" customHeight="1" x14ac:dyDescent="0.35">
      <c r="A20" s="38">
        <v>16</v>
      </c>
      <c r="B20" s="38" t="s">
        <v>1334</v>
      </c>
      <c r="C20" s="38" t="s">
        <v>1302</v>
      </c>
      <c r="D20" s="38" t="s">
        <v>1335</v>
      </c>
      <c r="E20" s="38" t="s">
        <v>1299</v>
      </c>
      <c r="F20" s="38" t="s">
        <v>1336</v>
      </c>
    </row>
    <row r="21" spans="1:6" ht="44" customHeight="1" x14ac:dyDescent="0.35">
      <c r="A21" s="38">
        <v>17</v>
      </c>
      <c r="B21" s="38" t="s">
        <v>1334</v>
      </c>
      <c r="C21" s="38" t="s">
        <v>1302</v>
      </c>
      <c r="D21" s="38" t="s">
        <v>1337</v>
      </c>
      <c r="E21" s="38" t="s">
        <v>1308</v>
      </c>
      <c r="F21" s="38" t="s">
        <v>1338</v>
      </c>
    </row>
    <row r="22" spans="1:6" ht="44" customHeight="1" x14ac:dyDescent="0.35">
      <c r="A22" s="38">
        <v>18</v>
      </c>
      <c r="B22" s="38" t="s">
        <v>1334</v>
      </c>
      <c r="C22" s="38" t="s">
        <v>1302</v>
      </c>
      <c r="D22" s="38" t="s">
        <v>1339</v>
      </c>
      <c r="E22" s="38" t="s">
        <v>1299</v>
      </c>
      <c r="F22" s="38" t="s">
        <v>1340</v>
      </c>
    </row>
    <row r="23" spans="1:6" ht="44" customHeight="1" x14ac:dyDescent="0.35">
      <c r="A23" s="38">
        <v>19</v>
      </c>
      <c r="B23" s="38" t="s">
        <v>1334</v>
      </c>
      <c r="C23" s="38" t="s">
        <v>1319</v>
      </c>
      <c r="D23" s="38" t="s">
        <v>1341</v>
      </c>
      <c r="E23" s="38" t="s">
        <v>1308</v>
      </c>
      <c r="F23" s="38" t="s">
        <v>1342</v>
      </c>
    </row>
    <row r="24" spans="1:6" ht="44" customHeight="1" x14ac:dyDescent="0.35">
      <c r="A24" s="38">
        <v>20</v>
      </c>
      <c r="B24" s="38" t="s">
        <v>1334</v>
      </c>
      <c r="C24" s="38" t="s">
        <v>1319</v>
      </c>
      <c r="D24" s="38" t="s">
        <v>1343</v>
      </c>
      <c r="E24" s="38" t="s">
        <v>1308</v>
      </c>
      <c r="F24" s="38" t="s">
        <v>1344</v>
      </c>
    </row>
    <row r="25" spans="1:6" ht="44" customHeight="1" x14ac:dyDescent="0.35">
      <c r="A25" s="38">
        <v>21</v>
      </c>
      <c r="B25" s="38" t="s">
        <v>1334</v>
      </c>
      <c r="C25" s="38" t="s">
        <v>1319</v>
      </c>
      <c r="D25" s="38" t="s">
        <v>1345</v>
      </c>
      <c r="E25" s="38" t="s">
        <v>1299</v>
      </c>
      <c r="F25" s="38" t="s">
        <v>1346</v>
      </c>
    </row>
    <row r="26" spans="1:6" ht="44" customHeight="1" x14ac:dyDescent="0.35">
      <c r="A26" s="38">
        <v>22</v>
      </c>
      <c r="B26" s="38" t="s">
        <v>1334</v>
      </c>
      <c r="C26" s="38" t="s">
        <v>1319</v>
      </c>
      <c r="D26" s="38" t="s">
        <v>1347</v>
      </c>
      <c r="E26" s="38" t="s">
        <v>1308</v>
      </c>
      <c r="F26" s="38" t="s">
        <v>1348</v>
      </c>
    </row>
    <row r="27" spans="1:6" ht="44" customHeight="1" x14ac:dyDescent="0.35">
      <c r="A27" s="38">
        <v>23</v>
      </c>
      <c r="B27" s="38" t="s">
        <v>1334</v>
      </c>
      <c r="C27" s="38" t="s">
        <v>1319</v>
      </c>
      <c r="D27" s="38" t="s">
        <v>1349</v>
      </c>
      <c r="E27" s="38" t="s">
        <v>1308</v>
      </c>
      <c r="F27" s="38" t="s">
        <v>1350</v>
      </c>
    </row>
    <row r="28" spans="1:6" ht="44" customHeight="1" x14ac:dyDescent="0.35">
      <c r="A28" s="38">
        <v>24</v>
      </c>
      <c r="B28" s="38" t="s">
        <v>1334</v>
      </c>
      <c r="C28" s="38" t="s">
        <v>1319</v>
      </c>
      <c r="D28" s="38" t="s">
        <v>1351</v>
      </c>
      <c r="E28" s="38" t="s">
        <v>1299</v>
      </c>
      <c r="F28" s="38" t="s">
        <v>1352</v>
      </c>
    </row>
    <row r="29" spans="1:6" ht="44" customHeight="1" x14ac:dyDescent="0.35">
      <c r="A29" s="38">
        <v>25</v>
      </c>
      <c r="B29" s="38" t="s">
        <v>1334</v>
      </c>
      <c r="C29" s="38" t="s">
        <v>1319</v>
      </c>
      <c r="D29" s="38" t="s">
        <v>1353</v>
      </c>
      <c r="E29" s="38" t="s">
        <v>1299</v>
      </c>
      <c r="F29" s="38" t="s">
        <v>1354</v>
      </c>
    </row>
    <row r="30" spans="1:6" ht="44" customHeight="1" x14ac:dyDescent="0.35">
      <c r="A30" s="38">
        <v>26</v>
      </c>
      <c r="B30" s="38" t="s">
        <v>1334</v>
      </c>
      <c r="C30" s="38" t="s">
        <v>1355</v>
      </c>
      <c r="D30" s="38" t="s">
        <v>1356</v>
      </c>
      <c r="E30" s="38" t="s">
        <v>1299</v>
      </c>
      <c r="F30" s="38" t="s">
        <v>1357</v>
      </c>
    </row>
    <row r="31" spans="1:6" ht="44" customHeight="1" x14ac:dyDescent="0.35">
      <c r="A31" s="38">
        <v>27</v>
      </c>
      <c r="B31" s="38" t="s">
        <v>1334</v>
      </c>
      <c r="C31" s="38" t="s">
        <v>1319</v>
      </c>
      <c r="D31" s="38" t="s">
        <v>1358</v>
      </c>
      <c r="E31" s="38" t="s">
        <v>1359</v>
      </c>
      <c r="F31" s="38" t="s">
        <v>1360</v>
      </c>
    </row>
    <row r="32" spans="1:6" ht="44" customHeight="1" x14ac:dyDescent="0.35">
      <c r="A32" s="38">
        <v>28</v>
      </c>
      <c r="B32" s="38" t="s">
        <v>1334</v>
      </c>
      <c r="C32" s="38" t="s">
        <v>1319</v>
      </c>
      <c r="D32" s="38" t="s">
        <v>1361</v>
      </c>
      <c r="E32" s="38" t="s">
        <v>1359</v>
      </c>
      <c r="F32" s="38" t="s">
        <v>1362</v>
      </c>
    </row>
    <row r="33" spans="1:6" ht="44" customHeight="1" x14ac:dyDescent="0.35">
      <c r="A33" s="38">
        <v>29</v>
      </c>
      <c r="B33" s="38" t="s">
        <v>1363</v>
      </c>
      <c r="C33" s="38" t="s">
        <v>1302</v>
      </c>
      <c r="D33" s="38" t="s">
        <v>1364</v>
      </c>
      <c r="E33" s="38" t="s">
        <v>1299</v>
      </c>
      <c r="F33" s="38" t="s">
        <v>1365</v>
      </c>
    </row>
    <row r="34" spans="1:6" ht="44" customHeight="1" x14ac:dyDescent="0.35">
      <c r="A34" s="38">
        <v>30</v>
      </c>
      <c r="B34" s="38" t="s">
        <v>1363</v>
      </c>
      <c r="C34" s="38" t="s">
        <v>1319</v>
      </c>
      <c r="D34" s="38" t="s">
        <v>1366</v>
      </c>
      <c r="E34" s="38" t="s">
        <v>1308</v>
      </c>
      <c r="F34" s="38" t="s">
        <v>1367</v>
      </c>
    </row>
    <row r="35" spans="1:6" ht="44" customHeight="1" x14ac:dyDescent="0.35">
      <c r="A35" s="38">
        <v>31</v>
      </c>
      <c r="B35" s="38" t="s">
        <v>1363</v>
      </c>
      <c r="C35" s="38" t="s">
        <v>1319</v>
      </c>
      <c r="D35" s="38" t="s">
        <v>1368</v>
      </c>
      <c r="E35" s="38" t="s">
        <v>1299</v>
      </c>
      <c r="F35" s="38" t="s">
        <v>1369</v>
      </c>
    </row>
    <row r="36" spans="1:6" ht="44" customHeight="1" x14ac:dyDescent="0.35">
      <c r="A36" s="38">
        <v>32</v>
      </c>
      <c r="B36" s="38" t="s">
        <v>1370</v>
      </c>
      <c r="C36" s="38" t="s">
        <v>1319</v>
      </c>
      <c r="D36" s="38" t="s">
        <v>1371</v>
      </c>
      <c r="E36" s="38" t="s">
        <v>1308</v>
      </c>
      <c r="F36" s="38" t="s">
        <v>1372</v>
      </c>
    </row>
    <row r="37" spans="1:6" ht="44" customHeight="1" x14ac:dyDescent="0.35">
      <c r="A37" s="38">
        <v>33</v>
      </c>
      <c r="B37" s="38" t="s">
        <v>1370</v>
      </c>
      <c r="C37" s="38" t="s">
        <v>1319</v>
      </c>
      <c r="D37" s="38" t="s">
        <v>1373</v>
      </c>
      <c r="E37" s="38" t="s">
        <v>1308</v>
      </c>
      <c r="F37" s="38" t="s">
        <v>1374</v>
      </c>
    </row>
    <row r="38" spans="1:6" ht="44" customHeight="1" x14ac:dyDescent="0.35">
      <c r="A38" s="38">
        <v>34</v>
      </c>
      <c r="B38" s="38" t="s">
        <v>1370</v>
      </c>
      <c r="C38" s="38" t="s">
        <v>1302</v>
      </c>
      <c r="D38" s="38" t="s">
        <v>1375</v>
      </c>
      <c r="E38" s="38" t="s">
        <v>1299</v>
      </c>
      <c r="F38" s="38" t="s">
        <v>1376</v>
      </c>
    </row>
    <row r="39" spans="1:6" ht="44" customHeight="1" x14ac:dyDescent="0.35">
      <c r="A39" s="38">
        <v>35</v>
      </c>
      <c r="B39" s="38" t="s">
        <v>1377</v>
      </c>
      <c r="C39" s="38" t="s">
        <v>1302</v>
      </c>
      <c r="D39" s="38" t="s">
        <v>1378</v>
      </c>
      <c r="E39" s="38" t="s">
        <v>1299</v>
      </c>
      <c r="F39" s="38" t="s">
        <v>1379</v>
      </c>
    </row>
    <row r="40" spans="1:6" ht="44" customHeight="1" x14ac:dyDescent="0.35">
      <c r="A40" s="38">
        <v>36</v>
      </c>
      <c r="B40" s="38" t="s">
        <v>1377</v>
      </c>
      <c r="C40" s="38" t="s">
        <v>1302</v>
      </c>
      <c r="D40" s="38" t="s">
        <v>1380</v>
      </c>
      <c r="E40" s="38" t="s">
        <v>1299</v>
      </c>
      <c r="F40" s="38" t="s">
        <v>1381</v>
      </c>
    </row>
    <row r="41" spans="1:6" ht="44" customHeight="1" x14ac:dyDescent="0.35">
      <c r="A41" s="38">
        <v>37</v>
      </c>
      <c r="B41" s="38" t="s">
        <v>1377</v>
      </c>
      <c r="C41" s="38" t="s">
        <v>1319</v>
      </c>
      <c r="D41" s="38" t="s">
        <v>1382</v>
      </c>
      <c r="E41" s="38" t="s">
        <v>1308</v>
      </c>
      <c r="F41" s="38" t="s">
        <v>1383</v>
      </c>
    </row>
    <row r="42" spans="1:6" ht="44" customHeight="1" x14ac:dyDescent="0.35">
      <c r="A42" s="38">
        <v>38</v>
      </c>
      <c r="B42" s="38" t="s">
        <v>1377</v>
      </c>
      <c r="C42" s="38" t="s">
        <v>1355</v>
      </c>
      <c r="D42" s="38" t="s">
        <v>1384</v>
      </c>
      <c r="E42" s="38" t="s">
        <v>1299</v>
      </c>
      <c r="F42" s="38" t="s">
        <v>1385</v>
      </c>
    </row>
    <row r="43" spans="1:6" ht="44" customHeight="1" x14ac:dyDescent="0.35">
      <c r="A43" s="38">
        <v>39</v>
      </c>
      <c r="B43" s="38" t="s">
        <v>1377</v>
      </c>
      <c r="C43" s="38" t="s">
        <v>1319</v>
      </c>
      <c r="D43" s="38" t="s">
        <v>1386</v>
      </c>
      <c r="E43" s="38" t="s">
        <v>1299</v>
      </c>
      <c r="F43" s="38" t="s">
        <v>1387</v>
      </c>
    </row>
    <row r="44" spans="1:6" ht="44" customHeight="1" x14ac:dyDescent="0.35">
      <c r="A44" s="38">
        <v>40</v>
      </c>
      <c r="B44" s="38" t="s">
        <v>1377</v>
      </c>
      <c r="C44" s="38" t="s">
        <v>1355</v>
      </c>
      <c r="D44" s="38" t="s">
        <v>1388</v>
      </c>
      <c r="E44" s="38" t="s">
        <v>1299</v>
      </c>
      <c r="F44" s="38" t="s">
        <v>1389</v>
      </c>
    </row>
    <row r="45" spans="1:6" ht="44" customHeight="1" x14ac:dyDescent="0.35">
      <c r="A45" s="38">
        <v>41</v>
      </c>
      <c r="B45" s="38" t="s">
        <v>1377</v>
      </c>
      <c r="C45" s="38" t="s">
        <v>1319</v>
      </c>
      <c r="D45" s="38" t="s">
        <v>1390</v>
      </c>
      <c r="E45" s="38" t="s">
        <v>1359</v>
      </c>
      <c r="F45" s="38" t="s">
        <v>1391</v>
      </c>
    </row>
    <row r="46" spans="1:6" ht="44" customHeight="1" x14ac:dyDescent="0.35">
      <c r="A46" s="38">
        <v>42</v>
      </c>
      <c r="B46" s="38" t="s">
        <v>1392</v>
      </c>
      <c r="C46" s="38" t="s">
        <v>1302</v>
      </c>
      <c r="D46" s="38" t="s">
        <v>1393</v>
      </c>
      <c r="E46" s="38" t="s">
        <v>1308</v>
      </c>
      <c r="F46" s="38" t="s">
        <v>1394</v>
      </c>
    </row>
    <row r="47" spans="1:6" ht="44" customHeight="1" x14ac:dyDescent="0.35">
      <c r="A47" s="38">
        <v>43</v>
      </c>
      <c r="B47" s="38" t="s">
        <v>1392</v>
      </c>
      <c r="C47" s="38" t="s">
        <v>1319</v>
      </c>
      <c r="D47" s="38" t="s">
        <v>1395</v>
      </c>
      <c r="E47" s="38" t="s">
        <v>1299</v>
      </c>
      <c r="F47" s="38" t="s">
        <v>1396</v>
      </c>
    </row>
    <row r="48" spans="1:6" ht="44" customHeight="1" x14ac:dyDescent="0.35">
      <c r="A48" s="38">
        <v>44</v>
      </c>
      <c r="B48" s="38" t="s">
        <v>1392</v>
      </c>
      <c r="C48" s="38" t="s">
        <v>1355</v>
      </c>
      <c r="D48" s="38" t="s">
        <v>1397</v>
      </c>
      <c r="E48" s="38" t="s">
        <v>1299</v>
      </c>
      <c r="F48" s="38" t="s">
        <v>1398</v>
      </c>
    </row>
    <row r="49" spans="1:6" ht="44" customHeight="1" x14ac:dyDescent="0.35">
      <c r="A49" s="38">
        <v>45</v>
      </c>
      <c r="B49" s="38" t="s">
        <v>863</v>
      </c>
      <c r="C49" s="38" t="s">
        <v>1319</v>
      </c>
      <c r="D49" s="38" t="s">
        <v>1399</v>
      </c>
      <c r="E49" s="38" t="s">
        <v>1299</v>
      </c>
      <c r="F49" s="38" t="s">
        <v>1400</v>
      </c>
    </row>
    <row r="50" spans="1:6" ht="44" customHeight="1" x14ac:dyDescent="0.35">
      <c r="A50" s="38">
        <v>46</v>
      </c>
      <c r="B50" s="38" t="s">
        <v>1401</v>
      </c>
      <c r="C50" s="38" t="s">
        <v>1319</v>
      </c>
      <c r="D50" s="38" t="s">
        <v>1402</v>
      </c>
      <c r="E50" s="38" t="s">
        <v>1299</v>
      </c>
      <c r="F50" s="38" t="s">
        <v>1403</v>
      </c>
    </row>
    <row r="51" spans="1:6" ht="44" customHeight="1" x14ac:dyDescent="0.35">
      <c r="A51" s="38">
        <v>47</v>
      </c>
      <c r="B51" s="38" t="s">
        <v>1401</v>
      </c>
      <c r="C51" s="38" t="s">
        <v>1319</v>
      </c>
      <c r="D51" s="38" t="s">
        <v>1404</v>
      </c>
      <c r="E51" s="38" t="s">
        <v>1308</v>
      </c>
      <c r="F51" s="38" t="s">
        <v>1405</v>
      </c>
    </row>
    <row r="52" spans="1:6" ht="44" customHeight="1" x14ac:dyDescent="0.35">
      <c r="A52" s="38">
        <v>48</v>
      </c>
      <c r="B52" s="38" t="s">
        <v>228</v>
      </c>
      <c r="C52" s="38" t="s">
        <v>1355</v>
      </c>
      <c r="D52" s="38" t="s">
        <v>1406</v>
      </c>
      <c r="E52" s="38" t="s">
        <v>1308</v>
      </c>
      <c r="F52" s="38" t="s">
        <v>1407</v>
      </c>
    </row>
    <row r="53" spans="1:6" ht="44" customHeight="1" x14ac:dyDescent="0.35">
      <c r="A53" s="38">
        <v>49</v>
      </c>
      <c r="B53" s="38" t="s">
        <v>228</v>
      </c>
      <c r="C53" s="38" t="s">
        <v>1319</v>
      </c>
      <c r="D53" s="38" t="s">
        <v>1408</v>
      </c>
      <c r="E53" s="38" t="s">
        <v>1359</v>
      </c>
      <c r="F53" s="38" t="s">
        <v>1409</v>
      </c>
    </row>
    <row r="54" spans="1:6" ht="44" customHeight="1" x14ac:dyDescent="0.35">
      <c r="A54" s="38">
        <v>50</v>
      </c>
      <c r="B54" s="38" t="s">
        <v>228</v>
      </c>
      <c r="C54" s="38" t="s">
        <v>1355</v>
      </c>
      <c r="D54" s="38" t="s">
        <v>1410</v>
      </c>
      <c r="E54" s="38" t="s">
        <v>1299</v>
      </c>
      <c r="F54" s="38" t="s">
        <v>1411</v>
      </c>
    </row>
    <row r="55" spans="1:6" ht="44" customHeight="1" x14ac:dyDescent="0.35">
      <c r="A55" s="38">
        <v>51</v>
      </c>
      <c r="B55" s="38" t="s">
        <v>856</v>
      </c>
      <c r="C55" s="38" t="s">
        <v>1319</v>
      </c>
      <c r="D55" s="38" t="s">
        <v>1412</v>
      </c>
      <c r="E55" s="38" t="s">
        <v>1299</v>
      </c>
      <c r="F55" s="38" t="s">
        <v>1413</v>
      </c>
    </row>
    <row r="56" spans="1:6" ht="44" customHeight="1" x14ac:dyDescent="0.35">
      <c r="A56" s="38">
        <v>52</v>
      </c>
      <c r="B56" s="38" t="s">
        <v>228</v>
      </c>
      <c r="C56" s="38" t="s">
        <v>1355</v>
      </c>
      <c r="D56" s="38" t="s">
        <v>1414</v>
      </c>
      <c r="E56" s="38" t="s">
        <v>1359</v>
      </c>
      <c r="F56" s="38" t="s">
        <v>1415</v>
      </c>
    </row>
    <row r="57" spans="1:6" ht="44" customHeight="1" x14ac:dyDescent="0.35">
      <c r="A57" s="38">
        <v>53</v>
      </c>
      <c r="B57" s="38" t="s">
        <v>1416</v>
      </c>
      <c r="C57" s="38" t="s">
        <v>1355</v>
      </c>
      <c r="D57" s="38" t="s">
        <v>1417</v>
      </c>
      <c r="E57" s="38" t="s">
        <v>1359</v>
      </c>
      <c r="F57" s="38" t="s">
        <v>1418</v>
      </c>
    </row>
    <row r="58" spans="1:6" ht="44" customHeight="1" x14ac:dyDescent="0.35">
      <c r="A58" s="38">
        <v>54</v>
      </c>
      <c r="B58" s="38" t="s">
        <v>1419</v>
      </c>
      <c r="C58" s="38" t="s">
        <v>1355</v>
      </c>
      <c r="D58" s="38" t="s">
        <v>1420</v>
      </c>
      <c r="E58" s="38" t="s">
        <v>1421</v>
      </c>
      <c r="F58" s="38" t="s">
        <v>1422</v>
      </c>
    </row>
    <row r="59" spans="1:6" ht="44" customHeight="1" x14ac:dyDescent="0.35">
      <c r="A59" s="38">
        <v>55</v>
      </c>
      <c r="B59" s="38" t="s">
        <v>1423</v>
      </c>
      <c r="C59" s="38" t="s">
        <v>1319</v>
      </c>
      <c r="D59" s="38" t="s">
        <v>1424</v>
      </c>
      <c r="E59" s="38" t="s">
        <v>1421</v>
      </c>
      <c r="F59" s="38" t="s">
        <v>1425</v>
      </c>
    </row>
    <row r="60" spans="1:6" ht="44" customHeight="1" x14ac:dyDescent="0.35">
      <c r="A60" s="38">
        <v>56</v>
      </c>
      <c r="B60" s="38" t="s">
        <v>1095</v>
      </c>
      <c r="C60" s="38" t="s">
        <v>1302</v>
      </c>
      <c r="D60" s="38" t="s">
        <v>1426</v>
      </c>
      <c r="E60" s="38" t="s">
        <v>1299</v>
      </c>
      <c r="F60" s="38" t="s">
        <v>1427</v>
      </c>
    </row>
    <row r="61" spans="1:6" ht="44" customHeight="1" x14ac:dyDescent="0.35">
      <c r="A61" s="38">
        <v>57</v>
      </c>
      <c r="B61" s="38" t="s">
        <v>1095</v>
      </c>
      <c r="C61" s="38" t="s">
        <v>1302</v>
      </c>
      <c r="D61" s="38" t="s">
        <v>1428</v>
      </c>
      <c r="E61" s="38" t="s">
        <v>1299</v>
      </c>
      <c r="F61" s="38" t="s">
        <v>1429</v>
      </c>
    </row>
    <row r="62" spans="1:6" ht="44" customHeight="1" x14ac:dyDescent="0.35">
      <c r="A62" s="38">
        <v>58</v>
      </c>
      <c r="B62" s="38" t="s">
        <v>1095</v>
      </c>
      <c r="C62" s="38" t="s">
        <v>1302</v>
      </c>
      <c r="D62" s="38" t="s">
        <v>1430</v>
      </c>
      <c r="E62" s="38" t="s">
        <v>1308</v>
      </c>
      <c r="F62" s="38" t="s">
        <v>1431</v>
      </c>
    </row>
    <row r="63" spans="1:6" ht="44" customHeight="1" x14ac:dyDescent="0.35">
      <c r="A63" s="38">
        <v>59</v>
      </c>
      <c r="B63" s="38" t="s">
        <v>1095</v>
      </c>
      <c r="C63" s="38" t="s">
        <v>1302</v>
      </c>
      <c r="D63" s="38" t="s">
        <v>1432</v>
      </c>
      <c r="E63" s="38" t="s">
        <v>1299</v>
      </c>
      <c r="F63" s="38" t="s">
        <v>1433</v>
      </c>
    </row>
    <row r="64" spans="1:6" ht="44" customHeight="1" x14ac:dyDescent="0.35">
      <c r="A64" s="38">
        <v>60</v>
      </c>
      <c r="B64" s="38" t="s">
        <v>1095</v>
      </c>
      <c r="C64" s="38" t="s">
        <v>1302</v>
      </c>
      <c r="D64" s="38" t="s">
        <v>1434</v>
      </c>
      <c r="E64" s="38" t="s">
        <v>1299</v>
      </c>
      <c r="F64" s="38" t="s">
        <v>1435</v>
      </c>
    </row>
    <row r="65" spans="1:6" ht="44" customHeight="1" x14ac:dyDescent="0.35">
      <c r="A65" s="38">
        <v>61</v>
      </c>
      <c r="B65" s="38" t="s">
        <v>1095</v>
      </c>
      <c r="C65" s="38" t="s">
        <v>1302</v>
      </c>
      <c r="D65" s="38" t="s">
        <v>1436</v>
      </c>
      <c r="E65" s="38" t="s">
        <v>1299</v>
      </c>
      <c r="F65" s="38" t="s">
        <v>1437</v>
      </c>
    </row>
    <row r="66" spans="1:6" ht="44" customHeight="1" x14ac:dyDescent="0.35">
      <c r="A66" s="38">
        <v>62</v>
      </c>
      <c r="B66" s="38" t="s">
        <v>1095</v>
      </c>
      <c r="C66" s="38" t="s">
        <v>1302</v>
      </c>
      <c r="D66" s="38" t="s">
        <v>1438</v>
      </c>
      <c r="E66" s="38" t="s">
        <v>1299</v>
      </c>
      <c r="F66" s="38" t="s">
        <v>1439</v>
      </c>
    </row>
    <row r="67" spans="1:6" ht="44" customHeight="1" x14ac:dyDescent="0.35">
      <c r="A67" s="38">
        <v>63</v>
      </c>
      <c r="B67" s="38" t="s">
        <v>1095</v>
      </c>
      <c r="C67" s="38" t="s">
        <v>1319</v>
      </c>
      <c r="D67" s="38" t="s">
        <v>1440</v>
      </c>
      <c r="E67" s="38" t="s">
        <v>1308</v>
      </c>
      <c r="F67" s="38" t="s">
        <v>1441</v>
      </c>
    </row>
    <row r="68" spans="1:6" ht="44" customHeight="1" x14ac:dyDescent="0.35">
      <c r="A68" s="38">
        <v>64</v>
      </c>
      <c r="B68" s="38" t="s">
        <v>1095</v>
      </c>
      <c r="C68" s="38" t="s">
        <v>1319</v>
      </c>
      <c r="D68" s="38" t="s">
        <v>1442</v>
      </c>
      <c r="E68" s="38" t="s">
        <v>1299</v>
      </c>
      <c r="F68" s="38" t="s">
        <v>1443</v>
      </c>
    </row>
    <row r="69" spans="1:6" ht="44" customHeight="1" x14ac:dyDescent="0.35">
      <c r="A69" s="38">
        <v>65</v>
      </c>
      <c r="B69" s="38" t="s">
        <v>1095</v>
      </c>
      <c r="C69" s="38" t="s">
        <v>1319</v>
      </c>
      <c r="D69" s="38" t="s">
        <v>1444</v>
      </c>
      <c r="E69" s="38" t="s">
        <v>1308</v>
      </c>
      <c r="F69" s="38" t="s">
        <v>1445</v>
      </c>
    </row>
    <row r="70" spans="1:6" ht="44" customHeight="1" x14ac:dyDescent="0.35">
      <c r="A70" s="38">
        <v>66</v>
      </c>
      <c r="B70" s="38" t="s">
        <v>1095</v>
      </c>
      <c r="C70" s="38" t="s">
        <v>1319</v>
      </c>
      <c r="D70" s="38" t="s">
        <v>1446</v>
      </c>
      <c r="E70" s="38" t="s">
        <v>1308</v>
      </c>
      <c r="F70" s="38" t="s">
        <v>1447</v>
      </c>
    </row>
    <row r="71" spans="1:6" ht="44" customHeight="1" x14ac:dyDescent="0.35">
      <c r="A71" s="38">
        <v>67</v>
      </c>
      <c r="B71" s="38" t="s">
        <v>1095</v>
      </c>
      <c r="C71" s="38" t="s">
        <v>1355</v>
      </c>
      <c r="D71" s="38" t="s">
        <v>1448</v>
      </c>
      <c r="E71" s="38" t="s">
        <v>1359</v>
      </c>
      <c r="F71" s="38" t="s">
        <v>1449</v>
      </c>
    </row>
    <row r="72" spans="1:6" ht="44" customHeight="1" x14ac:dyDescent="0.35">
      <c r="A72" s="38">
        <v>68</v>
      </c>
      <c r="B72" s="38" t="s">
        <v>767</v>
      </c>
      <c r="C72" s="38" t="s">
        <v>1302</v>
      </c>
      <c r="D72" s="38" t="s">
        <v>1450</v>
      </c>
      <c r="E72" s="38" t="s">
        <v>1308</v>
      </c>
      <c r="F72" s="38" t="s">
        <v>1451</v>
      </c>
    </row>
    <row r="73" spans="1:6" ht="44" customHeight="1" x14ac:dyDescent="0.35">
      <c r="A73" s="38">
        <v>69</v>
      </c>
      <c r="B73" s="38" t="s">
        <v>767</v>
      </c>
      <c r="C73" s="38" t="s">
        <v>1319</v>
      </c>
      <c r="D73" s="38" t="s">
        <v>1452</v>
      </c>
      <c r="E73" s="38" t="s">
        <v>1359</v>
      </c>
      <c r="F73" s="38" t="s">
        <v>1453</v>
      </c>
    </row>
    <row r="75" spans="1:6" x14ac:dyDescent="0.35">
      <c r="D75" s="50" t="s">
        <v>1454</v>
      </c>
    </row>
  </sheetData>
  <autoFilter ref="A4:F73" xr:uid="{00000000-0009-0000-0000-00000C000000}"/>
  <mergeCells count="1">
    <mergeCell ref="A2:F2"/>
  </mergeCells>
  <conditionalFormatting sqref="E5:E73">
    <cfRule type="cellIs" dxfId="4" priority="1" operator="equal">
      <formula>"Open"</formula>
    </cfRule>
    <cfRule type="cellIs" dxfId="3" priority="2" operator="equal">
      <formula>"Reverted"</formula>
    </cfRule>
    <cfRule type="cellIs" dxfId="2" priority="3" operator="equal">
      <formula>"Fixed"</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6"/>
  <sheetViews>
    <sheetView showGridLines="0" workbookViewId="0">
      <pane ySplit="3" topLeftCell="A4" activePane="bottomLeft" state="frozen"/>
      <selection pane="bottomLeft"/>
    </sheetView>
  </sheetViews>
  <sheetFormatPr defaultRowHeight="14.5" x14ac:dyDescent="0.35"/>
  <cols>
    <col min="1" max="1" width="16" customWidth="1"/>
    <col min="2" max="5" width="12" customWidth="1"/>
    <col min="6" max="6" width="14" customWidth="1"/>
    <col min="7" max="7" width="12" customWidth="1"/>
    <col min="8" max="8" width="20" customWidth="1"/>
    <col min="9" max="10" width="14" customWidth="1"/>
    <col min="11" max="11" width="12" customWidth="1"/>
  </cols>
  <sheetData>
    <row r="1" spans="1:11" ht="28" customHeight="1" x14ac:dyDescent="0.5">
      <c r="A1" s="1" t="s">
        <v>1455</v>
      </c>
    </row>
    <row r="2" spans="1:11" ht="32" customHeight="1" x14ac:dyDescent="0.35">
      <c r="A2" s="56" t="s">
        <v>1456</v>
      </c>
      <c r="B2" s="55"/>
      <c r="C2" s="55"/>
      <c r="D2" s="55"/>
      <c r="E2" s="55"/>
      <c r="F2" s="55"/>
      <c r="G2" s="55"/>
    </row>
    <row r="3" spans="1:11" x14ac:dyDescent="0.35">
      <c r="A3" s="3" t="s">
        <v>1457</v>
      </c>
      <c r="B3" s="3" t="s">
        <v>26</v>
      </c>
      <c r="C3" s="3" t="s">
        <v>99</v>
      </c>
      <c r="D3" s="3" t="s">
        <v>135</v>
      </c>
      <c r="E3" s="3" t="s">
        <v>32</v>
      </c>
      <c r="F3" s="3" t="s">
        <v>38</v>
      </c>
      <c r="G3" s="3" t="s">
        <v>95</v>
      </c>
      <c r="H3" s="3" t="s">
        <v>1458</v>
      </c>
      <c r="I3" s="3" t="s">
        <v>1459</v>
      </c>
      <c r="J3" s="3" t="s">
        <v>1460</v>
      </c>
      <c r="K3" s="3" t="s">
        <v>1461</v>
      </c>
    </row>
    <row r="4" spans="1:11" ht="36" customHeight="1" x14ac:dyDescent="0.35">
      <c r="A4" s="5" t="s">
        <v>1462</v>
      </c>
      <c r="B4" s="5">
        <v>770</v>
      </c>
      <c r="C4" s="5">
        <v>116</v>
      </c>
      <c r="D4" s="5">
        <v>437</v>
      </c>
      <c r="E4" s="5">
        <v>217</v>
      </c>
      <c r="F4" s="5">
        <v>7</v>
      </c>
      <c r="G4" s="5">
        <v>9</v>
      </c>
      <c r="H4" s="5">
        <v>1</v>
      </c>
      <c r="I4" s="5">
        <v>770</v>
      </c>
      <c r="J4" s="5">
        <v>767</v>
      </c>
      <c r="K4" s="5">
        <v>0</v>
      </c>
    </row>
    <row r="5" spans="1:11" ht="22" customHeight="1" x14ac:dyDescent="0.35">
      <c r="A5" s="8" t="s">
        <v>1463</v>
      </c>
      <c r="B5" s="9">
        <v>770</v>
      </c>
      <c r="C5" s="9">
        <v>116</v>
      </c>
      <c r="D5" s="9">
        <v>437</v>
      </c>
      <c r="E5" s="9">
        <v>217</v>
      </c>
      <c r="F5" s="9">
        <v>116</v>
      </c>
      <c r="G5" s="9">
        <v>240</v>
      </c>
      <c r="H5" s="9">
        <v>32</v>
      </c>
      <c r="I5" s="9">
        <v>770</v>
      </c>
      <c r="J5" s="9">
        <v>680</v>
      </c>
      <c r="K5" s="9">
        <v>0</v>
      </c>
    </row>
    <row r="6" spans="1:11" x14ac:dyDescent="0.35">
      <c r="A6" s="8" t="s">
        <v>1464</v>
      </c>
      <c r="B6" s="9">
        <f>COUNTA(TaskRegister[Task ID])</f>
        <v>770</v>
      </c>
      <c r="C6" s="9">
        <f>COUNTIF(TaskRegister[Release gate],"MVP")</f>
        <v>102</v>
      </c>
      <c r="D6" s="9">
        <f>COUNTIF(TaskRegister[Release gate],"Pilot")</f>
        <v>447</v>
      </c>
      <c r="E6" s="9">
        <f>COUNTIF(TaskRegister[Release gate],"Later")</f>
        <v>221</v>
      </c>
      <c r="F6" s="9">
        <f>COUNTIF(TaskRegister[Work status],"Gap")</f>
        <v>92</v>
      </c>
      <c r="G6" s="9">
        <f>COUNTIF(TaskRegister[Work status],"Built - partial")</f>
        <v>256</v>
      </c>
      <c r="H6" s="9">
        <f>COUNTIFS(TaskRegister[Release gate],"MVP",TaskRegister[Verification result],"Pass")</f>
        <v>40</v>
      </c>
      <c r="I6" s="9">
        <f>COUNTBLANK(TaskRegister[Owner])</f>
        <v>770</v>
      </c>
      <c r="J6" s="9">
        <f>COUNTBLANK(TaskRegister[Test case ID])</f>
        <v>658</v>
      </c>
      <c r="K6" s="9">
        <f>COUNTIF(TaskRegister[OS ready],"Yes")</f>
        <v>0</v>
      </c>
    </row>
  </sheetData>
  <mergeCells count="1">
    <mergeCell ref="A2:G2"/>
  </mergeCells>
  <pageMargins left="0.75" right="0.75" top="1" bottom="1" header="0.5" footer="0.5"/>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63"/>
  <sheetViews>
    <sheetView showGridLines="0" workbookViewId="0"/>
  </sheetViews>
  <sheetFormatPr defaultRowHeight="14.5" x14ac:dyDescent="0.35"/>
  <cols>
    <col min="1" max="1" width="36" customWidth="1"/>
    <col min="2" max="2" width="28" customWidth="1"/>
    <col min="3" max="3" width="88" customWidth="1"/>
  </cols>
  <sheetData>
    <row r="1" spans="1:3" ht="28" customHeight="1" x14ac:dyDescent="0.5">
      <c r="A1" s="1" t="s">
        <v>1465</v>
      </c>
    </row>
    <row r="2" spans="1:3" x14ac:dyDescent="0.35">
      <c r="A2" s="61" t="s">
        <v>1466</v>
      </c>
      <c r="B2" s="55"/>
      <c r="C2" s="55"/>
    </row>
    <row r="4" spans="1:3" ht="20" customHeight="1" x14ac:dyDescent="0.35">
      <c r="A4" s="59" t="s">
        <v>1467</v>
      </c>
      <c r="B4" s="55"/>
      <c r="C4" s="55"/>
    </row>
    <row r="5" spans="1:3" ht="36" customHeight="1" x14ac:dyDescent="0.35">
      <c r="A5" s="54" t="s">
        <v>1468</v>
      </c>
      <c r="B5" s="55"/>
      <c r="C5" s="55"/>
    </row>
    <row r="6" spans="1:3" ht="36" customHeight="1" x14ac:dyDescent="0.35">
      <c r="A6" s="54" t="s">
        <v>1469</v>
      </c>
      <c r="B6" s="55"/>
      <c r="C6" s="55"/>
    </row>
    <row r="7" spans="1:3" ht="36" customHeight="1" x14ac:dyDescent="0.35">
      <c r="A7" s="54" t="s">
        <v>1470</v>
      </c>
      <c r="B7" s="55"/>
      <c r="C7" s="55"/>
    </row>
    <row r="8" spans="1:3" ht="36" customHeight="1" x14ac:dyDescent="0.35">
      <c r="A8" s="54" t="s">
        <v>1471</v>
      </c>
      <c r="B8" s="55"/>
      <c r="C8" s="55"/>
    </row>
    <row r="9" spans="1:3" ht="36" customHeight="1" x14ac:dyDescent="0.35">
      <c r="A9" s="54" t="s">
        <v>1472</v>
      </c>
      <c r="B9" s="55"/>
      <c r="C9" s="55"/>
    </row>
    <row r="10" spans="1:3" ht="36" customHeight="1" x14ac:dyDescent="0.35">
      <c r="A10" s="54" t="s">
        <v>1473</v>
      </c>
      <c r="B10" s="55"/>
      <c r="C10" s="55"/>
    </row>
    <row r="12" spans="1:3" x14ac:dyDescent="0.35">
      <c r="A12" s="60" t="s">
        <v>1474</v>
      </c>
      <c r="B12" s="55"/>
      <c r="C12" s="55"/>
    </row>
    <row r="13" spans="1:3" x14ac:dyDescent="0.35">
      <c r="A13" s="12" t="s">
        <v>1475</v>
      </c>
      <c r="B13" s="12" t="s">
        <v>779</v>
      </c>
      <c r="C13" s="12" t="s">
        <v>1476</v>
      </c>
    </row>
    <row r="14" spans="1:3" ht="28" customHeight="1" x14ac:dyDescent="0.35">
      <c r="A14" s="5" t="s">
        <v>1477</v>
      </c>
      <c r="B14" s="5" t="s">
        <v>1478</v>
      </c>
      <c r="C14" s="5" t="s">
        <v>1479</v>
      </c>
    </row>
    <row r="15" spans="1:3" ht="28" customHeight="1" x14ac:dyDescent="0.35">
      <c r="A15" s="5" t="s">
        <v>124</v>
      </c>
      <c r="B15" s="5" t="s">
        <v>1480</v>
      </c>
      <c r="C15" s="5" t="s">
        <v>1481</v>
      </c>
    </row>
    <row r="16" spans="1:3" ht="28" customHeight="1" x14ac:dyDescent="0.35">
      <c r="A16" s="5" t="s">
        <v>1482</v>
      </c>
      <c r="B16" s="5" t="s">
        <v>1483</v>
      </c>
      <c r="C16" s="5" t="s">
        <v>1484</v>
      </c>
    </row>
    <row r="17" spans="1:3" ht="28" customHeight="1" x14ac:dyDescent="0.35">
      <c r="A17" s="5" t="s">
        <v>95</v>
      </c>
      <c r="B17" s="5" t="s">
        <v>1485</v>
      </c>
      <c r="C17" s="5" t="s">
        <v>1486</v>
      </c>
    </row>
    <row r="18" spans="1:3" ht="28" customHeight="1" x14ac:dyDescent="0.35">
      <c r="A18" s="5" t="s">
        <v>163</v>
      </c>
      <c r="B18" s="5" t="s">
        <v>1485</v>
      </c>
      <c r="C18" s="5" t="s">
        <v>1487</v>
      </c>
    </row>
    <row r="19" spans="1:3" ht="28" customHeight="1" x14ac:dyDescent="0.35">
      <c r="A19" s="5" t="s">
        <v>1478</v>
      </c>
      <c r="B19" s="5" t="s">
        <v>1483</v>
      </c>
      <c r="C19" s="5" t="s">
        <v>1488</v>
      </c>
    </row>
    <row r="20" spans="1:3" ht="28" customHeight="1" x14ac:dyDescent="0.35">
      <c r="A20" s="5" t="s">
        <v>1489</v>
      </c>
      <c r="B20" s="5" t="s">
        <v>1490</v>
      </c>
      <c r="C20" s="5" t="s">
        <v>1491</v>
      </c>
    </row>
    <row r="22" spans="1:3" x14ac:dyDescent="0.35">
      <c r="A22" s="60" t="s">
        <v>1492</v>
      </c>
      <c r="B22" s="55"/>
    </row>
    <row r="23" spans="1:3" x14ac:dyDescent="0.35">
      <c r="A23" s="5" t="s">
        <v>26</v>
      </c>
      <c r="B23" s="13">
        <v>770</v>
      </c>
    </row>
    <row r="24" spans="1:3" x14ac:dyDescent="0.35">
      <c r="A24" s="5" t="s">
        <v>1493</v>
      </c>
      <c r="B24" s="13">
        <v>560</v>
      </c>
    </row>
    <row r="25" spans="1:3" x14ac:dyDescent="0.35">
      <c r="A25" s="5" t="s">
        <v>1494</v>
      </c>
      <c r="B25" s="13">
        <v>155</v>
      </c>
    </row>
    <row r="26" spans="1:3" x14ac:dyDescent="0.35">
      <c r="A26" s="5" t="s">
        <v>1495</v>
      </c>
      <c r="B26" s="13">
        <v>25</v>
      </c>
    </row>
    <row r="27" spans="1:3" x14ac:dyDescent="0.35">
      <c r="A27" s="5" t="s">
        <v>1496</v>
      </c>
      <c r="B27" s="13">
        <v>30</v>
      </c>
    </row>
    <row r="28" spans="1:3" x14ac:dyDescent="0.35">
      <c r="A28" s="5" t="s">
        <v>1477</v>
      </c>
      <c r="B28" s="13" t="s">
        <v>1497</v>
      </c>
    </row>
    <row r="29" spans="1:3" x14ac:dyDescent="0.35">
      <c r="A29" s="5" t="s">
        <v>1489</v>
      </c>
      <c r="B29" s="13" t="s">
        <v>915</v>
      </c>
    </row>
    <row r="30" spans="1:3" x14ac:dyDescent="0.35">
      <c r="A30" s="5" t="s">
        <v>124</v>
      </c>
      <c r="B30" s="13" t="s">
        <v>886</v>
      </c>
    </row>
    <row r="31" spans="1:3" x14ac:dyDescent="0.35">
      <c r="A31" s="5" t="s">
        <v>163</v>
      </c>
      <c r="B31" s="13" t="s">
        <v>1498</v>
      </c>
    </row>
    <row r="32" spans="1:3" x14ac:dyDescent="0.35">
      <c r="A32" s="5" t="s">
        <v>95</v>
      </c>
      <c r="B32" s="13" t="s">
        <v>1499</v>
      </c>
    </row>
    <row r="33" spans="1:3" x14ac:dyDescent="0.35">
      <c r="A33" s="5" t="s">
        <v>94</v>
      </c>
      <c r="B33" s="13">
        <v>116</v>
      </c>
    </row>
    <row r="34" spans="1:3" x14ac:dyDescent="0.35">
      <c r="A34" s="5" t="s">
        <v>162</v>
      </c>
      <c r="B34" s="13">
        <v>588</v>
      </c>
    </row>
    <row r="35" spans="1:3" x14ac:dyDescent="0.35">
      <c r="A35" s="5" t="s">
        <v>204</v>
      </c>
      <c r="B35" s="13">
        <v>48</v>
      </c>
    </row>
    <row r="36" spans="1:3" x14ac:dyDescent="0.35">
      <c r="A36" s="5" t="s">
        <v>213</v>
      </c>
      <c r="B36" s="13">
        <v>18</v>
      </c>
    </row>
    <row r="37" spans="1:3" x14ac:dyDescent="0.35">
      <c r="A37" s="5" t="s">
        <v>1500</v>
      </c>
      <c r="B37" s="13">
        <v>369</v>
      </c>
    </row>
    <row r="38" spans="1:3" x14ac:dyDescent="0.35">
      <c r="A38" s="5" t="s">
        <v>1501</v>
      </c>
      <c r="B38" s="13">
        <v>231</v>
      </c>
    </row>
    <row r="39" spans="1:3" x14ac:dyDescent="0.35">
      <c r="A39" s="5" t="s">
        <v>1502</v>
      </c>
      <c r="B39" s="13">
        <v>108</v>
      </c>
    </row>
    <row r="40" spans="1:3" x14ac:dyDescent="0.35">
      <c r="A40" s="5" t="s">
        <v>1503</v>
      </c>
      <c r="B40" s="13">
        <v>25</v>
      </c>
    </row>
    <row r="41" spans="1:3" x14ac:dyDescent="0.35">
      <c r="A41" s="5" t="s">
        <v>1504</v>
      </c>
      <c r="B41" s="13">
        <v>20</v>
      </c>
    </row>
    <row r="42" spans="1:3" x14ac:dyDescent="0.35">
      <c r="A42" s="5" t="s">
        <v>1505</v>
      </c>
      <c r="B42" s="13">
        <v>17</v>
      </c>
    </row>
    <row r="43" spans="1:3" x14ac:dyDescent="0.35">
      <c r="A43" s="5" t="s">
        <v>1506</v>
      </c>
      <c r="B43" s="13">
        <v>82</v>
      </c>
    </row>
    <row r="45" spans="1:3" x14ac:dyDescent="0.35">
      <c r="A45" s="59" t="s">
        <v>1507</v>
      </c>
      <c r="B45" s="55"/>
      <c r="C45" s="55"/>
    </row>
    <row r="46" spans="1:3" ht="30" customHeight="1" x14ac:dyDescent="0.35">
      <c r="A46" s="58" t="s">
        <v>1508</v>
      </c>
      <c r="B46" s="55"/>
      <c r="C46" s="55"/>
    </row>
    <row r="47" spans="1:3" ht="60" customHeight="1" x14ac:dyDescent="0.35">
      <c r="A47" s="58" t="s">
        <v>1509</v>
      </c>
      <c r="B47" s="55"/>
      <c r="C47" s="55"/>
    </row>
    <row r="48" spans="1:3" ht="15" customHeight="1" x14ac:dyDescent="0.35">
      <c r="A48" s="58" t="s">
        <v>1510</v>
      </c>
      <c r="B48" s="55"/>
      <c r="C48" s="55"/>
    </row>
    <row r="49" spans="1:3" ht="30" customHeight="1" x14ac:dyDescent="0.35">
      <c r="A49" s="58" t="s">
        <v>1511</v>
      </c>
      <c r="B49" s="55"/>
      <c r="C49" s="55"/>
    </row>
    <row r="50" spans="1:3" ht="45" customHeight="1" x14ac:dyDescent="0.35">
      <c r="A50" s="58" t="s">
        <v>1512</v>
      </c>
      <c r="B50" s="55"/>
      <c r="C50" s="55"/>
    </row>
    <row r="51" spans="1:3" ht="15" customHeight="1" x14ac:dyDescent="0.35">
      <c r="A51" s="58" t="s">
        <v>1513</v>
      </c>
      <c r="B51" s="55"/>
      <c r="C51" s="55"/>
    </row>
    <row r="52" spans="1:3" ht="30" customHeight="1" x14ac:dyDescent="0.35">
      <c r="A52" s="58" t="s">
        <v>1514</v>
      </c>
      <c r="B52" s="55"/>
      <c r="C52" s="55"/>
    </row>
    <row r="53" spans="1:3" ht="15" customHeight="1" x14ac:dyDescent="0.35">
      <c r="A53" s="58" t="s">
        <v>1515</v>
      </c>
      <c r="B53" s="55"/>
      <c r="C53" s="55"/>
    </row>
    <row r="54" spans="1:3" ht="30" customHeight="1" x14ac:dyDescent="0.35">
      <c r="A54" s="58" t="s">
        <v>1516</v>
      </c>
      <c r="B54" s="55"/>
      <c r="C54" s="55"/>
    </row>
    <row r="56" spans="1:3" x14ac:dyDescent="0.35">
      <c r="A56" s="59" t="s">
        <v>1517</v>
      </c>
      <c r="B56" s="55"/>
      <c r="C56" s="55"/>
    </row>
    <row r="57" spans="1:3" ht="45" customHeight="1" x14ac:dyDescent="0.35">
      <c r="A57" s="58" t="s">
        <v>1518</v>
      </c>
      <c r="B57" s="55"/>
      <c r="C57" s="55"/>
    </row>
    <row r="58" spans="1:3" ht="45" customHeight="1" x14ac:dyDescent="0.35">
      <c r="A58" s="58" t="s">
        <v>1519</v>
      </c>
      <c r="B58" s="55"/>
      <c r="C58" s="55"/>
    </row>
    <row r="59" spans="1:3" ht="30" customHeight="1" x14ac:dyDescent="0.35">
      <c r="A59" s="58" t="s">
        <v>1520</v>
      </c>
      <c r="B59" s="55"/>
      <c r="C59" s="55"/>
    </row>
    <row r="60" spans="1:3" ht="30" customHeight="1" x14ac:dyDescent="0.35">
      <c r="A60" s="58" t="s">
        <v>1521</v>
      </c>
      <c r="B60" s="55"/>
      <c r="C60" s="55"/>
    </row>
    <row r="61" spans="1:3" ht="15" customHeight="1" x14ac:dyDescent="0.35">
      <c r="A61" s="58" t="s">
        <v>1522</v>
      </c>
      <c r="B61" s="55"/>
      <c r="C61" s="55"/>
    </row>
    <row r="62" spans="1:3" ht="45" customHeight="1" x14ac:dyDescent="0.35">
      <c r="A62" s="58" t="s">
        <v>1523</v>
      </c>
      <c r="B62" s="55"/>
      <c r="C62" s="55"/>
    </row>
    <row r="63" spans="1:3" ht="30" customHeight="1" x14ac:dyDescent="0.35">
      <c r="A63" s="58" t="s">
        <v>1524</v>
      </c>
      <c r="B63" s="55"/>
      <c r="C63" s="55"/>
    </row>
  </sheetData>
  <mergeCells count="28">
    <mergeCell ref="A63:C63"/>
    <mergeCell ref="A58:C58"/>
    <mergeCell ref="A9:C9"/>
    <mergeCell ref="A59:C59"/>
    <mergeCell ref="A48:C48"/>
    <mergeCell ref="A22:B22"/>
    <mergeCell ref="A51:C51"/>
    <mergeCell ref="A60:C60"/>
    <mergeCell ref="A49:C49"/>
    <mergeCell ref="A45:C45"/>
    <mergeCell ref="A61:C61"/>
    <mergeCell ref="A54:C54"/>
    <mergeCell ref="A2:C2"/>
    <mergeCell ref="A47:C47"/>
    <mergeCell ref="A5:C5"/>
    <mergeCell ref="A8:C8"/>
    <mergeCell ref="A62:C62"/>
    <mergeCell ref="A53:C53"/>
    <mergeCell ref="A4:C4"/>
    <mergeCell ref="A52:C52"/>
    <mergeCell ref="A10:C10"/>
    <mergeCell ref="A6:C6"/>
    <mergeCell ref="A7:C7"/>
    <mergeCell ref="A46:C46"/>
    <mergeCell ref="A56:C56"/>
    <mergeCell ref="A12:C12"/>
    <mergeCell ref="A50:C50"/>
    <mergeCell ref="A57:C57"/>
  </mergeCells>
  <pageMargins left="0.75" right="0.75" top="1" bottom="1" header="0.5" footer="0.5"/>
  <pageSetup orientation="landscape"/>
  <headerFooter>
    <oddFooter>&amp;RPage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21"/>
  <sheetViews>
    <sheetView showGridLines="0" workbookViewId="0">
      <pane ySplit="3" topLeftCell="A4" activePane="bottomLeft" state="frozen"/>
      <selection pane="bottomLeft"/>
    </sheetView>
  </sheetViews>
  <sheetFormatPr defaultRowHeight="14.5" x14ac:dyDescent="0.35"/>
  <cols>
    <col min="1" max="1" width="6" customWidth="1"/>
    <col min="2" max="2" width="28" customWidth="1"/>
    <col min="3" max="4" width="62" customWidth="1"/>
  </cols>
  <sheetData>
    <row r="1" spans="1:4" ht="28" customHeight="1" x14ac:dyDescent="0.5">
      <c r="A1" s="1" t="s">
        <v>1525</v>
      </c>
    </row>
    <row r="3" spans="1:4" ht="22" customHeight="1" x14ac:dyDescent="0.35">
      <c r="A3" s="14" t="s">
        <v>1291</v>
      </c>
      <c r="B3" s="14" t="s">
        <v>1294</v>
      </c>
      <c r="C3" s="14" t="s">
        <v>1526</v>
      </c>
      <c r="D3" s="14" t="s">
        <v>1527</v>
      </c>
    </row>
    <row r="4" spans="1:4" ht="48" customHeight="1" x14ac:dyDescent="0.35">
      <c r="A4" s="5" t="s">
        <v>1528</v>
      </c>
      <c r="B4" s="5" t="s">
        <v>1529</v>
      </c>
      <c r="C4" s="5" t="s">
        <v>1530</v>
      </c>
      <c r="D4" s="5" t="s">
        <v>1531</v>
      </c>
    </row>
    <row r="5" spans="1:4" ht="48" customHeight="1" x14ac:dyDescent="0.35">
      <c r="A5" s="5" t="s">
        <v>1532</v>
      </c>
      <c r="B5" s="5" t="s">
        <v>1533</v>
      </c>
      <c r="C5" s="5" t="s">
        <v>1534</v>
      </c>
      <c r="D5" s="5" t="s">
        <v>1535</v>
      </c>
    </row>
    <row r="6" spans="1:4" ht="48" customHeight="1" x14ac:dyDescent="0.35">
      <c r="A6" s="5" t="s">
        <v>1536</v>
      </c>
      <c r="B6" s="5" t="s">
        <v>1537</v>
      </c>
      <c r="C6" s="5" t="s">
        <v>1538</v>
      </c>
      <c r="D6" s="5" t="s">
        <v>1539</v>
      </c>
    </row>
    <row r="7" spans="1:4" ht="48" customHeight="1" x14ac:dyDescent="0.35">
      <c r="A7" s="5" t="s">
        <v>1540</v>
      </c>
      <c r="B7" s="5" t="s">
        <v>1541</v>
      </c>
      <c r="C7" s="5" t="s">
        <v>1542</v>
      </c>
      <c r="D7" s="5" t="s">
        <v>1543</v>
      </c>
    </row>
    <row r="8" spans="1:4" ht="48" customHeight="1" x14ac:dyDescent="0.35">
      <c r="A8" s="5" t="s">
        <v>1544</v>
      </c>
      <c r="B8" s="5" t="s">
        <v>1545</v>
      </c>
      <c r="C8" s="5" t="s">
        <v>1546</v>
      </c>
      <c r="D8" s="5" t="s">
        <v>1547</v>
      </c>
    </row>
    <row r="9" spans="1:4" ht="48" customHeight="1" x14ac:dyDescent="0.35">
      <c r="A9" s="5" t="s">
        <v>810</v>
      </c>
      <c r="B9" s="5" t="s">
        <v>1548</v>
      </c>
      <c r="C9" s="5" t="s">
        <v>1549</v>
      </c>
      <c r="D9" s="5" t="s">
        <v>1550</v>
      </c>
    </row>
    <row r="10" spans="1:4" ht="26" customHeight="1" x14ac:dyDescent="0.35">
      <c r="A10" s="5">
        <v>7</v>
      </c>
      <c r="B10" s="5" t="s">
        <v>1551</v>
      </c>
      <c r="C10" s="5" t="s">
        <v>1552</v>
      </c>
      <c r="D10" s="5" t="s">
        <v>1553</v>
      </c>
    </row>
    <row r="11" spans="1:4" ht="26" customHeight="1" x14ac:dyDescent="0.35">
      <c r="A11" s="5">
        <v>8</v>
      </c>
      <c r="B11" s="5" t="s">
        <v>1554</v>
      </c>
      <c r="C11" s="5" t="s">
        <v>1555</v>
      </c>
      <c r="D11" s="5" t="s">
        <v>1556</v>
      </c>
    </row>
    <row r="12" spans="1:4" ht="78" customHeight="1" x14ac:dyDescent="0.35">
      <c r="A12" s="5">
        <v>9</v>
      </c>
      <c r="B12" s="5" t="s">
        <v>1557</v>
      </c>
      <c r="C12" s="5" t="s">
        <v>1558</v>
      </c>
      <c r="D12" s="5" t="s">
        <v>1559</v>
      </c>
    </row>
    <row r="13" spans="1:4" ht="26" customHeight="1" x14ac:dyDescent="0.35">
      <c r="A13" s="5">
        <v>10</v>
      </c>
      <c r="B13" s="5" t="s">
        <v>1560</v>
      </c>
      <c r="C13" s="5" t="s">
        <v>1561</v>
      </c>
      <c r="D13" s="5" t="s">
        <v>1562</v>
      </c>
    </row>
    <row r="14" spans="1:4" ht="26" customHeight="1" x14ac:dyDescent="0.35">
      <c r="A14" s="5">
        <v>11</v>
      </c>
      <c r="B14" s="5" t="s">
        <v>1563</v>
      </c>
      <c r="C14" s="5" t="s">
        <v>1564</v>
      </c>
      <c r="D14" s="5" t="s">
        <v>1565</v>
      </c>
    </row>
    <row r="15" spans="1:4" ht="26" customHeight="1" x14ac:dyDescent="0.35">
      <c r="A15" s="5">
        <v>12</v>
      </c>
      <c r="B15" s="5" t="s">
        <v>1566</v>
      </c>
      <c r="C15" s="5" t="s">
        <v>1567</v>
      </c>
      <c r="D15" s="5" t="s">
        <v>1568</v>
      </c>
    </row>
    <row r="16" spans="1:4" ht="26" customHeight="1" x14ac:dyDescent="0.35">
      <c r="A16" s="5">
        <v>13</v>
      </c>
      <c r="B16" s="5" t="s">
        <v>1569</v>
      </c>
      <c r="C16" s="5" t="s">
        <v>1570</v>
      </c>
      <c r="D16" s="5" t="s">
        <v>1571</v>
      </c>
    </row>
    <row r="17" spans="1:4" ht="26" customHeight="1" x14ac:dyDescent="0.35">
      <c r="A17" s="5">
        <v>14</v>
      </c>
      <c r="B17" s="5" t="s">
        <v>1572</v>
      </c>
      <c r="C17" s="5" t="s">
        <v>1573</v>
      </c>
      <c r="D17" s="5" t="s">
        <v>1574</v>
      </c>
    </row>
    <row r="18" spans="1:4" ht="39" customHeight="1" x14ac:dyDescent="0.35">
      <c r="A18" s="5">
        <v>15</v>
      </c>
      <c r="B18" s="5" t="s">
        <v>1575</v>
      </c>
      <c r="C18" s="5" t="s">
        <v>1576</v>
      </c>
      <c r="D18" s="5" t="s">
        <v>1577</v>
      </c>
    </row>
    <row r="19" spans="1:4" ht="26" customHeight="1" x14ac:dyDescent="0.35">
      <c r="A19" s="5">
        <v>16</v>
      </c>
      <c r="B19" s="5" t="s">
        <v>1578</v>
      </c>
      <c r="C19" s="5" t="s">
        <v>1579</v>
      </c>
      <c r="D19" s="5" t="s">
        <v>1580</v>
      </c>
    </row>
    <row r="20" spans="1:4" ht="39" customHeight="1" x14ac:dyDescent="0.35">
      <c r="A20" s="5">
        <v>17</v>
      </c>
      <c r="B20" s="5" t="s">
        <v>1581</v>
      </c>
      <c r="C20" s="5" t="s">
        <v>1582</v>
      </c>
      <c r="D20" s="5" t="s">
        <v>1583</v>
      </c>
    </row>
    <row r="21" spans="1:4" x14ac:dyDescent="0.35">
      <c r="A21" s="5">
        <v>18</v>
      </c>
      <c r="B21" s="5" t="s">
        <v>1584</v>
      </c>
      <c r="C21" s="5" t="s">
        <v>1585</v>
      </c>
      <c r="D21" s="5" t="s">
        <v>1586</v>
      </c>
    </row>
  </sheetData>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G25"/>
  <sheetViews>
    <sheetView showGridLines="0" workbookViewId="0">
      <pane ySplit="3" topLeftCell="A4" activePane="bottomLeft" state="frozen"/>
      <selection pane="bottomLeft"/>
    </sheetView>
  </sheetViews>
  <sheetFormatPr defaultRowHeight="14.5" x14ac:dyDescent="0.35"/>
  <cols>
    <col min="1" max="1" width="42" customWidth="1"/>
    <col min="2" max="2" width="16" customWidth="1"/>
    <col min="3" max="3" width="78" customWidth="1"/>
  </cols>
  <sheetData>
    <row r="1" spans="1:7" ht="28" customHeight="1" x14ac:dyDescent="0.5">
      <c r="A1" s="1" t="s">
        <v>1587</v>
      </c>
    </row>
    <row r="2" spans="1:7" ht="32" customHeight="1" x14ac:dyDescent="0.35">
      <c r="A2" s="56" t="s">
        <v>1588</v>
      </c>
      <c r="B2" s="55"/>
      <c r="C2" s="55"/>
      <c r="D2" s="55"/>
      <c r="E2" s="55"/>
      <c r="F2" s="55"/>
      <c r="G2" s="55"/>
    </row>
    <row r="3" spans="1:7" x14ac:dyDescent="0.35">
      <c r="A3" s="3" t="s">
        <v>1589</v>
      </c>
      <c r="B3" s="3" t="s">
        <v>89</v>
      </c>
      <c r="C3" s="3" t="s">
        <v>1590</v>
      </c>
    </row>
    <row r="4" spans="1:7" ht="36" customHeight="1" x14ac:dyDescent="0.35">
      <c r="A4" s="5" t="s">
        <v>1591</v>
      </c>
      <c r="B4" s="5" t="s">
        <v>1592</v>
      </c>
      <c r="C4" s="5" t="s">
        <v>1593</v>
      </c>
    </row>
    <row r="5" spans="1:7" ht="36" customHeight="1" x14ac:dyDescent="0.35">
      <c r="A5" s="5" t="s">
        <v>1594</v>
      </c>
      <c r="B5" s="5" t="s">
        <v>1592</v>
      </c>
      <c r="C5" s="5" t="s">
        <v>1595</v>
      </c>
    </row>
    <row r="6" spans="1:7" ht="36" customHeight="1" x14ac:dyDescent="0.35">
      <c r="A6" s="5" t="s">
        <v>1596</v>
      </c>
      <c r="B6" s="5" t="s">
        <v>1592</v>
      </c>
      <c r="C6" s="5" t="s">
        <v>1597</v>
      </c>
    </row>
    <row r="7" spans="1:7" ht="36" customHeight="1" x14ac:dyDescent="0.35">
      <c r="A7" s="5" t="s">
        <v>1598</v>
      </c>
      <c r="B7" s="5" t="s">
        <v>1592</v>
      </c>
      <c r="C7" s="5" t="s">
        <v>1599</v>
      </c>
    </row>
    <row r="8" spans="1:7" ht="36" customHeight="1" x14ac:dyDescent="0.35">
      <c r="A8" s="5" t="s">
        <v>1600</v>
      </c>
      <c r="B8" s="5" t="s">
        <v>1592</v>
      </c>
      <c r="C8" s="5" t="s">
        <v>1601</v>
      </c>
    </row>
    <row r="9" spans="1:7" ht="36" customHeight="1" x14ac:dyDescent="0.35">
      <c r="A9" s="5" t="s">
        <v>1602</v>
      </c>
      <c r="B9" s="5" t="s">
        <v>1592</v>
      </c>
      <c r="C9" s="5" t="s">
        <v>1603</v>
      </c>
    </row>
    <row r="10" spans="1:7" ht="36" customHeight="1" x14ac:dyDescent="0.35">
      <c r="A10" s="5" t="s">
        <v>1604</v>
      </c>
      <c r="B10" s="5" t="s">
        <v>1592</v>
      </c>
      <c r="C10" s="5" t="s">
        <v>1605</v>
      </c>
    </row>
    <row r="11" spans="1:7" ht="36" customHeight="1" x14ac:dyDescent="0.35">
      <c r="A11" s="5" t="s">
        <v>1606</v>
      </c>
      <c r="B11" s="5" t="s">
        <v>1592</v>
      </c>
      <c r="C11" s="5" t="s">
        <v>1607</v>
      </c>
    </row>
    <row r="12" spans="1:7" ht="36" customHeight="1" x14ac:dyDescent="0.35">
      <c r="A12" s="5" t="s">
        <v>1608</v>
      </c>
      <c r="B12" s="5" t="s">
        <v>1609</v>
      </c>
      <c r="C12" s="5" t="s">
        <v>1610</v>
      </c>
    </row>
    <row r="13" spans="1:7" ht="36" customHeight="1" x14ac:dyDescent="0.35">
      <c r="A13" s="5" t="s">
        <v>1611</v>
      </c>
      <c r="B13" s="5" t="s">
        <v>1609</v>
      </c>
      <c r="C13" s="5" t="s">
        <v>1612</v>
      </c>
    </row>
    <row r="14" spans="1:7" ht="36" customHeight="1" x14ac:dyDescent="0.35">
      <c r="A14" s="5" t="s">
        <v>1613</v>
      </c>
      <c r="B14" s="5" t="s">
        <v>1614</v>
      </c>
      <c r="C14" s="5" t="s">
        <v>1615</v>
      </c>
    </row>
    <row r="15" spans="1:7" ht="36" customHeight="1" x14ac:dyDescent="0.35">
      <c r="A15" s="5" t="s">
        <v>1616</v>
      </c>
      <c r="B15" s="5" t="s">
        <v>1609</v>
      </c>
      <c r="C15" s="5" t="s">
        <v>1617</v>
      </c>
    </row>
    <row r="16" spans="1:7" ht="36" customHeight="1" x14ac:dyDescent="0.35">
      <c r="A16" s="5" t="s">
        <v>1618</v>
      </c>
      <c r="B16" s="5" t="s">
        <v>1609</v>
      </c>
      <c r="C16" s="5" t="s">
        <v>1619</v>
      </c>
    </row>
    <row r="17" spans="1:3" ht="36" customHeight="1" x14ac:dyDescent="0.35">
      <c r="A17" s="5" t="s">
        <v>1620</v>
      </c>
      <c r="B17" s="5" t="s">
        <v>1609</v>
      </c>
      <c r="C17" s="5" t="s">
        <v>1621</v>
      </c>
    </row>
    <row r="18" spans="1:3" ht="36" customHeight="1" x14ac:dyDescent="0.35">
      <c r="A18" s="5" t="s">
        <v>1622</v>
      </c>
      <c r="B18" s="5" t="s">
        <v>1609</v>
      </c>
      <c r="C18" s="5" t="s">
        <v>1623</v>
      </c>
    </row>
    <row r="19" spans="1:3" ht="36" customHeight="1" x14ac:dyDescent="0.35">
      <c r="A19" s="5" t="s">
        <v>1624</v>
      </c>
      <c r="B19" s="5" t="s">
        <v>1609</v>
      </c>
      <c r="C19" s="5" t="s">
        <v>1625</v>
      </c>
    </row>
    <row r="20" spans="1:3" ht="36" customHeight="1" x14ac:dyDescent="0.35">
      <c r="A20" s="5" t="s">
        <v>1626</v>
      </c>
      <c r="B20" s="5" t="s">
        <v>1609</v>
      </c>
      <c r="C20" s="5" t="s">
        <v>1627</v>
      </c>
    </row>
    <row r="21" spans="1:3" x14ac:dyDescent="0.35">
      <c r="A21" s="5" t="s">
        <v>1628</v>
      </c>
      <c r="B21" s="5" t="s">
        <v>1609</v>
      </c>
      <c r="C21" s="5" t="s">
        <v>1629</v>
      </c>
    </row>
    <row r="22" spans="1:3" ht="26" customHeight="1" x14ac:dyDescent="0.35">
      <c r="A22" s="5" t="s">
        <v>1630</v>
      </c>
      <c r="B22" s="5" t="s">
        <v>1609</v>
      </c>
      <c r="C22" s="5" t="s">
        <v>1631</v>
      </c>
    </row>
    <row r="23" spans="1:3" x14ac:dyDescent="0.35">
      <c r="A23" s="5" t="s">
        <v>1632</v>
      </c>
      <c r="B23" s="5" t="s">
        <v>1609</v>
      </c>
      <c r="C23" s="5" t="s">
        <v>1633</v>
      </c>
    </row>
    <row r="24" spans="1:3" x14ac:dyDescent="0.35">
      <c r="A24" s="5" t="s">
        <v>1634</v>
      </c>
      <c r="B24" s="5" t="s">
        <v>1609</v>
      </c>
      <c r="C24" s="5" t="s">
        <v>1635</v>
      </c>
    </row>
    <row r="25" spans="1:3" ht="26" customHeight="1" x14ac:dyDescent="0.35">
      <c r="A25" s="5" t="s">
        <v>1636</v>
      </c>
      <c r="B25" s="5" t="s">
        <v>1609</v>
      </c>
      <c r="C25" s="5" t="s">
        <v>1637</v>
      </c>
    </row>
  </sheetData>
  <mergeCells count="1">
    <mergeCell ref="A2:G2"/>
  </mergeCells>
  <pageMargins left="0.75" right="0.75" top="1" bottom="1" header="0.5" footer="0.5"/>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1"/>
  <sheetViews>
    <sheetView workbookViewId="0">
      <pane ySplit="3" topLeftCell="A4" activePane="bottomLeft" state="frozen"/>
      <selection pane="bottomLeft"/>
    </sheetView>
  </sheetViews>
  <sheetFormatPr defaultRowHeight="14.5" x14ac:dyDescent="0.35"/>
  <cols>
    <col min="1" max="1" width="14" customWidth="1"/>
    <col min="2" max="3" width="10" customWidth="1"/>
    <col min="4" max="5" width="40" customWidth="1"/>
    <col min="6" max="7" width="24" customWidth="1"/>
    <col min="8" max="8" width="34" customWidth="1"/>
    <col min="9" max="9" width="36" customWidth="1"/>
    <col min="10" max="10" width="14" customWidth="1"/>
  </cols>
  <sheetData>
    <row r="1" spans="1:10" ht="21" customHeight="1" x14ac:dyDescent="0.5">
      <c r="A1" s="1" t="s">
        <v>1638</v>
      </c>
    </row>
    <row r="2" spans="1:10" ht="299" customHeight="1" x14ac:dyDescent="0.35">
      <c r="A2" s="2" t="s">
        <v>1639</v>
      </c>
    </row>
    <row r="3" spans="1:10" x14ac:dyDescent="0.35">
      <c r="A3" s="3" t="s">
        <v>1640</v>
      </c>
      <c r="B3" s="3" t="s">
        <v>1641</v>
      </c>
      <c r="C3" s="3" t="s">
        <v>1642</v>
      </c>
      <c r="D3" s="3" t="s">
        <v>1643</v>
      </c>
      <c r="E3" s="3" t="s">
        <v>1644</v>
      </c>
      <c r="F3" s="3" t="s">
        <v>1645</v>
      </c>
      <c r="G3" s="3" t="s">
        <v>1646</v>
      </c>
      <c r="H3" s="3" t="s">
        <v>1590</v>
      </c>
      <c r="I3" s="3" t="s">
        <v>1647</v>
      </c>
      <c r="J3" s="3" t="s">
        <v>89</v>
      </c>
    </row>
    <row r="4" spans="1:10" ht="65" customHeight="1" x14ac:dyDescent="0.35">
      <c r="A4" s="23" t="s">
        <v>1648</v>
      </c>
      <c r="B4" s="23" t="s">
        <v>1649</v>
      </c>
      <c r="C4" s="23" t="s">
        <v>1650</v>
      </c>
      <c r="D4" s="23" t="s">
        <v>1651</v>
      </c>
      <c r="E4" s="23" t="s">
        <v>1651</v>
      </c>
      <c r="F4" s="23" t="s">
        <v>1652</v>
      </c>
      <c r="G4" s="23" t="s">
        <v>1652</v>
      </c>
      <c r="H4" s="23" t="s">
        <v>1653</v>
      </c>
      <c r="I4" s="23" t="s">
        <v>1654</v>
      </c>
      <c r="J4" s="23" t="s">
        <v>1655</v>
      </c>
    </row>
    <row r="5" spans="1:10" ht="26" customHeight="1" x14ac:dyDescent="0.35">
      <c r="A5" s="23" t="s">
        <v>1656</v>
      </c>
      <c r="B5" s="23" t="s">
        <v>1657</v>
      </c>
      <c r="C5" s="23" t="s">
        <v>1658</v>
      </c>
      <c r="D5" s="23" t="s">
        <v>1659</v>
      </c>
      <c r="E5" s="23" t="s">
        <v>1660</v>
      </c>
      <c r="F5" s="23" t="s">
        <v>1661</v>
      </c>
      <c r="G5" s="23" t="s">
        <v>1662</v>
      </c>
      <c r="H5" s="23" t="s">
        <v>1663</v>
      </c>
      <c r="I5" s="23" t="s">
        <v>1664</v>
      </c>
      <c r="J5" s="23" t="s">
        <v>1665</v>
      </c>
    </row>
    <row r="6" spans="1:10" ht="26" customHeight="1" x14ac:dyDescent="0.35">
      <c r="A6" s="23" t="s">
        <v>1656</v>
      </c>
      <c r="B6" s="23" t="s">
        <v>1666</v>
      </c>
      <c r="C6" s="23" t="s">
        <v>1667</v>
      </c>
      <c r="D6" s="23" t="s">
        <v>1668</v>
      </c>
      <c r="E6" s="23" t="s">
        <v>1668</v>
      </c>
      <c r="F6" s="23" t="s">
        <v>1662</v>
      </c>
      <c r="G6" s="23" t="s">
        <v>1669</v>
      </c>
      <c r="H6" s="23" t="s">
        <v>1663</v>
      </c>
      <c r="I6" s="23" t="s">
        <v>1664</v>
      </c>
      <c r="J6" s="23" t="s">
        <v>1665</v>
      </c>
    </row>
    <row r="7" spans="1:10" ht="26" customHeight="1" x14ac:dyDescent="0.35">
      <c r="A7" s="23" t="s">
        <v>1656</v>
      </c>
      <c r="B7" s="23" t="s">
        <v>1670</v>
      </c>
      <c r="C7" s="23" t="s">
        <v>1671</v>
      </c>
      <c r="D7" s="23" t="s">
        <v>1672</v>
      </c>
      <c r="E7" s="23" t="s">
        <v>1673</v>
      </c>
      <c r="F7" s="23" t="s">
        <v>1674</v>
      </c>
      <c r="G7" s="23" t="s">
        <v>75</v>
      </c>
      <c r="H7" s="23" t="s">
        <v>1663</v>
      </c>
      <c r="I7" s="23" t="s">
        <v>1664</v>
      </c>
      <c r="J7" s="23" t="s">
        <v>1665</v>
      </c>
    </row>
    <row r="8" spans="1:10" ht="26" customHeight="1" x14ac:dyDescent="0.35">
      <c r="A8" s="23" t="s">
        <v>1656</v>
      </c>
      <c r="B8" s="23" t="s">
        <v>1675</v>
      </c>
      <c r="C8" s="23" t="s">
        <v>1676</v>
      </c>
      <c r="D8" s="23" t="s">
        <v>1677</v>
      </c>
      <c r="E8" s="23" t="s">
        <v>1678</v>
      </c>
      <c r="F8" s="23" t="s">
        <v>75</v>
      </c>
      <c r="G8" s="23" t="s">
        <v>1679</v>
      </c>
      <c r="H8" s="23" t="s">
        <v>1663</v>
      </c>
      <c r="I8" s="23" t="s">
        <v>1664</v>
      </c>
      <c r="J8" s="23" t="s">
        <v>1665</v>
      </c>
    </row>
    <row r="9" spans="1:10" ht="26" customHeight="1" x14ac:dyDescent="0.35">
      <c r="A9" s="23" t="s">
        <v>1656</v>
      </c>
      <c r="B9" s="23" t="s">
        <v>1680</v>
      </c>
      <c r="C9" s="23" t="s">
        <v>1681</v>
      </c>
      <c r="D9" s="23" t="s">
        <v>1682</v>
      </c>
      <c r="E9" s="23" t="s">
        <v>1683</v>
      </c>
      <c r="F9" s="23" t="s">
        <v>1684</v>
      </c>
      <c r="G9" s="23" t="s">
        <v>1685</v>
      </c>
      <c r="H9" s="23" t="s">
        <v>1663</v>
      </c>
      <c r="I9" s="23" t="s">
        <v>1664</v>
      </c>
      <c r="J9" s="23" t="s">
        <v>1665</v>
      </c>
    </row>
    <row r="10" spans="1:10" ht="26" customHeight="1" x14ac:dyDescent="0.35">
      <c r="A10" s="23" t="s">
        <v>1656</v>
      </c>
      <c r="B10" s="23" t="s">
        <v>1686</v>
      </c>
      <c r="C10" s="23" t="s">
        <v>1687</v>
      </c>
      <c r="D10" s="23" t="s">
        <v>1688</v>
      </c>
      <c r="E10" s="23" t="s">
        <v>1689</v>
      </c>
      <c r="F10" s="23" t="s">
        <v>1684</v>
      </c>
      <c r="G10" s="23" t="s">
        <v>1685</v>
      </c>
      <c r="H10" s="23" t="s">
        <v>1663</v>
      </c>
      <c r="I10" s="23" t="s">
        <v>1664</v>
      </c>
      <c r="J10" s="23" t="s">
        <v>1665</v>
      </c>
    </row>
    <row r="11" spans="1:10" ht="26" customHeight="1" x14ac:dyDescent="0.35">
      <c r="A11" s="23" t="s">
        <v>1656</v>
      </c>
      <c r="B11" s="23" t="s">
        <v>1690</v>
      </c>
      <c r="C11" s="23" t="s">
        <v>1691</v>
      </c>
      <c r="D11" s="23" t="s">
        <v>1692</v>
      </c>
      <c r="E11" s="23" t="s">
        <v>1692</v>
      </c>
      <c r="F11" s="23" t="s">
        <v>1693</v>
      </c>
      <c r="G11" s="23" t="s">
        <v>1652</v>
      </c>
      <c r="H11" s="23" t="s">
        <v>1663</v>
      </c>
      <c r="I11" s="23" t="s">
        <v>1664</v>
      </c>
      <c r="J11" s="23" t="s">
        <v>1665</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0"/>
  <sheetViews>
    <sheetView showGridLines="0" workbookViewId="0">
      <pane ySplit="3" topLeftCell="A4" activePane="bottomLeft" state="frozen"/>
      <selection pane="bottomLeft"/>
    </sheetView>
  </sheetViews>
  <sheetFormatPr defaultRowHeight="14.5" x14ac:dyDescent="0.35"/>
  <cols>
    <col min="1" max="1" width="28" customWidth="1"/>
    <col min="2" max="2" width="88" customWidth="1"/>
    <col min="3" max="3" width="14" customWidth="1"/>
  </cols>
  <sheetData>
    <row r="1" spans="1:7" ht="28" customHeight="1" x14ac:dyDescent="0.5">
      <c r="A1" s="1" t="s">
        <v>1694</v>
      </c>
    </row>
    <row r="2" spans="1:7" ht="32" customHeight="1" x14ac:dyDescent="0.35">
      <c r="A2" s="56" t="s">
        <v>1695</v>
      </c>
      <c r="B2" s="55"/>
      <c r="C2" s="55"/>
      <c r="D2" s="55"/>
      <c r="E2" s="55"/>
      <c r="F2" s="55"/>
      <c r="G2" s="55"/>
    </row>
    <row r="3" spans="1:7" x14ac:dyDescent="0.35">
      <c r="A3" s="3" t="s">
        <v>755</v>
      </c>
      <c r="B3" s="3" t="s">
        <v>1696</v>
      </c>
      <c r="C3" s="3" t="s">
        <v>26</v>
      </c>
    </row>
    <row r="4" spans="1:7" ht="32" customHeight="1" x14ac:dyDescent="0.35">
      <c r="A4" s="4" t="s">
        <v>1697</v>
      </c>
      <c r="B4" s="5" t="s">
        <v>1698</v>
      </c>
      <c r="C4" s="4">
        <f>COUNTIF(TaskRegister[OS layer],A4)</f>
        <v>307</v>
      </c>
    </row>
    <row r="5" spans="1:7" ht="32" customHeight="1" x14ac:dyDescent="0.35">
      <c r="A5" s="4" t="s">
        <v>1699</v>
      </c>
      <c r="B5" s="5" t="s">
        <v>1700</v>
      </c>
      <c r="C5" s="4">
        <f>COUNTIF(TaskRegister[OS layer],A5)</f>
        <v>346</v>
      </c>
    </row>
    <row r="6" spans="1:7" ht="32" customHeight="1" x14ac:dyDescent="0.35">
      <c r="A6" s="4" t="s">
        <v>1701</v>
      </c>
      <c r="B6" s="5" t="s">
        <v>1702</v>
      </c>
      <c r="C6" s="4">
        <f>COUNTIF(TaskRegister[OS layer],A6)</f>
        <v>57</v>
      </c>
    </row>
    <row r="7" spans="1:7" ht="32" customHeight="1" x14ac:dyDescent="0.35">
      <c r="A7" s="4" t="s">
        <v>1703</v>
      </c>
      <c r="B7" s="5" t="s">
        <v>1704</v>
      </c>
      <c r="C7" s="4">
        <f>COUNTIF(TaskRegister[OS layer],A7)</f>
        <v>60</v>
      </c>
    </row>
    <row r="9" spans="1:7" x14ac:dyDescent="0.35">
      <c r="A9" s="7" t="s">
        <v>1705</v>
      </c>
    </row>
    <row r="10" spans="1:7" ht="36" customHeight="1" x14ac:dyDescent="0.35">
      <c r="A10" s="54" t="s">
        <v>1706</v>
      </c>
      <c r="B10" s="55"/>
      <c r="C10" s="55"/>
    </row>
  </sheetData>
  <mergeCells count="2">
    <mergeCell ref="A10:C10"/>
    <mergeCell ref="A2:G2"/>
  </mergeCell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5"/>
  <sheetViews>
    <sheetView showGridLines="0" workbookViewId="0">
      <pane ySplit="3" topLeftCell="A4" activePane="bottomLeft" state="frozen"/>
      <selection pane="bottomLeft"/>
    </sheetView>
  </sheetViews>
  <sheetFormatPr defaultRowHeight="14.5" x14ac:dyDescent="0.35"/>
  <cols>
    <col min="1" max="1" width="28" customWidth="1"/>
    <col min="2" max="2" width="55" customWidth="1"/>
    <col min="3" max="3" width="42" customWidth="1"/>
    <col min="4" max="4" width="36" customWidth="1"/>
    <col min="5" max="5" width="18" customWidth="1"/>
    <col min="6" max="6" width="12" customWidth="1"/>
    <col min="7" max="7" width="60" customWidth="1"/>
  </cols>
  <sheetData>
    <row r="1" spans="1:7" ht="28" customHeight="1" x14ac:dyDescent="0.5">
      <c r="A1" s="1" t="s">
        <v>1707</v>
      </c>
    </row>
    <row r="2" spans="1:7" ht="32" customHeight="1" x14ac:dyDescent="0.35">
      <c r="A2" s="56" t="s">
        <v>1708</v>
      </c>
      <c r="B2" s="55"/>
      <c r="C2" s="55"/>
      <c r="D2" s="55"/>
      <c r="E2" s="55"/>
      <c r="F2" s="55"/>
      <c r="G2" s="55"/>
    </row>
    <row r="3" spans="1:7" x14ac:dyDescent="0.35">
      <c r="A3" s="3" t="s">
        <v>1709</v>
      </c>
      <c r="B3" s="3" t="s">
        <v>1710</v>
      </c>
      <c r="C3" s="3" t="s">
        <v>1711</v>
      </c>
      <c r="D3" s="3" t="s">
        <v>1712</v>
      </c>
      <c r="E3" s="3" t="s">
        <v>1713</v>
      </c>
      <c r="F3" s="3" t="s">
        <v>1714</v>
      </c>
      <c r="G3" s="3" t="s">
        <v>1715</v>
      </c>
    </row>
    <row r="4" spans="1:7" ht="36" customHeight="1" x14ac:dyDescent="0.35">
      <c r="A4" s="5" t="s">
        <v>1716</v>
      </c>
      <c r="B4" s="5" t="s">
        <v>1717</v>
      </c>
      <c r="C4" s="5" t="s">
        <v>1718</v>
      </c>
      <c r="D4" s="5" t="s">
        <v>1719</v>
      </c>
      <c r="E4" s="5" t="s">
        <v>1720</v>
      </c>
      <c r="F4" s="5" t="s">
        <v>1721</v>
      </c>
      <c r="G4" s="5" t="s">
        <v>1722</v>
      </c>
    </row>
    <row r="5" spans="1:7" ht="36" customHeight="1" x14ac:dyDescent="0.35">
      <c r="A5" s="5" t="s">
        <v>1723</v>
      </c>
      <c r="B5" s="5" t="s">
        <v>1724</v>
      </c>
      <c r="C5" s="5" t="s">
        <v>1725</v>
      </c>
      <c r="D5" s="5" t="s">
        <v>1719</v>
      </c>
      <c r="E5" s="5" t="s">
        <v>1720</v>
      </c>
      <c r="F5" s="5" t="s">
        <v>1721</v>
      </c>
      <c r="G5" s="5" t="s">
        <v>1726</v>
      </c>
    </row>
    <row r="6" spans="1:7" ht="36" customHeight="1" x14ac:dyDescent="0.35">
      <c r="A6" s="5" t="s">
        <v>1727</v>
      </c>
      <c r="B6" s="5" t="s">
        <v>1728</v>
      </c>
      <c r="C6" s="5" t="s">
        <v>1729</v>
      </c>
      <c r="D6" s="5" t="s">
        <v>1719</v>
      </c>
      <c r="E6" s="5" t="s">
        <v>1720</v>
      </c>
      <c r="F6" s="5" t="s">
        <v>127</v>
      </c>
      <c r="G6" s="5" t="s">
        <v>1730</v>
      </c>
    </row>
    <row r="7" spans="1:7" ht="36" customHeight="1" x14ac:dyDescent="0.35">
      <c r="A7" s="5" t="s">
        <v>1731</v>
      </c>
      <c r="B7" s="5" t="s">
        <v>1732</v>
      </c>
      <c r="C7" s="5" t="s">
        <v>1733</v>
      </c>
      <c r="D7" s="5" t="s">
        <v>1719</v>
      </c>
      <c r="E7" s="5" t="s">
        <v>1720</v>
      </c>
      <c r="F7" s="5" t="s">
        <v>127</v>
      </c>
      <c r="G7" s="5" t="s">
        <v>1730</v>
      </c>
    </row>
    <row r="8" spans="1:7" ht="36" customHeight="1" x14ac:dyDescent="0.35">
      <c r="A8" s="5" t="s">
        <v>1734</v>
      </c>
      <c r="B8" s="5" t="s">
        <v>1735</v>
      </c>
      <c r="C8" s="5" t="s">
        <v>1736</v>
      </c>
      <c r="D8" s="5" t="s">
        <v>1719</v>
      </c>
      <c r="E8" s="5" t="s">
        <v>1720</v>
      </c>
      <c r="F8" s="5" t="s">
        <v>127</v>
      </c>
      <c r="G8" s="5" t="s">
        <v>1730</v>
      </c>
    </row>
    <row r="9" spans="1:7" ht="36" customHeight="1" x14ac:dyDescent="0.35">
      <c r="A9" s="5" t="s">
        <v>1737</v>
      </c>
      <c r="B9" s="5" t="s">
        <v>1738</v>
      </c>
      <c r="C9" s="5" t="s">
        <v>1739</v>
      </c>
      <c r="D9" s="5" t="s">
        <v>1740</v>
      </c>
      <c r="E9" s="5" t="s">
        <v>1720</v>
      </c>
      <c r="F9" s="5" t="s">
        <v>1721</v>
      </c>
      <c r="G9" s="5" t="s">
        <v>1741</v>
      </c>
    </row>
    <row r="10" spans="1:7" ht="36" customHeight="1" x14ac:dyDescent="0.35">
      <c r="A10" s="5" t="s">
        <v>1742</v>
      </c>
      <c r="B10" s="5" t="s">
        <v>1743</v>
      </c>
      <c r="C10" s="5" t="s">
        <v>1744</v>
      </c>
      <c r="D10" s="5" t="s">
        <v>1745</v>
      </c>
      <c r="E10" s="5" t="s">
        <v>1720</v>
      </c>
      <c r="F10" s="5" t="s">
        <v>1721</v>
      </c>
      <c r="G10" s="5" t="s">
        <v>1746</v>
      </c>
    </row>
    <row r="11" spans="1:7" ht="36" customHeight="1" x14ac:dyDescent="0.35">
      <c r="A11" s="5" t="s">
        <v>1747</v>
      </c>
      <c r="B11" s="5" t="s">
        <v>1748</v>
      </c>
      <c r="C11" s="5" t="s">
        <v>1749</v>
      </c>
      <c r="D11" s="5" t="s">
        <v>1719</v>
      </c>
      <c r="E11" s="5" t="s">
        <v>1720</v>
      </c>
      <c r="F11" s="5" t="s">
        <v>1721</v>
      </c>
      <c r="G11" s="5" t="s">
        <v>1750</v>
      </c>
    </row>
    <row r="12" spans="1:7" ht="36" customHeight="1" x14ac:dyDescent="0.35">
      <c r="A12" s="5" t="s">
        <v>1751</v>
      </c>
      <c r="B12" s="5" t="s">
        <v>1752</v>
      </c>
      <c r="C12" s="5" t="s">
        <v>1753</v>
      </c>
      <c r="D12" s="5" t="s">
        <v>1719</v>
      </c>
      <c r="E12" s="5" t="s">
        <v>1720</v>
      </c>
      <c r="F12" s="5" t="s">
        <v>1721</v>
      </c>
      <c r="G12" s="5" t="s">
        <v>1750</v>
      </c>
    </row>
    <row r="13" spans="1:7" ht="36" customHeight="1" x14ac:dyDescent="0.35">
      <c r="A13" s="5" t="s">
        <v>1754</v>
      </c>
      <c r="B13" s="5" t="s">
        <v>1755</v>
      </c>
      <c r="C13" s="5" t="s">
        <v>1756</v>
      </c>
      <c r="D13" s="5" t="s">
        <v>1719</v>
      </c>
      <c r="E13" s="5" t="s">
        <v>1720</v>
      </c>
      <c r="F13" s="5" t="s">
        <v>127</v>
      </c>
      <c r="G13" s="5" t="s">
        <v>1730</v>
      </c>
    </row>
    <row r="14" spans="1:7" ht="36" customHeight="1" x14ac:dyDescent="0.35">
      <c r="A14" s="5" t="s">
        <v>1757</v>
      </c>
      <c r="B14" s="5" t="s">
        <v>1758</v>
      </c>
      <c r="C14" s="5" t="s">
        <v>1759</v>
      </c>
      <c r="D14" s="5" t="s">
        <v>1719</v>
      </c>
      <c r="E14" s="5" t="s">
        <v>1720</v>
      </c>
      <c r="F14" s="5" t="s">
        <v>127</v>
      </c>
      <c r="G14" s="5" t="s">
        <v>1730</v>
      </c>
    </row>
    <row r="15" spans="1:7" ht="36" customHeight="1" x14ac:dyDescent="0.35">
      <c r="A15" s="5" t="s">
        <v>1760</v>
      </c>
      <c r="B15" s="5" t="s">
        <v>1761</v>
      </c>
      <c r="C15" s="5" t="s">
        <v>1762</v>
      </c>
      <c r="D15" s="5" t="s">
        <v>1719</v>
      </c>
      <c r="E15" s="5" t="s">
        <v>1720</v>
      </c>
      <c r="F15" s="5" t="s">
        <v>127</v>
      </c>
      <c r="G15" s="5" t="s">
        <v>1730</v>
      </c>
    </row>
    <row r="16" spans="1:7" ht="36" customHeight="1" x14ac:dyDescent="0.35">
      <c r="A16" s="5" t="s">
        <v>1763</v>
      </c>
      <c r="B16" s="5" t="s">
        <v>1764</v>
      </c>
      <c r="C16" s="5" t="s">
        <v>1765</v>
      </c>
      <c r="D16" s="5" t="s">
        <v>1766</v>
      </c>
      <c r="E16" s="5" t="s">
        <v>1720</v>
      </c>
      <c r="F16" s="5" t="s">
        <v>1721</v>
      </c>
      <c r="G16" s="5" t="s">
        <v>1767</v>
      </c>
    </row>
    <row r="17" spans="1:7" ht="36" customHeight="1" x14ac:dyDescent="0.35">
      <c r="A17" s="5" t="s">
        <v>1768</v>
      </c>
      <c r="B17" s="5" t="s">
        <v>1769</v>
      </c>
      <c r="C17" s="5" t="s">
        <v>1770</v>
      </c>
      <c r="D17" s="5" t="s">
        <v>1771</v>
      </c>
      <c r="E17" s="5" t="s">
        <v>1720</v>
      </c>
      <c r="F17" s="5" t="s">
        <v>127</v>
      </c>
      <c r="G17" s="5" t="s">
        <v>1730</v>
      </c>
    </row>
    <row r="18" spans="1:7" ht="36" customHeight="1" x14ac:dyDescent="0.35">
      <c r="A18" s="5" t="s">
        <v>1772</v>
      </c>
      <c r="B18" s="5" t="s">
        <v>1773</v>
      </c>
      <c r="C18" s="5" t="s">
        <v>1774</v>
      </c>
      <c r="D18" s="5" t="s">
        <v>1775</v>
      </c>
      <c r="E18" s="5" t="s">
        <v>1720</v>
      </c>
      <c r="F18" s="5" t="s">
        <v>1721</v>
      </c>
      <c r="G18" s="5" t="s">
        <v>1776</v>
      </c>
    </row>
    <row r="19" spans="1:7" ht="36" customHeight="1" x14ac:dyDescent="0.35">
      <c r="A19" s="5" t="s">
        <v>1777</v>
      </c>
      <c r="B19" s="5" t="s">
        <v>1778</v>
      </c>
      <c r="C19" s="5" t="s">
        <v>1779</v>
      </c>
      <c r="D19" s="5" t="s">
        <v>1780</v>
      </c>
      <c r="E19" s="5" t="s">
        <v>1720</v>
      </c>
      <c r="F19" s="5" t="s">
        <v>127</v>
      </c>
      <c r="G19" s="5" t="s">
        <v>1730</v>
      </c>
    </row>
    <row r="20" spans="1:7" ht="26" customHeight="1" x14ac:dyDescent="0.35">
      <c r="A20" s="5" t="s">
        <v>1781</v>
      </c>
      <c r="B20" s="5" t="s">
        <v>1782</v>
      </c>
      <c r="C20" s="5" t="s">
        <v>1783</v>
      </c>
      <c r="D20" s="5" t="s">
        <v>1719</v>
      </c>
      <c r="E20" s="5" t="s">
        <v>1720</v>
      </c>
      <c r="F20" s="5" t="s">
        <v>127</v>
      </c>
      <c r="G20" s="5" t="s">
        <v>1784</v>
      </c>
    </row>
    <row r="21" spans="1:7" ht="26" customHeight="1" x14ac:dyDescent="0.35">
      <c r="A21" s="5" t="s">
        <v>1785</v>
      </c>
      <c r="B21" s="5" t="s">
        <v>1786</v>
      </c>
      <c r="C21" s="5" t="s">
        <v>1787</v>
      </c>
      <c r="D21" s="5" t="s">
        <v>1719</v>
      </c>
      <c r="E21" s="5" t="s">
        <v>1720</v>
      </c>
      <c r="F21" s="5" t="s">
        <v>127</v>
      </c>
      <c r="G21" s="5" t="s">
        <v>1784</v>
      </c>
    </row>
    <row r="22" spans="1:7" ht="26" customHeight="1" x14ac:dyDescent="0.35">
      <c r="A22" s="5" t="s">
        <v>1788</v>
      </c>
      <c r="B22" s="5" t="s">
        <v>1789</v>
      </c>
      <c r="C22" s="5" t="s">
        <v>1790</v>
      </c>
      <c r="D22" s="5" t="s">
        <v>1791</v>
      </c>
      <c r="E22" s="5" t="s">
        <v>1720</v>
      </c>
      <c r="F22" s="5" t="s">
        <v>127</v>
      </c>
      <c r="G22" s="5" t="s">
        <v>1792</v>
      </c>
    </row>
    <row r="23" spans="1:7" ht="26" customHeight="1" x14ac:dyDescent="0.35">
      <c r="A23" s="5" t="s">
        <v>1793</v>
      </c>
      <c r="B23" s="5" t="s">
        <v>1794</v>
      </c>
      <c r="C23" s="5" t="s">
        <v>1795</v>
      </c>
      <c r="D23" s="5" t="s">
        <v>1796</v>
      </c>
      <c r="E23" s="5" t="s">
        <v>1720</v>
      </c>
      <c r="F23" s="5" t="s">
        <v>127</v>
      </c>
      <c r="G23" s="5" t="s">
        <v>1792</v>
      </c>
    </row>
    <row r="24" spans="1:7" ht="26" customHeight="1" x14ac:dyDescent="0.35">
      <c r="A24" s="5" t="s">
        <v>1797</v>
      </c>
      <c r="B24" s="5" t="s">
        <v>1798</v>
      </c>
      <c r="C24" s="5" t="s">
        <v>1799</v>
      </c>
      <c r="D24" s="5" t="s">
        <v>1800</v>
      </c>
      <c r="E24" s="5" t="s">
        <v>1720</v>
      </c>
      <c r="F24" s="5" t="s">
        <v>127</v>
      </c>
      <c r="G24" s="5" t="s">
        <v>1801</v>
      </c>
    </row>
    <row r="25" spans="1:7" x14ac:dyDescent="0.35">
      <c r="A25" s="5" t="s">
        <v>1802</v>
      </c>
      <c r="B25" s="5" t="s">
        <v>1803</v>
      </c>
      <c r="C25" s="5" t="s">
        <v>1804</v>
      </c>
      <c r="D25" s="5" t="s">
        <v>1805</v>
      </c>
      <c r="E25" s="5" t="s">
        <v>1720</v>
      </c>
      <c r="F25" s="5" t="s">
        <v>127</v>
      </c>
      <c r="G25" s="5" t="s">
        <v>1730</v>
      </c>
    </row>
  </sheetData>
  <mergeCells count="1">
    <mergeCell ref="A2:G2"/>
  </mergeCells>
  <pageMargins left="0.75" right="0.75" top="1" bottom="1" header="0.5" footer="0.5"/>
  <pageSetup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showGridLines="0" workbookViewId="0">
      <pane ySplit="3" topLeftCell="A4" activePane="bottomLeft" state="frozen"/>
      <selection pane="bottomLeft"/>
    </sheetView>
  </sheetViews>
  <sheetFormatPr defaultRowHeight="14.5" x14ac:dyDescent="0.35"/>
  <cols>
    <col min="1" max="1" width="32" customWidth="1"/>
    <col min="2" max="2" width="62" customWidth="1"/>
    <col min="3" max="3" width="24" customWidth="1"/>
    <col min="4" max="4" width="20" customWidth="1"/>
    <col min="5" max="5" width="18" customWidth="1"/>
    <col min="6" max="6" width="12" customWidth="1"/>
    <col min="7" max="7" width="48" customWidth="1"/>
  </cols>
  <sheetData>
    <row r="1" spans="1:7" ht="28" customHeight="1" x14ac:dyDescent="0.5">
      <c r="A1" s="1" t="s">
        <v>1806</v>
      </c>
    </row>
    <row r="2" spans="1:7" ht="32" customHeight="1" x14ac:dyDescent="0.35">
      <c r="A2" s="56" t="s">
        <v>1807</v>
      </c>
      <c r="B2" s="55"/>
      <c r="C2" s="55"/>
      <c r="D2" s="55"/>
      <c r="E2" s="55"/>
      <c r="F2" s="55"/>
      <c r="G2" s="55"/>
    </row>
    <row r="3" spans="1:7" x14ac:dyDescent="0.35">
      <c r="A3" s="3" t="s">
        <v>1808</v>
      </c>
      <c r="B3" s="3" t="s">
        <v>1809</v>
      </c>
      <c r="C3" s="3" t="s">
        <v>1810</v>
      </c>
      <c r="D3" s="3" t="s">
        <v>1811</v>
      </c>
      <c r="E3" s="3" t="s">
        <v>1812</v>
      </c>
      <c r="F3" s="3" t="s">
        <v>1714</v>
      </c>
      <c r="G3" s="3" t="s">
        <v>1715</v>
      </c>
    </row>
    <row r="4" spans="1:7" ht="36" customHeight="1" x14ac:dyDescent="0.35">
      <c r="A4" s="5" t="s">
        <v>1813</v>
      </c>
      <c r="B4" s="5" t="s">
        <v>1814</v>
      </c>
      <c r="C4" s="5" t="s">
        <v>1815</v>
      </c>
      <c r="D4" s="5" t="s">
        <v>1720</v>
      </c>
      <c r="E4" s="5" t="s">
        <v>1720</v>
      </c>
      <c r="F4" s="5" t="s">
        <v>127</v>
      </c>
      <c r="G4" s="5" t="s">
        <v>1730</v>
      </c>
    </row>
    <row r="5" spans="1:7" ht="36" customHeight="1" x14ac:dyDescent="0.35">
      <c r="A5" s="5" t="s">
        <v>1731</v>
      </c>
      <c r="B5" s="5" t="s">
        <v>1816</v>
      </c>
      <c r="C5" s="5" t="s">
        <v>1679</v>
      </c>
      <c r="D5" s="5" t="s">
        <v>1720</v>
      </c>
      <c r="E5" s="5" t="s">
        <v>1720</v>
      </c>
      <c r="F5" s="5" t="s">
        <v>127</v>
      </c>
      <c r="G5" s="5" t="s">
        <v>1730</v>
      </c>
    </row>
    <row r="6" spans="1:7" ht="36" customHeight="1" x14ac:dyDescent="0.35">
      <c r="A6" s="5" t="s">
        <v>1817</v>
      </c>
      <c r="B6" s="5" t="s">
        <v>1818</v>
      </c>
      <c r="C6" s="5" t="s">
        <v>1679</v>
      </c>
      <c r="D6" s="5" t="s">
        <v>1720</v>
      </c>
      <c r="E6" s="5" t="s">
        <v>1720</v>
      </c>
      <c r="F6" s="5" t="s">
        <v>127</v>
      </c>
      <c r="G6" s="5" t="s">
        <v>1730</v>
      </c>
    </row>
    <row r="7" spans="1:7" ht="36" customHeight="1" x14ac:dyDescent="0.35">
      <c r="A7" s="5" t="s">
        <v>1734</v>
      </c>
      <c r="B7" s="5" t="s">
        <v>1818</v>
      </c>
      <c r="C7" s="5" t="s">
        <v>1819</v>
      </c>
      <c r="D7" s="5" t="s">
        <v>1720</v>
      </c>
      <c r="E7" s="5" t="s">
        <v>1720</v>
      </c>
      <c r="F7" s="5" t="s">
        <v>127</v>
      </c>
      <c r="G7" s="5" t="s">
        <v>1730</v>
      </c>
    </row>
    <row r="8" spans="1:7" ht="36" customHeight="1" x14ac:dyDescent="0.35">
      <c r="A8" s="5" t="s">
        <v>1723</v>
      </c>
      <c r="B8" s="5" t="s">
        <v>1814</v>
      </c>
      <c r="C8" s="5" t="s">
        <v>1819</v>
      </c>
      <c r="D8" s="5" t="s">
        <v>1720</v>
      </c>
      <c r="E8" s="5" t="s">
        <v>1720</v>
      </c>
      <c r="F8" s="5" t="s">
        <v>127</v>
      </c>
      <c r="G8" s="5" t="s">
        <v>1730</v>
      </c>
    </row>
    <row r="9" spans="1:7" ht="36" customHeight="1" x14ac:dyDescent="0.35">
      <c r="A9" s="5" t="s">
        <v>1727</v>
      </c>
      <c r="B9" s="5" t="s">
        <v>1814</v>
      </c>
      <c r="C9" s="5" t="s">
        <v>1820</v>
      </c>
      <c r="D9" s="5" t="s">
        <v>1720</v>
      </c>
      <c r="E9" s="5" t="s">
        <v>1720</v>
      </c>
      <c r="F9" s="5" t="s">
        <v>127</v>
      </c>
      <c r="G9" s="5" t="s">
        <v>1730</v>
      </c>
    </row>
    <row r="10" spans="1:7" ht="36" customHeight="1" x14ac:dyDescent="0.35">
      <c r="A10" s="5" t="s">
        <v>1737</v>
      </c>
      <c r="B10" s="5" t="s">
        <v>1821</v>
      </c>
      <c r="C10" s="5" t="s">
        <v>1822</v>
      </c>
      <c r="D10" s="5" t="s">
        <v>1720</v>
      </c>
      <c r="E10" s="5" t="s">
        <v>1720</v>
      </c>
      <c r="F10" s="5" t="s">
        <v>127</v>
      </c>
      <c r="G10" s="5" t="s">
        <v>1730</v>
      </c>
    </row>
    <row r="11" spans="1:7" ht="36" customHeight="1" x14ac:dyDescent="0.35">
      <c r="A11" s="5" t="s">
        <v>1742</v>
      </c>
      <c r="B11" s="5" t="s">
        <v>1823</v>
      </c>
      <c r="C11" s="5" t="s">
        <v>1824</v>
      </c>
      <c r="D11" s="5" t="s">
        <v>1720</v>
      </c>
      <c r="E11" s="5" t="s">
        <v>1720</v>
      </c>
      <c r="F11" s="5" t="s">
        <v>127</v>
      </c>
      <c r="G11" s="5" t="s">
        <v>1730</v>
      </c>
    </row>
    <row r="12" spans="1:7" ht="36" customHeight="1" x14ac:dyDescent="0.35">
      <c r="A12" s="5" t="s">
        <v>1747</v>
      </c>
      <c r="B12" s="5" t="s">
        <v>1814</v>
      </c>
      <c r="C12" s="5" t="s">
        <v>1815</v>
      </c>
      <c r="D12" s="5" t="s">
        <v>1720</v>
      </c>
      <c r="E12" s="5" t="s">
        <v>1720</v>
      </c>
      <c r="F12" s="5" t="s">
        <v>127</v>
      </c>
      <c r="G12" s="5" t="s">
        <v>1730</v>
      </c>
    </row>
    <row r="13" spans="1:7" ht="36" customHeight="1" x14ac:dyDescent="0.35">
      <c r="A13" s="5" t="s">
        <v>1751</v>
      </c>
      <c r="B13" s="5" t="s">
        <v>1814</v>
      </c>
      <c r="C13" s="5" t="s">
        <v>1819</v>
      </c>
      <c r="D13" s="5" t="s">
        <v>1720</v>
      </c>
      <c r="E13" s="5" t="s">
        <v>1720</v>
      </c>
      <c r="F13" s="5" t="s">
        <v>127</v>
      </c>
      <c r="G13" s="5" t="s">
        <v>1730</v>
      </c>
    </row>
    <row r="14" spans="1:7" ht="36" customHeight="1" x14ac:dyDescent="0.35">
      <c r="A14" s="5" t="s">
        <v>1825</v>
      </c>
      <c r="B14" s="5" t="s">
        <v>1826</v>
      </c>
      <c r="C14" s="5" t="s">
        <v>1824</v>
      </c>
      <c r="D14" s="5" t="s">
        <v>1720</v>
      </c>
      <c r="E14" s="5" t="s">
        <v>1720</v>
      </c>
      <c r="F14" s="5" t="s">
        <v>127</v>
      </c>
      <c r="G14" s="5" t="s">
        <v>1730</v>
      </c>
    </row>
    <row r="15" spans="1:7" ht="36" customHeight="1" x14ac:dyDescent="0.35">
      <c r="A15" s="5" t="s">
        <v>1827</v>
      </c>
      <c r="B15" s="5" t="s">
        <v>1814</v>
      </c>
      <c r="C15" s="5" t="s">
        <v>1828</v>
      </c>
      <c r="D15" s="5" t="s">
        <v>1720</v>
      </c>
      <c r="E15" s="5" t="s">
        <v>1720</v>
      </c>
      <c r="F15" s="5" t="s">
        <v>127</v>
      </c>
      <c r="G15" s="5" t="s">
        <v>1730</v>
      </c>
    </row>
    <row r="16" spans="1:7" ht="36" customHeight="1" x14ac:dyDescent="0.35">
      <c r="A16" s="5" t="s">
        <v>1829</v>
      </c>
      <c r="B16" s="5" t="s">
        <v>1830</v>
      </c>
      <c r="C16" s="5" t="s">
        <v>1831</v>
      </c>
      <c r="D16" s="5" t="s">
        <v>1720</v>
      </c>
      <c r="E16" s="5" t="s">
        <v>1720</v>
      </c>
      <c r="F16" s="5" t="s">
        <v>127</v>
      </c>
      <c r="G16" s="5" t="s">
        <v>1730</v>
      </c>
    </row>
    <row r="17" spans="1:7" ht="36" customHeight="1" x14ac:dyDescent="0.35">
      <c r="A17" s="5" t="s">
        <v>1832</v>
      </c>
      <c r="B17" s="5" t="s">
        <v>1833</v>
      </c>
      <c r="C17" s="5" t="s">
        <v>1834</v>
      </c>
      <c r="D17" s="5" t="s">
        <v>1720</v>
      </c>
      <c r="E17" s="5" t="s">
        <v>1720</v>
      </c>
      <c r="F17" s="5" t="s">
        <v>127</v>
      </c>
      <c r="G17" s="5" t="s">
        <v>1730</v>
      </c>
    </row>
    <row r="18" spans="1:7" ht="36" customHeight="1" x14ac:dyDescent="0.35">
      <c r="A18" s="5" t="s">
        <v>1802</v>
      </c>
      <c r="B18" s="5" t="s">
        <v>1835</v>
      </c>
      <c r="C18" s="5" t="s">
        <v>1836</v>
      </c>
      <c r="D18" s="5" t="s">
        <v>1720</v>
      </c>
      <c r="E18" s="5" t="s">
        <v>1720</v>
      </c>
      <c r="F18" s="5" t="s">
        <v>127</v>
      </c>
      <c r="G18" s="5" t="s">
        <v>1730</v>
      </c>
    </row>
    <row r="19" spans="1:7" ht="36" customHeight="1" x14ac:dyDescent="0.35">
      <c r="A19" s="5" t="s">
        <v>1837</v>
      </c>
      <c r="B19" s="5" t="s">
        <v>1838</v>
      </c>
      <c r="C19" s="5" t="s">
        <v>1820</v>
      </c>
      <c r="D19" s="5" t="s">
        <v>1720</v>
      </c>
      <c r="E19" s="5" t="s">
        <v>1720</v>
      </c>
      <c r="F19" s="5" t="s">
        <v>127</v>
      </c>
      <c r="G19" s="5" t="s">
        <v>1730</v>
      </c>
    </row>
    <row r="20" spans="1:7" ht="36" customHeight="1" x14ac:dyDescent="0.35">
      <c r="A20" s="5" t="s">
        <v>1839</v>
      </c>
      <c r="B20" s="5" t="s">
        <v>1840</v>
      </c>
      <c r="C20" s="5" t="s">
        <v>1824</v>
      </c>
      <c r="D20" s="5" t="s">
        <v>1841</v>
      </c>
      <c r="E20" s="5" t="s">
        <v>1841</v>
      </c>
      <c r="F20" s="5" t="s">
        <v>127</v>
      </c>
      <c r="G20" s="5" t="s">
        <v>1730</v>
      </c>
    </row>
    <row r="21" spans="1:7" ht="36" customHeight="1" x14ac:dyDescent="0.35">
      <c r="A21" s="5" t="s">
        <v>1842</v>
      </c>
      <c r="B21" s="5" t="s">
        <v>1843</v>
      </c>
      <c r="C21" s="5" t="s">
        <v>1824</v>
      </c>
      <c r="D21" s="5" t="s">
        <v>1720</v>
      </c>
      <c r="E21" s="5" t="s">
        <v>1720</v>
      </c>
      <c r="F21" s="5" t="s">
        <v>127</v>
      </c>
      <c r="G21" s="5" t="s">
        <v>1730</v>
      </c>
    </row>
    <row r="22" spans="1:7" ht="52" customHeight="1" x14ac:dyDescent="0.35">
      <c r="A22" s="5" t="s">
        <v>1844</v>
      </c>
      <c r="B22" s="5" t="s">
        <v>1845</v>
      </c>
      <c r="C22" s="5" t="s">
        <v>1824</v>
      </c>
      <c r="D22" s="5" t="s">
        <v>1720</v>
      </c>
      <c r="E22" s="5" t="s">
        <v>1720</v>
      </c>
      <c r="F22" s="5" t="s">
        <v>127</v>
      </c>
      <c r="G22" s="5" t="s">
        <v>1846</v>
      </c>
    </row>
    <row r="23" spans="1:7" ht="26" customHeight="1" x14ac:dyDescent="0.35">
      <c r="A23" s="5" t="s">
        <v>1847</v>
      </c>
      <c r="B23" s="5" t="s">
        <v>1848</v>
      </c>
      <c r="C23" s="5" t="s">
        <v>1828</v>
      </c>
      <c r="D23" s="5" t="s">
        <v>1720</v>
      </c>
      <c r="E23" s="5" t="s">
        <v>1720</v>
      </c>
      <c r="F23" s="5" t="s">
        <v>127</v>
      </c>
      <c r="G23" s="5" t="s">
        <v>1784</v>
      </c>
    </row>
    <row r="24" spans="1:7" ht="26" customHeight="1" x14ac:dyDescent="0.35">
      <c r="A24" s="5" t="s">
        <v>1788</v>
      </c>
      <c r="B24" s="5" t="s">
        <v>1849</v>
      </c>
      <c r="C24" s="5" t="s">
        <v>1850</v>
      </c>
      <c r="D24" s="5" t="s">
        <v>1720</v>
      </c>
      <c r="E24" s="5" t="s">
        <v>1720</v>
      </c>
      <c r="F24" s="5" t="s">
        <v>127</v>
      </c>
      <c r="G24" s="5" t="s">
        <v>1792</v>
      </c>
    </row>
    <row r="25" spans="1:7" ht="26" customHeight="1" x14ac:dyDescent="0.35">
      <c r="A25" s="5" t="s">
        <v>1851</v>
      </c>
      <c r="B25" s="5" t="s">
        <v>1852</v>
      </c>
      <c r="C25" s="5" t="s">
        <v>1850</v>
      </c>
      <c r="D25" s="5" t="s">
        <v>1720</v>
      </c>
      <c r="E25" s="5" t="s">
        <v>1720</v>
      </c>
      <c r="F25" s="5" t="s">
        <v>127</v>
      </c>
      <c r="G25" s="5" t="s">
        <v>1792</v>
      </c>
    </row>
    <row r="26" spans="1:7" ht="26" customHeight="1" x14ac:dyDescent="0.35">
      <c r="A26" s="5" t="s">
        <v>1853</v>
      </c>
      <c r="B26" s="5" t="s">
        <v>1854</v>
      </c>
      <c r="C26" s="5" t="s">
        <v>1855</v>
      </c>
      <c r="D26" s="5" t="s">
        <v>1720</v>
      </c>
      <c r="E26" s="5" t="s">
        <v>1720</v>
      </c>
      <c r="F26" s="5" t="s">
        <v>127</v>
      </c>
      <c r="G26" s="5" t="s">
        <v>1856</v>
      </c>
    </row>
    <row r="27" spans="1:7" ht="26" customHeight="1" x14ac:dyDescent="0.35">
      <c r="A27" s="5" t="s">
        <v>1857</v>
      </c>
      <c r="B27" s="5" t="s">
        <v>1858</v>
      </c>
      <c r="C27" s="5" t="s">
        <v>1850</v>
      </c>
      <c r="D27" s="5" t="s">
        <v>1720</v>
      </c>
      <c r="E27" s="5" t="s">
        <v>1720</v>
      </c>
      <c r="F27" s="5" t="s">
        <v>127</v>
      </c>
      <c r="G27" s="5" t="s">
        <v>1859</v>
      </c>
    </row>
    <row r="28" spans="1:7" x14ac:dyDescent="0.35">
      <c r="A28" s="5" t="s">
        <v>1860</v>
      </c>
      <c r="B28" s="5" t="s">
        <v>1861</v>
      </c>
      <c r="C28" s="5" t="s">
        <v>1824</v>
      </c>
      <c r="D28" s="5" t="s">
        <v>1720</v>
      </c>
      <c r="E28" s="5" t="s">
        <v>1720</v>
      </c>
      <c r="F28" s="5" t="s">
        <v>127</v>
      </c>
      <c r="G28" s="5" t="s">
        <v>1730</v>
      </c>
    </row>
    <row r="29" spans="1:7" x14ac:dyDescent="0.35">
      <c r="A29" s="5" t="s">
        <v>1862</v>
      </c>
      <c r="B29" s="5" t="s">
        <v>1863</v>
      </c>
      <c r="C29" s="5" t="s">
        <v>1836</v>
      </c>
      <c r="D29" s="5" t="s">
        <v>1720</v>
      </c>
      <c r="E29" s="5" t="s">
        <v>1841</v>
      </c>
      <c r="F29" s="5" t="s">
        <v>127</v>
      </c>
      <c r="G29" s="5" t="s">
        <v>1730</v>
      </c>
    </row>
    <row r="30" spans="1:7" x14ac:dyDescent="0.35">
      <c r="A30" s="5" t="s">
        <v>1864</v>
      </c>
      <c r="B30" s="5" t="s">
        <v>1865</v>
      </c>
      <c r="C30" s="5" t="s">
        <v>1822</v>
      </c>
      <c r="D30" s="5" t="s">
        <v>1720</v>
      </c>
      <c r="E30" s="5" t="s">
        <v>1720</v>
      </c>
      <c r="F30" s="5" t="s">
        <v>127</v>
      </c>
      <c r="G30" s="5" t="s">
        <v>1730</v>
      </c>
    </row>
  </sheetData>
  <mergeCells count="1">
    <mergeCell ref="A2:G2"/>
  </mergeCells>
  <pageMargins left="0.75" right="0.75" top="1" bottom="1" header="0.5" footer="0.5"/>
  <pageSetup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9"/>
  <sheetViews>
    <sheetView showGridLines="0" workbookViewId="0">
      <pane ySplit="3" topLeftCell="A4" activePane="bottomLeft" state="frozen"/>
      <selection pane="bottomLeft"/>
    </sheetView>
  </sheetViews>
  <sheetFormatPr defaultRowHeight="14.5" x14ac:dyDescent="0.35"/>
  <cols>
    <col min="1" max="1" width="16" customWidth="1"/>
    <col min="2" max="2" width="62" customWidth="1"/>
    <col min="3" max="3" width="55" customWidth="1"/>
    <col min="4" max="4" width="28" customWidth="1"/>
    <col min="5" max="5" width="12" customWidth="1"/>
    <col min="6" max="6" width="48" customWidth="1"/>
  </cols>
  <sheetData>
    <row r="1" spans="1:7" ht="28" customHeight="1" x14ac:dyDescent="0.5">
      <c r="A1" s="1" t="s">
        <v>1866</v>
      </c>
    </row>
    <row r="2" spans="1:7" ht="32" customHeight="1" x14ac:dyDescent="0.35">
      <c r="A2" s="56" t="s">
        <v>1867</v>
      </c>
      <c r="B2" s="55"/>
      <c r="C2" s="55"/>
      <c r="D2" s="55"/>
      <c r="E2" s="55"/>
      <c r="F2" s="55"/>
      <c r="G2" s="55"/>
    </row>
    <row r="3" spans="1:7" x14ac:dyDescent="0.35">
      <c r="A3" s="3" t="s">
        <v>1868</v>
      </c>
      <c r="B3" s="3" t="s">
        <v>1869</v>
      </c>
      <c r="C3" s="3" t="s">
        <v>1870</v>
      </c>
      <c r="D3" s="3" t="s">
        <v>1871</v>
      </c>
      <c r="E3" s="3" t="s">
        <v>1714</v>
      </c>
      <c r="F3" s="3" t="s">
        <v>1715</v>
      </c>
    </row>
    <row r="4" spans="1:7" ht="36" customHeight="1" x14ac:dyDescent="0.35">
      <c r="A4" s="5" t="s">
        <v>1872</v>
      </c>
      <c r="B4" s="5" t="s">
        <v>1873</v>
      </c>
      <c r="C4" s="5" t="s">
        <v>1874</v>
      </c>
      <c r="D4" s="5" t="s">
        <v>127</v>
      </c>
      <c r="E4" s="5" t="s">
        <v>127</v>
      </c>
      <c r="F4" s="5" t="s">
        <v>1875</v>
      </c>
    </row>
    <row r="5" spans="1:7" ht="36" customHeight="1" x14ac:dyDescent="0.35">
      <c r="A5" s="5" t="s">
        <v>1872</v>
      </c>
      <c r="B5" s="5" t="s">
        <v>1876</v>
      </c>
      <c r="C5" s="5" t="s">
        <v>1877</v>
      </c>
      <c r="D5" s="5" t="s">
        <v>127</v>
      </c>
      <c r="E5" s="5" t="s">
        <v>127</v>
      </c>
      <c r="F5" s="5" t="s">
        <v>1730</v>
      </c>
    </row>
    <row r="6" spans="1:7" ht="36" customHeight="1" x14ac:dyDescent="0.35">
      <c r="A6" s="5" t="s">
        <v>1872</v>
      </c>
      <c r="B6" s="5" t="s">
        <v>1878</v>
      </c>
      <c r="C6" s="5" t="s">
        <v>1879</v>
      </c>
      <c r="D6" s="5" t="s">
        <v>127</v>
      </c>
      <c r="E6" s="5" t="s">
        <v>127</v>
      </c>
      <c r="F6" s="5" t="s">
        <v>1730</v>
      </c>
    </row>
    <row r="7" spans="1:7" ht="36" customHeight="1" x14ac:dyDescent="0.35">
      <c r="A7" s="5" t="s">
        <v>1872</v>
      </c>
      <c r="B7" s="5" t="s">
        <v>1880</v>
      </c>
      <c r="C7" s="5" t="s">
        <v>1881</v>
      </c>
      <c r="D7" s="5" t="s">
        <v>127</v>
      </c>
      <c r="E7" s="5" t="s">
        <v>127</v>
      </c>
      <c r="F7" s="5" t="s">
        <v>1730</v>
      </c>
    </row>
    <row r="8" spans="1:7" ht="36" customHeight="1" x14ac:dyDescent="0.35">
      <c r="A8" s="5" t="s">
        <v>1872</v>
      </c>
      <c r="B8" s="5" t="s">
        <v>1882</v>
      </c>
      <c r="C8" s="5" t="s">
        <v>1881</v>
      </c>
      <c r="D8" s="5" t="s">
        <v>127</v>
      </c>
      <c r="E8" s="5" t="s">
        <v>127</v>
      </c>
      <c r="F8" s="5" t="s">
        <v>1730</v>
      </c>
    </row>
    <row r="9" spans="1:7" ht="36" customHeight="1" x14ac:dyDescent="0.35">
      <c r="A9" s="5" t="s">
        <v>1370</v>
      </c>
      <c r="B9" s="5" t="s">
        <v>1883</v>
      </c>
      <c r="C9" s="5" t="s">
        <v>1884</v>
      </c>
      <c r="D9" s="5" t="s">
        <v>127</v>
      </c>
      <c r="E9" s="5" t="s">
        <v>127</v>
      </c>
      <c r="F9" s="5" t="s">
        <v>1730</v>
      </c>
    </row>
    <row r="10" spans="1:7" ht="36" customHeight="1" x14ac:dyDescent="0.35">
      <c r="A10" s="5" t="s">
        <v>1370</v>
      </c>
      <c r="B10" s="5" t="s">
        <v>1885</v>
      </c>
      <c r="C10" s="5" t="s">
        <v>1886</v>
      </c>
      <c r="D10" s="5" t="s">
        <v>127</v>
      </c>
      <c r="E10" s="5" t="s">
        <v>127</v>
      </c>
      <c r="F10" s="5" t="s">
        <v>1730</v>
      </c>
    </row>
    <row r="11" spans="1:7" ht="36" customHeight="1" x14ac:dyDescent="0.35">
      <c r="A11" s="5" t="s">
        <v>1370</v>
      </c>
      <c r="B11" s="5" t="s">
        <v>1887</v>
      </c>
      <c r="C11" s="5" t="s">
        <v>1888</v>
      </c>
      <c r="D11" s="5" t="s">
        <v>127</v>
      </c>
      <c r="E11" s="5" t="s">
        <v>127</v>
      </c>
      <c r="F11" s="5" t="s">
        <v>1730</v>
      </c>
    </row>
    <row r="12" spans="1:7" ht="36" customHeight="1" x14ac:dyDescent="0.35">
      <c r="A12" s="5" t="s">
        <v>1370</v>
      </c>
      <c r="B12" s="5" t="s">
        <v>1889</v>
      </c>
      <c r="C12" s="5" t="s">
        <v>1890</v>
      </c>
      <c r="D12" s="5" t="s">
        <v>127</v>
      </c>
      <c r="E12" s="5" t="s">
        <v>127</v>
      </c>
      <c r="F12" s="5" t="s">
        <v>1730</v>
      </c>
    </row>
    <row r="13" spans="1:7" ht="36" customHeight="1" x14ac:dyDescent="0.35">
      <c r="A13" s="5" t="s">
        <v>1370</v>
      </c>
      <c r="B13" s="5" t="s">
        <v>1891</v>
      </c>
      <c r="C13" s="5" t="s">
        <v>1881</v>
      </c>
      <c r="D13" s="5" t="s">
        <v>127</v>
      </c>
      <c r="E13" s="5" t="s">
        <v>127</v>
      </c>
      <c r="F13" s="5" t="s">
        <v>1730</v>
      </c>
    </row>
    <row r="14" spans="1:7" x14ac:dyDescent="0.35">
      <c r="A14" s="5" t="s">
        <v>1892</v>
      </c>
      <c r="B14" s="5" t="s">
        <v>1893</v>
      </c>
      <c r="C14" s="5" t="s">
        <v>1894</v>
      </c>
      <c r="D14" s="5" t="s">
        <v>127</v>
      </c>
      <c r="E14" s="5" t="s">
        <v>127</v>
      </c>
      <c r="F14" s="5" t="s">
        <v>1730</v>
      </c>
    </row>
    <row r="15" spans="1:7" x14ac:dyDescent="0.35">
      <c r="A15" s="5" t="s">
        <v>1892</v>
      </c>
      <c r="B15" s="5" t="s">
        <v>1895</v>
      </c>
      <c r="C15" s="5" t="s">
        <v>1896</v>
      </c>
      <c r="D15" s="5" t="s">
        <v>127</v>
      </c>
      <c r="E15" s="5" t="s">
        <v>127</v>
      </c>
      <c r="F15" s="5" t="s">
        <v>1730</v>
      </c>
    </row>
    <row r="16" spans="1:7" ht="26" customHeight="1" x14ac:dyDescent="0.35">
      <c r="A16" s="5" t="s">
        <v>1892</v>
      </c>
      <c r="B16" s="5" t="s">
        <v>1897</v>
      </c>
      <c r="C16" s="5" t="s">
        <v>1881</v>
      </c>
      <c r="D16" s="5" t="s">
        <v>127</v>
      </c>
      <c r="E16" s="5" t="s">
        <v>127</v>
      </c>
      <c r="F16" s="5" t="s">
        <v>1730</v>
      </c>
    </row>
    <row r="17" spans="1:6" ht="26" customHeight="1" x14ac:dyDescent="0.35">
      <c r="A17" s="5" t="s">
        <v>1898</v>
      </c>
      <c r="B17" s="5" t="s">
        <v>1899</v>
      </c>
      <c r="C17" s="5" t="s">
        <v>1900</v>
      </c>
      <c r="D17" s="5" t="s">
        <v>127</v>
      </c>
      <c r="E17" s="5" t="s">
        <v>127</v>
      </c>
      <c r="F17" s="5" t="s">
        <v>1730</v>
      </c>
    </row>
    <row r="18" spans="1:6" x14ac:dyDescent="0.35">
      <c r="A18" s="5" t="s">
        <v>1901</v>
      </c>
      <c r="B18" s="5" t="s">
        <v>1902</v>
      </c>
      <c r="C18" s="5" t="s">
        <v>1903</v>
      </c>
      <c r="D18" s="5" t="s">
        <v>127</v>
      </c>
      <c r="E18" s="5" t="s">
        <v>127</v>
      </c>
      <c r="F18" s="5" t="s">
        <v>1730</v>
      </c>
    </row>
    <row r="19" spans="1:6" ht="39" customHeight="1" x14ac:dyDescent="0.35">
      <c r="A19" s="5" t="s">
        <v>1904</v>
      </c>
      <c r="B19" s="5" t="s">
        <v>1905</v>
      </c>
      <c r="C19" s="5" t="s">
        <v>1906</v>
      </c>
      <c r="D19" s="5" t="s">
        <v>127</v>
      </c>
      <c r="E19" s="5" t="s">
        <v>1721</v>
      </c>
      <c r="F19" s="5" t="s">
        <v>1907</v>
      </c>
    </row>
  </sheetData>
  <mergeCells count="1">
    <mergeCell ref="A2:G2"/>
  </mergeCells>
  <pageMargins left="0.75" right="0.75" top="1" bottom="1" header="0.5" footer="0.5"/>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11"/>
  <sheetViews>
    <sheetView showGridLines="0" workbookViewId="0">
      <pane ySplit="3" topLeftCell="A4" activePane="bottomLeft" state="frozen"/>
      <selection pane="bottomLeft"/>
    </sheetView>
  </sheetViews>
  <sheetFormatPr defaultRowHeight="14.5" x14ac:dyDescent="0.35"/>
  <cols>
    <col min="1" max="2" width="55" customWidth="1"/>
    <col min="3" max="3" width="62" customWidth="1"/>
    <col min="4" max="4" width="12" customWidth="1"/>
    <col min="5" max="5" width="60" customWidth="1"/>
  </cols>
  <sheetData>
    <row r="1" spans="1:7" ht="28" customHeight="1" x14ac:dyDescent="0.5">
      <c r="A1" s="1" t="s">
        <v>1908</v>
      </c>
    </row>
    <row r="2" spans="1:7" ht="32" customHeight="1" x14ac:dyDescent="0.35">
      <c r="A2" s="56" t="s">
        <v>1909</v>
      </c>
      <c r="B2" s="55"/>
      <c r="C2" s="55"/>
      <c r="D2" s="55"/>
      <c r="E2" s="55"/>
      <c r="F2" s="55"/>
      <c r="G2" s="55"/>
    </row>
    <row r="3" spans="1:7" x14ac:dyDescent="0.35">
      <c r="A3" s="3" t="s">
        <v>1910</v>
      </c>
      <c r="B3" s="3" t="s">
        <v>1911</v>
      </c>
      <c r="C3" s="3" t="s">
        <v>1912</v>
      </c>
      <c r="D3" s="3" t="s">
        <v>1714</v>
      </c>
      <c r="E3" s="3" t="s">
        <v>1715</v>
      </c>
    </row>
    <row r="4" spans="1:7" ht="36" customHeight="1" x14ac:dyDescent="0.35">
      <c r="A4" s="5" t="s">
        <v>1913</v>
      </c>
      <c r="B4" s="5" t="s">
        <v>1914</v>
      </c>
      <c r="C4" s="5" t="s">
        <v>1720</v>
      </c>
      <c r="D4" s="5" t="s">
        <v>127</v>
      </c>
      <c r="E4" s="5" t="s">
        <v>1730</v>
      </c>
    </row>
    <row r="5" spans="1:7" ht="36" customHeight="1" x14ac:dyDescent="0.35">
      <c r="A5" s="5" t="s">
        <v>1915</v>
      </c>
      <c r="B5" s="5" t="s">
        <v>1916</v>
      </c>
      <c r="C5" s="5" t="s">
        <v>1917</v>
      </c>
      <c r="D5" s="5" t="s">
        <v>1721</v>
      </c>
      <c r="E5" s="5" t="s">
        <v>1918</v>
      </c>
    </row>
    <row r="6" spans="1:7" ht="36" customHeight="1" x14ac:dyDescent="0.35">
      <c r="A6" s="5" t="s">
        <v>1919</v>
      </c>
      <c r="B6" s="5" t="s">
        <v>1920</v>
      </c>
      <c r="C6" s="5" t="s">
        <v>1720</v>
      </c>
      <c r="D6" s="5" t="s">
        <v>1721</v>
      </c>
      <c r="E6" s="5" t="s">
        <v>1921</v>
      </c>
    </row>
    <row r="7" spans="1:7" ht="36" customHeight="1" x14ac:dyDescent="0.35">
      <c r="A7" s="5" t="s">
        <v>1922</v>
      </c>
      <c r="B7" s="5" t="s">
        <v>1923</v>
      </c>
      <c r="C7" s="5" t="s">
        <v>1720</v>
      </c>
      <c r="D7" s="5" t="s">
        <v>127</v>
      </c>
      <c r="E7" s="5" t="s">
        <v>1924</v>
      </c>
    </row>
    <row r="8" spans="1:7" ht="36" customHeight="1" x14ac:dyDescent="0.35">
      <c r="A8" s="5" t="s">
        <v>1925</v>
      </c>
      <c r="B8" s="5" t="s">
        <v>1926</v>
      </c>
      <c r="C8" s="5" t="s">
        <v>1720</v>
      </c>
      <c r="D8" s="5" t="s">
        <v>1721</v>
      </c>
      <c r="E8" s="5" t="s">
        <v>1927</v>
      </c>
    </row>
    <row r="9" spans="1:7" ht="36" customHeight="1" x14ac:dyDescent="0.35">
      <c r="A9" s="5" t="s">
        <v>1928</v>
      </c>
      <c r="B9" s="5" t="s">
        <v>1929</v>
      </c>
      <c r="C9" s="5" t="s">
        <v>1720</v>
      </c>
      <c r="D9" s="5" t="s">
        <v>1721</v>
      </c>
      <c r="E9" s="5" t="s">
        <v>1930</v>
      </c>
    </row>
    <row r="10" spans="1:7" ht="36" customHeight="1" x14ac:dyDescent="0.35">
      <c r="A10" s="5" t="s">
        <v>1931</v>
      </c>
      <c r="B10" s="5" t="s">
        <v>1932</v>
      </c>
      <c r="C10" s="5" t="s">
        <v>1933</v>
      </c>
      <c r="D10" s="5" t="s">
        <v>127</v>
      </c>
      <c r="E10" s="5" t="s">
        <v>1934</v>
      </c>
    </row>
    <row r="11" spans="1:7" ht="36" customHeight="1" x14ac:dyDescent="0.35">
      <c r="A11" s="5" t="s">
        <v>1935</v>
      </c>
      <c r="B11" s="5" t="s">
        <v>1936</v>
      </c>
      <c r="C11" s="5" t="s">
        <v>1720</v>
      </c>
      <c r="D11" s="5" t="s">
        <v>1721</v>
      </c>
      <c r="E11" s="5" t="s">
        <v>1937</v>
      </c>
    </row>
  </sheetData>
  <mergeCells count="1">
    <mergeCell ref="A2:G2"/>
  </mergeCells>
  <pageMargins left="0.75" right="0.75" top="1" bottom="1" header="0.5" footer="0.5"/>
  <pageSetup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48" customWidth="1"/>
    <col min="2" max="2" width="55" customWidth="1"/>
    <col min="3" max="3" width="22" customWidth="1"/>
    <col min="4" max="4" width="12" customWidth="1"/>
    <col min="5" max="6" width="44" customWidth="1"/>
    <col min="7" max="7" width="60" customWidth="1"/>
    <col min="8" max="8" width="30" customWidth="1"/>
  </cols>
  <sheetData>
    <row r="1" spans="1:8" ht="28" customHeight="1" x14ac:dyDescent="0.5">
      <c r="A1" s="1" t="s">
        <v>1938</v>
      </c>
    </row>
    <row r="2" spans="1:8" ht="32" customHeight="1" x14ac:dyDescent="0.35">
      <c r="A2" s="56" t="s">
        <v>1939</v>
      </c>
      <c r="B2" s="55"/>
      <c r="C2" s="55"/>
      <c r="D2" s="55"/>
      <c r="E2" s="55"/>
      <c r="F2" s="55"/>
      <c r="G2" s="55"/>
    </row>
    <row r="3" spans="1:8" x14ac:dyDescent="0.35">
      <c r="A3" s="3" t="s">
        <v>1940</v>
      </c>
      <c r="B3" s="3" t="s">
        <v>1941</v>
      </c>
      <c r="C3" s="3" t="s">
        <v>1912</v>
      </c>
      <c r="D3" s="3" t="s">
        <v>1714</v>
      </c>
      <c r="E3" s="3" t="s">
        <v>1942</v>
      </c>
      <c r="F3" s="3" t="s">
        <v>1943</v>
      </c>
      <c r="G3" s="3" t="s">
        <v>1715</v>
      </c>
      <c r="H3" s="3" t="s">
        <v>1944</v>
      </c>
    </row>
    <row r="4" spans="1:8" ht="36" customHeight="1" x14ac:dyDescent="0.35">
      <c r="A4" s="5" t="s">
        <v>1945</v>
      </c>
      <c r="B4" s="5" t="s">
        <v>1946</v>
      </c>
      <c r="C4" s="5" t="s">
        <v>1947</v>
      </c>
      <c r="D4" s="5" t="s">
        <v>1721</v>
      </c>
      <c r="E4" s="5" t="s">
        <v>1948</v>
      </c>
      <c r="F4" s="5" t="s">
        <v>1949</v>
      </c>
      <c r="G4" s="5" t="s">
        <v>1947</v>
      </c>
      <c r="H4" s="5" t="s">
        <v>1950</v>
      </c>
    </row>
    <row r="5" spans="1:8" ht="36" customHeight="1" x14ac:dyDescent="0.35">
      <c r="A5" s="5" t="s">
        <v>1951</v>
      </c>
      <c r="B5" s="5" t="s">
        <v>1946</v>
      </c>
      <c r="C5" s="5" t="s">
        <v>1952</v>
      </c>
      <c r="D5" s="5" t="s">
        <v>1721</v>
      </c>
      <c r="E5" s="5" t="s">
        <v>1953</v>
      </c>
      <c r="F5" s="5" t="s">
        <v>1954</v>
      </c>
      <c r="G5" s="5" t="s">
        <v>1952</v>
      </c>
      <c r="H5" s="5" t="s">
        <v>1950</v>
      </c>
    </row>
    <row r="6" spans="1:8" ht="36" customHeight="1" x14ac:dyDescent="0.35">
      <c r="A6" s="5" t="s">
        <v>1955</v>
      </c>
      <c r="B6" s="5" t="s">
        <v>1946</v>
      </c>
      <c r="C6" s="5" t="s">
        <v>1956</v>
      </c>
      <c r="D6" s="5" t="s">
        <v>1721</v>
      </c>
      <c r="E6" s="5" t="s">
        <v>1957</v>
      </c>
      <c r="F6" s="5" t="s">
        <v>1958</v>
      </c>
      <c r="G6" s="5" t="s">
        <v>1956</v>
      </c>
      <c r="H6" s="5" t="s">
        <v>1950</v>
      </c>
    </row>
    <row r="7" spans="1:8" ht="36" customHeight="1" x14ac:dyDescent="0.35">
      <c r="A7" s="5" t="s">
        <v>1959</v>
      </c>
      <c r="B7" s="5" t="s">
        <v>1946</v>
      </c>
      <c r="C7" s="5" t="s">
        <v>1720</v>
      </c>
      <c r="D7" s="5" t="s">
        <v>127</v>
      </c>
      <c r="E7" s="5" t="s">
        <v>1960</v>
      </c>
      <c r="F7" s="5" t="s">
        <v>1961</v>
      </c>
      <c r="G7" s="5" t="s">
        <v>1730</v>
      </c>
      <c r="H7" s="5" t="s">
        <v>1962</v>
      </c>
    </row>
    <row r="8" spans="1:8" ht="36" customHeight="1" x14ac:dyDescent="0.35">
      <c r="A8" s="5" t="s">
        <v>1963</v>
      </c>
      <c r="B8" s="5" t="s">
        <v>1946</v>
      </c>
      <c r="C8" s="5" t="s">
        <v>1964</v>
      </c>
      <c r="D8" s="5" t="s">
        <v>1721</v>
      </c>
      <c r="E8" s="5" t="s">
        <v>1965</v>
      </c>
      <c r="F8" s="5" t="s">
        <v>1966</v>
      </c>
      <c r="G8" s="5" t="s">
        <v>1964</v>
      </c>
      <c r="H8" s="5" t="s">
        <v>1950</v>
      </c>
    </row>
    <row r="9" spans="1:8" ht="36" customHeight="1" x14ac:dyDescent="0.35">
      <c r="A9" s="5" t="s">
        <v>1967</v>
      </c>
      <c r="B9" s="5" t="s">
        <v>1946</v>
      </c>
      <c r="C9" s="5" t="s">
        <v>1968</v>
      </c>
      <c r="D9" s="5" t="s">
        <v>1721</v>
      </c>
      <c r="E9" s="5" t="s">
        <v>1969</v>
      </c>
      <c r="F9" s="5" t="s">
        <v>1970</v>
      </c>
      <c r="G9" s="5" t="s">
        <v>1968</v>
      </c>
      <c r="H9" s="5" t="s">
        <v>1950</v>
      </c>
    </row>
    <row r="10" spans="1:8" ht="36" customHeight="1" x14ac:dyDescent="0.35">
      <c r="A10" s="5" t="s">
        <v>1971</v>
      </c>
      <c r="B10" s="5" t="s">
        <v>1946</v>
      </c>
      <c r="C10" s="5" t="s">
        <v>1720</v>
      </c>
      <c r="D10" s="5" t="s">
        <v>127</v>
      </c>
      <c r="E10" s="5" t="s">
        <v>1972</v>
      </c>
      <c r="F10" s="5" t="s">
        <v>1973</v>
      </c>
      <c r="G10" s="5" t="s">
        <v>1730</v>
      </c>
      <c r="H10" s="5" t="s">
        <v>1962</v>
      </c>
    </row>
    <row r="11" spans="1:8" ht="36" customHeight="1" x14ac:dyDescent="0.35">
      <c r="A11" s="5" t="s">
        <v>1974</v>
      </c>
      <c r="B11" s="5" t="s">
        <v>1946</v>
      </c>
      <c r="C11" s="5" t="s">
        <v>1720</v>
      </c>
      <c r="D11" s="5" t="s">
        <v>127</v>
      </c>
      <c r="E11" s="5" t="s">
        <v>1975</v>
      </c>
      <c r="F11" s="5" t="s">
        <v>1976</v>
      </c>
      <c r="G11" s="5" t="s">
        <v>1730</v>
      </c>
      <c r="H11" s="5" t="s">
        <v>1962</v>
      </c>
    </row>
    <row r="12" spans="1:8" ht="36" customHeight="1" x14ac:dyDescent="0.35">
      <c r="A12" s="5" t="s">
        <v>1977</v>
      </c>
      <c r="B12" s="5" t="s">
        <v>1946</v>
      </c>
      <c r="C12" s="5" t="s">
        <v>1720</v>
      </c>
      <c r="D12" s="5" t="s">
        <v>127</v>
      </c>
      <c r="E12" s="5" t="s">
        <v>1978</v>
      </c>
      <c r="F12" s="5" t="s">
        <v>1979</v>
      </c>
      <c r="G12" s="5" t="s">
        <v>1730</v>
      </c>
      <c r="H12" s="5" t="s">
        <v>1962</v>
      </c>
    </row>
    <row r="13" spans="1:8" ht="36" customHeight="1" x14ac:dyDescent="0.35">
      <c r="A13" s="5" t="s">
        <v>1980</v>
      </c>
      <c r="B13" s="5" t="s">
        <v>1946</v>
      </c>
      <c r="C13" s="5" t="s">
        <v>1720</v>
      </c>
      <c r="D13" s="5" t="s">
        <v>127</v>
      </c>
      <c r="E13" s="5" t="s">
        <v>1981</v>
      </c>
      <c r="F13" s="5" t="s">
        <v>1982</v>
      </c>
      <c r="G13" s="5" t="s">
        <v>1983</v>
      </c>
      <c r="H13" s="5" t="s">
        <v>1962</v>
      </c>
    </row>
  </sheetData>
  <mergeCells count="1">
    <mergeCell ref="A2:G2"/>
  </mergeCells>
  <pageMargins left="0.75" right="0.75" top="1" bottom="1" header="0.5" footer="0.5"/>
  <pageSetup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14"/>
  <sheetViews>
    <sheetView showGridLines="0" workbookViewId="0">
      <pane ySplit="3" topLeftCell="A4" activePane="bottomLeft" state="frozen"/>
      <selection pane="bottomLeft"/>
    </sheetView>
  </sheetViews>
  <sheetFormatPr defaultRowHeight="14.5" x14ac:dyDescent="0.35"/>
  <cols>
    <col min="1" max="1" width="32" customWidth="1"/>
    <col min="2" max="2" width="48" customWidth="1"/>
    <col min="3" max="3" width="62" customWidth="1"/>
    <col min="4" max="4" width="12" customWidth="1"/>
  </cols>
  <sheetData>
    <row r="1" spans="1:7" ht="28" customHeight="1" x14ac:dyDescent="0.5">
      <c r="A1" s="1" t="s">
        <v>1984</v>
      </c>
    </row>
    <row r="2" spans="1:7" ht="32" customHeight="1" x14ac:dyDescent="0.35">
      <c r="A2" s="56" t="s">
        <v>1985</v>
      </c>
      <c r="B2" s="55"/>
      <c r="C2" s="55"/>
      <c r="D2" s="55"/>
      <c r="E2" s="55"/>
      <c r="F2" s="55"/>
      <c r="G2" s="55"/>
    </row>
    <row r="3" spans="1:7" x14ac:dyDescent="0.35">
      <c r="A3" s="3" t="s">
        <v>1986</v>
      </c>
      <c r="B3" s="3" t="s">
        <v>1987</v>
      </c>
      <c r="C3" s="3" t="s">
        <v>1912</v>
      </c>
      <c r="D3" s="3" t="s">
        <v>1988</v>
      </c>
    </row>
    <row r="4" spans="1:7" ht="36" customHeight="1" x14ac:dyDescent="0.35">
      <c r="A4" s="5" t="s">
        <v>1989</v>
      </c>
      <c r="B4" s="5" t="s">
        <v>1990</v>
      </c>
      <c r="C4" s="5" t="s">
        <v>1991</v>
      </c>
      <c r="D4" s="5" t="s">
        <v>127</v>
      </c>
    </row>
    <row r="5" spans="1:7" ht="36" customHeight="1" x14ac:dyDescent="0.35">
      <c r="A5" s="5" t="s">
        <v>1992</v>
      </c>
      <c r="B5" s="5" t="s">
        <v>1993</v>
      </c>
      <c r="C5" s="5" t="s">
        <v>1720</v>
      </c>
      <c r="D5" s="5" t="s">
        <v>127</v>
      </c>
    </row>
    <row r="6" spans="1:7" ht="36" customHeight="1" x14ac:dyDescent="0.35">
      <c r="A6" s="5" t="s">
        <v>1994</v>
      </c>
      <c r="B6" s="5" t="s">
        <v>1995</v>
      </c>
      <c r="C6" s="5" t="s">
        <v>1720</v>
      </c>
      <c r="D6" s="5" t="s">
        <v>127</v>
      </c>
    </row>
    <row r="7" spans="1:7" ht="36" customHeight="1" x14ac:dyDescent="0.35">
      <c r="A7" s="5" t="s">
        <v>1996</v>
      </c>
      <c r="B7" s="5" t="s">
        <v>1997</v>
      </c>
      <c r="C7" s="5" t="s">
        <v>1998</v>
      </c>
      <c r="D7" s="5" t="s">
        <v>1721</v>
      </c>
    </row>
    <row r="8" spans="1:7" ht="36" customHeight="1" x14ac:dyDescent="0.35">
      <c r="A8" s="5" t="s">
        <v>1999</v>
      </c>
      <c r="B8" s="5" t="s">
        <v>2000</v>
      </c>
      <c r="C8" s="5" t="s">
        <v>2001</v>
      </c>
      <c r="D8" s="5" t="s">
        <v>1721</v>
      </c>
    </row>
    <row r="9" spans="1:7" ht="36" customHeight="1" x14ac:dyDescent="0.35">
      <c r="A9" s="5" t="s">
        <v>2002</v>
      </c>
      <c r="B9" s="5" t="s">
        <v>2003</v>
      </c>
      <c r="C9" s="5" t="s">
        <v>2004</v>
      </c>
      <c r="D9" s="5" t="s">
        <v>1721</v>
      </c>
    </row>
    <row r="10" spans="1:7" ht="36" customHeight="1" x14ac:dyDescent="0.35">
      <c r="A10" s="5" t="s">
        <v>2005</v>
      </c>
      <c r="B10" s="5" t="s">
        <v>1995</v>
      </c>
      <c r="C10" s="5" t="s">
        <v>1720</v>
      </c>
      <c r="D10" s="5" t="s">
        <v>127</v>
      </c>
    </row>
    <row r="11" spans="1:7" ht="36" customHeight="1" x14ac:dyDescent="0.35">
      <c r="A11" s="5" t="s">
        <v>2006</v>
      </c>
      <c r="B11" s="5" t="s">
        <v>2007</v>
      </c>
      <c r="C11" s="5" t="s">
        <v>1720</v>
      </c>
      <c r="D11" s="5" t="s">
        <v>127</v>
      </c>
    </row>
    <row r="12" spans="1:7" ht="36" customHeight="1" x14ac:dyDescent="0.35">
      <c r="A12" s="5" t="s">
        <v>2008</v>
      </c>
      <c r="B12" s="5" t="s">
        <v>1995</v>
      </c>
      <c r="C12" s="5" t="s">
        <v>1720</v>
      </c>
      <c r="D12" s="5" t="s">
        <v>127</v>
      </c>
    </row>
    <row r="13" spans="1:7" ht="36" customHeight="1" x14ac:dyDescent="0.35">
      <c r="A13" s="5" t="s">
        <v>2009</v>
      </c>
      <c r="B13" s="5" t="s">
        <v>2010</v>
      </c>
      <c r="C13" s="5" t="s">
        <v>2011</v>
      </c>
      <c r="D13" s="5" t="s">
        <v>127</v>
      </c>
    </row>
    <row r="14" spans="1:7" ht="36" customHeight="1" x14ac:dyDescent="0.35">
      <c r="A14" s="5" t="s">
        <v>2012</v>
      </c>
      <c r="B14" s="5" t="s">
        <v>2013</v>
      </c>
      <c r="C14" s="5" t="s">
        <v>2014</v>
      </c>
      <c r="D14" s="5" t="s">
        <v>127</v>
      </c>
    </row>
  </sheetData>
  <mergeCells count="1">
    <mergeCell ref="A2:G2"/>
  </mergeCells>
  <pageMargins left="0.75" right="0.75" top="1" bottom="1" header="0.5" footer="0.5"/>
  <pageSetup orientation="landscape"/>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36" customWidth="1"/>
    <col min="2" max="4" width="18" customWidth="1"/>
    <col min="5" max="5" width="12" customWidth="1"/>
    <col min="6" max="6" width="38" customWidth="1"/>
    <col min="7" max="7" width="56" customWidth="1"/>
    <col min="8" max="8" width="14" customWidth="1"/>
  </cols>
  <sheetData>
    <row r="1" spans="1:8" ht="28" customHeight="1" x14ac:dyDescent="0.5">
      <c r="A1" s="1" t="s">
        <v>2015</v>
      </c>
    </row>
    <row r="2" spans="1:8" ht="32" customHeight="1" x14ac:dyDescent="0.35">
      <c r="A2" s="56" t="s">
        <v>2016</v>
      </c>
      <c r="B2" s="55"/>
      <c r="C2" s="55"/>
      <c r="D2" s="55"/>
      <c r="E2" s="55"/>
      <c r="F2" s="55"/>
      <c r="G2" s="55"/>
    </row>
    <row r="3" spans="1:8" x14ac:dyDescent="0.35">
      <c r="A3" s="3" t="s">
        <v>2017</v>
      </c>
      <c r="B3" s="3" t="s">
        <v>2018</v>
      </c>
      <c r="C3" s="3" t="s">
        <v>2019</v>
      </c>
      <c r="D3" s="3" t="s">
        <v>2020</v>
      </c>
      <c r="E3" s="3" t="s">
        <v>1714</v>
      </c>
      <c r="F3" s="3" t="s">
        <v>2021</v>
      </c>
      <c r="G3" s="3" t="s">
        <v>1715</v>
      </c>
      <c r="H3" s="3" t="s">
        <v>760</v>
      </c>
    </row>
    <row r="4" spans="1:8" ht="36" customHeight="1" x14ac:dyDescent="0.35">
      <c r="A4" s="5" t="s">
        <v>2022</v>
      </c>
      <c r="B4" s="5" t="s">
        <v>1720</v>
      </c>
      <c r="C4" s="5" t="s">
        <v>1720</v>
      </c>
      <c r="D4" s="5" t="s">
        <v>1720</v>
      </c>
      <c r="E4" s="5" t="s">
        <v>127</v>
      </c>
      <c r="F4" s="5" t="s">
        <v>2023</v>
      </c>
      <c r="G4" s="5" t="s">
        <v>1784</v>
      </c>
      <c r="H4" s="5" t="s">
        <v>2024</v>
      </c>
    </row>
    <row r="5" spans="1:8" ht="36" customHeight="1" x14ac:dyDescent="0.35">
      <c r="A5" s="5" t="s">
        <v>2025</v>
      </c>
      <c r="B5" s="5" t="s">
        <v>1720</v>
      </c>
      <c r="C5" s="5" t="s">
        <v>1720</v>
      </c>
      <c r="D5" s="5" t="s">
        <v>1720</v>
      </c>
      <c r="E5" s="5" t="s">
        <v>127</v>
      </c>
      <c r="F5" s="5" t="s">
        <v>2026</v>
      </c>
      <c r="G5" s="5" t="s">
        <v>2027</v>
      </c>
      <c r="H5" s="5" t="s">
        <v>2024</v>
      </c>
    </row>
    <row r="6" spans="1:8" ht="36" customHeight="1" x14ac:dyDescent="0.35">
      <c r="A6" s="5" t="s">
        <v>2028</v>
      </c>
      <c r="B6" s="5" t="s">
        <v>1720</v>
      </c>
      <c r="C6" s="5" t="s">
        <v>1720</v>
      </c>
      <c r="D6" s="5" t="s">
        <v>1720</v>
      </c>
      <c r="E6" s="5" t="s">
        <v>127</v>
      </c>
      <c r="F6" s="5" t="s">
        <v>2029</v>
      </c>
      <c r="G6" s="5" t="s">
        <v>2030</v>
      </c>
      <c r="H6" s="5" t="s">
        <v>2024</v>
      </c>
    </row>
    <row r="7" spans="1:8" ht="36" customHeight="1" x14ac:dyDescent="0.35">
      <c r="A7" s="5" t="s">
        <v>2031</v>
      </c>
      <c r="B7" s="5" t="s">
        <v>1720</v>
      </c>
      <c r="C7" s="5" t="s">
        <v>1720</v>
      </c>
      <c r="D7" s="5" t="s">
        <v>1720</v>
      </c>
      <c r="E7" s="5" t="s">
        <v>127</v>
      </c>
      <c r="F7" s="5" t="s">
        <v>2032</v>
      </c>
      <c r="G7" s="5" t="s">
        <v>1730</v>
      </c>
      <c r="H7" s="5" t="s">
        <v>2024</v>
      </c>
    </row>
    <row r="8" spans="1:8" ht="36" customHeight="1" x14ac:dyDescent="0.35">
      <c r="A8" s="5" t="s">
        <v>2033</v>
      </c>
      <c r="B8" s="5" t="s">
        <v>1720</v>
      </c>
      <c r="C8" s="5" t="s">
        <v>1720</v>
      </c>
      <c r="D8" s="5" t="s">
        <v>1720</v>
      </c>
      <c r="E8" s="5" t="s">
        <v>127</v>
      </c>
      <c r="F8" s="5" t="s">
        <v>2034</v>
      </c>
      <c r="G8" s="5" t="s">
        <v>1730</v>
      </c>
      <c r="H8" s="5" t="s">
        <v>2024</v>
      </c>
    </row>
    <row r="9" spans="1:8" ht="36" customHeight="1" x14ac:dyDescent="0.35">
      <c r="A9" s="5" t="s">
        <v>2035</v>
      </c>
      <c r="B9" s="5" t="s">
        <v>1720</v>
      </c>
      <c r="C9" s="5" t="s">
        <v>1720</v>
      </c>
      <c r="D9" s="5" t="s">
        <v>1720</v>
      </c>
      <c r="E9" s="5" t="s">
        <v>127</v>
      </c>
      <c r="F9" s="5" t="s">
        <v>2036</v>
      </c>
      <c r="G9" s="5" t="s">
        <v>2037</v>
      </c>
      <c r="H9" s="5" t="s">
        <v>2024</v>
      </c>
    </row>
    <row r="10" spans="1:8" ht="36" customHeight="1" x14ac:dyDescent="0.35">
      <c r="A10" s="5" t="s">
        <v>2038</v>
      </c>
      <c r="B10" s="5" t="s">
        <v>1720</v>
      </c>
      <c r="C10" s="5" t="s">
        <v>1720</v>
      </c>
      <c r="D10" s="5" t="s">
        <v>1720</v>
      </c>
      <c r="E10" s="5" t="s">
        <v>127</v>
      </c>
      <c r="F10" s="5" t="s">
        <v>2039</v>
      </c>
      <c r="G10" s="5" t="s">
        <v>1730</v>
      </c>
      <c r="H10" s="5" t="s">
        <v>2024</v>
      </c>
    </row>
    <row r="11" spans="1:8" ht="36" customHeight="1" x14ac:dyDescent="0.35">
      <c r="A11" s="5" t="s">
        <v>2040</v>
      </c>
      <c r="B11" s="5" t="s">
        <v>1720</v>
      </c>
      <c r="C11" s="5" t="s">
        <v>1720</v>
      </c>
      <c r="D11" s="5" t="s">
        <v>1720</v>
      </c>
      <c r="E11" s="5" t="s">
        <v>127</v>
      </c>
      <c r="F11" s="5" t="s">
        <v>2041</v>
      </c>
      <c r="G11" s="5" t="s">
        <v>1784</v>
      </c>
      <c r="H11" s="5" t="s">
        <v>2024</v>
      </c>
    </row>
    <row r="12" spans="1:8" ht="36" customHeight="1" x14ac:dyDescent="0.35">
      <c r="A12" s="5" t="s">
        <v>2042</v>
      </c>
      <c r="B12" s="5" t="s">
        <v>1720</v>
      </c>
      <c r="C12" s="5" t="s">
        <v>1720</v>
      </c>
      <c r="D12" s="5" t="s">
        <v>1720</v>
      </c>
      <c r="E12" s="5" t="s">
        <v>127</v>
      </c>
      <c r="F12" s="5" t="s">
        <v>2043</v>
      </c>
      <c r="G12" s="5" t="s">
        <v>1784</v>
      </c>
      <c r="H12" s="5" t="s">
        <v>2024</v>
      </c>
    </row>
    <row r="13" spans="1:8" ht="36" customHeight="1" x14ac:dyDescent="0.35">
      <c r="A13" s="5" t="s">
        <v>2044</v>
      </c>
      <c r="B13" s="5" t="s">
        <v>1720</v>
      </c>
      <c r="C13" s="5" t="s">
        <v>1720</v>
      </c>
      <c r="D13" s="5" t="s">
        <v>1720</v>
      </c>
      <c r="E13" s="5" t="s">
        <v>127</v>
      </c>
      <c r="F13" s="5" t="s">
        <v>2045</v>
      </c>
      <c r="G13" s="5" t="s">
        <v>2046</v>
      </c>
      <c r="H13" s="5" t="s">
        <v>2024</v>
      </c>
    </row>
  </sheetData>
  <mergeCells count="1">
    <mergeCell ref="A2:G2"/>
  </mergeCells>
  <pageMargins left="0.75" right="0.75" top="1" bottom="1" header="0.5" footer="0.5"/>
  <pageSetup orientation="landscape"/>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16"/>
  <sheetViews>
    <sheetView showGridLines="0" workbookViewId="0">
      <pane ySplit="3" topLeftCell="A4" activePane="bottomLeft" state="frozen"/>
      <selection pane="bottomLeft"/>
    </sheetView>
  </sheetViews>
  <sheetFormatPr defaultRowHeight="14.5" x14ac:dyDescent="0.35"/>
  <cols>
    <col min="1" max="1" width="28" customWidth="1"/>
    <col min="2" max="2" width="16" customWidth="1"/>
    <col min="3" max="3" width="20" customWidth="1"/>
    <col min="4" max="5" width="14" customWidth="1"/>
    <col min="6" max="7" width="12" customWidth="1"/>
    <col min="8" max="8" width="16" customWidth="1"/>
    <col min="9" max="9" width="32" customWidth="1"/>
    <col min="10" max="10" width="56" customWidth="1"/>
  </cols>
  <sheetData>
    <row r="1" spans="1:10" ht="28" customHeight="1" x14ac:dyDescent="0.5">
      <c r="A1" s="1" t="s">
        <v>2047</v>
      </c>
    </row>
    <row r="2" spans="1:10" ht="32" customHeight="1" x14ac:dyDescent="0.35">
      <c r="A2" s="56" t="s">
        <v>2048</v>
      </c>
      <c r="B2" s="55"/>
      <c r="C2" s="55"/>
      <c r="D2" s="55"/>
      <c r="E2" s="55"/>
      <c r="F2" s="55"/>
      <c r="G2" s="55"/>
    </row>
    <row r="3" spans="1:10" x14ac:dyDescent="0.35">
      <c r="A3" s="3" t="s">
        <v>2049</v>
      </c>
      <c r="B3" s="3" t="s">
        <v>2050</v>
      </c>
      <c r="C3" s="3" t="s">
        <v>2051</v>
      </c>
      <c r="D3" s="3" t="s">
        <v>2052</v>
      </c>
      <c r="E3" s="3" t="s">
        <v>2053</v>
      </c>
      <c r="F3" s="3" t="s">
        <v>2054</v>
      </c>
      <c r="G3" s="3" t="s">
        <v>2055</v>
      </c>
      <c r="H3" s="3" t="s">
        <v>2056</v>
      </c>
      <c r="I3" s="3" t="s">
        <v>2057</v>
      </c>
      <c r="J3" s="3" t="s">
        <v>2058</v>
      </c>
    </row>
    <row r="4" spans="1:10" ht="36" customHeight="1" x14ac:dyDescent="0.35">
      <c r="A4" s="5" t="s">
        <v>2059</v>
      </c>
      <c r="B4" s="5"/>
      <c r="C4" s="5"/>
      <c r="D4" s="5"/>
      <c r="E4" s="5"/>
      <c r="F4" s="5"/>
      <c r="G4" s="5"/>
      <c r="H4" s="5" t="s">
        <v>2060</v>
      </c>
      <c r="I4" s="5" t="s">
        <v>2061</v>
      </c>
      <c r="J4" s="5" t="s">
        <v>2062</v>
      </c>
    </row>
    <row r="5" spans="1:10" ht="36" customHeight="1" x14ac:dyDescent="0.35">
      <c r="A5" s="5" t="s">
        <v>2063</v>
      </c>
      <c r="B5" s="5"/>
      <c r="C5" s="5"/>
      <c r="D5" s="5"/>
      <c r="E5" s="5"/>
      <c r="F5" s="5"/>
      <c r="G5" s="5"/>
      <c r="H5" s="5" t="s">
        <v>2060</v>
      </c>
      <c r="I5" s="5" t="s">
        <v>2064</v>
      </c>
      <c r="J5" s="5" t="s">
        <v>2065</v>
      </c>
    </row>
    <row r="6" spans="1:10" ht="36" customHeight="1" x14ac:dyDescent="0.35">
      <c r="A6" s="5" t="s">
        <v>2066</v>
      </c>
      <c r="B6" s="5"/>
      <c r="C6" s="5"/>
      <c r="D6" s="5"/>
      <c r="E6" s="5"/>
      <c r="F6" s="5"/>
      <c r="G6" s="5"/>
      <c r="H6" s="5" t="s">
        <v>2060</v>
      </c>
      <c r="I6" s="5" t="s">
        <v>2067</v>
      </c>
      <c r="J6" s="5" t="s">
        <v>2068</v>
      </c>
    </row>
    <row r="7" spans="1:10" ht="36" customHeight="1" x14ac:dyDescent="0.35">
      <c r="A7" s="5" t="s">
        <v>2069</v>
      </c>
      <c r="B7" s="5"/>
      <c r="C7" s="5"/>
      <c r="D7" s="5"/>
      <c r="E7" s="5"/>
      <c r="F7" s="5"/>
      <c r="G7" s="5"/>
      <c r="H7" s="5" t="s">
        <v>2060</v>
      </c>
      <c r="I7" s="5" t="s">
        <v>2061</v>
      </c>
      <c r="J7" s="5" t="s">
        <v>2070</v>
      </c>
    </row>
    <row r="8" spans="1:10" ht="36" customHeight="1" x14ac:dyDescent="0.35">
      <c r="A8" s="5" t="s">
        <v>2071</v>
      </c>
      <c r="B8" s="5"/>
      <c r="C8" s="5"/>
      <c r="D8" s="5"/>
      <c r="E8" s="5"/>
      <c r="F8" s="5"/>
      <c r="G8" s="5"/>
      <c r="H8" s="5" t="s">
        <v>2060</v>
      </c>
      <c r="I8" s="5" t="s">
        <v>2072</v>
      </c>
      <c r="J8" s="5" t="s">
        <v>2073</v>
      </c>
    </row>
    <row r="9" spans="1:10" ht="36" customHeight="1" x14ac:dyDescent="0.35">
      <c r="A9" s="5" t="s">
        <v>2074</v>
      </c>
      <c r="B9" s="5"/>
      <c r="C9" s="5"/>
      <c r="D9" s="5"/>
      <c r="E9" s="5"/>
      <c r="F9" s="5"/>
      <c r="G9" s="5"/>
      <c r="H9" s="5" t="s">
        <v>2060</v>
      </c>
      <c r="I9" s="5" t="s">
        <v>2067</v>
      </c>
      <c r="J9" s="5" t="s">
        <v>2075</v>
      </c>
    </row>
    <row r="10" spans="1:10" ht="36" customHeight="1" x14ac:dyDescent="0.35">
      <c r="A10" s="5" t="s">
        <v>2076</v>
      </c>
      <c r="B10" s="5"/>
      <c r="C10" s="5"/>
      <c r="D10" s="5"/>
      <c r="E10" s="5"/>
      <c r="F10" s="5"/>
      <c r="G10" s="5"/>
      <c r="H10" s="5" t="s">
        <v>2060</v>
      </c>
      <c r="I10" s="5" t="s">
        <v>2064</v>
      </c>
      <c r="J10" s="5" t="s">
        <v>2077</v>
      </c>
    </row>
    <row r="11" spans="1:10" ht="36" customHeight="1" x14ac:dyDescent="0.35">
      <c r="A11" s="5" t="s">
        <v>2078</v>
      </c>
      <c r="B11" s="5"/>
      <c r="C11" s="5"/>
      <c r="D11" s="5"/>
      <c r="E11" s="5"/>
      <c r="F11" s="5"/>
      <c r="G11" s="5"/>
      <c r="H11" s="5" t="s">
        <v>2060</v>
      </c>
      <c r="I11" s="5" t="s">
        <v>2061</v>
      </c>
      <c r="J11" s="5" t="s">
        <v>2079</v>
      </c>
    </row>
    <row r="12" spans="1:10" ht="36" customHeight="1" x14ac:dyDescent="0.35">
      <c r="A12" s="5" t="s">
        <v>2080</v>
      </c>
      <c r="B12" s="5"/>
      <c r="C12" s="5"/>
      <c r="D12" s="5"/>
      <c r="E12" s="5"/>
      <c r="F12" s="5"/>
      <c r="G12" s="5"/>
      <c r="H12" s="5" t="s">
        <v>2060</v>
      </c>
      <c r="I12" s="5" t="s">
        <v>2081</v>
      </c>
      <c r="J12" s="5" t="s">
        <v>2082</v>
      </c>
    </row>
    <row r="13" spans="1:10" ht="36" customHeight="1" x14ac:dyDescent="0.35">
      <c r="A13" s="5" t="s">
        <v>2083</v>
      </c>
      <c r="B13" s="5"/>
      <c r="C13" s="5"/>
      <c r="D13" s="5"/>
      <c r="E13" s="5"/>
      <c r="F13" s="5"/>
      <c r="G13" s="5"/>
      <c r="H13" s="5" t="s">
        <v>2060</v>
      </c>
      <c r="I13" s="5" t="s">
        <v>2084</v>
      </c>
      <c r="J13" s="5" t="s">
        <v>2085</v>
      </c>
    </row>
    <row r="14" spans="1:10" ht="36" customHeight="1" x14ac:dyDescent="0.35">
      <c r="A14" s="5" t="s">
        <v>2086</v>
      </c>
      <c r="B14" s="5"/>
      <c r="C14" s="5"/>
      <c r="D14" s="5"/>
      <c r="E14" s="5"/>
      <c r="F14" s="5"/>
      <c r="G14" s="5"/>
      <c r="H14" s="5" t="s">
        <v>2060</v>
      </c>
      <c r="I14" s="5" t="s">
        <v>2087</v>
      </c>
      <c r="J14" s="5" t="s">
        <v>2088</v>
      </c>
    </row>
    <row r="15" spans="1:10" ht="36" customHeight="1" x14ac:dyDescent="0.35">
      <c r="A15" s="5" t="s">
        <v>2089</v>
      </c>
      <c r="B15" s="5"/>
      <c r="C15" s="5"/>
      <c r="D15" s="5"/>
      <c r="E15" s="5"/>
      <c r="F15" s="5"/>
      <c r="G15" s="5"/>
      <c r="H15" s="5" t="s">
        <v>2060</v>
      </c>
      <c r="I15" s="5" t="s">
        <v>2090</v>
      </c>
      <c r="J15" s="5" t="s">
        <v>2091</v>
      </c>
    </row>
    <row r="16" spans="1:10" ht="36" customHeight="1" x14ac:dyDescent="0.35">
      <c r="A16" s="5" t="s">
        <v>2092</v>
      </c>
      <c r="B16" s="5"/>
      <c r="C16" s="5"/>
      <c r="D16" s="5"/>
      <c r="E16" s="5"/>
      <c r="F16" s="5"/>
      <c r="G16" s="5"/>
      <c r="H16" s="5" t="s">
        <v>2060</v>
      </c>
      <c r="I16" s="5" t="s">
        <v>2093</v>
      </c>
      <c r="J16" s="5" t="s">
        <v>2094</v>
      </c>
    </row>
  </sheetData>
  <mergeCells count="1">
    <mergeCell ref="A2:G2"/>
  </mergeCells>
  <pageMargins left="0.75" right="0.75" top="1" bottom="1" header="0.5" footer="0.5"/>
  <pageSetup orientation="landscape"/>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40" customWidth="1"/>
    <col min="2" max="2" width="16" customWidth="1"/>
    <col min="3" max="6" width="18" customWidth="1"/>
    <col min="7" max="7" width="48" customWidth="1"/>
    <col min="8" max="8" width="16" customWidth="1"/>
  </cols>
  <sheetData>
    <row r="1" spans="1:8" ht="28" customHeight="1" x14ac:dyDescent="0.5">
      <c r="A1" s="1" t="s">
        <v>2095</v>
      </c>
    </row>
    <row r="2" spans="1:8" ht="32" customHeight="1" x14ac:dyDescent="0.35">
      <c r="A2" s="56" t="s">
        <v>2096</v>
      </c>
      <c r="B2" s="55"/>
      <c r="C2" s="55"/>
      <c r="D2" s="55"/>
      <c r="E2" s="55"/>
      <c r="F2" s="55"/>
      <c r="G2" s="55"/>
    </row>
    <row r="3" spans="1:8" x14ac:dyDescent="0.35">
      <c r="A3" s="3" t="s">
        <v>2097</v>
      </c>
      <c r="B3" s="3" t="s">
        <v>1493</v>
      </c>
      <c r="C3" s="3" t="s">
        <v>2098</v>
      </c>
      <c r="D3" s="3" t="s">
        <v>2099</v>
      </c>
      <c r="E3" s="3" t="s">
        <v>2100</v>
      </c>
      <c r="F3" s="3" t="s">
        <v>1912</v>
      </c>
      <c r="G3" s="3" t="s">
        <v>2101</v>
      </c>
      <c r="H3" s="3" t="s">
        <v>2102</v>
      </c>
    </row>
    <row r="4" spans="1:8" ht="36" customHeight="1" x14ac:dyDescent="0.35">
      <c r="A4" s="5" t="s">
        <v>2103</v>
      </c>
      <c r="B4" s="5"/>
      <c r="C4" s="5"/>
      <c r="D4" s="5"/>
      <c r="E4" s="5" t="s">
        <v>2060</v>
      </c>
      <c r="F4" s="5"/>
      <c r="G4" s="5" t="s">
        <v>2104</v>
      </c>
      <c r="H4" s="5" t="s">
        <v>2024</v>
      </c>
    </row>
    <row r="5" spans="1:8" ht="36" customHeight="1" x14ac:dyDescent="0.35">
      <c r="A5" s="5" t="s">
        <v>2105</v>
      </c>
      <c r="B5" s="5"/>
      <c r="C5" s="5"/>
      <c r="D5" s="5"/>
      <c r="E5" s="5" t="s">
        <v>2060</v>
      </c>
      <c r="F5" s="5"/>
      <c r="G5" s="5" t="s">
        <v>2106</v>
      </c>
      <c r="H5" s="5" t="s">
        <v>2024</v>
      </c>
    </row>
    <row r="6" spans="1:8" ht="36" customHeight="1" x14ac:dyDescent="0.35">
      <c r="A6" s="5" t="s">
        <v>2107</v>
      </c>
      <c r="B6" s="5"/>
      <c r="C6" s="5"/>
      <c r="D6" s="5"/>
      <c r="E6" s="5" t="s">
        <v>2060</v>
      </c>
      <c r="F6" s="5"/>
      <c r="G6" s="5" t="s">
        <v>2108</v>
      </c>
      <c r="H6" s="5" t="s">
        <v>2024</v>
      </c>
    </row>
    <row r="7" spans="1:8" ht="36" customHeight="1" x14ac:dyDescent="0.35">
      <c r="A7" s="5" t="s">
        <v>2109</v>
      </c>
      <c r="B7" s="5"/>
      <c r="C7" s="5"/>
      <c r="D7" s="5"/>
      <c r="E7" s="5" t="s">
        <v>2060</v>
      </c>
      <c r="F7" s="5"/>
      <c r="G7" s="5" t="s">
        <v>2110</v>
      </c>
      <c r="H7" s="5" t="s">
        <v>2024</v>
      </c>
    </row>
    <row r="8" spans="1:8" ht="36" customHeight="1" x14ac:dyDescent="0.35">
      <c r="A8" s="5" t="s">
        <v>2111</v>
      </c>
      <c r="B8" s="5"/>
      <c r="C8" s="5"/>
      <c r="D8" s="5"/>
      <c r="E8" s="5" t="s">
        <v>2060</v>
      </c>
      <c r="F8" s="5"/>
      <c r="G8" s="5" t="s">
        <v>2112</v>
      </c>
      <c r="H8" s="5" t="s">
        <v>2024</v>
      </c>
    </row>
    <row r="9" spans="1:8" ht="36" customHeight="1" x14ac:dyDescent="0.35">
      <c r="A9" s="5" t="s">
        <v>2113</v>
      </c>
      <c r="B9" s="5"/>
      <c r="C9" s="5"/>
      <c r="D9" s="5"/>
      <c r="E9" s="5" t="s">
        <v>2060</v>
      </c>
      <c r="F9" s="5"/>
      <c r="G9" s="5" t="s">
        <v>2114</v>
      </c>
      <c r="H9" s="5" t="s">
        <v>2024</v>
      </c>
    </row>
    <row r="10" spans="1:8" ht="36" customHeight="1" x14ac:dyDescent="0.35">
      <c r="A10" s="5" t="s">
        <v>2115</v>
      </c>
      <c r="B10" s="5"/>
      <c r="C10" s="5"/>
      <c r="D10" s="5"/>
      <c r="E10" s="5" t="s">
        <v>2060</v>
      </c>
      <c r="F10" s="5"/>
      <c r="G10" s="5" t="s">
        <v>2116</v>
      </c>
      <c r="H10" s="5" t="s">
        <v>2024</v>
      </c>
    </row>
    <row r="11" spans="1:8" ht="36" customHeight="1" x14ac:dyDescent="0.35">
      <c r="A11" s="5" t="s">
        <v>2117</v>
      </c>
      <c r="B11" s="5"/>
      <c r="C11" s="5"/>
      <c r="D11" s="5"/>
      <c r="E11" s="5" t="s">
        <v>2060</v>
      </c>
      <c r="F11" s="5"/>
      <c r="G11" s="5" t="s">
        <v>2118</v>
      </c>
      <c r="H11" s="5" t="s">
        <v>2024</v>
      </c>
    </row>
    <row r="12" spans="1:8" ht="36" customHeight="1" x14ac:dyDescent="0.35">
      <c r="A12" s="5" t="s">
        <v>2119</v>
      </c>
      <c r="B12" s="5"/>
      <c r="C12" s="5"/>
      <c r="D12" s="5"/>
      <c r="E12" s="5" t="s">
        <v>2060</v>
      </c>
      <c r="F12" s="5"/>
      <c r="G12" s="5" t="s">
        <v>2120</v>
      </c>
      <c r="H12" s="5" t="s">
        <v>2024</v>
      </c>
    </row>
    <row r="13" spans="1:8" ht="36" customHeight="1" x14ac:dyDescent="0.35">
      <c r="A13" s="5" t="s">
        <v>2121</v>
      </c>
      <c r="B13" s="5"/>
      <c r="C13" s="5"/>
      <c r="D13" s="5"/>
      <c r="E13" s="5" t="s">
        <v>2060</v>
      </c>
      <c r="F13" s="5"/>
      <c r="G13" s="5" t="s">
        <v>2122</v>
      </c>
      <c r="H13" s="5" t="s">
        <v>2024</v>
      </c>
    </row>
  </sheetData>
  <mergeCells count="1">
    <mergeCell ref="A2:G2"/>
  </mergeCells>
  <pageMargins left="0.75" right="0.75" top="1" bottom="1" header="0.5" footer="0.5"/>
  <pageSetup orientation="landscape"/>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0"/>
  <sheetViews>
    <sheetView showGridLines="0" workbookViewId="0">
      <pane ySplit="3" topLeftCell="A4" activePane="bottomLeft" state="frozen"/>
      <selection pane="bottomLeft"/>
    </sheetView>
  </sheetViews>
  <sheetFormatPr defaultRowHeight="14.5" x14ac:dyDescent="0.35"/>
  <cols>
    <col min="1" max="1" width="14" customWidth="1"/>
    <col min="2" max="2" width="55" customWidth="1"/>
    <col min="3" max="3" width="24" customWidth="1"/>
    <col min="4" max="4" width="22" customWidth="1"/>
    <col min="5" max="5" width="55" customWidth="1"/>
  </cols>
  <sheetData>
    <row r="1" spans="1:7" ht="28" customHeight="1" x14ac:dyDescent="0.5">
      <c r="A1" s="1" t="s">
        <v>2123</v>
      </c>
    </row>
    <row r="2" spans="1:7" ht="32" customHeight="1" x14ac:dyDescent="0.35">
      <c r="A2" s="56" t="s">
        <v>2124</v>
      </c>
      <c r="B2" s="55"/>
      <c r="C2" s="55"/>
      <c r="D2" s="55"/>
      <c r="E2" s="55"/>
      <c r="F2" s="55"/>
      <c r="G2" s="55"/>
    </row>
    <row r="3" spans="1:7" x14ac:dyDescent="0.35">
      <c r="A3" s="3" t="s">
        <v>81</v>
      </c>
      <c r="B3" s="3" t="s">
        <v>82</v>
      </c>
      <c r="C3" s="3" t="s">
        <v>2125</v>
      </c>
      <c r="D3" s="3" t="s">
        <v>2126</v>
      </c>
      <c r="E3" s="3" t="s">
        <v>2127</v>
      </c>
    </row>
    <row r="4" spans="1:7" ht="36" customHeight="1" x14ac:dyDescent="0.35">
      <c r="A4" s="5" t="s">
        <v>130</v>
      </c>
      <c r="B4" s="5" t="s">
        <v>336</v>
      </c>
      <c r="C4" s="5" t="s">
        <v>95</v>
      </c>
      <c r="D4" s="5" t="s">
        <v>2128</v>
      </c>
      <c r="E4" s="5" t="s">
        <v>2129</v>
      </c>
    </row>
    <row r="5" spans="1:7" ht="36" customHeight="1" x14ac:dyDescent="0.35">
      <c r="A5" s="5" t="s">
        <v>160</v>
      </c>
      <c r="B5" s="5" t="s">
        <v>2130</v>
      </c>
      <c r="C5" s="5" t="s">
        <v>163</v>
      </c>
      <c r="D5" s="5" t="s">
        <v>1805</v>
      </c>
      <c r="E5" s="5" t="s">
        <v>2131</v>
      </c>
    </row>
    <row r="6" spans="1:7" ht="36" customHeight="1" x14ac:dyDescent="0.35">
      <c r="A6" s="5" t="s">
        <v>92</v>
      </c>
      <c r="B6" s="5" t="s">
        <v>93</v>
      </c>
      <c r="C6" s="5" t="s">
        <v>95</v>
      </c>
      <c r="D6" s="5" t="s">
        <v>95</v>
      </c>
      <c r="E6" s="5" t="s">
        <v>2132</v>
      </c>
    </row>
    <row r="7" spans="1:7" ht="36" customHeight="1" x14ac:dyDescent="0.35">
      <c r="A7" s="5" t="s">
        <v>109</v>
      </c>
      <c r="B7" s="5" t="s">
        <v>282</v>
      </c>
      <c r="C7" s="5" t="s">
        <v>95</v>
      </c>
      <c r="D7" s="5" t="s">
        <v>95</v>
      </c>
      <c r="E7" s="5" t="s">
        <v>2132</v>
      </c>
    </row>
    <row r="8" spans="1:7" ht="36" customHeight="1" x14ac:dyDescent="0.35">
      <c r="A8" s="5" t="s">
        <v>115</v>
      </c>
      <c r="B8" s="5" t="s">
        <v>307</v>
      </c>
      <c r="C8" s="5" t="s">
        <v>95</v>
      </c>
      <c r="D8" s="5" t="s">
        <v>95</v>
      </c>
      <c r="E8" s="5" t="s">
        <v>2132</v>
      </c>
    </row>
    <row r="9" spans="1:7" ht="36" customHeight="1" x14ac:dyDescent="0.35">
      <c r="A9" s="5" t="s">
        <v>180</v>
      </c>
      <c r="B9" s="5" t="s">
        <v>2133</v>
      </c>
      <c r="C9" s="5" t="s">
        <v>95</v>
      </c>
      <c r="D9" s="5" t="s">
        <v>95</v>
      </c>
      <c r="E9" s="5" t="s">
        <v>2132</v>
      </c>
    </row>
    <row r="10" spans="1:7" ht="36" customHeight="1" x14ac:dyDescent="0.35">
      <c r="A10" s="5" t="s">
        <v>174</v>
      </c>
      <c r="B10" s="5" t="s">
        <v>2134</v>
      </c>
      <c r="C10" s="5" t="s">
        <v>163</v>
      </c>
      <c r="D10" s="5" t="s">
        <v>1805</v>
      </c>
      <c r="E10" s="5" t="s">
        <v>2131</v>
      </c>
    </row>
    <row r="11" spans="1:7" ht="36" customHeight="1" x14ac:dyDescent="0.35">
      <c r="A11" s="5" t="s">
        <v>122</v>
      </c>
      <c r="B11" s="5" t="s">
        <v>2135</v>
      </c>
      <c r="C11" s="5" t="s">
        <v>124</v>
      </c>
      <c r="D11" s="5" t="s">
        <v>2136</v>
      </c>
      <c r="E11" s="5" t="s">
        <v>2137</v>
      </c>
    </row>
    <row r="12" spans="1:7" ht="36" customHeight="1" x14ac:dyDescent="0.35">
      <c r="A12" s="5" t="s">
        <v>138</v>
      </c>
      <c r="B12" s="5" t="s">
        <v>374</v>
      </c>
      <c r="C12" s="5" t="s">
        <v>95</v>
      </c>
      <c r="D12" s="5" t="s">
        <v>2138</v>
      </c>
      <c r="E12" s="5" t="s">
        <v>2139</v>
      </c>
    </row>
    <row r="13" spans="1:7" ht="36" customHeight="1" x14ac:dyDescent="0.35">
      <c r="A13" s="5" t="s">
        <v>186</v>
      </c>
      <c r="B13" s="5" t="s">
        <v>2140</v>
      </c>
      <c r="C13" s="5" t="s">
        <v>95</v>
      </c>
      <c r="D13" s="5" t="s">
        <v>95</v>
      </c>
      <c r="E13" s="5" t="s">
        <v>2132</v>
      </c>
    </row>
    <row r="14" spans="1:7" ht="36" customHeight="1" x14ac:dyDescent="0.35">
      <c r="A14" s="5" t="s">
        <v>192</v>
      </c>
      <c r="B14" s="5" t="s">
        <v>2141</v>
      </c>
      <c r="C14" s="5" t="s">
        <v>95</v>
      </c>
      <c r="D14" s="5" t="s">
        <v>95</v>
      </c>
      <c r="E14" s="5" t="s">
        <v>2132</v>
      </c>
    </row>
    <row r="15" spans="1:7" ht="36" customHeight="1" x14ac:dyDescent="0.35">
      <c r="A15" s="5" t="s">
        <v>196</v>
      </c>
      <c r="B15" s="5" t="s">
        <v>2142</v>
      </c>
      <c r="C15" s="5" t="s">
        <v>163</v>
      </c>
      <c r="D15" s="5" t="s">
        <v>1805</v>
      </c>
      <c r="E15" s="5" t="s">
        <v>2131</v>
      </c>
    </row>
    <row r="16" spans="1:7" ht="36" customHeight="1" x14ac:dyDescent="0.35">
      <c r="A16" s="5" t="s">
        <v>202</v>
      </c>
      <c r="B16" s="5" t="s">
        <v>2143</v>
      </c>
      <c r="C16" s="5" t="s">
        <v>163</v>
      </c>
      <c r="D16" s="5" t="s">
        <v>1805</v>
      </c>
      <c r="E16" s="5" t="s">
        <v>2131</v>
      </c>
    </row>
    <row r="17" spans="1:5" ht="36" customHeight="1" x14ac:dyDescent="0.35">
      <c r="A17" s="5" t="s">
        <v>208</v>
      </c>
      <c r="B17" s="5" t="s">
        <v>2144</v>
      </c>
      <c r="C17" s="5" t="s">
        <v>163</v>
      </c>
      <c r="D17" s="5" t="s">
        <v>1805</v>
      </c>
      <c r="E17" s="5" t="s">
        <v>2131</v>
      </c>
    </row>
    <row r="18" spans="1:5" ht="36" customHeight="1" x14ac:dyDescent="0.35">
      <c r="A18" s="5" t="s">
        <v>211</v>
      </c>
      <c r="B18" s="5" t="s">
        <v>2145</v>
      </c>
      <c r="C18" s="5" t="s">
        <v>163</v>
      </c>
      <c r="D18" s="5" t="s">
        <v>1805</v>
      </c>
      <c r="E18" s="5" t="s">
        <v>2131</v>
      </c>
    </row>
    <row r="19" spans="1:5" ht="36" customHeight="1" x14ac:dyDescent="0.35">
      <c r="A19" s="5" t="s">
        <v>103</v>
      </c>
      <c r="B19" s="5" t="s">
        <v>274</v>
      </c>
      <c r="C19" s="5" t="s">
        <v>95</v>
      </c>
      <c r="D19" s="5" t="s">
        <v>95</v>
      </c>
      <c r="E19" s="5" t="s">
        <v>2132</v>
      </c>
    </row>
    <row r="20" spans="1:5" ht="36" customHeight="1" x14ac:dyDescent="0.35">
      <c r="A20" s="5" t="s">
        <v>169</v>
      </c>
      <c r="B20" s="5" t="s">
        <v>2146</v>
      </c>
      <c r="C20" s="5" t="s">
        <v>163</v>
      </c>
      <c r="D20" s="5" t="s">
        <v>1805</v>
      </c>
      <c r="E20" s="5" t="s">
        <v>2131</v>
      </c>
    </row>
  </sheetData>
  <mergeCells count="1">
    <mergeCell ref="A2:G2"/>
  </mergeCells>
  <pageMargins left="0.75" right="0.75" top="1" bottom="1" header="0.5" footer="0.5"/>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G11"/>
  <sheetViews>
    <sheetView showGridLines="0" workbookViewId="0"/>
  </sheetViews>
  <sheetFormatPr defaultRowHeight="14.5" x14ac:dyDescent="0.35"/>
  <cols>
    <col min="1" max="1" width="36" customWidth="1"/>
    <col min="2" max="2" width="78" customWidth="1"/>
    <col min="3" max="3" width="18" customWidth="1"/>
  </cols>
  <sheetData>
    <row r="1" spans="1:7" ht="28" customHeight="1" x14ac:dyDescent="0.5">
      <c r="A1" s="1" t="s">
        <v>2147</v>
      </c>
    </row>
    <row r="2" spans="1:7" ht="32" customHeight="1" x14ac:dyDescent="0.35">
      <c r="A2" s="56" t="s">
        <v>2148</v>
      </c>
      <c r="B2" s="55"/>
      <c r="C2" s="55"/>
      <c r="D2" s="55"/>
      <c r="E2" s="55"/>
      <c r="F2" s="55"/>
      <c r="G2" s="55"/>
    </row>
    <row r="3" spans="1:7" x14ac:dyDescent="0.35">
      <c r="A3" s="3" t="s">
        <v>2149</v>
      </c>
      <c r="B3" s="3" t="s">
        <v>23</v>
      </c>
      <c r="C3" s="3" t="s">
        <v>2150</v>
      </c>
    </row>
    <row r="4" spans="1:7" ht="28" customHeight="1" x14ac:dyDescent="0.35">
      <c r="A4" s="4" t="s">
        <v>2151</v>
      </c>
      <c r="B4" s="5" t="s">
        <v>2152</v>
      </c>
      <c r="C4" s="5" t="s">
        <v>2153</v>
      </c>
    </row>
    <row r="5" spans="1:7" ht="28" customHeight="1" x14ac:dyDescent="0.35">
      <c r="A5" s="4" t="s">
        <v>2154</v>
      </c>
      <c r="B5" s="5" t="s">
        <v>2155</v>
      </c>
      <c r="C5" s="5" t="s">
        <v>2153</v>
      </c>
    </row>
    <row r="6" spans="1:7" ht="28" customHeight="1" x14ac:dyDescent="0.35">
      <c r="A6" s="4" t="s">
        <v>2156</v>
      </c>
      <c r="B6" s="5" t="s">
        <v>2157</v>
      </c>
      <c r="C6" s="5" t="s">
        <v>2153</v>
      </c>
    </row>
    <row r="7" spans="1:7" ht="28" customHeight="1" x14ac:dyDescent="0.35">
      <c r="A7" s="4" t="s">
        <v>2158</v>
      </c>
      <c r="B7" s="5" t="s">
        <v>2159</v>
      </c>
      <c r="C7" s="5" t="s">
        <v>2153</v>
      </c>
    </row>
    <row r="8" spans="1:7" ht="28" customHeight="1" x14ac:dyDescent="0.35">
      <c r="A8" s="4" t="s">
        <v>2160</v>
      </c>
      <c r="B8" s="5" t="s">
        <v>2161</v>
      </c>
      <c r="C8" s="5" t="s">
        <v>2153</v>
      </c>
    </row>
    <row r="10" spans="1:7" x14ac:dyDescent="0.35">
      <c r="A10" s="4" t="s">
        <v>46</v>
      </c>
      <c r="B10" s="4">
        <f>COUNTIF(TaskRegister[OS ready],"Yes")</f>
        <v>0</v>
      </c>
    </row>
    <row r="11" spans="1:7" x14ac:dyDescent="0.35">
      <c r="A11" s="5" t="s">
        <v>2162</v>
      </c>
      <c r="B11" s="4">
        <f>COUNTIF(TaskRegister[OS ready],"No")</f>
        <v>770</v>
      </c>
    </row>
  </sheetData>
  <mergeCells count="1">
    <mergeCell ref="A2:G2"/>
  </mergeCell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52"/>
  <sheetViews>
    <sheetView showGridLines="0" workbookViewId="0">
      <pane ySplit="3" topLeftCell="A4" activePane="bottomLeft" state="frozen"/>
      <selection pane="bottomLeft"/>
    </sheetView>
  </sheetViews>
  <sheetFormatPr defaultRowHeight="14.5" x14ac:dyDescent="0.35"/>
  <cols>
    <col min="1" max="1" width="42" customWidth="1"/>
    <col min="2" max="2" width="16" customWidth="1"/>
    <col min="3" max="3" width="4" customWidth="1"/>
    <col min="4" max="4" width="42" customWidth="1"/>
    <col min="5" max="5" width="14" customWidth="1"/>
  </cols>
  <sheetData>
    <row r="1" spans="1:5" ht="28" customHeight="1" x14ac:dyDescent="0.5">
      <c r="A1" s="1" t="s">
        <v>2163</v>
      </c>
    </row>
    <row r="2" spans="1:5" x14ac:dyDescent="0.35">
      <c r="A2" s="61" t="s">
        <v>2164</v>
      </c>
      <c r="B2" s="55"/>
      <c r="C2" s="55"/>
      <c r="D2" s="55"/>
      <c r="E2" s="55"/>
    </row>
    <row r="4" spans="1:5" x14ac:dyDescent="0.35">
      <c r="A4" s="11" t="s">
        <v>2165</v>
      </c>
      <c r="B4" s="11" t="s">
        <v>24</v>
      </c>
      <c r="D4" s="15" t="s">
        <v>2166</v>
      </c>
      <c r="E4" s="15" t="s">
        <v>26</v>
      </c>
    </row>
    <row r="5" spans="1:5" x14ac:dyDescent="0.35">
      <c r="A5" s="5" t="s">
        <v>26</v>
      </c>
      <c r="B5" s="13">
        <f>COUNTA(TaskRegister[Task ID])</f>
        <v>770</v>
      </c>
      <c r="D5" s="5" t="s">
        <v>2167</v>
      </c>
      <c r="E5" s="13">
        <f>COUNTIF(TaskRegister[Scope class],"Operational role")</f>
        <v>231</v>
      </c>
    </row>
    <row r="6" spans="1:5" x14ac:dyDescent="0.35">
      <c r="A6" s="5" t="s">
        <v>1493</v>
      </c>
      <c r="B6" s="13">
        <f>COUNTIF(TaskRegister[Register slice],"Baseline")</f>
        <v>560</v>
      </c>
      <c r="D6" s="5" t="s">
        <v>2168</v>
      </c>
      <c r="E6" s="13">
        <f>COUNTIF(TaskRegister[Scope class],"Named role")</f>
        <v>17</v>
      </c>
    </row>
    <row r="7" spans="1:5" x14ac:dyDescent="0.35">
      <c r="A7" s="5" t="s">
        <v>1494</v>
      </c>
      <c r="B7" s="13">
        <f>COUNTIF(TaskRegister[Register slice],"Strategic expansion")</f>
        <v>155</v>
      </c>
      <c r="D7" s="5" t="s">
        <v>2169</v>
      </c>
      <c r="E7" s="13">
        <f>COUNTIF(TaskRegister[Scope class],"Growth role")</f>
        <v>25</v>
      </c>
    </row>
    <row r="8" spans="1:5" x14ac:dyDescent="0.35">
      <c r="A8" s="5" t="s">
        <v>1495</v>
      </c>
      <c r="B8" s="13">
        <f>COUNTIF(TaskRegister[Register slice],"Growth OS")</f>
        <v>25</v>
      </c>
      <c r="D8" s="5" t="s">
        <v>2170</v>
      </c>
      <c r="E8" s="13">
        <f>COUNTIF(TaskRegister[Scope class],"Cross-persona")</f>
        <v>369</v>
      </c>
    </row>
    <row r="9" spans="1:5" x14ac:dyDescent="0.35">
      <c r="A9" s="5" t="s">
        <v>1496</v>
      </c>
      <c r="B9" s="13">
        <f>COUNTIF(TaskRegister[Register slice],"Added flows")</f>
        <v>30</v>
      </c>
      <c r="D9" s="5" t="s">
        <v>2171</v>
      </c>
      <c r="E9" s="13">
        <f>COUNTIF(TaskRegister[Scope class],"Platform or theme scope")</f>
        <v>108</v>
      </c>
    </row>
    <row r="10" spans="1:5" x14ac:dyDescent="0.35">
      <c r="A10" s="11" t="s">
        <v>2125</v>
      </c>
      <c r="B10" s="11" t="s">
        <v>24</v>
      </c>
      <c r="D10" s="5" t="s">
        <v>2172</v>
      </c>
      <c r="E10" s="13">
        <f>COUNTIF(TaskRegister[Scope class],"System engine")</f>
        <v>20</v>
      </c>
    </row>
    <row r="11" spans="1:5" x14ac:dyDescent="0.35">
      <c r="A11" s="5" t="s">
        <v>1477</v>
      </c>
      <c r="B11" s="13">
        <f>COUNTIF(TaskRegister[Validation Status],"Validated (Supported)")</f>
        <v>357</v>
      </c>
    </row>
    <row r="12" spans="1:5" x14ac:dyDescent="0.35">
      <c r="A12" s="5" t="s">
        <v>124</v>
      </c>
      <c r="B12" s="13">
        <f>COUNTIF(TaskRegister[Validation Status],"Code Complete &amp; Verified")</f>
        <v>26</v>
      </c>
    </row>
    <row r="13" spans="1:5" x14ac:dyDescent="0.35">
      <c r="A13" s="5" t="s">
        <v>95</v>
      </c>
      <c r="B13" s="13">
        <f>COUNTIF(TaskRegister[Validation Status],"Partial")</f>
        <v>255</v>
      </c>
    </row>
    <row r="14" spans="1:5" x14ac:dyDescent="0.35">
      <c r="A14" s="5" t="s">
        <v>163</v>
      </c>
      <c r="B14" s="13">
        <f>COUNTIF(TaskRegister[Validation Status],"Mechanism not found")</f>
        <v>102</v>
      </c>
    </row>
    <row r="15" spans="1:5" x14ac:dyDescent="0.35">
      <c r="A15" s="5" t="s">
        <v>1489</v>
      </c>
      <c r="B15" s="13">
        <f>COUNTIF(TaskRegister[Validation Status],"In product")</f>
        <v>30</v>
      </c>
    </row>
    <row r="16" spans="1:5" ht="32" customHeight="1" x14ac:dyDescent="0.35">
      <c r="A16" s="61" t="s">
        <v>2173</v>
      </c>
      <c r="B16" s="55"/>
      <c r="C16" s="55"/>
      <c r="D16" s="55"/>
      <c r="E16" s="55"/>
    </row>
    <row r="17" spans="1:5" x14ac:dyDescent="0.35">
      <c r="A17" s="15" t="s">
        <v>83</v>
      </c>
      <c r="B17" s="15" t="s">
        <v>24</v>
      </c>
      <c r="D17" s="11" t="s">
        <v>2174</v>
      </c>
      <c r="E17" s="11" t="s">
        <v>26</v>
      </c>
    </row>
    <row r="18" spans="1:5" x14ac:dyDescent="0.35">
      <c r="A18" s="5" t="s">
        <v>94</v>
      </c>
      <c r="B18" s="13">
        <f>COUNTIF(TaskRegister[Priority],"P0")</f>
        <v>116</v>
      </c>
      <c r="D18" s="9" t="s">
        <v>2175</v>
      </c>
      <c r="E18" s="13">
        <f>COUNTIF(TaskRegister[Task Type],"P")</f>
        <v>206</v>
      </c>
    </row>
    <row r="19" spans="1:5" x14ac:dyDescent="0.35">
      <c r="A19" s="5" t="s">
        <v>162</v>
      </c>
      <c r="B19" s="13">
        <f>COUNTIF(TaskRegister[Priority],"P1")</f>
        <v>588</v>
      </c>
      <c r="D19" s="9" t="s">
        <v>2176</v>
      </c>
      <c r="E19" s="13">
        <f>COUNTIF(TaskRegister[Task Type],"X")</f>
        <v>369</v>
      </c>
    </row>
    <row r="20" spans="1:5" x14ac:dyDescent="0.35">
      <c r="A20" s="5" t="s">
        <v>204</v>
      </c>
      <c r="B20" s="13">
        <f>COUNTIF(TaskRegister[Priority],"P2")</f>
        <v>48</v>
      </c>
      <c r="D20" s="9" t="s">
        <v>2177</v>
      </c>
      <c r="E20" s="13">
        <f>COUNTIF(TaskRegister[Task Type],"G-OS")</f>
        <v>25</v>
      </c>
    </row>
    <row r="21" spans="1:5" x14ac:dyDescent="0.35">
      <c r="A21" s="5" t="s">
        <v>213</v>
      </c>
      <c r="B21" s="13">
        <f>COUNTIF(TaskRegister[Priority],"P3")</f>
        <v>18</v>
      </c>
      <c r="D21" s="9" t="s">
        <v>2178</v>
      </c>
      <c r="E21" s="13">
        <f>COUNTIF(TaskRegister[Task Type],"S")</f>
        <v>20</v>
      </c>
    </row>
    <row r="22" spans="1:5" x14ac:dyDescent="0.35">
      <c r="D22" s="9" t="s">
        <v>2179</v>
      </c>
      <c r="E22" s="13">
        <f>COUNTIF(TaskRegister[Task Type],"UX")</f>
        <v>20</v>
      </c>
    </row>
    <row r="23" spans="1:5" x14ac:dyDescent="0.35">
      <c r="D23" s="9" t="s">
        <v>2180</v>
      </c>
      <c r="E23" s="13">
        <f>COUNTIF(TaskRegister[Task Type],"C")</f>
        <v>20</v>
      </c>
    </row>
    <row r="24" spans="1:5" x14ac:dyDescent="0.35">
      <c r="A24" s="11" t="s">
        <v>2181</v>
      </c>
      <c r="B24" s="11" t="s">
        <v>26</v>
      </c>
      <c r="D24" s="9" t="s">
        <v>2182</v>
      </c>
      <c r="E24" s="13">
        <f>COUNTIF(TaskRegister[Task Type],"D")</f>
        <v>20</v>
      </c>
    </row>
    <row r="25" spans="1:5" x14ac:dyDescent="0.35">
      <c r="A25" s="5" t="s">
        <v>2183</v>
      </c>
      <c r="B25" s="13">
        <f>COUNTIF(TaskRegister[Category],"GST / Tax / Compliance")</f>
        <v>92</v>
      </c>
      <c r="D25" s="9" t="s">
        <v>2184</v>
      </c>
      <c r="E25" s="13">
        <f>COUNTIF(TaskRegister[Task Type],"SEC")</f>
        <v>15</v>
      </c>
    </row>
    <row r="26" spans="1:5" x14ac:dyDescent="0.35">
      <c r="A26" s="5" t="s">
        <v>2185</v>
      </c>
      <c r="B26" s="13">
        <f>COUNTIF(TaskRegister[Category],"Security / Exception / Recovery")</f>
        <v>80</v>
      </c>
      <c r="D26" s="9" t="s">
        <v>2186</v>
      </c>
      <c r="E26" s="13">
        <f>COUNTIF(TaskRegister[Task Type],"R")</f>
        <v>15</v>
      </c>
    </row>
    <row r="27" spans="1:5" x14ac:dyDescent="0.35">
      <c r="A27" s="5" t="s">
        <v>2187</v>
      </c>
      <c r="B27" s="13">
        <f>COUNTIF(TaskRegister[Category],"Inventory Lifecycle")</f>
        <v>73</v>
      </c>
      <c r="D27" s="9" t="s">
        <v>2188</v>
      </c>
      <c r="E27" s="13">
        <f>COUNTIF(TaskRegister[Task Type],"I")</f>
        <v>15</v>
      </c>
    </row>
    <row r="28" spans="1:5" x14ac:dyDescent="0.35">
      <c r="A28" s="5" t="s">
        <v>2189</v>
      </c>
      <c r="B28" s="13">
        <f>COUNTIF(TaskRegister[Category],"Reporting &amp; Business Intelligence")</f>
        <v>61</v>
      </c>
      <c r="D28" s="9" t="s">
        <v>2190</v>
      </c>
      <c r="E28" s="13">
        <f>COUNTIF(TaskRegister[Task Type],"SaaS")</f>
        <v>15</v>
      </c>
    </row>
    <row r="29" spans="1:5" x14ac:dyDescent="0.35">
      <c r="A29" s="5" t="s">
        <v>2191</v>
      </c>
      <c r="B29" s="13">
        <f>COUNTIF(TaskRegister[Category],"Customer-to-Cash")</f>
        <v>60</v>
      </c>
    </row>
    <row r="30" spans="1:5" x14ac:dyDescent="0.35">
      <c r="A30" s="5" t="s">
        <v>2192</v>
      </c>
      <c r="B30" s="13">
        <f>COUNTIF(TaskRegister[Category],"Receivables &amp; Payables")</f>
        <v>58</v>
      </c>
    </row>
    <row r="31" spans="1:5" x14ac:dyDescent="0.35">
      <c r="A31" s="5" t="s">
        <v>2193</v>
      </c>
      <c r="B31" s="13">
        <f>COUNTIF(TaskRegister[Category],"Procure-to-Pay")</f>
        <v>46</v>
      </c>
    </row>
    <row r="32" spans="1:5" x14ac:dyDescent="0.35">
      <c r="A32" s="5" t="s">
        <v>2194</v>
      </c>
      <c r="B32" s="13">
        <f>COUNTIF(TaskRegister[Category],"Import / Export / Period Close")</f>
        <v>43</v>
      </c>
    </row>
    <row r="33" spans="1:2" x14ac:dyDescent="0.35">
      <c r="A33" s="5" t="s">
        <v>2195</v>
      </c>
      <c r="B33" s="13">
        <f>COUNTIF(TaskRegister[Category],"Payments &amp; Reconciliation")</f>
        <v>36</v>
      </c>
    </row>
    <row r="34" spans="1:2" x14ac:dyDescent="0.35">
      <c r="A34" s="5" t="s">
        <v>2196</v>
      </c>
      <c r="B34" s="13">
        <f>COUNTIF(TaskRegister[Category],"Master Data &amp; Authorization")</f>
        <v>34</v>
      </c>
    </row>
    <row r="35" spans="1:2" x14ac:dyDescent="0.35">
      <c r="A35" s="5" t="s">
        <v>2197</v>
      </c>
      <c r="B35" s="13">
        <f>COUNTIF(TaskRegister[Category],"Multi-Godown / Multi-Store")</f>
        <v>34</v>
      </c>
    </row>
    <row r="36" spans="1:2" x14ac:dyDescent="0.35">
      <c r="A36" s="5" t="s">
        <v>2198</v>
      </c>
      <c r="B36" s="13">
        <f>COUNTIF(TaskRegister[Category],"Communication &amp; Integrations")</f>
        <v>26</v>
      </c>
    </row>
    <row r="37" spans="1:2" x14ac:dyDescent="0.35">
      <c r="A37" s="5" t="s">
        <v>2199</v>
      </c>
      <c r="B37" s="13">
        <f>COUNTIF(TaskRegister[Category],"Returns / Complaints / After-Sales")</f>
        <v>26</v>
      </c>
    </row>
    <row r="38" spans="1:2" x14ac:dyDescent="0.35">
      <c r="A38" s="5" t="s">
        <v>2200</v>
      </c>
      <c r="B38" s="13">
        <f>COUNTIF(TaskRegister[Category],"Sales / CRM / Customer Lifecycle")</f>
        <v>23</v>
      </c>
    </row>
    <row r="39" spans="1:2" x14ac:dyDescent="0.35">
      <c r="A39" s="5" t="s">
        <v>2201</v>
      </c>
      <c r="B39" s="13">
        <f>COUNTIF(TaskRegister[Category],"Operations, Fleet &amp; Delivery")</f>
        <v>18</v>
      </c>
    </row>
    <row r="40" spans="1:2" x14ac:dyDescent="0.35">
      <c r="A40" s="5" t="s">
        <v>2202</v>
      </c>
      <c r="B40" s="13">
        <f>COUNTIF(TaskRegister[Category],"Insurance Distribution")</f>
        <v>9</v>
      </c>
    </row>
    <row r="41" spans="1:2" x14ac:dyDescent="0.35">
      <c r="A41" s="5" t="s">
        <v>2203</v>
      </c>
      <c r="B41" s="13">
        <f>COUNTIF(TaskRegister[Category],"Payroll &amp; Statutory Dues")</f>
        <v>7</v>
      </c>
    </row>
    <row r="42" spans="1:2" x14ac:dyDescent="0.35">
      <c r="A42" s="5" t="s">
        <v>2204</v>
      </c>
      <c r="B42" s="13">
        <f>COUNTIF(TaskRegister[Category],"Finance &amp; Fixed Assets")</f>
        <v>5</v>
      </c>
    </row>
    <row r="43" spans="1:2" x14ac:dyDescent="0.35">
      <c r="A43" s="5" t="s">
        <v>2205</v>
      </c>
      <c r="B43" s="13">
        <f>COUNTIF(TaskRegister[Category],"Workshop Job")</f>
        <v>5</v>
      </c>
    </row>
    <row r="44" spans="1:2" x14ac:dyDescent="0.35">
      <c r="A44" s="5" t="s">
        <v>2206</v>
      </c>
      <c r="B44" s="13">
        <f>COUNTIF(TaskRegister[Category],"Project Billing")</f>
        <v>5</v>
      </c>
    </row>
    <row r="45" spans="1:2" x14ac:dyDescent="0.35">
      <c r="A45" s="5" t="s">
        <v>2207</v>
      </c>
      <c r="B45" s="13">
        <f>COUNTIF(TaskRegister[Category],"Growth OS - Campaigns &amp; Marketing")</f>
        <v>4</v>
      </c>
    </row>
    <row r="46" spans="1:2" x14ac:dyDescent="0.35">
      <c r="A46" s="5" t="s">
        <v>2208</v>
      </c>
      <c r="B46" s="13">
        <f>COUNTIF(TaskRegister[Category],"Growth OS - Lead Ingestion &amp; Pipeline")</f>
        <v>4</v>
      </c>
    </row>
    <row r="47" spans="1:2" x14ac:dyDescent="0.35">
      <c r="A47" s="5" t="s">
        <v>2209</v>
      </c>
      <c r="B47" s="13">
        <f>COUNTIF(TaskRegister[Category],"Growth OS - Opportunity Management")</f>
        <v>4</v>
      </c>
    </row>
    <row r="48" spans="1:2" x14ac:dyDescent="0.35">
      <c r="A48" s="5" t="s">
        <v>2210</v>
      </c>
      <c r="B48" s="13">
        <f>COUNTIF(TaskRegister[Category],"Growth OS - Referral &amp; Advocate Engine")</f>
        <v>4</v>
      </c>
    </row>
    <row r="49" spans="1:2" x14ac:dyDescent="0.35">
      <c r="A49" s="5" t="s">
        <v>2211</v>
      </c>
      <c r="B49" s="13">
        <f>COUNTIF(TaskRegister[Category],"Growth OS - Service Contracts &amp; AMC")</f>
        <v>4</v>
      </c>
    </row>
    <row r="50" spans="1:2" x14ac:dyDescent="0.35">
      <c r="A50" s="5" t="s">
        <v>2212</v>
      </c>
      <c r="B50" s="13">
        <f>COUNTIF(TaskRegister[Category],"Growth OS - Customer Care &amp; Dispute Loop")</f>
        <v>4</v>
      </c>
    </row>
    <row r="51" spans="1:2" x14ac:dyDescent="0.35">
      <c r="A51" s="5" t="s">
        <v>2213</v>
      </c>
      <c r="B51" s="13">
        <f>COUNTIF(TaskRegister[Category],"Manufacturing")</f>
        <v>4</v>
      </c>
    </row>
    <row r="52" spans="1:2" x14ac:dyDescent="0.35">
      <c r="A52" s="5" t="s">
        <v>2214</v>
      </c>
      <c r="B52" s="13">
        <f>COUNTIF(TaskRegister[Category],"Growth OS - Customer Intelligence")</f>
        <v>1</v>
      </c>
    </row>
  </sheetData>
  <mergeCells count="2">
    <mergeCell ref="A2:E2"/>
    <mergeCell ref="A16:E16"/>
  </mergeCells>
  <pageMargins left="0.75" right="0.75" top="1" bottom="1" header="0.5" footer="0.5"/>
  <pageSetup orientation="landscape"/>
  <headerFooter>
    <oddHeader>&amp;LCoverage dashboard</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3"/>
  <sheetViews>
    <sheetView workbookViewId="0">
      <pane ySplit="3" topLeftCell="A4" activePane="bottomLeft" state="frozen"/>
      <selection pane="bottomLeft"/>
    </sheetView>
  </sheetViews>
  <sheetFormatPr defaultRowHeight="14.5" x14ac:dyDescent="0.35"/>
  <cols>
    <col min="1" max="1" width="16" customWidth="1"/>
    <col min="2" max="2" width="12" customWidth="1"/>
    <col min="3" max="3" width="20" customWidth="1"/>
    <col min="4" max="4" width="10" customWidth="1"/>
  </cols>
  <sheetData>
    <row r="1" spans="1:4" ht="21" customHeight="1" x14ac:dyDescent="0.5">
      <c r="A1" s="1" t="s">
        <v>2215</v>
      </c>
    </row>
    <row r="2" spans="1:4" ht="208" customHeight="1" x14ac:dyDescent="0.35">
      <c r="A2" s="2" t="s">
        <v>2216</v>
      </c>
    </row>
    <row r="3" spans="1:4" x14ac:dyDescent="0.35">
      <c r="A3" s="3" t="s">
        <v>83</v>
      </c>
      <c r="B3" s="3" t="s">
        <v>2217</v>
      </c>
      <c r="C3" s="3" t="s">
        <v>2218</v>
      </c>
      <c r="D3" s="3" t="s">
        <v>1274</v>
      </c>
    </row>
    <row r="4" spans="1:4" x14ac:dyDescent="0.35">
      <c r="A4" s="23" t="s">
        <v>94</v>
      </c>
      <c r="B4" s="23">
        <f>COUNTIF(TaskRegister[Priority],A4)</f>
        <v>116</v>
      </c>
      <c r="C4" s="23">
        <f>COUNTIF(TaskRegister[Proposed priority],A4)</f>
        <v>116</v>
      </c>
      <c r="D4" s="23">
        <f>C4-B4</f>
        <v>0</v>
      </c>
    </row>
    <row r="5" spans="1:4" x14ac:dyDescent="0.35">
      <c r="A5" s="23" t="s">
        <v>162</v>
      </c>
      <c r="B5" s="23">
        <f>COUNTIF(TaskRegister[Priority],A5)</f>
        <v>588</v>
      </c>
      <c r="C5" s="23">
        <f>COUNTIF(TaskRegister[Proposed priority],A5)</f>
        <v>437</v>
      </c>
      <c r="D5" s="23">
        <f>C5-B5</f>
        <v>-151</v>
      </c>
    </row>
    <row r="6" spans="1:4" x14ac:dyDescent="0.35">
      <c r="A6" s="23" t="s">
        <v>204</v>
      </c>
      <c r="B6" s="23">
        <f>COUNTIF(TaskRegister[Priority],A6)</f>
        <v>48</v>
      </c>
      <c r="C6" s="23">
        <f>COUNTIF(TaskRegister[Proposed priority],A6)</f>
        <v>199</v>
      </c>
      <c r="D6" s="23">
        <f>C6-B6</f>
        <v>151</v>
      </c>
    </row>
    <row r="7" spans="1:4" x14ac:dyDescent="0.35">
      <c r="A7" s="23" t="s">
        <v>213</v>
      </c>
      <c r="B7" s="23">
        <f>COUNTIF(TaskRegister[Priority],A7)</f>
        <v>18</v>
      </c>
      <c r="C7" s="23">
        <f>COUNTIF(TaskRegister[Proposed priority],A7)</f>
        <v>18</v>
      </c>
      <c r="D7" s="23">
        <f>C7-B7</f>
        <v>0</v>
      </c>
    </row>
    <row r="8" spans="1:4" x14ac:dyDescent="0.35">
      <c r="A8" s="23" t="s">
        <v>1242</v>
      </c>
      <c r="B8" s="23">
        <f>SUM(B4:B7)</f>
        <v>770</v>
      </c>
      <c r="C8" s="23">
        <f>SUM(C4:C7)</f>
        <v>770</v>
      </c>
      <c r="D8" s="23">
        <f>SUM(D4:D7)</f>
        <v>0</v>
      </c>
    </row>
    <row r="9" spans="1:4" x14ac:dyDescent="0.35">
      <c r="A9" s="23"/>
      <c r="B9" s="23"/>
      <c r="C9" s="23"/>
      <c r="D9" s="23"/>
    </row>
    <row r="10" spans="1:4" x14ac:dyDescent="0.35">
      <c r="A10" s="23" t="s">
        <v>753</v>
      </c>
      <c r="B10" s="23" t="s">
        <v>26</v>
      </c>
      <c r="C10" s="23" t="s">
        <v>2219</v>
      </c>
      <c r="D10" s="23"/>
    </row>
    <row r="11" spans="1:4" x14ac:dyDescent="0.35">
      <c r="A11" s="23" t="s">
        <v>99</v>
      </c>
      <c r="B11" s="23">
        <f>COUNTIF(TaskRegister[Release gate],A11)</f>
        <v>102</v>
      </c>
      <c r="C11" s="23">
        <f>COUNTIFS(TaskRegister[Release gate],A11,TaskRegister[Priority],"P1")</f>
        <v>0</v>
      </c>
      <c r="D11" s="23"/>
    </row>
    <row r="12" spans="1:4" x14ac:dyDescent="0.35">
      <c r="A12" s="23" t="s">
        <v>135</v>
      </c>
      <c r="B12" s="23">
        <f>COUNTIF(TaskRegister[Release gate],A12)</f>
        <v>447</v>
      </c>
      <c r="C12" s="23">
        <f>COUNTIFS(TaskRegister[Release gate],A12,TaskRegister[Priority],"P1")</f>
        <v>436</v>
      </c>
      <c r="D12" s="23"/>
    </row>
    <row r="13" spans="1:4" x14ac:dyDescent="0.35">
      <c r="A13" s="23" t="s">
        <v>32</v>
      </c>
      <c r="B13" s="23">
        <f>COUNTIF(TaskRegister[Release gate],A13)</f>
        <v>221</v>
      </c>
      <c r="C13" s="23">
        <f>COUNTIFS(TaskRegister[Release gate],A13,TaskRegister[Priority],"P1")</f>
        <v>152</v>
      </c>
      <c r="D13" s="23"/>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497D"/>
    <pageSetUpPr fitToPage="1"/>
  </sheetPr>
  <dimension ref="A1:BH771"/>
  <sheetViews>
    <sheetView showGridLines="0" workbookViewId="0">
      <pane ySplit="1" topLeftCell="A2" activePane="bottomLeft" state="frozen"/>
      <selection pane="bottomLeft"/>
    </sheetView>
  </sheetViews>
  <sheetFormatPr defaultRowHeight="14.5" x14ac:dyDescent="0.35"/>
  <cols>
    <col min="1" max="1" width="14" customWidth="1"/>
    <col min="2" max="2" width="12" customWidth="1"/>
    <col min="3" max="4" width="32" customWidth="1"/>
    <col min="5" max="5" width="46" customWidth="1"/>
    <col min="6" max="7" width="28" customWidth="1"/>
    <col min="8" max="8" width="40" customWidth="1"/>
    <col min="9" max="9" width="42" customWidth="1"/>
    <col min="10" max="10" width="12" customWidth="1"/>
    <col min="11" max="11" width="26" customWidth="1"/>
    <col min="12" max="12" width="55" customWidth="1"/>
    <col min="13" max="13" width="22" customWidth="1"/>
    <col min="14" max="14" width="26" customWidth="1"/>
    <col min="15" max="15" width="18" customWidth="1"/>
    <col min="16" max="16" width="42" customWidth="1"/>
    <col min="17" max="17" width="24" customWidth="1"/>
    <col min="18" max="18" width="55" customWidth="1"/>
    <col min="19" max="19" width="14" customWidth="1"/>
    <col min="20" max="20" width="36" customWidth="1"/>
    <col min="21" max="21" width="12" customWidth="1"/>
    <col min="22" max="22" width="16" customWidth="1"/>
    <col min="23" max="23" width="14" customWidth="1"/>
    <col min="24" max="24" width="22" customWidth="1"/>
    <col min="25" max="26" width="18" customWidth="1"/>
    <col min="27" max="29" width="16" customWidth="1"/>
    <col min="30" max="30" width="26" customWidth="1"/>
    <col min="31" max="32" width="20" customWidth="1"/>
    <col min="33" max="33" width="18" customWidth="1"/>
    <col min="34" max="34" width="20" customWidth="1"/>
    <col min="35" max="35" width="12" customWidth="1"/>
    <col min="36" max="36" width="22" customWidth="1"/>
    <col min="37" max="37" width="16" customWidth="1"/>
    <col min="38" max="38" width="12" customWidth="1"/>
    <col min="39" max="39" width="18" customWidth="1"/>
    <col min="40" max="40" width="16" customWidth="1"/>
    <col min="41" max="41" width="14" customWidth="1"/>
    <col min="42" max="42" width="16" customWidth="1"/>
    <col min="43" max="44" width="18" customWidth="1"/>
    <col min="45" max="46" width="16" customWidth="1"/>
    <col min="47" max="47" width="18" customWidth="1"/>
    <col min="48" max="49" width="26" customWidth="1"/>
    <col min="50" max="50" width="22" customWidth="1"/>
    <col min="51" max="51" width="12" customWidth="1"/>
    <col min="52" max="52" width="24" customWidth="1"/>
    <col min="53" max="54" width="52" customWidth="1"/>
    <col min="55" max="56" width="14" customWidth="1"/>
    <col min="57" max="57" width="22" customWidth="1"/>
    <col min="58" max="58" width="16" customWidth="1"/>
    <col min="59" max="60" width="60" customWidth="1"/>
  </cols>
  <sheetData>
    <row r="1" spans="1:60" ht="30" customHeight="1" x14ac:dyDescent="0.35">
      <c r="A1" s="3" t="s">
        <v>81</v>
      </c>
      <c r="B1" s="3" t="s">
        <v>2220</v>
      </c>
      <c r="C1" s="3" t="s">
        <v>2221</v>
      </c>
      <c r="D1" s="3" t="s">
        <v>2181</v>
      </c>
      <c r="E1" s="3" t="s">
        <v>2222</v>
      </c>
      <c r="F1" s="3" t="s">
        <v>2223</v>
      </c>
      <c r="G1" s="3" t="s">
        <v>2224</v>
      </c>
      <c r="H1" s="3" t="s">
        <v>2225</v>
      </c>
      <c r="I1" s="3" t="s">
        <v>2226</v>
      </c>
      <c r="J1" s="3" t="s">
        <v>83</v>
      </c>
      <c r="K1" s="3" t="s">
        <v>2227</v>
      </c>
      <c r="L1" s="3" t="s">
        <v>2228</v>
      </c>
      <c r="M1" s="3" t="s">
        <v>2229</v>
      </c>
      <c r="N1" s="3" t="s">
        <v>2166</v>
      </c>
      <c r="O1" s="3" t="s">
        <v>2230</v>
      </c>
      <c r="P1" s="3" t="s">
        <v>2231</v>
      </c>
      <c r="Q1" s="3" t="s">
        <v>1483</v>
      </c>
      <c r="R1" s="3" t="s">
        <v>2232</v>
      </c>
      <c r="S1" s="3" t="s">
        <v>2233</v>
      </c>
      <c r="T1" s="3" t="s">
        <v>2234</v>
      </c>
      <c r="U1" s="3" t="s">
        <v>2235</v>
      </c>
      <c r="V1" s="3" t="s">
        <v>2236</v>
      </c>
      <c r="W1" s="3" t="s">
        <v>2237</v>
      </c>
      <c r="X1" s="3" t="s">
        <v>219</v>
      </c>
      <c r="Y1" s="3" t="s">
        <v>1604</v>
      </c>
      <c r="Z1" s="3" t="s">
        <v>2238</v>
      </c>
      <c r="AA1" s="3" t="s">
        <v>2239</v>
      </c>
      <c r="AB1" s="3" t="s">
        <v>2240</v>
      </c>
      <c r="AC1" s="3" t="s">
        <v>753</v>
      </c>
      <c r="AD1" s="3" t="s">
        <v>2126</v>
      </c>
      <c r="AE1" s="3" t="s">
        <v>2241</v>
      </c>
      <c r="AF1" s="3" t="s">
        <v>2242</v>
      </c>
      <c r="AG1" s="3" t="s">
        <v>2243</v>
      </c>
      <c r="AH1" s="3" t="s">
        <v>2244</v>
      </c>
      <c r="AI1" s="3" t="s">
        <v>1461</v>
      </c>
      <c r="AJ1" s="3" t="s">
        <v>220</v>
      </c>
      <c r="AK1" s="3" t="s">
        <v>2245</v>
      </c>
      <c r="AL1" s="3" t="s">
        <v>2246</v>
      </c>
      <c r="AM1" s="3" t="s">
        <v>760</v>
      </c>
      <c r="AN1" s="3" t="s">
        <v>2247</v>
      </c>
      <c r="AO1" s="3" t="s">
        <v>1235</v>
      </c>
      <c r="AP1" s="3" t="s">
        <v>759</v>
      </c>
      <c r="AQ1" s="3" t="s">
        <v>2248</v>
      </c>
      <c r="AR1" s="3" t="s">
        <v>2249</v>
      </c>
      <c r="AS1" s="3" t="s">
        <v>2250</v>
      </c>
      <c r="AT1" s="3" t="s">
        <v>2251</v>
      </c>
      <c r="AU1" s="3" t="s">
        <v>2252</v>
      </c>
      <c r="AV1" s="3" t="s">
        <v>2253</v>
      </c>
      <c r="AW1" s="3" t="s">
        <v>2254</v>
      </c>
      <c r="AX1" s="3" t="s">
        <v>2255</v>
      </c>
      <c r="AY1" s="3" t="s">
        <v>2256</v>
      </c>
      <c r="AZ1" s="3" t="s">
        <v>2257</v>
      </c>
      <c r="BA1" s="3" t="s">
        <v>2258</v>
      </c>
      <c r="BB1" s="3" t="s">
        <v>1715</v>
      </c>
      <c r="BC1" s="3" t="s">
        <v>71</v>
      </c>
      <c r="BD1" s="3" t="s">
        <v>2259</v>
      </c>
      <c r="BE1" s="3" t="s">
        <v>2260</v>
      </c>
      <c r="BF1" s="3" t="s">
        <v>2261</v>
      </c>
      <c r="BG1" s="3" t="s">
        <v>2262</v>
      </c>
      <c r="BH1" s="3" t="s">
        <v>2263</v>
      </c>
    </row>
    <row r="2" spans="1:60" ht="32" customHeight="1" x14ac:dyDescent="0.35">
      <c r="A2" s="13" t="s">
        <v>2264</v>
      </c>
      <c r="B2" s="6" t="s">
        <v>2265</v>
      </c>
      <c r="C2" s="5" t="s">
        <v>1661</v>
      </c>
      <c r="D2" s="5" t="s">
        <v>2191</v>
      </c>
      <c r="E2" s="5" t="s">
        <v>2266</v>
      </c>
      <c r="F2" s="5" t="s">
        <v>2267</v>
      </c>
      <c r="G2" s="5" t="s">
        <v>2268</v>
      </c>
      <c r="H2" s="5" t="s">
        <v>2269</v>
      </c>
      <c r="I2" s="5" t="s">
        <v>2270</v>
      </c>
      <c r="J2" s="16" t="s">
        <v>94</v>
      </c>
      <c r="K2" s="17" t="s">
        <v>1477</v>
      </c>
      <c r="L2" s="5" t="s">
        <v>2271</v>
      </c>
      <c r="M2" s="6" t="s">
        <v>1493</v>
      </c>
      <c r="N2" s="6" t="s">
        <v>2167</v>
      </c>
      <c r="O2" s="6" t="s">
        <v>94</v>
      </c>
      <c r="P2" s="5" t="s">
        <v>2272</v>
      </c>
      <c r="Q2" s="17" t="s">
        <v>2273</v>
      </c>
      <c r="R2" s="5" t="s">
        <v>2274</v>
      </c>
      <c r="S2" s="6" t="s">
        <v>2275</v>
      </c>
      <c r="T2" s="5" t="s">
        <v>2276</v>
      </c>
      <c r="U2" s="6"/>
      <c r="V2" s="6" t="s">
        <v>2277</v>
      </c>
      <c r="W2" s="6" t="s">
        <v>1697</v>
      </c>
      <c r="X2" s="5" t="s">
        <v>228</v>
      </c>
      <c r="Y2" s="5" t="s">
        <v>760</v>
      </c>
      <c r="Z2" s="5" t="str">
        <f t="shared" ref="Z2:Z65" si="0">IF(AL2&gt;=18,"Critical",IF(AL2&gt;=9,"High",IF(AL2&gt;=4,"Medium","Low")))</f>
        <v>High</v>
      </c>
      <c r="AA2" s="5" t="s">
        <v>1302</v>
      </c>
      <c r="AB2" s="6" t="s">
        <v>1355</v>
      </c>
      <c r="AC2" s="6" t="s">
        <v>99</v>
      </c>
      <c r="AD2" s="5" t="s">
        <v>2278</v>
      </c>
      <c r="AE2" s="5" t="s">
        <v>1720</v>
      </c>
      <c r="AF2" s="5" t="s">
        <v>1720</v>
      </c>
      <c r="AG2" s="5" t="s">
        <v>1720</v>
      </c>
      <c r="AH2" s="5" t="s">
        <v>1720</v>
      </c>
      <c r="AI2" s="6" t="str">
        <f t="shared" ref="AI2:AI65" si="1">IF(AND(AU2="Pass",AE2&lt;&gt;"Not verified",AF2&lt;&gt;"Not verified",AG2&lt;&gt;"Not verified",AH2&lt;&gt;"Not verified",BC2="Yes",BD2="Yes"),"Yes","No")</f>
        <v>No</v>
      </c>
      <c r="AJ2" s="6" t="s">
        <v>2279</v>
      </c>
      <c r="AK2" s="6" t="s">
        <v>94</v>
      </c>
      <c r="AL2" s="6">
        <f>MATCH(AA2,{"Low","Medium","High"},0)*MATCH(AB2,{"Low","Medium","High"},0)*INDEX({3,2,2,1,1},MATCH(X2,{"Core","Vertical extension","Differentiator","Future","Adjacent"},0))</f>
        <v>9</v>
      </c>
      <c r="AM2" s="5"/>
      <c r="AN2" s="5"/>
      <c r="AO2" s="5"/>
      <c r="AP2" s="5"/>
      <c r="AQ2" s="5"/>
      <c r="AR2" s="5" t="s">
        <v>2280</v>
      </c>
      <c r="AS2" s="5" t="s">
        <v>1462</v>
      </c>
      <c r="AT2" s="5" t="s">
        <v>2281</v>
      </c>
      <c r="AU2" s="6" t="s">
        <v>2282</v>
      </c>
      <c r="AV2" s="6" t="s">
        <v>74</v>
      </c>
      <c r="AW2" s="6" t="s">
        <v>2283</v>
      </c>
      <c r="AX2" s="6" t="s">
        <v>2284</v>
      </c>
      <c r="AY2" s="6" t="s">
        <v>2285</v>
      </c>
      <c r="AZ2" s="6"/>
      <c r="BA2" s="6"/>
      <c r="BB2" s="6"/>
      <c r="BC2" s="6" t="s">
        <v>127</v>
      </c>
      <c r="BD2" s="6" t="s">
        <v>127</v>
      </c>
      <c r="BE2" s="6" t="s">
        <v>1477</v>
      </c>
      <c r="BF2" s="6" t="s">
        <v>2286</v>
      </c>
      <c r="BG2" s="6" t="s">
        <v>2287</v>
      </c>
      <c r="BH2" s="6" t="s">
        <v>2288</v>
      </c>
    </row>
    <row r="3" spans="1:60" ht="32" customHeight="1" x14ac:dyDescent="0.35">
      <c r="A3" s="13" t="s">
        <v>2289</v>
      </c>
      <c r="B3" s="6" t="s">
        <v>2265</v>
      </c>
      <c r="C3" s="5" t="s">
        <v>1661</v>
      </c>
      <c r="D3" s="5" t="s">
        <v>2195</v>
      </c>
      <c r="E3" s="5" t="s">
        <v>2290</v>
      </c>
      <c r="F3" s="5" t="s">
        <v>2267</v>
      </c>
      <c r="G3" s="5" t="s">
        <v>2268</v>
      </c>
      <c r="H3" s="5" t="s">
        <v>2291</v>
      </c>
      <c r="I3" s="5" t="s">
        <v>2292</v>
      </c>
      <c r="J3" s="16" t="s">
        <v>94</v>
      </c>
      <c r="K3" s="17" t="s">
        <v>1477</v>
      </c>
      <c r="L3" s="5" t="s">
        <v>2293</v>
      </c>
      <c r="M3" s="6" t="s">
        <v>1493</v>
      </c>
      <c r="N3" s="6" t="s">
        <v>2167</v>
      </c>
      <c r="O3" s="6" t="s">
        <v>94</v>
      </c>
      <c r="P3" s="5" t="s">
        <v>2272</v>
      </c>
      <c r="Q3" s="18" t="s">
        <v>1482</v>
      </c>
      <c r="R3" s="5" t="s">
        <v>2294</v>
      </c>
      <c r="S3" s="6" t="s">
        <v>2295</v>
      </c>
      <c r="T3" s="5" t="s">
        <v>2296</v>
      </c>
      <c r="U3" s="6"/>
      <c r="V3" s="6" t="s">
        <v>2297</v>
      </c>
      <c r="W3" s="6" t="s">
        <v>1697</v>
      </c>
      <c r="X3" s="5" t="s">
        <v>228</v>
      </c>
      <c r="Y3" s="5" t="s">
        <v>760</v>
      </c>
      <c r="Z3" s="5" t="str">
        <f t="shared" si="0"/>
        <v>High</v>
      </c>
      <c r="AA3" s="5" t="s">
        <v>1302</v>
      </c>
      <c r="AB3" s="6" t="s">
        <v>1355</v>
      </c>
      <c r="AC3" s="6" t="s">
        <v>99</v>
      </c>
      <c r="AD3" s="5" t="s">
        <v>2278</v>
      </c>
      <c r="AE3" s="5" t="s">
        <v>1720</v>
      </c>
      <c r="AF3" s="5" t="s">
        <v>1720</v>
      </c>
      <c r="AG3" s="5" t="s">
        <v>1720</v>
      </c>
      <c r="AH3" s="5" t="s">
        <v>1720</v>
      </c>
      <c r="AI3" s="6" t="str">
        <f t="shared" si="1"/>
        <v>No</v>
      </c>
      <c r="AJ3" s="6" t="s">
        <v>2298</v>
      </c>
      <c r="AK3" s="6" t="s">
        <v>94</v>
      </c>
      <c r="AL3" s="6">
        <f>MATCH(AA3,{"Low","Medium","High"},0)*MATCH(AB3,{"Low","Medium","High"},0)*INDEX({3,2,2,1,1},MATCH(X3,{"Core","Vertical extension","Differentiator","Future","Adjacent"},0))</f>
        <v>9</v>
      </c>
      <c r="AM3" s="5"/>
      <c r="AN3" s="5"/>
      <c r="AO3" s="5"/>
      <c r="AP3" s="5"/>
      <c r="AQ3" s="5"/>
      <c r="AR3" s="5" t="s">
        <v>2280</v>
      </c>
      <c r="AS3" s="5" t="s">
        <v>1462</v>
      </c>
      <c r="AT3" s="5" t="s">
        <v>2281</v>
      </c>
      <c r="AU3" s="6" t="s">
        <v>95</v>
      </c>
      <c r="AV3" s="6" t="s">
        <v>74</v>
      </c>
      <c r="AW3" s="6" t="s">
        <v>2283</v>
      </c>
      <c r="AX3" s="6" t="s">
        <v>2284</v>
      </c>
      <c r="AY3" s="6" t="s">
        <v>2285</v>
      </c>
      <c r="AZ3" s="6"/>
      <c r="BA3" s="6" t="s">
        <v>2299</v>
      </c>
      <c r="BB3" s="6" t="s">
        <v>2300</v>
      </c>
      <c r="BC3" s="6" t="s">
        <v>127</v>
      </c>
      <c r="BD3" s="6" t="s">
        <v>127</v>
      </c>
      <c r="BE3" s="6"/>
      <c r="BF3" s="6"/>
      <c r="BG3" s="6"/>
      <c r="BH3" s="6"/>
    </row>
    <row r="4" spans="1:60" ht="32" customHeight="1" x14ac:dyDescent="0.35">
      <c r="A4" s="13" t="s">
        <v>2301</v>
      </c>
      <c r="B4" s="6" t="s">
        <v>2265</v>
      </c>
      <c r="C4" s="5" t="s">
        <v>1661</v>
      </c>
      <c r="D4" s="5" t="s">
        <v>2195</v>
      </c>
      <c r="E4" s="5" t="s">
        <v>2302</v>
      </c>
      <c r="F4" s="5" t="s">
        <v>2267</v>
      </c>
      <c r="G4" s="5" t="s">
        <v>2268</v>
      </c>
      <c r="H4" s="5" t="s">
        <v>2303</v>
      </c>
      <c r="I4" s="5" t="s">
        <v>2304</v>
      </c>
      <c r="J4" s="16" t="s">
        <v>94</v>
      </c>
      <c r="K4" s="17" t="s">
        <v>1477</v>
      </c>
      <c r="L4" s="5" t="s">
        <v>2305</v>
      </c>
      <c r="M4" s="6" t="s">
        <v>1493</v>
      </c>
      <c r="N4" s="6" t="s">
        <v>2167</v>
      </c>
      <c r="O4" s="6" t="s">
        <v>94</v>
      </c>
      <c r="P4" s="5" t="s">
        <v>2272</v>
      </c>
      <c r="Q4" s="17" t="s">
        <v>2273</v>
      </c>
      <c r="R4" s="5" t="s">
        <v>2306</v>
      </c>
      <c r="S4" s="6" t="s">
        <v>2295</v>
      </c>
      <c r="T4" s="5" t="s">
        <v>2296</v>
      </c>
      <c r="U4" s="6"/>
      <c r="V4" s="6" t="s">
        <v>2297</v>
      </c>
      <c r="W4" s="6" t="s">
        <v>1697</v>
      </c>
      <c r="X4" s="5" t="s">
        <v>228</v>
      </c>
      <c r="Y4" s="5" t="s">
        <v>760</v>
      </c>
      <c r="Z4" s="5" t="str">
        <f t="shared" si="0"/>
        <v>High</v>
      </c>
      <c r="AA4" s="5" t="s">
        <v>1302</v>
      </c>
      <c r="AB4" s="6" t="s">
        <v>1355</v>
      </c>
      <c r="AC4" s="6" t="s">
        <v>99</v>
      </c>
      <c r="AD4" s="5" t="s">
        <v>2278</v>
      </c>
      <c r="AE4" s="5" t="s">
        <v>1720</v>
      </c>
      <c r="AF4" s="5" t="s">
        <v>1720</v>
      </c>
      <c r="AG4" s="5" t="s">
        <v>1720</v>
      </c>
      <c r="AH4" s="5" t="s">
        <v>1720</v>
      </c>
      <c r="AI4" s="6" t="str">
        <f t="shared" si="1"/>
        <v>No</v>
      </c>
      <c r="AJ4" s="6" t="s">
        <v>2298</v>
      </c>
      <c r="AK4" s="6" t="s">
        <v>94</v>
      </c>
      <c r="AL4" s="6">
        <f>MATCH(AA4,{"Low","Medium","High"},0)*MATCH(AB4,{"Low","Medium","High"},0)*INDEX({3,2,2,1,1},MATCH(X4,{"Core","Vertical extension","Differentiator","Future","Adjacent"},0))</f>
        <v>9</v>
      </c>
      <c r="AM4" s="5"/>
      <c r="AN4" s="5"/>
      <c r="AO4" s="5"/>
      <c r="AP4" s="5"/>
      <c r="AQ4" s="5"/>
      <c r="AR4" s="5" t="s">
        <v>2307</v>
      </c>
      <c r="AS4" s="5" t="s">
        <v>1462</v>
      </c>
      <c r="AT4" s="5" t="s">
        <v>2281</v>
      </c>
      <c r="AU4" s="6" t="s">
        <v>95</v>
      </c>
      <c r="AV4" s="6" t="s">
        <v>74</v>
      </c>
      <c r="AW4" s="6" t="s">
        <v>2283</v>
      </c>
      <c r="AX4" s="6" t="s">
        <v>2284</v>
      </c>
      <c r="AY4" s="6" t="s">
        <v>2285</v>
      </c>
      <c r="AZ4" s="6"/>
      <c r="BA4" s="6"/>
      <c r="BB4" s="6"/>
      <c r="BC4" s="6" t="s">
        <v>127</v>
      </c>
      <c r="BD4" s="6" t="s">
        <v>127</v>
      </c>
      <c r="BE4" s="6" t="s">
        <v>1477</v>
      </c>
      <c r="BF4" s="6" t="s">
        <v>2286</v>
      </c>
      <c r="BG4" s="6" t="s">
        <v>2308</v>
      </c>
      <c r="BH4" s="6" t="s">
        <v>2309</v>
      </c>
    </row>
    <row r="5" spans="1:60" ht="32" customHeight="1" x14ac:dyDescent="0.35">
      <c r="A5" s="13" t="s">
        <v>2310</v>
      </c>
      <c r="B5" s="6" t="s">
        <v>2265</v>
      </c>
      <c r="C5" s="5" t="s">
        <v>1661</v>
      </c>
      <c r="D5" s="5" t="s">
        <v>2191</v>
      </c>
      <c r="E5" s="5" t="s">
        <v>2311</v>
      </c>
      <c r="F5" s="5" t="s">
        <v>2267</v>
      </c>
      <c r="G5" s="5" t="s">
        <v>2312</v>
      </c>
      <c r="H5" s="5" t="s">
        <v>2313</v>
      </c>
      <c r="I5" s="5" t="s">
        <v>2314</v>
      </c>
      <c r="J5" s="17" t="s">
        <v>162</v>
      </c>
      <c r="K5" s="17" t="s">
        <v>1477</v>
      </c>
      <c r="L5" s="5" t="s">
        <v>2315</v>
      </c>
      <c r="M5" s="6" t="s">
        <v>1493</v>
      </c>
      <c r="N5" s="6" t="s">
        <v>2167</v>
      </c>
      <c r="O5" s="6" t="s">
        <v>162</v>
      </c>
      <c r="P5" s="5" t="s">
        <v>2272</v>
      </c>
      <c r="Q5" s="18" t="s">
        <v>1482</v>
      </c>
      <c r="R5" s="5" t="s">
        <v>2316</v>
      </c>
      <c r="S5" s="6" t="s">
        <v>2275</v>
      </c>
      <c r="T5" s="5" t="s">
        <v>2276</v>
      </c>
      <c r="U5" s="6"/>
      <c r="V5" s="6" t="s">
        <v>2277</v>
      </c>
      <c r="W5" s="6" t="s">
        <v>1697</v>
      </c>
      <c r="X5" s="5" t="s">
        <v>228</v>
      </c>
      <c r="Y5" s="5" t="s">
        <v>760</v>
      </c>
      <c r="Z5" s="5" t="str">
        <f t="shared" si="0"/>
        <v>Medium</v>
      </c>
      <c r="AA5" s="5" t="s">
        <v>1319</v>
      </c>
      <c r="AB5" s="6" t="s">
        <v>1355</v>
      </c>
      <c r="AC5" s="6" t="s">
        <v>135</v>
      </c>
      <c r="AD5" s="5" t="s">
        <v>2278</v>
      </c>
      <c r="AE5" s="5" t="s">
        <v>1720</v>
      </c>
      <c r="AF5" s="5" t="s">
        <v>1720</v>
      </c>
      <c r="AG5" s="5" t="s">
        <v>1720</v>
      </c>
      <c r="AH5" s="5" t="s">
        <v>1720</v>
      </c>
      <c r="AI5" s="6" t="str">
        <f t="shared" si="1"/>
        <v>No</v>
      </c>
      <c r="AJ5" s="6" t="s">
        <v>2298</v>
      </c>
      <c r="AK5" s="6" t="s">
        <v>162</v>
      </c>
      <c r="AL5" s="6">
        <f>MATCH(AA5,{"Low","Medium","High"},0)*MATCH(AB5,{"Low","Medium","High"},0)*INDEX({3,2,2,1,1},MATCH(X5,{"Core","Vertical extension","Differentiator","Future","Adjacent"},0))</f>
        <v>6</v>
      </c>
      <c r="AM5" s="5"/>
      <c r="AN5" s="5"/>
      <c r="AO5" s="5"/>
      <c r="AP5" s="5"/>
      <c r="AQ5" s="5"/>
      <c r="AR5" s="5"/>
      <c r="AS5" s="5"/>
      <c r="AT5" s="5"/>
      <c r="AU5" s="6" t="s">
        <v>2317</v>
      </c>
      <c r="AV5" s="6" t="s">
        <v>74</v>
      </c>
      <c r="AW5" s="6" t="s">
        <v>2283</v>
      </c>
      <c r="AX5" s="6" t="s">
        <v>2284</v>
      </c>
      <c r="AY5" s="6" t="s">
        <v>2285</v>
      </c>
      <c r="AZ5" s="6"/>
      <c r="BA5" s="6"/>
      <c r="BB5" s="6"/>
      <c r="BC5" s="6" t="s">
        <v>127</v>
      </c>
      <c r="BD5" s="6" t="s">
        <v>127</v>
      </c>
      <c r="BE5" s="6"/>
      <c r="BF5" s="6"/>
      <c r="BG5" s="6"/>
      <c r="BH5" s="6"/>
    </row>
    <row r="6" spans="1:60" ht="32" customHeight="1" x14ac:dyDescent="0.35">
      <c r="A6" s="13" t="s">
        <v>2318</v>
      </c>
      <c r="B6" s="6" t="s">
        <v>2265</v>
      </c>
      <c r="C6" s="5" t="s">
        <v>1661</v>
      </c>
      <c r="D6" s="5" t="s">
        <v>2189</v>
      </c>
      <c r="E6" s="5" t="s">
        <v>2319</v>
      </c>
      <c r="F6" s="5" t="s">
        <v>2320</v>
      </c>
      <c r="G6" s="5" t="s">
        <v>2267</v>
      </c>
      <c r="H6" s="5" t="s">
        <v>2321</v>
      </c>
      <c r="I6" s="5" t="s">
        <v>2322</v>
      </c>
      <c r="J6" s="17" t="s">
        <v>162</v>
      </c>
      <c r="K6" s="17" t="s">
        <v>1477</v>
      </c>
      <c r="L6" s="5" t="s">
        <v>2323</v>
      </c>
      <c r="M6" s="6" t="s">
        <v>1493</v>
      </c>
      <c r="N6" s="6" t="s">
        <v>2167</v>
      </c>
      <c r="O6" s="6" t="s">
        <v>162</v>
      </c>
      <c r="P6" s="5" t="s">
        <v>2272</v>
      </c>
      <c r="Q6" s="18" t="s">
        <v>1482</v>
      </c>
      <c r="R6" s="5" t="s">
        <v>2324</v>
      </c>
      <c r="S6" s="6" t="s">
        <v>2325</v>
      </c>
      <c r="T6" s="5" t="s">
        <v>2326</v>
      </c>
      <c r="U6" s="6"/>
      <c r="V6" s="6" t="s">
        <v>2327</v>
      </c>
      <c r="W6" s="6" t="s">
        <v>1699</v>
      </c>
      <c r="X6" s="5" t="s">
        <v>228</v>
      </c>
      <c r="Y6" s="5" t="s">
        <v>760</v>
      </c>
      <c r="Z6" s="5" t="str">
        <f t="shared" si="0"/>
        <v>Medium</v>
      </c>
      <c r="AA6" s="5" t="s">
        <v>1319</v>
      </c>
      <c r="AB6" s="6" t="s">
        <v>1355</v>
      </c>
      <c r="AC6" s="6" t="s">
        <v>135</v>
      </c>
      <c r="AD6" s="5" t="s">
        <v>2278</v>
      </c>
      <c r="AE6" s="5" t="s">
        <v>1720</v>
      </c>
      <c r="AF6" s="5" t="s">
        <v>1720</v>
      </c>
      <c r="AG6" s="5" t="s">
        <v>1720</v>
      </c>
      <c r="AH6" s="5" t="s">
        <v>1720</v>
      </c>
      <c r="AI6" s="6" t="str">
        <f t="shared" si="1"/>
        <v>No</v>
      </c>
      <c r="AJ6" s="6" t="s">
        <v>2298</v>
      </c>
      <c r="AK6" s="6" t="s">
        <v>162</v>
      </c>
      <c r="AL6" s="6">
        <f>MATCH(AA6,{"Low","Medium","High"},0)*MATCH(AB6,{"Low","Medium","High"},0)*INDEX({3,2,2,1,1},MATCH(X6,{"Core","Vertical extension","Differentiator","Future","Adjacent"},0))</f>
        <v>6</v>
      </c>
      <c r="AM6" s="5"/>
      <c r="AN6" s="5"/>
      <c r="AO6" s="5"/>
      <c r="AP6" s="5"/>
      <c r="AQ6" s="5"/>
      <c r="AR6" s="5"/>
      <c r="AS6" s="5"/>
      <c r="AT6" s="5"/>
      <c r="AU6" s="6" t="s">
        <v>2317</v>
      </c>
      <c r="AV6" s="6" t="s">
        <v>74</v>
      </c>
      <c r="AW6" s="6" t="s">
        <v>74</v>
      </c>
      <c r="AX6" s="6" t="s">
        <v>2284</v>
      </c>
      <c r="AY6" s="6" t="s">
        <v>2285</v>
      </c>
      <c r="AZ6" s="6"/>
      <c r="BA6" s="6" t="s">
        <v>2328</v>
      </c>
      <c r="BB6" s="6" t="s">
        <v>2329</v>
      </c>
      <c r="BC6" s="6" t="s">
        <v>127</v>
      </c>
      <c r="BD6" s="6" t="s">
        <v>127</v>
      </c>
      <c r="BE6" s="6"/>
      <c r="BF6" s="6"/>
      <c r="BG6" s="6"/>
      <c r="BH6" s="6"/>
    </row>
    <row r="7" spans="1:60" ht="32" customHeight="1" x14ac:dyDescent="0.35">
      <c r="A7" s="13" t="s">
        <v>2330</v>
      </c>
      <c r="B7" s="6" t="s">
        <v>2265</v>
      </c>
      <c r="C7" s="5" t="s">
        <v>1661</v>
      </c>
      <c r="D7" s="5" t="s">
        <v>2195</v>
      </c>
      <c r="E7" s="5" t="s">
        <v>2331</v>
      </c>
      <c r="F7" s="5" t="s">
        <v>2320</v>
      </c>
      <c r="G7" s="5" t="s">
        <v>2267</v>
      </c>
      <c r="H7" s="5" t="s">
        <v>2332</v>
      </c>
      <c r="I7" s="5" t="s">
        <v>2333</v>
      </c>
      <c r="J7" s="17" t="s">
        <v>162</v>
      </c>
      <c r="K7" s="17" t="s">
        <v>95</v>
      </c>
      <c r="L7" s="5" t="s">
        <v>2334</v>
      </c>
      <c r="M7" s="6" t="s">
        <v>1493</v>
      </c>
      <c r="N7" s="6" t="s">
        <v>2167</v>
      </c>
      <c r="O7" s="6" t="s">
        <v>162</v>
      </c>
      <c r="P7" s="5" t="s">
        <v>2272</v>
      </c>
      <c r="Q7" s="17" t="s">
        <v>163</v>
      </c>
      <c r="R7" s="5" t="s">
        <v>2335</v>
      </c>
      <c r="S7" s="6" t="s">
        <v>2295</v>
      </c>
      <c r="T7" s="5" t="s">
        <v>2296</v>
      </c>
      <c r="U7" s="6"/>
      <c r="V7" s="6" t="s">
        <v>2297</v>
      </c>
      <c r="W7" s="6" t="s">
        <v>1697</v>
      </c>
      <c r="X7" s="5" t="s">
        <v>228</v>
      </c>
      <c r="Y7" s="5" t="s">
        <v>760</v>
      </c>
      <c r="Z7" s="5" t="str">
        <f t="shared" si="0"/>
        <v>High</v>
      </c>
      <c r="AA7" s="5" t="s">
        <v>1302</v>
      </c>
      <c r="AB7" s="6" t="s">
        <v>1355</v>
      </c>
      <c r="AC7" s="6" t="s">
        <v>135</v>
      </c>
      <c r="AD7" s="5" t="s">
        <v>1805</v>
      </c>
      <c r="AE7" s="5" t="s">
        <v>1720</v>
      </c>
      <c r="AF7" s="5" t="s">
        <v>1720</v>
      </c>
      <c r="AG7" s="5" t="s">
        <v>1720</v>
      </c>
      <c r="AH7" s="5" t="s">
        <v>1720</v>
      </c>
      <c r="AI7" s="6" t="str">
        <f t="shared" si="1"/>
        <v>No</v>
      </c>
      <c r="AJ7" s="6" t="s">
        <v>229</v>
      </c>
      <c r="AK7" s="6" t="s">
        <v>162</v>
      </c>
      <c r="AL7" s="6">
        <f>MATCH(AA7,{"Low","Medium","High"},0)*MATCH(AB7,{"Low","Medium","High"},0)*INDEX({3,2,2,1,1},MATCH(X7,{"Core","Vertical extension","Differentiator","Future","Adjacent"},0))</f>
        <v>9</v>
      </c>
      <c r="AM7" s="5"/>
      <c r="AN7" s="5"/>
      <c r="AO7" s="5"/>
      <c r="AP7" s="5"/>
      <c r="AQ7" s="5"/>
      <c r="AR7" s="5"/>
      <c r="AS7" s="5"/>
      <c r="AT7" s="5"/>
      <c r="AU7" s="6" t="s">
        <v>2317</v>
      </c>
      <c r="AV7" s="6" t="s">
        <v>74</v>
      </c>
      <c r="AW7" s="6" t="s">
        <v>74</v>
      </c>
      <c r="AX7" s="6" t="s">
        <v>2284</v>
      </c>
      <c r="AY7" s="6" t="s">
        <v>2285</v>
      </c>
      <c r="AZ7" s="6"/>
      <c r="BA7" s="6"/>
      <c r="BB7" s="6"/>
      <c r="BC7" s="6" t="s">
        <v>127</v>
      </c>
      <c r="BD7" s="6" t="s">
        <v>127</v>
      </c>
      <c r="BE7" s="6" t="s">
        <v>1477</v>
      </c>
      <c r="BF7" s="6" t="s">
        <v>288</v>
      </c>
      <c r="BG7" s="6" t="s">
        <v>2336</v>
      </c>
      <c r="BH7" s="6" t="s">
        <v>2337</v>
      </c>
    </row>
    <row r="8" spans="1:60" ht="32" customHeight="1" x14ac:dyDescent="0.35">
      <c r="A8" s="13" t="s">
        <v>2338</v>
      </c>
      <c r="B8" s="6" t="s">
        <v>2265</v>
      </c>
      <c r="C8" s="5" t="s">
        <v>1661</v>
      </c>
      <c r="D8" s="5" t="s">
        <v>2187</v>
      </c>
      <c r="E8" s="5" t="s">
        <v>2339</v>
      </c>
      <c r="F8" s="5" t="s">
        <v>2320</v>
      </c>
      <c r="G8" s="5" t="s">
        <v>2340</v>
      </c>
      <c r="H8" s="5" t="s">
        <v>2341</v>
      </c>
      <c r="I8" s="5" t="s">
        <v>2342</v>
      </c>
      <c r="J8" s="17" t="s">
        <v>162</v>
      </c>
      <c r="K8" s="17" t="s">
        <v>1477</v>
      </c>
      <c r="L8" s="5" t="s">
        <v>2343</v>
      </c>
      <c r="M8" s="6" t="s">
        <v>1493</v>
      </c>
      <c r="N8" s="6" t="s">
        <v>2167</v>
      </c>
      <c r="O8" s="6" t="s">
        <v>162</v>
      </c>
      <c r="P8" s="5" t="s">
        <v>2272</v>
      </c>
      <c r="Q8" s="17" t="s">
        <v>2273</v>
      </c>
      <c r="R8" s="5" t="s">
        <v>2344</v>
      </c>
      <c r="S8" s="6" t="s">
        <v>2345</v>
      </c>
      <c r="T8" s="5" t="s">
        <v>2346</v>
      </c>
      <c r="U8" s="6"/>
      <c r="V8" s="6" t="s">
        <v>2347</v>
      </c>
      <c r="W8" s="6" t="s">
        <v>1697</v>
      </c>
      <c r="X8" s="5" t="s">
        <v>228</v>
      </c>
      <c r="Y8" s="5" t="s">
        <v>760</v>
      </c>
      <c r="Z8" s="5" t="str">
        <f t="shared" si="0"/>
        <v>High</v>
      </c>
      <c r="AA8" s="5" t="s">
        <v>1302</v>
      </c>
      <c r="AB8" s="6" t="s">
        <v>1355</v>
      </c>
      <c r="AC8" s="6" t="s">
        <v>135</v>
      </c>
      <c r="AD8" s="5" t="s">
        <v>2278</v>
      </c>
      <c r="AE8" s="5" t="s">
        <v>1720</v>
      </c>
      <c r="AF8" s="5" t="s">
        <v>1720</v>
      </c>
      <c r="AG8" s="5" t="s">
        <v>1720</v>
      </c>
      <c r="AH8" s="5" t="s">
        <v>1720</v>
      </c>
      <c r="AI8" s="6" t="str">
        <f t="shared" si="1"/>
        <v>No</v>
      </c>
      <c r="AJ8" s="6" t="s">
        <v>2298</v>
      </c>
      <c r="AK8" s="6" t="s">
        <v>162</v>
      </c>
      <c r="AL8" s="6">
        <f>MATCH(AA8,{"Low","Medium","High"},0)*MATCH(AB8,{"Low","Medium","High"},0)*INDEX({3,2,2,1,1},MATCH(X8,{"Core","Vertical extension","Differentiator","Future","Adjacent"},0))</f>
        <v>9</v>
      </c>
      <c r="AM8" s="5"/>
      <c r="AN8" s="5"/>
      <c r="AO8" s="5"/>
      <c r="AP8" s="5"/>
      <c r="AQ8" s="5"/>
      <c r="AR8" s="5"/>
      <c r="AS8" s="5"/>
      <c r="AT8" s="5"/>
      <c r="AU8" s="6" t="s">
        <v>2317</v>
      </c>
      <c r="AV8" s="6" t="s">
        <v>74</v>
      </c>
      <c r="AW8" s="6" t="s">
        <v>74</v>
      </c>
      <c r="AX8" s="6" t="s">
        <v>2284</v>
      </c>
      <c r="AY8" s="6" t="s">
        <v>2285</v>
      </c>
      <c r="AZ8" s="6"/>
      <c r="BA8" s="6" t="s">
        <v>2348</v>
      </c>
      <c r="BB8" s="6" t="s">
        <v>2349</v>
      </c>
      <c r="BC8" s="6" t="s">
        <v>127</v>
      </c>
      <c r="BD8" s="6" t="s">
        <v>127</v>
      </c>
      <c r="BE8" s="6" t="s">
        <v>1477</v>
      </c>
      <c r="BF8" s="6" t="s">
        <v>2286</v>
      </c>
      <c r="BG8" s="6" t="s">
        <v>2350</v>
      </c>
      <c r="BH8" s="6" t="s">
        <v>2351</v>
      </c>
    </row>
    <row r="9" spans="1:60" ht="32" customHeight="1" x14ac:dyDescent="0.35">
      <c r="A9" s="13" t="s">
        <v>2352</v>
      </c>
      <c r="B9" s="6" t="s">
        <v>2265</v>
      </c>
      <c r="C9" s="5" t="s">
        <v>1661</v>
      </c>
      <c r="D9" s="5" t="s">
        <v>2196</v>
      </c>
      <c r="E9" s="5" t="s">
        <v>2353</v>
      </c>
      <c r="F9" s="5" t="s">
        <v>2267</v>
      </c>
      <c r="G9" s="5" t="s">
        <v>2320</v>
      </c>
      <c r="H9" s="5" t="s">
        <v>2354</v>
      </c>
      <c r="I9" s="5" t="s">
        <v>2355</v>
      </c>
      <c r="J9" s="19" t="s">
        <v>204</v>
      </c>
      <c r="K9" s="17" t="s">
        <v>95</v>
      </c>
      <c r="L9" s="5" t="s">
        <v>2356</v>
      </c>
      <c r="M9" s="6" t="s">
        <v>1493</v>
      </c>
      <c r="N9" s="6" t="s">
        <v>2167</v>
      </c>
      <c r="O9" s="6" t="s">
        <v>204</v>
      </c>
      <c r="P9" s="5" t="s">
        <v>2272</v>
      </c>
      <c r="Q9" s="17" t="s">
        <v>95</v>
      </c>
      <c r="R9" s="5" t="s">
        <v>2357</v>
      </c>
      <c r="S9" s="6" t="s">
        <v>2358</v>
      </c>
      <c r="T9" s="5" t="s">
        <v>2359</v>
      </c>
      <c r="U9" s="6"/>
      <c r="V9" s="6" t="s">
        <v>2360</v>
      </c>
      <c r="W9" s="6" t="s">
        <v>1703</v>
      </c>
      <c r="X9" s="5" t="s">
        <v>228</v>
      </c>
      <c r="Y9" s="5" t="s">
        <v>760</v>
      </c>
      <c r="Z9" s="5" t="str">
        <f t="shared" si="0"/>
        <v>Medium</v>
      </c>
      <c r="AA9" s="5" t="s">
        <v>1319</v>
      </c>
      <c r="AB9" s="6" t="s">
        <v>1355</v>
      </c>
      <c r="AC9" s="6" t="s">
        <v>32</v>
      </c>
      <c r="AD9" s="5" t="s">
        <v>95</v>
      </c>
      <c r="AE9" s="5" t="s">
        <v>1720</v>
      </c>
      <c r="AF9" s="5" t="s">
        <v>1720</v>
      </c>
      <c r="AG9" s="5" t="s">
        <v>1720</v>
      </c>
      <c r="AH9" s="5" t="s">
        <v>1720</v>
      </c>
      <c r="AI9" s="6" t="str">
        <f t="shared" si="1"/>
        <v>No</v>
      </c>
      <c r="AJ9" s="6" t="s">
        <v>229</v>
      </c>
      <c r="AK9" s="6" t="s">
        <v>204</v>
      </c>
      <c r="AL9" s="6">
        <f>MATCH(AA9,{"Low","Medium","High"},0)*MATCH(AB9,{"Low","Medium","High"},0)*INDEX({3,2,2,1,1},MATCH(X9,{"Core","Vertical extension","Differentiator","Future","Adjacent"},0))</f>
        <v>6</v>
      </c>
      <c r="AM9" s="5"/>
      <c r="AN9" s="5"/>
      <c r="AO9" s="5"/>
      <c r="AP9" s="5"/>
      <c r="AQ9" s="5"/>
      <c r="AR9" s="5"/>
      <c r="AS9" s="5"/>
      <c r="AT9" s="5"/>
      <c r="AU9" s="6" t="s">
        <v>2317</v>
      </c>
      <c r="AV9" s="6" t="s">
        <v>74</v>
      </c>
      <c r="AW9" s="6" t="s">
        <v>2283</v>
      </c>
      <c r="AX9" s="6" t="s">
        <v>2284</v>
      </c>
      <c r="AY9" s="6" t="s">
        <v>2285</v>
      </c>
      <c r="AZ9" s="6"/>
      <c r="BA9" s="6"/>
      <c r="BB9" s="6"/>
      <c r="BC9" s="6" t="s">
        <v>127</v>
      </c>
      <c r="BD9" s="6" t="s">
        <v>127</v>
      </c>
      <c r="BE9" s="6" t="s">
        <v>1477</v>
      </c>
      <c r="BF9" s="6" t="s">
        <v>95</v>
      </c>
      <c r="BG9" s="6" t="s">
        <v>2361</v>
      </c>
      <c r="BH9" s="6" t="s">
        <v>2362</v>
      </c>
    </row>
    <row r="10" spans="1:60" ht="32" customHeight="1" x14ac:dyDescent="0.35">
      <c r="A10" s="13" t="s">
        <v>2363</v>
      </c>
      <c r="B10" s="6" t="s">
        <v>2265</v>
      </c>
      <c r="C10" s="5" t="s">
        <v>1661</v>
      </c>
      <c r="D10" s="5" t="s">
        <v>2192</v>
      </c>
      <c r="E10" s="5" t="s">
        <v>2364</v>
      </c>
      <c r="F10" s="5" t="s">
        <v>2267</v>
      </c>
      <c r="G10" s="5" t="s">
        <v>2365</v>
      </c>
      <c r="H10" s="5" t="s">
        <v>2366</v>
      </c>
      <c r="I10" s="5" t="s">
        <v>2367</v>
      </c>
      <c r="J10" s="17" t="s">
        <v>162</v>
      </c>
      <c r="K10" s="17" t="s">
        <v>1477</v>
      </c>
      <c r="L10" s="5" t="s">
        <v>2368</v>
      </c>
      <c r="M10" s="6" t="s">
        <v>1493</v>
      </c>
      <c r="N10" s="6" t="s">
        <v>2167</v>
      </c>
      <c r="O10" s="6" t="s">
        <v>162</v>
      </c>
      <c r="P10" s="5" t="s">
        <v>2369</v>
      </c>
      <c r="Q10" s="17" t="s">
        <v>2273</v>
      </c>
      <c r="R10" s="5" t="s">
        <v>2370</v>
      </c>
      <c r="S10" s="6" t="s">
        <v>2371</v>
      </c>
      <c r="T10" s="5" t="s">
        <v>2372</v>
      </c>
      <c r="U10" s="6"/>
      <c r="V10" s="6" t="s">
        <v>2373</v>
      </c>
      <c r="W10" s="6" t="s">
        <v>1699</v>
      </c>
      <c r="X10" s="5" t="s">
        <v>228</v>
      </c>
      <c r="Y10" s="5" t="s">
        <v>760</v>
      </c>
      <c r="Z10" s="5" t="str">
        <f t="shared" si="0"/>
        <v>Critical</v>
      </c>
      <c r="AA10" s="5" t="s">
        <v>1302</v>
      </c>
      <c r="AB10" s="6" t="s">
        <v>1319</v>
      </c>
      <c r="AC10" s="6" t="s">
        <v>135</v>
      </c>
      <c r="AD10" s="5" t="s">
        <v>2278</v>
      </c>
      <c r="AE10" s="5" t="s">
        <v>1720</v>
      </c>
      <c r="AF10" s="5" t="s">
        <v>1720</v>
      </c>
      <c r="AG10" s="5" t="s">
        <v>1720</v>
      </c>
      <c r="AH10" s="5" t="s">
        <v>1720</v>
      </c>
      <c r="AI10" s="6" t="str">
        <f t="shared" si="1"/>
        <v>No</v>
      </c>
      <c r="AJ10" s="6" t="s">
        <v>2298</v>
      </c>
      <c r="AK10" s="6" t="s">
        <v>162</v>
      </c>
      <c r="AL10" s="6">
        <f>MATCH(AA10,{"Low","Medium","High"},0)*MATCH(AB10,{"Low","Medium","High"},0)*INDEX({3,2,2,1,1},MATCH(X10,{"Core","Vertical extension","Differentiator","Future","Adjacent"},0))</f>
        <v>18</v>
      </c>
      <c r="AM10" s="5"/>
      <c r="AN10" s="5"/>
      <c r="AO10" s="5"/>
      <c r="AP10" s="5"/>
      <c r="AQ10" s="5"/>
      <c r="AR10" s="5"/>
      <c r="AS10" s="5"/>
      <c r="AT10" s="5"/>
      <c r="AU10" s="6" t="s">
        <v>2317</v>
      </c>
      <c r="AV10" s="6" t="s">
        <v>74</v>
      </c>
      <c r="AW10" s="6" t="s">
        <v>2283</v>
      </c>
      <c r="AX10" s="6" t="s">
        <v>2374</v>
      </c>
      <c r="AY10" s="6" t="s">
        <v>2285</v>
      </c>
      <c r="AZ10" s="6"/>
      <c r="BA10" s="6"/>
      <c r="BB10" s="6"/>
      <c r="BC10" s="6" t="s">
        <v>127</v>
      </c>
      <c r="BD10" s="6" t="s">
        <v>127</v>
      </c>
      <c r="BE10" s="6" t="s">
        <v>1477</v>
      </c>
      <c r="BF10" s="6" t="s">
        <v>2286</v>
      </c>
      <c r="BG10" s="6" t="s">
        <v>2375</v>
      </c>
      <c r="BH10" s="6" t="s">
        <v>2376</v>
      </c>
    </row>
    <row r="11" spans="1:60" ht="32" customHeight="1" x14ac:dyDescent="0.35">
      <c r="A11" s="13" t="s">
        <v>2377</v>
      </c>
      <c r="B11" s="6" t="s">
        <v>2265</v>
      </c>
      <c r="C11" s="5" t="s">
        <v>1661</v>
      </c>
      <c r="D11" s="5" t="s">
        <v>2192</v>
      </c>
      <c r="E11" s="5" t="s">
        <v>2378</v>
      </c>
      <c r="F11" s="5" t="s">
        <v>2320</v>
      </c>
      <c r="G11" s="5" t="s">
        <v>2379</v>
      </c>
      <c r="H11" s="5" t="s">
        <v>2380</v>
      </c>
      <c r="I11" s="5" t="s">
        <v>2381</v>
      </c>
      <c r="J11" s="17" t="s">
        <v>162</v>
      </c>
      <c r="K11" s="17" t="s">
        <v>1477</v>
      </c>
      <c r="L11" s="5" t="s">
        <v>2382</v>
      </c>
      <c r="M11" s="6" t="s">
        <v>1493</v>
      </c>
      <c r="N11" s="6" t="s">
        <v>2167</v>
      </c>
      <c r="O11" s="6" t="s">
        <v>162</v>
      </c>
      <c r="P11" s="5" t="s">
        <v>2272</v>
      </c>
      <c r="Q11" s="17" t="s">
        <v>2273</v>
      </c>
      <c r="R11" s="5" t="s">
        <v>2383</v>
      </c>
      <c r="S11" s="6" t="s">
        <v>2371</v>
      </c>
      <c r="T11" s="5" t="s">
        <v>2372</v>
      </c>
      <c r="U11" s="6"/>
      <c r="V11" s="6" t="s">
        <v>2373</v>
      </c>
      <c r="W11" s="6" t="s">
        <v>1699</v>
      </c>
      <c r="X11" s="5" t="s">
        <v>228</v>
      </c>
      <c r="Y11" s="5" t="s">
        <v>760</v>
      </c>
      <c r="Z11" s="5" t="str">
        <f t="shared" si="0"/>
        <v>Critical</v>
      </c>
      <c r="AA11" s="5" t="s">
        <v>1302</v>
      </c>
      <c r="AB11" s="6" t="s">
        <v>1319</v>
      </c>
      <c r="AC11" s="6" t="s">
        <v>135</v>
      </c>
      <c r="AD11" s="5" t="s">
        <v>2278</v>
      </c>
      <c r="AE11" s="5" t="s">
        <v>1720</v>
      </c>
      <c r="AF11" s="5" t="s">
        <v>1720</v>
      </c>
      <c r="AG11" s="5" t="s">
        <v>1720</v>
      </c>
      <c r="AH11" s="5" t="s">
        <v>1720</v>
      </c>
      <c r="AI11" s="6" t="str">
        <f t="shared" si="1"/>
        <v>No</v>
      </c>
      <c r="AJ11" s="6" t="s">
        <v>2298</v>
      </c>
      <c r="AK11" s="6" t="s">
        <v>162</v>
      </c>
      <c r="AL11" s="6">
        <f>MATCH(AA11,{"Low","Medium","High"},0)*MATCH(AB11,{"Low","Medium","High"},0)*INDEX({3,2,2,1,1},MATCH(X11,{"Core","Vertical extension","Differentiator","Future","Adjacent"},0))</f>
        <v>18</v>
      </c>
      <c r="AM11" s="5"/>
      <c r="AN11" s="5"/>
      <c r="AO11" s="5"/>
      <c r="AP11" s="5"/>
      <c r="AQ11" s="5"/>
      <c r="AR11" s="5"/>
      <c r="AS11" s="5"/>
      <c r="AT11" s="5"/>
      <c r="AU11" s="6" t="s">
        <v>2317</v>
      </c>
      <c r="AV11" s="6" t="s">
        <v>74</v>
      </c>
      <c r="AW11" s="6" t="s">
        <v>74</v>
      </c>
      <c r="AX11" s="6" t="s">
        <v>2284</v>
      </c>
      <c r="AY11" s="6" t="s">
        <v>2285</v>
      </c>
      <c r="AZ11" s="6"/>
      <c r="BA11" s="6"/>
      <c r="BB11" s="6"/>
      <c r="BC11" s="6" t="s">
        <v>127</v>
      </c>
      <c r="BD11" s="6" t="s">
        <v>127</v>
      </c>
      <c r="BE11" s="6" t="s">
        <v>1477</v>
      </c>
      <c r="BF11" s="6" t="s">
        <v>2286</v>
      </c>
      <c r="BG11" s="6" t="s">
        <v>2384</v>
      </c>
      <c r="BH11" s="6" t="s">
        <v>2385</v>
      </c>
    </row>
    <row r="12" spans="1:60" ht="32" customHeight="1" x14ac:dyDescent="0.35">
      <c r="A12" s="13" t="s">
        <v>2386</v>
      </c>
      <c r="B12" s="6" t="s">
        <v>2265</v>
      </c>
      <c r="C12" s="5" t="s">
        <v>1661</v>
      </c>
      <c r="D12" s="5" t="s">
        <v>2192</v>
      </c>
      <c r="E12" s="5" t="s">
        <v>2387</v>
      </c>
      <c r="F12" s="5" t="s">
        <v>2320</v>
      </c>
      <c r="G12" s="5" t="s">
        <v>2379</v>
      </c>
      <c r="H12" s="5" t="s">
        <v>2388</v>
      </c>
      <c r="I12" s="5" t="s">
        <v>2389</v>
      </c>
      <c r="J12" s="17" t="s">
        <v>162</v>
      </c>
      <c r="K12" s="17" t="s">
        <v>1477</v>
      </c>
      <c r="L12" s="5" t="s">
        <v>2390</v>
      </c>
      <c r="M12" s="6" t="s">
        <v>1493</v>
      </c>
      <c r="N12" s="6" t="s">
        <v>2167</v>
      </c>
      <c r="O12" s="6" t="s">
        <v>162</v>
      </c>
      <c r="P12" s="5" t="s">
        <v>2272</v>
      </c>
      <c r="Q12" s="17" t="s">
        <v>2273</v>
      </c>
      <c r="R12" s="5" t="s">
        <v>2391</v>
      </c>
      <c r="S12" s="6" t="s">
        <v>2371</v>
      </c>
      <c r="T12" s="5" t="s">
        <v>2372</v>
      </c>
      <c r="U12" s="6"/>
      <c r="V12" s="6" t="s">
        <v>2373</v>
      </c>
      <c r="W12" s="6" t="s">
        <v>1699</v>
      </c>
      <c r="X12" s="5" t="s">
        <v>228</v>
      </c>
      <c r="Y12" s="5" t="s">
        <v>760</v>
      </c>
      <c r="Z12" s="5" t="str">
        <f t="shared" si="0"/>
        <v>Critical</v>
      </c>
      <c r="AA12" s="5" t="s">
        <v>1302</v>
      </c>
      <c r="AB12" s="6" t="s">
        <v>1319</v>
      </c>
      <c r="AC12" s="6" t="s">
        <v>135</v>
      </c>
      <c r="AD12" s="5" t="s">
        <v>2278</v>
      </c>
      <c r="AE12" s="5" t="s">
        <v>1720</v>
      </c>
      <c r="AF12" s="5" t="s">
        <v>1720</v>
      </c>
      <c r="AG12" s="5" t="s">
        <v>1720</v>
      </c>
      <c r="AH12" s="5" t="s">
        <v>1720</v>
      </c>
      <c r="AI12" s="6" t="str">
        <f t="shared" si="1"/>
        <v>No</v>
      </c>
      <c r="AJ12" s="6" t="s">
        <v>2298</v>
      </c>
      <c r="AK12" s="6" t="s">
        <v>162</v>
      </c>
      <c r="AL12" s="6">
        <f>MATCH(AA12,{"Low","Medium","High"},0)*MATCH(AB12,{"Low","Medium","High"},0)*INDEX({3,2,2,1,1},MATCH(X12,{"Core","Vertical extension","Differentiator","Future","Adjacent"},0))</f>
        <v>18</v>
      </c>
      <c r="AM12" s="5"/>
      <c r="AN12" s="5"/>
      <c r="AO12" s="5"/>
      <c r="AP12" s="5"/>
      <c r="AQ12" s="5"/>
      <c r="AR12" s="5"/>
      <c r="AS12" s="5"/>
      <c r="AT12" s="5"/>
      <c r="AU12" s="6" t="s">
        <v>2317</v>
      </c>
      <c r="AV12" s="6" t="s">
        <v>74</v>
      </c>
      <c r="AW12" s="6" t="s">
        <v>74</v>
      </c>
      <c r="AX12" s="6" t="s">
        <v>2284</v>
      </c>
      <c r="AY12" s="6" t="s">
        <v>2285</v>
      </c>
      <c r="AZ12" s="6"/>
      <c r="BA12" s="6"/>
      <c r="BB12" s="6"/>
      <c r="BC12" s="6" t="s">
        <v>127</v>
      </c>
      <c r="BD12" s="6" t="s">
        <v>127</v>
      </c>
      <c r="BE12" s="6" t="s">
        <v>1477</v>
      </c>
      <c r="BF12" s="6" t="s">
        <v>2286</v>
      </c>
      <c r="BG12" s="6" t="s">
        <v>2392</v>
      </c>
      <c r="BH12" s="6" t="s">
        <v>2393</v>
      </c>
    </row>
    <row r="13" spans="1:60" ht="32" customHeight="1" x14ac:dyDescent="0.35">
      <c r="A13" s="13" t="s">
        <v>2394</v>
      </c>
      <c r="B13" s="6" t="s">
        <v>2265</v>
      </c>
      <c r="C13" s="5" t="s">
        <v>1661</v>
      </c>
      <c r="D13" s="5" t="s">
        <v>2198</v>
      </c>
      <c r="E13" s="5" t="s">
        <v>2395</v>
      </c>
      <c r="F13" s="5" t="s">
        <v>2267</v>
      </c>
      <c r="G13" s="5" t="s">
        <v>2396</v>
      </c>
      <c r="H13" s="5" t="s">
        <v>2397</v>
      </c>
      <c r="I13" s="5" t="s">
        <v>2398</v>
      </c>
      <c r="J13" s="17" t="s">
        <v>162</v>
      </c>
      <c r="K13" s="17" t="s">
        <v>1477</v>
      </c>
      <c r="L13" s="5" t="s">
        <v>2399</v>
      </c>
      <c r="M13" s="6" t="s">
        <v>1493</v>
      </c>
      <c r="N13" s="6" t="s">
        <v>2167</v>
      </c>
      <c r="O13" s="6" t="s">
        <v>162</v>
      </c>
      <c r="P13" s="5" t="s">
        <v>2272</v>
      </c>
      <c r="Q13" s="18" t="s">
        <v>1482</v>
      </c>
      <c r="R13" s="5" t="s">
        <v>2400</v>
      </c>
      <c r="S13" s="6" t="s">
        <v>2401</v>
      </c>
      <c r="T13" s="5" t="s">
        <v>2402</v>
      </c>
      <c r="U13" s="6"/>
      <c r="V13" s="6" t="s">
        <v>2403</v>
      </c>
      <c r="W13" s="6" t="s">
        <v>1703</v>
      </c>
      <c r="X13" s="5" t="s">
        <v>228</v>
      </c>
      <c r="Y13" s="5" t="s">
        <v>760</v>
      </c>
      <c r="Z13" s="5" t="str">
        <f t="shared" si="0"/>
        <v>Medium</v>
      </c>
      <c r="AA13" s="5" t="s">
        <v>1319</v>
      </c>
      <c r="AB13" s="6" t="s">
        <v>1355</v>
      </c>
      <c r="AC13" s="6" t="s">
        <v>32</v>
      </c>
      <c r="AD13" s="5" t="s">
        <v>2278</v>
      </c>
      <c r="AE13" s="5" t="s">
        <v>1720</v>
      </c>
      <c r="AF13" s="5" t="s">
        <v>1720</v>
      </c>
      <c r="AG13" s="5" t="s">
        <v>1720</v>
      </c>
      <c r="AH13" s="5" t="s">
        <v>1720</v>
      </c>
      <c r="AI13" s="6" t="str">
        <f t="shared" si="1"/>
        <v>No</v>
      </c>
      <c r="AJ13" s="6" t="s">
        <v>2298</v>
      </c>
      <c r="AK13" s="6" t="s">
        <v>204</v>
      </c>
      <c r="AL13" s="6">
        <f>MATCH(AA13,{"Low","Medium","High"},0)*MATCH(AB13,{"Low","Medium","High"},0)*INDEX({3,2,2,1,1},MATCH(X13,{"Core","Vertical extension","Differentiator","Future","Adjacent"},0))</f>
        <v>6</v>
      </c>
      <c r="AM13" s="5"/>
      <c r="AN13" s="5"/>
      <c r="AO13" s="5"/>
      <c r="AP13" s="5"/>
      <c r="AQ13" s="5"/>
      <c r="AR13" s="5"/>
      <c r="AS13" s="5"/>
      <c r="AT13" s="5"/>
      <c r="AU13" s="6" t="s">
        <v>2317</v>
      </c>
      <c r="AV13" s="6" t="s">
        <v>74</v>
      </c>
      <c r="AW13" s="6" t="s">
        <v>2283</v>
      </c>
      <c r="AX13" s="6" t="s">
        <v>2284</v>
      </c>
      <c r="AY13" s="6" t="s">
        <v>2285</v>
      </c>
      <c r="AZ13" s="6"/>
      <c r="BA13" s="6"/>
      <c r="BB13" s="6"/>
      <c r="BC13" s="6" t="s">
        <v>127</v>
      </c>
      <c r="BD13" s="6" t="s">
        <v>127</v>
      </c>
      <c r="BE13" s="6"/>
      <c r="BF13" s="6"/>
      <c r="BG13" s="6"/>
      <c r="BH13" s="6"/>
    </row>
    <row r="14" spans="1:60" ht="32" customHeight="1" x14ac:dyDescent="0.35">
      <c r="A14" s="13" t="s">
        <v>2404</v>
      </c>
      <c r="B14" s="6" t="s">
        <v>2265</v>
      </c>
      <c r="C14" s="5" t="s">
        <v>1661</v>
      </c>
      <c r="D14" s="5" t="s">
        <v>2185</v>
      </c>
      <c r="E14" s="5" t="s">
        <v>2405</v>
      </c>
      <c r="F14" s="5" t="s">
        <v>2320</v>
      </c>
      <c r="G14" s="5" t="s">
        <v>2267</v>
      </c>
      <c r="H14" s="5" t="s">
        <v>2406</v>
      </c>
      <c r="I14" s="5" t="s">
        <v>2407</v>
      </c>
      <c r="J14" s="17" t="s">
        <v>162</v>
      </c>
      <c r="K14" s="17" t="s">
        <v>1477</v>
      </c>
      <c r="L14" s="5" t="s">
        <v>2408</v>
      </c>
      <c r="M14" s="6" t="s">
        <v>1493</v>
      </c>
      <c r="N14" s="6" t="s">
        <v>2167</v>
      </c>
      <c r="O14" s="6" t="s">
        <v>162</v>
      </c>
      <c r="P14" s="5" t="s">
        <v>2272</v>
      </c>
      <c r="Q14" s="18" t="s">
        <v>1482</v>
      </c>
      <c r="R14" s="5" t="s">
        <v>2294</v>
      </c>
      <c r="S14" s="6" t="s">
        <v>2409</v>
      </c>
      <c r="T14" s="5" t="s">
        <v>2185</v>
      </c>
      <c r="U14" s="6"/>
      <c r="V14" s="6" t="s">
        <v>2410</v>
      </c>
      <c r="W14" s="6" t="s">
        <v>1699</v>
      </c>
      <c r="X14" s="5" t="s">
        <v>228</v>
      </c>
      <c r="Y14" s="5" t="s">
        <v>760</v>
      </c>
      <c r="Z14" s="5" t="str">
        <f t="shared" si="0"/>
        <v>High</v>
      </c>
      <c r="AA14" s="5" t="s">
        <v>1319</v>
      </c>
      <c r="AB14" s="6" t="s">
        <v>1319</v>
      </c>
      <c r="AC14" s="6" t="s">
        <v>135</v>
      </c>
      <c r="AD14" s="5" t="s">
        <v>2278</v>
      </c>
      <c r="AE14" s="5" t="s">
        <v>1720</v>
      </c>
      <c r="AF14" s="5" t="s">
        <v>1720</v>
      </c>
      <c r="AG14" s="5" t="s">
        <v>1720</v>
      </c>
      <c r="AH14" s="5" t="s">
        <v>1720</v>
      </c>
      <c r="AI14" s="6" t="str">
        <f t="shared" si="1"/>
        <v>No</v>
      </c>
      <c r="AJ14" s="6" t="s">
        <v>2298</v>
      </c>
      <c r="AK14" s="6" t="s">
        <v>162</v>
      </c>
      <c r="AL14" s="6">
        <f>MATCH(AA14,{"Low","Medium","High"},0)*MATCH(AB14,{"Low","Medium","High"},0)*INDEX({3,2,2,1,1},MATCH(X14,{"Core","Vertical extension","Differentiator","Future","Adjacent"},0))</f>
        <v>12</v>
      </c>
      <c r="AM14" s="5"/>
      <c r="AN14" s="5"/>
      <c r="AO14" s="5"/>
      <c r="AP14" s="5"/>
      <c r="AQ14" s="5"/>
      <c r="AR14" s="5"/>
      <c r="AS14" s="5"/>
      <c r="AT14" s="5"/>
      <c r="AU14" s="6" t="s">
        <v>2317</v>
      </c>
      <c r="AV14" s="6" t="s">
        <v>74</v>
      </c>
      <c r="AW14" s="6" t="s">
        <v>74</v>
      </c>
      <c r="AX14" s="6" t="s">
        <v>2284</v>
      </c>
      <c r="AY14" s="6" t="s">
        <v>2411</v>
      </c>
      <c r="AZ14" s="6"/>
      <c r="BA14" s="6" t="s">
        <v>2299</v>
      </c>
      <c r="BB14" s="6" t="s">
        <v>2300</v>
      </c>
      <c r="BC14" s="6" t="s">
        <v>127</v>
      </c>
      <c r="BD14" s="6" t="s">
        <v>127</v>
      </c>
      <c r="BE14" s="6"/>
      <c r="BF14" s="6"/>
      <c r="BG14" s="6"/>
      <c r="BH14" s="6"/>
    </row>
    <row r="15" spans="1:60" ht="32" customHeight="1" x14ac:dyDescent="0.35">
      <c r="A15" s="13" t="s">
        <v>1657</v>
      </c>
      <c r="B15" s="6" t="s">
        <v>2265</v>
      </c>
      <c r="C15" s="5" t="s">
        <v>1661</v>
      </c>
      <c r="D15" s="5" t="s">
        <v>2199</v>
      </c>
      <c r="E15" s="5" t="s">
        <v>1659</v>
      </c>
      <c r="F15" s="5" t="s">
        <v>2267</v>
      </c>
      <c r="G15" s="5" t="s">
        <v>2268</v>
      </c>
      <c r="H15" s="5" t="s">
        <v>2412</v>
      </c>
      <c r="I15" s="5" t="s">
        <v>2413</v>
      </c>
      <c r="J15" s="17" t="s">
        <v>162</v>
      </c>
      <c r="K15" s="17" t="s">
        <v>1477</v>
      </c>
      <c r="L15" s="5" t="s">
        <v>2414</v>
      </c>
      <c r="M15" s="6" t="s">
        <v>1493</v>
      </c>
      <c r="N15" s="6" t="s">
        <v>2167</v>
      </c>
      <c r="O15" s="6" t="s">
        <v>162</v>
      </c>
      <c r="P15" s="5" t="s">
        <v>2272</v>
      </c>
      <c r="Q15" s="17" t="s">
        <v>2273</v>
      </c>
      <c r="R15" s="5" t="s">
        <v>2415</v>
      </c>
      <c r="S15" s="6" t="s">
        <v>2416</v>
      </c>
      <c r="T15" s="5" t="s">
        <v>2417</v>
      </c>
      <c r="U15" s="6"/>
      <c r="V15" s="6" t="s">
        <v>2277</v>
      </c>
      <c r="W15" s="6" t="s">
        <v>1697</v>
      </c>
      <c r="X15" s="5" t="s">
        <v>228</v>
      </c>
      <c r="Y15" s="5" t="s">
        <v>760</v>
      </c>
      <c r="Z15" s="5" t="str">
        <f t="shared" si="0"/>
        <v>Medium</v>
      </c>
      <c r="AA15" s="5" t="s">
        <v>1319</v>
      </c>
      <c r="AB15" s="6" t="s">
        <v>1355</v>
      </c>
      <c r="AC15" s="6" t="s">
        <v>135</v>
      </c>
      <c r="AD15" s="5" t="s">
        <v>2278</v>
      </c>
      <c r="AE15" s="5" t="s">
        <v>1720</v>
      </c>
      <c r="AF15" s="5" t="s">
        <v>1720</v>
      </c>
      <c r="AG15" s="5" t="s">
        <v>1720</v>
      </c>
      <c r="AH15" s="5" t="s">
        <v>1720</v>
      </c>
      <c r="AI15" s="6" t="str">
        <f t="shared" si="1"/>
        <v>No</v>
      </c>
      <c r="AJ15" s="6" t="s">
        <v>2298</v>
      </c>
      <c r="AK15" s="6" t="s">
        <v>162</v>
      </c>
      <c r="AL15" s="6">
        <f>MATCH(AA15,{"Low","Medium","High"},0)*MATCH(AB15,{"Low","Medium","High"},0)*INDEX({3,2,2,1,1},MATCH(X15,{"Core","Vertical extension","Differentiator","Future","Adjacent"},0))</f>
        <v>6</v>
      </c>
      <c r="AM15" s="5"/>
      <c r="AN15" s="5"/>
      <c r="AO15" s="5"/>
      <c r="AP15" s="5"/>
      <c r="AQ15" s="5"/>
      <c r="AR15" s="5"/>
      <c r="AS15" s="5"/>
      <c r="AT15" s="5"/>
      <c r="AU15" s="6" t="s">
        <v>2317</v>
      </c>
      <c r="AV15" s="6" t="s">
        <v>74</v>
      </c>
      <c r="AW15" s="6" t="s">
        <v>2283</v>
      </c>
      <c r="AX15" s="6" t="s">
        <v>2284</v>
      </c>
      <c r="AY15" s="6" t="s">
        <v>2285</v>
      </c>
      <c r="AZ15" s="6" t="s">
        <v>2418</v>
      </c>
      <c r="BA15" s="6" t="s">
        <v>2419</v>
      </c>
      <c r="BB15" s="6" t="s">
        <v>2420</v>
      </c>
      <c r="BC15" s="6" t="s">
        <v>127</v>
      </c>
      <c r="BD15" s="6" t="s">
        <v>127</v>
      </c>
      <c r="BE15" s="6" t="s">
        <v>1477</v>
      </c>
      <c r="BF15" s="6" t="s">
        <v>2286</v>
      </c>
      <c r="BG15" s="6" t="s">
        <v>2421</v>
      </c>
      <c r="BH15" s="6" t="s">
        <v>2422</v>
      </c>
    </row>
    <row r="16" spans="1:60" ht="32" customHeight="1" x14ac:dyDescent="0.35">
      <c r="A16" s="13" t="s">
        <v>2423</v>
      </c>
      <c r="B16" s="6" t="s">
        <v>2265</v>
      </c>
      <c r="C16" s="5" t="s">
        <v>1661</v>
      </c>
      <c r="D16" s="5" t="s">
        <v>2189</v>
      </c>
      <c r="E16" s="5" t="s">
        <v>2424</v>
      </c>
      <c r="F16" s="5" t="s">
        <v>2320</v>
      </c>
      <c r="G16" s="5" t="s">
        <v>2312</v>
      </c>
      <c r="H16" s="5" t="s">
        <v>2425</v>
      </c>
      <c r="I16" s="5" t="s">
        <v>2426</v>
      </c>
      <c r="J16" s="19" t="s">
        <v>204</v>
      </c>
      <c r="K16" s="17" t="s">
        <v>1477</v>
      </c>
      <c r="L16" s="5" t="s">
        <v>2427</v>
      </c>
      <c r="M16" s="6" t="s">
        <v>1493</v>
      </c>
      <c r="N16" s="6" t="s">
        <v>2167</v>
      </c>
      <c r="O16" s="6" t="s">
        <v>204</v>
      </c>
      <c r="P16" s="5" t="s">
        <v>2272</v>
      </c>
      <c r="Q16" s="17" t="s">
        <v>2273</v>
      </c>
      <c r="R16" s="5" t="s">
        <v>2428</v>
      </c>
      <c r="S16" s="6" t="s">
        <v>2325</v>
      </c>
      <c r="T16" s="5" t="s">
        <v>2326</v>
      </c>
      <c r="U16" s="6"/>
      <c r="V16" s="6" t="s">
        <v>2327</v>
      </c>
      <c r="W16" s="6" t="s">
        <v>1699</v>
      </c>
      <c r="X16" s="5" t="s">
        <v>228</v>
      </c>
      <c r="Y16" s="5" t="s">
        <v>760</v>
      </c>
      <c r="Z16" s="5" t="str">
        <f t="shared" si="0"/>
        <v>Medium</v>
      </c>
      <c r="AA16" s="5" t="s">
        <v>1319</v>
      </c>
      <c r="AB16" s="6" t="s">
        <v>1355</v>
      </c>
      <c r="AC16" s="6" t="s">
        <v>32</v>
      </c>
      <c r="AD16" s="5" t="s">
        <v>2278</v>
      </c>
      <c r="AE16" s="5" t="s">
        <v>1720</v>
      </c>
      <c r="AF16" s="5" t="s">
        <v>1720</v>
      </c>
      <c r="AG16" s="5" t="s">
        <v>1720</v>
      </c>
      <c r="AH16" s="5" t="s">
        <v>1720</v>
      </c>
      <c r="AI16" s="6" t="str">
        <f t="shared" si="1"/>
        <v>No</v>
      </c>
      <c r="AJ16" s="6" t="s">
        <v>2298</v>
      </c>
      <c r="AK16" s="6" t="s">
        <v>204</v>
      </c>
      <c r="AL16" s="6">
        <f>MATCH(AA16,{"Low","Medium","High"},0)*MATCH(AB16,{"Low","Medium","High"},0)*INDEX({3,2,2,1,1},MATCH(X16,{"Core","Vertical extension","Differentiator","Future","Adjacent"},0))</f>
        <v>6</v>
      </c>
      <c r="AM16" s="5"/>
      <c r="AN16" s="5"/>
      <c r="AO16" s="5"/>
      <c r="AP16" s="5"/>
      <c r="AQ16" s="5"/>
      <c r="AR16" s="5"/>
      <c r="AS16" s="5"/>
      <c r="AT16" s="5"/>
      <c r="AU16" s="6" t="s">
        <v>2317</v>
      </c>
      <c r="AV16" s="6" t="s">
        <v>74</v>
      </c>
      <c r="AW16" s="6" t="s">
        <v>74</v>
      </c>
      <c r="AX16" s="6" t="s">
        <v>2284</v>
      </c>
      <c r="AY16" s="6" t="s">
        <v>2285</v>
      </c>
      <c r="AZ16" s="6"/>
      <c r="BA16" s="6"/>
      <c r="BB16" s="6"/>
      <c r="BC16" s="6" t="s">
        <v>127</v>
      </c>
      <c r="BD16" s="6" t="s">
        <v>127</v>
      </c>
      <c r="BE16" s="6" t="s">
        <v>1477</v>
      </c>
      <c r="BF16" s="6" t="s">
        <v>2286</v>
      </c>
      <c r="BG16" s="6" t="s">
        <v>2429</v>
      </c>
      <c r="BH16" s="6" t="s">
        <v>2430</v>
      </c>
    </row>
    <row r="17" spans="1:60" ht="32" customHeight="1" x14ac:dyDescent="0.35">
      <c r="A17" s="13" t="s">
        <v>2431</v>
      </c>
      <c r="B17" s="6" t="s">
        <v>2265</v>
      </c>
      <c r="C17" s="5" t="s">
        <v>1661</v>
      </c>
      <c r="D17" s="5" t="s">
        <v>2183</v>
      </c>
      <c r="E17" s="5" t="s">
        <v>2432</v>
      </c>
      <c r="F17" s="5" t="s">
        <v>2320</v>
      </c>
      <c r="G17" s="5" t="s">
        <v>2433</v>
      </c>
      <c r="H17" s="5" t="s">
        <v>2434</v>
      </c>
      <c r="I17" s="5" t="s">
        <v>2435</v>
      </c>
      <c r="J17" s="19" t="s">
        <v>204</v>
      </c>
      <c r="K17" s="17" t="s">
        <v>1477</v>
      </c>
      <c r="L17" s="5" t="s">
        <v>2436</v>
      </c>
      <c r="M17" s="6" t="s">
        <v>1493</v>
      </c>
      <c r="N17" s="6" t="s">
        <v>2167</v>
      </c>
      <c r="O17" s="6" t="s">
        <v>204</v>
      </c>
      <c r="P17" s="5" t="s">
        <v>2272</v>
      </c>
      <c r="Q17" s="17" t="s">
        <v>2273</v>
      </c>
      <c r="R17" s="5" t="s">
        <v>2437</v>
      </c>
      <c r="S17" s="6" t="s">
        <v>2438</v>
      </c>
      <c r="T17" s="5" t="s">
        <v>2439</v>
      </c>
      <c r="U17" s="6"/>
      <c r="V17" s="6" t="s">
        <v>2440</v>
      </c>
      <c r="W17" s="6" t="s">
        <v>1699</v>
      </c>
      <c r="X17" s="5" t="s">
        <v>228</v>
      </c>
      <c r="Y17" s="5" t="s">
        <v>760</v>
      </c>
      <c r="Z17" s="5" t="str">
        <f t="shared" si="0"/>
        <v>Critical</v>
      </c>
      <c r="AA17" s="5" t="s">
        <v>1302</v>
      </c>
      <c r="AB17" s="6" t="s">
        <v>1302</v>
      </c>
      <c r="AC17" s="6" t="s">
        <v>32</v>
      </c>
      <c r="AD17" s="5" t="s">
        <v>2278</v>
      </c>
      <c r="AE17" s="5" t="s">
        <v>1720</v>
      </c>
      <c r="AF17" s="5" t="s">
        <v>1720</v>
      </c>
      <c r="AG17" s="5" t="s">
        <v>1720</v>
      </c>
      <c r="AH17" s="5" t="s">
        <v>1720</v>
      </c>
      <c r="AI17" s="6" t="str">
        <f t="shared" si="1"/>
        <v>No</v>
      </c>
      <c r="AJ17" s="6" t="s">
        <v>2298</v>
      </c>
      <c r="AK17" s="6" t="s">
        <v>204</v>
      </c>
      <c r="AL17" s="6">
        <f>MATCH(AA17,{"Low","Medium","High"},0)*MATCH(AB17,{"Low","Medium","High"},0)*INDEX({3,2,2,1,1},MATCH(X17,{"Core","Vertical extension","Differentiator","Future","Adjacent"},0))</f>
        <v>27</v>
      </c>
      <c r="AM17" s="5"/>
      <c r="AN17" s="5"/>
      <c r="AO17" s="5"/>
      <c r="AP17" s="5"/>
      <c r="AQ17" s="5"/>
      <c r="AR17" s="5"/>
      <c r="AS17" s="5"/>
      <c r="AT17" s="5"/>
      <c r="AU17" s="6" t="s">
        <v>2317</v>
      </c>
      <c r="AV17" s="6" t="s">
        <v>74</v>
      </c>
      <c r="AW17" s="6" t="s">
        <v>74</v>
      </c>
      <c r="AX17" s="6" t="s">
        <v>2284</v>
      </c>
      <c r="AY17" s="6" t="s">
        <v>2285</v>
      </c>
      <c r="AZ17" s="6"/>
      <c r="BA17" s="6"/>
      <c r="BB17" s="6"/>
      <c r="BC17" s="6" t="s">
        <v>127</v>
      </c>
      <c r="BD17" s="6" t="s">
        <v>127</v>
      </c>
      <c r="BE17" s="6" t="s">
        <v>1477</v>
      </c>
      <c r="BF17" s="6" t="s">
        <v>2286</v>
      </c>
      <c r="BG17" s="6" t="s">
        <v>2441</v>
      </c>
      <c r="BH17" s="6" t="s">
        <v>2442</v>
      </c>
    </row>
    <row r="18" spans="1:60" ht="32" customHeight="1" x14ac:dyDescent="0.35">
      <c r="A18" s="13" t="s">
        <v>2443</v>
      </c>
      <c r="B18" s="6" t="s">
        <v>2265</v>
      </c>
      <c r="C18" s="5" t="s">
        <v>1661</v>
      </c>
      <c r="D18" s="5" t="s">
        <v>2194</v>
      </c>
      <c r="E18" s="5" t="s">
        <v>2444</v>
      </c>
      <c r="F18" s="5" t="s">
        <v>2320</v>
      </c>
      <c r="G18" s="5" t="s">
        <v>2267</v>
      </c>
      <c r="H18" s="5" t="s">
        <v>2445</v>
      </c>
      <c r="I18" s="5" t="s">
        <v>2446</v>
      </c>
      <c r="J18" s="17" t="s">
        <v>162</v>
      </c>
      <c r="K18" s="17" t="s">
        <v>163</v>
      </c>
      <c r="L18" s="5" t="s">
        <v>2447</v>
      </c>
      <c r="M18" s="6" t="s">
        <v>1493</v>
      </c>
      <c r="N18" s="6" t="s">
        <v>2167</v>
      </c>
      <c r="O18" s="6" t="s">
        <v>162</v>
      </c>
      <c r="P18" s="5" t="s">
        <v>2272</v>
      </c>
      <c r="Q18" s="17" t="s">
        <v>163</v>
      </c>
      <c r="R18" s="5" t="s">
        <v>2448</v>
      </c>
      <c r="S18" s="6" t="s">
        <v>2449</v>
      </c>
      <c r="T18" s="5" t="s">
        <v>2450</v>
      </c>
      <c r="U18" s="6"/>
      <c r="V18" s="6" t="s">
        <v>2440</v>
      </c>
      <c r="W18" s="6" t="s">
        <v>1699</v>
      </c>
      <c r="X18" s="5" t="s">
        <v>228</v>
      </c>
      <c r="Y18" s="5" t="s">
        <v>760</v>
      </c>
      <c r="Z18" s="5" t="str">
        <f t="shared" si="0"/>
        <v>Medium</v>
      </c>
      <c r="AA18" s="5" t="s">
        <v>1319</v>
      </c>
      <c r="AB18" s="6" t="s">
        <v>1355</v>
      </c>
      <c r="AC18" s="6" t="s">
        <v>135</v>
      </c>
      <c r="AD18" s="5" t="s">
        <v>1805</v>
      </c>
      <c r="AE18" s="5" t="s">
        <v>1720</v>
      </c>
      <c r="AF18" s="5" t="s">
        <v>1720</v>
      </c>
      <c r="AG18" s="5" t="s">
        <v>1720</v>
      </c>
      <c r="AH18" s="5" t="s">
        <v>1720</v>
      </c>
      <c r="AI18" s="6" t="str">
        <f t="shared" si="1"/>
        <v>No</v>
      </c>
      <c r="AJ18" s="6" t="s">
        <v>287</v>
      </c>
      <c r="AK18" s="6" t="s">
        <v>162</v>
      </c>
      <c r="AL18" s="6">
        <f>MATCH(AA18,{"Low","Medium","High"},0)*MATCH(AB18,{"Low","Medium","High"},0)*INDEX({3,2,2,1,1},MATCH(X18,{"Core","Vertical extension","Differentiator","Future","Adjacent"},0))</f>
        <v>6</v>
      </c>
      <c r="AM18" s="5"/>
      <c r="AN18" s="5"/>
      <c r="AO18" s="5"/>
      <c r="AP18" s="5"/>
      <c r="AQ18" s="5"/>
      <c r="AR18" s="5"/>
      <c r="AS18" s="5"/>
      <c r="AT18" s="5"/>
      <c r="AU18" s="6" t="s">
        <v>2317</v>
      </c>
      <c r="AV18" s="6" t="s">
        <v>74</v>
      </c>
      <c r="AW18" s="6" t="s">
        <v>74</v>
      </c>
      <c r="AX18" s="6" t="s">
        <v>2284</v>
      </c>
      <c r="AY18" s="6" t="s">
        <v>2285</v>
      </c>
      <c r="AZ18" s="6"/>
      <c r="BA18" s="6"/>
      <c r="BB18" s="6"/>
      <c r="BC18" s="6" t="s">
        <v>127</v>
      </c>
      <c r="BD18" s="6" t="s">
        <v>127</v>
      </c>
      <c r="BE18" s="6" t="s">
        <v>1477</v>
      </c>
      <c r="BF18" s="6" t="s">
        <v>288</v>
      </c>
      <c r="BG18" s="6" t="s">
        <v>2451</v>
      </c>
      <c r="BH18" s="6" t="s">
        <v>2452</v>
      </c>
    </row>
    <row r="19" spans="1:60" ht="32" customHeight="1" x14ac:dyDescent="0.35">
      <c r="A19" s="13" t="s">
        <v>2453</v>
      </c>
      <c r="B19" s="6" t="s">
        <v>2265</v>
      </c>
      <c r="C19" s="5" t="s">
        <v>1662</v>
      </c>
      <c r="D19" s="5" t="s">
        <v>2191</v>
      </c>
      <c r="E19" s="5" t="s">
        <v>2454</v>
      </c>
      <c r="F19" s="5" t="s">
        <v>1662</v>
      </c>
      <c r="G19" s="5" t="s">
        <v>2455</v>
      </c>
      <c r="H19" s="5" t="s">
        <v>2456</v>
      </c>
      <c r="I19" s="5" t="s">
        <v>2457</v>
      </c>
      <c r="J19" s="16" t="s">
        <v>94</v>
      </c>
      <c r="K19" s="17" t="s">
        <v>1477</v>
      </c>
      <c r="L19" s="5" t="s">
        <v>2458</v>
      </c>
      <c r="M19" s="6" t="s">
        <v>1493</v>
      </c>
      <c r="N19" s="6" t="s">
        <v>2167</v>
      </c>
      <c r="O19" s="6" t="s">
        <v>94</v>
      </c>
      <c r="P19" s="5" t="s">
        <v>2272</v>
      </c>
      <c r="Q19" s="17" t="s">
        <v>2273</v>
      </c>
      <c r="R19" s="5" t="s">
        <v>2459</v>
      </c>
      <c r="S19" s="6" t="s">
        <v>2275</v>
      </c>
      <c r="T19" s="5" t="s">
        <v>2276</v>
      </c>
      <c r="U19" s="6"/>
      <c r="V19" s="6" t="s">
        <v>2277</v>
      </c>
      <c r="W19" s="6" t="s">
        <v>1697</v>
      </c>
      <c r="X19" s="5" t="s">
        <v>228</v>
      </c>
      <c r="Y19" s="5" t="s">
        <v>760</v>
      </c>
      <c r="Z19" s="5" t="str">
        <f t="shared" si="0"/>
        <v>High</v>
      </c>
      <c r="AA19" s="5" t="s">
        <v>1302</v>
      </c>
      <c r="AB19" s="6" t="s">
        <v>1355</v>
      </c>
      <c r="AC19" s="6" t="s">
        <v>99</v>
      </c>
      <c r="AD19" s="5" t="s">
        <v>2278</v>
      </c>
      <c r="AE19" s="5" t="s">
        <v>1720</v>
      </c>
      <c r="AF19" s="5" t="s">
        <v>1720</v>
      </c>
      <c r="AG19" s="5" t="s">
        <v>1720</v>
      </c>
      <c r="AH19" s="5" t="s">
        <v>1720</v>
      </c>
      <c r="AI19" s="6" t="str">
        <f t="shared" si="1"/>
        <v>No</v>
      </c>
      <c r="AJ19" s="6" t="s">
        <v>2279</v>
      </c>
      <c r="AK19" s="6" t="s">
        <v>94</v>
      </c>
      <c r="AL19" s="6">
        <f>MATCH(AA19,{"Low","Medium","High"},0)*MATCH(AB19,{"Low","Medium","High"},0)*INDEX({3,2,2,1,1},MATCH(X19,{"Core","Vertical extension","Differentiator","Future","Adjacent"},0))</f>
        <v>9</v>
      </c>
      <c r="AM19" s="5"/>
      <c r="AN19" s="5"/>
      <c r="AO19" s="5"/>
      <c r="AP19" s="5"/>
      <c r="AQ19" s="5"/>
      <c r="AR19" s="5" t="s">
        <v>2460</v>
      </c>
      <c r="AS19" s="5" t="s">
        <v>1462</v>
      </c>
      <c r="AT19" s="5" t="s">
        <v>2281</v>
      </c>
      <c r="AU19" s="6" t="s">
        <v>2282</v>
      </c>
      <c r="AV19" s="6" t="s">
        <v>74</v>
      </c>
      <c r="AW19" s="6" t="s">
        <v>74</v>
      </c>
      <c r="AX19" s="6" t="s">
        <v>2284</v>
      </c>
      <c r="AY19" s="6" t="s">
        <v>2285</v>
      </c>
      <c r="AZ19" s="6"/>
      <c r="BA19" s="6"/>
      <c r="BB19" s="6"/>
      <c r="BC19" s="6" t="s">
        <v>127</v>
      </c>
      <c r="BD19" s="6" t="s">
        <v>127</v>
      </c>
      <c r="BE19" s="6" t="s">
        <v>1477</v>
      </c>
      <c r="BF19" s="6" t="s">
        <v>2286</v>
      </c>
      <c r="BG19" s="6" t="s">
        <v>2461</v>
      </c>
      <c r="BH19" s="6" t="s">
        <v>2462</v>
      </c>
    </row>
    <row r="20" spans="1:60" ht="32" customHeight="1" x14ac:dyDescent="0.35">
      <c r="A20" s="13" t="s">
        <v>2463</v>
      </c>
      <c r="B20" s="6" t="s">
        <v>2265</v>
      </c>
      <c r="C20" s="5" t="s">
        <v>1662</v>
      </c>
      <c r="D20" s="5" t="s">
        <v>2193</v>
      </c>
      <c r="E20" s="5" t="s">
        <v>2464</v>
      </c>
      <c r="F20" s="5" t="s">
        <v>1662</v>
      </c>
      <c r="G20" s="5" t="s">
        <v>2465</v>
      </c>
      <c r="H20" s="5" t="s">
        <v>2466</v>
      </c>
      <c r="I20" s="5" t="s">
        <v>2467</v>
      </c>
      <c r="J20" s="17" t="s">
        <v>162</v>
      </c>
      <c r="K20" s="17" t="s">
        <v>1477</v>
      </c>
      <c r="L20" s="5" t="s">
        <v>2468</v>
      </c>
      <c r="M20" s="6" t="s">
        <v>1493</v>
      </c>
      <c r="N20" s="6" t="s">
        <v>2167</v>
      </c>
      <c r="O20" s="6" t="s">
        <v>162</v>
      </c>
      <c r="P20" s="5" t="s">
        <v>2369</v>
      </c>
      <c r="Q20" s="17" t="s">
        <v>2273</v>
      </c>
      <c r="R20" s="5" t="s">
        <v>2469</v>
      </c>
      <c r="S20" s="6" t="s">
        <v>2470</v>
      </c>
      <c r="T20" s="5" t="s">
        <v>2471</v>
      </c>
      <c r="U20" s="6"/>
      <c r="V20" s="6" t="s">
        <v>2472</v>
      </c>
      <c r="W20" s="6" t="s">
        <v>1697</v>
      </c>
      <c r="X20" s="5" t="s">
        <v>228</v>
      </c>
      <c r="Y20" s="5" t="s">
        <v>760</v>
      </c>
      <c r="Z20" s="5" t="str">
        <f t="shared" si="0"/>
        <v>Medium</v>
      </c>
      <c r="AA20" s="5" t="s">
        <v>1319</v>
      </c>
      <c r="AB20" s="6" t="s">
        <v>1355</v>
      </c>
      <c r="AC20" s="6" t="s">
        <v>135</v>
      </c>
      <c r="AD20" s="5" t="s">
        <v>2278</v>
      </c>
      <c r="AE20" s="5" t="s">
        <v>1720</v>
      </c>
      <c r="AF20" s="5" t="s">
        <v>1720</v>
      </c>
      <c r="AG20" s="5" t="s">
        <v>1720</v>
      </c>
      <c r="AH20" s="5" t="s">
        <v>1720</v>
      </c>
      <c r="AI20" s="6" t="str">
        <f t="shared" si="1"/>
        <v>No</v>
      </c>
      <c r="AJ20" s="6" t="s">
        <v>2298</v>
      </c>
      <c r="AK20" s="6" t="s">
        <v>162</v>
      </c>
      <c r="AL20" s="6">
        <f>MATCH(AA20,{"Low","Medium","High"},0)*MATCH(AB20,{"Low","Medium","High"},0)*INDEX({3,2,2,1,1},MATCH(X20,{"Core","Vertical extension","Differentiator","Future","Adjacent"},0))</f>
        <v>6</v>
      </c>
      <c r="AM20" s="5"/>
      <c r="AN20" s="5"/>
      <c r="AO20" s="5"/>
      <c r="AP20" s="5"/>
      <c r="AQ20" s="5"/>
      <c r="AR20" s="5"/>
      <c r="AS20" s="5"/>
      <c r="AT20" s="5"/>
      <c r="AU20" s="6" t="s">
        <v>2317</v>
      </c>
      <c r="AV20" s="6" t="s">
        <v>74</v>
      </c>
      <c r="AW20" s="6" t="s">
        <v>74</v>
      </c>
      <c r="AX20" s="6" t="s">
        <v>2374</v>
      </c>
      <c r="AY20" s="6" t="s">
        <v>2285</v>
      </c>
      <c r="AZ20" s="6"/>
      <c r="BA20" s="6" t="s">
        <v>2473</v>
      </c>
      <c r="BB20" s="6" t="s">
        <v>2474</v>
      </c>
      <c r="BC20" s="6" t="s">
        <v>127</v>
      </c>
      <c r="BD20" s="6" t="s">
        <v>127</v>
      </c>
      <c r="BE20" s="6" t="s">
        <v>1477</v>
      </c>
      <c r="BF20" s="6" t="s">
        <v>2286</v>
      </c>
      <c r="BG20" s="6" t="s">
        <v>2475</v>
      </c>
      <c r="BH20" s="6" t="s">
        <v>2476</v>
      </c>
    </row>
    <row r="21" spans="1:60" ht="32" customHeight="1" x14ac:dyDescent="0.35">
      <c r="A21" s="13" t="s">
        <v>2477</v>
      </c>
      <c r="B21" s="6" t="s">
        <v>2265</v>
      </c>
      <c r="C21" s="5" t="s">
        <v>1662</v>
      </c>
      <c r="D21" s="5" t="s">
        <v>2193</v>
      </c>
      <c r="E21" s="5" t="s">
        <v>2478</v>
      </c>
      <c r="F21" s="5" t="s">
        <v>1662</v>
      </c>
      <c r="G21" s="5" t="s">
        <v>2479</v>
      </c>
      <c r="H21" s="5" t="s">
        <v>2480</v>
      </c>
      <c r="I21" s="5" t="s">
        <v>2481</v>
      </c>
      <c r="J21" s="17" t="s">
        <v>162</v>
      </c>
      <c r="K21" s="17" t="s">
        <v>1477</v>
      </c>
      <c r="L21" s="5" t="s">
        <v>2482</v>
      </c>
      <c r="M21" s="6" t="s">
        <v>1493</v>
      </c>
      <c r="N21" s="6" t="s">
        <v>2167</v>
      </c>
      <c r="O21" s="6" t="s">
        <v>162</v>
      </c>
      <c r="P21" s="5" t="s">
        <v>2272</v>
      </c>
      <c r="Q21" s="17" t="s">
        <v>2273</v>
      </c>
      <c r="R21" s="5" t="s">
        <v>2483</v>
      </c>
      <c r="S21" s="6" t="s">
        <v>2470</v>
      </c>
      <c r="T21" s="5" t="s">
        <v>2471</v>
      </c>
      <c r="U21" s="6"/>
      <c r="V21" s="6" t="s">
        <v>2472</v>
      </c>
      <c r="W21" s="6" t="s">
        <v>1697</v>
      </c>
      <c r="X21" s="5" t="s">
        <v>228</v>
      </c>
      <c r="Y21" s="5" t="s">
        <v>760</v>
      </c>
      <c r="Z21" s="5" t="str">
        <f t="shared" si="0"/>
        <v>Medium</v>
      </c>
      <c r="AA21" s="5" t="s">
        <v>1319</v>
      </c>
      <c r="AB21" s="6" t="s">
        <v>1355</v>
      </c>
      <c r="AC21" s="6" t="s">
        <v>135</v>
      </c>
      <c r="AD21" s="5" t="s">
        <v>2278</v>
      </c>
      <c r="AE21" s="5" t="s">
        <v>1720</v>
      </c>
      <c r="AF21" s="5" t="s">
        <v>1720</v>
      </c>
      <c r="AG21" s="5" t="s">
        <v>1720</v>
      </c>
      <c r="AH21" s="5" t="s">
        <v>1720</v>
      </c>
      <c r="AI21" s="6" t="str">
        <f t="shared" si="1"/>
        <v>No</v>
      </c>
      <c r="AJ21" s="6" t="s">
        <v>2298</v>
      </c>
      <c r="AK21" s="6" t="s">
        <v>162</v>
      </c>
      <c r="AL21" s="6">
        <f>MATCH(AA21,{"Low","Medium","High"},0)*MATCH(AB21,{"Low","Medium","High"},0)*INDEX({3,2,2,1,1},MATCH(X21,{"Core","Vertical extension","Differentiator","Future","Adjacent"},0))</f>
        <v>6</v>
      </c>
      <c r="AM21" s="5"/>
      <c r="AN21" s="5"/>
      <c r="AO21" s="5"/>
      <c r="AP21" s="5"/>
      <c r="AQ21" s="5"/>
      <c r="AR21" s="5"/>
      <c r="AS21" s="5"/>
      <c r="AT21" s="5"/>
      <c r="AU21" s="6" t="s">
        <v>2317</v>
      </c>
      <c r="AV21" s="6" t="s">
        <v>74</v>
      </c>
      <c r="AW21" s="6" t="s">
        <v>74</v>
      </c>
      <c r="AX21" s="6" t="s">
        <v>2284</v>
      </c>
      <c r="AY21" s="6" t="s">
        <v>2285</v>
      </c>
      <c r="AZ21" s="6"/>
      <c r="BA21" s="6"/>
      <c r="BB21" s="6"/>
      <c r="BC21" s="6" t="s">
        <v>127</v>
      </c>
      <c r="BD21" s="6" t="s">
        <v>127</v>
      </c>
      <c r="BE21" s="6" t="s">
        <v>1477</v>
      </c>
      <c r="BF21" s="6" t="s">
        <v>2286</v>
      </c>
      <c r="BG21" s="6" t="s">
        <v>2484</v>
      </c>
      <c r="BH21" s="6" t="s">
        <v>2485</v>
      </c>
    </row>
    <row r="22" spans="1:60" ht="32" customHeight="1" x14ac:dyDescent="0.35">
      <c r="A22" s="13" t="s">
        <v>2486</v>
      </c>
      <c r="B22" s="6" t="s">
        <v>2265</v>
      </c>
      <c r="C22" s="5" t="s">
        <v>1662</v>
      </c>
      <c r="D22" s="5" t="s">
        <v>2196</v>
      </c>
      <c r="E22" s="5" t="s">
        <v>2487</v>
      </c>
      <c r="F22" s="5" t="s">
        <v>1662</v>
      </c>
      <c r="G22" s="5" t="s">
        <v>2312</v>
      </c>
      <c r="H22" s="5" t="s">
        <v>2488</v>
      </c>
      <c r="I22" s="5" t="s">
        <v>2489</v>
      </c>
      <c r="J22" s="17" t="s">
        <v>162</v>
      </c>
      <c r="K22" s="17" t="s">
        <v>1477</v>
      </c>
      <c r="L22" s="5" t="s">
        <v>2490</v>
      </c>
      <c r="M22" s="6" t="s">
        <v>1493</v>
      </c>
      <c r="N22" s="6" t="s">
        <v>2167</v>
      </c>
      <c r="O22" s="6" t="s">
        <v>162</v>
      </c>
      <c r="P22" s="5" t="s">
        <v>2272</v>
      </c>
      <c r="Q22" s="17" t="s">
        <v>2273</v>
      </c>
      <c r="R22" s="5" t="s">
        <v>2491</v>
      </c>
      <c r="S22" s="6" t="s">
        <v>2358</v>
      </c>
      <c r="T22" s="5" t="s">
        <v>2359</v>
      </c>
      <c r="U22" s="6"/>
      <c r="V22" s="6" t="s">
        <v>2360</v>
      </c>
      <c r="W22" s="6" t="s">
        <v>1703</v>
      </c>
      <c r="X22" s="5" t="s">
        <v>228</v>
      </c>
      <c r="Y22" s="5" t="s">
        <v>760</v>
      </c>
      <c r="Z22" s="5" t="str">
        <f t="shared" si="0"/>
        <v>Medium</v>
      </c>
      <c r="AA22" s="5" t="s">
        <v>1319</v>
      </c>
      <c r="AB22" s="6" t="s">
        <v>1355</v>
      </c>
      <c r="AC22" s="6" t="s">
        <v>32</v>
      </c>
      <c r="AD22" s="5" t="s">
        <v>2278</v>
      </c>
      <c r="AE22" s="5" t="s">
        <v>1720</v>
      </c>
      <c r="AF22" s="5" t="s">
        <v>1720</v>
      </c>
      <c r="AG22" s="5" t="s">
        <v>1720</v>
      </c>
      <c r="AH22" s="5" t="s">
        <v>1720</v>
      </c>
      <c r="AI22" s="6" t="str">
        <f t="shared" si="1"/>
        <v>No</v>
      </c>
      <c r="AJ22" s="6" t="s">
        <v>2298</v>
      </c>
      <c r="AK22" s="6" t="s">
        <v>204</v>
      </c>
      <c r="AL22" s="6">
        <f>MATCH(AA22,{"Low","Medium","High"},0)*MATCH(AB22,{"Low","Medium","High"},0)*INDEX({3,2,2,1,1},MATCH(X22,{"Core","Vertical extension","Differentiator","Future","Adjacent"},0))</f>
        <v>6</v>
      </c>
      <c r="AM22" s="5"/>
      <c r="AN22" s="5"/>
      <c r="AO22" s="5"/>
      <c r="AP22" s="5"/>
      <c r="AQ22" s="5"/>
      <c r="AR22" s="5"/>
      <c r="AS22" s="5"/>
      <c r="AT22" s="5"/>
      <c r="AU22" s="6" t="s">
        <v>2317</v>
      </c>
      <c r="AV22" s="6" t="s">
        <v>74</v>
      </c>
      <c r="AW22" s="6" t="s">
        <v>74</v>
      </c>
      <c r="AX22" s="6" t="s">
        <v>2284</v>
      </c>
      <c r="AY22" s="6" t="s">
        <v>2285</v>
      </c>
      <c r="AZ22" s="6"/>
      <c r="BA22" s="6"/>
      <c r="BB22" s="6"/>
      <c r="BC22" s="6" t="s">
        <v>127</v>
      </c>
      <c r="BD22" s="6" t="s">
        <v>127</v>
      </c>
      <c r="BE22" s="6" t="s">
        <v>1477</v>
      </c>
      <c r="BF22" s="6" t="s">
        <v>2286</v>
      </c>
      <c r="BG22" s="6" t="s">
        <v>2492</v>
      </c>
      <c r="BH22" s="6" t="s">
        <v>2493</v>
      </c>
    </row>
    <row r="23" spans="1:60" ht="32" customHeight="1" x14ac:dyDescent="0.35">
      <c r="A23" s="13" t="s">
        <v>2494</v>
      </c>
      <c r="B23" s="6" t="s">
        <v>2265</v>
      </c>
      <c r="C23" s="5" t="s">
        <v>1662</v>
      </c>
      <c r="D23" s="5" t="s">
        <v>2187</v>
      </c>
      <c r="E23" s="5" t="s">
        <v>2495</v>
      </c>
      <c r="F23" s="5" t="s">
        <v>1662</v>
      </c>
      <c r="G23" s="5" t="s">
        <v>2496</v>
      </c>
      <c r="H23" s="5" t="s">
        <v>2497</v>
      </c>
      <c r="I23" s="5" t="s">
        <v>2498</v>
      </c>
      <c r="J23" s="16" t="s">
        <v>94</v>
      </c>
      <c r="K23" s="17" t="s">
        <v>1477</v>
      </c>
      <c r="L23" s="5" t="s">
        <v>2499</v>
      </c>
      <c r="M23" s="6" t="s">
        <v>1493</v>
      </c>
      <c r="N23" s="6" t="s">
        <v>2167</v>
      </c>
      <c r="O23" s="6" t="s">
        <v>94</v>
      </c>
      <c r="P23" s="5" t="s">
        <v>2272</v>
      </c>
      <c r="Q23" s="17" t="s">
        <v>2273</v>
      </c>
      <c r="R23" s="5" t="s">
        <v>2500</v>
      </c>
      <c r="S23" s="6" t="s">
        <v>2345</v>
      </c>
      <c r="T23" s="5" t="s">
        <v>2346</v>
      </c>
      <c r="U23" s="6"/>
      <c r="V23" s="6" t="s">
        <v>2347</v>
      </c>
      <c r="W23" s="6" t="s">
        <v>1697</v>
      </c>
      <c r="X23" s="5" t="s">
        <v>228</v>
      </c>
      <c r="Y23" s="5" t="s">
        <v>760</v>
      </c>
      <c r="Z23" s="5" t="str">
        <f t="shared" si="0"/>
        <v>High</v>
      </c>
      <c r="AA23" s="5" t="s">
        <v>1302</v>
      </c>
      <c r="AB23" s="6" t="s">
        <v>1355</v>
      </c>
      <c r="AC23" s="6" t="s">
        <v>99</v>
      </c>
      <c r="AD23" s="5" t="s">
        <v>2278</v>
      </c>
      <c r="AE23" s="5" t="s">
        <v>1720</v>
      </c>
      <c r="AF23" s="5" t="s">
        <v>1720</v>
      </c>
      <c r="AG23" s="5" t="s">
        <v>1720</v>
      </c>
      <c r="AH23" s="5" t="s">
        <v>1720</v>
      </c>
      <c r="AI23" s="6" t="str">
        <f t="shared" si="1"/>
        <v>No</v>
      </c>
      <c r="AJ23" s="6" t="s">
        <v>2279</v>
      </c>
      <c r="AK23" s="6" t="s">
        <v>94</v>
      </c>
      <c r="AL23" s="6">
        <f>MATCH(AA23,{"Low","Medium","High"},0)*MATCH(AB23,{"Low","Medium","High"},0)*INDEX({3,2,2,1,1},MATCH(X23,{"Core","Vertical extension","Differentiator","Future","Adjacent"},0))</f>
        <v>9</v>
      </c>
      <c r="AM23" s="5"/>
      <c r="AN23" s="5"/>
      <c r="AO23" s="5"/>
      <c r="AP23" s="5"/>
      <c r="AQ23" s="5"/>
      <c r="AR23" s="5" t="s">
        <v>2501</v>
      </c>
      <c r="AS23" s="5" t="s">
        <v>1462</v>
      </c>
      <c r="AT23" s="5" t="s">
        <v>2281</v>
      </c>
      <c r="AU23" s="6" t="s">
        <v>2282</v>
      </c>
      <c r="AV23" s="6" t="s">
        <v>74</v>
      </c>
      <c r="AW23" s="6" t="s">
        <v>74</v>
      </c>
      <c r="AX23" s="6" t="s">
        <v>2284</v>
      </c>
      <c r="AY23" s="6" t="s">
        <v>2285</v>
      </c>
      <c r="AZ23" s="6"/>
      <c r="BA23" s="6" t="s">
        <v>2502</v>
      </c>
      <c r="BB23" s="6" t="s">
        <v>2474</v>
      </c>
      <c r="BC23" s="6" t="s">
        <v>127</v>
      </c>
      <c r="BD23" s="6" t="s">
        <v>127</v>
      </c>
      <c r="BE23" s="6" t="s">
        <v>1477</v>
      </c>
      <c r="BF23" s="6" t="s">
        <v>2286</v>
      </c>
      <c r="BG23" s="6" t="s">
        <v>2503</v>
      </c>
      <c r="BH23" s="6" t="s">
        <v>2504</v>
      </c>
    </row>
    <row r="24" spans="1:60" ht="32" customHeight="1" x14ac:dyDescent="0.35">
      <c r="A24" s="13" t="s">
        <v>2505</v>
      </c>
      <c r="B24" s="6" t="s">
        <v>2265</v>
      </c>
      <c r="C24" s="5" t="s">
        <v>1662</v>
      </c>
      <c r="D24" s="5" t="s">
        <v>2187</v>
      </c>
      <c r="E24" s="5" t="s">
        <v>2506</v>
      </c>
      <c r="F24" s="5" t="s">
        <v>1662</v>
      </c>
      <c r="G24" s="5" t="s">
        <v>2507</v>
      </c>
      <c r="H24" s="5" t="s">
        <v>2508</v>
      </c>
      <c r="I24" s="5" t="s">
        <v>2509</v>
      </c>
      <c r="J24" s="17" t="s">
        <v>162</v>
      </c>
      <c r="K24" s="17" t="s">
        <v>1477</v>
      </c>
      <c r="L24" s="5" t="s">
        <v>2510</v>
      </c>
      <c r="M24" s="6" t="s">
        <v>1493</v>
      </c>
      <c r="N24" s="6" t="s">
        <v>2167</v>
      </c>
      <c r="O24" s="6" t="s">
        <v>162</v>
      </c>
      <c r="P24" s="5" t="s">
        <v>2272</v>
      </c>
      <c r="Q24" s="18" t="s">
        <v>1482</v>
      </c>
      <c r="R24" s="5" t="s">
        <v>2400</v>
      </c>
      <c r="S24" s="6" t="s">
        <v>2345</v>
      </c>
      <c r="T24" s="5" t="s">
        <v>2346</v>
      </c>
      <c r="U24" s="6"/>
      <c r="V24" s="6" t="s">
        <v>2347</v>
      </c>
      <c r="W24" s="6" t="s">
        <v>1697</v>
      </c>
      <c r="X24" s="5" t="s">
        <v>228</v>
      </c>
      <c r="Y24" s="5" t="s">
        <v>760</v>
      </c>
      <c r="Z24" s="5" t="str">
        <f t="shared" si="0"/>
        <v>High</v>
      </c>
      <c r="AA24" s="5" t="s">
        <v>1302</v>
      </c>
      <c r="AB24" s="6" t="s">
        <v>1355</v>
      </c>
      <c r="AC24" s="6" t="s">
        <v>135</v>
      </c>
      <c r="AD24" s="5" t="s">
        <v>2278</v>
      </c>
      <c r="AE24" s="5" t="s">
        <v>1720</v>
      </c>
      <c r="AF24" s="5" t="s">
        <v>1720</v>
      </c>
      <c r="AG24" s="5" t="s">
        <v>1720</v>
      </c>
      <c r="AH24" s="5" t="s">
        <v>1720</v>
      </c>
      <c r="AI24" s="6" t="str">
        <f t="shared" si="1"/>
        <v>No</v>
      </c>
      <c r="AJ24" s="6" t="s">
        <v>2298</v>
      </c>
      <c r="AK24" s="6" t="s">
        <v>162</v>
      </c>
      <c r="AL24" s="6">
        <f>MATCH(AA24,{"Low","Medium","High"},0)*MATCH(AB24,{"Low","Medium","High"},0)*INDEX({3,2,2,1,1},MATCH(X24,{"Core","Vertical extension","Differentiator","Future","Adjacent"},0))</f>
        <v>9</v>
      </c>
      <c r="AM24" s="5"/>
      <c r="AN24" s="5"/>
      <c r="AO24" s="5"/>
      <c r="AP24" s="5"/>
      <c r="AQ24" s="5"/>
      <c r="AR24" s="5"/>
      <c r="AS24" s="5"/>
      <c r="AT24" s="5"/>
      <c r="AU24" s="6" t="s">
        <v>2317</v>
      </c>
      <c r="AV24" s="6" t="s">
        <v>74</v>
      </c>
      <c r="AW24" s="6" t="s">
        <v>74</v>
      </c>
      <c r="AX24" s="6" t="s">
        <v>2284</v>
      </c>
      <c r="AY24" s="6" t="s">
        <v>2285</v>
      </c>
      <c r="AZ24" s="6"/>
      <c r="BA24" s="6" t="s">
        <v>2348</v>
      </c>
      <c r="BB24" s="6" t="s">
        <v>2349</v>
      </c>
      <c r="BC24" s="6" t="s">
        <v>127</v>
      </c>
      <c r="BD24" s="6" t="s">
        <v>127</v>
      </c>
      <c r="BE24" s="6"/>
      <c r="BF24" s="6"/>
      <c r="BG24" s="6"/>
      <c r="BH24" s="6"/>
    </row>
    <row r="25" spans="1:60" ht="32" customHeight="1" x14ac:dyDescent="0.35">
      <c r="A25" s="13" t="s">
        <v>2511</v>
      </c>
      <c r="B25" s="6" t="s">
        <v>2265</v>
      </c>
      <c r="C25" s="5" t="s">
        <v>1662</v>
      </c>
      <c r="D25" s="5" t="s">
        <v>2189</v>
      </c>
      <c r="E25" s="5" t="s">
        <v>2512</v>
      </c>
      <c r="F25" s="5" t="s">
        <v>1662</v>
      </c>
      <c r="G25" s="5" t="s">
        <v>2312</v>
      </c>
      <c r="H25" s="5" t="s">
        <v>2513</v>
      </c>
      <c r="I25" s="5" t="s">
        <v>2514</v>
      </c>
      <c r="J25" s="19" t="s">
        <v>204</v>
      </c>
      <c r="K25" s="17" t="s">
        <v>95</v>
      </c>
      <c r="L25" s="5" t="s">
        <v>2515</v>
      </c>
      <c r="M25" s="6" t="s">
        <v>1493</v>
      </c>
      <c r="N25" s="6" t="s">
        <v>2167</v>
      </c>
      <c r="O25" s="6" t="s">
        <v>204</v>
      </c>
      <c r="P25" s="5" t="s">
        <v>2272</v>
      </c>
      <c r="Q25" s="17" t="s">
        <v>95</v>
      </c>
      <c r="R25" s="5" t="s">
        <v>2516</v>
      </c>
      <c r="S25" s="6" t="s">
        <v>2325</v>
      </c>
      <c r="T25" s="5" t="s">
        <v>2326</v>
      </c>
      <c r="U25" s="6"/>
      <c r="V25" s="6" t="s">
        <v>2327</v>
      </c>
      <c r="W25" s="6" t="s">
        <v>1699</v>
      </c>
      <c r="X25" s="5" t="s">
        <v>228</v>
      </c>
      <c r="Y25" s="5" t="s">
        <v>760</v>
      </c>
      <c r="Z25" s="5" t="str">
        <f t="shared" si="0"/>
        <v>Medium</v>
      </c>
      <c r="AA25" s="5" t="s">
        <v>1319</v>
      </c>
      <c r="AB25" s="6" t="s">
        <v>1355</v>
      </c>
      <c r="AC25" s="6" t="s">
        <v>32</v>
      </c>
      <c r="AD25" s="5" t="s">
        <v>95</v>
      </c>
      <c r="AE25" s="5" t="s">
        <v>1720</v>
      </c>
      <c r="AF25" s="5" t="s">
        <v>1720</v>
      </c>
      <c r="AG25" s="5" t="s">
        <v>1720</v>
      </c>
      <c r="AH25" s="5" t="s">
        <v>1720</v>
      </c>
      <c r="AI25" s="6" t="str">
        <f t="shared" si="1"/>
        <v>No</v>
      </c>
      <c r="AJ25" s="6" t="s">
        <v>229</v>
      </c>
      <c r="AK25" s="6" t="s">
        <v>204</v>
      </c>
      <c r="AL25" s="6">
        <f>MATCH(AA25,{"Low","Medium","High"},0)*MATCH(AB25,{"Low","Medium","High"},0)*INDEX({3,2,2,1,1},MATCH(X25,{"Core","Vertical extension","Differentiator","Future","Adjacent"},0))</f>
        <v>6</v>
      </c>
      <c r="AM25" s="5"/>
      <c r="AN25" s="5"/>
      <c r="AO25" s="5"/>
      <c r="AP25" s="5"/>
      <c r="AQ25" s="5"/>
      <c r="AR25" s="5"/>
      <c r="AS25" s="5"/>
      <c r="AT25" s="5"/>
      <c r="AU25" s="6" t="s">
        <v>2317</v>
      </c>
      <c r="AV25" s="6" t="s">
        <v>74</v>
      </c>
      <c r="AW25" s="6" t="s">
        <v>74</v>
      </c>
      <c r="AX25" s="6" t="s">
        <v>2284</v>
      </c>
      <c r="AY25" s="6" t="s">
        <v>2285</v>
      </c>
      <c r="AZ25" s="6"/>
      <c r="BA25" s="6"/>
      <c r="BB25" s="6"/>
      <c r="BC25" s="6" t="s">
        <v>127</v>
      </c>
      <c r="BD25" s="6" t="s">
        <v>127</v>
      </c>
      <c r="BE25" s="6" t="s">
        <v>1477</v>
      </c>
      <c r="BF25" s="6" t="s">
        <v>95</v>
      </c>
      <c r="BG25" s="6" t="s">
        <v>2517</v>
      </c>
      <c r="BH25" s="6" t="s">
        <v>2518</v>
      </c>
    </row>
    <row r="26" spans="1:60" ht="32" customHeight="1" x14ac:dyDescent="0.35">
      <c r="A26" s="13" t="s">
        <v>2519</v>
      </c>
      <c r="B26" s="6" t="s">
        <v>2265</v>
      </c>
      <c r="C26" s="5" t="s">
        <v>1662</v>
      </c>
      <c r="D26" s="5" t="s">
        <v>2189</v>
      </c>
      <c r="E26" s="5" t="s">
        <v>2520</v>
      </c>
      <c r="F26" s="5" t="s">
        <v>1662</v>
      </c>
      <c r="G26" s="5" t="s">
        <v>2312</v>
      </c>
      <c r="H26" s="5" t="s">
        <v>2521</v>
      </c>
      <c r="I26" s="5" t="s">
        <v>2522</v>
      </c>
      <c r="J26" s="19" t="s">
        <v>204</v>
      </c>
      <c r="K26" s="17" t="s">
        <v>95</v>
      </c>
      <c r="L26" s="5" t="s">
        <v>2523</v>
      </c>
      <c r="M26" s="6" t="s">
        <v>1493</v>
      </c>
      <c r="N26" s="6" t="s">
        <v>2167</v>
      </c>
      <c r="O26" s="6" t="s">
        <v>204</v>
      </c>
      <c r="P26" s="5" t="s">
        <v>2524</v>
      </c>
      <c r="Q26" s="17" t="s">
        <v>95</v>
      </c>
      <c r="R26" s="5" t="s">
        <v>2525</v>
      </c>
      <c r="S26" s="6" t="s">
        <v>2325</v>
      </c>
      <c r="T26" s="5" t="s">
        <v>2326</v>
      </c>
      <c r="U26" s="6"/>
      <c r="V26" s="6" t="s">
        <v>2327</v>
      </c>
      <c r="W26" s="6" t="s">
        <v>1699</v>
      </c>
      <c r="X26" s="5" t="s">
        <v>228</v>
      </c>
      <c r="Y26" s="5" t="s">
        <v>760</v>
      </c>
      <c r="Z26" s="5" t="str">
        <f t="shared" si="0"/>
        <v>Medium</v>
      </c>
      <c r="AA26" s="5" t="s">
        <v>1319</v>
      </c>
      <c r="AB26" s="6" t="s">
        <v>1355</v>
      </c>
      <c r="AC26" s="6" t="s">
        <v>32</v>
      </c>
      <c r="AD26" s="5" t="s">
        <v>95</v>
      </c>
      <c r="AE26" s="5" t="s">
        <v>1720</v>
      </c>
      <c r="AF26" s="5" t="s">
        <v>1720</v>
      </c>
      <c r="AG26" s="5" t="s">
        <v>1720</v>
      </c>
      <c r="AH26" s="5" t="s">
        <v>1720</v>
      </c>
      <c r="AI26" s="6" t="str">
        <f t="shared" si="1"/>
        <v>No</v>
      </c>
      <c r="AJ26" s="6" t="s">
        <v>229</v>
      </c>
      <c r="AK26" s="6" t="s">
        <v>204</v>
      </c>
      <c r="AL26" s="6">
        <f>MATCH(AA26,{"Low","Medium","High"},0)*MATCH(AB26,{"Low","Medium","High"},0)*INDEX({3,2,2,1,1},MATCH(X26,{"Core","Vertical extension","Differentiator","Future","Adjacent"},0))</f>
        <v>6</v>
      </c>
      <c r="AM26" s="5"/>
      <c r="AN26" s="5"/>
      <c r="AO26" s="5"/>
      <c r="AP26" s="5"/>
      <c r="AQ26" s="5"/>
      <c r="AR26" s="5"/>
      <c r="AS26" s="5"/>
      <c r="AT26" s="5"/>
      <c r="AU26" s="6" t="s">
        <v>2317</v>
      </c>
      <c r="AV26" s="6" t="s">
        <v>74</v>
      </c>
      <c r="AW26" s="6" t="s">
        <v>74</v>
      </c>
      <c r="AX26" s="6" t="s">
        <v>2374</v>
      </c>
      <c r="AY26" s="6" t="s">
        <v>2285</v>
      </c>
      <c r="AZ26" s="6"/>
      <c r="BA26" s="6"/>
      <c r="BB26" s="6"/>
      <c r="BC26" s="6" t="s">
        <v>127</v>
      </c>
      <c r="BD26" s="6" t="s">
        <v>127</v>
      </c>
      <c r="BE26" s="6" t="s">
        <v>1477</v>
      </c>
      <c r="BF26" s="6" t="s">
        <v>95</v>
      </c>
      <c r="BG26" s="6" t="s">
        <v>2526</v>
      </c>
      <c r="BH26" s="6" t="s">
        <v>2527</v>
      </c>
    </row>
    <row r="27" spans="1:60" ht="32" customHeight="1" x14ac:dyDescent="0.35">
      <c r="A27" s="13" t="s">
        <v>2528</v>
      </c>
      <c r="B27" s="6" t="s">
        <v>2265</v>
      </c>
      <c r="C27" s="5" t="s">
        <v>1662</v>
      </c>
      <c r="D27" s="5" t="s">
        <v>2192</v>
      </c>
      <c r="E27" s="5" t="s">
        <v>2529</v>
      </c>
      <c r="F27" s="5" t="s">
        <v>1662</v>
      </c>
      <c r="G27" s="5" t="s">
        <v>2530</v>
      </c>
      <c r="H27" s="5" t="s">
        <v>2531</v>
      </c>
      <c r="I27" s="5" t="s">
        <v>2532</v>
      </c>
      <c r="J27" s="17" t="s">
        <v>162</v>
      </c>
      <c r="K27" s="17" t="s">
        <v>1477</v>
      </c>
      <c r="L27" s="5" t="s">
        <v>2533</v>
      </c>
      <c r="M27" s="6" t="s">
        <v>1493</v>
      </c>
      <c r="N27" s="6" t="s">
        <v>2167</v>
      </c>
      <c r="O27" s="6" t="s">
        <v>162</v>
      </c>
      <c r="P27" s="5" t="s">
        <v>2272</v>
      </c>
      <c r="Q27" s="17" t="s">
        <v>2273</v>
      </c>
      <c r="R27" s="5" t="s">
        <v>2534</v>
      </c>
      <c r="S27" s="6" t="s">
        <v>2371</v>
      </c>
      <c r="T27" s="5" t="s">
        <v>2372</v>
      </c>
      <c r="U27" s="6"/>
      <c r="V27" s="6" t="s">
        <v>2373</v>
      </c>
      <c r="W27" s="6" t="s">
        <v>1699</v>
      </c>
      <c r="X27" s="5" t="s">
        <v>228</v>
      </c>
      <c r="Y27" s="5" t="s">
        <v>760</v>
      </c>
      <c r="Z27" s="5" t="str">
        <f t="shared" si="0"/>
        <v>Critical</v>
      </c>
      <c r="AA27" s="5" t="s">
        <v>1302</v>
      </c>
      <c r="AB27" s="6" t="s">
        <v>1319</v>
      </c>
      <c r="AC27" s="6" t="s">
        <v>135</v>
      </c>
      <c r="AD27" s="5" t="s">
        <v>2278</v>
      </c>
      <c r="AE27" s="5" t="s">
        <v>1720</v>
      </c>
      <c r="AF27" s="5" t="s">
        <v>1720</v>
      </c>
      <c r="AG27" s="5" t="s">
        <v>1720</v>
      </c>
      <c r="AH27" s="5" t="s">
        <v>1720</v>
      </c>
      <c r="AI27" s="6" t="str">
        <f t="shared" si="1"/>
        <v>No</v>
      </c>
      <c r="AJ27" s="6" t="s">
        <v>2298</v>
      </c>
      <c r="AK27" s="6" t="s">
        <v>162</v>
      </c>
      <c r="AL27" s="6">
        <f>MATCH(AA27,{"Low","Medium","High"},0)*MATCH(AB27,{"Low","Medium","High"},0)*INDEX({3,2,2,1,1},MATCH(X27,{"Core","Vertical extension","Differentiator","Future","Adjacent"},0))</f>
        <v>18</v>
      </c>
      <c r="AM27" s="5"/>
      <c r="AN27" s="5"/>
      <c r="AO27" s="5"/>
      <c r="AP27" s="5"/>
      <c r="AQ27" s="5"/>
      <c r="AR27" s="5"/>
      <c r="AS27" s="5"/>
      <c r="AT27" s="5"/>
      <c r="AU27" s="6" t="s">
        <v>2317</v>
      </c>
      <c r="AV27" s="6" t="s">
        <v>74</v>
      </c>
      <c r="AW27" s="6" t="s">
        <v>74</v>
      </c>
      <c r="AX27" s="6" t="s">
        <v>2284</v>
      </c>
      <c r="AY27" s="6" t="s">
        <v>2285</v>
      </c>
      <c r="AZ27" s="6"/>
      <c r="BA27" s="6"/>
      <c r="BB27" s="6"/>
      <c r="BC27" s="6" t="s">
        <v>127</v>
      </c>
      <c r="BD27" s="6" t="s">
        <v>127</v>
      </c>
      <c r="BE27" s="6" t="s">
        <v>1477</v>
      </c>
      <c r="BF27" s="6" t="s">
        <v>2286</v>
      </c>
      <c r="BG27" s="6" t="s">
        <v>2535</v>
      </c>
      <c r="BH27" s="6" t="s">
        <v>2536</v>
      </c>
    </row>
    <row r="28" spans="1:60" ht="32" customHeight="1" x14ac:dyDescent="0.35">
      <c r="A28" s="13" t="s">
        <v>2537</v>
      </c>
      <c r="B28" s="6" t="s">
        <v>2265</v>
      </c>
      <c r="C28" s="5" t="s">
        <v>1662</v>
      </c>
      <c r="D28" s="5" t="s">
        <v>2192</v>
      </c>
      <c r="E28" s="5" t="s">
        <v>2538</v>
      </c>
      <c r="F28" s="5" t="s">
        <v>1662</v>
      </c>
      <c r="G28" s="5" t="s">
        <v>2396</v>
      </c>
      <c r="H28" s="5" t="s">
        <v>2539</v>
      </c>
      <c r="I28" s="5" t="s">
        <v>2540</v>
      </c>
      <c r="J28" s="17" t="s">
        <v>162</v>
      </c>
      <c r="K28" s="17" t="s">
        <v>1477</v>
      </c>
      <c r="L28" s="5" t="s">
        <v>2541</v>
      </c>
      <c r="M28" s="6" t="s">
        <v>1493</v>
      </c>
      <c r="N28" s="6" t="s">
        <v>2167</v>
      </c>
      <c r="O28" s="6" t="s">
        <v>162</v>
      </c>
      <c r="P28" s="5" t="s">
        <v>2272</v>
      </c>
      <c r="Q28" s="17" t="s">
        <v>2273</v>
      </c>
      <c r="R28" s="5" t="s">
        <v>2542</v>
      </c>
      <c r="S28" s="6" t="s">
        <v>2371</v>
      </c>
      <c r="T28" s="5" t="s">
        <v>2372</v>
      </c>
      <c r="U28" s="6"/>
      <c r="V28" s="6" t="s">
        <v>2373</v>
      </c>
      <c r="W28" s="6" t="s">
        <v>1699</v>
      </c>
      <c r="X28" s="5" t="s">
        <v>228</v>
      </c>
      <c r="Y28" s="5" t="s">
        <v>760</v>
      </c>
      <c r="Z28" s="5" t="str">
        <f t="shared" si="0"/>
        <v>Critical</v>
      </c>
      <c r="AA28" s="5" t="s">
        <v>1302</v>
      </c>
      <c r="AB28" s="6" t="s">
        <v>1319</v>
      </c>
      <c r="AC28" s="6" t="s">
        <v>135</v>
      </c>
      <c r="AD28" s="5" t="s">
        <v>2278</v>
      </c>
      <c r="AE28" s="5" t="s">
        <v>1720</v>
      </c>
      <c r="AF28" s="5" t="s">
        <v>1720</v>
      </c>
      <c r="AG28" s="5" t="s">
        <v>1720</v>
      </c>
      <c r="AH28" s="5" t="s">
        <v>1720</v>
      </c>
      <c r="AI28" s="6" t="str">
        <f t="shared" si="1"/>
        <v>No</v>
      </c>
      <c r="AJ28" s="6" t="s">
        <v>2298</v>
      </c>
      <c r="AK28" s="6" t="s">
        <v>162</v>
      </c>
      <c r="AL28" s="6">
        <f>MATCH(AA28,{"Low","Medium","High"},0)*MATCH(AB28,{"Low","Medium","High"},0)*INDEX({3,2,2,1,1},MATCH(X28,{"Core","Vertical extension","Differentiator","Future","Adjacent"},0))</f>
        <v>18</v>
      </c>
      <c r="AM28" s="5"/>
      <c r="AN28" s="5"/>
      <c r="AO28" s="5"/>
      <c r="AP28" s="5"/>
      <c r="AQ28" s="5"/>
      <c r="AR28" s="5"/>
      <c r="AS28" s="5"/>
      <c r="AT28" s="5"/>
      <c r="AU28" s="6" t="s">
        <v>2317</v>
      </c>
      <c r="AV28" s="6" t="s">
        <v>74</v>
      </c>
      <c r="AW28" s="6" t="s">
        <v>74</v>
      </c>
      <c r="AX28" s="6" t="s">
        <v>2284</v>
      </c>
      <c r="AY28" s="6" t="s">
        <v>2285</v>
      </c>
      <c r="AZ28" s="6"/>
      <c r="BA28" s="6"/>
      <c r="BB28" s="6"/>
      <c r="BC28" s="6" t="s">
        <v>127</v>
      </c>
      <c r="BD28" s="6" t="s">
        <v>127</v>
      </c>
      <c r="BE28" s="6" t="s">
        <v>1477</v>
      </c>
      <c r="BF28" s="6" t="s">
        <v>2286</v>
      </c>
      <c r="BG28" s="6" t="s">
        <v>2543</v>
      </c>
      <c r="BH28" s="6" t="s">
        <v>2544</v>
      </c>
    </row>
    <row r="29" spans="1:60" ht="32" customHeight="1" x14ac:dyDescent="0.35">
      <c r="A29" s="13" t="s">
        <v>1666</v>
      </c>
      <c r="B29" s="6" t="s">
        <v>2265</v>
      </c>
      <c r="C29" s="5" t="s">
        <v>1662</v>
      </c>
      <c r="D29" s="5" t="s">
        <v>2192</v>
      </c>
      <c r="E29" s="5" t="s">
        <v>1668</v>
      </c>
      <c r="F29" s="5" t="s">
        <v>1662</v>
      </c>
      <c r="G29" s="5" t="s">
        <v>2340</v>
      </c>
      <c r="H29" s="5" t="s">
        <v>2545</v>
      </c>
      <c r="I29" s="5" t="s">
        <v>2546</v>
      </c>
      <c r="J29" s="17" t="s">
        <v>162</v>
      </c>
      <c r="K29" s="17" t="s">
        <v>1477</v>
      </c>
      <c r="L29" s="5" t="s">
        <v>2547</v>
      </c>
      <c r="M29" s="6" t="s">
        <v>1493</v>
      </c>
      <c r="N29" s="6" t="s">
        <v>2167</v>
      </c>
      <c r="O29" s="6" t="s">
        <v>162</v>
      </c>
      <c r="P29" s="5" t="s">
        <v>2272</v>
      </c>
      <c r="Q29" s="17" t="s">
        <v>2273</v>
      </c>
      <c r="R29" s="5" t="s">
        <v>2548</v>
      </c>
      <c r="S29" s="6" t="s">
        <v>2371</v>
      </c>
      <c r="T29" s="5" t="s">
        <v>2372</v>
      </c>
      <c r="U29" s="6"/>
      <c r="V29" s="6" t="s">
        <v>2373</v>
      </c>
      <c r="W29" s="6" t="s">
        <v>1699</v>
      </c>
      <c r="X29" s="5" t="s">
        <v>228</v>
      </c>
      <c r="Y29" s="5" t="s">
        <v>760</v>
      </c>
      <c r="Z29" s="5" t="str">
        <f t="shared" si="0"/>
        <v>Critical</v>
      </c>
      <c r="AA29" s="5" t="s">
        <v>1302</v>
      </c>
      <c r="AB29" s="6" t="s">
        <v>1319</v>
      </c>
      <c r="AC29" s="6" t="s">
        <v>135</v>
      </c>
      <c r="AD29" s="5" t="s">
        <v>2278</v>
      </c>
      <c r="AE29" s="5" t="s">
        <v>1720</v>
      </c>
      <c r="AF29" s="5" t="s">
        <v>1720</v>
      </c>
      <c r="AG29" s="5" t="s">
        <v>1720</v>
      </c>
      <c r="AH29" s="5" t="s">
        <v>1720</v>
      </c>
      <c r="AI29" s="6" t="str">
        <f t="shared" si="1"/>
        <v>No</v>
      </c>
      <c r="AJ29" s="6" t="s">
        <v>2298</v>
      </c>
      <c r="AK29" s="6" t="s">
        <v>162</v>
      </c>
      <c r="AL29" s="6">
        <f>MATCH(AA29,{"Low","Medium","High"},0)*MATCH(AB29,{"Low","Medium","High"},0)*INDEX({3,2,2,1,1},MATCH(X29,{"Core","Vertical extension","Differentiator","Future","Adjacent"},0))</f>
        <v>18</v>
      </c>
      <c r="AM29" s="5"/>
      <c r="AN29" s="5"/>
      <c r="AO29" s="5"/>
      <c r="AP29" s="5"/>
      <c r="AQ29" s="5"/>
      <c r="AR29" s="5"/>
      <c r="AS29" s="5"/>
      <c r="AT29" s="5"/>
      <c r="AU29" s="6" t="s">
        <v>2317</v>
      </c>
      <c r="AV29" s="6" t="s">
        <v>74</v>
      </c>
      <c r="AW29" s="6" t="s">
        <v>74</v>
      </c>
      <c r="AX29" s="6" t="s">
        <v>2284</v>
      </c>
      <c r="AY29" s="6" t="s">
        <v>2285</v>
      </c>
      <c r="AZ29" s="6" t="s">
        <v>2549</v>
      </c>
      <c r="BA29" s="6"/>
      <c r="BB29" s="6"/>
      <c r="BC29" s="6" t="s">
        <v>127</v>
      </c>
      <c r="BD29" s="6" t="s">
        <v>127</v>
      </c>
      <c r="BE29" s="6" t="s">
        <v>1477</v>
      </c>
      <c r="BF29" s="6" t="s">
        <v>2286</v>
      </c>
      <c r="BG29" s="6" t="s">
        <v>2550</v>
      </c>
      <c r="BH29" s="6" t="s">
        <v>2551</v>
      </c>
    </row>
    <row r="30" spans="1:60" ht="32" customHeight="1" x14ac:dyDescent="0.35">
      <c r="A30" s="13" t="s">
        <v>2552</v>
      </c>
      <c r="B30" s="6" t="s">
        <v>2265</v>
      </c>
      <c r="C30" s="5" t="s">
        <v>1662</v>
      </c>
      <c r="D30" s="5" t="s">
        <v>2192</v>
      </c>
      <c r="E30" s="5" t="s">
        <v>2553</v>
      </c>
      <c r="F30" s="5" t="s">
        <v>1662</v>
      </c>
      <c r="G30" s="5" t="s">
        <v>2507</v>
      </c>
      <c r="H30" s="5" t="s">
        <v>2554</v>
      </c>
      <c r="I30" s="5" t="s">
        <v>2555</v>
      </c>
      <c r="J30" s="17" t="s">
        <v>162</v>
      </c>
      <c r="K30" s="17" t="s">
        <v>1477</v>
      </c>
      <c r="L30" s="5" t="s">
        <v>2556</v>
      </c>
      <c r="M30" s="6" t="s">
        <v>1493</v>
      </c>
      <c r="N30" s="6" t="s">
        <v>2167</v>
      </c>
      <c r="O30" s="6" t="s">
        <v>162</v>
      </c>
      <c r="P30" s="5" t="s">
        <v>2272</v>
      </c>
      <c r="Q30" s="17" t="s">
        <v>2273</v>
      </c>
      <c r="R30" s="5" t="s">
        <v>2557</v>
      </c>
      <c r="S30" s="6" t="s">
        <v>2371</v>
      </c>
      <c r="T30" s="5" t="s">
        <v>2372</v>
      </c>
      <c r="U30" s="6"/>
      <c r="V30" s="6" t="s">
        <v>2373</v>
      </c>
      <c r="W30" s="6" t="s">
        <v>1699</v>
      </c>
      <c r="X30" s="5" t="s">
        <v>228</v>
      </c>
      <c r="Y30" s="5" t="s">
        <v>760</v>
      </c>
      <c r="Z30" s="5" t="str">
        <f t="shared" si="0"/>
        <v>Critical</v>
      </c>
      <c r="AA30" s="5" t="s">
        <v>1302</v>
      </c>
      <c r="AB30" s="6" t="s">
        <v>1319</v>
      </c>
      <c r="AC30" s="6" t="s">
        <v>135</v>
      </c>
      <c r="AD30" s="5" t="s">
        <v>2278</v>
      </c>
      <c r="AE30" s="5" t="s">
        <v>1720</v>
      </c>
      <c r="AF30" s="5" t="s">
        <v>1720</v>
      </c>
      <c r="AG30" s="5" t="s">
        <v>1720</v>
      </c>
      <c r="AH30" s="5" t="s">
        <v>1720</v>
      </c>
      <c r="AI30" s="6" t="str">
        <f t="shared" si="1"/>
        <v>No</v>
      </c>
      <c r="AJ30" s="6" t="s">
        <v>2298</v>
      </c>
      <c r="AK30" s="6" t="s">
        <v>162</v>
      </c>
      <c r="AL30" s="6">
        <f>MATCH(AA30,{"Low","Medium","High"},0)*MATCH(AB30,{"Low","Medium","High"},0)*INDEX({3,2,2,1,1},MATCH(X30,{"Core","Vertical extension","Differentiator","Future","Adjacent"},0))</f>
        <v>18</v>
      </c>
      <c r="AM30" s="5"/>
      <c r="AN30" s="5"/>
      <c r="AO30" s="5"/>
      <c r="AP30" s="5"/>
      <c r="AQ30" s="5"/>
      <c r="AR30" s="5"/>
      <c r="AS30" s="5"/>
      <c r="AT30" s="5"/>
      <c r="AU30" s="6" t="s">
        <v>2317</v>
      </c>
      <c r="AV30" s="6" t="s">
        <v>74</v>
      </c>
      <c r="AW30" s="6" t="s">
        <v>74</v>
      </c>
      <c r="AX30" s="6" t="s">
        <v>2284</v>
      </c>
      <c r="AY30" s="6" t="s">
        <v>2285</v>
      </c>
      <c r="AZ30" s="6"/>
      <c r="BA30" s="6"/>
      <c r="BB30" s="6"/>
      <c r="BC30" s="6" t="s">
        <v>127</v>
      </c>
      <c r="BD30" s="6" t="s">
        <v>127</v>
      </c>
      <c r="BE30" s="6" t="s">
        <v>1477</v>
      </c>
      <c r="BF30" s="6" t="s">
        <v>2286</v>
      </c>
      <c r="BG30" s="6" t="s">
        <v>2558</v>
      </c>
      <c r="BH30" s="6" t="s">
        <v>2559</v>
      </c>
    </row>
    <row r="31" spans="1:60" ht="32" customHeight="1" x14ac:dyDescent="0.35">
      <c r="A31" s="13" t="s">
        <v>1658</v>
      </c>
      <c r="B31" s="6" t="s">
        <v>2265</v>
      </c>
      <c r="C31" s="5" t="s">
        <v>1662</v>
      </c>
      <c r="D31" s="5" t="s">
        <v>2199</v>
      </c>
      <c r="E31" s="5" t="s">
        <v>1660</v>
      </c>
      <c r="F31" s="5" t="s">
        <v>1662</v>
      </c>
      <c r="G31" s="5" t="s">
        <v>2396</v>
      </c>
      <c r="H31" s="5" t="s">
        <v>2560</v>
      </c>
      <c r="I31" s="5" t="s">
        <v>2561</v>
      </c>
      <c r="J31" s="17" t="s">
        <v>162</v>
      </c>
      <c r="K31" s="17" t="s">
        <v>1477</v>
      </c>
      <c r="L31" s="5" t="s">
        <v>2562</v>
      </c>
      <c r="M31" s="6" t="s">
        <v>1493</v>
      </c>
      <c r="N31" s="6" t="s">
        <v>2167</v>
      </c>
      <c r="O31" s="6" t="s">
        <v>162</v>
      </c>
      <c r="P31" s="5" t="s">
        <v>2272</v>
      </c>
      <c r="Q31" s="17" t="s">
        <v>2273</v>
      </c>
      <c r="R31" s="5" t="s">
        <v>2563</v>
      </c>
      <c r="S31" s="6" t="s">
        <v>2416</v>
      </c>
      <c r="T31" s="5" t="s">
        <v>2417</v>
      </c>
      <c r="U31" s="6"/>
      <c r="V31" s="6" t="s">
        <v>2277</v>
      </c>
      <c r="W31" s="6" t="s">
        <v>1697</v>
      </c>
      <c r="X31" s="5" t="s">
        <v>228</v>
      </c>
      <c r="Y31" s="5" t="s">
        <v>760</v>
      </c>
      <c r="Z31" s="5" t="str">
        <f t="shared" si="0"/>
        <v>Medium</v>
      </c>
      <c r="AA31" s="5" t="s">
        <v>1319</v>
      </c>
      <c r="AB31" s="6" t="s">
        <v>1355</v>
      </c>
      <c r="AC31" s="6" t="s">
        <v>135</v>
      </c>
      <c r="AD31" s="5" t="s">
        <v>2278</v>
      </c>
      <c r="AE31" s="5" t="s">
        <v>1720</v>
      </c>
      <c r="AF31" s="5" t="s">
        <v>1720</v>
      </c>
      <c r="AG31" s="5" t="s">
        <v>1720</v>
      </c>
      <c r="AH31" s="5" t="s">
        <v>1720</v>
      </c>
      <c r="AI31" s="6" t="str">
        <f t="shared" si="1"/>
        <v>No</v>
      </c>
      <c r="AJ31" s="6" t="s">
        <v>2298</v>
      </c>
      <c r="AK31" s="6" t="s">
        <v>162</v>
      </c>
      <c r="AL31" s="6">
        <f>MATCH(AA31,{"Low","Medium","High"},0)*MATCH(AB31,{"Low","Medium","High"},0)*INDEX({3,2,2,1,1},MATCH(X31,{"Core","Vertical extension","Differentiator","Future","Adjacent"},0))</f>
        <v>6</v>
      </c>
      <c r="AM31" s="5"/>
      <c r="AN31" s="5"/>
      <c r="AO31" s="5"/>
      <c r="AP31" s="5"/>
      <c r="AQ31" s="5"/>
      <c r="AR31" s="5"/>
      <c r="AS31" s="5"/>
      <c r="AT31" s="5"/>
      <c r="AU31" s="6" t="s">
        <v>2317</v>
      </c>
      <c r="AV31" s="6" t="s">
        <v>74</v>
      </c>
      <c r="AW31" s="6" t="s">
        <v>74</v>
      </c>
      <c r="AX31" s="6" t="s">
        <v>2284</v>
      </c>
      <c r="AY31" s="6" t="s">
        <v>2285</v>
      </c>
      <c r="AZ31" s="6" t="s">
        <v>2564</v>
      </c>
      <c r="BA31" s="6"/>
      <c r="BB31" s="6"/>
      <c r="BC31" s="6" t="s">
        <v>127</v>
      </c>
      <c r="BD31" s="6" t="s">
        <v>127</v>
      </c>
      <c r="BE31" s="6" t="s">
        <v>1477</v>
      </c>
      <c r="BF31" s="6" t="s">
        <v>2286</v>
      </c>
      <c r="BG31" s="6" t="s">
        <v>2565</v>
      </c>
      <c r="BH31" s="6" t="s">
        <v>2566</v>
      </c>
    </row>
    <row r="32" spans="1:60" ht="32" customHeight="1" x14ac:dyDescent="0.35">
      <c r="A32" s="13" t="s">
        <v>2567</v>
      </c>
      <c r="B32" s="6" t="s">
        <v>2265</v>
      </c>
      <c r="C32" s="5" t="s">
        <v>1662</v>
      </c>
      <c r="D32" s="5" t="s">
        <v>2199</v>
      </c>
      <c r="E32" s="5" t="s">
        <v>2568</v>
      </c>
      <c r="F32" s="5" t="s">
        <v>1662</v>
      </c>
      <c r="G32" s="5" t="s">
        <v>75</v>
      </c>
      <c r="H32" s="5" t="s">
        <v>2569</v>
      </c>
      <c r="I32" s="5" t="s">
        <v>2570</v>
      </c>
      <c r="J32" s="17" t="s">
        <v>162</v>
      </c>
      <c r="K32" s="17" t="s">
        <v>95</v>
      </c>
      <c r="L32" s="5" t="s">
        <v>2571</v>
      </c>
      <c r="M32" s="6" t="s">
        <v>1493</v>
      </c>
      <c r="N32" s="6" t="s">
        <v>2167</v>
      </c>
      <c r="O32" s="6" t="s">
        <v>162</v>
      </c>
      <c r="P32" s="5" t="s">
        <v>2272</v>
      </c>
      <c r="Q32" s="17" t="s">
        <v>95</v>
      </c>
      <c r="R32" s="5" t="s">
        <v>2572</v>
      </c>
      <c r="S32" s="6" t="s">
        <v>2416</v>
      </c>
      <c r="T32" s="5" t="s">
        <v>2417</v>
      </c>
      <c r="U32" s="6"/>
      <c r="V32" s="6" t="s">
        <v>2277</v>
      </c>
      <c r="W32" s="6" t="s">
        <v>1697</v>
      </c>
      <c r="X32" s="5" t="s">
        <v>228</v>
      </c>
      <c r="Y32" s="5" t="s">
        <v>760</v>
      </c>
      <c r="Z32" s="5" t="str">
        <f t="shared" si="0"/>
        <v>Medium</v>
      </c>
      <c r="AA32" s="5" t="s">
        <v>1319</v>
      </c>
      <c r="AB32" s="6" t="s">
        <v>1355</v>
      </c>
      <c r="AC32" s="6" t="s">
        <v>135</v>
      </c>
      <c r="AD32" s="5" t="s">
        <v>95</v>
      </c>
      <c r="AE32" s="5" t="s">
        <v>1720</v>
      </c>
      <c r="AF32" s="5" t="s">
        <v>1720</v>
      </c>
      <c r="AG32" s="5" t="s">
        <v>1720</v>
      </c>
      <c r="AH32" s="5" t="s">
        <v>1720</v>
      </c>
      <c r="AI32" s="6" t="str">
        <f t="shared" si="1"/>
        <v>No</v>
      </c>
      <c r="AJ32" s="6" t="s">
        <v>229</v>
      </c>
      <c r="AK32" s="6" t="s">
        <v>162</v>
      </c>
      <c r="AL32" s="6">
        <f>MATCH(AA32,{"Low","Medium","High"},0)*MATCH(AB32,{"Low","Medium","High"},0)*INDEX({3,2,2,1,1},MATCH(X32,{"Core","Vertical extension","Differentiator","Future","Adjacent"},0))</f>
        <v>6</v>
      </c>
      <c r="AM32" s="5"/>
      <c r="AN32" s="5"/>
      <c r="AO32" s="5"/>
      <c r="AP32" s="5"/>
      <c r="AQ32" s="5"/>
      <c r="AR32" s="5"/>
      <c r="AS32" s="5"/>
      <c r="AT32" s="5"/>
      <c r="AU32" s="6" t="s">
        <v>2317</v>
      </c>
      <c r="AV32" s="6" t="s">
        <v>74</v>
      </c>
      <c r="AW32" s="6" t="s">
        <v>74</v>
      </c>
      <c r="AX32" s="6" t="s">
        <v>2284</v>
      </c>
      <c r="AY32" s="6" t="s">
        <v>2285</v>
      </c>
      <c r="AZ32" s="6"/>
      <c r="BA32" s="6" t="s">
        <v>2573</v>
      </c>
      <c r="BB32" s="6" t="s">
        <v>2574</v>
      </c>
      <c r="BC32" s="6" t="s">
        <v>127</v>
      </c>
      <c r="BD32" s="6" t="s">
        <v>127</v>
      </c>
      <c r="BE32" s="6" t="s">
        <v>1477</v>
      </c>
      <c r="BF32" s="6" t="s">
        <v>95</v>
      </c>
      <c r="BG32" s="6" t="s">
        <v>2575</v>
      </c>
      <c r="BH32" s="6" t="s">
        <v>2576</v>
      </c>
    </row>
    <row r="33" spans="1:60" ht="32" customHeight="1" x14ac:dyDescent="0.35">
      <c r="A33" s="13" t="s">
        <v>2577</v>
      </c>
      <c r="B33" s="6" t="s">
        <v>2265</v>
      </c>
      <c r="C33" s="5" t="s">
        <v>1662</v>
      </c>
      <c r="D33" s="5" t="s">
        <v>2191</v>
      </c>
      <c r="E33" s="5" t="s">
        <v>2578</v>
      </c>
      <c r="F33" s="5" t="s">
        <v>1662</v>
      </c>
      <c r="G33" s="5" t="s">
        <v>2496</v>
      </c>
      <c r="H33" s="5" t="s">
        <v>2579</v>
      </c>
      <c r="I33" s="5" t="s">
        <v>2580</v>
      </c>
      <c r="J33" s="19" t="s">
        <v>204</v>
      </c>
      <c r="K33" s="17" t="s">
        <v>1477</v>
      </c>
      <c r="L33" s="5" t="s">
        <v>2581</v>
      </c>
      <c r="M33" s="6" t="s">
        <v>1493</v>
      </c>
      <c r="N33" s="6" t="s">
        <v>2167</v>
      </c>
      <c r="O33" s="6" t="s">
        <v>204</v>
      </c>
      <c r="P33" s="5" t="s">
        <v>2272</v>
      </c>
      <c r="Q33" s="17" t="s">
        <v>2273</v>
      </c>
      <c r="R33" s="5" t="s">
        <v>2582</v>
      </c>
      <c r="S33" s="6" t="s">
        <v>2275</v>
      </c>
      <c r="T33" s="5" t="s">
        <v>2276</v>
      </c>
      <c r="U33" s="6"/>
      <c r="V33" s="6" t="s">
        <v>2277</v>
      </c>
      <c r="W33" s="6" t="s">
        <v>1697</v>
      </c>
      <c r="X33" s="5" t="s">
        <v>228</v>
      </c>
      <c r="Y33" s="5" t="s">
        <v>760</v>
      </c>
      <c r="Z33" s="5" t="str">
        <f t="shared" si="0"/>
        <v>Medium</v>
      </c>
      <c r="AA33" s="5" t="s">
        <v>1319</v>
      </c>
      <c r="AB33" s="6" t="s">
        <v>1355</v>
      </c>
      <c r="AC33" s="6" t="s">
        <v>32</v>
      </c>
      <c r="AD33" s="5" t="s">
        <v>2278</v>
      </c>
      <c r="AE33" s="5" t="s">
        <v>1720</v>
      </c>
      <c r="AF33" s="5" t="s">
        <v>1720</v>
      </c>
      <c r="AG33" s="5" t="s">
        <v>1720</v>
      </c>
      <c r="AH33" s="5" t="s">
        <v>1720</v>
      </c>
      <c r="AI33" s="6" t="str">
        <f t="shared" si="1"/>
        <v>No</v>
      </c>
      <c r="AJ33" s="6" t="s">
        <v>2298</v>
      </c>
      <c r="AK33" s="6" t="s">
        <v>204</v>
      </c>
      <c r="AL33" s="6">
        <f>MATCH(AA33,{"Low","Medium","High"},0)*MATCH(AB33,{"Low","Medium","High"},0)*INDEX({3,2,2,1,1},MATCH(X33,{"Core","Vertical extension","Differentiator","Future","Adjacent"},0))</f>
        <v>6</v>
      </c>
      <c r="AM33" s="5"/>
      <c r="AN33" s="5"/>
      <c r="AO33" s="5"/>
      <c r="AP33" s="5"/>
      <c r="AQ33" s="5"/>
      <c r="AR33" s="5"/>
      <c r="AS33" s="5"/>
      <c r="AT33" s="5"/>
      <c r="AU33" s="6" t="s">
        <v>2317</v>
      </c>
      <c r="AV33" s="6" t="s">
        <v>74</v>
      </c>
      <c r="AW33" s="6" t="s">
        <v>74</v>
      </c>
      <c r="AX33" s="6" t="s">
        <v>2284</v>
      </c>
      <c r="AY33" s="6" t="s">
        <v>2285</v>
      </c>
      <c r="AZ33" s="6"/>
      <c r="BA33" s="6"/>
      <c r="BB33" s="6"/>
      <c r="BC33" s="6" t="s">
        <v>127</v>
      </c>
      <c r="BD33" s="6" t="s">
        <v>127</v>
      </c>
      <c r="BE33" s="6" t="s">
        <v>1477</v>
      </c>
      <c r="BF33" s="6" t="s">
        <v>2286</v>
      </c>
      <c r="BG33" s="6" t="s">
        <v>2583</v>
      </c>
      <c r="BH33" s="6" t="s">
        <v>2584</v>
      </c>
    </row>
    <row r="34" spans="1:60" ht="32" customHeight="1" x14ac:dyDescent="0.35">
      <c r="A34" s="13" t="s">
        <v>2585</v>
      </c>
      <c r="B34" s="6" t="s">
        <v>2265</v>
      </c>
      <c r="C34" s="5" t="s">
        <v>1662</v>
      </c>
      <c r="D34" s="5" t="s">
        <v>2183</v>
      </c>
      <c r="E34" s="5" t="s">
        <v>2586</v>
      </c>
      <c r="F34" s="5" t="s">
        <v>1662</v>
      </c>
      <c r="G34" s="5" t="s">
        <v>1824</v>
      </c>
      <c r="H34" s="5" t="s">
        <v>2587</v>
      </c>
      <c r="I34" s="5" t="s">
        <v>2588</v>
      </c>
      <c r="J34" s="17" t="s">
        <v>162</v>
      </c>
      <c r="K34" s="17" t="s">
        <v>1477</v>
      </c>
      <c r="L34" s="5" t="s">
        <v>2589</v>
      </c>
      <c r="M34" s="6" t="s">
        <v>1493</v>
      </c>
      <c r="N34" s="6" t="s">
        <v>2167</v>
      </c>
      <c r="O34" s="6" t="s">
        <v>162</v>
      </c>
      <c r="P34" s="5" t="s">
        <v>2272</v>
      </c>
      <c r="Q34" s="17" t="s">
        <v>2273</v>
      </c>
      <c r="R34" s="5" t="s">
        <v>2590</v>
      </c>
      <c r="S34" s="6" t="s">
        <v>2438</v>
      </c>
      <c r="T34" s="5" t="s">
        <v>2439</v>
      </c>
      <c r="U34" s="6"/>
      <c r="V34" s="6" t="s">
        <v>2440</v>
      </c>
      <c r="W34" s="6" t="s">
        <v>1699</v>
      </c>
      <c r="X34" s="5" t="s">
        <v>228</v>
      </c>
      <c r="Y34" s="5" t="s">
        <v>760</v>
      </c>
      <c r="Z34" s="5" t="str">
        <f t="shared" si="0"/>
        <v>Critical</v>
      </c>
      <c r="AA34" s="5" t="s">
        <v>1302</v>
      </c>
      <c r="AB34" s="6" t="s">
        <v>1302</v>
      </c>
      <c r="AC34" s="6" t="s">
        <v>135</v>
      </c>
      <c r="AD34" s="5" t="s">
        <v>2278</v>
      </c>
      <c r="AE34" s="5" t="s">
        <v>1720</v>
      </c>
      <c r="AF34" s="5" t="s">
        <v>1720</v>
      </c>
      <c r="AG34" s="5" t="s">
        <v>1720</v>
      </c>
      <c r="AH34" s="5" t="s">
        <v>1720</v>
      </c>
      <c r="AI34" s="6" t="str">
        <f t="shared" si="1"/>
        <v>No</v>
      </c>
      <c r="AJ34" s="6" t="s">
        <v>2298</v>
      </c>
      <c r="AK34" s="6" t="s">
        <v>162</v>
      </c>
      <c r="AL34" s="6">
        <f>MATCH(AA34,{"Low","Medium","High"},0)*MATCH(AB34,{"Low","Medium","High"},0)*INDEX({3,2,2,1,1},MATCH(X34,{"Core","Vertical extension","Differentiator","Future","Adjacent"},0))</f>
        <v>27</v>
      </c>
      <c r="AM34" s="5"/>
      <c r="AN34" s="5"/>
      <c r="AO34" s="5"/>
      <c r="AP34" s="5"/>
      <c r="AQ34" s="5"/>
      <c r="AR34" s="5"/>
      <c r="AS34" s="5"/>
      <c r="AT34" s="5"/>
      <c r="AU34" s="6" t="s">
        <v>2317</v>
      </c>
      <c r="AV34" s="6" t="s">
        <v>74</v>
      </c>
      <c r="AW34" s="6" t="s">
        <v>74</v>
      </c>
      <c r="AX34" s="6" t="s">
        <v>2284</v>
      </c>
      <c r="AY34" s="6" t="s">
        <v>2285</v>
      </c>
      <c r="AZ34" s="6"/>
      <c r="BA34" s="6"/>
      <c r="BB34" s="6"/>
      <c r="BC34" s="6" t="s">
        <v>127</v>
      </c>
      <c r="BD34" s="6" t="s">
        <v>127</v>
      </c>
      <c r="BE34" s="6" t="s">
        <v>1477</v>
      </c>
      <c r="BF34" s="6" t="s">
        <v>2286</v>
      </c>
      <c r="BG34" s="6" t="s">
        <v>2591</v>
      </c>
      <c r="BH34" s="6" t="s">
        <v>2592</v>
      </c>
    </row>
    <row r="35" spans="1:60" ht="32" customHeight="1" x14ac:dyDescent="0.35">
      <c r="A35" s="13" t="s">
        <v>2593</v>
      </c>
      <c r="B35" s="6" t="s">
        <v>2265</v>
      </c>
      <c r="C35" s="5" t="s">
        <v>1662</v>
      </c>
      <c r="D35" s="5" t="s">
        <v>2183</v>
      </c>
      <c r="E35" s="5" t="s">
        <v>2594</v>
      </c>
      <c r="F35" s="5" t="s">
        <v>1662</v>
      </c>
      <c r="G35" s="5" t="s">
        <v>2595</v>
      </c>
      <c r="H35" s="5" t="s">
        <v>2596</v>
      </c>
      <c r="I35" s="5" t="s">
        <v>2597</v>
      </c>
      <c r="J35" s="16" t="s">
        <v>94</v>
      </c>
      <c r="K35" s="17" t="s">
        <v>1477</v>
      </c>
      <c r="L35" s="5" t="s">
        <v>2598</v>
      </c>
      <c r="M35" s="6" t="s">
        <v>1493</v>
      </c>
      <c r="N35" s="6" t="s">
        <v>2167</v>
      </c>
      <c r="O35" s="6" t="s">
        <v>94</v>
      </c>
      <c r="P35" s="5" t="s">
        <v>2272</v>
      </c>
      <c r="Q35" s="17" t="s">
        <v>2273</v>
      </c>
      <c r="R35" s="5" t="s">
        <v>2599</v>
      </c>
      <c r="S35" s="6" t="s">
        <v>2438</v>
      </c>
      <c r="T35" s="5" t="s">
        <v>2439</v>
      </c>
      <c r="U35" s="6"/>
      <c r="V35" s="6" t="s">
        <v>2440</v>
      </c>
      <c r="W35" s="6" t="s">
        <v>1699</v>
      </c>
      <c r="X35" s="5" t="s">
        <v>228</v>
      </c>
      <c r="Y35" s="5" t="s">
        <v>760</v>
      </c>
      <c r="Z35" s="5" t="str">
        <f t="shared" si="0"/>
        <v>Critical</v>
      </c>
      <c r="AA35" s="5" t="s">
        <v>1302</v>
      </c>
      <c r="AB35" s="6" t="s">
        <v>1302</v>
      </c>
      <c r="AC35" s="6" t="s">
        <v>99</v>
      </c>
      <c r="AD35" s="5" t="s">
        <v>2278</v>
      </c>
      <c r="AE35" s="5" t="s">
        <v>1720</v>
      </c>
      <c r="AF35" s="5" t="s">
        <v>1720</v>
      </c>
      <c r="AG35" s="5" t="s">
        <v>1720</v>
      </c>
      <c r="AH35" s="5" t="s">
        <v>1720</v>
      </c>
      <c r="AI35" s="6" t="str">
        <f t="shared" si="1"/>
        <v>No</v>
      </c>
      <c r="AJ35" s="6" t="s">
        <v>2298</v>
      </c>
      <c r="AK35" s="6" t="s">
        <v>94</v>
      </c>
      <c r="AL35" s="6">
        <f>MATCH(AA35,{"Low","Medium","High"},0)*MATCH(AB35,{"Low","Medium","High"},0)*INDEX({3,2,2,1,1},MATCH(X35,{"Core","Vertical extension","Differentiator","Future","Adjacent"},0))</f>
        <v>27</v>
      </c>
      <c r="AM35" s="5"/>
      <c r="AN35" s="5"/>
      <c r="AO35" s="5"/>
      <c r="AP35" s="5"/>
      <c r="AQ35" s="5"/>
      <c r="AR35" s="5" t="s">
        <v>2600</v>
      </c>
      <c r="AS35" s="5" t="s">
        <v>1462</v>
      </c>
      <c r="AT35" s="5" t="s">
        <v>2281</v>
      </c>
      <c r="AU35" s="6" t="s">
        <v>95</v>
      </c>
      <c r="AV35" s="6" t="s">
        <v>74</v>
      </c>
      <c r="AW35" s="6" t="s">
        <v>74</v>
      </c>
      <c r="AX35" s="6" t="s">
        <v>2284</v>
      </c>
      <c r="AY35" s="6" t="s">
        <v>2285</v>
      </c>
      <c r="AZ35" s="6"/>
      <c r="BA35" s="6"/>
      <c r="BB35" s="6"/>
      <c r="BC35" s="6" t="s">
        <v>127</v>
      </c>
      <c r="BD35" s="6" t="s">
        <v>127</v>
      </c>
      <c r="BE35" s="6" t="s">
        <v>1477</v>
      </c>
      <c r="BF35" s="6" t="s">
        <v>2286</v>
      </c>
      <c r="BG35" s="6" t="s">
        <v>2601</v>
      </c>
      <c r="BH35" s="6" t="s">
        <v>2602</v>
      </c>
    </row>
    <row r="36" spans="1:60" ht="32" customHeight="1" x14ac:dyDescent="0.35">
      <c r="A36" s="13" t="s">
        <v>2603</v>
      </c>
      <c r="B36" s="6" t="s">
        <v>2265</v>
      </c>
      <c r="C36" s="5" t="s">
        <v>1662</v>
      </c>
      <c r="D36" s="5" t="s">
        <v>2189</v>
      </c>
      <c r="E36" s="5" t="s">
        <v>2604</v>
      </c>
      <c r="F36" s="5" t="s">
        <v>1662</v>
      </c>
      <c r="G36" s="5" t="s">
        <v>2312</v>
      </c>
      <c r="H36" s="5" t="s">
        <v>2605</v>
      </c>
      <c r="I36" s="5" t="s">
        <v>2606</v>
      </c>
      <c r="J36" s="17" t="s">
        <v>162</v>
      </c>
      <c r="K36" s="17" t="s">
        <v>1477</v>
      </c>
      <c r="L36" s="5" t="s">
        <v>2607</v>
      </c>
      <c r="M36" s="6" t="s">
        <v>1493</v>
      </c>
      <c r="N36" s="6" t="s">
        <v>2167</v>
      </c>
      <c r="O36" s="6" t="s">
        <v>162</v>
      </c>
      <c r="P36" s="5" t="s">
        <v>2272</v>
      </c>
      <c r="Q36" s="17" t="s">
        <v>2273</v>
      </c>
      <c r="R36" s="5" t="s">
        <v>2608</v>
      </c>
      <c r="S36" s="6" t="s">
        <v>2325</v>
      </c>
      <c r="T36" s="5" t="s">
        <v>2326</v>
      </c>
      <c r="U36" s="6"/>
      <c r="V36" s="6" t="s">
        <v>2327</v>
      </c>
      <c r="W36" s="6" t="s">
        <v>1699</v>
      </c>
      <c r="X36" s="5" t="s">
        <v>228</v>
      </c>
      <c r="Y36" s="5" t="s">
        <v>760</v>
      </c>
      <c r="Z36" s="5" t="str">
        <f t="shared" si="0"/>
        <v>Medium</v>
      </c>
      <c r="AA36" s="5" t="s">
        <v>1319</v>
      </c>
      <c r="AB36" s="6" t="s">
        <v>1355</v>
      </c>
      <c r="AC36" s="6" t="s">
        <v>135</v>
      </c>
      <c r="AD36" s="5" t="s">
        <v>2278</v>
      </c>
      <c r="AE36" s="5" t="s">
        <v>1720</v>
      </c>
      <c r="AF36" s="5" t="s">
        <v>1720</v>
      </c>
      <c r="AG36" s="5" t="s">
        <v>1720</v>
      </c>
      <c r="AH36" s="5" t="s">
        <v>1720</v>
      </c>
      <c r="AI36" s="6" t="str">
        <f t="shared" si="1"/>
        <v>No</v>
      </c>
      <c r="AJ36" s="6" t="s">
        <v>2298</v>
      </c>
      <c r="AK36" s="6" t="s">
        <v>162</v>
      </c>
      <c r="AL36" s="6">
        <f>MATCH(AA36,{"Low","Medium","High"},0)*MATCH(AB36,{"Low","Medium","High"},0)*INDEX({3,2,2,1,1},MATCH(X36,{"Core","Vertical extension","Differentiator","Future","Adjacent"},0))</f>
        <v>6</v>
      </c>
      <c r="AM36" s="5"/>
      <c r="AN36" s="5"/>
      <c r="AO36" s="5"/>
      <c r="AP36" s="5"/>
      <c r="AQ36" s="5"/>
      <c r="AR36" s="5"/>
      <c r="AS36" s="5"/>
      <c r="AT36" s="5"/>
      <c r="AU36" s="6" t="s">
        <v>2317</v>
      </c>
      <c r="AV36" s="6" t="s">
        <v>74</v>
      </c>
      <c r="AW36" s="6" t="s">
        <v>74</v>
      </c>
      <c r="AX36" s="6" t="s">
        <v>2284</v>
      </c>
      <c r="AY36" s="6" t="s">
        <v>2285</v>
      </c>
      <c r="AZ36" s="6"/>
      <c r="BA36" s="6"/>
      <c r="BB36" s="6"/>
      <c r="BC36" s="6" t="s">
        <v>127</v>
      </c>
      <c r="BD36" s="6" t="s">
        <v>127</v>
      </c>
      <c r="BE36" s="6" t="s">
        <v>1477</v>
      </c>
      <c r="BF36" s="6" t="s">
        <v>2286</v>
      </c>
      <c r="BG36" s="6" t="s">
        <v>2609</v>
      </c>
      <c r="BH36" s="6" t="s">
        <v>2610</v>
      </c>
    </row>
    <row r="37" spans="1:60" ht="32" customHeight="1" x14ac:dyDescent="0.35">
      <c r="A37" s="13" t="s">
        <v>2611</v>
      </c>
      <c r="B37" s="6" t="s">
        <v>2265</v>
      </c>
      <c r="C37" s="5" t="s">
        <v>1662</v>
      </c>
      <c r="D37" s="5" t="s">
        <v>2189</v>
      </c>
      <c r="E37" s="5" t="s">
        <v>2612</v>
      </c>
      <c r="F37" s="5" t="s">
        <v>1662</v>
      </c>
      <c r="G37" s="5" t="s">
        <v>2312</v>
      </c>
      <c r="H37" s="5" t="s">
        <v>2613</v>
      </c>
      <c r="I37" s="5" t="s">
        <v>2614</v>
      </c>
      <c r="J37" s="19" t="s">
        <v>204</v>
      </c>
      <c r="K37" s="17" t="s">
        <v>1477</v>
      </c>
      <c r="L37" s="5" t="s">
        <v>2615</v>
      </c>
      <c r="M37" s="6" t="s">
        <v>1493</v>
      </c>
      <c r="N37" s="6" t="s">
        <v>2167</v>
      </c>
      <c r="O37" s="6" t="s">
        <v>204</v>
      </c>
      <c r="P37" s="5" t="s">
        <v>2524</v>
      </c>
      <c r="Q37" s="17" t="s">
        <v>2273</v>
      </c>
      <c r="R37" s="5" t="s">
        <v>2616</v>
      </c>
      <c r="S37" s="6" t="s">
        <v>2325</v>
      </c>
      <c r="T37" s="5" t="s">
        <v>2326</v>
      </c>
      <c r="U37" s="6"/>
      <c r="V37" s="6" t="s">
        <v>2327</v>
      </c>
      <c r="W37" s="6" t="s">
        <v>1699</v>
      </c>
      <c r="X37" s="5" t="s">
        <v>228</v>
      </c>
      <c r="Y37" s="5" t="s">
        <v>760</v>
      </c>
      <c r="Z37" s="5" t="str">
        <f t="shared" si="0"/>
        <v>Medium</v>
      </c>
      <c r="AA37" s="5" t="s">
        <v>1319</v>
      </c>
      <c r="AB37" s="6" t="s">
        <v>1355</v>
      </c>
      <c r="AC37" s="6" t="s">
        <v>32</v>
      </c>
      <c r="AD37" s="5" t="s">
        <v>2278</v>
      </c>
      <c r="AE37" s="5" t="s">
        <v>1720</v>
      </c>
      <c r="AF37" s="5" t="s">
        <v>1720</v>
      </c>
      <c r="AG37" s="5" t="s">
        <v>1720</v>
      </c>
      <c r="AH37" s="5" t="s">
        <v>1720</v>
      </c>
      <c r="AI37" s="6" t="str">
        <f t="shared" si="1"/>
        <v>No</v>
      </c>
      <c r="AJ37" s="6" t="s">
        <v>2298</v>
      </c>
      <c r="AK37" s="6" t="s">
        <v>204</v>
      </c>
      <c r="AL37" s="6">
        <f>MATCH(AA37,{"Low","Medium","High"},0)*MATCH(AB37,{"Low","Medium","High"},0)*INDEX({3,2,2,1,1},MATCH(X37,{"Core","Vertical extension","Differentiator","Future","Adjacent"},0))</f>
        <v>6</v>
      </c>
      <c r="AM37" s="5"/>
      <c r="AN37" s="5"/>
      <c r="AO37" s="5"/>
      <c r="AP37" s="5"/>
      <c r="AQ37" s="5"/>
      <c r="AR37" s="5"/>
      <c r="AS37" s="5"/>
      <c r="AT37" s="5"/>
      <c r="AU37" s="6" t="s">
        <v>2317</v>
      </c>
      <c r="AV37" s="6" t="s">
        <v>74</v>
      </c>
      <c r="AW37" s="6" t="s">
        <v>74</v>
      </c>
      <c r="AX37" s="6" t="s">
        <v>2374</v>
      </c>
      <c r="AY37" s="6" t="s">
        <v>2285</v>
      </c>
      <c r="AZ37" s="6"/>
      <c r="BA37" s="6"/>
      <c r="BB37" s="6"/>
      <c r="BC37" s="6" t="s">
        <v>127</v>
      </c>
      <c r="BD37" s="6" t="s">
        <v>127</v>
      </c>
      <c r="BE37" s="6" t="s">
        <v>1477</v>
      </c>
      <c r="BF37" s="6" t="s">
        <v>2286</v>
      </c>
      <c r="BG37" s="6" t="s">
        <v>2617</v>
      </c>
      <c r="BH37" s="6" t="s">
        <v>2618</v>
      </c>
    </row>
    <row r="38" spans="1:60" ht="32" customHeight="1" x14ac:dyDescent="0.35">
      <c r="A38" s="13" t="s">
        <v>2619</v>
      </c>
      <c r="B38" s="6" t="s">
        <v>2265</v>
      </c>
      <c r="C38" s="5" t="s">
        <v>1662</v>
      </c>
      <c r="D38" s="5" t="s">
        <v>2195</v>
      </c>
      <c r="E38" s="5" t="s">
        <v>2620</v>
      </c>
      <c r="F38" s="5" t="s">
        <v>1662</v>
      </c>
      <c r="G38" s="5" t="s">
        <v>1824</v>
      </c>
      <c r="H38" s="5" t="s">
        <v>2621</v>
      </c>
      <c r="I38" s="5" t="s">
        <v>2622</v>
      </c>
      <c r="J38" s="17" t="s">
        <v>162</v>
      </c>
      <c r="K38" s="17" t="s">
        <v>95</v>
      </c>
      <c r="L38" s="5" t="s">
        <v>2623</v>
      </c>
      <c r="M38" s="6" t="s">
        <v>1493</v>
      </c>
      <c r="N38" s="6" t="s">
        <v>2167</v>
      </c>
      <c r="O38" s="6" t="s">
        <v>162</v>
      </c>
      <c r="P38" s="5" t="s">
        <v>2272</v>
      </c>
      <c r="Q38" s="17" t="s">
        <v>95</v>
      </c>
      <c r="R38" s="5" t="s">
        <v>2624</v>
      </c>
      <c r="S38" s="6" t="s">
        <v>2295</v>
      </c>
      <c r="T38" s="5" t="s">
        <v>2296</v>
      </c>
      <c r="U38" s="6"/>
      <c r="V38" s="6" t="s">
        <v>2297</v>
      </c>
      <c r="W38" s="6" t="s">
        <v>1697</v>
      </c>
      <c r="X38" s="5" t="s">
        <v>228</v>
      </c>
      <c r="Y38" s="5" t="s">
        <v>760</v>
      </c>
      <c r="Z38" s="5" t="str">
        <f t="shared" si="0"/>
        <v>High</v>
      </c>
      <c r="AA38" s="5" t="s">
        <v>1302</v>
      </c>
      <c r="AB38" s="6" t="s">
        <v>1355</v>
      </c>
      <c r="AC38" s="6" t="s">
        <v>135</v>
      </c>
      <c r="AD38" s="5" t="s">
        <v>95</v>
      </c>
      <c r="AE38" s="5" t="s">
        <v>1720</v>
      </c>
      <c r="AF38" s="5" t="s">
        <v>1720</v>
      </c>
      <c r="AG38" s="5" t="s">
        <v>1720</v>
      </c>
      <c r="AH38" s="5" t="s">
        <v>1720</v>
      </c>
      <c r="AI38" s="6" t="str">
        <f t="shared" si="1"/>
        <v>No</v>
      </c>
      <c r="AJ38" s="6" t="s">
        <v>229</v>
      </c>
      <c r="AK38" s="6" t="s">
        <v>162</v>
      </c>
      <c r="AL38" s="6">
        <f>MATCH(AA38,{"Low","Medium","High"},0)*MATCH(AB38,{"Low","Medium","High"},0)*INDEX({3,2,2,1,1},MATCH(X38,{"Core","Vertical extension","Differentiator","Future","Adjacent"},0))</f>
        <v>9</v>
      </c>
      <c r="AM38" s="5"/>
      <c r="AN38" s="5"/>
      <c r="AO38" s="5"/>
      <c r="AP38" s="5"/>
      <c r="AQ38" s="5"/>
      <c r="AR38" s="5"/>
      <c r="AS38" s="5"/>
      <c r="AT38" s="5"/>
      <c r="AU38" s="6" t="s">
        <v>2317</v>
      </c>
      <c r="AV38" s="6" t="s">
        <v>74</v>
      </c>
      <c r="AW38" s="6" t="s">
        <v>74</v>
      </c>
      <c r="AX38" s="6" t="s">
        <v>2284</v>
      </c>
      <c r="AY38" s="6" t="s">
        <v>2285</v>
      </c>
      <c r="AZ38" s="6"/>
      <c r="BA38" s="6"/>
      <c r="BB38" s="6"/>
      <c r="BC38" s="6" t="s">
        <v>127</v>
      </c>
      <c r="BD38" s="6" t="s">
        <v>127</v>
      </c>
      <c r="BE38" s="6" t="s">
        <v>1477</v>
      </c>
      <c r="BF38" s="6" t="s">
        <v>95</v>
      </c>
      <c r="BG38" s="6" t="s">
        <v>2625</v>
      </c>
      <c r="BH38" s="6" t="s">
        <v>2626</v>
      </c>
    </row>
    <row r="39" spans="1:60" ht="32" customHeight="1" x14ac:dyDescent="0.35">
      <c r="A39" s="13" t="s">
        <v>2627</v>
      </c>
      <c r="B39" s="6" t="s">
        <v>2265</v>
      </c>
      <c r="C39" s="5" t="s">
        <v>1674</v>
      </c>
      <c r="D39" s="5" t="s">
        <v>2191</v>
      </c>
      <c r="E39" s="5" t="s">
        <v>2628</v>
      </c>
      <c r="F39" s="5" t="s">
        <v>2629</v>
      </c>
      <c r="G39" s="5" t="s">
        <v>2630</v>
      </c>
      <c r="H39" s="5" t="s">
        <v>2631</v>
      </c>
      <c r="I39" s="5" t="s">
        <v>2632</v>
      </c>
      <c r="J39" s="16" t="s">
        <v>94</v>
      </c>
      <c r="K39" s="17" t="s">
        <v>1477</v>
      </c>
      <c r="L39" s="5" t="s">
        <v>2633</v>
      </c>
      <c r="M39" s="6" t="s">
        <v>1493</v>
      </c>
      <c r="N39" s="6" t="s">
        <v>2167</v>
      </c>
      <c r="O39" s="6" t="s">
        <v>94</v>
      </c>
      <c r="P39" s="5" t="s">
        <v>2272</v>
      </c>
      <c r="Q39" s="17" t="s">
        <v>2273</v>
      </c>
      <c r="R39" s="5" t="s">
        <v>2634</v>
      </c>
      <c r="S39" s="6" t="s">
        <v>2275</v>
      </c>
      <c r="T39" s="5" t="s">
        <v>2276</v>
      </c>
      <c r="U39" s="6"/>
      <c r="V39" s="6" t="s">
        <v>2277</v>
      </c>
      <c r="W39" s="6" t="s">
        <v>1697</v>
      </c>
      <c r="X39" s="5" t="s">
        <v>228</v>
      </c>
      <c r="Y39" s="5" t="s">
        <v>760</v>
      </c>
      <c r="Z39" s="5" t="str">
        <f t="shared" si="0"/>
        <v>High</v>
      </c>
      <c r="AA39" s="5" t="s">
        <v>1302</v>
      </c>
      <c r="AB39" s="6" t="s">
        <v>1355</v>
      </c>
      <c r="AC39" s="6" t="s">
        <v>99</v>
      </c>
      <c r="AD39" s="5" t="s">
        <v>2278</v>
      </c>
      <c r="AE39" s="5" t="s">
        <v>1720</v>
      </c>
      <c r="AF39" s="5" t="s">
        <v>1720</v>
      </c>
      <c r="AG39" s="5" t="s">
        <v>1720</v>
      </c>
      <c r="AH39" s="5" t="s">
        <v>1720</v>
      </c>
      <c r="AI39" s="6" t="str">
        <f t="shared" si="1"/>
        <v>No</v>
      </c>
      <c r="AJ39" s="6" t="s">
        <v>2279</v>
      </c>
      <c r="AK39" s="6" t="s">
        <v>94</v>
      </c>
      <c r="AL39" s="6">
        <f>MATCH(AA39,{"Low","Medium","High"},0)*MATCH(AB39,{"Low","Medium","High"},0)*INDEX({3,2,2,1,1},MATCH(X39,{"Core","Vertical extension","Differentiator","Future","Adjacent"},0))</f>
        <v>9</v>
      </c>
      <c r="AM39" s="5"/>
      <c r="AN39" s="5"/>
      <c r="AO39" s="5"/>
      <c r="AP39" s="5"/>
      <c r="AQ39" s="5"/>
      <c r="AR39" s="5" t="s">
        <v>2635</v>
      </c>
      <c r="AS39" s="5" t="s">
        <v>1462</v>
      </c>
      <c r="AT39" s="5" t="s">
        <v>2281</v>
      </c>
      <c r="AU39" s="6" t="s">
        <v>2282</v>
      </c>
      <c r="AV39" s="6" t="s">
        <v>2636</v>
      </c>
      <c r="AW39" s="6" t="s">
        <v>2636</v>
      </c>
      <c r="AX39" s="6" t="s">
        <v>2284</v>
      </c>
      <c r="AY39" s="6" t="s">
        <v>2285</v>
      </c>
      <c r="AZ39" s="6"/>
      <c r="BA39" s="6" t="s">
        <v>2637</v>
      </c>
      <c r="BB39" s="6" t="s">
        <v>2638</v>
      </c>
      <c r="BC39" s="6" t="s">
        <v>127</v>
      </c>
      <c r="BD39" s="6" t="s">
        <v>127</v>
      </c>
      <c r="BE39" s="6" t="s">
        <v>1477</v>
      </c>
      <c r="BF39" s="6" t="s">
        <v>2286</v>
      </c>
      <c r="BG39" s="6" t="s">
        <v>2639</v>
      </c>
      <c r="BH39" s="6" t="s">
        <v>2640</v>
      </c>
    </row>
    <row r="40" spans="1:60" ht="32" customHeight="1" x14ac:dyDescent="0.35">
      <c r="A40" s="13" t="s">
        <v>2641</v>
      </c>
      <c r="B40" s="6" t="s">
        <v>2265</v>
      </c>
      <c r="C40" s="5" t="s">
        <v>1674</v>
      </c>
      <c r="D40" s="5" t="s">
        <v>2187</v>
      </c>
      <c r="E40" s="5" t="s">
        <v>2642</v>
      </c>
      <c r="F40" s="5" t="s">
        <v>2643</v>
      </c>
      <c r="G40" s="5" t="s">
        <v>2644</v>
      </c>
      <c r="H40" s="5" t="s">
        <v>2645</v>
      </c>
      <c r="I40" s="5" t="s">
        <v>2646</v>
      </c>
      <c r="J40" s="16" t="s">
        <v>94</v>
      </c>
      <c r="K40" s="17" t="s">
        <v>1477</v>
      </c>
      <c r="L40" s="5" t="s">
        <v>2647</v>
      </c>
      <c r="M40" s="6" t="s">
        <v>1493</v>
      </c>
      <c r="N40" s="6" t="s">
        <v>2167</v>
      </c>
      <c r="O40" s="6" t="s">
        <v>94</v>
      </c>
      <c r="P40" s="5" t="s">
        <v>2272</v>
      </c>
      <c r="Q40" s="18" t="s">
        <v>1482</v>
      </c>
      <c r="R40" s="5" t="s">
        <v>2648</v>
      </c>
      <c r="S40" s="6" t="s">
        <v>2345</v>
      </c>
      <c r="T40" s="5" t="s">
        <v>2346</v>
      </c>
      <c r="U40" s="6"/>
      <c r="V40" s="6" t="s">
        <v>2347</v>
      </c>
      <c r="W40" s="6" t="s">
        <v>1697</v>
      </c>
      <c r="X40" s="5" t="s">
        <v>228</v>
      </c>
      <c r="Y40" s="5" t="s">
        <v>760</v>
      </c>
      <c r="Z40" s="5" t="str">
        <f t="shared" si="0"/>
        <v>High</v>
      </c>
      <c r="AA40" s="5" t="s">
        <v>1302</v>
      </c>
      <c r="AB40" s="6" t="s">
        <v>1355</v>
      </c>
      <c r="AC40" s="6" t="s">
        <v>99</v>
      </c>
      <c r="AD40" s="5" t="s">
        <v>2278</v>
      </c>
      <c r="AE40" s="5" t="s">
        <v>1720</v>
      </c>
      <c r="AF40" s="5" t="s">
        <v>1720</v>
      </c>
      <c r="AG40" s="5" t="s">
        <v>1720</v>
      </c>
      <c r="AH40" s="5" t="s">
        <v>1720</v>
      </c>
      <c r="AI40" s="6" t="str">
        <f t="shared" si="1"/>
        <v>No</v>
      </c>
      <c r="AJ40" s="6" t="s">
        <v>2298</v>
      </c>
      <c r="AK40" s="6" t="s">
        <v>94</v>
      </c>
      <c r="AL40" s="6">
        <f>MATCH(AA40,{"Low","Medium","High"},0)*MATCH(AB40,{"Low","Medium","High"},0)*INDEX({3,2,2,1,1},MATCH(X40,{"Core","Vertical extension","Differentiator","Future","Adjacent"},0))</f>
        <v>9</v>
      </c>
      <c r="AM40" s="5"/>
      <c r="AN40" s="5"/>
      <c r="AO40" s="5"/>
      <c r="AP40" s="5"/>
      <c r="AQ40" s="5"/>
      <c r="AR40" s="5" t="s">
        <v>2649</v>
      </c>
      <c r="AS40" s="5" t="s">
        <v>1462</v>
      </c>
      <c r="AT40" s="5" t="s">
        <v>2281</v>
      </c>
      <c r="AU40" s="6" t="s">
        <v>95</v>
      </c>
      <c r="AV40" s="6" t="s">
        <v>2636</v>
      </c>
      <c r="AW40" s="6" t="s">
        <v>2636</v>
      </c>
      <c r="AX40" s="6" t="s">
        <v>2284</v>
      </c>
      <c r="AY40" s="6" t="s">
        <v>2285</v>
      </c>
      <c r="AZ40" s="6"/>
      <c r="BA40" s="6" t="s">
        <v>2650</v>
      </c>
      <c r="BB40" s="6" t="s">
        <v>2638</v>
      </c>
      <c r="BC40" s="6" t="s">
        <v>127</v>
      </c>
      <c r="BD40" s="6" t="s">
        <v>127</v>
      </c>
      <c r="BE40" s="6"/>
      <c r="BF40" s="6"/>
      <c r="BG40" s="6"/>
      <c r="BH40" s="6"/>
    </row>
    <row r="41" spans="1:60" ht="32" customHeight="1" x14ac:dyDescent="0.35">
      <c r="A41" s="13" t="s">
        <v>2651</v>
      </c>
      <c r="B41" s="6" t="s">
        <v>2265</v>
      </c>
      <c r="C41" s="5" t="s">
        <v>1674</v>
      </c>
      <c r="D41" s="5" t="s">
        <v>2187</v>
      </c>
      <c r="E41" s="5" t="s">
        <v>2652</v>
      </c>
      <c r="F41" s="5" t="s">
        <v>2629</v>
      </c>
      <c r="G41" s="5" t="s">
        <v>2507</v>
      </c>
      <c r="H41" s="5" t="s">
        <v>2653</v>
      </c>
      <c r="I41" s="5" t="s">
        <v>2654</v>
      </c>
      <c r="J41" s="16" t="s">
        <v>94</v>
      </c>
      <c r="K41" s="17" t="s">
        <v>1477</v>
      </c>
      <c r="L41" s="5" t="s">
        <v>2655</v>
      </c>
      <c r="M41" s="6" t="s">
        <v>1493</v>
      </c>
      <c r="N41" s="6" t="s">
        <v>2167</v>
      </c>
      <c r="O41" s="6" t="s">
        <v>94</v>
      </c>
      <c r="P41" s="5" t="s">
        <v>2272</v>
      </c>
      <c r="Q41" s="17" t="s">
        <v>2273</v>
      </c>
      <c r="R41" s="5" t="s">
        <v>2656</v>
      </c>
      <c r="S41" s="6" t="s">
        <v>2345</v>
      </c>
      <c r="T41" s="5" t="s">
        <v>2346</v>
      </c>
      <c r="U41" s="6"/>
      <c r="V41" s="6" t="s">
        <v>2347</v>
      </c>
      <c r="W41" s="6" t="s">
        <v>1697</v>
      </c>
      <c r="X41" s="5" t="s">
        <v>228</v>
      </c>
      <c r="Y41" s="5" t="s">
        <v>760</v>
      </c>
      <c r="Z41" s="5" t="str">
        <f t="shared" si="0"/>
        <v>High</v>
      </c>
      <c r="AA41" s="5" t="s">
        <v>1302</v>
      </c>
      <c r="AB41" s="6" t="s">
        <v>1355</v>
      </c>
      <c r="AC41" s="6" t="s">
        <v>99</v>
      </c>
      <c r="AD41" s="5" t="s">
        <v>2278</v>
      </c>
      <c r="AE41" s="5" t="s">
        <v>1720</v>
      </c>
      <c r="AF41" s="5" t="s">
        <v>1720</v>
      </c>
      <c r="AG41" s="5" t="s">
        <v>1720</v>
      </c>
      <c r="AH41" s="5" t="s">
        <v>1720</v>
      </c>
      <c r="AI41" s="6" t="str">
        <f t="shared" si="1"/>
        <v>No</v>
      </c>
      <c r="AJ41" s="6" t="s">
        <v>2298</v>
      </c>
      <c r="AK41" s="6" t="s">
        <v>94</v>
      </c>
      <c r="AL41" s="6">
        <f>MATCH(AA41,{"Low","Medium","High"},0)*MATCH(AB41,{"Low","Medium","High"},0)*INDEX({3,2,2,1,1},MATCH(X41,{"Core","Vertical extension","Differentiator","Future","Adjacent"},0))</f>
        <v>9</v>
      </c>
      <c r="AM41" s="5"/>
      <c r="AN41" s="5"/>
      <c r="AO41" s="5"/>
      <c r="AP41" s="5"/>
      <c r="AQ41" s="5"/>
      <c r="AR41" s="5" t="s">
        <v>2657</v>
      </c>
      <c r="AS41" s="5" t="s">
        <v>1462</v>
      </c>
      <c r="AT41" s="5" t="s">
        <v>2281</v>
      </c>
      <c r="AU41" s="6" t="s">
        <v>95</v>
      </c>
      <c r="AV41" s="6" t="s">
        <v>2636</v>
      </c>
      <c r="AW41" s="6" t="s">
        <v>2636</v>
      </c>
      <c r="AX41" s="6" t="s">
        <v>2284</v>
      </c>
      <c r="AY41" s="6" t="s">
        <v>2285</v>
      </c>
      <c r="AZ41" s="6"/>
      <c r="BA41" s="6"/>
      <c r="BB41" s="6"/>
      <c r="BC41" s="6" t="s">
        <v>127</v>
      </c>
      <c r="BD41" s="6" t="s">
        <v>127</v>
      </c>
      <c r="BE41" s="6" t="s">
        <v>1477</v>
      </c>
      <c r="BF41" s="6" t="s">
        <v>2286</v>
      </c>
      <c r="BG41" s="6" t="s">
        <v>2658</v>
      </c>
      <c r="BH41" s="6" t="s">
        <v>2659</v>
      </c>
    </row>
    <row r="42" spans="1:60" ht="32" customHeight="1" x14ac:dyDescent="0.35">
      <c r="A42" s="13" t="s">
        <v>2660</v>
      </c>
      <c r="B42" s="6" t="s">
        <v>2265</v>
      </c>
      <c r="C42" s="5" t="s">
        <v>1674</v>
      </c>
      <c r="D42" s="5" t="s">
        <v>2187</v>
      </c>
      <c r="E42" s="5" t="s">
        <v>2661</v>
      </c>
      <c r="F42" s="5" t="s">
        <v>2629</v>
      </c>
      <c r="G42" s="5" t="s">
        <v>2662</v>
      </c>
      <c r="H42" s="5" t="s">
        <v>2663</v>
      </c>
      <c r="I42" s="5" t="s">
        <v>2664</v>
      </c>
      <c r="J42" s="16" t="s">
        <v>94</v>
      </c>
      <c r="K42" s="17" t="s">
        <v>1477</v>
      </c>
      <c r="L42" s="5" t="s">
        <v>2665</v>
      </c>
      <c r="M42" s="6" t="s">
        <v>1493</v>
      </c>
      <c r="N42" s="6" t="s">
        <v>2167</v>
      </c>
      <c r="O42" s="6" t="s">
        <v>94</v>
      </c>
      <c r="P42" s="5" t="s">
        <v>2272</v>
      </c>
      <c r="Q42" s="18" t="s">
        <v>1482</v>
      </c>
      <c r="R42" s="5" t="s">
        <v>2666</v>
      </c>
      <c r="S42" s="6" t="s">
        <v>2345</v>
      </c>
      <c r="T42" s="5" t="s">
        <v>2346</v>
      </c>
      <c r="U42" s="6"/>
      <c r="V42" s="6" t="s">
        <v>2347</v>
      </c>
      <c r="W42" s="6" t="s">
        <v>1697</v>
      </c>
      <c r="X42" s="5" t="s">
        <v>228</v>
      </c>
      <c r="Y42" s="5" t="s">
        <v>760</v>
      </c>
      <c r="Z42" s="5" t="str">
        <f t="shared" si="0"/>
        <v>High</v>
      </c>
      <c r="AA42" s="5" t="s">
        <v>1302</v>
      </c>
      <c r="AB42" s="6" t="s">
        <v>1355</v>
      </c>
      <c r="AC42" s="6" t="s">
        <v>99</v>
      </c>
      <c r="AD42" s="5" t="s">
        <v>2278</v>
      </c>
      <c r="AE42" s="5" t="s">
        <v>1720</v>
      </c>
      <c r="AF42" s="5" t="s">
        <v>1720</v>
      </c>
      <c r="AG42" s="5" t="s">
        <v>1720</v>
      </c>
      <c r="AH42" s="5" t="s">
        <v>1720</v>
      </c>
      <c r="AI42" s="6" t="str">
        <f t="shared" si="1"/>
        <v>No</v>
      </c>
      <c r="AJ42" s="6" t="s">
        <v>2279</v>
      </c>
      <c r="AK42" s="6" t="s">
        <v>94</v>
      </c>
      <c r="AL42" s="6">
        <f>MATCH(AA42,{"Low","Medium","High"},0)*MATCH(AB42,{"Low","Medium","High"},0)*INDEX({3,2,2,1,1},MATCH(X42,{"Core","Vertical extension","Differentiator","Future","Adjacent"},0))</f>
        <v>9</v>
      </c>
      <c r="AM42" s="5"/>
      <c r="AN42" s="5"/>
      <c r="AO42" s="5"/>
      <c r="AP42" s="5"/>
      <c r="AQ42" s="5"/>
      <c r="AR42" s="5" t="s">
        <v>2667</v>
      </c>
      <c r="AS42" s="5" t="s">
        <v>1462</v>
      </c>
      <c r="AT42" s="5" t="s">
        <v>2281</v>
      </c>
      <c r="AU42" s="6" t="s">
        <v>2282</v>
      </c>
      <c r="AV42" s="6" t="s">
        <v>2636</v>
      </c>
      <c r="AW42" s="6" t="s">
        <v>2636</v>
      </c>
      <c r="AX42" s="6" t="s">
        <v>2284</v>
      </c>
      <c r="AY42" s="6" t="s">
        <v>2285</v>
      </c>
      <c r="AZ42" s="6"/>
      <c r="BA42" s="6" t="s">
        <v>2668</v>
      </c>
      <c r="BB42" s="6" t="s">
        <v>2638</v>
      </c>
      <c r="BC42" s="6" t="s">
        <v>127</v>
      </c>
      <c r="BD42" s="6" t="s">
        <v>127</v>
      </c>
      <c r="BE42" s="6"/>
      <c r="BF42" s="6"/>
      <c r="BG42" s="6"/>
      <c r="BH42" s="6"/>
    </row>
    <row r="43" spans="1:60" ht="32" customHeight="1" x14ac:dyDescent="0.35">
      <c r="A43" s="13" t="s">
        <v>2669</v>
      </c>
      <c r="B43" s="6" t="s">
        <v>2265</v>
      </c>
      <c r="C43" s="5" t="s">
        <v>1674</v>
      </c>
      <c r="D43" s="5" t="s">
        <v>2187</v>
      </c>
      <c r="E43" s="5" t="s">
        <v>2670</v>
      </c>
      <c r="F43" s="5" t="s">
        <v>2629</v>
      </c>
      <c r="G43" s="5" t="s">
        <v>2671</v>
      </c>
      <c r="H43" s="5" t="s">
        <v>2672</v>
      </c>
      <c r="I43" s="5" t="s">
        <v>2673</v>
      </c>
      <c r="J43" s="17" t="s">
        <v>162</v>
      </c>
      <c r="K43" s="17" t="s">
        <v>95</v>
      </c>
      <c r="L43" s="5" t="s">
        <v>2674</v>
      </c>
      <c r="M43" s="6" t="s">
        <v>1493</v>
      </c>
      <c r="N43" s="6" t="s">
        <v>2167</v>
      </c>
      <c r="O43" s="6" t="s">
        <v>162</v>
      </c>
      <c r="P43" s="5" t="s">
        <v>2272</v>
      </c>
      <c r="Q43" s="17" t="s">
        <v>95</v>
      </c>
      <c r="R43" s="5" t="s">
        <v>2675</v>
      </c>
      <c r="S43" s="6" t="s">
        <v>2345</v>
      </c>
      <c r="T43" s="5" t="s">
        <v>2346</v>
      </c>
      <c r="U43" s="6"/>
      <c r="V43" s="6" t="s">
        <v>2347</v>
      </c>
      <c r="W43" s="6" t="s">
        <v>1697</v>
      </c>
      <c r="X43" s="5" t="s">
        <v>228</v>
      </c>
      <c r="Y43" s="5" t="s">
        <v>760</v>
      </c>
      <c r="Z43" s="5" t="str">
        <f t="shared" si="0"/>
        <v>High</v>
      </c>
      <c r="AA43" s="5" t="s">
        <v>1302</v>
      </c>
      <c r="AB43" s="6" t="s">
        <v>1355</v>
      </c>
      <c r="AC43" s="6" t="s">
        <v>135</v>
      </c>
      <c r="AD43" s="5" t="s">
        <v>95</v>
      </c>
      <c r="AE43" s="5" t="s">
        <v>1720</v>
      </c>
      <c r="AF43" s="5" t="s">
        <v>1720</v>
      </c>
      <c r="AG43" s="5" t="s">
        <v>1720</v>
      </c>
      <c r="AH43" s="5" t="s">
        <v>1720</v>
      </c>
      <c r="AI43" s="6" t="str">
        <f t="shared" si="1"/>
        <v>No</v>
      </c>
      <c r="AJ43" s="6" t="s">
        <v>229</v>
      </c>
      <c r="AK43" s="6" t="s">
        <v>162</v>
      </c>
      <c r="AL43" s="6">
        <f>MATCH(AA43,{"Low","Medium","High"},0)*MATCH(AB43,{"Low","Medium","High"},0)*INDEX({3,2,2,1,1},MATCH(X43,{"Core","Vertical extension","Differentiator","Future","Adjacent"},0))</f>
        <v>9</v>
      </c>
      <c r="AM43" s="5"/>
      <c r="AN43" s="5"/>
      <c r="AO43" s="5"/>
      <c r="AP43" s="5"/>
      <c r="AQ43" s="5"/>
      <c r="AR43" s="5"/>
      <c r="AS43" s="5"/>
      <c r="AT43" s="5"/>
      <c r="AU43" s="6" t="s">
        <v>2317</v>
      </c>
      <c r="AV43" s="6" t="s">
        <v>2636</v>
      </c>
      <c r="AW43" s="6" t="s">
        <v>2636</v>
      </c>
      <c r="AX43" s="6" t="s">
        <v>2284</v>
      </c>
      <c r="AY43" s="6" t="s">
        <v>2285</v>
      </c>
      <c r="AZ43" s="6"/>
      <c r="BA43" s="6"/>
      <c r="BB43" s="6"/>
      <c r="BC43" s="6" t="s">
        <v>127</v>
      </c>
      <c r="BD43" s="6" t="s">
        <v>127</v>
      </c>
      <c r="BE43" s="6" t="s">
        <v>1477</v>
      </c>
      <c r="BF43" s="6" t="s">
        <v>95</v>
      </c>
      <c r="BG43" s="6" t="s">
        <v>2658</v>
      </c>
      <c r="BH43" s="6" t="s">
        <v>2676</v>
      </c>
    </row>
    <row r="44" spans="1:60" ht="32" customHeight="1" x14ac:dyDescent="0.35">
      <c r="A44" s="13" t="s">
        <v>2677</v>
      </c>
      <c r="B44" s="6" t="s">
        <v>2265</v>
      </c>
      <c r="C44" s="5" t="s">
        <v>1674</v>
      </c>
      <c r="D44" s="5" t="s">
        <v>2193</v>
      </c>
      <c r="E44" s="5" t="s">
        <v>2678</v>
      </c>
      <c r="F44" s="5" t="s">
        <v>2679</v>
      </c>
      <c r="G44" s="5" t="s">
        <v>2680</v>
      </c>
      <c r="H44" s="5" t="s">
        <v>2681</v>
      </c>
      <c r="I44" s="5" t="s">
        <v>2682</v>
      </c>
      <c r="J44" s="16" t="s">
        <v>94</v>
      </c>
      <c r="K44" s="17" t="s">
        <v>1477</v>
      </c>
      <c r="L44" s="5" t="s">
        <v>2683</v>
      </c>
      <c r="M44" s="6" t="s">
        <v>1493</v>
      </c>
      <c r="N44" s="6" t="s">
        <v>2167</v>
      </c>
      <c r="O44" s="6" t="s">
        <v>94</v>
      </c>
      <c r="P44" s="5" t="s">
        <v>2272</v>
      </c>
      <c r="Q44" s="17" t="s">
        <v>2273</v>
      </c>
      <c r="R44" s="5" t="s">
        <v>2684</v>
      </c>
      <c r="S44" s="6" t="s">
        <v>2470</v>
      </c>
      <c r="T44" s="5" t="s">
        <v>2471</v>
      </c>
      <c r="U44" s="6"/>
      <c r="V44" s="6" t="s">
        <v>2472</v>
      </c>
      <c r="W44" s="6" t="s">
        <v>1697</v>
      </c>
      <c r="X44" s="5" t="s">
        <v>228</v>
      </c>
      <c r="Y44" s="5" t="s">
        <v>760</v>
      </c>
      <c r="Z44" s="5" t="str">
        <f t="shared" si="0"/>
        <v>High</v>
      </c>
      <c r="AA44" s="5" t="s">
        <v>1302</v>
      </c>
      <c r="AB44" s="6" t="s">
        <v>1355</v>
      </c>
      <c r="AC44" s="6" t="s">
        <v>99</v>
      </c>
      <c r="AD44" s="5" t="s">
        <v>2278</v>
      </c>
      <c r="AE44" s="5" t="s">
        <v>1720</v>
      </c>
      <c r="AF44" s="5" t="s">
        <v>1720</v>
      </c>
      <c r="AG44" s="5" t="s">
        <v>1720</v>
      </c>
      <c r="AH44" s="5" t="s">
        <v>1720</v>
      </c>
      <c r="AI44" s="6" t="str">
        <f t="shared" si="1"/>
        <v>No</v>
      </c>
      <c r="AJ44" s="6" t="s">
        <v>2279</v>
      </c>
      <c r="AK44" s="6" t="s">
        <v>94</v>
      </c>
      <c r="AL44" s="6">
        <f>MATCH(AA44,{"Low","Medium","High"},0)*MATCH(AB44,{"Low","Medium","High"},0)*INDEX({3,2,2,1,1},MATCH(X44,{"Core","Vertical extension","Differentiator","Future","Adjacent"},0))</f>
        <v>9</v>
      </c>
      <c r="AM44" s="5"/>
      <c r="AN44" s="5"/>
      <c r="AO44" s="5"/>
      <c r="AP44" s="5"/>
      <c r="AQ44" s="5"/>
      <c r="AR44" s="5" t="s">
        <v>2685</v>
      </c>
      <c r="AS44" s="5" t="s">
        <v>1462</v>
      </c>
      <c r="AT44" s="5" t="s">
        <v>2281</v>
      </c>
      <c r="AU44" s="6" t="s">
        <v>2282</v>
      </c>
      <c r="AV44" s="6" t="s">
        <v>2636</v>
      </c>
      <c r="AW44" s="6" t="s">
        <v>2636</v>
      </c>
      <c r="AX44" s="6" t="s">
        <v>2284</v>
      </c>
      <c r="AY44" s="6" t="s">
        <v>2285</v>
      </c>
      <c r="AZ44" s="6"/>
      <c r="BA44" s="6" t="s">
        <v>2668</v>
      </c>
      <c r="BB44" s="6" t="s">
        <v>2638</v>
      </c>
      <c r="BC44" s="6" t="s">
        <v>127</v>
      </c>
      <c r="BD44" s="6" t="s">
        <v>127</v>
      </c>
      <c r="BE44" s="6" t="s">
        <v>1477</v>
      </c>
      <c r="BF44" s="6" t="s">
        <v>2286</v>
      </c>
      <c r="BG44" s="6" t="s">
        <v>2686</v>
      </c>
      <c r="BH44" s="6" t="s">
        <v>2687</v>
      </c>
    </row>
    <row r="45" spans="1:60" ht="32" customHeight="1" x14ac:dyDescent="0.35">
      <c r="A45" s="13" t="s">
        <v>2688</v>
      </c>
      <c r="B45" s="6" t="s">
        <v>2265</v>
      </c>
      <c r="C45" s="5" t="s">
        <v>1674</v>
      </c>
      <c r="D45" s="5" t="s">
        <v>2187</v>
      </c>
      <c r="E45" s="5" t="s">
        <v>2689</v>
      </c>
      <c r="F45" s="5" t="s">
        <v>2629</v>
      </c>
      <c r="G45" s="5" t="s">
        <v>2312</v>
      </c>
      <c r="H45" s="5" t="s">
        <v>2690</v>
      </c>
      <c r="I45" s="5" t="s">
        <v>2691</v>
      </c>
      <c r="J45" s="17" t="s">
        <v>162</v>
      </c>
      <c r="K45" s="17" t="s">
        <v>1477</v>
      </c>
      <c r="L45" s="5" t="s">
        <v>2692</v>
      </c>
      <c r="M45" s="6" t="s">
        <v>1493</v>
      </c>
      <c r="N45" s="6" t="s">
        <v>2167</v>
      </c>
      <c r="O45" s="6" t="s">
        <v>162</v>
      </c>
      <c r="P45" s="5" t="s">
        <v>2272</v>
      </c>
      <c r="Q45" s="17" t="s">
        <v>2273</v>
      </c>
      <c r="R45" s="5" t="s">
        <v>2693</v>
      </c>
      <c r="S45" s="6" t="s">
        <v>2345</v>
      </c>
      <c r="T45" s="5" t="s">
        <v>2346</v>
      </c>
      <c r="U45" s="6"/>
      <c r="V45" s="6" t="s">
        <v>2347</v>
      </c>
      <c r="W45" s="6" t="s">
        <v>1697</v>
      </c>
      <c r="X45" s="5" t="s">
        <v>228</v>
      </c>
      <c r="Y45" s="5" t="s">
        <v>760</v>
      </c>
      <c r="Z45" s="5" t="str">
        <f t="shared" si="0"/>
        <v>High</v>
      </c>
      <c r="AA45" s="5" t="s">
        <v>1302</v>
      </c>
      <c r="AB45" s="6" t="s">
        <v>1355</v>
      </c>
      <c r="AC45" s="6" t="s">
        <v>135</v>
      </c>
      <c r="AD45" s="5" t="s">
        <v>2278</v>
      </c>
      <c r="AE45" s="5" t="s">
        <v>1720</v>
      </c>
      <c r="AF45" s="5" t="s">
        <v>1720</v>
      </c>
      <c r="AG45" s="5" t="s">
        <v>1720</v>
      </c>
      <c r="AH45" s="5" t="s">
        <v>1720</v>
      </c>
      <c r="AI45" s="6" t="str">
        <f t="shared" si="1"/>
        <v>No</v>
      </c>
      <c r="AJ45" s="6" t="s">
        <v>2298</v>
      </c>
      <c r="AK45" s="6" t="s">
        <v>162</v>
      </c>
      <c r="AL45" s="6">
        <f>MATCH(AA45,{"Low","Medium","High"},0)*MATCH(AB45,{"Low","Medium","High"},0)*INDEX({3,2,2,1,1},MATCH(X45,{"Core","Vertical extension","Differentiator","Future","Adjacent"},0))</f>
        <v>9</v>
      </c>
      <c r="AM45" s="5"/>
      <c r="AN45" s="5"/>
      <c r="AO45" s="5"/>
      <c r="AP45" s="5"/>
      <c r="AQ45" s="5"/>
      <c r="AR45" s="5"/>
      <c r="AS45" s="5"/>
      <c r="AT45" s="5"/>
      <c r="AU45" s="6" t="s">
        <v>2317</v>
      </c>
      <c r="AV45" s="6" t="s">
        <v>2636</v>
      </c>
      <c r="AW45" s="6" t="s">
        <v>2636</v>
      </c>
      <c r="AX45" s="6" t="s">
        <v>2284</v>
      </c>
      <c r="AY45" s="6" t="s">
        <v>2285</v>
      </c>
      <c r="AZ45" s="6"/>
      <c r="BA45" s="6"/>
      <c r="BB45" s="6"/>
      <c r="BC45" s="6" t="s">
        <v>127</v>
      </c>
      <c r="BD45" s="6" t="s">
        <v>127</v>
      </c>
      <c r="BE45" s="6" t="s">
        <v>1477</v>
      </c>
      <c r="BF45" s="6" t="s">
        <v>2286</v>
      </c>
      <c r="BG45" s="6" t="s">
        <v>2694</v>
      </c>
      <c r="BH45" s="6" t="s">
        <v>2695</v>
      </c>
    </row>
    <row r="46" spans="1:60" ht="32" customHeight="1" x14ac:dyDescent="0.35">
      <c r="A46" s="13" t="s">
        <v>2696</v>
      </c>
      <c r="B46" s="6" t="s">
        <v>2265</v>
      </c>
      <c r="C46" s="5" t="s">
        <v>1674</v>
      </c>
      <c r="D46" s="5" t="s">
        <v>2199</v>
      </c>
      <c r="E46" s="5" t="s">
        <v>2697</v>
      </c>
      <c r="F46" s="5" t="s">
        <v>2629</v>
      </c>
      <c r="G46" s="5" t="s">
        <v>2630</v>
      </c>
      <c r="H46" s="5" t="s">
        <v>2698</v>
      </c>
      <c r="I46" s="5" t="s">
        <v>2699</v>
      </c>
      <c r="J46" s="17" t="s">
        <v>162</v>
      </c>
      <c r="K46" s="17" t="s">
        <v>1477</v>
      </c>
      <c r="L46" s="5" t="s">
        <v>2700</v>
      </c>
      <c r="M46" s="6" t="s">
        <v>1493</v>
      </c>
      <c r="N46" s="6" t="s">
        <v>2167</v>
      </c>
      <c r="O46" s="6" t="s">
        <v>162</v>
      </c>
      <c r="P46" s="5" t="s">
        <v>2272</v>
      </c>
      <c r="Q46" s="18" t="s">
        <v>1482</v>
      </c>
      <c r="R46" s="5" t="s">
        <v>2701</v>
      </c>
      <c r="S46" s="6" t="s">
        <v>2416</v>
      </c>
      <c r="T46" s="5" t="s">
        <v>2417</v>
      </c>
      <c r="U46" s="6"/>
      <c r="V46" s="6" t="s">
        <v>2277</v>
      </c>
      <c r="W46" s="6" t="s">
        <v>1697</v>
      </c>
      <c r="X46" s="5" t="s">
        <v>228</v>
      </c>
      <c r="Y46" s="5" t="s">
        <v>760</v>
      </c>
      <c r="Z46" s="5" t="str">
        <f t="shared" si="0"/>
        <v>Medium</v>
      </c>
      <c r="AA46" s="5" t="s">
        <v>1319</v>
      </c>
      <c r="AB46" s="6" t="s">
        <v>1355</v>
      </c>
      <c r="AC46" s="6" t="s">
        <v>135</v>
      </c>
      <c r="AD46" s="5" t="s">
        <v>2278</v>
      </c>
      <c r="AE46" s="5" t="s">
        <v>1720</v>
      </c>
      <c r="AF46" s="5" t="s">
        <v>1720</v>
      </c>
      <c r="AG46" s="5" t="s">
        <v>1720</v>
      </c>
      <c r="AH46" s="5" t="s">
        <v>1720</v>
      </c>
      <c r="AI46" s="6" t="str">
        <f t="shared" si="1"/>
        <v>No</v>
      </c>
      <c r="AJ46" s="6" t="s">
        <v>2298</v>
      </c>
      <c r="AK46" s="6" t="s">
        <v>162</v>
      </c>
      <c r="AL46" s="6">
        <f>MATCH(AA46,{"Low","Medium","High"},0)*MATCH(AB46,{"Low","Medium","High"},0)*INDEX({3,2,2,1,1},MATCH(X46,{"Core","Vertical extension","Differentiator","Future","Adjacent"},0))</f>
        <v>6</v>
      </c>
      <c r="AM46" s="5"/>
      <c r="AN46" s="5"/>
      <c r="AO46" s="5"/>
      <c r="AP46" s="5"/>
      <c r="AQ46" s="5"/>
      <c r="AR46" s="5"/>
      <c r="AS46" s="5"/>
      <c r="AT46" s="5"/>
      <c r="AU46" s="6" t="s">
        <v>2317</v>
      </c>
      <c r="AV46" s="6" t="s">
        <v>2636</v>
      </c>
      <c r="AW46" s="6" t="s">
        <v>2636</v>
      </c>
      <c r="AX46" s="6" t="s">
        <v>2284</v>
      </c>
      <c r="AY46" s="6" t="s">
        <v>2285</v>
      </c>
      <c r="AZ46" s="6"/>
      <c r="BA46" s="6" t="s">
        <v>2419</v>
      </c>
      <c r="BB46" s="6" t="s">
        <v>2420</v>
      </c>
      <c r="BC46" s="6" t="s">
        <v>127</v>
      </c>
      <c r="BD46" s="6" t="s">
        <v>127</v>
      </c>
      <c r="BE46" s="6"/>
      <c r="BF46" s="6"/>
      <c r="BG46" s="6"/>
      <c r="BH46" s="6"/>
    </row>
    <row r="47" spans="1:60" ht="32" customHeight="1" x14ac:dyDescent="0.35">
      <c r="A47" s="13" t="s">
        <v>226</v>
      </c>
      <c r="B47" s="6" t="s">
        <v>2265</v>
      </c>
      <c r="C47" s="5" t="s">
        <v>1674</v>
      </c>
      <c r="D47" s="5" t="s">
        <v>2191</v>
      </c>
      <c r="E47" s="5" t="s">
        <v>227</v>
      </c>
      <c r="F47" s="5" t="s">
        <v>2629</v>
      </c>
      <c r="G47" s="5" t="s">
        <v>2396</v>
      </c>
      <c r="H47" s="5" t="s">
        <v>2702</v>
      </c>
      <c r="I47" s="5" t="s">
        <v>2703</v>
      </c>
      <c r="J47" s="16" t="s">
        <v>94</v>
      </c>
      <c r="K47" s="17" t="s">
        <v>95</v>
      </c>
      <c r="L47" s="5" t="s">
        <v>2704</v>
      </c>
      <c r="M47" s="6" t="s">
        <v>1493</v>
      </c>
      <c r="N47" s="6" t="s">
        <v>2167</v>
      </c>
      <c r="O47" s="6" t="s">
        <v>94</v>
      </c>
      <c r="P47" s="5" t="s">
        <v>2272</v>
      </c>
      <c r="Q47" s="17" t="s">
        <v>95</v>
      </c>
      <c r="R47" s="5" t="s">
        <v>2705</v>
      </c>
      <c r="S47" s="6" t="s">
        <v>2275</v>
      </c>
      <c r="T47" s="5" t="s">
        <v>2276</v>
      </c>
      <c r="U47" s="6"/>
      <c r="V47" s="6" t="s">
        <v>2277</v>
      </c>
      <c r="W47" s="6" t="s">
        <v>1697</v>
      </c>
      <c r="X47" s="5" t="s">
        <v>228</v>
      </c>
      <c r="Y47" s="5" t="s">
        <v>760</v>
      </c>
      <c r="Z47" s="5" t="str">
        <f t="shared" si="0"/>
        <v>High</v>
      </c>
      <c r="AA47" s="5" t="s">
        <v>1302</v>
      </c>
      <c r="AB47" s="6" t="s">
        <v>1355</v>
      </c>
      <c r="AC47" s="6" t="s">
        <v>135</v>
      </c>
      <c r="AD47" s="5" t="s">
        <v>95</v>
      </c>
      <c r="AE47" s="5" t="s">
        <v>1720</v>
      </c>
      <c r="AF47" s="5" t="s">
        <v>1720</v>
      </c>
      <c r="AG47" s="5" t="s">
        <v>1720</v>
      </c>
      <c r="AH47" s="5" t="s">
        <v>1720</v>
      </c>
      <c r="AI47" s="6" t="str">
        <f t="shared" si="1"/>
        <v>No</v>
      </c>
      <c r="AJ47" s="6" t="s">
        <v>229</v>
      </c>
      <c r="AK47" s="6" t="s">
        <v>94</v>
      </c>
      <c r="AL47" s="6">
        <f>MATCH(AA47,{"Low","Medium","High"},0)*MATCH(AB47,{"Low","Medium","High"},0)*INDEX({3,2,2,1,1},MATCH(X47,{"Core","Vertical extension","Differentiator","Future","Adjacent"},0))</f>
        <v>9</v>
      </c>
      <c r="AM47" s="5"/>
      <c r="AN47" s="5"/>
      <c r="AO47" s="5">
        <v>2</v>
      </c>
      <c r="AP47" s="5"/>
      <c r="AQ47" s="5"/>
      <c r="AR47" s="5" t="s">
        <v>2706</v>
      </c>
      <c r="AS47" s="5" t="s">
        <v>1462</v>
      </c>
      <c r="AT47" s="5" t="s">
        <v>2281</v>
      </c>
      <c r="AU47" s="6" t="s">
        <v>95</v>
      </c>
      <c r="AV47" s="6" t="s">
        <v>2636</v>
      </c>
      <c r="AW47" s="6" t="s">
        <v>2636</v>
      </c>
      <c r="AX47" s="6" t="s">
        <v>2284</v>
      </c>
      <c r="AY47" s="6" t="s">
        <v>2285</v>
      </c>
      <c r="AZ47" s="6"/>
      <c r="BA47" s="6" t="s">
        <v>2707</v>
      </c>
      <c r="BB47" s="6"/>
      <c r="BC47" s="6" t="s">
        <v>127</v>
      </c>
      <c r="BD47" s="6" t="s">
        <v>127</v>
      </c>
      <c r="BE47" s="6" t="s">
        <v>1477</v>
      </c>
      <c r="BF47" s="6" t="s">
        <v>95</v>
      </c>
      <c r="BG47" s="6" t="s">
        <v>2708</v>
      </c>
      <c r="BH47" s="6" t="s">
        <v>230</v>
      </c>
    </row>
    <row r="48" spans="1:60" ht="32" customHeight="1" x14ac:dyDescent="0.35">
      <c r="A48" s="13" t="s">
        <v>2709</v>
      </c>
      <c r="B48" s="6" t="s">
        <v>2265</v>
      </c>
      <c r="C48" s="5" t="s">
        <v>1674</v>
      </c>
      <c r="D48" s="5" t="s">
        <v>2196</v>
      </c>
      <c r="E48" s="5" t="s">
        <v>2710</v>
      </c>
      <c r="F48" s="5" t="s">
        <v>2629</v>
      </c>
      <c r="G48" s="5" t="s">
        <v>2711</v>
      </c>
      <c r="H48" s="5" t="s">
        <v>2712</v>
      </c>
      <c r="I48" s="5" t="s">
        <v>2713</v>
      </c>
      <c r="J48" s="17" t="s">
        <v>162</v>
      </c>
      <c r="K48" s="17" t="s">
        <v>163</v>
      </c>
      <c r="L48" s="5" t="s">
        <v>2714</v>
      </c>
      <c r="M48" s="6" t="s">
        <v>1493</v>
      </c>
      <c r="N48" s="6" t="s">
        <v>2167</v>
      </c>
      <c r="O48" s="6" t="s">
        <v>162</v>
      </c>
      <c r="P48" s="5" t="s">
        <v>2272</v>
      </c>
      <c r="Q48" s="17" t="s">
        <v>163</v>
      </c>
      <c r="R48" s="5" t="s">
        <v>2715</v>
      </c>
      <c r="S48" s="6" t="s">
        <v>2358</v>
      </c>
      <c r="T48" s="5" t="s">
        <v>2359</v>
      </c>
      <c r="U48" s="6"/>
      <c r="V48" s="6" t="s">
        <v>2360</v>
      </c>
      <c r="W48" s="6" t="s">
        <v>1703</v>
      </c>
      <c r="X48" s="5" t="s">
        <v>228</v>
      </c>
      <c r="Y48" s="5" t="s">
        <v>760</v>
      </c>
      <c r="Z48" s="5" t="str">
        <f t="shared" si="0"/>
        <v>Medium</v>
      </c>
      <c r="AA48" s="5" t="s">
        <v>1319</v>
      </c>
      <c r="AB48" s="6" t="s">
        <v>1355</v>
      </c>
      <c r="AC48" s="6" t="s">
        <v>32</v>
      </c>
      <c r="AD48" s="5" t="s">
        <v>1805</v>
      </c>
      <c r="AE48" s="5" t="s">
        <v>1720</v>
      </c>
      <c r="AF48" s="5" t="s">
        <v>1720</v>
      </c>
      <c r="AG48" s="5" t="s">
        <v>1720</v>
      </c>
      <c r="AH48" s="5" t="s">
        <v>1720</v>
      </c>
      <c r="AI48" s="6" t="str">
        <f t="shared" si="1"/>
        <v>No</v>
      </c>
      <c r="AJ48" s="6" t="s">
        <v>287</v>
      </c>
      <c r="AK48" s="6" t="s">
        <v>204</v>
      </c>
      <c r="AL48" s="6">
        <f>MATCH(AA48,{"Low","Medium","High"},0)*MATCH(AB48,{"Low","Medium","High"},0)*INDEX({3,2,2,1,1},MATCH(X48,{"Core","Vertical extension","Differentiator","Future","Adjacent"},0))</f>
        <v>6</v>
      </c>
      <c r="AM48" s="5"/>
      <c r="AN48" s="5"/>
      <c r="AO48" s="5"/>
      <c r="AP48" s="5"/>
      <c r="AQ48" s="5"/>
      <c r="AR48" s="5"/>
      <c r="AS48" s="5"/>
      <c r="AT48" s="5"/>
      <c r="AU48" s="6" t="s">
        <v>2317</v>
      </c>
      <c r="AV48" s="6" t="s">
        <v>2636</v>
      </c>
      <c r="AW48" s="6" t="s">
        <v>2636</v>
      </c>
      <c r="AX48" s="6" t="s">
        <v>2284</v>
      </c>
      <c r="AY48" s="6" t="s">
        <v>2285</v>
      </c>
      <c r="AZ48" s="6"/>
      <c r="BA48" s="6"/>
      <c r="BB48" s="6"/>
      <c r="BC48" s="6" t="s">
        <v>127</v>
      </c>
      <c r="BD48" s="6" t="s">
        <v>127</v>
      </c>
      <c r="BE48" s="6" t="s">
        <v>1477</v>
      </c>
      <c r="BF48" s="6" t="s">
        <v>288</v>
      </c>
      <c r="BG48" s="6" t="s">
        <v>2716</v>
      </c>
      <c r="BH48" s="6" t="s">
        <v>2717</v>
      </c>
    </row>
    <row r="49" spans="1:60" ht="32" customHeight="1" x14ac:dyDescent="0.35">
      <c r="A49" s="13" t="s">
        <v>1670</v>
      </c>
      <c r="B49" s="6" t="s">
        <v>2265</v>
      </c>
      <c r="C49" s="5" t="s">
        <v>1674</v>
      </c>
      <c r="D49" s="5" t="s">
        <v>2193</v>
      </c>
      <c r="E49" s="5" t="s">
        <v>1672</v>
      </c>
      <c r="F49" s="5" t="s">
        <v>2718</v>
      </c>
      <c r="G49" s="5" t="s">
        <v>2671</v>
      </c>
      <c r="H49" s="5" t="s">
        <v>2719</v>
      </c>
      <c r="I49" s="5" t="s">
        <v>2720</v>
      </c>
      <c r="J49" s="17" t="s">
        <v>162</v>
      </c>
      <c r="K49" s="17" t="s">
        <v>1477</v>
      </c>
      <c r="L49" s="5" t="s">
        <v>2721</v>
      </c>
      <c r="M49" s="6" t="s">
        <v>1493</v>
      </c>
      <c r="N49" s="6" t="s">
        <v>2167</v>
      </c>
      <c r="O49" s="6" t="s">
        <v>162</v>
      </c>
      <c r="P49" s="5" t="s">
        <v>2272</v>
      </c>
      <c r="Q49" s="17" t="s">
        <v>2273</v>
      </c>
      <c r="R49" s="5" t="s">
        <v>2722</v>
      </c>
      <c r="S49" s="6" t="s">
        <v>2470</v>
      </c>
      <c r="T49" s="5" t="s">
        <v>2471</v>
      </c>
      <c r="U49" s="6"/>
      <c r="V49" s="6" t="s">
        <v>2472</v>
      </c>
      <c r="W49" s="6" t="s">
        <v>1697</v>
      </c>
      <c r="X49" s="5" t="s">
        <v>228</v>
      </c>
      <c r="Y49" s="5" t="s">
        <v>760</v>
      </c>
      <c r="Z49" s="5" t="str">
        <f t="shared" si="0"/>
        <v>Medium</v>
      </c>
      <c r="AA49" s="5" t="s">
        <v>1319</v>
      </c>
      <c r="AB49" s="6" t="s">
        <v>1355</v>
      </c>
      <c r="AC49" s="6" t="s">
        <v>135</v>
      </c>
      <c r="AD49" s="5" t="s">
        <v>2278</v>
      </c>
      <c r="AE49" s="5" t="s">
        <v>1720</v>
      </c>
      <c r="AF49" s="5" t="s">
        <v>1720</v>
      </c>
      <c r="AG49" s="5" t="s">
        <v>1720</v>
      </c>
      <c r="AH49" s="5" t="s">
        <v>1720</v>
      </c>
      <c r="AI49" s="6" t="str">
        <f t="shared" si="1"/>
        <v>No</v>
      </c>
      <c r="AJ49" s="6" t="s">
        <v>2298</v>
      </c>
      <c r="AK49" s="6" t="s">
        <v>162</v>
      </c>
      <c r="AL49" s="6">
        <f>MATCH(AA49,{"Low","Medium","High"},0)*MATCH(AB49,{"Low","Medium","High"},0)*INDEX({3,2,2,1,1},MATCH(X49,{"Core","Vertical extension","Differentiator","Future","Adjacent"},0))</f>
        <v>6</v>
      </c>
      <c r="AM49" s="5"/>
      <c r="AN49" s="5"/>
      <c r="AO49" s="5"/>
      <c r="AP49" s="5"/>
      <c r="AQ49" s="5"/>
      <c r="AR49" s="5"/>
      <c r="AS49" s="5"/>
      <c r="AT49" s="5"/>
      <c r="AU49" s="6" t="s">
        <v>2317</v>
      </c>
      <c r="AV49" s="6" t="s">
        <v>2636</v>
      </c>
      <c r="AW49" s="6" t="s">
        <v>2636</v>
      </c>
      <c r="AX49" s="6" t="s">
        <v>2284</v>
      </c>
      <c r="AY49" s="6" t="s">
        <v>2285</v>
      </c>
      <c r="AZ49" s="6" t="s">
        <v>2723</v>
      </c>
      <c r="BA49" s="6"/>
      <c r="BB49" s="6"/>
      <c r="BC49" s="6" t="s">
        <v>127</v>
      </c>
      <c r="BD49" s="6" t="s">
        <v>127</v>
      </c>
      <c r="BE49" s="6" t="s">
        <v>1477</v>
      </c>
      <c r="BF49" s="6" t="s">
        <v>2286</v>
      </c>
      <c r="BG49" s="6" t="s">
        <v>2724</v>
      </c>
      <c r="BH49" s="6" t="s">
        <v>2725</v>
      </c>
    </row>
    <row r="50" spans="1:60" ht="32" customHeight="1" x14ac:dyDescent="0.35">
      <c r="A50" s="13" t="s">
        <v>2726</v>
      </c>
      <c r="B50" s="6" t="s">
        <v>2265</v>
      </c>
      <c r="C50" s="5" t="s">
        <v>1674</v>
      </c>
      <c r="D50" s="5" t="s">
        <v>2183</v>
      </c>
      <c r="E50" s="5" t="s">
        <v>2727</v>
      </c>
      <c r="F50" s="5" t="s">
        <v>2629</v>
      </c>
      <c r="G50" s="5" t="s">
        <v>2728</v>
      </c>
      <c r="H50" s="5" t="s">
        <v>2729</v>
      </c>
      <c r="I50" s="5" t="s">
        <v>2730</v>
      </c>
      <c r="J50" s="16" t="s">
        <v>94</v>
      </c>
      <c r="K50" s="17" t="s">
        <v>1477</v>
      </c>
      <c r="L50" s="5" t="s">
        <v>2731</v>
      </c>
      <c r="M50" s="6" t="s">
        <v>1493</v>
      </c>
      <c r="N50" s="6" t="s">
        <v>2167</v>
      </c>
      <c r="O50" s="6" t="s">
        <v>94</v>
      </c>
      <c r="P50" s="5" t="s">
        <v>2272</v>
      </c>
      <c r="Q50" s="17" t="s">
        <v>2273</v>
      </c>
      <c r="R50" s="5" t="s">
        <v>2732</v>
      </c>
      <c r="S50" s="6" t="s">
        <v>2438</v>
      </c>
      <c r="T50" s="5" t="s">
        <v>2439</v>
      </c>
      <c r="U50" s="6"/>
      <c r="V50" s="6" t="s">
        <v>2440</v>
      </c>
      <c r="W50" s="6" t="s">
        <v>1699</v>
      </c>
      <c r="X50" s="5" t="s">
        <v>228</v>
      </c>
      <c r="Y50" s="5" t="s">
        <v>760</v>
      </c>
      <c r="Z50" s="5" t="str">
        <f t="shared" si="0"/>
        <v>Critical</v>
      </c>
      <c r="AA50" s="5" t="s">
        <v>1302</v>
      </c>
      <c r="AB50" s="6" t="s">
        <v>1302</v>
      </c>
      <c r="AC50" s="6" t="s">
        <v>99</v>
      </c>
      <c r="AD50" s="5" t="s">
        <v>2278</v>
      </c>
      <c r="AE50" s="5" t="s">
        <v>1720</v>
      </c>
      <c r="AF50" s="5" t="s">
        <v>1720</v>
      </c>
      <c r="AG50" s="5" t="s">
        <v>1720</v>
      </c>
      <c r="AH50" s="5" t="s">
        <v>1720</v>
      </c>
      <c r="AI50" s="6" t="str">
        <f t="shared" si="1"/>
        <v>No</v>
      </c>
      <c r="AJ50" s="6" t="s">
        <v>2298</v>
      </c>
      <c r="AK50" s="6" t="s">
        <v>94</v>
      </c>
      <c r="AL50" s="6">
        <f>MATCH(AA50,{"Low","Medium","High"},0)*MATCH(AB50,{"Low","Medium","High"},0)*INDEX({3,2,2,1,1},MATCH(X50,{"Core","Vertical extension","Differentiator","Future","Adjacent"},0))</f>
        <v>27</v>
      </c>
      <c r="AM50" s="5"/>
      <c r="AN50" s="5"/>
      <c r="AO50" s="5"/>
      <c r="AP50" s="5"/>
      <c r="AQ50" s="5"/>
      <c r="AR50" s="5" t="s">
        <v>2733</v>
      </c>
      <c r="AS50" s="5" t="s">
        <v>1462</v>
      </c>
      <c r="AT50" s="5" t="s">
        <v>2281</v>
      </c>
      <c r="AU50" s="6" t="s">
        <v>95</v>
      </c>
      <c r="AV50" s="6" t="s">
        <v>2636</v>
      </c>
      <c r="AW50" s="6" t="s">
        <v>2636</v>
      </c>
      <c r="AX50" s="6" t="s">
        <v>2284</v>
      </c>
      <c r="AY50" s="6" t="s">
        <v>2285</v>
      </c>
      <c r="AZ50" s="6"/>
      <c r="BA50" s="6"/>
      <c r="BB50" s="6"/>
      <c r="BC50" s="6" t="s">
        <v>127</v>
      </c>
      <c r="BD50" s="6" t="s">
        <v>127</v>
      </c>
      <c r="BE50" s="6" t="s">
        <v>1477</v>
      </c>
      <c r="BF50" s="6" t="s">
        <v>2286</v>
      </c>
      <c r="BG50" s="6" t="s">
        <v>2734</v>
      </c>
      <c r="BH50" s="6" t="s">
        <v>2735</v>
      </c>
    </row>
    <row r="51" spans="1:60" ht="32" customHeight="1" x14ac:dyDescent="0.35">
      <c r="A51" s="13" t="s">
        <v>2736</v>
      </c>
      <c r="B51" s="6" t="s">
        <v>2265</v>
      </c>
      <c r="C51" s="5" t="s">
        <v>1674</v>
      </c>
      <c r="D51" s="5" t="s">
        <v>2187</v>
      </c>
      <c r="E51" s="5" t="s">
        <v>2737</v>
      </c>
      <c r="F51" s="5" t="s">
        <v>2718</v>
      </c>
      <c r="G51" s="5" t="s">
        <v>75</v>
      </c>
      <c r="H51" s="5" t="s">
        <v>2738</v>
      </c>
      <c r="I51" s="5" t="s">
        <v>2739</v>
      </c>
      <c r="J51" s="17" t="s">
        <v>162</v>
      </c>
      <c r="K51" s="17" t="s">
        <v>163</v>
      </c>
      <c r="L51" s="5" t="s">
        <v>2740</v>
      </c>
      <c r="M51" s="6" t="s">
        <v>1493</v>
      </c>
      <c r="N51" s="6" t="s">
        <v>2167</v>
      </c>
      <c r="O51" s="6" t="s">
        <v>162</v>
      </c>
      <c r="P51" s="5" t="s">
        <v>2272</v>
      </c>
      <c r="Q51" s="17" t="s">
        <v>163</v>
      </c>
      <c r="R51" s="5" t="s">
        <v>2741</v>
      </c>
      <c r="S51" s="6" t="s">
        <v>2345</v>
      </c>
      <c r="T51" s="5" t="s">
        <v>2346</v>
      </c>
      <c r="U51" s="6"/>
      <c r="V51" s="6" t="s">
        <v>2347</v>
      </c>
      <c r="W51" s="6" t="s">
        <v>1697</v>
      </c>
      <c r="X51" s="5" t="s">
        <v>228</v>
      </c>
      <c r="Y51" s="5" t="s">
        <v>760</v>
      </c>
      <c r="Z51" s="5" t="str">
        <f t="shared" si="0"/>
        <v>High</v>
      </c>
      <c r="AA51" s="5" t="s">
        <v>1302</v>
      </c>
      <c r="AB51" s="6" t="s">
        <v>1355</v>
      </c>
      <c r="AC51" s="6" t="s">
        <v>135</v>
      </c>
      <c r="AD51" s="5" t="s">
        <v>1805</v>
      </c>
      <c r="AE51" s="5" t="s">
        <v>1720</v>
      </c>
      <c r="AF51" s="5" t="s">
        <v>1720</v>
      </c>
      <c r="AG51" s="5" t="s">
        <v>1720</v>
      </c>
      <c r="AH51" s="5" t="s">
        <v>1720</v>
      </c>
      <c r="AI51" s="6" t="str">
        <f t="shared" si="1"/>
        <v>No</v>
      </c>
      <c r="AJ51" s="6" t="s">
        <v>287</v>
      </c>
      <c r="AK51" s="6" t="s">
        <v>162</v>
      </c>
      <c r="AL51" s="6">
        <f>MATCH(AA51,{"Low","Medium","High"},0)*MATCH(AB51,{"Low","Medium","High"},0)*INDEX({3,2,2,1,1},MATCH(X51,{"Core","Vertical extension","Differentiator","Future","Adjacent"},0))</f>
        <v>9</v>
      </c>
      <c r="AM51" s="5"/>
      <c r="AN51" s="5"/>
      <c r="AO51" s="5"/>
      <c r="AP51" s="5"/>
      <c r="AQ51" s="5"/>
      <c r="AR51" s="5"/>
      <c r="AS51" s="5"/>
      <c r="AT51" s="5"/>
      <c r="AU51" s="6" t="s">
        <v>2317</v>
      </c>
      <c r="AV51" s="6" t="s">
        <v>2636</v>
      </c>
      <c r="AW51" s="6" t="s">
        <v>2636</v>
      </c>
      <c r="AX51" s="6" t="s">
        <v>2284</v>
      </c>
      <c r="AY51" s="6" t="s">
        <v>2285</v>
      </c>
      <c r="AZ51" s="6"/>
      <c r="BA51" s="6"/>
      <c r="BB51" s="6"/>
      <c r="BC51" s="6" t="s">
        <v>127</v>
      </c>
      <c r="BD51" s="6" t="s">
        <v>127</v>
      </c>
      <c r="BE51" s="6" t="s">
        <v>1477</v>
      </c>
      <c r="BF51" s="6" t="s">
        <v>288</v>
      </c>
      <c r="BG51" s="6" t="s">
        <v>2742</v>
      </c>
      <c r="BH51" s="6" t="s">
        <v>2743</v>
      </c>
    </row>
    <row r="52" spans="1:60" ht="32" customHeight="1" x14ac:dyDescent="0.35">
      <c r="A52" s="13" t="s">
        <v>2744</v>
      </c>
      <c r="B52" s="6" t="s">
        <v>2265</v>
      </c>
      <c r="C52" s="5" t="s">
        <v>1674</v>
      </c>
      <c r="D52" s="5" t="s">
        <v>2189</v>
      </c>
      <c r="E52" s="5" t="s">
        <v>2745</v>
      </c>
      <c r="F52" s="5" t="s">
        <v>2746</v>
      </c>
      <c r="G52" s="5" t="s">
        <v>2312</v>
      </c>
      <c r="H52" s="5" t="s">
        <v>2747</v>
      </c>
      <c r="I52" s="5" t="s">
        <v>2748</v>
      </c>
      <c r="J52" s="19" t="s">
        <v>204</v>
      </c>
      <c r="K52" s="17" t="s">
        <v>95</v>
      </c>
      <c r="L52" s="5" t="s">
        <v>2749</v>
      </c>
      <c r="M52" s="6" t="s">
        <v>1493</v>
      </c>
      <c r="N52" s="6" t="s">
        <v>2167</v>
      </c>
      <c r="O52" s="6" t="s">
        <v>204</v>
      </c>
      <c r="P52" s="5" t="s">
        <v>2272</v>
      </c>
      <c r="Q52" s="17" t="s">
        <v>95</v>
      </c>
      <c r="R52" s="5" t="s">
        <v>2750</v>
      </c>
      <c r="S52" s="6" t="s">
        <v>2325</v>
      </c>
      <c r="T52" s="5" t="s">
        <v>2326</v>
      </c>
      <c r="U52" s="6"/>
      <c r="V52" s="6" t="s">
        <v>2327</v>
      </c>
      <c r="W52" s="6" t="s">
        <v>1699</v>
      </c>
      <c r="X52" s="5" t="s">
        <v>228</v>
      </c>
      <c r="Y52" s="5" t="s">
        <v>760</v>
      </c>
      <c r="Z52" s="5" t="str">
        <f t="shared" si="0"/>
        <v>Medium</v>
      </c>
      <c r="AA52" s="5" t="s">
        <v>1319</v>
      </c>
      <c r="AB52" s="6" t="s">
        <v>1355</v>
      </c>
      <c r="AC52" s="6" t="s">
        <v>32</v>
      </c>
      <c r="AD52" s="5" t="s">
        <v>95</v>
      </c>
      <c r="AE52" s="5" t="s">
        <v>1720</v>
      </c>
      <c r="AF52" s="5" t="s">
        <v>1720</v>
      </c>
      <c r="AG52" s="5" t="s">
        <v>1720</v>
      </c>
      <c r="AH52" s="5" t="s">
        <v>1720</v>
      </c>
      <c r="AI52" s="6" t="str">
        <f t="shared" si="1"/>
        <v>No</v>
      </c>
      <c r="AJ52" s="6" t="s">
        <v>229</v>
      </c>
      <c r="AK52" s="6" t="s">
        <v>204</v>
      </c>
      <c r="AL52" s="6">
        <f>MATCH(AA52,{"Low","Medium","High"},0)*MATCH(AB52,{"Low","Medium","High"},0)*INDEX({3,2,2,1,1},MATCH(X52,{"Core","Vertical extension","Differentiator","Future","Adjacent"},0))</f>
        <v>6</v>
      </c>
      <c r="AM52" s="5"/>
      <c r="AN52" s="5"/>
      <c r="AO52" s="5"/>
      <c r="AP52" s="5"/>
      <c r="AQ52" s="5"/>
      <c r="AR52" s="5"/>
      <c r="AS52" s="5"/>
      <c r="AT52" s="5"/>
      <c r="AU52" s="6" t="s">
        <v>2317</v>
      </c>
      <c r="AV52" s="6" t="s">
        <v>2636</v>
      </c>
      <c r="AW52" s="6" t="s">
        <v>2636</v>
      </c>
      <c r="AX52" s="6" t="s">
        <v>2284</v>
      </c>
      <c r="AY52" s="6" t="s">
        <v>2285</v>
      </c>
      <c r="AZ52" s="6"/>
      <c r="BA52" s="6"/>
      <c r="BB52" s="6"/>
      <c r="BC52" s="6" t="s">
        <v>127</v>
      </c>
      <c r="BD52" s="6" t="s">
        <v>127</v>
      </c>
      <c r="BE52" s="6" t="s">
        <v>1477</v>
      </c>
      <c r="BF52" s="6" t="s">
        <v>95</v>
      </c>
      <c r="BG52" s="6" t="s">
        <v>2751</v>
      </c>
      <c r="BH52" s="6" t="s">
        <v>2752</v>
      </c>
    </row>
    <row r="53" spans="1:60" ht="32" customHeight="1" x14ac:dyDescent="0.35">
      <c r="A53" s="13" t="s">
        <v>235</v>
      </c>
      <c r="B53" s="6" t="s">
        <v>2265</v>
      </c>
      <c r="C53" s="5" t="s">
        <v>75</v>
      </c>
      <c r="D53" s="5" t="s">
        <v>2191</v>
      </c>
      <c r="E53" s="5" t="s">
        <v>236</v>
      </c>
      <c r="F53" s="5" t="s">
        <v>2753</v>
      </c>
      <c r="G53" s="5" t="s">
        <v>2754</v>
      </c>
      <c r="H53" s="5" t="s">
        <v>2755</v>
      </c>
      <c r="I53" s="5" t="s">
        <v>2756</v>
      </c>
      <c r="J53" s="16" t="s">
        <v>94</v>
      </c>
      <c r="K53" s="17" t="s">
        <v>95</v>
      </c>
      <c r="L53" s="5" t="s">
        <v>2757</v>
      </c>
      <c r="M53" s="6" t="s">
        <v>1493</v>
      </c>
      <c r="N53" s="6" t="s">
        <v>2167</v>
      </c>
      <c r="O53" s="6" t="s">
        <v>94</v>
      </c>
      <c r="P53" s="5" t="s">
        <v>2272</v>
      </c>
      <c r="Q53" s="17" t="s">
        <v>95</v>
      </c>
      <c r="R53" s="5" t="s">
        <v>2758</v>
      </c>
      <c r="S53" s="6" t="s">
        <v>2275</v>
      </c>
      <c r="T53" s="5" t="s">
        <v>2276</v>
      </c>
      <c r="U53" s="6"/>
      <c r="V53" s="6" t="s">
        <v>2277</v>
      </c>
      <c r="W53" s="6" t="s">
        <v>1697</v>
      </c>
      <c r="X53" s="5" t="s">
        <v>228</v>
      </c>
      <c r="Y53" s="5" t="s">
        <v>760</v>
      </c>
      <c r="Z53" s="5" t="str">
        <f t="shared" si="0"/>
        <v>High</v>
      </c>
      <c r="AA53" s="5" t="s">
        <v>1302</v>
      </c>
      <c r="AB53" s="6" t="s">
        <v>1355</v>
      </c>
      <c r="AC53" s="6" t="s">
        <v>135</v>
      </c>
      <c r="AD53" s="5" t="s">
        <v>95</v>
      </c>
      <c r="AE53" s="5" t="s">
        <v>1720</v>
      </c>
      <c r="AF53" s="5" t="s">
        <v>1720</v>
      </c>
      <c r="AG53" s="5" t="s">
        <v>1720</v>
      </c>
      <c r="AH53" s="5" t="s">
        <v>1720</v>
      </c>
      <c r="AI53" s="6" t="str">
        <f t="shared" si="1"/>
        <v>No</v>
      </c>
      <c r="AJ53" s="6" t="s">
        <v>229</v>
      </c>
      <c r="AK53" s="6" t="s">
        <v>94</v>
      </c>
      <c r="AL53" s="6">
        <f>MATCH(AA53,{"Low","Medium","High"},0)*MATCH(AB53,{"Low","Medium","High"},0)*INDEX({3,2,2,1,1},MATCH(X53,{"Core","Vertical extension","Differentiator","Future","Adjacent"},0))</f>
        <v>9</v>
      </c>
      <c r="AM53" s="5"/>
      <c r="AN53" s="5"/>
      <c r="AO53" s="5">
        <v>4</v>
      </c>
      <c r="AP53" s="5"/>
      <c r="AQ53" s="5"/>
      <c r="AR53" s="5" t="s">
        <v>2759</v>
      </c>
      <c r="AS53" s="51">
        <v>46300</v>
      </c>
      <c r="AT53" s="5" t="s">
        <v>2760</v>
      </c>
      <c r="AU53" s="6" t="s">
        <v>95</v>
      </c>
      <c r="AV53" s="6" t="s">
        <v>75</v>
      </c>
      <c r="AW53" s="6" t="s">
        <v>75</v>
      </c>
      <c r="AX53" s="6" t="s">
        <v>2284</v>
      </c>
      <c r="AY53" s="6" t="s">
        <v>2285</v>
      </c>
      <c r="AZ53" s="6"/>
      <c r="BA53" s="6" t="s">
        <v>2761</v>
      </c>
      <c r="BB53" s="6"/>
      <c r="BC53" s="6" t="s">
        <v>127</v>
      </c>
      <c r="BD53" s="6" t="s">
        <v>127</v>
      </c>
      <c r="BE53" s="6" t="s">
        <v>1477</v>
      </c>
      <c r="BF53" s="6" t="s">
        <v>95</v>
      </c>
      <c r="BG53" s="6" t="s">
        <v>2762</v>
      </c>
      <c r="BH53" s="6" t="s">
        <v>237</v>
      </c>
    </row>
    <row r="54" spans="1:60" ht="32" customHeight="1" x14ac:dyDescent="0.35">
      <c r="A54" s="13" t="s">
        <v>2763</v>
      </c>
      <c r="B54" s="6" t="s">
        <v>2265</v>
      </c>
      <c r="C54" s="5" t="s">
        <v>75</v>
      </c>
      <c r="D54" s="5" t="s">
        <v>2191</v>
      </c>
      <c r="E54" s="5" t="s">
        <v>2764</v>
      </c>
      <c r="F54" s="5" t="s">
        <v>2765</v>
      </c>
      <c r="G54" s="5" t="s">
        <v>2766</v>
      </c>
      <c r="H54" s="5" t="s">
        <v>2767</v>
      </c>
      <c r="I54" s="5" t="s">
        <v>2768</v>
      </c>
      <c r="J54" s="17" t="s">
        <v>162</v>
      </c>
      <c r="K54" s="17" t="s">
        <v>95</v>
      </c>
      <c r="L54" s="5" t="s">
        <v>2769</v>
      </c>
      <c r="M54" s="6" t="s">
        <v>1493</v>
      </c>
      <c r="N54" s="6" t="s">
        <v>2167</v>
      </c>
      <c r="O54" s="6" t="s">
        <v>162</v>
      </c>
      <c r="P54" s="5" t="s">
        <v>2272</v>
      </c>
      <c r="Q54" s="17" t="s">
        <v>95</v>
      </c>
      <c r="R54" s="5" t="s">
        <v>2770</v>
      </c>
      <c r="S54" s="6" t="s">
        <v>2275</v>
      </c>
      <c r="T54" s="5" t="s">
        <v>2276</v>
      </c>
      <c r="U54" s="6"/>
      <c r="V54" s="6" t="s">
        <v>2277</v>
      </c>
      <c r="W54" s="6" t="s">
        <v>1697</v>
      </c>
      <c r="X54" s="5" t="s">
        <v>228</v>
      </c>
      <c r="Y54" s="5" t="s">
        <v>760</v>
      </c>
      <c r="Z54" s="5" t="str">
        <f t="shared" si="0"/>
        <v>Medium</v>
      </c>
      <c r="AA54" s="5" t="s">
        <v>1319</v>
      </c>
      <c r="AB54" s="6" t="s">
        <v>1355</v>
      </c>
      <c r="AC54" s="6" t="s">
        <v>135</v>
      </c>
      <c r="AD54" s="5" t="s">
        <v>95</v>
      </c>
      <c r="AE54" s="5" t="s">
        <v>1720</v>
      </c>
      <c r="AF54" s="5" t="s">
        <v>1720</v>
      </c>
      <c r="AG54" s="5" t="s">
        <v>1720</v>
      </c>
      <c r="AH54" s="5" t="s">
        <v>1720</v>
      </c>
      <c r="AI54" s="6" t="str">
        <f t="shared" si="1"/>
        <v>No</v>
      </c>
      <c r="AJ54" s="6" t="s">
        <v>229</v>
      </c>
      <c r="AK54" s="6" t="s">
        <v>162</v>
      </c>
      <c r="AL54" s="6">
        <f>MATCH(AA54,{"Low","Medium","High"},0)*MATCH(AB54,{"Low","Medium","High"},0)*INDEX({3,2,2,1,1},MATCH(X54,{"Core","Vertical extension","Differentiator","Future","Adjacent"},0))</f>
        <v>6</v>
      </c>
      <c r="AM54" s="5"/>
      <c r="AN54" s="5"/>
      <c r="AO54" s="5"/>
      <c r="AP54" s="5"/>
      <c r="AQ54" s="5"/>
      <c r="AR54" s="5"/>
      <c r="AS54" s="5"/>
      <c r="AT54" s="5"/>
      <c r="AU54" s="6" t="s">
        <v>2317</v>
      </c>
      <c r="AV54" s="6" t="s">
        <v>75</v>
      </c>
      <c r="AW54" s="6" t="s">
        <v>2771</v>
      </c>
      <c r="AX54" s="6" t="s">
        <v>2284</v>
      </c>
      <c r="AY54" s="6" t="s">
        <v>2285</v>
      </c>
      <c r="AZ54" s="6"/>
      <c r="BA54" s="6" t="s">
        <v>2772</v>
      </c>
      <c r="BB54" s="6" t="s">
        <v>2773</v>
      </c>
      <c r="BC54" s="6" t="s">
        <v>127</v>
      </c>
      <c r="BD54" s="6" t="s">
        <v>127</v>
      </c>
      <c r="BE54" s="6" t="s">
        <v>1477</v>
      </c>
      <c r="BF54" s="6" t="s">
        <v>95</v>
      </c>
      <c r="BG54" s="6" t="s">
        <v>2774</v>
      </c>
      <c r="BH54" s="6" t="s">
        <v>2775</v>
      </c>
    </row>
    <row r="55" spans="1:60" ht="32" customHeight="1" x14ac:dyDescent="0.35">
      <c r="A55" s="13" t="s">
        <v>2776</v>
      </c>
      <c r="B55" s="6" t="s">
        <v>2265</v>
      </c>
      <c r="C55" s="5" t="s">
        <v>75</v>
      </c>
      <c r="D55" s="5" t="s">
        <v>2187</v>
      </c>
      <c r="E55" s="5" t="s">
        <v>2777</v>
      </c>
      <c r="F55" s="5" t="s">
        <v>2778</v>
      </c>
      <c r="G55" s="5" t="s">
        <v>2779</v>
      </c>
      <c r="H55" s="5" t="s">
        <v>2780</v>
      </c>
      <c r="I55" s="5" t="s">
        <v>2781</v>
      </c>
      <c r="J55" s="17" t="s">
        <v>162</v>
      </c>
      <c r="K55" s="17" t="s">
        <v>1477</v>
      </c>
      <c r="L55" s="5" t="s">
        <v>2782</v>
      </c>
      <c r="M55" s="6" t="s">
        <v>1493</v>
      </c>
      <c r="N55" s="6" t="s">
        <v>2167</v>
      </c>
      <c r="O55" s="6" t="s">
        <v>162</v>
      </c>
      <c r="P55" s="5" t="s">
        <v>2272</v>
      </c>
      <c r="Q55" s="18" t="s">
        <v>1482</v>
      </c>
      <c r="R55" s="5" t="s">
        <v>2783</v>
      </c>
      <c r="S55" s="6" t="s">
        <v>2345</v>
      </c>
      <c r="T55" s="5" t="s">
        <v>2346</v>
      </c>
      <c r="U55" s="6"/>
      <c r="V55" s="6" t="s">
        <v>2347</v>
      </c>
      <c r="W55" s="6" t="s">
        <v>1697</v>
      </c>
      <c r="X55" s="5" t="s">
        <v>228</v>
      </c>
      <c r="Y55" s="5" t="s">
        <v>760</v>
      </c>
      <c r="Z55" s="5" t="str">
        <f t="shared" si="0"/>
        <v>High</v>
      </c>
      <c r="AA55" s="5" t="s">
        <v>1302</v>
      </c>
      <c r="AB55" s="6" t="s">
        <v>1355</v>
      </c>
      <c r="AC55" s="6" t="s">
        <v>135</v>
      </c>
      <c r="AD55" s="5" t="s">
        <v>2278</v>
      </c>
      <c r="AE55" s="5" t="s">
        <v>1720</v>
      </c>
      <c r="AF55" s="5" t="s">
        <v>1720</v>
      </c>
      <c r="AG55" s="5" t="s">
        <v>1720</v>
      </c>
      <c r="AH55" s="5" t="s">
        <v>1720</v>
      </c>
      <c r="AI55" s="6" t="str">
        <f t="shared" si="1"/>
        <v>No</v>
      </c>
      <c r="AJ55" s="6" t="s">
        <v>2298</v>
      </c>
      <c r="AK55" s="6" t="s">
        <v>162</v>
      </c>
      <c r="AL55" s="6">
        <f>MATCH(AA55,{"Low","Medium","High"},0)*MATCH(AB55,{"Low","Medium","High"},0)*INDEX({3,2,2,1,1},MATCH(X55,{"Core","Vertical extension","Differentiator","Future","Adjacent"},0))</f>
        <v>9</v>
      </c>
      <c r="AM55" s="5"/>
      <c r="AN55" s="5"/>
      <c r="AO55" s="5"/>
      <c r="AP55" s="5"/>
      <c r="AQ55" s="5"/>
      <c r="AR55" s="5"/>
      <c r="AS55" s="5"/>
      <c r="AT55" s="5"/>
      <c r="AU55" s="6" t="s">
        <v>2317</v>
      </c>
      <c r="AV55" s="6" t="s">
        <v>75</v>
      </c>
      <c r="AW55" s="6" t="s">
        <v>2784</v>
      </c>
      <c r="AX55" s="6" t="s">
        <v>2284</v>
      </c>
      <c r="AY55" s="6" t="s">
        <v>2285</v>
      </c>
      <c r="AZ55" s="6"/>
      <c r="BA55" s="6" t="s">
        <v>2785</v>
      </c>
      <c r="BB55" s="6" t="s">
        <v>2349</v>
      </c>
      <c r="BC55" s="6" t="s">
        <v>127</v>
      </c>
      <c r="BD55" s="6" t="s">
        <v>127</v>
      </c>
      <c r="BE55" s="6"/>
      <c r="BF55" s="6"/>
      <c r="BG55" s="6"/>
      <c r="BH55" s="6"/>
    </row>
    <row r="56" spans="1:60" ht="32" customHeight="1" x14ac:dyDescent="0.35">
      <c r="A56" s="13" t="s">
        <v>2786</v>
      </c>
      <c r="B56" s="6" t="s">
        <v>2265</v>
      </c>
      <c r="C56" s="5" t="s">
        <v>75</v>
      </c>
      <c r="D56" s="5" t="s">
        <v>2191</v>
      </c>
      <c r="E56" s="5" t="s">
        <v>2787</v>
      </c>
      <c r="F56" s="5" t="s">
        <v>2788</v>
      </c>
      <c r="G56" s="5" t="s">
        <v>2789</v>
      </c>
      <c r="H56" s="5" t="s">
        <v>2790</v>
      </c>
      <c r="I56" s="5" t="s">
        <v>2791</v>
      </c>
      <c r="J56" s="17" t="s">
        <v>162</v>
      </c>
      <c r="K56" s="17" t="s">
        <v>1477</v>
      </c>
      <c r="L56" s="5" t="s">
        <v>2792</v>
      </c>
      <c r="M56" s="6" t="s">
        <v>1493</v>
      </c>
      <c r="N56" s="6" t="s">
        <v>2167</v>
      </c>
      <c r="O56" s="6" t="s">
        <v>162</v>
      </c>
      <c r="P56" s="5" t="s">
        <v>2272</v>
      </c>
      <c r="Q56" s="18" t="s">
        <v>1482</v>
      </c>
      <c r="R56" s="5" t="s">
        <v>2793</v>
      </c>
      <c r="S56" s="6" t="s">
        <v>2275</v>
      </c>
      <c r="T56" s="5" t="s">
        <v>2276</v>
      </c>
      <c r="U56" s="6"/>
      <c r="V56" s="6" t="s">
        <v>2277</v>
      </c>
      <c r="W56" s="6" t="s">
        <v>1697</v>
      </c>
      <c r="X56" s="5" t="s">
        <v>228</v>
      </c>
      <c r="Y56" s="5" t="s">
        <v>760</v>
      </c>
      <c r="Z56" s="5" t="str">
        <f t="shared" si="0"/>
        <v>Medium</v>
      </c>
      <c r="AA56" s="5" t="s">
        <v>1319</v>
      </c>
      <c r="AB56" s="6" t="s">
        <v>1355</v>
      </c>
      <c r="AC56" s="6" t="s">
        <v>135</v>
      </c>
      <c r="AD56" s="5" t="s">
        <v>2278</v>
      </c>
      <c r="AE56" s="5" t="s">
        <v>1720</v>
      </c>
      <c r="AF56" s="5" t="s">
        <v>1720</v>
      </c>
      <c r="AG56" s="5" t="s">
        <v>1720</v>
      </c>
      <c r="AH56" s="5" t="s">
        <v>1720</v>
      </c>
      <c r="AI56" s="6" t="str">
        <f t="shared" si="1"/>
        <v>No</v>
      </c>
      <c r="AJ56" s="6" t="s">
        <v>2298</v>
      </c>
      <c r="AK56" s="6" t="s">
        <v>162</v>
      </c>
      <c r="AL56" s="6">
        <f>MATCH(AA56,{"Low","Medium","High"},0)*MATCH(AB56,{"Low","Medium","High"},0)*INDEX({3,2,2,1,1},MATCH(X56,{"Core","Vertical extension","Differentiator","Future","Adjacent"},0))</f>
        <v>6</v>
      </c>
      <c r="AM56" s="5"/>
      <c r="AN56" s="5"/>
      <c r="AO56" s="5"/>
      <c r="AP56" s="5"/>
      <c r="AQ56" s="5"/>
      <c r="AR56" s="5"/>
      <c r="AS56" s="5"/>
      <c r="AT56" s="5"/>
      <c r="AU56" s="6" t="s">
        <v>2317</v>
      </c>
      <c r="AV56" s="6" t="s">
        <v>75</v>
      </c>
      <c r="AW56" s="6" t="s">
        <v>2794</v>
      </c>
      <c r="AX56" s="6" t="s">
        <v>2284</v>
      </c>
      <c r="AY56" s="6" t="s">
        <v>2285</v>
      </c>
      <c r="AZ56" s="6"/>
      <c r="BA56" s="6" t="s">
        <v>2795</v>
      </c>
      <c r="BB56" s="6" t="s">
        <v>2773</v>
      </c>
      <c r="BC56" s="6" t="s">
        <v>127</v>
      </c>
      <c r="BD56" s="6" t="s">
        <v>127</v>
      </c>
      <c r="BE56" s="6"/>
      <c r="BF56" s="6"/>
      <c r="BG56" s="6"/>
      <c r="BH56" s="6"/>
    </row>
    <row r="57" spans="1:60" ht="32" customHeight="1" x14ac:dyDescent="0.35">
      <c r="A57" s="13" t="s">
        <v>2796</v>
      </c>
      <c r="B57" s="6" t="s">
        <v>2265</v>
      </c>
      <c r="C57" s="5" t="s">
        <v>75</v>
      </c>
      <c r="D57" s="5" t="s">
        <v>2191</v>
      </c>
      <c r="E57" s="5" t="s">
        <v>2797</v>
      </c>
      <c r="F57" s="5" t="s">
        <v>2798</v>
      </c>
      <c r="G57" s="5" t="s">
        <v>2799</v>
      </c>
      <c r="H57" s="5" t="s">
        <v>2800</v>
      </c>
      <c r="I57" s="5" t="s">
        <v>2801</v>
      </c>
      <c r="J57" s="17" t="s">
        <v>162</v>
      </c>
      <c r="K57" s="17" t="s">
        <v>95</v>
      </c>
      <c r="L57" s="5" t="s">
        <v>2802</v>
      </c>
      <c r="M57" s="6" t="s">
        <v>1493</v>
      </c>
      <c r="N57" s="6" t="s">
        <v>2167</v>
      </c>
      <c r="O57" s="6" t="s">
        <v>162</v>
      </c>
      <c r="P57" s="5" t="s">
        <v>2272</v>
      </c>
      <c r="Q57" s="17" t="s">
        <v>95</v>
      </c>
      <c r="R57" s="5" t="s">
        <v>2803</v>
      </c>
      <c r="S57" s="6" t="s">
        <v>2275</v>
      </c>
      <c r="T57" s="5" t="s">
        <v>2276</v>
      </c>
      <c r="U57" s="6"/>
      <c r="V57" s="6" t="s">
        <v>2277</v>
      </c>
      <c r="W57" s="6" t="s">
        <v>1697</v>
      </c>
      <c r="X57" s="5" t="s">
        <v>228</v>
      </c>
      <c r="Y57" s="5" t="s">
        <v>760</v>
      </c>
      <c r="Z57" s="5" t="str">
        <f t="shared" si="0"/>
        <v>Medium</v>
      </c>
      <c r="AA57" s="5" t="s">
        <v>1319</v>
      </c>
      <c r="AB57" s="6" t="s">
        <v>1355</v>
      </c>
      <c r="AC57" s="6" t="s">
        <v>135</v>
      </c>
      <c r="AD57" s="5" t="s">
        <v>95</v>
      </c>
      <c r="AE57" s="5" t="s">
        <v>1720</v>
      </c>
      <c r="AF57" s="5" t="s">
        <v>1720</v>
      </c>
      <c r="AG57" s="5" t="s">
        <v>1720</v>
      </c>
      <c r="AH57" s="5" t="s">
        <v>1720</v>
      </c>
      <c r="AI57" s="6" t="str">
        <f t="shared" si="1"/>
        <v>No</v>
      </c>
      <c r="AJ57" s="6" t="s">
        <v>229</v>
      </c>
      <c r="AK57" s="6" t="s">
        <v>162</v>
      </c>
      <c r="AL57" s="6">
        <f>MATCH(AA57,{"Low","Medium","High"},0)*MATCH(AB57,{"Low","Medium","High"},0)*INDEX({3,2,2,1,1},MATCH(X57,{"Core","Vertical extension","Differentiator","Future","Adjacent"},0))</f>
        <v>6</v>
      </c>
      <c r="AM57" s="5"/>
      <c r="AN57" s="5"/>
      <c r="AO57" s="5"/>
      <c r="AP57" s="5"/>
      <c r="AQ57" s="5"/>
      <c r="AR57" s="5"/>
      <c r="AS57" s="5"/>
      <c r="AT57" s="5"/>
      <c r="AU57" s="6" t="s">
        <v>2317</v>
      </c>
      <c r="AV57" s="6" t="s">
        <v>75</v>
      </c>
      <c r="AW57" s="6" t="s">
        <v>2804</v>
      </c>
      <c r="AX57" s="6" t="s">
        <v>2284</v>
      </c>
      <c r="AY57" s="6" t="s">
        <v>2285</v>
      </c>
      <c r="AZ57" s="6"/>
      <c r="BA57" s="6"/>
      <c r="BB57" s="6"/>
      <c r="BC57" s="6" t="s">
        <v>127</v>
      </c>
      <c r="BD57" s="6" t="s">
        <v>127</v>
      </c>
      <c r="BE57" s="6" t="s">
        <v>1477</v>
      </c>
      <c r="BF57" s="6" t="s">
        <v>95</v>
      </c>
      <c r="BG57" s="6" t="s">
        <v>2805</v>
      </c>
      <c r="BH57" s="6" t="s">
        <v>2806</v>
      </c>
    </row>
    <row r="58" spans="1:60" ht="32" customHeight="1" x14ac:dyDescent="0.35">
      <c r="A58" s="13" t="s">
        <v>1675</v>
      </c>
      <c r="B58" s="6" t="s">
        <v>2265</v>
      </c>
      <c r="C58" s="5" t="s">
        <v>75</v>
      </c>
      <c r="D58" s="5" t="s">
        <v>2192</v>
      </c>
      <c r="E58" s="5" t="s">
        <v>1677</v>
      </c>
      <c r="F58" s="5" t="s">
        <v>2807</v>
      </c>
      <c r="G58" s="5" t="s">
        <v>2799</v>
      </c>
      <c r="H58" s="5" t="s">
        <v>2808</v>
      </c>
      <c r="I58" s="5" t="s">
        <v>2809</v>
      </c>
      <c r="J58" s="16" t="s">
        <v>94</v>
      </c>
      <c r="K58" s="17" t="s">
        <v>1477</v>
      </c>
      <c r="L58" s="5" t="s">
        <v>2810</v>
      </c>
      <c r="M58" s="6" t="s">
        <v>1493</v>
      </c>
      <c r="N58" s="6" t="s">
        <v>2167</v>
      </c>
      <c r="O58" s="6" t="s">
        <v>94</v>
      </c>
      <c r="P58" s="5" t="s">
        <v>2272</v>
      </c>
      <c r="Q58" s="17" t="s">
        <v>2273</v>
      </c>
      <c r="R58" s="5" t="s">
        <v>2811</v>
      </c>
      <c r="S58" s="6" t="s">
        <v>2371</v>
      </c>
      <c r="T58" s="5" t="s">
        <v>2372</v>
      </c>
      <c r="U58" s="6"/>
      <c r="V58" s="6" t="s">
        <v>2373</v>
      </c>
      <c r="W58" s="6" t="s">
        <v>1699</v>
      </c>
      <c r="X58" s="5" t="s">
        <v>228</v>
      </c>
      <c r="Y58" s="5" t="s">
        <v>760</v>
      </c>
      <c r="Z58" s="5" t="str">
        <f t="shared" si="0"/>
        <v>Critical</v>
      </c>
      <c r="AA58" s="5" t="s">
        <v>1302</v>
      </c>
      <c r="AB58" s="6" t="s">
        <v>1319</v>
      </c>
      <c r="AC58" s="6" t="s">
        <v>99</v>
      </c>
      <c r="AD58" s="5" t="s">
        <v>2278</v>
      </c>
      <c r="AE58" s="5" t="s">
        <v>1720</v>
      </c>
      <c r="AF58" s="5" t="s">
        <v>1720</v>
      </c>
      <c r="AG58" s="5" t="s">
        <v>1720</v>
      </c>
      <c r="AH58" s="5" t="s">
        <v>1720</v>
      </c>
      <c r="AI58" s="6" t="str">
        <f t="shared" si="1"/>
        <v>No</v>
      </c>
      <c r="AJ58" s="6" t="s">
        <v>2298</v>
      </c>
      <c r="AK58" s="6" t="s">
        <v>94</v>
      </c>
      <c r="AL58" s="6">
        <f>MATCH(AA58,{"Low","Medium","High"},0)*MATCH(AB58,{"Low","Medium","High"},0)*INDEX({3,2,2,1,1},MATCH(X58,{"Core","Vertical extension","Differentiator","Future","Adjacent"},0))</f>
        <v>18</v>
      </c>
      <c r="AM58" s="5"/>
      <c r="AN58" s="5"/>
      <c r="AO58" s="5"/>
      <c r="AP58" s="5"/>
      <c r="AQ58" s="5"/>
      <c r="AR58" s="5" t="s">
        <v>2812</v>
      </c>
      <c r="AS58" s="5" t="s">
        <v>1462</v>
      </c>
      <c r="AT58" s="5" t="s">
        <v>2281</v>
      </c>
      <c r="AU58" s="6" t="s">
        <v>95</v>
      </c>
      <c r="AV58" s="6" t="s">
        <v>75</v>
      </c>
      <c r="AW58" s="6" t="s">
        <v>2813</v>
      </c>
      <c r="AX58" s="6" t="s">
        <v>2284</v>
      </c>
      <c r="AY58" s="6" t="s">
        <v>2285</v>
      </c>
      <c r="AZ58" s="6" t="s">
        <v>2814</v>
      </c>
      <c r="BA58" s="6"/>
      <c r="BB58" s="6"/>
      <c r="BC58" s="6" t="s">
        <v>127</v>
      </c>
      <c r="BD58" s="6" t="s">
        <v>127</v>
      </c>
      <c r="BE58" s="6" t="s">
        <v>1477</v>
      </c>
      <c r="BF58" s="6" t="s">
        <v>2286</v>
      </c>
      <c r="BG58" s="6" t="s">
        <v>2815</v>
      </c>
      <c r="BH58" s="6" t="s">
        <v>2816</v>
      </c>
    </row>
    <row r="59" spans="1:60" ht="32" customHeight="1" x14ac:dyDescent="0.35">
      <c r="A59" s="13" t="s">
        <v>2817</v>
      </c>
      <c r="B59" s="6" t="s">
        <v>2265</v>
      </c>
      <c r="C59" s="5" t="s">
        <v>75</v>
      </c>
      <c r="D59" s="5" t="s">
        <v>2192</v>
      </c>
      <c r="E59" s="5" t="s">
        <v>2818</v>
      </c>
      <c r="F59" s="5" t="s">
        <v>2807</v>
      </c>
      <c r="G59" s="5" t="s">
        <v>2799</v>
      </c>
      <c r="H59" s="5" t="s">
        <v>2819</v>
      </c>
      <c r="I59" s="5" t="s">
        <v>2820</v>
      </c>
      <c r="J59" s="16" t="s">
        <v>94</v>
      </c>
      <c r="K59" s="17" t="s">
        <v>1477</v>
      </c>
      <c r="L59" s="5" t="s">
        <v>2821</v>
      </c>
      <c r="M59" s="6" t="s">
        <v>1493</v>
      </c>
      <c r="N59" s="6" t="s">
        <v>2167</v>
      </c>
      <c r="O59" s="6" t="s">
        <v>94</v>
      </c>
      <c r="P59" s="5" t="s">
        <v>2272</v>
      </c>
      <c r="Q59" s="18" t="s">
        <v>1482</v>
      </c>
      <c r="R59" s="5" t="s">
        <v>2822</v>
      </c>
      <c r="S59" s="6" t="s">
        <v>2371</v>
      </c>
      <c r="T59" s="5" t="s">
        <v>2372</v>
      </c>
      <c r="U59" s="6"/>
      <c r="V59" s="6" t="s">
        <v>2373</v>
      </c>
      <c r="W59" s="6" t="s">
        <v>1699</v>
      </c>
      <c r="X59" s="5" t="s">
        <v>228</v>
      </c>
      <c r="Y59" s="5" t="s">
        <v>760</v>
      </c>
      <c r="Z59" s="5" t="str">
        <f t="shared" si="0"/>
        <v>Critical</v>
      </c>
      <c r="AA59" s="5" t="s">
        <v>1302</v>
      </c>
      <c r="AB59" s="6" t="s">
        <v>1319</v>
      </c>
      <c r="AC59" s="6" t="s">
        <v>99</v>
      </c>
      <c r="AD59" s="5" t="s">
        <v>2278</v>
      </c>
      <c r="AE59" s="5" t="s">
        <v>1720</v>
      </c>
      <c r="AF59" s="5" t="s">
        <v>1720</v>
      </c>
      <c r="AG59" s="5" t="s">
        <v>1720</v>
      </c>
      <c r="AH59" s="5" t="s">
        <v>1720</v>
      </c>
      <c r="AI59" s="6" t="str">
        <f t="shared" si="1"/>
        <v>No</v>
      </c>
      <c r="AJ59" s="6" t="s">
        <v>2279</v>
      </c>
      <c r="AK59" s="6" t="s">
        <v>94</v>
      </c>
      <c r="AL59" s="6">
        <f>MATCH(AA59,{"Low","Medium","High"},0)*MATCH(AB59,{"Low","Medium","High"},0)*INDEX({3,2,2,1,1},MATCH(X59,{"Core","Vertical extension","Differentiator","Future","Adjacent"},0))</f>
        <v>18</v>
      </c>
      <c r="AM59" s="5"/>
      <c r="AN59" s="5"/>
      <c r="AO59" s="5"/>
      <c r="AP59" s="5"/>
      <c r="AQ59" s="5"/>
      <c r="AR59" s="5" t="s">
        <v>2823</v>
      </c>
      <c r="AS59" s="5" t="s">
        <v>1462</v>
      </c>
      <c r="AT59" s="5" t="s">
        <v>2281</v>
      </c>
      <c r="AU59" s="6" t="s">
        <v>2282</v>
      </c>
      <c r="AV59" s="6" t="s">
        <v>75</v>
      </c>
      <c r="AW59" s="6" t="s">
        <v>2813</v>
      </c>
      <c r="AX59" s="6" t="s">
        <v>2284</v>
      </c>
      <c r="AY59" s="6" t="s">
        <v>2285</v>
      </c>
      <c r="AZ59" s="6"/>
      <c r="BA59" s="6" t="s">
        <v>2824</v>
      </c>
      <c r="BB59" s="6" t="s">
        <v>2825</v>
      </c>
      <c r="BC59" s="6" t="s">
        <v>127</v>
      </c>
      <c r="BD59" s="6" t="s">
        <v>127</v>
      </c>
      <c r="BE59" s="6"/>
      <c r="BF59" s="6"/>
      <c r="BG59" s="6"/>
      <c r="BH59" s="6"/>
    </row>
    <row r="60" spans="1:60" ht="32" customHeight="1" x14ac:dyDescent="0.35">
      <c r="A60" s="13" t="s">
        <v>2826</v>
      </c>
      <c r="B60" s="6" t="s">
        <v>2265</v>
      </c>
      <c r="C60" s="5" t="s">
        <v>75</v>
      </c>
      <c r="D60" s="5" t="s">
        <v>2192</v>
      </c>
      <c r="E60" s="5" t="s">
        <v>2827</v>
      </c>
      <c r="F60" s="5" t="s">
        <v>2828</v>
      </c>
      <c r="G60" s="5" t="s">
        <v>2799</v>
      </c>
      <c r="H60" s="5" t="s">
        <v>2829</v>
      </c>
      <c r="I60" s="5" t="s">
        <v>2830</v>
      </c>
      <c r="J60" s="17" t="s">
        <v>162</v>
      </c>
      <c r="K60" s="17" t="s">
        <v>95</v>
      </c>
      <c r="L60" s="5" t="s">
        <v>2831</v>
      </c>
      <c r="M60" s="6" t="s">
        <v>1493</v>
      </c>
      <c r="N60" s="6" t="s">
        <v>2167</v>
      </c>
      <c r="O60" s="6" t="s">
        <v>162</v>
      </c>
      <c r="P60" s="5" t="s">
        <v>2272</v>
      </c>
      <c r="Q60" s="17" t="s">
        <v>95</v>
      </c>
      <c r="R60" s="5" t="s">
        <v>2832</v>
      </c>
      <c r="S60" s="6" t="s">
        <v>2371</v>
      </c>
      <c r="T60" s="5" t="s">
        <v>2372</v>
      </c>
      <c r="U60" s="6"/>
      <c r="V60" s="6" t="s">
        <v>2373</v>
      </c>
      <c r="W60" s="6" t="s">
        <v>1699</v>
      </c>
      <c r="X60" s="5" t="s">
        <v>228</v>
      </c>
      <c r="Y60" s="5" t="s">
        <v>760</v>
      </c>
      <c r="Z60" s="5" t="str">
        <f t="shared" si="0"/>
        <v>Critical</v>
      </c>
      <c r="AA60" s="5" t="s">
        <v>1302</v>
      </c>
      <c r="AB60" s="6" t="s">
        <v>1319</v>
      </c>
      <c r="AC60" s="6" t="s">
        <v>135</v>
      </c>
      <c r="AD60" s="5" t="s">
        <v>95</v>
      </c>
      <c r="AE60" s="5" t="s">
        <v>1720</v>
      </c>
      <c r="AF60" s="5" t="s">
        <v>1720</v>
      </c>
      <c r="AG60" s="5" t="s">
        <v>1720</v>
      </c>
      <c r="AH60" s="5" t="s">
        <v>1720</v>
      </c>
      <c r="AI60" s="6" t="str">
        <f t="shared" si="1"/>
        <v>No</v>
      </c>
      <c r="AJ60" s="6" t="s">
        <v>229</v>
      </c>
      <c r="AK60" s="6" t="s">
        <v>162</v>
      </c>
      <c r="AL60" s="6">
        <f>MATCH(AA60,{"Low","Medium","High"},0)*MATCH(AB60,{"Low","Medium","High"},0)*INDEX({3,2,2,1,1},MATCH(X60,{"Core","Vertical extension","Differentiator","Future","Adjacent"},0))</f>
        <v>18</v>
      </c>
      <c r="AM60" s="5"/>
      <c r="AN60" s="5"/>
      <c r="AO60" s="5"/>
      <c r="AP60" s="5"/>
      <c r="AQ60" s="5"/>
      <c r="AR60" s="5"/>
      <c r="AS60" s="5"/>
      <c r="AT60" s="5"/>
      <c r="AU60" s="6" t="s">
        <v>2317</v>
      </c>
      <c r="AV60" s="6" t="s">
        <v>75</v>
      </c>
      <c r="AW60" s="6" t="s">
        <v>76</v>
      </c>
      <c r="AX60" s="6" t="s">
        <v>2284</v>
      </c>
      <c r="AY60" s="6" t="s">
        <v>2285</v>
      </c>
      <c r="AZ60" s="6"/>
      <c r="BA60" s="6"/>
      <c r="BB60" s="6"/>
      <c r="BC60" s="6" t="s">
        <v>127</v>
      </c>
      <c r="BD60" s="6" t="s">
        <v>127</v>
      </c>
      <c r="BE60" s="6" t="s">
        <v>1477</v>
      </c>
      <c r="BF60" s="6" t="s">
        <v>95</v>
      </c>
      <c r="BG60" s="6" t="s">
        <v>2833</v>
      </c>
      <c r="BH60" s="6" t="s">
        <v>2834</v>
      </c>
    </row>
    <row r="61" spans="1:60" ht="32" customHeight="1" x14ac:dyDescent="0.35">
      <c r="A61" s="13" t="s">
        <v>1671</v>
      </c>
      <c r="B61" s="6" t="s">
        <v>2265</v>
      </c>
      <c r="C61" s="5" t="s">
        <v>75</v>
      </c>
      <c r="D61" s="5" t="s">
        <v>2193</v>
      </c>
      <c r="E61" s="5" t="s">
        <v>1673</v>
      </c>
      <c r="F61" s="5" t="s">
        <v>2835</v>
      </c>
      <c r="G61" s="5" t="s">
        <v>2836</v>
      </c>
      <c r="H61" s="5" t="s">
        <v>2837</v>
      </c>
      <c r="I61" s="5" t="s">
        <v>2838</v>
      </c>
      <c r="J61" s="17" t="s">
        <v>162</v>
      </c>
      <c r="K61" s="17" t="s">
        <v>95</v>
      </c>
      <c r="L61" s="5" t="s">
        <v>2839</v>
      </c>
      <c r="M61" s="6" t="s">
        <v>1493</v>
      </c>
      <c r="N61" s="6" t="s">
        <v>2167</v>
      </c>
      <c r="O61" s="6" t="s">
        <v>162</v>
      </c>
      <c r="P61" s="5" t="s">
        <v>2272</v>
      </c>
      <c r="Q61" s="17" t="s">
        <v>95</v>
      </c>
      <c r="R61" s="5" t="s">
        <v>2840</v>
      </c>
      <c r="S61" s="6" t="s">
        <v>2470</v>
      </c>
      <c r="T61" s="5" t="s">
        <v>2471</v>
      </c>
      <c r="U61" s="6"/>
      <c r="V61" s="6" t="s">
        <v>2472</v>
      </c>
      <c r="W61" s="6" t="s">
        <v>1697</v>
      </c>
      <c r="X61" s="5" t="s">
        <v>228</v>
      </c>
      <c r="Y61" s="5" t="s">
        <v>760</v>
      </c>
      <c r="Z61" s="5" t="str">
        <f t="shared" si="0"/>
        <v>Medium</v>
      </c>
      <c r="AA61" s="5" t="s">
        <v>1319</v>
      </c>
      <c r="AB61" s="6" t="s">
        <v>1355</v>
      </c>
      <c r="AC61" s="6" t="s">
        <v>135</v>
      </c>
      <c r="AD61" s="5" t="s">
        <v>95</v>
      </c>
      <c r="AE61" s="5" t="s">
        <v>1720</v>
      </c>
      <c r="AF61" s="5" t="s">
        <v>1720</v>
      </c>
      <c r="AG61" s="5" t="s">
        <v>1720</v>
      </c>
      <c r="AH61" s="5" t="s">
        <v>1720</v>
      </c>
      <c r="AI61" s="6" t="str">
        <f t="shared" si="1"/>
        <v>No</v>
      </c>
      <c r="AJ61" s="6" t="s">
        <v>229</v>
      </c>
      <c r="AK61" s="6" t="s">
        <v>162</v>
      </c>
      <c r="AL61" s="6">
        <f>MATCH(AA61,{"Low","Medium","High"},0)*MATCH(AB61,{"Low","Medium","High"},0)*INDEX({3,2,2,1,1},MATCH(X61,{"Core","Vertical extension","Differentiator","Future","Adjacent"},0))</f>
        <v>6</v>
      </c>
      <c r="AM61" s="5"/>
      <c r="AN61" s="5"/>
      <c r="AO61" s="5"/>
      <c r="AP61" s="5"/>
      <c r="AQ61" s="5"/>
      <c r="AR61" s="5"/>
      <c r="AS61" s="5"/>
      <c r="AT61" s="5"/>
      <c r="AU61" s="6" t="s">
        <v>2317</v>
      </c>
      <c r="AV61" s="6" t="s">
        <v>75</v>
      </c>
      <c r="AW61" s="6" t="s">
        <v>1669</v>
      </c>
      <c r="AX61" s="6" t="s">
        <v>2284</v>
      </c>
      <c r="AY61" s="6" t="s">
        <v>2285</v>
      </c>
      <c r="AZ61" s="6" t="s">
        <v>2841</v>
      </c>
      <c r="BA61" s="6"/>
      <c r="BB61" s="6"/>
      <c r="BC61" s="6" t="s">
        <v>127</v>
      </c>
      <c r="BD61" s="6" t="s">
        <v>127</v>
      </c>
      <c r="BE61" s="6" t="s">
        <v>1477</v>
      </c>
      <c r="BF61" s="6" t="s">
        <v>95</v>
      </c>
      <c r="BG61" s="6" t="s">
        <v>2842</v>
      </c>
      <c r="BH61" s="6" t="s">
        <v>2843</v>
      </c>
    </row>
    <row r="62" spans="1:60" ht="32" customHeight="1" x14ac:dyDescent="0.35">
      <c r="A62" s="13" t="s">
        <v>2844</v>
      </c>
      <c r="B62" s="6" t="s">
        <v>2265</v>
      </c>
      <c r="C62" s="5" t="s">
        <v>75</v>
      </c>
      <c r="D62" s="5" t="s">
        <v>2187</v>
      </c>
      <c r="E62" s="5" t="s">
        <v>2845</v>
      </c>
      <c r="F62" s="5" t="s">
        <v>2846</v>
      </c>
      <c r="G62" s="5" t="s">
        <v>2312</v>
      </c>
      <c r="H62" s="5" t="s">
        <v>2847</v>
      </c>
      <c r="I62" s="5" t="s">
        <v>2848</v>
      </c>
      <c r="J62" s="17" t="s">
        <v>162</v>
      </c>
      <c r="K62" s="17" t="s">
        <v>95</v>
      </c>
      <c r="L62" s="5" t="s">
        <v>2849</v>
      </c>
      <c r="M62" s="6" t="s">
        <v>1493</v>
      </c>
      <c r="N62" s="6" t="s">
        <v>2167</v>
      </c>
      <c r="O62" s="6" t="s">
        <v>162</v>
      </c>
      <c r="P62" s="5" t="s">
        <v>2272</v>
      </c>
      <c r="Q62" s="17" t="s">
        <v>95</v>
      </c>
      <c r="R62" s="5" t="s">
        <v>2850</v>
      </c>
      <c r="S62" s="6" t="s">
        <v>2345</v>
      </c>
      <c r="T62" s="5" t="s">
        <v>2346</v>
      </c>
      <c r="U62" s="6"/>
      <c r="V62" s="6" t="s">
        <v>2347</v>
      </c>
      <c r="W62" s="6" t="s">
        <v>1697</v>
      </c>
      <c r="X62" s="5" t="s">
        <v>228</v>
      </c>
      <c r="Y62" s="5" t="s">
        <v>760</v>
      </c>
      <c r="Z62" s="5" t="str">
        <f t="shared" si="0"/>
        <v>High</v>
      </c>
      <c r="AA62" s="5" t="s">
        <v>1302</v>
      </c>
      <c r="AB62" s="6" t="s">
        <v>1355</v>
      </c>
      <c r="AC62" s="6" t="s">
        <v>135</v>
      </c>
      <c r="AD62" s="5" t="s">
        <v>95</v>
      </c>
      <c r="AE62" s="5" t="s">
        <v>1720</v>
      </c>
      <c r="AF62" s="5" t="s">
        <v>1720</v>
      </c>
      <c r="AG62" s="5" t="s">
        <v>1720</v>
      </c>
      <c r="AH62" s="5" t="s">
        <v>1720</v>
      </c>
      <c r="AI62" s="6" t="str">
        <f t="shared" si="1"/>
        <v>No</v>
      </c>
      <c r="AJ62" s="6" t="s">
        <v>229</v>
      </c>
      <c r="AK62" s="6" t="s">
        <v>162</v>
      </c>
      <c r="AL62" s="6">
        <f>MATCH(AA62,{"Low","Medium","High"},0)*MATCH(AB62,{"Low","Medium","High"},0)*INDEX({3,2,2,1,1},MATCH(X62,{"Core","Vertical extension","Differentiator","Future","Adjacent"},0))</f>
        <v>9</v>
      </c>
      <c r="AM62" s="5"/>
      <c r="AN62" s="5"/>
      <c r="AO62" s="5"/>
      <c r="AP62" s="5"/>
      <c r="AQ62" s="5"/>
      <c r="AR62" s="5"/>
      <c r="AS62" s="5"/>
      <c r="AT62" s="5"/>
      <c r="AU62" s="6" t="s">
        <v>2317</v>
      </c>
      <c r="AV62" s="6" t="s">
        <v>75</v>
      </c>
      <c r="AW62" s="6" t="s">
        <v>2784</v>
      </c>
      <c r="AX62" s="6" t="s">
        <v>2284</v>
      </c>
      <c r="AY62" s="6" t="s">
        <v>2285</v>
      </c>
      <c r="AZ62" s="6"/>
      <c r="BA62" s="6"/>
      <c r="BB62" s="6"/>
      <c r="BC62" s="6" t="s">
        <v>127</v>
      </c>
      <c r="BD62" s="6" t="s">
        <v>127</v>
      </c>
      <c r="BE62" s="6" t="s">
        <v>1477</v>
      </c>
      <c r="BF62" s="6" t="s">
        <v>95</v>
      </c>
      <c r="BG62" s="6" t="s">
        <v>2851</v>
      </c>
      <c r="BH62" s="6" t="s">
        <v>2852</v>
      </c>
    </row>
    <row r="63" spans="1:60" ht="32" customHeight="1" x14ac:dyDescent="0.35">
      <c r="A63" s="13" t="s">
        <v>2853</v>
      </c>
      <c r="B63" s="6" t="s">
        <v>2265</v>
      </c>
      <c r="C63" s="5" t="s">
        <v>75</v>
      </c>
      <c r="D63" s="5" t="s">
        <v>2197</v>
      </c>
      <c r="E63" s="5" t="s">
        <v>2854</v>
      </c>
      <c r="F63" s="5" t="s">
        <v>2855</v>
      </c>
      <c r="G63" s="5" t="s">
        <v>2856</v>
      </c>
      <c r="H63" s="5" t="s">
        <v>2857</v>
      </c>
      <c r="I63" s="5" t="s">
        <v>2858</v>
      </c>
      <c r="J63" s="17" t="s">
        <v>162</v>
      </c>
      <c r="K63" s="17" t="s">
        <v>1477</v>
      </c>
      <c r="L63" s="5" t="s">
        <v>2859</v>
      </c>
      <c r="M63" s="6" t="s">
        <v>1493</v>
      </c>
      <c r="N63" s="6" t="s">
        <v>2167</v>
      </c>
      <c r="O63" s="6" t="s">
        <v>162</v>
      </c>
      <c r="P63" s="5" t="s">
        <v>2272</v>
      </c>
      <c r="Q63" s="18" t="s">
        <v>1482</v>
      </c>
      <c r="R63" s="5" t="s">
        <v>2860</v>
      </c>
      <c r="S63" s="6" t="s">
        <v>2861</v>
      </c>
      <c r="T63" s="5" t="s">
        <v>2862</v>
      </c>
      <c r="U63" s="6"/>
      <c r="V63" s="6" t="s">
        <v>2347</v>
      </c>
      <c r="W63" s="6" t="s">
        <v>1697</v>
      </c>
      <c r="X63" s="5" t="s">
        <v>228</v>
      </c>
      <c r="Y63" s="5" t="s">
        <v>760</v>
      </c>
      <c r="Z63" s="5" t="str">
        <f t="shared" si="0"/>
        <v>Medium</v>
      </c>
      <c r="AA63" s="5" t="s">
        <v>1319</v>
      </c>
      <c r="AB63" s="6" t="s">
        <v>1355</v>
      </c>
      <c r="AC63" s="6" t="s">
        <v>135</v>
      </c>
      <c r="AD63" s="5" t="s">
        <v>2278</v>
      </c>
      <c r="AE63" s="5" t="s">
        <v>1720</v>
      </c>
      <c r="AF63" s="5" t="s">
        <v>1720</v>
      </c>
      <c r="AG63" s="5" t="s">
        <v>1720</v>
      </c>
      <c r="AH63" s="5" t="s">
        <v>1720</v>
      </c>
      <c r="AI63" s="6" t="str">
        <f t="shared" si="1"/>
        <v>No</v>
      </c>
      <c r="AJ63" s="6" t="s">
        <v>2298</v>
      </c>
      <c r="AK63" s="6" t="s">
        <v>162</v>
      </c>
      <c r="AL63" s="6">
        <f>MATCH(AA63,{"Low","Medium","High"},0)*MATCH(AB63,{"Low","Medium","High"},0)*INDEX({3,2,2,1,1},MATCH(X63,{"Core","Vertical extension","Differentiator","Future","Adjacent"},0))</f>
        <v>6</v>
      </c>
      <c r="AM63" s="5"/>
      <c r="AN63" s="5"/>
      <c r="AO63" s="5"/>
      <c r="AP63" s="5"/>
      <c r="AQ63" s="5"/>
      <c r="AR63" s="5"/>
      <c r="AS63" s="5"/>
      <c r="AT63" s="5"/>
      <c r="AU63" s="6" t="s">
        <v>2317</v>
      </c>
      <c r="AV63" s="6" t="s">
        <v>75</v>
      </c>
      <c r="AW63" s="6" t="s">
        <v>2794</v>
      </c>
      <c r="AX63" s="6" t="s">
        <v>2284</v>
      </c>
      <c r="AY63" s="6" t="s">
        <v>2285</v>
      </c>
      <c r="AZ63" s="6"/>
      <c r="BA63" s="6" t="s">
        <v>2863</v>
      </c>
      <c r="BB63" s="6" t="s">
        <v>2864</v>
      </c>
      <c r="BC63" s="6" t="s">
        <v>127</v>
      </c>
      <c r="BD63" s="6" t="s">
        <v>127</v>
      </c>
      <c r="BE63" s="6"/>
      <c r="BF63" s="6"/>
      <c r="BG63" s="6"/>
      <c r="BH63" s="6"/>
    </row>
    <row r="64" spans="1:60" ht="32" customHeight="1" x14ac:dyDescent="0.35">
      <c r="A64" s="13" t="s">
        <v>2865</v>
      </c>
      <c r="B64" s="6" t="s">
        <v>2265</v>
      </c>
      <c r="C64" s="5" t="s">
        <v>75</v>
      </c>
      <c r="D64" s="5" t="s">
        <v>2187</v>
      </c>
      <c r="E64" s="5" t="s">
        <v>2866</v>
      </c>
      <c r="F64" s="5" t="s">
        <v>2846</v>
      </c>
      <c r="G64" s="5" t="s">
        <v>2396</v>
      </c>
      <c r="H64" s="5" t="s">
        <v>2867</v>
      </c>
      <c r="I64" s="5" t="s">
        <v>2868</v>
      </c>
      <c r="J64" s="17" t="s">
        <v>162</v>
      </c>
      <c r="K64" s="17" t="s">
        <v>1477</v>
      </c>
      <c r="L64" s="5" t="s">
        <v>2869</v>
      </c>
      <c r="M64" s="6" t="s">
        <v>1493</v>
      </c>
      <c r="N64" s="6" t="s">
        <v>2167</v>
      </c>
      <c r="O64" s="6" t="s">
        <v>162</v>
      </c>
      <c r="P64" s="5" t="s">
        <v>2272</v>
      </c>
      <c r="Q64" s="18" t="s">
        <v>1482</v>
      </c>
      <c r="R64" s="5" t="s">
        <v>2870</v>
      </c>
      <c r="S64" s="6" t="s">
        <v>2345</v>
      </c>
      <c r="T64" s="5" t="s">
        <v>2346</v>
      </c>
      <c r="U64" s="6"/>
      <c r="V64" s="6" t="s">
        <v>2347</v>
      </c>
      <c r="W64" s="6" t="s">
        <v>1697</v>
      </c>
      <c r="X64" s="5" t="s">
        <v>228</v>
      </c>
      <c r="Y64" s="5" t="s">
        <v>760</v>
      </c>
      <c r="Z64" s="5" t="str">
        <f t="shared" si="0"/>
        <v>High</v>
      </c>
      <c r="AA64" s="5" t="s">
        <v>1302</v>
      </c>
      <c r="AB64" s="6" t="s">
        <v>1355</v>
      </c>
      <c r="AC64" s="6" t="s">
        <v>135</v>
      </c>
      <c r="AD64" s="5" t="s">
        <v>2278</v>
      </c>
      <c r="AE64" s="5" t="s">
        <v>1720</v>
      </c>
      <c r="AF64" s="5" t="s">
        <v>1720</v>
      </c>
      <c r="AG64" s="5" t="s">
        <v>1720</v>
      </c>
      <c r="AH64" s="5" t="s">
        <v>1720</v>
      </c>
      <c r="AI64" s="6" t="str">
        <f t="shared" si="1"/>
        <v>No</v>
      </c>
      <c r="AJ64" s="6" t="s">
        <v>2298</v>
      </c>
      <c r="AK64" s="6" t="s">
        <v>162</v>
      </c>
      <c r="AL64" s="6">
        <f>MATCH(AA64,{"Low","Medium","High"},0)*MATCH(AB64,{"Low","Medium","High"},0)*INDEX({3,2,2,1,1},MATCH(X64,{"Core","Vertical extension","Differentiator","Future","Adjacent"},0))</f>
        <v>9</v>
      </c>
      <c r="AM64" s="5"/>
      <c r="AN64" s="5"/>
      <c r="AO64" s="5"/>
      <c r="AP64" s="5"/>
      <c r="AQ64" s="5"/>
      <c r="AR64" s="5"/>
      <c r="AS64" s="5"/>
      <c r="AT64" s="5"/>
      <c r="AU64" s="6" t="s">
        <v>2317</v>
      </c>
      <c r="AV64" s="6" t="s">
        <v>75</v>
      </c>
      <c r="AW64" s="6" t="s">
        <v>2784</v>
      </c>
      <c r="AX64" s="6" t="s">
        <v>2284</v>
      </c>
      <c r="AY64" s="6" t="s">
        <v>2285</v>
      </c>
      <c r="AZ64" s="6"/>
      <c r="BA64" s="6" t="s">
        <v>2871</v>
      </c>
      <c r="BB64" s="6" t="s">
        <v>2872</v>
      </c>
      <c r="BC64" s="6" t="s">
        <v>127</v>
      </c>
      <c r="BD64" s="6" t="s">
        <v>127</v>
      </c>
      <c r="BE64" s="6"/>
      <c r="BF64" s="6"/>
      <c r="BG64" s="6"/>
      <c r="BH64" s="6"/>
    </row>
    <row r="65" spans="1:60" ht="32" customHeight="1" x14ac:dyDescent="0.35">
      <c r="A65" s="13" t="s">
        <v>2873</v>
      </c>
      <c r="B65" s="6" t="s">
        <v>2265</v>
      </c>
      <c r="C65" s="5" t="s">
        <v>75</v>
      </c>
      <c r="D65" s="5" t="s">
        <v>2187</v>
      </c>
      <c r="E65" s="5" t="s">
        <v>2874</v>
      </c>
      <c r="F65" s="5" t="s">
        <v>2875</v>
      </c>
      <c r="G65" s="5" t="s">
        <v>2876</v>
      </c>
      <c r="H65" s="5" t="s">
        <v>2877</v>
      </c>
      <c r="I65" s="5" t="s">
        <v>2878</v>
      </c>
      <c r="J65" s="17" t="s">
        <v>162</v>
      </c>
      <c r="K65" s="17" t="s">
        <v>95</v>
      </c>
      <c r="L65" s="5" t="s">
        <v>2879</v>
      </c>
      <c r="M65" s="6" t="s">
        <v>1493</v>
      </c>
      <c r="N65" s="6" t="s">
        <v>2167</v>
      </c>
      <c r="O65" s="6" t="s">
        <v>162</v>
      </c>
      <c r="P65" s="5" t="s">
        <v>2272</v>
      </c>
      <c r="Q65" s="17" t="s">
        <v>95</v>
      </c>
      <c r="R65" s="5" t="s">
        <v>2880</v>
      </c>
      <c r="S65" s="6" t="s">
        <v>2345</v>
      </c>
      <c r="T65" s="5" t="s">
        <v>2346</v>
      </c>
      <c r="U65" s="6"/>
      <c r="V65" s="6" t="s">
        <v>2347</v>
      </c>
      <c r="W65" s="6" t="s">
        <v>1697</v>
      </c>
      <c r="X65" s="5" t="s">
        <v>228</v>
      </c>
      <c r="Y65" s="5" t="s">
        <v>760</v>
      </c>
      <c r="Z65" s="5" t="str">
        <f t="shared" si="0"/>
        <v>High</v>
      </c>
      <c r="AA65" s="5" t="s">
        <v>1302</v>
      </c>
      <c r="AB65" s="6" t="s">
        <v>1355</v>
      </c>
      <c r="AC65" s="6" t="s">
        <v>135</v>
      </c>
      <c r="AD65" s="5" t="s">
        <v>95</v>
      </c>
      <c r="AE65" s="5" t="s">
        <v>1720</v>
      </c>
      <c r="AF65" s="5" t="s">
        <v>1720</v>
      </c>
      <c r="AG65" s="5" t="s">
        <v>1720</v>
      </c>
      <c r="AH65" s="5" t="s">
        <v>1720</v>
      </c>
      <c r="AI65" s="6" t="str">
        <f t="shared" si="1"/>
        <v>No</v>
      </c>
      <c r="AJ65" s="6" t="s">
        <v>229</v>
      </c>
      <c r="AK65" s="6" t="s">
        <v>162</v>
      </c>
      <c r="AL65" s="6">
        <f>MATCH(AA65,{"Low","Medium","High"},0)*MATCH(AB65,{"Low","Medium","High"},0)*INDEX({3,2,2,1,1},MATCH(X65,{"Core","Vertical extension","Differentiator","Future","Adjacent"},0))</f>
        <v>9</v>
      </c>
      <c r="AM65" s="5"/>
      <c r="AN65" s="5"/>
      <c r="AO65" s="5"/>
      <c r="AP65" s="5"/>
      <c r="AQ65" s="5"/>
      <c r="AR65" s="5"/>
      <c r="AS65" s="5"/>
      <c r="AT65" s="5"/>
      <c r="AU65" s="6" t="s">
        <v>2317</v>
      </c>
      <c r="AV65" s="6" t="s">
        <v>75</v>
      </c>
      <c r="AW65" s="6" t="s">
        <v>2784</v>
      </c>
      <c r="AX65" s="6" t="s">
        <v>2284</v>
      </c>
      <c r="AY65" s="6" t="s">
        <v>2285</v>
      </c>
      <c r="AZ65" s="6"/>
      <c r="BA65" s="6"/>
      <c r="BB65" s="6"/>
      <c r="BC65" s="6" t="s">
        <v>127</v>
      </c>
      <c r="BD65" s="6" t="s">
        <v>127</v>
      </c>
      <c r="BE65" s="6" t="s">
        <v>1477</v>
      </c>
      <c r="BF65" s="6" t="s">
        <v>95</v>
      </c>
      <c r="BG65" s="6" t="s">
        <v>2881</v>
      </c>
      <c r="BH65" s="6" t="s">
        <v>2882</v>
      </c>
    </row>
    <row r="66" spans="1:60" ht="32" customHeight="1" x14ac:dyDescent="0.35">
      <c r="A66" s="13" t="s">
        <v>2883</v>
      </c>
      <c r="B66" s="6" t="s">
        <v>2265</v>
      </c>
      <c r="C66" s="5" t="s">
        <v>75</v>
      </c>
      <c r="D66" s="5" t="s">
        <v>2189</v>
      </c>
      <c r="E66" s="5" t="s">
        <v>2884</v>
      </c>
      <c r="F66" s="5" t="s">
        <v>2885</v>
      </c>
      <c r="G66" s="5" t="s">
        <v>2799</v>
      </c>
      <c r="H66" s="5" t="s">
        <v>2886</v>
      </c>
      <c r="I66" s="5" t="s">
        <v>2887</v>
      </c>
      <c r="J66" s="19" t="s">
        <v>204</v>
      </c>
      <c r="K66" s="17" t="s">
        <v>1477</v>
      </c>
      <c r="L66" s="5" t="s">
        <v>2888</v>
      </c>
      <c r="M66" s="6" t="s">
        <v>1493</v>
      </c>
      <c r="N66" s="6" t="s">
        <v>2167</v>
      </c>
      <c r="O66" s="6" t="s">
        <v>204</v>
      </c>
      <c r="P66" s="5" t="s">
        <v>2272</v>
      </c>
      <c r="Q66" s="17" t="s">
        <v>2273</v>
      </c>
      <c r="R66" s="5" t="s">
        <v>2889</v>
      </c>
      <c r="S66" s="6" t="s">
        <v>2325</v>
      </c>
      <c r="T66" s="5" t="s">
        <v>2326</v>
      </c>
      <c r="U66" s="6"/>
      <c r="V66" s="6" t="s">
        <v>2327</v>
      </c>
      <c r="W66" s="6" t="s">
        <v>1699</v>
      </c>
      <c r="X66" s="5" t="s">
        <v>228</v>
      </c>
      <c r="Y66" s="5" t="s">
        <v>760</v>
      </c>
      <c r="Z66" s="5" t="str">
        <f t="shared" ref="Z66:Z129" si="2">IF(AL66&gt;=18,"Critical",IF(AL66&gt;=9,"High",IF(AL66&gt;=4,"Medium","Low")))</f>
        <v>Medium</v>
      </c>
      <c r="AA66" s="5" t="s">
        <v>1319</v>
      </c>
      <c r="AB66" s="6" t="s">
        <v>1355</v>
      </c>
      <c r="AC66" s="6" t="s">
        <v>32</v>
      </c>
      <c r="AD66" s="5" t="s">
        <v>2278</v>
      </c>
      <c r="AE66" s="5" t="s">
        <v>1720</v>
      </c>
      <c r="AF66" s="5" t="s">
        <v>1720</v>
      </c>
      <c r="AG66" s="5" t="s">
        <v>1720</v>
      </c>
      <c r="AH66" s="5" t="s">
        <v>1720</v>
      </c>
      <c r="AI66" s="6" t="str">
        <f t="shared" ref="AI66:AI129" si="3">IF(AND(AU66="Pass",AE66&lt;&gt;"Not verified",AF66&lt;&gt;"Not verified",AG66&lt;&gt;"Not verified",AH66&lt;&gt;"Not verified",BC66="Yes",BD66="Yes"),"Yes","No")</f>
        <v>No</v>
      </c>
      <c r="AJ66" s="6" t="s">
        <v>2298</v>
      </c>
      <c r="AK66" s="6" t="s">
        <v>204</v>
      </c>
      <c r="AL66" s="6">
        <f>MATCH(AA66,{"Low","Medium","High"},0)*MATCH(AB66,{"Low","Medium","High"},0)*INDEX({3,2,2,1,1},MATCH(X66,{"Core","Vertical extension","Differentiator","Future","Adjacent"},0))</f>
        <v>6</v>
      </c>
      <c r="AM66" s="5"/>
      <c r="AN66" s="5"/>
      <c r="AO66" s="5"/>
      <c r="AP66" s="5"/>
      <c r="AQ66" s="5"/>
      <c r="AR66" s="5"/>
      <c r="AS66" s="5"/>
      <c r="AT66" s="5"/>
      <c r="AU66" s="6" t="s">
        <v>2317</v>
      </c>
      <c r="AV66" s="6" t="s">
        <v>75</v>
      </c>
      <c r="AW66" s="6" t="s">
        <v>2813</v>
      </c>
      <c r="AX66" s="6" t="s">
        <v>2284</v>
      </c>
      <c r="AY66" s="6" t="s">
        <v>2285</v>
      </c>
      <c r="AZ66" s="6"/>
      <c r="BA66" s="6"/>
      <c r="BB66" s="6"/>
      <c r="BC66" s="6" t="s">
        <v>127</v>
      </c>
      <c r="BD66" s="6" t="s">
        <v>127</v>
      </c>
      <c r="BE66" s="6" t="s">
        <v>1477</v>
      </c>
      <c r="BF66" s="6" t="s">
        <v>2286</v>
      </c>
      <c r="BG66" s="6" t="s">
        <v>2751</v>
      </c>
      <c r="BH66" s="6" t="s">
        <v>2890</v>
      </c>
    </row>
    <row r="67" spans="1:60" ht="32" customHeight="1" x14ac:dyDescent="0.35">
      <c r="A67" s="13" t="s">
        <v>2891</v>
      </c>
      <c r="B67" s="6" t="s">
        <v>2265</v>
      </c>
      <c r="C67" s="5" t="s">
        <v>75</v>
      </c>
      <c r="D67" s="5" t="s">
        <v>2189</v>
      </c>
      <c r="E67" s="5" t="s">
        <v>2892</v>
      </c>
      <c r="F67" s="5" t="s">
        <v>2893</v>
      </c>
      <c r="G67" s="5" t="s">
        <v>2312</v>
      </c>
      <c r="H67" s="5" t="s">
        <v>2894</v>
      </c>
      <c r="I67" s="5" t="s">
        <v>2895</v>
      </c>
      <c r="J67" s="19" t="s">
        <v>204</v>
      </c>
      <c r="K67" s="17" t="s">
        <v>95</v>
      </c>
      <c r="L67" s="5" t="s">
        <v>2896</v>
      </c>
      <c r="M67" s="6" t="s">
        <v>1493</v>
      </c>
      <c r="N67" s="6" t="s">
        <v>2167</v>
      </c>
      <c r="O67" s="6" t="s">
        <v>204</v>
      </c>
      <c r="P67" s="5" t="s">
        <v>2272</v>
      </c>
      <c r="Q67" s="17" t="s">
        <v>95</v>
      </c>
      <c r="R67" s="5" t="s">
        <v>2897</v>
      </c>
      <c r="S67" s="6" t="s">
        <v>2325</v>
      </c>
      <c r="T67" s="5" t="s">
        <v>2326</v>
      </c>
      <c r="U67" s="6"/>
      <c r="V67" s="6" t="s">
        <v>2327</v>
      </c>
      <c r="W67" s="6" t="s">
        <v>1699</v>
      </c>
      <c r="X67" s="5" t="s">
        <v>228</v>
      </c>
      <c r="Y67" s="5" t="s">
        <v>760</v>
      </c>
      <c r="Z67" s="5" t="str">
        <f t="shared" si="2"/>
        <v>Medium</v>
      </c>
      <c r="AA67" s="5" t="s">
        <v>1319</v>
      </c>
      <c r="AB67" s="6" t="s">
        <v>1355</v>
      </c>
      <c r="AC67" s="6" t="s">
        <v>32</v>
      </c>
      <c r="AD67" s="5" t="s">
        <v>95</v>
      </c>
      <c r="AE67" s="5" t="s">
        <v>1720</v>
      </c>
      <c r="AF67" s="5" t="s">
        <v>1720</v>
      </c>
      <c r="AG67" s="5" t="s">
        <v>1720</v>
      </c>
      <c r="AH67" s="5" t="s">
        <v>1720</v>
      </c>
      <c r="AI67" s="6" t="str">
        <f t="shared" si="3"/>
        <v>No</v>
      </c>
      <c r="AJ67" s="6" t="s">
        <v>229</v>
      </c>
      <c r="AK67" s="6" t="s">
        <v>204</v>
      </c>
      <c r="AL67" s="6">
        <f>MATCH(AA67,{"Low","Medium","High"},0)*MATCH(AB67,{"Low","Medium","High"},0)*INDEX({3,2,2,1,1},MATCH(X67,{"Core","Vertical extension","Differentiator","Future","Adjacent"},0))</f>
        <v>6</v>
      </c>
      <c r="AM67" s="5"/>
      <c r="AN67" s="5"/>
      <c r="AO67" s="5"/>
      <c r="AP67" s="5"/>
      <c r="AQ67" s="5"/>
      <c r="AR67" s="5"/>
      <c r="AS67" s="5"/>
      <c r="AT67" s="5"/>
      <c r="AU67" s="6" t="s">
        <v>2317</v>
      </c>
      <c r="AV67" s="6" t="s">
        <v>75</v>
      </c>
      <c r="AW67" s="6" t="s">
        <v>2898</v>
      </c>
      <c r="AX67" s="6" t="s">
        <v>2284</v>
      </c>
      <c r="AY67" s="6" t="s">
        <v>2285</v>
      </c>
      <c r="AZ67" s="6"/>
      <c r="BA67" s="6"/>
      <c r="BB67" s="6"/>
      <c r="BC67" s="6" t="s">
        <v>127</v>
      </c>
      <c r="BD67" s="6" t="s">
        <v>127</v>
      </c>
      <c r="BE67" s="6" t="s">
        <v>1477</v>
      </c>
      <c r="BF67" s="6" t="s">
        <v>95</v>
      </c>
      <c r="BG67" s="6" t="s">
        <v>2751</v>
      </c>
      <c r="BH67" s="6" t="s">
        <v>2899</v>
      </c>
    </row>
    <row r="68" spans="1:60" ht="32" customHeight="1" x14ac:dyDescent="0.35">
      <c r="A68" s="13" t="s">
        <v>2900</v>
      </c>
      <c r="B68" s="6" t="s">
        <v>2265</v>
      </c>
      <c r="C68" s="5" t="s">
        <v>75</v>
      </c>
      <c r="D68" s="5" t="s">
        <v>2195</v>
      </c>
      <c r="E68" s="5" t="s">
        <v>2901</v>
      </c>
      <c r="F68" s="5" t="s">
        <v>2902</v>
      </c>
      <c r="G68" s="5" t="s">
        <v>2799</v>
      </c>
      <c r="H68" s="5" t="s">
        <v>2903</v>
      </c>
      <c r="I68" s="5" t="s">
        <v>2904</v>
      </c>
      <c r="J68" s="17" t="s">
        <v>162</v>
      </c>
      <c r="K68" s="17" t="s">
        <v>1477</v>
      </c>
      <c r="L68" s="5" t="s">
        <v>2905</v>
      </c>
      <c r="M68" s="6" t="s">
        <v>1493</v>
      </c>
      <c r="N68" s="6" t="s">
        <v>2167</v>
      </c>
      <c r="O68" s="6" t="s">
        <v>162</v>
      </c>
      <c r="P68" s="5" t="s">
        <v>2272</v>
      </c>
      <c r="Q68" s="17" t="s">
        <v>2273</v>
      </c>
      <c r="R68" s="5" t="s">
        <v>2906</v>
      </c>
      <c r="S68" s="6" t="s">
        <v>2295</v>
      </c>
      <c r="T68" s="5" t="s">
        <v>2296</v>
      </c>
      <c r="U68" s="6"/>
      <c r="V68" s="6" t="s">
        <v>2297</v>
      </c>
      <c r="W68" s="6" t="s">
        <v>1697</v>
      </c>
      <c r="X68" s="5" t="s">
        <v>228</v>
      </c>
      <c r="Y68" s="5" t="s">
        <v>760</v>
      </c>
      <c r="Z68" s="5" t="str">
        <f t="shared" si="2"/>
        <v>High</v>
      </c>
      <c r="AA68" s="5" t="s">
        <v>1302</v>
      </c>
      <c r="AB68" s="6" t="s">
        <v>1355</v>
      </c>
      <c r="AC68" s="6" t="s">
        <v>135</v>
      </c>
      <c r="AD68" s="5" t="s">
        <v>2278</v>
      </c>
      <c r="AE68" s="5" t="s">
        <v>1720</v>
      </c>
      <c r="AF68" s="5" t="s">
        <v>1720</v>
      </c>
      <c r="AG68" s="5" t="s">
        <v>1720</v>
      </c>
      <c r="AH68" s="5" t="s">
        <v>1720</v>
      </c>
      <c r="AI68" s="6" t="str">
        <f t="shared" si="3"/>
        <v>No</v>
      </c>
      <c r="AJ68" s="6" t="s">
        <v>2298</v>
      </c>
      <c r="AK68" s="6" t="s">
        <v>162</v>
      </c>
      <c r="AL68" s="6">
        <f>MATCH(AA68,{"Low","Medium","High"},0)*MATCH(AB68,{"Low","Medium","High"},0)*INDEX({3,2,2,1,1},MATCH(X68,{"Core","Vertical extension","Differentiator","Future","Adjacent"},0))</f>
        <v>9</v>
      </c>
      <c r="AM68" s="5"/>
      <c r="AN68" s="5"/>
      <c r="AO68" s="5"/>
      <c r="AP68" s="5"/>
      <c r="AQ68" s="5"/>
      <c r="AR68" s="5"/>
      <c r="AS68" s="5"/>
      <c r="AT68" s="5"/>
      <c r="AU68" s="6" t="s">
        <v>2317</v>
      </c>
      <c r="AV68" s="6" t="s">
        <v>75</v>
      </c>
      <c r="AW68" s="6" t="s">
        <v>76</v>
      </c>
      <c r="AX68" s="6" t="s">
        <v>2284</v>
      </c>
      <c r="AY68" s="6" t="s">
        <v>2285</v>
      </c>
      <c r="AZ68" s="6"/>
      <c r="BA68" s="6"/>
      <c r="BB68" s="6"/>
      <c r="BC68" s="6" t="s">
        <v>127</v>
      </c>
      <c r="BD68" s="6" t="s">
        <v>127</v>
      </c>
      <c r="BE68" s="6" t="s">
        <v>1477</v>
      </c>
      <c r="BF68" s="6" t="s">
        <v>2286</v>
      </c>
      <c r="BG68" s="6" t="s">
        <v>2907</v>
      </c>
      <c r="BH68" s="6" t="s">
        <v>2908</v>
      </c>
    </row>
    <row r="69" spans="1:60" ht="32" customHeight="1" x14ac:dyDescent="0.35">
      <c r="A69" s="13" t="s">
        <v>2909</v>
      </c>
      <c r="B69" s="6" t="s">
        <v>2265</v>
      </c>
      <c r="C69" s="5" t="s">
        <v>1684</v>
      </c>
      <c r="D69" s="5" t="s">
        <v>2193</v>
      </c>
      <c r="E69" s="5" t="s">
        <v>2910</v>
      </c>
      <c r="F69" s="5" t="s">
        <v>2911</v>
      </c>
      <c r="G69" s="5" t="s">
        <v>2912</v>
      </c>
      <c r="H69" s="5" t="s">
        <v>2913</v>
      </c>
      <c r="I69" s="5" t="s">
        <v>2914</v>
      </c>
      <c r="J69" s="17" t="s">
        <v>162</v>
      </c>
      <c r="K69" s="17" t="s">
        <v>1477</v>
      </c>
      <c r="L69" s="5" t="s">
        <v>2915</v>
      </c>
      <c r="M69" s="6" t="s">
        <v>1493</v>
      </c>
      <c r="N69" s="6" t="s">
        <v>2167</v>
      </c>
      <c r="O69" s="6" t="s">
        <v>162</v>
      </c>
      <c r="P69" s="5" t="s">
        <v>2272</v>
      </c>
      <c r="Q69" s="17" t="s">
        <v>2273</v>
      </c>
      <c r="R69" s="5" t="s">
        <v>2916</v>
      </c>
      <c r="S69" s="6" t="s">
        <v>2470</v>
      </c>
      <c r="T69" s="5" t="s">
        <v>2471</v>
      </c>
      <c r="U69" s="6"/>
      <c r="V69" s="6" t="s">
        <v>2472</v>
      </c>
      <c r="W69" s="6" t="s">
        <v>1697</v>
      </c>
      <c r="X69" s="5" t="s">
        <v>228</v>
      </c>
      <c r="Y69" s="5" t="s">
        <v>2917</v>
      </c>
      <c r="Z69" s="5" t="str">
        <f t="shared" si="2"/>
        <v>Medium</v>
      </c>
      <c r="AA69" s="5" t="s">
        <v>1319</v>
      </c>
      <c r="AB69" s="6" t="s">
        <v>1355</v>
      </c>
      <c r="AC69" s="6" t="s">
        <v>135</v>
      </c>
      <c r="AD69" s="5" t="s">
        <v>2278</v>
      </c>
      <c r="AE69" s="5" t="s">
        <v>1720</v>
      </c>
      <c r="AF69" s="5" t="s">
        <v>1720</v>
      </c>
      <c r="AG69" s="5" t="s">
        <v>1720</v>
      </c>
      <c r="AH69" s="5" t="s">
        <v>1720</v>
      </c>
      <c r="AI69" s="6" t="str">
        <f t="shared" si="3"/>
        <v>No</v>
      </c>
      <c r="AJ69" s="6" t="s">
        <v>2298</v>
      </c>
      <c r="AK69" s="6" t="s">
        <v>162</v>
      </c>
      <c r="AL69" s="6">
        <f>MATCH(AA69,{"Low","Medium","High"},0)*MATCH(AB69,{"Low","Medium","High"},0)*INDEX({3,2,2,1,1},MATCH(X69,{"Core","Vertical extension","Differentiator","Future","Adjacent"},0))</f>
        <v>6</v>
      </c>
      <c r="AM69" s="5"/>
      <c r="AN69" s="5"/>
      <c r="AO69" s="5"/>
      <c r="AP69" s="5"/>
      <c r="AQ69" s="5"/>
      <c r="AR69" s="5"/>
      <c r="AS69" s="5"/>
      <c r="AT69" s="5"/>
      <c r="AU69" s="6" t="s">
        <v>2317</v>
      </c>
      <c r="AV69" s="6" t="s">
        <v>75</v>
      </c>
      <c r="AW69" s="6" t="s">
        <v>2784</v>
      </c>
      <c r="AX69" s="6" t="s">
        <v>2284</v>
      </c>
      <c r="AY69" s="6" t="s">
        <v>2285</v>
      </c>
      <c r="AZ69" s="6"/>
      <c r="BA69" s="6" t="s">
        <v>2473</v>
      </c>
      <c r="BB69" s="6" t="s">
        <v>2474</v>
      </c>
      <c r="BC69" s="6" t="s">
        <v>127</v>
      </c>
      <c r="BD69" s="6" t="s">
        <v>127</v>
      </c>
      <c r="BE69" s="6" t="s">
        <v>1477</v>
      </c>
      <c r="BF69" s="6" t="s">
        <v>2286</v>
      </c>
      <c r="BG69" s="6" t="s">
        <v>2918</v>
      </c>
      <c r="BH69" s="6" t="s">
        <v>2919</v>
      </c>
    </row>
    <row r="70" spans="1:60" ht="32" customHeight="1" x14ac:dyDescent="0.35">
      <c r="A70" s="13" t="s">
        <v>2920</v>
      </c>
      <c r="B70" s="6" t="s">
        <v>2265</v>
      </c>
      <c r="C70" s="5" t="s">
        <v>1684</v>
      </c>
      <c r="D70" s="5" t="s">
        <v>2187</v>
      </c>
      <c r="E70" s="5" t="s">
        <v>2921</v>
      </c>
      <c r="F70" s="5" t="s">
        <v>2911</v>
      </c>
      <c r="G70" s="5" t="s">
        <v>2779</v>
      </c>
      <c r="H70" s="5" t="s">
        <v>2922</v>
      </c>
      <c r="I70" s="5" t="s">
        <v>2923</v>
      </c>
      <c r="J70" s="17" t="s">
        <v>162</v>
      </c>
      <c r="K70" s="17" t="s">
        <v>1477</v>
      </c>
      <c r="L70" s="5" t="s">
        <v>2924</v>
      </c>
      <c r="M70" s="6" t="s">
        <v>1493</v>
      </c>
      <c r="N70" s="6" t="s">
        <v>2167</v>
      </c>
      <c r="O70" s="6" t="s">
        <v>162</v>
      </c>
      <c r="P70" s="5" t="s">
        <v>2272</v>
      </c>
      <c r="Q70" s="17" t="s">
        <v>2273</v>
      </c>
      <c r="R70" s="5" t="s">
        <v>2925</v>
      </c>
      <c r="S70" s="6" t="s">
        <v>2345</v>
      </c>
      <c r="T70" s="5" t="s">
        <v>2346</v>
      </c>
      <c r="U70" s="6"/>
      <c r="V70" s="6" t="s">
        <v>2347</v>
      </c>
      <c r="W70" s="6" t="s">
        <v>1697</v>
      </c>
      <c r="X70" s="5" t="s">
        <v>228</v>
      </c>
      <c r="Y70" s="5" t="s">
        <v>2917</v>
      </c>
      <c r="Z70" s="5" t="str">
        <f t="shared" si="2"/>
        <v>High</v>
      </c>
      <c r="AA70" s="5" t="s">
        <v>1302</v>
      </c>
      <c r="AB70" s="6" t="s">
        <v>1355</v>
      </c>
      <c r="AC70" s="6" t="s">
        <v>135</v>
      </c>
      <c r="AD70" s="5" t="s">
        <v>2278</v>
      </c>
      <c r="AE70" s="5" t="s">
        <v>1720</v>
      </c>
      <c r="AF70" s="5" t="s">
        <v>1720</v>
      </c>
      <c r="AG70" s="5" t="s">
        <v>1720</v>
      </c>
      <c r="AH70" s="5" t="s">
        <v>1720</v>
      </c>
      <c r="AI70" s="6" t="str">
        <f t="shared" si="3"/>
        <v>No</v>
      </c>
      <c r="AJ70" s="6" t="s">
        <v>2298</v>
      </c>
      <c r="AK70" s="6" t="s">
        <v>162</v>
      </c>
      <c r="AL70" s="6">
        <f>MATCH(AA70,{"Low","Medium","High"},0)*MATCH(AB70,{"Low","Medium","High"},0)*INDEX({3,2,2,1,1},MATCH(X70,{"Core","Vertical extension","Differentiator","Future","Adjacent"},0))</f>
        <v>9</v>
      </c>
      <c r="AM70" s="5"/>
      <c r="AN70" s="5"/>
      <c r="AO70" s="5"/>
      <c r="AP70" s="5"/>
      <c r="AQ70" s="5"/>
      <c r="AR70" s="5"/>
      <c r="AS70" s="5"/>
      <c r="AT70" s="5"/>
      <c r="AU70" s="6" t="s">
        <v>2317</v>
      </c>
      <c r="AV70" s="6" t="s">
        <v>75</v>
      </c>
      <c r="AW70" s="6" t="s">
        <v>2784</v>
      </c>
      <c r="AX70" s="6" t="s">
        <v>2284</v>
      </c>
      <c r="AY70" s="6" t="s">
        <v>2285</v>
      </c>
      <c r="AZ70" s="6"/>
      <c r="BA70" s="6"/>
      <c r="BB70" s="6"/>
      <c r="BC70" s="6" t="s">
        <v>127</v>
      </c>
      <c r="BD70" s="6" t="s">
        <v>127</v>
      </c>
      <c r="BE70" s="6" t="s">
        <v>1477</v>
      </c>
      <c r="BF70" s="6" t="s">
        <v>2286</v>
      </c>
      <c r="BG70" s="6" t="s">
        <v>2926</v>
      </c>
      <c r="BH70" s="6" t="s">
        <v>2927</v>
      </c>
    </row>
    <row r="71" spans="1:60" ht="32" customHeight="1" x14ac:dyDescent="0.35">
      <c r="A71" s="13" t="s">
        <v>2928</v>
      </c>
      <c r="B71" s="6" t="s">
        <v>2265</v>
      </c>
      <c r="C71" s="5" t="s">
        <v>1684</v>
      </c>
      <c r="D71" s="5" t="s">
        <v>2191</v>
      </c>
      <c r="E71" s="5" t="s">
        <v>2929</v>
      </c>
      <c r="F71" s="5" t="s">
        <v>2911</v>
      </c>
      <c r="G71" s="5" t="s">
        <v>2930</v>
      </c>
      <c r="H71" s="5" t="s">
        <v>2931</v>
      </c>
      <c r="I71" s="5" t="s">
        <v>2932</v>
      </c>
      <c r="J71" s="17" t="s">
        <v>162</v>
      </c>
      <c r="K71" s="17" t="s">
        <v>163</v>
      </c>
      <c r="L71" s="5" t="s">
        <v>2933</v>
      </c>
      <c r="M71" s="6" t="s">
        <v>1493</v>
      </c>
      <c r="N71" s="6" t="s">
        <v>2167</v>
      </c>
      <c r="O71" s="6" t="s">
        <v>162</v>
      </c>
      <c r="P71" s="5" t="s">
        <v>2272</v>
      </c>
      <c r="Q71" s="17" t="s">
        <v>163</v>
      </c>
      <c r="R71" s="5" t="s">
        <v>2934</v>
      </c>
      <c r="S71" s="6" t="s">
        <v>2275</v>
      </c>
      <c r="T71" s="5" t="s">
        <v>2276</v>
      </c>
      <c r="U71" s="6"/>
      <c r="V71" s="6" t="s">
        <v>2277</v>
      </c>
      <c r="W71" s="6" t="s">
        <v>1697</v>
      </c>
      <c r="X71" s="5" t="s">
        <v>228</v>
      </c>
      <c r="Y71" s="5" t="s">
        <v>2917</v>
      </c>
      <c r="Z71" s="5" t="str">
        <f t="shared" si="2"/>
        <v>Medium</v>
      </c>
      <c r="AA71" s="5" t="s">
        <v>1319</v>
      </c>
      <c r="AB71" s="6" t="s">
        <v>1355</v>
      </c>
      <c r="AC71" s="6" t="s">
        <v>135</v>
      </c>
      <c r="AD71" s="5" t="s">
        <v>1805</v>
      </c>
      <c r="AE71" s="5" t="s">
        <v>1720</v>
      </c>
      <c r="AF71" s="5" t="s">
        <v>1720</v>
      </c>
      <c r="AG71" s="5" t="s">
        <v>1720</v>
      </c>
      <c r="AH71" s="5" t="s">
        <v>1720</v>
      </c>
      <c r="AI71" s="6" t="str">
        <f t="shared" si="3"/>
        <v>No</v>
      </c>
      <c r="AJ71" s="6" t="s">
        <v>287</v>
      </c>
      <c r="AK71" s="6" t="s">
        <v>162</v>
      </c>
      <c r="AL71" s="6">
        <f>MATCH(AA71,{"Low","Medium","High"},0)*MATCH(AB71,{"Low","Medium","High"},0)*INDEX({3,2,2,1,1},MATCH(X71,{"Core","Vertical extension","Differentiator","Future","Adjacent"},0))</f>
        <v>6</v>
      </c>
      <c r="AM71" s="5"/>
      <c r="AN71" s="5"/>
      <c r="AO71" s="5"/>
      <c r="AP71" s="5"/>
      <c r="AQ71" s="5"/>
      <c r="AR71" s="5"/>
      <c r="AS71" s="5"/>
      <c r="AT71" s="5"/>
      <c r="AU71" s="6" t="s">
        <v>2317</v>
      </c>
      <c r="AV71" s="6" t="s">
        <v>75</v>
      </c>
      <c r="AW71" s="6" t="s">
        <v>2784</v>
      </c>
      <c r="AX71" s="6" t="s">
        <v>2284</v>
      </c>
      <c r="AY71" s="6" t="s">
        <v>2285</v>
      </c>
      <c r="AZ71" s="6"/>
      <c r="BA71" s="6"/>
      <c r="BB71" s="6"/>
      <c r="BC71" s="6" t="s">
        <v>127</v>
      </c>
      <c r="BD71" s="6" t="s">
        <v>127</v>
      </c>
      <c r="BE71" s="6" t="s">
        <v>1477</v>
      </c>
      <c r="BF71" s="6" t="s">
        <v>288</v>
      </c>
      <c r="BG71" s="6" t="s">
        <v>2935</v>
      </c>
      <c r="BH71" s="6" t="s">
        <v>2936</v>
      </c>
    </row>
    <row r="72" spans="1:60" ht="32" customHeight="1" x14ac:dyDescent="0.35">
      <c r="A72" s="13" t="s">
        <v>2937</v>
      </c>
      <c r="B72" s="6" t="s">
        <v>2265</v>
      </c>
      <c r="C72" s="5" t="s">
        <v>1684</v>
      </c>
      <c r="D72" s="5" t="s">
        <v>2187</v>
      </c>
      <c r="E72" s="5" t="s">
        <v>2938</v>
      </c>
      <c r="F72" s="5" t="s">
        <v>2911</v>
      </c>
      <c r="G72" s="5" t="s">
        <v>2939</v>
      </c>
      <c r="H72" s="5" t="s">
        <v>2940</v>
      </c>
      <c r="I72" s="5" t="s">
        <v>2941</v>
      </c>
      <c r="J72" s="17" t="s">
        <v>162</v>
      </c>
      <c r="K72" s="17" t="s">
        <v>1477</v>
      </c>
      <c r="L72" s="5" t="s">
        <v>2942</v>
      </c>
      <c r="M72" s="6" t="s">
        <v>1493</v>
      </c>
      <c r="N72" s="6" t="s">
        <v>2167</v>
      </c>
      <c r="O72" s="6" t="s">
        <v>162</v>
      </c>
      <c r="P72" s="5" t="s">
        <v>2272</v>
      </c>
      <c r="Q72" s="18" t="s">
        <v>1482</v>
      </c>
      <c r="R72" s="5" t="s">
        <v>2648</v>
      </c>
      <c r="S72" s="6" t="s">
        <v>2345</v>
      </c>
      <c r="T72" s="5" t="s">
        <v>2346</v>
      </c>
      <c r="U72" s="6"/>
      <c r="V72" s="6" t="s">
        <v>2347</v>
      </c>
      <c r="W72" s="6" t="s">
        <v>1697</v>
      </c>
      <c r="X72" s="5" t="s">
        <v>228</v>
      </c>
      <c r="Y72" s="5" t="s">
        <v>2917</v>
      </c>
      <c r="Z72" s="5" t="str">
        <f t="shared" si="2"/>
        <v>High</v>
      </c>
      <c r="AA72" s="5" t="s">
        <v>1302</v>
      </c>
      <c r="AB72" s="6" t="s">
        <v>1355</v>
      </c>
      <c r="AC72" s="6" t="s">
        <v>135</v>
      </c>
      <c r="AD72" s="5" t="s">
        <v>2278</v>
      </c>
      <c r="AE72" s="5" t="s">
        <v>1720</v>
      </c>
      <c r="AF72" s="5" t="s">
        <v>1720</v>
      </c>
      <c r="AG72" s="5" t="s">
        <v>1720</v>
      </c>
      <c r="AH72" s="5" t="s">
        <v>1720</v>
      </c>
      <c r="AI72" s="6" t="str">
        <f t="shared" si="3"/>
        <v>No</v>
      </c>
      <c r="AJ72" s="6" t="s">
        <v>2298</v>
      </c>
      <c r="AK72" s="6" t="s">
        <v>162</v>
      </c>
      <c r="AL72" s="6">
        <f>MATCH(AA72,{"Low","Medium","High"},0)*MATCH(AB72,{"Low","Medium","High"},0)*INDEX({3,2,2,1,1},MATCH(X72,{"Core","Vertical extension","Differentiator","Future","Adjacent"},0))</f>
        <v>9</v>
      </c>
      <c r="AM72" s="5"/>
      <c r="AN72" s="5"/>
      <c r="AO72" s="5"/>
      <c r="AP72" s="5"/>
      <c r="AQ72" s="5"/>
      <c r="AR72" s="5"/>
      <c r="AS72" s="5"/>
      <c r="AT72" s="5"/>
      <c r="AU72" s="6" t="s">
        <v>2317</v>
      </c>
      <c r="AV72" s="6" t="s">
        <v>75</v>
      </c>
      <c r="AW72" s="6" t="s">
        <v>2784</v>
      </c>
      <c r="AX72" s="6" t="s">
        <v>2284</v>
      </c>
      <c r="AY72" s="6" t="s">
        <v>2285</v>
      </c>
      <c r="AZ72" s="6"/>
      <c r="BA72" s="6" t="s">
        <v>2348</v>
      </c>
      <c r="BB72" s="6" t="s">
        <v>2349</v>
      </c>
      <c r="BC72" s="6" t="s">
        <v>127</v>
      </c>
      <c r="BD72" s="6" t="s">
        <v>127</v>
      </c>
      <c r="BE72" s="6"/>
      <c r="BF72" s="6"/>
      <c r="BG72" s="6"/>
      <c r="BH72" s="6"/>
    </row>
    <row r="73" spans="1:60" ht="32" customHeight="1" x14ac:dyDescent="0.35">
      <c r="A73" s="13" t="s">
        <v>1680</v>
      </c>
      <c r="B73" s="6" t="s">
        <v>2265</v>
      </c>
      <c r="C73" s="5" t="s">
        <v>1684</v>
      </c>
      <c r="D73" s="5" t="s">
        <v>2187</v>
      </c>
      <c r="E73" s="5" t="s">
        <v>1682</v>
      </c>
      <c r="F73" s="5" t="s">
        <v>2911</v>
      </c>
      <c r="G73" s="5" t="s">
        <v>2943</v>
      </c>
      <c r="H73" s="5" t="s">
        <v>2944</v>
      </c>
      <c r="I73" s="5" t="s">
        <v>2945</v>
      </c>
      <c r="J73" s="17" t="s">
        <v>162</v>
      </c>
      <c r="K73" s="17" t="s">
        <v>1477</v>
      </c>
      <c r="L73" s="5" t="s">
        <v>2946</v>
      </c>
      <c r="M73" s="6" t="s">
        <v>1493</v>
      </c>
      <c r="N73" s="6" t="s">
        <v>2167</v>
      </c>
      <c r="O73" s="6" t="s">
        <v>162</v>
      </c>
      <c r="P73" s="5" t="s">
        <v>2272</v>
      </c>
      <c r="Q73" s="18" t="s">
        <v>1482</v>
      </c>
      <c r="R73" s="5" t="s">
        <v>2947</v>
      </c>
      <c r="S73" s="6" t="s">
        <v>2345</v>
      </c>
      <c r="T73" s="5" t="s">
        <v>2346</v>
      </c>
      <c r="U73" s="6"/>
      <c r="V73" s="6" t="s">
        <v>2347</v>
      </c>
      <c r="W73" s="6" t="s">
        <v>1697</v>
      </c>
      <c r="X73" s="5" t="s">
        <v>228</v>
      </c>
      <c r="Y73" s="5" t="s">
        <v>2917</v>
      </c>
      <c r="Z73" s="5" t="str">
        <f t="shared" si="2"/>
        <v>High</v>
      </c>
      <c r="AA73" s="5" t="s">
        <v>1302</v>
      </c>
      <c r="AB73" s="6" t="s">
        <v>1355</v>
      </c>
      <c r="AC73" s="6" t="s">
        <v>135</v>
      </c>
      <c r="AD73" s="5" t="s">
        <v>2278</v>
      </c>
      <c r="AE73" s="5" t="s">
        <v>1720</v>
      </c>
      <c r="AF73" s="5" t="s">
        <v>1720</v>
      </c>
      <c r="AG73" s="5" t="s">
        <v>1720</v>
      </c>
      <c r="AH73" s="5" t="s">
        <v>1720</v>
      </c>
      <c r="AI73" s="6" t="str">
        <f t="shared" si="3"/>
        <v>No</v>
      </c>
      <c r="AJ73" s="6" t="s">
        <v>2298</v>
      </c>
      <c r="AK73" s="6" t="s">
        <v>162</v>
      </c>
      <c r="AL73" s="6">
        <f>MATCH(AA73,{"Low","Medium","High"},0)*MATCH(AB73,{"Low","Medium","High"},0)*INDEX({3,2,2,1,1},MATCH(X73,{"Core","Vertical extension","Differentiator","Future","Adjacent"},0))</f>
        <v>9</v>
      </c>
      <c r="AM73" s="5"/>
      <c r="AN73" s="5"/>
      <c r="AO73" s="5"/>
      <c r="AP73" s="5"/>
      <c r="AQ73" s="5"/>
      <c r="AR73" s="5"/>
      <c r="AS73" s="5"/>
      <c r="AT73" s="5"/>
      <c r="AU73" s="6" t="s">
        <v>2317</v>
      </c>
      <c r="AV73" s="6" t="s">
        <v>75</v>
      </c>
      <c r="AW73" s="6" t="s">
        <v>2784</v>
      </c>
      <c r="AX73" s="6" t="s">
        <v>2284</v>
      </c>
      <c r="AY73" s="6" t="s">
        <v>2285</v>
      </c>
      <c r="AZ73" s="6" t="s">
        <v>2948</v>
      </c>
      <c r="BA73" s="6"/>
      <c r="BB73" s="6"/>
      <c r="BC73" s="6" t="s">
        <v>127</v>
      </c>
      <c r="BD73" s="6" t="s">
        <v>127</v>
      </c>
      <c r="BE73" s="6"/>
      <c r="BF73" s="6"/>
      <c r="BG73" s="6"/>
      <c r="BH73" s="6"/>
    </row>
    <row r="74" spans="1:60" ht="32" customHeight="1" x14ac:dyDescent="0.35">
      <c r="A74" s="13" t="s">
        <v>1686</v>
      </c>
      <c r="B74" s="6" t="s">
        <v>2265</v>
      </c>
      <c r="C74" s="5" t="s">
        <v>1684</v>
      </c>
      <c r="D74" s="5" t="s">
        <v>2199</v>
      </c>
      <c r="E74" s="5" t="s">
        <v>1688</v>
      </c>
      <c r="F74" s="5" t="s">
        <v>2911</v>
      </c>
      <c r="G74" s="5" t="s">
        <v>2949</v>
      </c>
      <c r="H74" s="5" t="s">
        <v>2950</v>
      </c>
      <c r="I74" s="5" t="s">
        <v>2951</v>
      </c>
      <c r="J74" s="17" t="s">
        <v>162</v>
      </c>
      <c r="K74" s="17" t="s">
        <v>1477</v>
      </c>
      <c r="L74" s="5" t="s">
        <v>2952</v>
      </c>
      <c r="M74" s="6" t="s">
        <v>1493</v>
      </c>
      <c r="N74" s="6" t="s">
        <v>2167</v>
      </c>
      <c r="O74" s="6" t="s">
        <v>162</v>
      </c>
      <c r="P74" s="5" t="s">
        <v>2272</v>
      </c>
      <c r="Q74" s="18" t="s">
        <v>1482</v>
      </c>
      <c r="R74" s="5" t="s">
        <v>2701</v>
      </c>
      <c r="S74" s="6" t="s">
        <v>2416</v>
      </c>
      <c r="T74" s="5" t="s">
        <v>2417</v>
      </c>
      <c r="U74" s="6"/>
      <c r="V74" s="6" t="s">
        <v>2277</v>
      </c>
      <c r="W74" s="6" t="s">
        <v>1697</v>
      </c>
      <c r="X74" s="5" t="s">
        <v>228</v>
      </c>
      <c r="Y74" s="5" t="s">
        <v>2917</v>
      </c>
      <c r="Z74" s="5" t="str">
        <f t="shared" si="2"/>
        <v>Medium</v>
      </c>
      <c r="AA74" s="5" t="s">
        <v>1319</v>
      </c>
      <c r="AB74" s="6" t="s">
        <v>1355</v>
      </c>
      <c r="AC74" s="6" t="s">
        <v>135</v>
      </c>
      <c r="AD74" s="5" t="s">
        <v>2278</v>
      </c>
      <c r="AE74" s="5" t="s">
        <v>1720</v>
      </c>
      <c r="AF74" s="5" t="s">
        <v>1720</v>
      </c>
      <c r="AG74" s="5" t="s">
        <v>1720</v>
      </c>
      <c r="AH74" s="5" t="s">
        <v>1720</v>
      </c>
      <c r="AI74" s="6" t="str">
        <f t="shared" si="3"/>
        <v>No</v>
      </c>
      <c r="AJ74" s="6" t="s">
        <v>2298</v>
      </c>
      <c r="AK74" s="6" t="s">
        <v>162</v>
      </c>
      <c r="AL74" s="6">
        <f>MATCH(AA74,{"Low","Medium","High"},0)*MATCH(AB74,{"Low","Medium","High"},0)*INDEX({3,2,2,1,1},MATCH(X74,{"Core","Vertical extension","Differentiator","Future","Adjacent"},0))</f>
        <v>6</v>
      </c>
      <c r="AM74" s="5"/>
      <c r="AN74" s="5"/>
      <c r="AO74" s="5"/>
      <c r="AP74" s="5"/>
      <c r="AQ74" s="5"/>
      <c r="AR74" s="5"/>
      <c r="AS74" s="5"/>
      <c r="AT74" s="5"/>
      <c r="AU74" s="6" t="s">
        <v>2317</v>
      </c>
      <c r="AV74" s="6" t="s">
        <v>75</v>
      </c>
      <c r="AW74" s="6" t="s">
        <v>2784</v>
      </c>
      <c r="AX74" s="6" t="s">
        <v>2284</v>
      </c>
      <c r="AY74" s="6" t="s">
        <v>2285</v>
      </c>
      <c r="AZ74" s="6" t="s">
        <v>2953</v>
      </c>
      <c r="BA74" s="6" t="s">
        <v>2419</v>
      </c>
      <c r="BB74" s="6" t="s">
        <v>2420</v>
      </c>
      <c r="BC74" s="6" t="s">
        <v>127</v>
      </c>
      <c r="BD74" s="6" t="s">
        <v>127</v>
      </c>
      <c r="BE74" s="6"/>
      <c r="BF74" s="6"/>
      <c r="BG74" s="6"/>
      <c r="BH74" s="6"/>
    </row>
    <row r="75" spans="1:60" ht="32" customHeight="1" x14ac:dyDescent="0.35">
      <c r="A75" s="13" t="s">
        <v>2954</v>
      </c>
      <c r="B75" s="6" t="s">
        <v>2265</v>
      </c>
      <c r="C75" s="5" t="s">
        <v>1684</v>
      </c>
      <c r="D75" s="5" t="s">
        <v>2187</v>
      </c>
      <c r="E75" s="5" t="s">
        <v>2955</v>
      </c>
      <c r="F75" s="5" t="s">
        <v>2911</v>
      </c>
      <c r="G75" s="5" t="s">
        <v>2956</v>
      </c>
      <c r="H75" s="5" t="s">
        <v>2957</v>
      </c>
      <c r="I75" s="5" t="s">
        <v>2958</v>
      </c>
      <c r="J75" s="17" t="s">
        <v>162</v>
      </c>
      <c r="K75" s="17" t="s">
        <v>1477</v>
      </c>
      <c r="L75" s="5" t="s">
        <v>2959</v>
      </c>
      <c r="M75" s="6" t="s">
        <v>1493</v>
      </c>
      <c r="N75" s="6" t="s">
        <v>2167</v>
      </c>
      <c r="O75" s="6" t="s">
        <v>162</v>
      </c>
      <c r="P75" s="5" t="s">
        <v>2272</v>
      </c>
      <c r="Q75" s="17" t="s">
        <v>2273</v>
      </c>
      <c r="R75" s="5" t="s">
        <v>2960</v>
      </c>
      <c r="S75" s="6" t="s">
        <v>2345</v>
      </c>
      <c r="T75" s="5" t="s">
        <v>2346</v>
      </c>
      <c r="U75" s="6"/>
      <c r="V75" s="6" t="s">
        <v>2347</v>
      </c>
      <c r="W75" s="6" t="s">
        <v>1697</v>
      </c>
      <c r="X75" s="5" t="s">
        <v>228</v>
      </c>
      <c r="Y75" s="5" t="s">
        <v>2917</v>
      </c>
      <c r="Z75" s="5" t="str">
        <f t="shared" si="2"/>
        <v>High</v>
      </c>
      <c r="AA75" s="5" t="s">
        <v>1302</v>
      </c>
      <c r="AB75" s="6" t="s">
        <v>1355</v>
      </c>
      <c r="AC75" s="6" t="s">
        <v>135</v>
      </c>
      <c r="AD75" s="5" t="s">
        <v>2278</v>
      </c>
      <c r="AE75" s="5" t="s">
        <v>1720</v>
      </c>
      <c r="AF75" s="5" t="s">
        <v>1720</v>
      </c>
      <c r="AG75" s="5" t="s">
        <v>1720</v>
      </c>
      <c r="AH75" s="5" t="s">
        <v>1720</v>
      </c>
      <c r="AI75" s="6" t="str">
        <f t="shared" si="3"/>
        <v>No</v>
      </c>
      <c r="AJ75" s="6" t="s">
        <v>2298</v>
      </c>
      <c r="AK75" s="6" t="s">
        <v>162</v>
      </c>
      <c r="AL75" s="6">
        <f>MATCH(AA75,{"Low","Medium","High"},0)*MATCH(AB75,{"Low","Medium","High"},0)*INDEX({3,2,2,1,1},MATCH(X75,{"Core","Vertical extension","Differentiator","Future","Adjacent"},0))</f>
        <v>9</v>
      </c>
      <c r="AM75" s="5"/>
      <c r="AN75" s="5"/>
      <c r="AO75" s="5"/>
      <c r="AP75" s="5"/>
      <c r="AQ75" s="5"/>
      <c r="AR75" s="5"/>
      <c r="AS75" s="5"/>
      <c r="AT75" s="5"/>
      <c r="AU75" s="6" t="s">
        <v>2317</v>
      </c>
      <c r="AV75" s="6" t="s">
        <v>75</v>
      </c>
      <c r="AW75" s="6" t="s">
        <v>2784</v>
      </c>
      <c r="AX75" s="6" t="s">
        <v>2284</v>
      </c>
      <c r="AY75" s="6" t="s">
        <v>2285</v>
      </c>
      <c r="AZ75" s="6"/>
      <c r="BA75" s="6" t="s">
        <v>2961</v>
      </c>
      <c r="BB75" s="6" t="s">
        <v>2962</v>
      </c>
      <c r="BC75" s="6" t="s">
        <v>127</v>
      </c>
      <c r="BD75" s="6" t="s">
        <v>127</v>
      </c>
      <c r="BE75" s="6" t="s">
        <v>1477</v>
      </c>
      <c r="BF75" s="6" t="s">
        <v>2286</v>
      </c>
      <c r="BG75" s="6" t="s">
        <v>2963</v>
      </c>
      <c r="BH75" s="6" t="s">
        <v>2964</v>
      </c>
    </row>
    <row r="76" spans="1:60" ht="32" customHeight="1" x14ac:dyDescent="0.35">
      <c r="A76" s="13" t="s">
        <v>2965</v>
      </c>
      <c r="B76" s="6" t="s">
        <v>2265</v>
      </c>
      <c r="C76" s="5" t="s">
        <v>1684</v>
      </c>
      <c r="D76" s="5" t="s">
        <v>2187</v>
      </c>
      <c r="E76" s="5" t="s">
        <v>2966</v>
      </c>
      <c r="F76" s="5" t="s">
        <v>2911</v>
      </c>
      <c r="G76" s="5" t="s">
        <v>2813</v>
      </c>
      <c r="H76" s="5" t="s">
        <v>2967</v>
      </c>
      <c r="I76" s="5" t="s">
        <v>2968</v>
      </c>
      <c r="J76" s="17" t="s">
        <v>162</v>
      </c>
      <c r="K76" s="17" t="s">
        <v>1477</v>
      </c>
      <c r="L76" s="5" t="s">
        <v>2969</v>
      </c>
      <c r="M76" s="6" t="s">
        <v>1493</v>
      </c>
      <c r="N76" s="6" t="s">
        <v>2167</v>
      </c>
      <c r="O76" s="6" t="s">
        <v>162</v>
      </c>
      <c r="P76" s="5" t="s">
        <v>2272</v>
      </c>
      <c r="Q76" s="18" t="s">
        <v>1482</v>
      </c>
      <c r="R76" s="5" t="s">
        <v>2970</v>
      </c>
      <c r="S76" s="6" t="s">
        <v>2345</v>
      </c>
      <c r="T76" s="5" t="s">
        <v>2346</v>
      </c>
      <c r="U76" s="6"/>
      <c r="V76" s="6" t="s">
        <v>2347</v>
      </c>
      <c r="W76" s="6" t="s">
        <v>1697</v>
      </c>
      <c r="X76" s="5" t="s">
        <v>228</v>
      </c>
      <c r="Y76" s="5" t="s">
        <v>2917</v>
      </c>
      <c r="Z76" s="5" t="str">
        <f t="shared" si="2"/>
        <v>High</v>
      </c>
      <c r="AA76" s="5" t="s">
        <v>1302</v>
      </c>
      <c r="AB76" s="6" t="s">
        <v>1355</v>
      </c>
      <c r="AC76" s="6" t="s">
        <v>135</v>
      </c>
      <c r="AD76" s="5" t="s">
        <v>2278</v>
      </c>
      <c r="AE76" s="5" t="s">
        <v>1720</v>
      </c>
      <c r="AF76" s="5" t="s">
        <v>1720</v>
      </c>
      <c r="AG76" s="5" t="s">
        <v>1720</v>
      </c>
      <c r="AH76" s="5" t="s">
        <v>1720</v>
      </c>
      <c r="AI76" s="6" t="str">
        <f t="shared" si="3"/>
        <v>No</v>
      </c>
      <c r="AJ76" s="6" t="s">
        <v>2298</v>
      </c>
      <c r="AK76" s="6" t="s">
        <v>162</v>
      </c>
      <c r="AL76" s="6">
        <f>MATCH(AA76,{"Low","Medium","High"},0)*MATCH(AB76,{"Low","Medium","High"},0)*INDEX({3,2,2,1,1},MATCH(X76,{"Core","Vertical extension","Differentiator","Future","Adjacent"},0))</f>
        <v>9</v>
      </c>
      <c r="AM76" s="5"/>
      <c r="AN76" s="5"/>
      <c r="AO76" s="5"/>
      <c r="AP76" s="5"/>
      <c r="AQ76" s="5"/>
      <c r="AR76" s="5"/>
      <c r="AS76" s="5"/>
      <c r="AT76" s="5"/>
      <c r="AU76" s="6" t="s">
        <v>2317</v>
      </c>
      <c r="AV76" s="6" t="s">
        <v>75</v>
      </c>
      <c r="AW76" s="6" t="s">
        <v>2784</v>
      </c>
      <c r="AX76" s="6" t="s">
        <v>2284</v>
      </c>
      <c r="AY76" s="6" t="s">
        <v>2285</v>
      </c>
      <c r="AZ76" s="6"/>
      <c r="BA76" s="6" t="s">
        <v>2961</v>
      </c>
      <c r="BB76" s="6" t="s">
        <v>2962</v>
      </c>
      <c r="BC76" s="6" t="s">
        <v>127</v>
      </c>
      <c r="BD76" s="6" t="s">
        <v>127</v>
      </c>
      <c r="BE76" s="6"/>
      <c r="BF76" s="6"/>
      <c r="BG76" s="6"/>
      <c r="BH76" s="6"/>
    </row>
    <row r="77" spans="1:60" ht="32" customHeight="1" x14ac:dyDescent="0.35">
      <c r="A77" s="13" t="s">
        <v>2971</v>
      </c>
      <c r="B77" s="6" t="s">
        <v>2265</v>
      </c>
      <c r="C77" s="5" t="s">
        <v>1684</v>
      </c>
      <c r="D77" s="5" t="s">
        <v>2187</v>
      </c>
      <c r="E77" s="5" t="s">
        <v>2972</v>
      </c>
      <c r="F77" s="5" t="s">
        <v>2973</v>
      </c>
      <c r="G77" s="5" t="s">
        <v>2974</v>
      </c>
      <c r="H77" s="5" t="s">
        <v>2975</v>
      </c>
      <c r="I77" s="5" t="s">
        <v>2976</v>
      </c>
      <c r="J77" s="19" t="s">
        <v>204</v>
      </c>
      <c r="K77" s="17" t="s">
        <v>1477</v>
      </c>
      <c r="L77" s="5" t="s">
        <v>2977</v>
      </c>
      <c r="M77" s="6" t="s">
        <v>1493</v>
      </c>
      <c r="N77" s="6" t="s">
        <v>2167</v>
      </c>
      <c r="O77" s="6" t="s">
        <v>204</v>
      </c>
      <c r="P77" s="5" t="s">
        <v>2272</v>
      </c>
      <c r="Q77" s="17" t="s">
        <v>2273</v>
      </c>
      <c r="R77" s="5" t="s">
        <v>2978</v>
      </c>
      <c r="S77" s="6" t="s">
        <v>2345</v>
      </c>
      <c r="T77" s="5" t="s">
        <v>2346</v>
      </c>
      <c r="U77" s="6"/>
      <c r="V77" s="6" t="s">
        <v>2347</v>
      </c>
      <c r="W77" s="6" t="s">
        <v>1697</v>
      </c>
      <c r="X77" s="5" t="s">
        <v>228</v>
      </c>
      <c r="Y77" s="5" t="s">
        <v>2917</v>
      </c>
      <c r="Z77" s="5" t="str">
        <f t="shared" si="2"/>
        <v>High</v>
      </c>
      <c r="AA77" s="5" t="s">
        <v>1302</v>
      </c>
      <c r="AB77" s="6" t="s">
        <v>1355</v>
      </c>
      <c r="AC77" s="6" t="s">
        <v>32</v>
      </c>
      <c r="AD77" s="5" t="s">
        <v>2278</v>
      </c>
      <c r="AE77" s="5" t="s">
        <v>1720</v>
      </c>
      <c r="AF77" s="5" t="s">
        <v>1720</v>
      </c>
      <c r="AG77" s="5" t="s">
        <v>1720</v>
      </c>
      <c r="AH77" s="5" t="s">
        <v>1720</v>
      </c>
      <c r="AI77" s="6" t="str">
        <f t="shared" si="3"/>
        <v>No</v>
      </c>
      <c r="AJ77" s="6" t="s">
        <v>2298</v>
      </c>
      <c r="AK77" s="6" t="s">
        <v>204</v>
      </c>
      <c r="AL77" s="6">
        <f>MATCH(AA77,{"Low","Medium","High"},0)*MATCH(AB77,{"Low","Medium","High"},0)*INDEX({3,2,2,1,1},MATCH(X77,{"Core","Vertical extension","Differentiator","Future","Adjacent"},0))</f>
        <v>9</v>
      </c>
      <c r="AM77" s="5"/>
      <c r="AN77" s="5"/>
      <c r="AO77" s="5"/>
      <c r="AP77" s="5"/>
      <c r="AQ77" s="5"/>
      <c r="AR77" s="5"/>
      <c r="AS77" s="5"/>
      <c r="AT77" s="5"/>
      <c r="AU77" s="6" t="s">
        <v>2317</v>
      </c>
      <c r="AV77" s="6" t="s">
        <v>75</v>
      </c>
      <c r="AW77" s="6" t="s">
        <v>76</v>
      </c>
      <c r="AX77" s="6" t="s">
        <v>2284</v>
      </c>
      <c r="AY77" s="6" t="s">
        <v>2285</v>
      </c>
      <c r="AZ77" s="6"/>
      <c r="BA77" s="6"/>
      <c r="BB77" s="6"/>
      <c r="BC77" s="6" t="s">
        <v>127</v>
      </c>
      <c r="BD77" s="6" t="s">
        <v>127</v>
      </c>
      <c r="BE77" s="6" t="s">
        <v>1477</v>
      </c>
      <c r="BF77" s="6" t="s">
        <v>2286</v>
      </c>
      <c r="BG77" s="6" t="s">
        <v>2979</v>
      </c>
      <c r="BH77" s="6" t="s">
        <v>2980</v>
      </c>
    </row>
    <row r="78" spans="1:60" ht="32" customHeight="1" x14ac:dyDescent="0.35">
      <c r="A78" s="13" t="s">
        <v>2981</v>
      </c>
      <c r="B78" s="6" t="s">
        <v>2265</v>
      </c>
      <c r="C78" s="5" t="s">
        <v>1684</v>
      </c>
      <c r="D78" s="5" t="s">
        <v>2187</v>
      </c>
      <c r="E78" s="5" t="s">
        <v>2982</v>
      </c>
      <c r="F78" s="5" t="s">
        <v>2973</v>
      </c>
      <c r="G78" s="5" t="s">
        <v>2983</v>
      </c>
      <c r="H78" s="5" t="s">
        <v>2984</v>
      </c>
      <c r="I78" s="5" t="s">
        <v>2985</v>
      </c>
      <c r="J78" s="19" t="s">
        <v>204</v>
      </c>
      <c r="K78" s="17" t="s">
        <v>95</v>
      </c>
      <c r="L78" s="5" t="s">
        <v>2986</v>
      </c>
      <c r="M78" s="6" t="s">
        <v>1493</v>
      </c>
      <c r="N78" s="6" t="s">
        <v>2167</v>
      </c>
      <c r="O78" s="6" t="s">
        <v>204</v>
      </c>
      <c r="P78" s="5" t="s">
        <v>2272</v>
      </c>
      <c r="Q78" s="17" t="s">
        <v>95</v>
      </c>
      <c r="R78" s="5" t="s">
        <v>2987</v>
      </c>
      <c r="S78" s="6" t="s">
        <v>2345</v>
      </c>
      <c r="T78" s="5" t="s">
        <v>2346</v>
      </c>
      <c r="U78" s="6"/>
      <c r="V78" s="6" t="s">
        <v>2347</v>
      </c>
      <c r="W78" s="6" t="s">
        <v>1697</v>
      </c>
      <c r="X78" s="5" t="s">
        <v>228</v>
      </c>
      <c r="Y78" s="5" t="s">
        <v>2917</v>
      </c>
      <c r="Z78" s="5" t="str">
        <f t="shared" si="2"/>
        <v>High</v>
      </c>
      <c r="AA78" s="5" t="s">
        <v>1302</v>
      </c>
      <c r="AB78" s="6" t="s">
        <v>1355</v>
      </c>
      <c r="AC78" s="6" t="s">
        <v>32</v>
      </c>
      <c r="AD78" s="5" t="s">
        <v>95</v>
      </c>
      <c r="AE78" s="5" t="s">
        <v>1720</v>
      </c>
      <c r="AF78" s="5" t="s">
        <v>1720</v>
      </c>
      <c r="AG78" s="5" t="s">
        <v>1720</v>
      </c>
      <c r="AH78" s="5" t="s">
        <v>1720</v>
      </c>
      <c r="AI78" s="6" t="str">
        <f t="shared" si="3"/>
        <v>No</v>
      </c>
      <c r="AJ78" s="6" t="s">
        <v>229</v>
      </c>
      <c r="AK78" s="6" t="s">
        <v>204</v>
      </c>
      <c r="AL78" s="6">
        <f>MATCH(AA78,{"Low","Medium","High"},0)*MATCH(AB78,{"Low","Medium","High"},0)*INDEX({3,2,2,1,1},MATCH(X78,{"Core","Vertical extension","Differentiator","Future","Adjacent"},0))</f>
        <v>9</v>
      </c>
      <c r="AM78" s="5"/>
      <c r="AN78" s="5"/>
      <c r="AO78" s="5"/>
      <c r="AP78" s="5"/>
      <c r="AQ78" s="5"/>
      <c r="AR78" s="5"/>
      <c r="AS78" s="5"/>
      <c r="AT78" s="5"/>
      <c r="AU78" s="6" t="s">
        <v>2317</v>
      </c>
      <c r="AV78" s="6" t="s">
        <v>75</v>
      </c>
      <c r="AW78" s="6" t="s">
        <v>76</v>
      </c>
      <c r="AX78" s="6" t="s">
        <v>2284</v>
      </c>
      <c r="AY78" s="6" t="s">
        <v>2285</v>
      </c>
      <c r="AZ78" s="6"/>
      <c r="BA78" s="6"/>
      <c r="BB78" s="6"/>
      <c r="BC78" s="6" t="s">
        <v>127</v>
      </c>
      <c r="BD78" s="6" t="s">
        <v>127</v>
      </c>
      <c r="BE78" s="6" t="s">
        <v>1477</v>
      </c>
      <c r="BF78" s="6" t="s">
        <v>95</v>
      </c>
      <c r="BG78" s="6" t="s">
        <v>2988</v>
      </c>
      <c r="BH78" s="6" t="s">
        <v>2989</v>
      </c>
    </row>
    <row r="79" spans="1:60" ht="32" customHeight="1" x14ac:dyDescent="0.35">
      <c r="A79" s="13" t="s">
        <v>2990</v>
      </c>
      <c r="B79" s="6" t="s">
        <v>2265</v>
      </c>
      <c r="C79" s="5" t="s">
        <v>1684</v>
      </c>
      <c r="D79" s="5" t="s">
        <v>2187</v>
      </c>
      <c r="E79" s="5" t="s">
        <v>2991</v>
      </c>
      <c r="F79" s="5" t="s">
        <v>2911</v>
      </c>
      <c r="G79" s="5" t="s">
        <v>2835</v>
      </c>
      <c r="H79" s="5" t="s">
        <v>2992</v>
      </c>
      <c r="I79" s="5" t="s">
        <v>2993</v>
      </c>
      <c r="J79" s="17" t="s">
        <v>162</v>
      </c>
      <c r="K79" s="17" t="s">
        <v>1477</v>
      </c>
      <c r="L79" s="5" t="s">
        <v>2994</v>
      </c>
      <c r="M79" s="6" t="s">
        <v>1493</v>
      </c>
      <c r="N79" s="6" t="s">
        <v>2167</v>
      </c>
      <c r="O79" s="6" t="s">
        <v>162</v>
      </c>
      <c r="P79" s="5" t="s">
        <v>2272</v>
      </c>
      <c r="Q79" s="17" t="s">
        <v>2273</v>
      </c>
      <c r="R79" s="5" t="s">
        <v>2995</v>
      </c>
      <c r="S79" s="6" t="s">
        <v>2345</v>
      </c>
      <c r="T79" s="5" t="s">
        <v>2346</v>
      </c>
      <c r="U79" s="6"/>
      <c r="V79" s="6" t="s">
        <v>2347</v>
      </c>
      <c r="W79" s="6" t="s">
        <v>1697</v>
      </c>
      <c r="X79" s="5" t="s">
        <v>228</v>
      </c>
      <c r="Y79" s="5" t="s">
        <v>2917</v>
      </c>
      <c r="Z79" s="5" t="str">
        <f t="shared" si="2"/>
        <v>High</v>
      </c>
      <c r="AA79" s="5" t="s">
        <v>1302</v>
      </c>
      <c r="AB79" s="6" t="s">
        <v>1355</v>
      </c>
      <c r="AC79" s="6" t="s">
        <v>135</v>
      </c>
      <c r="AD79" s="5" t="s">
        <v>2278</v>
      </c>
      <c r="AE79" s="5" t="s">
        <v>1720</v>
      </c>
      <c r="AF79" s="5" t="s">
        <v>1720</v>
      </c>
      <c r="AG79" s="5" t="s">
        <v>1720</v>
      </c>
      <c r="AH79" s="5" t="s">
        <v>1720</v>
      </c>
      <c r="AI79" s="6" t="str">
        <f t="shared" si="3"/>
        <v>No</v>
      </c>
      <c r="AJ79" s="6" t="s">
        <v>2298</v>
      </c>
      <c r="AK79" s="6" t="s">
        <v>162</v>
      </c>
      <c r="AL79" s="6">
        <f>MATCH(AA79,{"Low","Medium","High"},0)*MATCH(AB79,{"Low","Medium","High"},0)*INDEX({3,2,2,1,1},MATCH(X79,{"Core","Vertical extension","Differentiator","Future","Adjacent"},0))</f>
        <v>9</v>
      </c>
      <c r="AM79" s="5"/>
      <c r="AN79" s="5"/>
      <c r="AO79" s="5"/>
      <c r="AP79" s="5"/>
      <c r="AQ79" s="5"/>
      <c r="AR79" s="5"/>
      <c r="AS79" s="5"/>
      <c r="AT79" s="5"/>
      <c r="AU79" s="6" t="s">
        <v>2317</v>
      </c>
      <c r="AV79" s="6" t="s">
        <v>75</v>
      </c>
      <c r="AW79" s="6" t="s">
        <v>2784</v>
      </c>
      <c r="AX79" s="6" t="s">
        <v>2284</v>
      </c>
      <c r="AY79" s="6" t="s">
        <v>2285</v>
      </c>
      <c r="AZ79" s="6"/>
      <c r="BA79" s="6"/>
      <c r="BB79" s="6"/>
      <c r="BC79" s="6" t="s">
        <v>127</v>
      </c>
      <c r="BD79" s="6" t="s">
        <v>127</v>
      </c>
      <c r="BE79" s="6" t="s">
        <v>1477</v>
      </c>
      <c r="BF79" s="6" t="s">
        <v>2286</v>
      </c>
      <c r="BG79" s="6" t="s">
        <v>2996</v>
      </c>
      <c r="BH79" s="6" t="s">
        <v>2997</v>
      </c>
    </row>
    <row r="80" spans="1:60" ht="32" customHeight="1" x14ac:dyDescent="0.35">
      <c r="A80" s="13" t="s">
        <v>2998</v>
      </c>
      <c r="B80" s="6" t="s">
        <v>2265</v>
      </c>
      <c r="C80" s="5" t="s">
        <v>2999</v>
      </c>
      <c r="D80" s="5" t="s">
        <v>2197</v>
      </c>
      <c r="E80" s="5" t="s">
        <v>3000</v>
      </c>
      <c r="F80" s="5" t="s">
        <v>3001</v>
      </c>
      <c r="G80" s="5" t="s">
        <v>3002</v>
      </c>
      <c r="H80" s="5" t="s">
        <v>3003</v>
      </c>
      <c r="I80" s="5" t="s">
        <v>3004</v>
      </c>
      <c r="J80" s="16" t="s">
        <v>94</v>
      </c>
      <c r="K80" s="17" t="s">
        <v>1477</v>
      </c>
      <c r="L80" s="5" t="s">
        <v>3005</v>
      </c>
      <c r="M80" s="6" t="s">
        <v>1493</v>
      </c>
      <c r="N80" s="6" t="s">
        <v>2167</v>
      </c>
      <c r="O80" s="6" t="s">
        <v>94</v>
      </c>
      <c r="P80" s="5" t="s">
        <v>2272</v>
      </c>
      <c r="Q80" s="17" t="s">
        <v>2273</v>
      </c>
      <c r="R80" s="5" t="s">
        <v>3006</v>
      </c>
      <c r="S80" s="6" t="s">
        <v>2861</v>
      </c>
      <c r="T80" s="5" t="s">
        <v>2862</v>
      </c>
      <c r="U80" s="6"/>
      <c r="V80" s="6" t="s">
        <v>2347</v>
      </c>
      <c r="W80" s="6" t="s">
        <v>1697</v>
      </c>
      <c r="X80" s="5" t="s">
        <v>228</v>
      </c>
      <c r="Y80" s="5" t="s">
        <v>2917</v>
      </c>
      <c r="Z80" s="5" t="str">
        <f t="shared" si="2"/>
        <v>High</v>
      </c>
      <c r="AA80" s="5" t="s">
        <v>1302</v>
      </c>
      <c r="AB80" s="6" t="s">
        <v>1355</v>
      </c>
      <c r="AC80" s="6" t="s">
        <v>99</v>
      </c>
      <c r="AD80" s="5" t="s">
        <v>2278</v>
      </c>
      <c r="AE80" s="5" t="s">
        <v>1720</v>
      </c>
      <c r="AF80" s="5" t="s">
        <v>1720</v>
      </c>
      <c r="AG80" s="5" t="s">
        <v>1720</v>
      </c>
      <c r="AH80" s="5" t="s">
        <v>1720</v>
      </c>
      <c r="AI80" s="6" t="str">
        <f t="shared" si="3"/>
        <v>No</v>
      </c>
      <c r="AJ80" s="6" t="s">
        <v>2298</v>
      </c>
      <c r="AK80" s="6" t="s">
        <v>94</v>
      </c>
      <c r="AL80" s="6">
        <f>MATCH(AA80,{"Low","Medium","High"},0)*MATCH(AB80,{"Low","Medium","High"},0)*INDEX({3,2,2,1,1},MATCH(X80,{"Core","Vertical extension","Differentiator","Future","Adjacent"},0))</f>
        <v>9</v>
      </c>
      <c r="AM80" s="5"/>
      <c r="AN80" s="5"/>
      <c r="AO80" s="5"/>
      <c r="AP80" s="5"/>
      <c r="AQ80" s="5"/>
      <c r="AR80" s="5" t="s">
        <v>3007</v>
      </c>
      <c r="AS80" s="5" t="s">
        <v>1462</v>
      </c>
      <c r="AT80" s="5" t="s">
        <v>2281</v>
      </c>
      <c r="AU80" s="6" t="s">
        <v>95</v>
      </c>
      <c r="AV80" s="6" t="s">
        <v>75</v>
      </c>
      <c r="AW80" s="6" t="s">
        <v>2813</v>
      </c>
      <c r="AX80" s="6" t="s">
        <v>2284</v>
      </c>
      <c r="AY80" s="6" t="s">
        <v>2285</v>
      </c>
      <c r="AZ80" s="6"/>
      <c r="BA80" s="6" t="s">
        <v>2348</v>
      </c>
      <c r="BB80" s="6" t="s">
        <v>2349</v>
      </c>
      <c r="BC80" s="6" t="s">
        <v>127</v>
      </c>
      <c r="BD80" s="6" t="s">
        <v>127</v>
      </c>
      <c r="BE80" s="6" t="s">
        <v>1477</v>
      </c>
      <c r="BF80" s="6" t="s">
        <v>2286</v>
      </c>
      <c r="BG80" s="6" t="s">
        <v>3008</v>
      </c>
      <c r="BH80" s="6" t="s">
        <v>3009</v>
      </c>
    </row>
    <row r="81" spans="1:60" ht="32" customHeight="1" x14ac:dyDescent="0.35">
      <c r="A81" s="13" t="s">
        <v>3010</v>
      </c>
      <c r="B81" s="6" t="s">
        <v>2265</v>
      </c>
      <c r="C81" s="5" t="s">
        <v>2999</v>
      </c>
      <c r="D81" s="5" t="s">
        <v>2197</v>
      </c>
      <c r="E81" s="5" t="s">
        <v>3011</v>
      </c>
      <c r="F81" s="5" t="s">
        <v>3012</v>
      </c>
      <c r="G81" s="5" t="s">
        <v>3013</v>
      </c>
      <c r="H81" s="5" t="s">
        <v>3014</v>
      </c>
      <c r="I81" s="5" t="s">
        <v>3015</v>
      </c>
      <c r="J81" s="17" t="s">
        <v>162</v>
      </c>
      <c r="K81" s="17" t="s">
        <v>1477</v>
      </c>
      <c r="L81" s="5" t="s">
        <v>3016</v>
      </c>
      <c r="M81" s="6" t="s">
        <v>1493</v>
      </c>
      <c r="N81" s="6" t="s">
        <v>2167</v>
      </c>
      <c r="O81" s="6" t="s">
        <v>162</v>
      </c>
      <c r="P81" s="5" t="s">
        <v>2272</v>
      </c>
      <c r="Q81" s="17" t="s">
        <v>2273</v>
      </c>
      <c r="R81" s="5" t="s">
        <v>3017</v>
      </c>
      <c r="S81" s="6" t="s">
        <v>2861</v>
      </c>
      <c r="T81" s="5" t="s">
        <v>2862</v>
      </c>
      <c r="U81" s="6"/>
      <c r="V81" s="6" t="s">
        <v>2347</v>
      </c>
      <c r="W81" s="6" t="s">
        <v>1697</v>
      </c>
      <c r="X81" s="5" t="s">
        <v>228</v>
      </c>
      <c r="Y81" s="5" t="s">
        <v>2917</v>
      </c>
      <c r="Z81" s="5" t="str">
        <f t="shared" si="2"/>
        <v>Medium</v>
      </c>
      <c r="AA81" s="5" t="s">
        <v>1319</v>
      </c>
      <c r="AB81" s="6" t="s">
        <v>1355</v>
      </c>
      <c r="AC81" s="6" t="s">
        <v>135</v>
      </c>
      <c r="AD81" s="5" t="s">
        <v>2278</v>
      </c>
      <c r="AE81" s="5" t="s">
        <v>1720</v>
      </c>
      <c r="AF81" s="5" t="s">
        <v>1720</v>
      </c>
      <c r="AG81" s="5" t="s">
        <v>1720</v>
      </c>
      <c r="AH81" s="5" t="s">
        <v>1720</v>
      </c>
      <c r="AI81" s="6" t="str">
        <f t="shared" si="3"/>
        <v>No</v>
      </c>
      <c r="AJ81" s="6" t="s">
        <v>2298</v>
      </c>
      <c r="AK81" s="6" t="s">
        <v>162</v>
      </c>
      <c r="AL81" s="6">
        <f>MATCH(AA81,{"Low","Medium","High"},0)*MATCH(AB81,{"Low","Medium","High"},0)*INDEX({3,2,2,1,1},MATCH(X81,{"Core","Vertical extension","Differentiator","Future","Adjacent"},0))</f>
        <v>6</v>
      </c>
      <c r="AM81" s="5"/>
      <c r="AN81" s="5"/>
      <c r="AO81" s="5"/>
      <c r="AP81" s="5"/>
      <c r="AQ81" s="5"/>
      <c r="AR81" s="5"/>
      <c r="AS81" s="5"/>
      <c r="AT81" s="5"/>
      <c r="AU81" s="6" t="s">
        <v>2317</v>
      </c>
      <c r="AV81" s="6" t="s">
        <v>75</v>
      </c>
      <c r="AW81" s="6" t="s">
        <v>75</v>
      </c>
      <c r="AX81" s="6" t="s">
        <v>2284</v>
      </c>
      <c r="AY81" s="6" t="s">
        <v>2285</v>
      </c>
      <c r="AZ81" s="6"/>
      <c r="BA81" s="6" t="s">
        <v>2348</v>
      </c>
      <c r="BB81" s="6" t="s">
        <v>2349</v>
      </c>
      <c r="BC81" s="6" t="s">
        <v>127</v>
      </c>
      <c r="BD81" s="6" t="s">
        <v>127</v>
      </c>
      <c r="BE81" s="6" t="s">
        <v>1477</v>
      </c>
      <c r="BF81" s="6" t="s">
        <v>2286</v>
      </c>
      <c r="BG81" s="6" t="s">
        <v>3018</v>
      </c>
      <c r="BH81" s="6" t="s">
        <v>3019</v>
      </c>
    </row>
    <row r="82" spans="1:60" ht="32" customHeight="1" x14ac:dyDescent="0.35">
      <c r="A82" s="13" t="s">
        <v>240</v>
      </c>
      <c r="B82" s="6" t="s">
        <v>2265</v>
      </c>
      <c r="C82" s="5" t="s">
        <v>2999</v>
      </c>
      <c r="D82" s="5" t="s">
        <v>2197</v>
      </c>
      <c r="E82" s="5" t="s">
        <v>241</v>
      </c>
      <c r="F82" s="5" t="s">
        <v>2855</v>
      </c>
      <c r="G82" s="5" t="s">
        <v>3020</v>
      </c>
      <c r="H82" s="5" t="s">
        <v>3021</v>
      </c>
      <c r="I82" s="5" t="s">
        <v>3022</v>
      </c>
      <c r="J82" s="16" t="s">
        <v>94</v>
      </c>
      <c r="K82" s="17" t="s">
        <v>95</v>
      </c>
      <c r="L82" s="5" t="s">
        <v>3023</v>
      </c>
      <c r="M82" s="6" t="s">
        <v>1493</v>
      </c>
      <c r="N82" s="6" t="s">
        <v>2167</v>
      </c>
      <c r="O82" s="6" t="s">
        <v>94</v>
      </c>
      <c r="P82" s="5" t="s">
        <v>2272</v>
      </c>
      <c r="Q82" s="17" t="s">
        <v>95</v>
      </c>
      <c r="R82" s="5" t="s">
        <v>3024</v>
      </c>
      <c r="S82" s="6" t="s">
        <v>2861</v>
      </c>
      <c r="T82" s="5" t="s">
        <v>2862</v>
      </c>
      <c r="U82" s="6"/>
      <c r="V82" s="6" t="s">
        <v>2347</v>
      </c>
      <c r="W82" s="6" t="s">
        <v>1697</v>
      </c>
      <c r="X82" s="5" t="s">
        <v>228</v>
      </c>
      <c r="Y82" s="5" t="s">
        <v>2917</v>
      </c>
      <c r="Z82" s="5" t="str">
        <f t="shared" si="2"/>
        <v>High</v>
      </c>
      <c r="AA82" s="5" t="s">
        <v>1302</v>
      </c>
      <c r="AB82" s="6" t="s">
        <v>1355</v>
      </c>
      <c r="AC82" s="6" t="s">
        <v>135</v>
      </c>
      <c r="AD82" s="5" t="s">
        <v>95</v>
      </c>
      <c r="AE82" s="5" t="s">
        <v>1720</v>
      </c>
      <c r="AF82" s="5" t="s">
        <v>1720</v>
      </c>
      <c r="AG82" s="5" t="s">
        <v>1720</v>
      </c>
      <c r="AH82" s="5" t="s">
        <v>1720</v>
      </c>
      <c r="AI82" s="6" t="str">
        <f t="shared" si="3"/>
        <v>No</v>
      </c>
      <c r="AJ82" s="6" t="s">
        <v>2279</v>
      </c>
      <c r="AK82" s="6" t="s">
        <v>94</v>
      </c>
      <c r="AL82" s="6">
        <f>MATCH(AA82,{"Low","Medium","High"},0)*MATCH(AB82,{"Low","Medium","High"},0)*INDEX({3,2,2,1,1},MATCH(X82,{"Core","Vertical extension","Differentiator","Future","Adjacent"},0))</f>
        <v>9</v>
      </c>
      <c r="AM82" s="5"/>
      <c r="AN82" s="5"/>
      <c r="AO82" s="5">
        <v>6</v>
      </c>
      <c r="AP82" s="5"/>
      <c r="AQ82" s="5"/>
      <c r="AR82" s="5" t="s">
        <v>3025</v>
      </c>
      <c r="AS82" s="51">
        <v>46300</v>
      </c>
      <c r="AT82" s="5" t="s">
        <v>2760</v>
      </c>
      <c r="AU82" s="6" t="s">
        <v>2282</v>
      </c>
      <c r="AV82" s="6" t="s">
        <v>75</v>
      </c>
      <c r="AW82" s="6" t="s">
        <v>2794</v>
      </c>
      <c r="AX82" s="6" t="s">
        <v>2284</v>
      </c>
      <c r="AY82" s="6" t="s">
        <v>2285</v>
      </c>
      <c r="AZ82" s="6"/>
      <c r="BA82" s="6" t="s">
        <v>3026</v>
      </c>
      <c r="BB82" s="6" t="s">
        <v>2864</v>
      </c>
      <c r="BC82" s="6" t="s">
        <v>127</v>
      </c>
      <c r="BD82" s="6" t="s">
        <v>127</v>
      </c>
      <c r="BE82" s="6" t="s">
        <v>1477</v>
      </c>
      <c r="BF82" s="6" t="s">
        <v>95</v>
      </c>
      <c r="BG82" s="6" t="s">
        <v>3027</v>
      </c>
      <c r="BH82" s="6" t="s">
        <v>242</v>
      </c>
    </row>
    <row r="83" spans="1:60" ht="32" customHeight="1" x14ac:dyDescent="0.35">
      <c r="A83" s="13" t="s">
        <v>3028</v>
      </c>
      <c r="B83" s="6" t="s">
        <v>2265</v>
      </c>
      <c r="C83" s="5" t="s">
        <v>2999</v>
      </c>
      <c r="D83" s="5" t="s">
        <v>2197</v>
      </c>
      <c r="E83" s="5" t="s">
        <v>3029</v>
      </c>
      <c r="F83" s="5" t="s">
        <v>3030</v>
      </c>
      <c r="G83" s="5" t="s">
        <v>2778</v>
      </c>
      <c r="H83" s="5" t="s">
        <v>3031</v>
      </c>
      <c r="I83" s="5" t="s">
        <v>3032</v>
      </c>
      <c r="J83" s="17" t="s">
        <v>162</v>
      </c>
      <c r="K83" s="17" t="s">
        <v>1477</v>
      </c>
      <c r="L83" s="5" t="s">
        <v>3033</v>
      </c>
      <c r="M83" s="6" t="s">
        <v>1493</v>
      </c>
      <c r="N83" s="6" t="s">
        <v>2167</v>
      </c>
      <c r="O83" s="6" t="s">
        <v>162</v>
      </c>
      <c r="P83" s="5" t="s">
        <v>2272</v>
      </c>
      <c r="Q83" s="18" t="s">
        <v>1482</v>
      </c>
      <c r="R83" s="5" t="s">
        <v>2783</v>
      </c>
      <c r="S83" s="6" t="s">
        <v>2861</v>
      </c>
      <c r="T83" s="5" t="s">
        <v>2862</v>
      </c>
      <c r="U83" s="6"/>
      <c r="V83" s="6" t="s">
        <v>2347</v>
      </c>
      <c r="W83" s="6" t="s">
        <v>1697</v>
      </c>
      <c r="X83" s="5" t="s">
        <v>228</v>
      </c>
      <c r="Y83" s="5" t="s">
        <v>2917</v>
      </c>
      <c r="Z83" s="5" t="str">
        <f t="shared" si="2"/>
        <v>Medium</v>
      </c>
      <c r="AA83" s="5" t="s">
        <v>1319</v>
      </c>
      <c r="AB83" s="6" t="s">
        <v>1355</v>
      </c>
      <c r="AC83" s="6" t="s">
        <v>135</v>
      </c>
      <c r="AD83" s="5" t="s">
        <v>2278</v>
      </c>
      <c r="AE83" s="5" t="s">
        <v>1720</v>
      </c>
      <c r="AF83" s="5" t="s">
        <v>1720</v>
      </c>
      <c r="AG83" s="5" t="s">
        <v>1720</v>
      </c>
      <c r="AH83" s="5" t="s">
        <v>1720</v>
      </c>
      <c r="AI83" s="6" t="str">
        <f t="shared" si="3"/>
        <v>No</v>
      </c>
      <c r="AJ83" s="6" t="s">
        <v>2298</v>
      </c>
      <c r="AK83" s="6" t="s">
        <v>162</v>
      </c>
      <c r="AL83" s="6">
        <f>MATCH(AA83,{"Low","Medium","High"},0)*MATCH(AB83,{"Low","Medium","High"},0)*INDEX({3,2,2,1,1},MATCH(X83,{"Core","Vertical extension","Differentiator","Future","Adjacent"},0))</f>
        <v>6</v>
      </c>
      <c r="AM83" s="5"/>
      <c r="AN83" s="5"/>
      <c r="AO83" s="5"/>
      <c r="AP83" s="5"/>
      <c r="AQ83" s="5"/>
      <c r="AR83" s="5"/>
      <c r="AS83" s="5"/>
      <c r="AT83" s="5"/>
      <c r="AU83" s="6" t="s">
        <v>2317</v>
      </c>
      <c r="AV83" s="6" t="s">
        <v>75</v>
      </c>
      <c r="AW83" s="6" t="s">
        <v>2804</v>
      </c>
      <c r="AX83" s="6" t="s">
        <v>2284</v>
      </c>
      <c r="AY83" s="6" t="s">
        <v>2285</v>
      </c>
      <c r="AZ83" s="6"/>
      <c r="BA83" s="6" t="s">
        <v>2772</v>
      </c>
      <c r="BB83" s="6" t="s">
        <v>2773</v>
      </c>
      <c r="BC83" s="6" t="s">
        <v>127</v>
      </c>
      <c r="BD83" s="6" t="s">
        <v>127</v>
      </c>
      <c r="BE83" s="6"/>
      <c r="BF83" s="6"/>
      <c r="BG83" s="6"/>
      <c r="BH83" s="6"/>
    </row>
    <row r="84" spans="1:60" ht="32" customHeight="1" x14ac:dyDescent="0.35">
      <c r="A84" s="13" t="s">
        <v>3034</v>
      </c>
      <c r="B84" s="6" t="s">
        <v>2265</v>
      </c>
      <c r="C84" s="5" t="s">
        <v>2999</v>
      </c>
      <c r="D84" s="5" t="s">
        <v>2197</v>
      </c>
      <c r="E84" s="5" t="s">
        <v>3035</v>
      </c>
      <c r="F84" s="5" t="s">
        <v>3036</v>
      </c>
      <c r="G84" s="5" t="s">
        <v>3037</v>
      </c>
      <c r="H84" s="5" t="s">
        <v>3038</v>
      </c>
      <c r="I84" s="5" t="s">
        <v>3039</v>
      </c>
      <c r="J84" s="17" t="s">
        <v>162</v>
      </c>
      <c r="K84" s="17" t="s">
        <v>1477</v>
      </c>
      <c r="L84" s="5" t="s">
        <v>3040</v>
      </c>
      <c r="M84" s="6" t="s">
        <v>1493</v>
      </c>
      <c r="N84" s="6" t="s">
        <v>2167</v>
      </c>
      <c r="O84" s="6" t="s">
        <v>162</v>
      </c>
      <c r="P84" s="5" t="s">
        <v>2272</v>
      </c>
      <c r="Q84" s="18" t="s">
        <v>1482</v>
      </c>
      <c r="R84" s="5" t="s">
        <v>2860</v>
      </c>
      <c r="S84" s="6" t="s">
        <v>2861</v>
      </c>
      <c r="T84" s="5" t="s">
        <v>2862</v>
      </c>
      <c r="U84" s="6"/>
      <c r="V84" s="6" t="s">
        <v>2347</v>
      </c>
      <c r="W84" s="6" t="s">
        <v>1697</v>
      </c>
      <c r="X84" s="5" t="s">
        <v>228</v>
      </c>
      <c r="Y84" s="5" t="s">
        <v>2917</v>
      </c>
      <c r="Z84" s="5" t="str">
        <f t="shared" si="2"/>
        <v>Medium</v>
      </c>
      <c r="AA84" s="5" t="s">
        <v>1319</v>
      </c>
      <c r="AB84" s="6" t="s">
        <v>1355</v>
      </c>
      <c r="AC84" s="6" t="s">
        <v>135</v>
      </c>
      <c r="AD84" s="5" t="s">
        <v>2278</v>
      </c>
      <c r="AE84" s="5" t="s">
        <v>1720</v>
      </c>
      <c r="AF84" s="5" t="s">
        <v>1720</v>
      </c>
      <c r="AG84" s="5" t="s">
        <v>1720</v>
      </c>
      <c r="AH84" s="5" t="s">
        <v>1720</v>
      </c>
      <c r="AI84" s="6" t="str">
        <f t="shared" si="3"/>
        <v>No</v>
      </c>
      <c r="AJ84" s="6" t="s">
        <v>2298</v>
      </c>
      <c r="AK84" s="6" t="s">
        <v>162</v>
      </c>
      <c r="AL84" s="6">
        <f>MATCH(AA84,{"Low","Medium","High"},0)*MATCH(AB84,{"Low","Medium","High"},0)*INDEX({3,2,2,1,1},MATCH(X84,{"Core","Vertical extension","Differentiator","Future","Adjacent"},0))</f>
        <v>6</v>
      </c>
      <c r="AM84" s="5"/>
      <c r="AN84" s="5"/>
      <c r="AO84" s="5"/>
      <c r="AP84" s="5"/>
      <c r="AQ84" s="5"/>
      <c r="AR84" s="5"/>
      <c r="AS84" s="5"/>
      <c r="AT84" s="5"/>
      <c r="AU84" s="6" t="s">
        <v>2317</v>
      </c>
      <c r="AV84" s="6" t="s">
        <v>75</v>
      </c>
      <c r="AW84" s="6" t="s">
        <v>2794</v>
      </c>
      <c r="AX84" s="6" t="s">
        <v>2284</v>
      </c>
      <c r="AY84" s="6" t="s">
        <v>2285</v>
      </c>
      <c r="AZ84" s="6"/>
      <c r="BA84" s="6" t="s">
        <v>2863</v>
      </c>
      <c r="BB84" s="6" t="s">
        <v>2864</v>
      </c>
      <c r="BC84" s="6" t="s">
        <v>127</v>
      </c>
      <c r="BD84" s="6" t="s">
        <v>127</v>
      </c>
      <c r="BE84" s="6"/>
      <c r="BF84" s="6"/>
      <c r="BG84" s="6"/>
      <c r="BH84" s="6"/>
    </row>
    <row r="85" spans="1:60" ht="32" customHeight="1" x14ac:dyDescent="0.35">
      <c r="A85" s="13" t="s">
        <v>3041</v>
      </c>
      <c r="B85" s="6" t="s">
        <v>2265</v>
      </c>
      <c r="C85" s="5" t="s">
        <v>2999</v>
      </c>
      <c r="D85" s="5" t="s">
        <v>2189</v>
      </c>
      <c r="E85" s="5" t="s">
        <v>3042</v>
      </c>
      <c r="F85" s="5" t="s">
        <v>3043</v>
      </c>
      <c r="G85" s="5" t="s">
        <v>3044</v>
      </c>
      <c r="H85" s="5" t="s">
        <v>3045</v>
      </c>
      <c r="I85" s="5" t="s">
        <v>3046</v>
      </c>
      <c r="J85" s="19" t="s">
        <v>204</v>
      </c>
      <c r="K85" s="17" t="s">
        <v>95</v>
      </c>
      <c r="L85" s="5" t="s">
        <v>3047</v>
      </c>
      <c r="M85" s="6" t="s">
        <v>1493</v>
      </c>
      <c r="N85" s="6" t="s">
        <v>2167</v>
      </c>
      <c r="O85" s="6" t="s">
        <v>204</v>
      </c>
      <c r="P85" s="5" t="s">
        <v>2524</v>
      </c>
      <c r="Q85" s="17" t="s">
        <v>95</v>
      </c>
      <c r="R85" s="5" t="s">
        <v>3048</v>
      </c>
      <c r="S85" s="6" t="s">
        <v>2325</v>
      </c>
      <c r="T85" s="5" t="s">
        <v>2326</v>
      </c>
      <c r="U85" s="6"/>
      <c r="V85" s="6" t="s">
        <v>2327</v>
      </c>
      <c r="W85" s="6" t="s">
        <v>1699</v>
      </c>
      <c r="X85" s="5" t="s">
        <v>228</v>
      </c>
      <c r="Y85" s="5" t="s">
        <v>2917</v>
      </c>
      <c r="Z85" s="5" t="str">
        <f t="shared" si="2"/>
        <v>Medium</v>
      </c>
      <c r="AA85" s="5" t="s">
        <v>1319</v>
      </c>
      <c r="AB85" s="6" t="s">
        <v>1355</v>
      </c>
      <c r="AC85" s="6" t="s">
        <v>32</v>
      </c>
      <c r="AD85" s="5" t="s">
        <v>95</v>
      </c>
      <c r="AE85" s="5" t="s">
        <v>1720</v>
      </c>
      <c r="AF85" s="5" t="s">
        <v>1720</v>
      </c>
      <c r="AG85" s="5" t="s">
        <v>1720</v>
      </c>
      <c r="AH85" s="5" t="s">
        <v>1720</v>
      </c>
      <c r="AI85" s="6" t="str">
        <f t="shared" si="3"/>
        <v>No</v>
      </c>
      <c r="AJ85" s="6" t="s">
        <v>229</v>
      </c>
      <c r="AK85" s="6" t="s">
        <v>204</v>
      </c>
      <c r="AL85" s="6">
        <f>MATCH(AA85,{"Low","Medium","High"},0)*MATCH(AB85,{"Low","Medium","High"},0)*INDEX({3,2,2,1,1},MATCH(X85,{"Core","Vertical extension","Differentiator","Future","Adjacent"},0))</f>
        <v>6</v>
      </c>
      <c r="AM85" s="5"/>
      <c r="AN85" s="5"/>
      <c r="AO85" s="5"/>
      <c r="AP85" s="5"/>
      <c r="AQ85" s="5"/>
      <c r="AR85" s="5"/>
      <c r="AS85" s="5"/>
      <c r="AT85" s="5"/>
      <c r="AU85" s="6" t="s">
        <v>2317</v>
      </c>
      <c r="AV85" s="6" t="s">
        <v>75</v>
      </c>
      <c r="AW85" s="6" t="s">
        <v>2813</v>
      </c>
      <c r="AX85" s="6" t="s">
        <v>2374</v>
      </c>
      <c r="AY85" s="6" t="s">
        <v>2285</v>
      </c>
      <c r="AZ85" s="6"/>
      <c r="BA85" s="6"/>
      <c r="BB85" s="6"/>
      <c r="BC85" s="6" t="s">
        <v>127</v>
      </c>
      <c r="BD85" s="6" t="s">
        <v>127</v>
      </c>
      <c r="BE85" s="6" t="s">
        <v>1477</v>
      </c>
      <c r="BF85" s="6" t="s">
        <v>95</v>
      </c>
      <c r="BG85" s="6" t="s">
        <v>3049</v>
      </c>
      <c r="BH85" s="6" t="s">
        <v>3050</v>
      </c>
    </row>
    <row r="86" spans="1:60" ht="32" customHeight="1" x14ac:dyDescent="0.35">
      <c r="A86" s="13" t="s">
        <v>3051</v>
      </c>
      <c r="B86" s="6" t="s">
        <v>2265</v>
      </c>
      <c r="C86" s="5" t="s">
        <v>2999</v>
      </c>
      <c r="D86" s="5" t="s">
        <v>2189</v>
      </c>
      <c r="E86" s="5" t="s">
        <v>3052</v>
      </c>
      <c r="F86" s="5" t="s">
        <v>3043</v>
      </c>
      <c r="G86" s="5" t="s">
        <v>1824</v>
      </c>
      <c r="H86" s="5" t="s">
        <v>3053</v>
      </c>
      <c r="I86" s="5" t="s">
        <v>3054</v>
      </c>
      <c r="J86" s="19" t="s">
        <v>204</v>
      </c>
      <c r="K86" s="17" t="s">
        <v>163</v>
      </c>
      <c r="L86" s="5" t="s">
        <v>3055</v>
      </c>
      <c r="M86" s="6" t="s">
        <v>1493</v>
      </c>
      <c r="N86" s="6" t="s">
        <v>2167</v>
      </c>
      <c r="O86" s="6" t="s">
        <v>204</v>
      </c>
      <c r="P86" s="5" t="s">
        <v>2524</v>
      </c>
      <c r="Q86" s="17" t="s">
        <v>163</v>
      </c>
      <c r="R86" s="5" t="s">
        <v>3056</v>
      </c>
      <c r="S86" s="6" t="s">
        <v>2325</v>
      </c>
      <c r="T86" s="5" t="s">
        <v>2326</v>
      </c>
      <c r="U86" s="6"/>
      <c r="V86" s="6" t="s">
        <v>2327</v>
      </c>
      <c r="W86" s="6" t="s">
        <v>1699</v>
      </c>
      <c r="X86" s="5" t="s">
        <v>228</v>
      </c>
      <c r="Y86" s="5" t="s">
        <v>2917</v>
      </c>
      <c r="Z86" s="5" t="str">
        <f t="shared" si="2"/>
        <v>Medium</v>
      </c>
      <c r="AA86" s="5" t="s">
        <v>1319</v>
      </c>
      <c r="AB86" s="6" t="s">
        <v>1355</v>
      </c>
      <c r="AC86" s="6" t="s">
        <v>32</v>
      </c>
      <c r="AD86" s="5" t="s">
        <v>1805</v>
      </c>
      <c r="AE86" s="5" t="s">
        <v>1720</v>
      </c>
      <c r="AF86" s="5" t="s">
        <v>1720</v>
      </c>
      <c r="AG86" s="5" t="s">
        <v>1720</v>
      </c>
      <c r="AH86" s="5" t="s">
        <v>1720</v>
      </c>
      <c r="AI86" s="6" t="str">
        <f t="shared" si="3"/>
        <v>No</v>
      </c>
      <c r="AJ86" s="6" t="s">
        <v>287</v>
      </c>
      <c r="AK86" s="6" t="s">
        <v>204</v>
      </c>
      <c r="AL86" s="6">
        <f>MATCH(AA86,{"Low","Medium","High"},0)*MATCH(AB86,{"Low","Medium","High"},0)*INDEX({3,2,2,1,1},MATCH(X86,{"Core","Vertical extension","Differentiator","Future","Adjacent"},0))</f>
        <v>6</v>
      </c>
      <c r="AM86" s="5"/>
      <c r="AN86" s="5"/>
      <c r="AO86" s="5"/>
      <c r="AP86" s="5"/>
      <c r="AQ86" s="5"/>
      <c r="AR86" s="5"/>
      <c r="AS86" s="5"/>
      <c r="AT86" s="5"/>
      <c r="AU86" s="6" t="s">
        <v>2317</v>
      </c>
      <c r="AV86" s="6" t="s">
        <v>75</v>
      </c>
      <c r="AW86" s="6" t="s">
        <v>2813</v>
      </c>
      <c r="AX86" s="6" t="s">
        <v>2374</v>
      </c>
      <c r="AY86" s="6" t="s">
        <v>2285</v>
      </c>
      <c r="AZ86" s="6"/>
      <c r="BA86" s="6"/>
      <c r="BB86" s="6"/>
      <c r="BC86" s="6" t="s">
        <v>127</v>
      </c>
      <c r="BD86" s="6" t="s">
        <v>127</v>
      </c>
      <c r="BE86" s="6" t="s">
        <v>1477</v>
      </c>
      <c r="BF86" s="6" t="s">
        <v>288</v>
      </c>
      <c r="BG86" s="6" t="s">
        <v>3057</v>
      </c>
      <c r="BH86" s="6" t="s">
        <v>3058</v>
      </c>
    </row>
    <row r="87" spans="1:60" ht="32" customHeight="1" x14ac:dyDescent="0.35">
      <c r="A87" s="13" t="s">
        <v>3059</v>
      </c>
      <c r="B87" s="6" t="s">
        <v>2265</v>
      </c>
      <c r="C87" s="5" t="s">
        <v>2999</v>
      </c>
      <c r="D87" s="5" t="s">
        <v>2197</v>
      </c>
      <c r="E87" s="5" t="s">
        <v>3060</v>
      </c>
      <c r="F87" s="5" t="s">
        <v>2855</v>
      </c>
      <c r="G87" s="5" t="s">
        <v>3002</v>
      </c>
      <c r="H87" s="5" t="s">
        <v>3061</v>
      </c>
      <c r="I87" s="5" t="s">
        <v>3062</v>
      </c>
      <c r="J87" s="19" t="s">
        <v>204</v>
      </c>
      <c r="K87" s="17" t="s">
        <v>1477</v>
      </c>
      <c r="L87" s="5" t="s">
        <v>3063</v>
      </c>
      <c r="M87" s="6" t="s">
        <v>1493</v>
      </c>
      <c r="N87" s="6" t="s">
        <v>2167</v>
      </c>
      <c r="O87" s="6" t="s">
        <v>204</v>
      </c>
      <c r="P87" s="5" t="s">
        <v>2524</v>
      </c>
      <c r="Q87" s="18" t="s">
        <v>1482</v>
      </c>
      <c r="R87" s="5" t="s">
        <v>3064</v>
      </c>
      <c r="S87" s="6" t="s">
        <v>2861</v>
      </c>
      <c r="T87" s="5" t="s">
        <v>2862</v>
      </c>
      <c r="U87" s="6"/>
      <c r="V87" s="6" t="s">
        <v>2347</v>
      </c>
      <c r="W87" s="6" t="s">
        <v>1697</v>
      </c>
      <c r="X87" s="5" t="s">
        <v>228</v>
      </c>
      <c r="Y87" s="5" t="s">
        <v>2917</v>
      </c>
      <c r="Z87" s="5" t="str">
        <f t="shared" si="2"/>
        <v>Medium</v>
      </c>
      <c r="AA87" s="5" t="s">
        <v>1319</v>
      </c>
      <c r="AB87" s="6" t="s">
        <v>1355</v>
      </c>
      <c r="AC87" s="6" t="s">
        <v>32</v>
      </c>
      <c r="AD87" s="5" t="s">
        <v>2278</v>
      </c>
      <c r="AE87" s="5" t="s">
        <v>1720</v>
      </c>
      <c r="AF87" s="5" t="s">
        <v>1720</v>
      </c>
      <c r="AG87" s="5" t="s">
        <v>1720</v>
      </c>
      <c r="AH87" s="5" t="s">
        <v>1720</v>
      </c>
      <c r="AI87" s="6" t="str">
        <f t="shared" si="3"/>
        <v>No</v>
      </c>
      <c r="AJ87" s="6" t="s">
        <v>2298</v>
      </c>
      <c r="AK87" s="6" t="s">
        <v>204</v>
      </c>
      <c r="AL87" s="6">
        <f>MATCH(AA87,{"Low","Medium","High"},0)*MATCH(AB87,{"Low","Medium","High"},0)*INDEX({3,2,2,1,1},MATCH(X87,{"Core","Vertical extension","Differentiator","Future","Adjacent"},0))</f>
        <v>6</v>
      </c>
      <c r="AM87" s="5"/>
      <c r="AN87" s="5"/>
      <c r="AO87" s="5"/>
      <c r="AP87" s="5"/>
      <c r="AQ87" s="5"/>
      <c r="AR87" s="5"/>
      <c r="AS87" s="5"/>
      <c r="AT87" s="5"/>
      <c r="AU87" s="6" t="s">
        <v>2317</v>
      </c>
      <c r="AV87" s="6" t="s">
        <v>75</v>
      </c>
      <c r="AW87" s="6" t="s">
        <v>2794</v>
      </c>
      <c r="AX87" s="6" t="s">
        <v>2374</v>
      </c>
      <c r="AY87" s="6" t="s">
        <v>2285</v>
      </c>
      <c r="AZ87" s="6"/>
      <c r="BA87" s="6" t="s">
        <v>2863</v>
      </c>
      <c r="BB87" s="6" t="s">
        <v>2864</v>
      </c>
      <c r="BC87" s="6" t="s">
        <v>127</v>
      </c>
      <c r="BD87" s="6" t="s">
        <v>127</v>
      </c>
      <c r="BE87" s="6"/>
      <c r="BF87" s="6"/>
      <c r="BG87" s="6"/>
      <c r="BH87" s="6"/>
    </row>
    <row r="88" spans="1:60" ht="32" customHeight="1" x14ac:dyDescent="0.35">
      <c r="A88" s="13" t="s">
        <v>3065</v>
      </c>
      <c r="B88" s="6" t="s">
        <v>2265</v>
      </c>
      <c r="C88" s="5" t="s">
        <v>2999</v>
      </c>
      <c r="D88" s="5" t="s">
        <v>2187</v>
      </c>
      <c r="E88" s="5" t="s">
        <v>3066</v>
      </c>
      <c r="F88" s="5" t="s">
        <v>3067</v>
      </c>
      <c r="G88" s="5" t="s">
        <v>3068</v>
      </c>
      <c r="H88" s="5" t="s">
        <v>3069</v>
      </c>
      <c r="I88" s="5" t="s">
        <v>3070</v>
      </c>
      <c r="J88" s="17" t="s">
        <v>162</v>
      </c>
      <c r="K88" s="17" t="s">
        <v>1477</v>
      </c>
      <c r="L88" s="5" t="s">
        <v>3071</v>
      </c>
      <c r="M88" s="6" t="s">
        <v>1493</v>
      </c>
      <c r="N88" s="6" t="s">
        <v>2167</v>
      </c>
      <c r="O88" s="6" t="s">
        <v>162</v>
      </c>
      <c r="P88" s="5" t="s">
        <v>2272</v>
      </c>
      <c r="Q88" s="17" t="s">
        <v>2273</v>
      </c>
      <c r="R88" s="5" t="s">
        <v>3072</v>
      </c>
      <c r="S88" s="6" t="s">
        <v>2345</v>
      </c>
      <c r="T88" s="5" t="s">
        <v>2346</v>
      </c>
      <c r="U88" s="6"/>
      <c r="V88" s="6" t="s">
        <v>2347</v>
      </c>
      <c r="W88" s="6" t="s">
        <v>1697</v>
      </c>
      <c r="X88" s="5" t="s">
        <v>228</v>
      </c>
      <c r="Y88" s="5" t="s">
        <v>2917</v>
      </c>
      <c r="Z88" s="5" t="str">
        <f t="shared" si="2"/>
        <v>High</v>
      </c>
      <c r="AA88" s="5" t="s">
        <v>1302</v>
      </c>
      <c r="AB88" s="6" t="s">
        <v>1355</v>
      </c>
      <c r="AC88" s="6" t="s">
        <v>135</v>
      </c>
      <c r="AD88" s="5" t="s">
        <v>2278</v>
      </c>
      <c r="AE88" s="5" t="s">
        <v>1720</v>
      </c>
      <c r="AF88" s="5" t="s">
        <v>1720</v>
      </c>
      <c r="AG88" s="5" t="s">
        <v>1720</v>
      </c>
      <c r="AH88" s="5" t="s">
        <v>1720</v>
      </c>
      <c r="AI88" s="6" t="str">
        <f t="shared" si="3"/>
        <v>No</v>
      </c>
      <c r="AJ88" s="6" t="s">
        <v>2298</v>
      </c>
      <c r="AK88" s="6" t="s">
        <v>162</v>
      </c>
      <c r="AL88" s="6">
        <f>MATCH(AA88,{"Low","Medium","High"},0)*MATCH(AB88,{"Low","Medium","High"},0)*INDEX({3,2,2,1,1},MATCH(X88,{"Core","Vertical extension","Differentiator","Future","Adjacent"},0))</f>
        <v>9</v>
      </c>
      <c r="AM88" s="5"/>
      <c r="AN88" s="5"/>
      <c r="AO88" s="5"/>
      <c r="AP88" s="5"/>
      <c r="AQ88" s="5"/>
      <c r="AR88" s="5"/>
      <c r="AS88" s="5"/>
      <c r="AT88" s="5"/>
      <c r="AU88" s="6" t="s">
        <v>2317</v>
      </c>
      <c r="AV88" s="6" t="s">
        <v>75</v>
      </c>
      <c r="AW88" s="6" t="s">
        <v>3073</v>
      </c>
      <c r="AX88" s="6" t="s">
        <v>2284</v>
      </c>
      <c r="AY88" s="6" t="s">
        <v>2285</v>
      </c>
      <c r="AZ88" s="6"/>
      <c r="BA88" s="6" t="s">
        <v>2961</v>
      </c>
      <c r="BB88" s="6" t="s">
        <v>2962</v>
      </c>
      <c r="BC88" s="6" t="s">
        <v>127</v>
      </c>
      <c r="BD88" s="6" t="s">
        <v>127</v>
      </c>
      <c r="BE88" s="6" t="s">
        <v>1477</v>
      </c>
      <c r="BF88" s="6" t="s">
        <v>2286</v>
      </c>
      <c r="BG88" s="6" t="s">
        <v>3074</v>
      </c>
      <c r="BH88" s="6" t="s">
        <v>3075</v>
      </c>
    </row>
    <row r="89" spans="1:60" ht="32" customHeight="1" x14ac:dyDescent="0.35">
      <c r="A89" s="13" t="s">
        <v>3076</v>
      </c>
      <c r="B89" s="6" t="s">
        <v>2265</v>
      </c>
      <c r="C89" s="5" t="s">
        <v>2999</v>
      </c>
      <c r="D89" s="5" t="s">
        <v>2197</v>
      </c>
      <c r="E89" s="5" t="s">
        <v>3077</v>
      </c>
      <c r="F89" s="5" t="s">
        <v>3036</v>
      </c>
      <c r="G89" s="5" t="s">
        <v>2983</v>
      </c>
      <c r="H89" s="5" t="s">
        <v>3078</v>
      </c>
      <c r="I89" s="5" t="s">
        <v>3079</v>
      </c>
      <c r="J89" s="17" t="s">
        <v>162</v>
      </c>
      <c r="K89" s="17" t="s">
        <v>95</v>
      </c>
      <c r="L89" s="5" t="s">
        <v>3080</v>
      </c>
      <c r="M89" s="6" t="s">
        <v>1493</v>
      </c>
      <c r="N89" s="6" t="s">
        <v>2167</v>
      </c>
      <c r="O89" s="6" t="s">
        <v>162</v>
      </c>
      <c r="P89" s="5" t="s">
        <v>2272</v>
      </c>
      <c r="Q89" s="17" t="s">
        <v>95</v>
      </c>
      <c r="R89" s="5" t="s">
        <v>3081</v>
      </c>
      <c r="S89" s="6" t="s">
        <v>2861</v>
      </c>
      <c r="T89" s="5" t="s">
        <v>2862</v>
      </c>
      <c r="U89" s="6"/>
      <c r="V89" s="6" t="s">
        <v>2347</v>
      </c>
      <c r="W89" s="6" t="s">
        <v>1697</v>
      </c>
      <c r="X89" s="5" t="s">
        <v>228</v>
      </c>
      <c r="Y89" s="5" t="s">
        <v>2917</v>
      </c>
      <c r="Z89" s="5" t="str">
        <f t="shared" si="2"/>
        <v>Medium</v>
      </c>
      <c r="AA89" s="5" t="s">
        <v>1319</v>
      </c>
      <c r="AB89" s="6" t="s">
        <v>1355</v>
      </c>
      <c r="AC89" s="6" t="s">
        <v>135</v>
      </c>
      <c r="AD89" s="5" t="s">
        <v>95</v>
      </c>
      <c r="AE89" s="5" t="s">
        <v>1720</v>
      </c>
      <c r="AF89" s="5" t="s">
        <v>1720</v>
      </c>
      <c r="AG89" s="5" t="s">
        <v>1720</v>
      </c>
      <c r="AH89" s="5" t="s">
        <v>1720</v>
      </c>
      <c r="AI89" s="6" t="str">
        <f t="shared" si="3"/>
        <v>No</v>
      </c>
      <c r="AJ89" s="6" t="s">
        <v>229</v>
      </c>
      <c r="AK89" s="6" t="s">
        <v>162</v>
      </c>
      <c r="AL89" s="6">
        <f>MATCH(AA89,{"Low","Medium","High"},0)*MATCH(AB89,{"Low","Medium","High"},0)*INDEX({3,2,2,1,1},MATCH(X89,{"Core","Vertical extension","Differentiator","Future","Adjacent"},0))</f>
        <v>6</v>
      </c>
      <c r="AM89" s="5"/>
      <c r="AN89" s="5"/>
      <c r="AO89" s="5"/>
      <c r="AP89" s="5"/>
      <c r="AQ89" s="5"/>
      <c r="AR89" s="5"/>
      <c r="AS89" s="5"/>
      <c r="AT89" s="5"/>
      <c r="AU89" s="6" t="s">
        <v>2317</v>
      </c>
      <c r="AV89" s="6" t="s">
        <v>75</v>
      </c>
      <c r="AW89" s="6" t="s">
        <v>2794</v>
      </c>
      <c r="AX89" s="6" t="s">
        <v>2284</v>
      </c>
      <c r="AY89" s="6" t="s">
        <v>2285</v>
      </c>
      <c r="AZ89" s="6"/>
      <c r="BA89" s="6" t="s">
        <v>2473</v>
      </c>
      <c r="BB89" s="6" t="s">
        <v>2474</v>
      </c>
      <c r="BC89" s="6" t="s">
        <v>127</v>
      </c>
      <c r="BD89" s="6" t="s">
        <v>127</v>
      </c>
      <c r="BE89" s="6" t="s">
        <v>1477</v>
      </c>
      <c r="BF89" s="6" t="s">
        <v>95</v>
      </c>
      <c r="BG89" s="6" t="s">
        <v>3082</v>
      </c>
      <c r="BH89" s="6" t="s">
        <v>3083</v>
      </c>
    </row>
    <row r="90" spans="1:60" ht="32" customHeight="1" x14ac:dyDescent="0.35">
      <c r="A90" s="13" t="s">
        <v>245</v>
      </c>
      <c r="B90" s="6" t="s">
        <v>2265</v>
      </c>
      <c r="C90" s="5" t="s">
        <v>3084</v>
      </c>
      <c r="D90" s="5" t="s">
        <v>2197</v>
      </c>
      <c r="E90" s="5" t="s">
        <v>246</v>
      </c>
      <c r="F90" s="5" t="s">
        <v>3085</v>
      </c>
      <c r="G90" s="5" t="s">
        <v>3086</v>
      </c>
      <c r="H90" s="5" t="s">
        <v>3087</v>
      </c>
      <c r="I90" s="5" t="s">
        <v>3088</v>
      </c>
      <c r="J90" s="16" t="s">
        <v>94</v>
      </c>
      <c r="K90" s="17" t="s">
        <v>95</v>
      </c>
      <c r="L90" s="5" t="s">
        <v>3089</v>
      </c>
      <c r="M90" s="6" t="s">
        <v>1493</v>
      </c>
      <c r="N90" s="6" t="s">
        <v>2167</v>
      </c>
      <c r="O90" s="6" t="s">
        <v>94</v>
      </c>
      <c r="P90" s="5" t="s">
        <v>2272</v>
      </c>
      <c r="Q90" s="17" t="s">
        <v>95</v>
      </c>
      <c r="R90" s="5" t="s">
        <v>3090</v>
      </c>
      <c r="S90" s="6" t="s">
        <v>2861</v>
      </c>
      <c r="T90" s="5" t="s">
        <v>2862</v>
      </c>
      <c r="U90" s="6"/>
      <c r="V90" s="6" t="s">
        <v>2347</v>
      </c>
      <c r="W90" s="6" t="s">
        <v>1697</v>
      </c>
      <c r="X90" s="5" t="s">
        <v>228</v>
      </c>
      <c r="Y90" s="5" t="s">
        <v>760</v>
      </c>
      <c r="Z90" s="5" t="str">
        <f t="shared" si="2"/>
        <v>High</v>
      </c>
      <c r="AA90" s="5" t="s">
        <v>1302</v>
      </c>
      <c r="AB90" s="6" t="s">
        <v>1355</v>
      </c>
      <c r="AC90" s="6" t="s">
        <v>135</v>
      </c>
      <c r="AD90" s="5" t="s">
        <v>95</v>
      </c>
      <c r="AE90" s="5" t="s">
        <v>1720</v>
      </c>
      <c r="AF90" s="5" t="s">
        <v>1720</v>
      </c>
      <c r="AG90" s="5" t="s">
        <v>1720</v>
      </c>
      <c r="AH90" s="5" t="s">
        <v>1720</v>
      </c>
      <c r="AI90" s="6" t="str">
        <f t="shared" si="3"/>
        <v>No</v>
      </c>
      <c r="AJ90" s="6" t="s">
        <v>229</v>
      </c>
      <c r="AK90" s="6" t="s">
        <v>94</v>
      </c>
      <c r="AL90" s="6">
        <f>MATCH(AA90,{"Low","Medium","High"},0)*MATCH(AB90,{"Low","Medium","High"},0)*INDEX({3,2,2,1,1},MATCH(X90,{"Core","Vertical extension","Differentiator","Future","Adjacent"},0))</f>
        <v>9</v>
      </c>
      <c r="AM90" s="5"/>
      <c r="AN90" s="5"/>
      <c r="AO90" s="5">
        <v>5</v>
      </c>
      <c r="AP90" s="5"/>
      <c r="AQ90" s="5"/>
      <c r="AR90" s="5" t="s">
        <v>3091</v>
      </c>
      <c r="AS90" s="51">
        <v>46300</v>
      </c>
      <c r="AT90" s="5" t="s">
        <v>2760</v>
      </c>
      <c r="AU90" s="6" t="s">
        <v>95</v>
      </c>
      <c r="AV90" s="6" t="s">
        <v>3084</v>
      </c>
      <c r="AW90" s="6" t="s">
        <v>3084</v>
      </c>
      <c r="AX90" s="6" t="s">
        <v>2284</v>
      </c>
      <c r="AY90" s="6" t="s">
        <v>2285</v>
      </c>
      <c r="AZ90" s="6"/>
      <c r="BA90" s="6" t="s">
        <v>3092</v>
      </c>
      <c r="BB90" s="6"/>
      <c r="BC90" s="6" t="s">
        <v>127</v>
      </c>
      <c r="BD90" s="6" t="s">
        <v>127</v>
      </c>
      <c r="BE90" s="6" t="s">
        <v>1477</v>
      </c>
      <c r="BF90" s="6" t="s">
        <v>95</v>
      </c>
      <c r="BG90" s="6" t="s">
        <v>3093</v>
      </c>
      <c r="BH90" s="6" t="s">
        <v>247</v>
      </c>
    </row>
    <row r="91" spans="1:60" ht="32" customHeight="1" x14ac:dyDescent="0.35">
      <c r="A91" s="13" t="s">
        <v>3094</v>
      </c>
      <c r="B91" s="6" t="s">
        <v>2265</v>
      </c>
      <c r="C91" s="5" t="s">
        <v>3084</v>
      </c>
      <c r="D91" s="5" t="s">
        <v>2189</v>
      </c>
      <c r="E91" s="5" t="s">
        <v>3095</v>
      </c>
      <c r="F91" s="5" t="s">
        <v>3043</v>
      </c>
      <c r="G91" s="5" t="s">
        <v>3086</v>
      </c>
      <c r="H91" s="5" t="s">
        <v>3096</v>
      </c>
      <c r="I91" s="5" t="s">
        <v>3097</v>
      </c>
      <c r="J91" s="17" t="s">
        <v>162</v>
      </c>
      <c r="K91" s="17" t="s">
        <v>163</v>
      </c>
      <c r="L91" s="5" t="s">
        <v>3098</v>
      </c>
      <c r="M91" s="6" t="s">
        <v>1493</v>
      </c>
      <c r="N91" s="6" t="s">
        <v>2167</v>
      </c>
      <c r="O91" s="6" t="s">
        <v>162</v>
      </c>
      <c r="P91" s="5" t="s">
        <v>2272</v>
      </c>
      <c r="Q91" s="17" t="s">
        <v>163</v>
      </c>
      <c r="R91" s="5" t="s">
        <v>3099</v>
      </c>
      <c r="S91" s="6" t="s">
        <v>2325</v>
      </c>
      <c r="T91" s="5" t="s">
        <v>2326</v>
      </c>
      <c r="U91" s="6"/>
      <c r="V91" s="6" t="s">
        <v>2327</v>
      </c>
      <c r="W91" s="6" t="s">
        <v>1699</v>
      </c>
      <c r="X91" s="5" t="s">
        <v>228</v>
      </c>
      <c r="Y91" s="5" t="s">
        <v>760</v>
      </c>
      <c r="Z91" s="5" t="str">
        <f t="shared" si="2"/>
        <v>Medium</v>
      </c>
      <c r="AA91" s="5" t="s">
        <v>1319</v>
      </c>
      <c r="AB91" s="6" t="s">
        <v>1355</v>
      </c>
      <c r="AC91" s="6" t="s">
        <v>135</v>
      </c>
      <c r="AD91" s="5" t="s">
        <v>1805</v>
      </c>
      <c r="AE91" s="5" t="s">
        <v>1720</v>
      </c>
      <c r="AF91" s="5" t="s">
        <v>1720</v>
      </c>
      <c r="AG91" s="5" t="s">
        <v>1720</v>
      </c>
      <c r="AH91" s="5" t="s">
        <v>1720</v>
      </c>
      <c r="AI91" s="6" t="str">
        <f t="shared" si="3"/>
        <v>No</v>
      </c>
      <c r="AJ91" s="6" t="s">
        <v>287</v>
      </c>
      <c r="AK91" s="6" t="s">
        <v>162</v>
      </c>
      <c r="AL91" s="6">
        <f>MATCH(AA91,{"Low","Medium","High"},0)*MATCH(AB91,{"Low","Medium","High"},0)*INDEX({3,2,2,1,1},MATCH(X91,{"Core","Vertical extension","Differentiator","Future","Adjacent"},0))</f>
        <v>6</v>
      </c>
      <c r="AM91" s="5"/>
      <c r="AN91" s="5"/>
      <c r="AO91" s="5"/>
      <c r="AP91" s="5"/>
      <c r="AQ91" s="5"/>
      <c r="AR91" s="5"/>
      <c r="AS91" s="5"/>
      <c r="AT91" s="5"/>
      <c r="AU91" s="6" t="s">
        <v>2317</v>
      </c>
      <c r="AV91" s="6" t="s">
        <v>3084</v>
      </c>
      <c r="AW91" s="6" t="s">
        <v>2813</v>
      </c>
      <c r="AX91" s="6" t="s">
        <v>2284</v>
      </c>
      <c r="AY91" s="6" t="s">
        <v>2285</v>
      </c>
      <c r="AZ91" s="6"/>
      <c r="BA91" s="6"/>
      <c r="BB91" s="6"/>
      <c r="BC91" s="6" t="s">
        <v>127</v>
      </c>
      <c r="BD91" s="6" t="s">
        <v>127</v>
      </c>
      <c r="BE91" s="6" t="s">
        <v>1477</v>
      </c>
      <c r="BF91" s="6" t="s">
        <v>288</v>
      </c>
      <c r="BG91" s="6" t="s">
        <v>3100</v>
      </c>
      <c r="BH91" s="6" t="s">
        <v>3101</v>
      </c>
    </row>
    <row r="92" spans="1:60" ht="32" customHeight="1" x14ac:dyDescent="0.35">
      <c r="A92" s="13" t="s">
        <v>3102</v>
      </c>
      <c r="B92" s="6" t="s">
        <v>2265</v>
      </c>
      <c r="C92" s="5" t="s">
        <v>3084</v>
      </c>
      <c r="D92" s="5" t="s">
        <v>2189</v>
      </c>
      <c r="E92" s="5" t="s">
        <v>3103</v>
      </c>
      <c r="F92" s="5" t="s">
        <v>3043</v>
      </c>
      <c r="G92" s="5" t="s">
        <v>1824</v>
      </c>
      <c r="H92" s="5" t="s">
        <v>3104</v>
      </c>
      <c r="I92" s="5" t="s">
        <v>3105</v>
      </c>
      <c r="J92" s="19" t="s">
        <v>204</v>
      </c>
      <c r="K92" s="17" t="s">
        <v>95</v>
      </c>
      <c r="L92" s="5" t="s">
        <v>3106</v>
      </c>
      <c r="M92" s="6" t="s">
        <v>1493</v>
      </c>
      <c r="N92" s="6" t="s">
        <v>2167</v>
      </c>
      <c r="O92" s="6" t="s">
        <v>204</v>
      </c>
      <c r="P92" s="5" t="s">
        <v>2524</v>
      </c>
      <c r="Q92" s="17" t="s">
        <v>95</v>
      </c>
      <c r="R92" s="5" t="s">
        <v>3107</v>
      </c>
      <c r="S92" s="6" t="s">
        <v>2325</v>
      </c>
      <c r="T92" s="5" t="s">
        <v>2326</v>
      </c>
      <c r="U92" s="6"/>
      <c r="V92" s="6" t="s">
        <v>2327</v>
      </c>
      <c r="W92" s="6" t="s">
        <v>1699</v>
      </c>
      <c r="X92" s="5" t="s">
        <v>228</v>
      </c>
      <c r="Y92" s="5" t="s">
        <v>760</v>
      </c>
      <c r="Z92" s="5" t="str">
        <f t="shared" si="2"/>
        <v>Medium</v>
      </c>
      <c r="AA92" s="5" t="s">
        <v>1319</v>
      </c>
      <c r="AB92" s="6" t="s">
        <v>1355</v>
      </c>
      <c r="AC92" s="6" t="s">
        <v>32</v>
      </c>
      <c r="AD92" s="5" t="s">
        <v>95</v>
      </c>
      <c r="AE92" s="5" t="s">
        <v>1720</v>
      </c>
      <c r="AF92" s="5" t="s">
        <v>1720</v>
      </c>
      <c r="AG92" s="5" t="s">
        <v>1720</v>
      </c>
      <c r="AH92" s="5" t="s">
        <v>1720</v>
      </c>
      <c r="AI92" s="6" t="str">
        <f t="shared" si="3"/>
        <v>No</v>
      </c>
      <c r="AJ92" s="6" t="s">
        <v>229</v>
      </c>
      <c r="AK92" s="6" t="s">
        <v>204</v>
      </c>
      <c r="AL92" s="6">
        <f>MATCH(AA92,{"Low","Medium","High"},0)*MATCH(AB92,{"Low","Medium","High"},0)*INDEX({3,2,2,1,1},MATCH(X92,{"Core","Vertical extension","Differentiator","Future","Adjacent"},0))</f>
        <v>6</v>
      </c>
      <c r="AM92" s="5"/>
      <c r="AN92" s="5"/>
      <c r="AO92" s="5"/>
      <c r="AP92" s="5"/>
      <c r="AQ92" s="5"/>
      <c r="AR92" s="5"/>
      <c r="AS92" s="5"/>
      <c r="AT92" s="5"/>
      <c r="AU92" s="6" t="s">
        <v>2317</v>
      </c>
      <c r="AV92" s="6" t="s">
        <v>3084</v>
      </c>
      <c r="AW92" s="6" t="s">
        <v>2813</v>
      </c>
      <c r="AX92" s="6" t="s">
        <v>2374</v>
      </c>
      <c r="AY92" s="6" t="s">
        <v>2285</v>
      </c>
      <c r="AZ92" s="6"/>
      <c r="BA92" s="6"/>
      <c r="BB92" s="6"/>
      <c r="BC92" s="6" t="s">
        <v>127</v>
      </c>
      <c r="BD92" s="6" t="s">
        <v>127</v>
      </c>
      <c r="BE92" s="6" t="s">
        <v>1477</v>
      </c>
      <c r="BF92" s="6" t="s">
        <v>95</v>
      </c>
      <c r="BG92" s="6" t="s">
        <v>3108</v>
      </c>
      <c r="BH92" s="6" t="s">
        <v>3109</v>
      </c>
    </row>
    <row r="93" spans="1:60" ht="32" customHeight="1" x14ac:dyDescent="0.35">
      <c r="A93" s="13" t="s">
        <v>3110</v>
      </c>
      <c r="B93" s="6" t="s">
        <v>2265</v>
      </c>
      <c r="C93" s="5" t="s">
        <v>3084</v>
      </c>
      <c r="D93" s="5" t="s">
        <v>2197</v>
      </c>
      <c r="E93" s="5" t="s">
        <v>3111</v>
      </c>
      <c r="F93" s="5" t="s">
        <v>3112</v>
      </c>
      <c r="G93" s="5" t="s">
        <v>3113</v>
      </c>
      <c r="H93" s="5" t="s">
        <v>3114</v>
      </c>
      <c r="I93" s="5" t="s">
        <v>3115</v>
      </c>
      <c r="J93" s="17" t="s">
        <v>162</v>
      </c>
      <c r="K93" s="17" t="s">
        <v>1477</v>
      </c>
      <c r="L93" s="5" t="s">
        <v>3116</v>
      </c>
      <c r="M93" s="6" t="s">
        <v>1493</v>
      </c>
      <c r="N93" s="6" t="s">
        <v>2167</v>
      </c>
      <c r="O93" s="6" t="s">
        <v>162</v>
      </c>
      <c r="P93" s="5" t="s">
        <v>2272</v>
      </c>
      <c r="Q93" s="18" t="s">
        <v>1482</v>
      </c>
      <c r="R93" s="5" t="s">
        <v>2860</v>
      </c>
      <c r="S93" s="6" t="s">
        <v>2861</v>
      </c>
      <c r="T93" s="5" t="s">
        <v>2862</v>
      </c>
      <c r="U93" s="6"/>
      <c r="V93" s="6" t="s">
        <v>2347</v>
      </c>
      <c r="W93" s="6" t="s">
        <v>1697</v>
      </c>
      <c r="X93" s="5" t="s">
        <v>228</v>
      </c>
      <c r="Y93" s="5" t="s">
        <v>760</v>
      </c>
      <c r="Z93" s="5" t="str">
        <f t="shared" si="2"/>
        <v>Medium</v>
      </c>
      <c r="AA93" s="5" t="s">
        <v>1319</v>
      </c>
      <c r="AB93" s="6" t="s">
        <v>1355</v>
      </c>
      <c r="AC93" s="6" t="s">
        <v>135</v>
      </c>
      <c r="AD93" s="5" t="s">
        <v>2278</v>
      </c>
      <c r="AE93" s="5" t="s">
        <v>1720</v>
      </c>
      <c r="AF93" s="5" t="s">
        <v>1720</v>
      </c>
      <c r="AG93" s="5" t="s">
        <v>1720</v>
      </c>
      <c r="AH93" s="5" t="s">
        <v>1720</v>
      </c>
      <c r="AI93" s="6" t="str">
        <f t="shared" si="3"/>
        <v>No</v>
      </c>
      <c r="AJ93" s="6" t="s">
        <v>2298</v>
      </c>
      <c r="AK93" s="6" t="s">
        <v>162</v>
      </c>
      <c r="AL93" s="6">
        <f>MATCH(AA93,{"Low","Medium","High"},0)*MATCH(AB93,{"Low","Medium","High"},0)*INDEX({3,2,2,1,1},MATCH(X93,{"Core","Vertical extension","Differentiator","Future","Adjacent"},0))</f>
        <v>6</v>
      </c>
      <c r="AM93" s="5"/>
      <c r="AN93" s="5"/>
      <c r="AO93" s="5"/>
      <c r="AP93" s="5"/>
      <c r="AQ93" s="5"/>
      <c r="AR93" s="5"/>
      <c r="AS93" s="5"/>
      <c r="AT93" s="5"/>
      <c r="AU93" s="6" t="s">
        <v>2317</v>
      </c>
      <c r="AV93" s="6" t="s">
        <v>3084</v>
      </c>
      <c r="AW93" s="6" t="s">
        <v>2784</v>
      </c>
      <c r="AX93" s="6" t="s">
        <v>2284</v>
      </c>
      <c r="AY93" s="6" t="s">
        <v>2285</v>
      </c>
      <c r="AZ93" s="6"/>
      <c r="BA93" s="6" t="s">
        <v>2863</v>
      </c>
      <c r="BB93" s="6" t="s">
        <v>2864</v>
      </c>
      <c r="BC93" s="6" t="s">
        <v>127</v>
      </c>
      <c r="BD93" s="6" t="s">
        <v>127</v>
      </c>
      <c r="BE93" s="6"/>
      <c r="BF93" s="6"/>
      <c r="BG93" s="6"/>
      <c r="BH93" s="6"/>
    </row>
    <row r="94" spans="1:60" ht="32" customHeight="1" x14ac:dyDescent="0.35">
      <c r="A94" s="13" t="s">
        <v>3117</v>
      </c>
      <c r="B94" s="6" t="s">
        <v>2265</v>
      </c>
      <c r="C94" s="5" t="s">
        <v>3084</v>
      </c>
      <c r="D94" s="5" t="s">
        <v>2197</v>
      </c>
      <c r="E94" s="5" t="s">
        <v>3118</v>
      </c>
      <c r="F94" s="5" t="s">
        <v>3119</v>
      </c>
      <c r="G94" s="5" t="s">
        <v>3120</v>
      </c>
      <c r="H94" s="5" t="s">
        <v>3121</v>
      </c>
      <c r="I94" s="5" t="s">
        <v>3122</v>
      </c>
      <c r="J94" s="17" t="s">
        <v>162</v>
      </c>
      <c r="K94" s="17" t="s">
        <v>1477</v>
      </c>
      <c r="L94" s="5" t="s">
        <v>3123</v>
      </c>
      <c r="M94" s="6" t="s">
        <v>1493</v>
      </c>
      <c r="N94" s="6" t="s">
        <v>2167</v>
      </c>
      <c r="O94" s="6" t="s">
        <v>162</v>
      </c>
      <c r="P94" s="5" t="s">
        <v>2272</v>
      </c>
      <c r="Q94" s="17" t="s">
        <v>2273</v>
      </c>
      <c r="R94" s="5" t="s">
        <v>3124</v>
      </c>
      <c r="S94" s="6" t="s">
        <v>2861</v>
      </c>
      <c r="T94" s="5" t="s">
        <v>2862</v>
      </c>
      <c r="U94" s="6"/>
      <c r="V94" s="6" t="s">
        <v>2347</v>
      </c>
      <c r="W94" s="6" t="s">
        <v>1697</v>
      </c>
      <c r="X94" s="5" t="s">
        <v>228</v>
      </c>
      <c r="Y94" s="5" t="s">
        <v>760</v>
      </c>
      <c r="Z94" s="5" t="str">
        <f t="shared" si="2"/>
        <v>Medium</v>
      </c>
      <c r="AA94" s="5" t="s">
        <v>1319</v>
      </c>
      <c r="AB94" s="6" t="s">
        <v>1355</v>
      </c>
      <c r="AC94" s="6" t="s">
        <v>135</v>
      </c>
      <c r="AD94" s="5" t="s">
        <v>2278</v>
      </c>
      <c r="AE94" s="5" t="s">
        <v>1720</v>
      </c>
      <c r="AF94" s="5" t="s">
        <v>1720</v>
      </c>
      <c r="AG94" s="5" t="s">
        <v>1720</v>
      </c>
      <c r="AH94" s="5" t="s">
        <v>1720</v>
      </c>
      <c r="AI94" s="6" t="str">
        <f t="shared" si="3"/>
        <v>No</v>
      </c>
      <c r="AJ94" s="6" t="s">
        <v>2298</v>
      </c>
      <c r="AK94" s="6" t="s">
        <v>162</v>
      </c>
      <c r="AL94" s="6">
        <f>MATCH(AA94,{"Low","Medium","High"},0)*MATCH(AB94,{"Low","Medium","High"},0)*INDEX({3,2,2,1,1},MATCH(X94,{"Core","Vertical extension","Differentiator","Future","Adjacent"},0))</f>
        <v>6</v>
      </c>
      <c r="AM94" s="5"/>
      <c r="AN94" s="5"/>
      <c r="AO94" s="5"/>
      <c r="AP94" s="5"/>
      <c r="AQ94" s="5"/>
      <c r="AR94" s="5"/>
      <c r="AS94" s="5"/>
      <c r="AT94" s="5"/>
      <c r="AU94" s="6" t="s">
        <v>2317</v>
      </c>
      <c r="AV94" s="6" t="s">
        <v>3084</v>
      </c>
      <c r="AW94" s="6" t="s">
        <v>2784</v>
      </c>
      <c r="AX94" s="6" t="s">
        <v>2284</v>
      </c>
      <c r="AY94" s="6" t="s">
        <v>2285</v>
      </c>
      <c r="AZ94" s="6"/>
      <c r="BA94" s="6"/>
      <c r="BB94" s="6"/>
      <c r="BC94" s="6" t="s">
        <v>127</v>
      </c>
      <c r="BD94" s="6" t="s">
        <v>127</v>
      </c>
      <c r="BE94" s="6" t="s">
        <v>1477</v>
      </c>
      <c r="BF94" s="6" t="s">
        <v>2286</v>
      </c>
      <c r="BG94" s="6" t="s">
        <v>3125</v>
      </c>
      <c r="BH94" s="6" t="s">
        <v>3126</v>
      </c>
    </row>
    <row r="95" spans="1:60" ht="32" customHeight="1" x14ac:dyDescent="0.35">
      <c r="A95" s="13" t="s">
        <v>3127</v>
      </c>
      <c r="B95" s="6" t="s">
        <v>2265</v>
      </c>
      <c r="C95" s="5" t="s">
        <v>3084</v>
      </c>
      <c r="D95" s="5" t="s">
        <v>2195</v>
      </c>
      <c r="E95" s="5" t="s">
        <v>3128</v>
      </c>
      <c r="F95" s="5" t="s">
        <v>3129</v>
      </c>
      <c r="G95" s="5" t="s">
        <v>3113</v>
      </c>
      <c r="H95" s="5" t="s">
        <v>3130</v>
      </c>
      <c r="I95" s="5" t="s">
        <v>3131</v>
      </c>
      <c r="J95" s="17" t="s">
        <v>162</v>
      </c>
      <c r="K95" s="17" t="s">
        <v>163</v>
      </c>
      <c r="L95" s="5" t="s">
        <v>3132</v>
      </c>
      <c r="M95" s="6" t="s">
        <v>1493</v>
      </c>
      <c r="N95" s="6" t="s">
        <v>2167</v>
      </c>
      <c r="O95" s="6" t="s">
        <v>162</v>
      </c>
      <c r="P95" s="5" t="s">
        <v>2272</v>
      </c>
      <c r="Q95" s="17" t="s">
        <v>163</v>
      </c>
      <c r="R95" s="5" t="s">
        <v>3133</v>
      </c>
      <c r="S95" s="6" t="s">
        <v>2295</v>
      </c>
      <c r="T95" s="5" t="s">
        <v>2296</v>
      </c>
      <c r="U95" s="6"/>
      <c r="V95" s="6" t="s">
        <v>2297</v>
      </c>
      <c r="W95" s="6" t="s">
        <v>1697</v>
      </c>
      <c r="X95" s="5" t="s">
        <v>228</v>
      </c>
      <c r="Y95" s="5" t="s">
        <v>760</v>
      </c>
      <c r="Z95" s="5" t="str">
        <f t="shared" si="2"/>
        <v>High</v>
      </c>
      <c r="AA95" s="5" t="s">
        <v>1302</v>
      </c>
      <c r="AB95" s="6" t="s">
        <v>1355</v>
      </c>
      <c r="AC95" s="6" t="s">
        <v>135</v>
      </c>
      <c r="AD95" s="5" t="s">
        <v>1805</v>
      </c>
      <c r="AE95" s="5" t="s">
        <v>1720</v>
      </c>
      <c r="AF95" s="5" t="s">
        <v>1720</v>
      </c>
      <c r="AG95" s="5" t="s">
        <v>1720</v>
      </c>
      <c r="AH95" s="5" t="s">
        <v>1720</v>
      </c>
      <c r="AI95" s="6" t="str">
        <f t="shared" si="3"/>
        <v>No</v>
      </c>
      <c r="AJ95" s="6" t="s">
        <v>287</v>
      </c>
      <c r="AK95" s="6" t="s">
        <v>162</v>
      </c>
      <c r="AL95" s="6">
        <f>MATCH(AA95,{"Low","Medium","High"},0)*MATCH(AB95,{"Low","Medium","High"},0)*INDEX({3,2,2,1,1},MATCH(X95,{"Core","Vertical extension","Differentiator","Future","Adjacent"},0))</f>
        <v>9</v>
      </c>
      <c r="AM95" s="5"/>
      <c r="AN95" s="5"/>
      <c r="AO95" s="5"/>
      <c r="AP95" s="5"/>
      <c r="AQ95" s="5"/>
      <c r="AR95" s="5"/>
      <c r="AS95" s="5"/>
      <c r="AT95" s="5"/>
      <c r="AU95" s="6" t="s">
        <v>2317</v>
      </c>
      <c r="AV95" s="6" t="s">
        <v>3084</v>
      </c>
      <c r="AW95" s="6" t="s">
        <v>3073</v>
      </c>
      <c r="AX95" s="6" t="s">
        <v>2284</v>
      </c>
      <c r="AY95" s="6" t="s">
        <v>2285</v>
      </c>
      <c r="AZ95" s="6"/>
      <c r="BA95" s="6"/>
      <c r="BB95" s="6"/>
      <c r="BC95" s="6" t="s">
        <v>127</v>
      </c>
      <c r="BD95" s="6" t="s">
        <v>127</v>
      </c>
      <c r="BE95" s="6" t="s">
        <v>1477</v>
      </c>
      <c r="BF95" s="6" t="s">
        <v>288</v>
      </c>
      <c r="BG95" s="6" t="s">
        <v>3134</v>
      </c>
      <c r="BH95" s="6" t="s">
        <v>3135</v>
      </c>
    </row>
    <row r="96" spans="1:60" ht="32" customHeight="1" x14ac:dyDescent="0.35">
      <c r="A96" s="13" t="s">
        <v>3136</v>
      </c>
      <c r="B96" s="6" t="s">
        <v>2265</v>
      </c>
      <c r="C96" s="5" t="s">
        <v>3084</v>
      </c>
      <c r="D96" s="5" t="s">
        <v>2192</v>
      </c>
      <c r="E96" s="5" t="s">
        <v>3137</v>
      </c>
      <c r="F96" s="5" t="s">
        <v>3043</v>
      </c>
      <c r="G96" s="5" t="s">
        <v>3138</v>
      </c>
      <c r="H96" s="5" t="s">
        <v>3139</v>
      </c>
      <c r="I96" s="5" t="s">
        <v>3140</v>
      </c>
      <c r="J96" s="17" t="s">
        <v>162</v>
      </c>
      <c r="K96" s="17" t="s">
        <v>163</v>
      </c>
      <c r="L96" s="5" t="s">
        <v>3141</v>
      </c>
      <c r="M96" s="6" t="s">
        <v>1493</v>
      </c>
      <c r="N96" s="6" t="s">
        <v>2167</v>
      </c>
      <c r="O96" s="6" t="s">
        <v>162</v>
      </c>
      <c r="P96" s="5" t="s">
        <v>2272</v>
      </c>
      <c r="Q96" s="17" t="s">
        <v>163</v>
      </c>
      <c r="R96" s="5" t="s">
        <v>3142</v>
      </c>
      <c r="S96" s="6" t="s">
        <v>2371</v>
      </c>
      <c r="T96" s="5" t="s">
        <v>2372</v>
      </c>
      <c r="U96" s="6"/>
      <c r="V96" s="6" t="s">
        <v>2373</v>
      </c>
      <c r="W96" s="6" t="s">
        <v>1699</v>
      </c>
      <c r="X96" s="5" t="s">
        <v>228</v>
      </c>
      <c r="Y96" s="5" t="s">
        <v>760</v>
      </c>
      <c r="Z96" s="5" t="str">
        <f t="shared" si="2"/>
        <v>Critical</v>
      </c>
      <c r="AA96" s="5" t="s">
        <v>1302</v>
      </c>
      <c r="AB96" s="6" t="s">
        <v>1319</v>
      </c>
      <c r="AC96" s="6" t="s">
        <v>135</v>
      </c>
      <c r="AD96" s="5" t="s">
        <v>1805</v>
      </c>
      <c r="AE96" s="5" t="s">
        <v>1720</v>
      </c>
      <c r="AF96" s="5" t="s">
        <v>1720</v>
      </c>
      <c r="AG96" s="5" t="s">
        <v>1720</v>
      </c>
      <c r="AH96" s="5" t="s">
        <v>1720</v>
      </c>
      <c r="AI96" s="6" t="str">
        <f t="shared" si="3"/>
        <v>No</v>
      </c>
      <c r="AJ96" s="6" t="s">
        <v>287</v>
      </c>
      <c r="AK96" s="6" t="s">
        <v>162</v>
      </c>
      <c r="AL96" s="6">
        <f>MATCH(AA96,{"Low","Medium","High"},0)*MATCH(AB96,{"Low","Medium","High"},0)*INDEX({3,2,2,1,1},MATCH(X96,{"Core","Vertical extension","Differentiator","Future","Adjacent"},0))</f>
        <v>18</v>
      </c>
      <c r="AM96" s="5"/>
      <c r="AN96" s="5"/>
      <c r="AO96" s="5"/>
      <c r="AP96" s="5"/>
      <c r="AQ96" s="5"/>
      <c r="AR96" s="5"/>
      <c r="AS96" s="5"/>
      <c r="AT96" s="5"/>
      <c r="AU96" s="6" t="s">
        <v>2317</v>
      </c>
      <c r="AV96" s="6" t="s">
        <v>3084</v>
      </c>
      <c r="AW96" s="6" t="s">
        <v>2813</v>
      </c>
      <c r="AX96" s="6" t="s">
        <v>2284</v>
      </c>
      <c r="AY96" s="6" t="s">
        <v>2285</v>
      </c>
      <c r="AZ96" s="6"/>
      <c r="BA96" s="6"/>
      <c r="BB96" s="6"/>
      <c r="BC96" s="6" t="s">
        <v>127</v>
      </c>
      <c r="BD96" s="6" t="s">
        <v>127</v>
      </c>
      <c r="BE96" s="6" t="s">
        <v>1477</v>
      </c>
      <c r="BF96" s="6" t="s">
        <v>288</v>
      </c>
      <c r="BG96" s="6" t="s">
        <v>3143</v>
      </c>
      <c r="BH96" s="6" t="s">
        <v>3144</v>
      </c>
    </row>
    <row r="97" spans="1:60" ht="32" customHeight="1" x14ac:dyDescent="0.35">
      <c r="A97" s="13" t="s">
        <v>3145</v>
      </c>
      <c r="B97" s="6" t="s">
        <v>2265</v>
      </c>
      <c r="C97" s="5" t="s">
        <v>3084</v>
      </c>
      <c r="D97" s="5" t="s">
        <v>2189</v>
      </c>
      <c r="E97" s="5" t="s">
        <v>3146</v>
      </c>
      <c r="F97" s="5" t="s">
        <v>3043</v>
      </c>
      <c r="G97" s="5" t="s">
        <v>2974</v>
      </c>
      <c r="H97" s="5" t="s">
        <v>3147</v>
      </c>
      <c r="I97" s="5" t="s">
        <v>3148</v>
      </c>
      <c r="J97" s="17" t="s">
        <v>162</v>
      </c>
      <c r="K97" s="17" t="s">
        <v>95</v>
      </c>
      <c r="L97" s="5" t="s">
        <v>3149</v>
      </c>
      <c r="M97" s="6" t="s">
        <v>1493</v>
      </c>
      <c r="N97" s="6" t="s">
        <v>2167</v>
      </c>
      <c r="O97" s="6" t="s">
        <v>162</v>
      </c>
      <c r="P97" s="5" t="s">
        <v>2272</v>
      </c>
      <c r="Q97" s="17" t="s">
        <v>95</v>
      </c>
      <c r="R97" s="5" t="s">
        <v>3150</v>
      </c>
      <c r="S97" s="6" t="s">
        <v>2325</v>
      </c>
      <c r="T97" s="5" t="s">
        <v>2326</v>
      </c>
      <c r="U97" s="6"/>
      <c r="V97" s="6" t="s">
        <v>2327</v>
      </c>
      <c r="W97" s="6" t="s">
        <v>1699</v>
      </c>
      <c r="X97" s="5" t="s">
        <v>228</v>
      </c>
      <c r="Y97" s="5" t="s">
        <v>760</v>
      </c>
      <c r="Z97" s="5" t="str">
        <f t="shared" si="2"/>
        <v>Medium</v>
      </c>
      <c r="AA97" s="5" t="s">
        <v>1319</v>
      </c>
      <c r="AB97" s="6" t="s">
        <v>1355</v>
      </c>
      <c r="AC97" s="6" t="s">
        <v>135</v>
      </c>
      <c r="AD97" s="5" t="s">
        <v>95</v>
      </c>
      <c r="AE97" s="5" t="s">
        <v>1720</v>
      </c>
      <c r="AF97" s="5" t="s">
        <v>1720</v>
      </c>
      <c r="AG97" s="5" t="s">
        <v>1720</v>
      </c>
      <c r="AH97" s="5" t="s">
        <v>1720</v>
      </c>
      <c r="AI97" s="6" t="str">
        <f t="shared" si="3"/>
        <v>No</v>
      </c>
      <c r="AJ97" s="6" t="s">
        <v>229</v>
      </c>
      <c r="AK97" s="6" t="s">
        <v>162</v>
      </c>
      <c r="AL97" s="6">
        <f>MATCH(AA97,{"Low","Medium","High"},0)*MATCH(AB97,{"Low","Medium","High"},0)*INDEX({3,2,2,1,1},MATCH(X97,{"Core","Vertical extension","Differentiator","Future","Adjacent"},0))</f>
        <v>6</v>
      </c>
      <c r="AM97" s="5"/>
      <c r="AN97" s="5"/>
      <c r="AO97" s="5"/>
      <c r="AP97" s="5"/>
      <c r="AQ97" s="5"/>
      <c r="AR97" s="5"/>
      <c r="AS97" s="5"/>
      <c r="AT97" s="5"/>
      <c r="AU97" s="6" t="s">
        <v>2317</v>
      </c>
      <c r="AV97" s="6" t="s">
        <v>3084</v>
      </c>
      <c r="AW97" s="6" t="s">
        <v>2813</v>
      </c>
      <c r="AX97" s="6" t="s">
        <v>2284</v>
      </c>
      <c r="AY97" s="6" t="s">
        <v>2285</v>
      </c>
      <c r="AZ97" s="6"/>
      <c r="BA97" s="6"/>
      <c r="BB97" s="6"/>
      <c r="BC97" s="6" t="s">
        <v>127</v>
      </c>
      <c r="BD97" s="6" t="s">
        <v>127</v>
      </c>
      <c r="BE97" s="6" t="s">
        <v>1477</v>
      </c>
      <c r="BF97" s="6" t="s">
        <v>95</v>
      </c>
      <c r="BG97" s="6" t="s">
        <v>3151</v>
      </c>
      <c r="BH97" s="6" t="s">
        <v>3152</v>
      </c>
    </row>
    <row r="98" spans="1:60" ht="32" customHeight="1" x14ac:dyDescent="0.35">
      <c r="A98" s="13" t="s">
        <v>3153</v>
      </c>
      <c r="B98" s="6" t="s">
        <v>2265</v>
      </c>
      <c r="C98" s="5" t="s">
        <v>3084</v>
      </c>
      <c r="D98" s="5" t="s">
        <v>2189</v>
      </c>
      <c r="E98" s="5" t="s">
        <v>3154</v>
      </c>
      <c r="F98" s="5" t="s">
        <v>3043</v>
      </c>
      <c r="G98" s="5" t="s">
        <v>3155</v>
      </c>
      <c r="H98" s="5" t="s">
        <v>3156</v>
      </c>
      <c r="I98" s="5" t="s">
        <v>3157</v>
      </c>
      <c r="J98" s="19" t="s">
        <v>204</v>
      </c>
      <c r="K98" s="17" t="s">
        <v>163</v>
      </c>
      <c r="L98" s="5" t="s">
        <v>3158</v>
      </c>
      <c r="M98" s="6" t="s">
        <v>1493</v>
      </c>
      <c r="N98" s="6" t="s">
        <v>2167</v>
      </c>
      <c r="O98" s="6" t="s">
        <v>204</v>
      </c>
      <c r="P98" s="5" t="s">
        <v>2524</v>
      </c>
      <c r="Q98" s="17" t="s">
        <v>163</v>
      </c>
      <c r="R98" s="5" t="s">
        <v>3159</v>
      </c>
      <c r="S98" s="6" t="s">
        <v>2325</v>
      </c>
      <c r="T98" s="5" t="s">
        <v>2326</v>
      </c>
      <c r="U98" s="6"/>
      <c r="V98" s="6" t="s">
        <v>2327</v>
      </c>
      <c r="W98" s="6" t="s">
        <v>1699</v>
      </c>
      <c r="X98" s="5" t="s">
        <v>228</v>
      </c>
      <c r="Y98" s="5" t="s">
        <v>760</v>
      </c>
      <c r="Z98" s="5" t="str">
        <f t="shared" si="2"/>
        <v>Medium</v>
      </c>
      <c r="AA98" s="5" t="s">
        <v>1319</v>
      </c>
      <c r="AB98" s="6" t="s">
        <v>1355</v>
      </c>
      <c r="AC98" s="6" t="s">
        <v>32</v>
      </c>
      <c r="AD98" s="5" t="s">
        <v>1805</v>
      </c>
      <c r="AE98" s="5" t="s">
        <v>1720</v>
      </c>
      <c r="AF98" s="5" t="s">
        <v>1720</v>
      </c>
      <c r="AG98" s="5" t="s">
        <v>1720</v>
      </c>
      <c r="AH98" s="5" t="s">
        <v>1720</v>
      </c>
      <c r="AI98" s="6" t="str">
        <f t="shared" si="3"/>
        <v>No</v>
      </c>
      <c r="AJ98" s="6" t="s">
        <v>287</v>
      </c>
      <c r="AK98" s="6" t="s">
        <v>204</v>
      </c>
      <c r="AL98" s="6">
        <f>MATCH(AA98,{"Low","Medium","High"},0)*MATCH(AB98,{"Low","Medium","High"},0)*INDEX({3,2,2,1,1},MATCH(X98,{"Core","Vertical extension","Differentiator","Future","Adjacent"},0))</f>
        <v>6</v>
      </c>
      <c r="AM98" s="5"/>
      <c r="AN98" s="5"/>
      <c r="AO98" s="5"/>
      <c r="AP98" s="5"/>
      <c r="AQ98" s="5"/>
      <c r="AR98" s="5"/>
      <c r="AS98" s="5"/>
      <c r="AT98" s="5"/>
      <c r="AU98" s="6" t="s">
        <v>2317</v>
      </c>
      <c r="AV98" s="6" t="s">
        <v>3084</v>
      </c>
      <c r="AW98" s="6" t="s">
        <v>2813</v>
      </c>
      <c r="AX98" s="6" t="s">
        <v>2374</v>
      </c>
      <c r="AY98" s="6" t="s">
        <v>2285</v>
      </c>
      <c r="AZ98" s="6"/>
      <c r="BA98" s="6"/>
      <c r="BB98" s="6"/>
      <c r="BC98" s="6" t="s">
        <v>127</v>
      </c>
      <c r="BD98" s="6" t="s">
        <v>127</v>
      </c>
      <c r="BE98" s="6" t="s">
        <v>1477</v>
      </c>
      <c r="BF98" s="6" t="s">
        <v>288</v>
      </c>
      <c r="BG98" s="6" t="s">
        <v>3160</v>
      </c>
      <c r="BH98" s="6" t="s">
        <v>3161</v>
      </c>
    </row>
    <row r="99" spans="1:60" ht="32" customHeight="1" x14ac:dyDescent="0.35">
      <c r="A99" s="13" t="s">
        <v>3162</v>
      </c>
      <c r="B99" s="6" t="s">
        <v>2265</v>
      </c>
      <c r="C99" s="5" t="s">
        <v>3084</v>
      </c>
      <c r="D99" s="5" t="s">
        <v>2196</v>
      </c>
      <c r="E99" s="5" t="s">
        <v>3163</v>
      </c>
      <c r="F99" s="5" t="s">
        <v>3164</v>
      </c>
      <c r="G99" s="5" t="s">
        <v>3113</v>
      </c>
      <c r="H99" s="5" t="s">
        <v>3165</v>
      </c>
      <c r="I99" s="5" t="s">
        <v>3166</v>
      </c>
      <c r="J99" s="17" t="s">
        <v>162</v>
      </c>
      <c r="K99" s="17" t="s">
        <v>1477</v>
      </c>
      <c r="L99" s="5" t="s">
        <v>3167</v>
      </c>
      <c r="M99" s="6" t="s">
        <v>1493</v>
      </c>
      <c r="N99" s="6" t="s">
        <v>2167</v>
      </c>
      <c r="O99" s="6" t="s">
        <v>162</v>
      </c>
      <c r="P99" s="5" t="s">
        <v>2272</v>
      </c>
      <c r="Q99" s="17" t="s">
        <v>2273</v>
      </c>
      <c r="R99" s="5" t="s">
        <v>3168</v>
      </c>
      <c r="S99" s="6" t="s">
        <v>2358</v>
      </c>
      <c r="T99" s="5" t="s">
        <v>2359</v>
      </c>
      <c r="U99" s="6"/>
      <c r="V99" s="6" t="s">
        <v>2360</v>
      </c>
      <c r="W99" s="6" t="s">
        <v>1703</v>
      </c>
      <c r="X99" s="5" t="s">
        <v>228</v>
      </c>
      <c r="Y99" s="5" t="s">
        <v>760</v>
      </c>
      <c r="Z99" s="5" t="str">
        <f t="shared" si="2"/>
        <v>Medium</v>
      </c>
      <c r="AA99" s="5" t="s">
        <v>1319</v>
      </c>
      <c r="AB99" s="6" t="s">
        <v>1355</v>
      </c>
      <c r="AC99" s="6" t="s">
        <v>32</v>
      </c>
      <c r="AD99" s="5" t="s">
        <v>2278</v>
      </c>
      <c r="AE99" s="5" t="s">
        <v>1720</v>
      </c>
      <c r="AF99" s="5" t="s">
        <v>1720</v>
      </c>
      <c r="AG99" s="5" t="s">
        <v>1720</v>
      </c>
      <c r="AH99" s="5" t="s">
        <v>1720</v>
      </c>
      <c r="AI99" s="6" t="str">
        <f t="shared" si="3"/>
        <v>No</v>
      </c>
      <c r="AJ99" s="6" t="s">
        <v>2298</v>
      </c>
      <c r="AK99" s="6" t="s">
        <v>204</v>
      </c>
      <c r="AL99" s="6">
        <f>MATCH(AA99,{"Low","Medium","High"},0)*MATCH(AB99,{"Low","Medium","High"},0)*INDEX({3,2,2,1,1},MATCH(X99,{"Core","Vertical extension","Differentiator","Future","Adjacent"},0))</f>
        <v>6</v>
      </c>
      <c r="AM99" s="5"/>
      <c r="AN99" s="5"/>
      <c r="AO99" s="5"/>
      <c r="AP99" s="5"/>
      <c r="AQ99" s="5"/>
      <c r="AR99" s="5"/>
      <c r="AS99" s="5"/>
      <c r="AT99" s="5"/>
      <c r="AU99" s="6" t="s">
        <v>2317</v>
      </c>
      <c r="AV99" s="6" t="s">
        <v>3084</v>
      </c>
      <c r="AW99" s="6" t="s">
        <v>2898</v>
      </c>
      <c r="AX99" s="6" t="s">
        <v>2284</v>
      </c>
      <c r="AY99" s="6" t="s">
        <v>2285</v>
      </c>
      <c r="AZ99" s="6"/>
      <c r="BA99" s="6"/>
      <c r="BB99" s="6"/>
      <c r="BC99" s="6" t="s">
        <v>127</v>
      </c>
      <c r="BD99" s="6" t="s">
        <v>127</v>
      </c>
      <c r="BE99" s="6" t="s">
        <v>1477</v>
      </c>
      <c r="BF99" s="6" t="s">
        <v>2286</v>
      </c>
      <c r="BG99" s="6" t="s">
        <v>3169</v>
      </c>
      <c r="BH99" s="6" t="s">
        <v>3170</v>
      </c>
    </row>
    <row r="100" spans="1:60" ht="32" customHeight="1" x14ac:dyDescent="0.35">
      <c r="A100" s="13" t="s">
        <v>3171</v>
      </c>
      <c r="B100" s="6" t="s">
        <v>2265</v>
      </c>
      <c r="C100" s="5" t="s">
        <v>3084</v>
      </c>
      <c r="D100" s="5" t="s">
        <v>2185</v>
      </c>
      <c r="E100" s="5" t="s">
        <v>3172</v>
      </c>
      <c r="F100" s="5" t="s">
        <v>3173</v>
      </c>
      <c r="G100" s="5" t="s">
        <v>3174</v>
      </c>
      <c r="H100" s="5" t="s">
        <v>3175</v>
      </c>
      <c r="I100" s="5" t="s">
        <v>3176</v>
      </c>
      <c r="J100" s="16" t="s">
        <v>94</v>
      </c>
      <c r="K100" s="17" t="s">
        <v>1477</v>
      </c>
      <c r="L100" s="5" t="s">
        <v>3177</v>
      </c>
      <c r="M100" s="6" t="s">
        <v>1493</v>
      </c>
      <c r="N100" s="6" t="s">
        <v>2167</v>
      </c>
      <c r="O100" s="6" t="s">
        <v>94</v>
      </c>
      <c r="P100" s="5" t="s">
        <v>2272</v>
      </c>
      <c r="Q100" s="18" t="s">
        <v>1482</v>
      </c>
      <c r="R100" s="5" t="s">
        <v>3178</v>
      </c>
      <c r="S100" s="6" t="s">
        <v>2409</v>
      </c>
      <c r="T100" s="5" t="s">
        <v>2185</v>
      </c>
      <c r="U100" s="6"/>
      <c r="V100" s="6" t="s">
        <v>2410</v>
      </c>
      <c r="W100" s="6" t="s">
        <v>1699</v>
      </c>
      <c r="X100" s="5" t="s">
        <v>228</v>
      </c>
      <c r="Y100" s="5" t="s">
        <v>760</v>
      </c>
      <c r="Z100" s="5" t="str">
        <f t="shared" si="2"/>
        <v>Critical</v>
      </c>
      <c r="AA100" s="5" t="s">
        <v>1302</v>
      </c>
      <c r="AB100" s="6" t="s">
        <v>1319</v>
      </c>
      <c r="AC100" s="6" t="s">
        <v>99</v>
      </c>
      <c r="AD100" s="5" t="s">
        <v>2278</v>
      </c>
      <c r="AE100" s="5" t="s">
        <v>1720</v>
      </c>
      <c r="AF100" s="5" t="s">
        <v>1720</v>
      </c>
      <c r="AG100" s="5" t="s">
        <v>1720</v>
      </c>
      <c r="AH100" s="5" t="s">
        <v>1720</v>
      </c>
      <c r="AI100" s="6" t="str">
        <f t="shared" si="3"/>
        <v>No</v>
      </c>
      <c r="AJ100" s="6" t="s">
        <v>2298</v>
      </c>
      <c r="AK100" s="6" t="s">
        <v>94</v>
      </c>
      <c r="AL100" s="6">
        <f>MATCH(AA100,{"Low","Medium","High"},0)*MATCH(AB100,{"Low","Medium","High"},0)*INDEX({3,2,2,1,1},MATCH(X100,{"Core","Vertical extension","Differentiator","Future","Adjacent"},0))</f>
        <v>18</v>
      </c>
      <c r="AM100" s="5"/>
      <c r="AN100" s="5"/>
      <c r="AO100" s="5"/>
      <c r="AP100" s="5"/>
      <c r="AQ100" s="5"/>
      <c r="AR100" s="5"/>
      <c r="AS100" s="5"/>
      <c r="AT100" s="5"/>
      <c r="AU100" s="6" t="s">
        <v>2317</v>
      </c>
      <c r="AV100" s="6" t="s">
        <v>3084</v>
      </c>
      <c r="AW100" s="6" t="s">
        <v>2898</v>
      </c>
      <c r="AX100" s="6" t="s">
        <v>2284</v>
      </c>
      <c r="AY100" s="6" t="s">
        <v>2411</v>
      </c>
      <c r="AZ100" s="6"/>
      <c r="BA100" s="6" t="s">
        <v>3179</v>
      </c>
      <c r="BB100" s="6" t="s">
        <v>3180</v>
      </c>
      <c r="BC100" s="6" t="s">
        <v>127</v>
      </c>
      <c r="BD100" s="6" t="s">
        <v>127</v>
      </c>
      <c r="BE100" s="6"/>
      <c r="BF100" s="6"/>
      <c r="BG100" s="6"/>
      <c r="BH100" s="6"/>
    </row>
    <row r="101" spans="1:60" ht="32" customHeight="1" x14ac:dyDescent="0.35">
      <c r="A101" s="13" t="s">
        <v>3181</v>
      </c>
      <c r="B101" s="6" t="s">
        <v>2265</v>
      </c>
      <c r="C101" s="5" t="s">
        <v>1693</v>
      </c>
      <c r="D101" s="5" t="s">
        <v>2183</v>
      </c>
      <c r="E101" s="5" t="s">
        <v>3182</v>
      </c>
      <c r="F101" s="5" t="s">
        <v>2973</v>
      </c>
      <c r="G101" s="5" t="s">
        <v>3183</v>
      </c>
      <c r="H101" s="5" t="s">
        <v>3184</v>
      </c>
      <c r="I101" s="5" t="s">
        <v>3185</v>
      </c>
      <c r="J101" s="17" t="s">
        <v>162</v>
      </c>
      <c r="K101" s="17" t="s">
        <v>1477</v>
      </c>
      <c r="L101" s="5" t="s">
        <v>3186</v>
      </c>
      <c r="M101" s="6" t="s">
        <v>1493</v>
      </c>
      <c r="N101" s="6" t="s">
        <v>2167</v>
      </c>
      <c r="O101" s="6" t="s">
        <v>162</v>
      </c>
      <c r="P101" s="5" t="s">
        <v>2272</v>
      </c>
      <c r="Q101" s="17" t="s">
        <v>2273</v>
      </c>
      <c r="R101" s="5" t="s">
        <v>3187</v>
      </c>
      <c r="S101" s="6" t="s">
        <v>2438</v>
      </c>
      <c r="T101" s="5" t="s">
        <v>2439</v>
      </c>
      <c r="U101" s="6"/>
      <c r="V101" s="6" t="s">
        <v>2440</v>
      </c>
      <c r="W101" s="6" t="s">
        <v>1699</v>
      </c>
      <c r="X101" s="5" t="s">
        <v>228</v>
      </c>
      <c r="Y101" s="5" t="s">
        <v>1824</v>
      </c>
      <c r="Z101" s="5" t="str">
        <f t="shared" si="2"/>
        <v>Critical</v>
      </c>
      <c r="AA101" s="5" t="s">
        <v>1302</v>
      </c>
      <c r="AB101" s="6" t="s">
        <v>1302</v>
      </c>
      <c r="AC101" s="6" t="s">
        <v>135</v>
      </c>
      <c r="AD101" s="5" t="s">
        <v>2278</v>
      </c>
      <c r="AE101" s="5" t="s">
        <v>1720</v>
      </c>
      <c r="AF101" s="5" t="s">
        <v>1720</v>
      </c>
      <c r="AG101" s="5" t="s">
        <v>1720</v>
      </c>
      <c r="AH101" s="5" t="s">
        <v>1720</v>
      </c>
      <c r="AI101" s="6" t="str">
        <f t="shared" si="3"/>
        <v>No</v>
      </c>
      <c r="AJ101" s="6" t="s">
        <v>2298</v>
      </c>
      <c r="AK101" s="6" t="s">
        <v>162</v>
      </c>
      <c r="AL101" s="6">
        <f>MATCH(AA101,{"Low","Medium","High"},0)*MATCH(AB101,{"Low","Medium","High"},0)*INDEX({3,2,2,1,1},MATCH(X101,{"Core","Vertical extension","Differentiator","Future","Adjacent"},0))</f>
        <v>27</v>
      </c>
      <c r="AM101" s="5"/>
      <c r="AN101" s="5"/>
      <c r="AO101" s="5"/>
      <c r="AP101" s="5"/>
      <c r="AQ101" s="5"/>
      <c r="AR101" s="5"/>
      <c r="AS101" s="5"/>
      <c r="AT101" s="5"/>
      <c r="AU101" s="6" t="s">
        <v>2317</v>
      </c>
      <c r="AV101" s="6" t="s">
        <v>76</v>
      </c>
      <c r="AW101" s="6" t="s">
        <v>76</v>
      </c>
      <c r="AX101" s="6" t="s">
        <v>2284</v>
      </c>
      <c r="AY101" s="6" t="s">
        <v>2285</v>
      </c>
      <c r="AZ101" s="6"/>
      <c r="BA101" s="6"/>
      <c r="BB101" s="6"/>
      <c r="BC101" s="6" t="s">
        <v>127</v>
      </c>
      <c r="BD101" s="6" t="s">
        <v>127</v>
      </c>
      <c r="BE101" s="6" t="s">
        <v>1477</v>
      </c>
      <c r="BF101" s="6" t="s">
        <v>2286</v>
      </c>
      <c r="BG101" s="6" t="s">
        <v>3188</v>
      </c>
      <c r="BH101" s="6" t="s">
        <v>3189</v>
      </c>
    </row>
    <row r="102" spans="1:60" ht="32" customHeight="1" x14ac:dyDescent="0.35">
      <c r="A102" s="13" t="s">
        <v>3190</v>
      </c>
      <c r="B102" s="6" t="s">
        <v>2265</v>
      </c>
      <c r="C102" s="5" t="s">
        <v>1693</v>
      </c>
      <c r="D102" s="5" t="s">
        <v>2183</v>
      </c>
      <c r="E102" s="5" t="s">
        <v>3191</v>
      </c>
      <c r="F102" s="5" t="s">
        <v>2973</v>
      </c>
      <c r="G102" s="5" t="s">
        <v>1669</v>
      </c>
      <c r="H102" s="5" t="s">
        <v>3192</v>
      </c>
      <c r="I102" s="5" t="s">
        <v>3193</v>
      </c>
      <c r="J102" s="17" t="s">
        <v>162</v>
      </c>
      <c r="K102" s="17" t="s">
        <v>1477</v>
      </c>
      <c r="L102" s="5" t="s">
        <v>3194</v>
      </c>
      <c r="M102" s="6" t="s">
        <v>1493</v>
      </c>
      <c r="N102" s="6" t="s">
        <v>2167</v>
      </c>
      <c r="O102" s="6" t="s">
        <v>162</v>
      </c>
      <c r="P102" s="5" t="s">
        <v>2272</v>
      </c>
      <c r="Q102" s="17" t="s">
        <v>2273</v>
      </c>
      <c r="R102" s="5" t="s">
        <v>3195</v>
      </c>
      <c r="S102" s="6" t="s">
        <v>2438</v>
      </c>
      <c r="T102" s="5" t="s">
        <v>2439</v>
      </c>
      <c r="U102" s="6"/>
      <c r="V102" s="6" t="s">
        <v>2440</v>
      </c>
      <c r="W102" s="6" t="s">
        <v>1699</v>
      </c>
      <c r="X102" s="5" t="s">
        <v>228</v>
      </c>
      <c r="Y102" s="5" t="s">
        <v>1824</v>
      </c>
      <c r="Z102" s="5" t="str">
        <f t="shared" si="2"/>
        <v>Critical</v>
      </c>
      <c r="AA102" s="5" t="s">
        <v>1302</v>
      </c>
      <c r="AB102" s="6" t="s">
        <v>1302</v>
      </c>
      <c r="AC102" s="6" t="s">
        <v>135</v>
      </c>
      <c r="AD102" s="5" t="s">
        <v>2278</v>
      </c>
      <c r="AE102" s="5" t="s">
        <v>1720</v>
      </c>
      <c r="AF102" s="5" t="s">
        <v>1720</v>
      </c>
      <c r="AG102" s="5" t="s">
        <v>1720</v>
      </c>
      <c r="AH102" s="5" t="s">
        <v>1720</v>
      </c>
      <c r="AI102" s="6" t="str">
        <f t="shared" si="3"/>
        <v>No</v>
      </c>
      <c r="AJ102" s="6" t="s">
        <v>2298</v>
      </c>
      <c r="AK102" s="6" t="s">
        <v>162</v>
      </c>
      <c r="AL102" s="6">
        <f>MATCH(AA102,{"Low","Medium","High"},0)*MATCH(AB102,{"Low","Medium","High"},0)*INDEX({3,2,2,1,1},MATCH(X102,{"Core","Vertical extension","Differentiator","Future","Adjacent"},0))</f>
        <v>27</v>
      </c>
      <c r="AM102" s="5"/>
      <c r="AN102" s="5"/>
      <c r="AO102" s="5"/>
      <c r="AP102" s="5"/>
      <c r="AQ102" s="5"/>
      <c r="AR102" s="5"/>
      <c r="AS102" s="5"/>
      <c r="AT102" s="5"/>
      <c r="AU102" s="6" t="s">
        <v>2317</v>
      </c>
      <c r="AV102" s="6" t="s">
        <v>76</v>
      </c>
      <c r="AW102" s="6" t="s">
        <v>76</v>
      </c>
      <c r="AX102" s="6" t="s">
        <v>2284</v>
      </c>
      <c r="AY102" s="6" t="s">
        <v>2285</v>
      </c>
      <c r="AZ102" s="6"/>
      <c r="BA102" s="6"/>
      <c r="BB102" s="6"/>
      <c r="BC102" s="6" t="s">
        <v>127</v>
      </c>
      <c r="BD102" s="6" t="s">
        <v>127</v>
      </c>
      <c r="BE102" s="6" t="s">
        <v>1477</v>
      </c>
      <c r="BF102" s="6" t="s">
        <v>2286</v>
      </c>
      <c r="BG102" s="6" t="s">
        <v>3196</v>
      </c>
      <c r="BH102" s="6" t="s">
        <v>3197</v>
      </c>
    </row>
    <row r="103" spans="1:60" ht="32" customHeight="1" x14ac:dyDescent="0.35">
      <c r="A103" s="13" t="s">
        <v>3198</v>
      </c>
      <c r="B103" s="6" t="s">
        <v>2265</v>
      </c>
      <c r="C103" s="5" t="s">
        <v>1693</v>
      </c>
      <c r="D103" s="5" t="s">
        <v>2183</v>
      </c>
      <c r="E103" s="5" t="s">
        <v>3199</v>
      </c>
      <c r="F103" s="5" t="s">
        <v>2973</v>
      </c>
      <c r="G103" s="5" t="s">
        <v>2974</v>
      </c>
      <c r="H103" s="5" t="s">
        <v>3200</v>
      </c>
      <c r="I103" s="5" t="s">
        <v>3201</v>
      </c>
      <c r="J103" s="16" t="s">
        <v>94</v>
      </c>
      <c r="K103" s="17" t="s">
        <v>1477</v>
      </c>
      <c r="L103" s="5" t="s">
        <v>3202</v>
      </c>
      <c r="M103" s="6" t="s">
        <v>1493</v>
      </c>
      <c r="N103" s="6" t="s">
        <v>2167</v>
      </c>
      <c r="O103" s="6" t="s">
        <v>94</v>
      </c>
      <c r="P103" s="5" t="s">
        <v>2272</v>
      </c>
      <c r="Q103" s="17" t="s">
        <v>2273</v>
      </c>
      <c r="R103" s="5" t="s">
        <v>3203</v>
      </c>
      <c r="S103" s="6" t="s">
        <v>2438</v>
      </c>
      <c r="T103" s="5" t="s">
        <v>2439</v>
      </c>
      <c r="U103" s="6"/>
      <c r="V103" s="6" t="s">
        <v>2440</v>
      </c>
      <c r="W103" s="6" t="s">
        <v>1699</v>
      </c>
      <c r="X103" s="5" t="s">
        <v>228</v>
      </c>
      <c r="Y103" s="5" t="s">
        <v>1824</v>
      </c>
      <c r="Z103" s="5" t="str">
        <f t="shared" si="2"/>
        <v>Critical</v>
      </c>
      <c r="AA103" s="5" t="s">
        <v>1302</v>
      </c>
      <c r="AB103" s="6" t="s">
        <v>1302</v>
      </c>
      <c r="AC103" s="6" t="s">
        <v>99</v>
      </c>
      <c r="AD103" s="5" t="s">
        <v>2278</v>
      </c>
      <c r="AE103" s="5" t="s">
        <v>1720</v>
      </c>
      <c r="AF103" s="5" t="s">
        <v>1720</v>
      </c>
      <c r="AG103" s="5" t="s">
        <v>1720</v>
      </c>
      <c r="AH103" s="5" t="s">
        <v>1720</v>
      </c>
      <c r="AI103" s="6" t="str">
        <f t="shared" si="3"/>
        <v>No</v>
      </c>
      <c r="AJ103" s="6" t="s">
        <v>2279</v>
      </c>
      <c r="AK103" s="6" t="s">
        <v>94</v>
      </c>
      <c r="AL103" s="6">
        <f>MATCH(AA103,{"Low","Medium","High"},0)*MATCH(AB103,{"Low","Medium","High"},0)*INDEX({3,2,2,1,1},MATCH(X103,{"Core","Vertical extension","Differentiator","Future","Adjacent"},0))</f>
        <v>27</v>
      </c>
      <c r="AM103" s="5"/>
      <c r="AN103" s="5"/>
      <c r="AO103" s="5"/>
      <c r="AP103" s="5"/>
      <c r="AQ103" s="5"/>
      <c r="AR103" s="5" t="s">
        <v>3204</v>
      </c>
      <c r="AS103" s="5" t="s">
        <v>1462</v>
      </c>
      <c r="AT103" s="5" t="s">
        <v>2281</v>
      </c>
      <c r="AU103" s="6" t="s">
        <v>2282</v>
      </c>
      <c r="AV103" s="6" t="s">
        <v>76</v>
      </c>
      <c r="AW103" s="6" t="s">
        <v>76</v>
      </c>
      <c r="AX103" s="6" t="s">
        <v>2284</v>
      </c>
      <c r="AY103" s="6" t="s">
        <v>2285</v>
      </c>
      <c r="AZ103" s="6"/>
      <c r="BA103" s="6"/>
      <c r="BB103" s="6"/>
      <c r="BC103" s="6" t="s">
        <v>127</v>
      </c>
      <c r="BD103" s="6" t="s">
        <v>127</v>
      </c>
      <c r="BE103" s="6" t="s">
        <v>1477</v>
      </c>
      <c r="BF103" s="6" t="s">
        <v>2286</v>
      </c>
      <c r="BG103" s="6" t="s">
        <v>3205</v>
      </c>
      <c r="BH103" s="6" t="s">
        <v>3206</v>
      </c>
    </row>
    <row r="104" spans="1:60" ht="32" customHeight="1" x14ac:dyDescent="0.35">
      <c r="A104" s="13" t="s">
        <v>3207</v>
      </c>
      <c r="B104" s="6" t="s">
        <v>2265</v>
      </c>
      <c r="C104" s="5" t="s">
        <v>1693</v>
      </c>
      <c r="D104" s="5" t="s">
        <v>2183</v>
      </c>
      <c r="E104" s="5" t="s">
        <v>3208</v>
      </c>
      <c r="F104" s="5" t="s">
        <v>2973</v>
      </c>
      <c r="G104" s="5" t="s">
        <v>3209</v>
      </c>
      <c r="H104" s="5" t="s">
        <v>3210</v>
      </c>
      <c r="I104" s="5" t="s">
        <v>3211</v>
      </c>
      <c r="J104" s="17" t="s">
        <v>162</v>
      </c>
      <c r="K104" s="17" t="s">
        <v>1477</v>
      </c>
      <c r="L104" s="5" t="s">
        <v>3212</v>
      </c>
      <c r="M104" s="6" t="s">
        <v>1493</v>
      </c>
      <c r="N104" s="6" t="s">
        <v>2167</v>
      </c>
      <c r="O104" s="6" t="s">
        <v>162</v>
      </c>
      <c r="P104" s="5" t="s">
        <v>2272</v>
      </c>
      <c r="Q104" s="17" t="s">
        <v>2273</v>
      </c>
      <c r="R104" s="5" t="s">
        <v>3213</v>
      </c>
      <c r="S104" s="6" t="s">
        <v>2438</v>
      </c>
      <c r="T104" s="5" t="s">
        <v>2439</v>
      </c>
      <c r="U104" s="6"/>
      <c r="V104" s="6" t="s">
        <v>2440</v>
      </c>
      <c r="W104" s="6" t="s">
        <v>1699</v>
      </c>
      <c r="X104" s="5" t="s">
        <v>228</v>
      </c>
      <c r="Y104" s="5" t="s">
        <v>1824</v>
      </c>
      <c r="Z104" s="5" t="str">
        <f t="shared" si="2"/>
        <v>Critical</v>
      </c>
      <c r="AA104" s="5" t="s">
        <v>1302</v>
      </c>
      <c r="AB104" s="6" t="s">
        <v>1302</v>
      </c>
      <c r="AC104" s="6" t="s">
        <v>135</v>
      </c>
      <c r="AD104" s="5" t="s">
        <v>2278</v>
      </c>
      <c r="AE104" s="5" t="s">
        <v>1720</v>
      </c>
      <c r="AF104" s="5" t="s">
        <v>1720</v>
      </c>
      <c r="AG104" s="5" t="s">
        <v>1720</v>
      </c>
      <c r="AH104" s="5" t="s">
        <v>1720</v>
      </c>
      <c r="AI104" s="6" t="str">
        <f t="shared" si="3"/>
        <v>No</v>
      </c>
      <c r="AJ104" s="6" t="s">
        <v>2298</v>
      </c>
      <c r="AK104" s="6" t="s">
        <v>162</v>
      </c>
      <c r="AL104" s="6">
        <f>MATCH(AA104,{"Low","Medium","High"},0)*MATCH(AB104,{"Low","Medium","High"},0)*INDEX({3,2,2,1,1},MATCH(X104,{"Core","Vertical extension","Differentiator","Future","Adjacent"},0))</f>
        <v>27</v>
      </c>
      <c r="AM104" s="5"/>
      <c r="AN104" s="5"/>
      <c r="AO104" s="5"/>
      <c r="AP104" s="5"/>
      <c r="AQ104" s="5"/>
      <c r="AR104" s="5"/>
      <c r="AS104" s="5"/>
      <c r="AT104" s="5"/>
      <c r="AU104" s="6" t="s">
        <v>2317</v>
      </c>
      <c r="AV104" s="6" t="s">
        <v>76</v>
      </c>
      <c r="AW104" s="6" t="s">
        <v>76</v>
      </c>
      <c r="AX104" s="6" t="s">
        <v>2284</v>
      </c>
      <c r="AY104" s="6" t="s">
        <v>2285</v>
      </c>
      <c r="AZ104" s="6"/>
      <c r="BA104" s="6"/>
      <c r="BB104" s="6"/>
      <c r="BC104" s="6" t="s">
        <v>127</v>
      </c>
      <c r="BD104" s="6" t="s">
        <v>127</v>
      </c>
      <c r="BE104" s="6" t="s">
        <v>1477</v>
      </c>
      <c r="BF104" s="6" t="s">
        <v>2286</v>
      </c>
      <c r="BG104" s="6" t="s">
        <v>3205</v>
      </c>
      <c r="BH104" s="6" t="s">
        <v>3214</v>
      </c>
    </row>
    <row r="105" spans="1:60" ht="32" customHeight="1" x14ac:dyDescent="0.35">
      <c r="A105" s="13" t="s">
        <v>3215</v>
      </c>
      <c r="B105" s="6" t="s">
        <v>2265</v>
      </c>
      <c r="C105" s="5" t="s">
        <v>1693</v>
      </c>
      <c r="D105" s="5" t="s">
        <v>2183</v>
      </c>
      <c r="E105" s="5" t="s">
        <v>3216</v>
      </c>
      <c r="F105" s="5" t="s">
        <v>2973</v>
      </c>
      <c r="G105" s="5" t="s">
        <v>3217</v>
      </c>
      <c r="H105" s="5" t="s">
        <v>3218</v>
      </c>
      <c r="I105" s="5" t="s">
        <v>3219</v>
      </c>
      <c r="J105" s="16" t="s">
        <v>94</v>
      </c>
      <c r="K105" s="17" t="s">
        <v>1477</v>
      </c>
      <c r="L105" s="5" t="s">
        <v>3220</v>
      </c>
      <c r="M105" s="6" t="s">
        <v>1493</v>
      </c>
      <c r="N105" s="6" t="s">
        <v>2167</v>
      </c>
      <c r="O105" s="6" t="s">
        <v>94</v>
      </c>
      <c r="P105" s="5" t="s">
        <v>2272</v>
      </c>
      <c r="Q105" s="17" t="s">
        <v>2273</v>
      </c>
      <c r="R105" s="5" t="s">
        <v>3221</v>
      </c>
      <c r="S105" s="6" t="s">
        <v>2438</v>
      </c>
      <c r="T105" s="5" t="s">
        <v>2439</v>
      </c>
      <c r="U105" s="6"/>
      <c r="V105" s="6" t="s">
        <v>2440</v>
      </c>
      <c r="W105" s="6" t="s">
        <v>1699</v>
      </c>
      <c r="X105" s="5" t="s">
        <v>228</v>
      </c>
      <c r="Y105" s="5" t="s">
        <v>1824</v>
      </c>
      <c r="Z105" s="5" t="str">
        <f t="shared" si="2"/>
        <v>Critical</v>
      </c>
      <c r="AA105" s="5" t="s">
        <v>1302</v>
      </c>
      <c r="AB105" s="6" t="s">
        <v>1302</v>
      </c>
      <c r="AC105" s="6" t="s">
        <v>99</v>
      </c>
      <c r="AD105" s="5" t="s">
        <v>2278</v>
      </c>
      <c r="AE105" s="5" t="s">
        <v>1720</v>
      </c>
      <c r="AF105" s="5" t="s">
        <v>1720</v>
      </c>
      <c r="AG105" s="5" t="s">
        <v>1720</v>
      </c>
      <c r="AH105" s="5" t="s">
        <v>1720</v>
      </c>
      <c r="AI105" s="6" t="str">
        <f t="shared" si="3"/>
        <v>No</v>
      </c>
      <c r="AJ105" s="6" t="s">
        <v>2279</v>
      </c>
      <c r="AK105" s="6" t="s">
        <v>94</v>
      </c>
      <c r="AL105" s="6">
        <f>MATCH(AA105,{"Low","Medium","High"},0)*MATCH(AB105,{"Low","Medium","High"},0)*INDEX({3,2,2,1,1},MATCH(X105,{"Core","Vertical extension","Differentiator","Future","Adjacent"},0))</f>
        <v>27</v>
      </c>
      <c r="AM105" s="5"/>
      <c r="AN105" s="5"/>
      <c r="AO105" s="5"/>
      <c r="AP105" s="5"/>
      <c r="AQ105" s="5"/>
      <c r="AR105" s="5" t="s">
        <v>3222</v>
      </c>
      <c r="AS105" s="5" t="s">
        <v>1462</v>
      </c>
      <c r="AT105" s="5" t="s">
        <v>2281</v>
      </c>
      <c r="AU105" s="6" t="s">
        <v>2282</v>
      </c>
      <c r="AV105" s="6" t="s">
        <v>76</v>
      </c>
      <c r="AW105" s="6" t="s">
        <v>76</v>
      </c>
      <c r="AX105" s="6" t="s">
        <v>2284</v>
      </c>
      <c r="AY105" s="6" t="s">
        <v>2285</v>
      </c>
      <c r="AZ105" s="6"/>
      <c r="BA105" s="6"/>
      <c r="BB105" s="6"/>
      <c r="BC105" s="6" t="s">
        <v>127</v>
      </c>
      <c r="BD105" s="6" t="s">
        <v>127</v>
      </c>
      <c r="BE105" s="6" t="s">
        <v>1477</v>
      </c>
      <c r="BF105" s="6" t="s">
        <v>2286</v>
      </c>
      <c r="BG105" s="6" t="s">
        <v>3223</v>
      </c>
      <c r="BH105" s="6" t="s">
        <v>3224</v>
      </c>
    </row>
    <row r="106" spans="1:60" ht="32" customHeight="1" x14ac:dyDescent="0.35">
      <c r="A106" s="13" t="s">
        <v>3225</v>
      </c>
      <c r="B106" s="6" t="s">
        <v>2265</v>
      </c>
      <c r="C106" s="5" t="s">
        <v>1693</v>
      </c>
      <c r="D106" s="5" t="s">
        <v>2183</v>
      </c>
      <c r="E106" s="5" t="s">
        <v>3226</v>
      </c>
      <c r="F106" s="5" t="s">
        <v>2973</v>
      </c>
      <c r="G106" s="5" t="s">
        <v>2974</v>
      </c>
      <c r="H106" s="5" t="s">
        <v>3227</v>
      </c>
      <c r="I106" s="5" t="s">
        <v>3228</v>
      </c>
      <c r="J106" s="17" t="s">
        <v>162</v>
      </c>
      <c r="K106" s="17" t="s">
        <v>1477</v>
      </c>
      <c r="L106" s="5" t="s">
        <v>3229</v>
      </c>
      <c r="M106" s="6" t="s">
        <v>1493</v>
      </c>
      <c r="N106" s="6" t="s">
        <v>2167</v>
      </c>
      <c r="O106" s="6" t="s">
        <v>162</v>
      </c>
      <c r="P106" s="5" t="s">
        <v>2272</v>
      </c>
      <c r="Q106" s="17" t="s">
        <v>2273</v>
      </c>
      <c r="R106" s="5" t="s">
        <v>3230</v>
      </c>
      <c r="S106" s="6" t="s">
        <v>2438</v>
      </c>
      <c r="T106" s="5" t="s">
        <v>2439</v>
      </c>
      <c r="U106" s="6"/>
      <c r="V106" s="6" t="s">
        <v>2440</v>
      </c>
      <c r="W106" s="6" t="s">
        <v>1699</v>
      </c>
      <c r="X106" s="5" t="s">
        <v>228</v>
      </c>
      <c r="Y106" s="5" t="s">
        <v>1824</v>
      </c>
      <c r="Z106" s="5" t="str">
        <f t="shared" si="2"/>
        <v>Critical</v>
      </c>
      <c r="AA106" s="5" t="s">
        <v>1302</v>
      </c>
      <c r="AB106" s="6" t="s">
        <v>1302</v>
      </c>
      <c r="AC106" s="6" t="s">
        <v>135</v>
      </c>
      <c r="AD106" s="5" t="s">
        <v>2278</v>
      </c>
      <c r="AE106" s="5" t="s">
        <v>1720</v>
      </c>
      <c r="AF106" s="5" t="s">
        <v>1720</v>
      </c>
      <c r="AG106" s="5" t="s">
        <v>1720</v>
      </c>
      <c r="AH106" s="5" t="s">
        <v>1720</v>
      </c>
      <c r="AI106" s="6" t="str">
        <f t="shared" si="3"/>
        <v>No</v>
      </c>
      <c r="AJ106" s="6" t="s">
        <v>2298</v>
      </c>
      <c r="AK106" s="6" t="s">
        <v>162</v>
      </c>
      <c r="AL106" s="6">
        <f>MATCH(AA106,{"Low","Medium","High"},0)*MATCH(AB106,{"Low","Medium","High"},0)*INDEX({3,2,2,1,1},MATCH(X106,{"Core","Vertical extension","Differentiator","Future","Adjacent"},0))</f>
        <v>27</v>
      </c>
      <c r="AM106" s="5"/>
      <c r="AN106" s="5"/>
      <c r="AO106" s="5"/>
      <c r="AP106" s="5"/>
      <c r="AQ106" s="5"/>
      <c r="AR106" s="5"/>
      <c r="AS106" s="5"/>
      <c r="AT106" s="5"/>
      <c r="AU106" s="6" t="s">
        <v>2317</v>
      </c>
      <c r="AV106" s="6" t="s">
        <v>76</v>
      </c>
      <c r="AW106" s="6" t="s">
        <v>76</v>
      </c>
      <c r="AX106" s="6" t="s">
        <v>2284</v>
      </c>
      <c r="AY106" s="6" t="s">
        <v>2285</v>
      </c>
      <c r="AZ106" s="6"/>
      <c r="BA106" s="6"/>
      <c r="BB106" s="6"/>
      <c r="BC106" s="6" t="s">
        <v>127</v>
      </c>
      <c r="BD106" s="6" t="s">
        <v>127</v>
      </c>
      <c r="BE106" s="6" t="s">
        <v>1477</v>
      </c>
      <c r="BF106" s="6" t="s">
        <v>2286</v>
      </c>
      <c r="BG106" s="6" t="s">
        <v>3231</v>
      </c>
      <c r="BH106" s="6" t="s">
        <v>3232</v>
      </c>
    </row>
    <row r="107" spans="1:60" ht="32" customHeight="1" x14ac:dyDescent="0.35">
      <c r="A107" s="13" t="s">
        <v>3233</v>
      </c>
      <c r="B107" s="6" t="s">
        <v>2265</v>
      </c>
      <c r="C107" s="5" t="s">
        <v>1693</v>
      </c>
      <c r="D107" s="5" t="s">
        <v>2183</v>
      </c>
      <c r="E107" s="5" t="s">
        <v>3234</v>
      </c>
      <c r="F107" s="5" t="s">
        <v>2973</v>
      </c>
      <c r="G107" s="5" t="s">
        <v>2507</v>
      </c>
      <c r="H107" s="5" t="s">
        <v>3235</v>
      </c>
      <c r="I107" s="5" t="s">
        <v>3236</v>
      </c>
      <c r="J107" s="17" t="s">
        <v>162</v>
      </c>
      <c r="K107" s="17" t="s">
        <v>1477</v>
      </c>
      <c r="L107" s="5" t="s">
        <v>3237</v>
      </c>
      <c r="M107" s="6" t="s">
        <v>1493</v>
      </c>
      <c r="N107" s="6" t="s">
        <v>2167</v>
      </c>
      <c r="O107" s="6" t="s">
        <v>162</v>
      </c>
      <c r="P107" s="5" t="s">
        <v>2272</v>
      </c>
      <c r="Q107" s="17" t="s">
        <v>2273</v>
      </c>
      <c r="R107" s="5" t="s">
        <v>3238</v>
      </c>
      <c r="S107" s="6" t="s">
        <v>2438</v>
      </c>
      <c r="T107" s="5" t="s">
        <v>2439</v>
      </c>
      <c r="U107" s="6"/>
      <c r="V107" s="6" t="s">
        <v>2440</v>
      </c>
      <c r="W107" s="6" t="s">
        <v>1699</v>
      </c>
      <c r="X107" s="5" t="s">
        <v>228</v>
      </c>
      <c r="Y107" s="5" t="s">
        <v>1824</v>
      </c>
      <c r="Z107" s="5" t="str">
        <f t="shared" si="2"/>
        <v>Critical</v>
      </c>
      <c r="AA107" s="5" t="s">
        <v>1302</v>
      </c>
      <c r="AB107" s="6" t="s">
        <v>1302</v>
      </c>
      <c r="AC107" s="6" t="s">
        <v>135</v>
      </c>
      <c r="AD107" s="5" t="s">
        <v>2278</v>
      </c>
      <c r="AE107" s="5" t="s">
        <v>1720</v>
      </c>
      <c r="AF107" s="5" t="s">
        <v>1720</v>
      </c>
      <c r="AG107" s="5" t="s">
        <v>1720</v>
      </c>
      <c r="AH107" s="5" t="s">
        <v>1720</v>
      </c>
      <c r="AI107" s="6" t="str">
        <f t="shared" si="3"/>
        <v>No</v>
      </c>
      <c r="AJ107" s="6" t="s">
        <v>2298</v>
      </c>
      <c r="AK107" s="6" t="s">
        <v>162</v>
      </c>
      <c r="AL107" s="6">
        <f>MATCH(AA107,{"Low","Medium","High"},0)*MATCH(AB107,{"Low","Medium","High"},0)*INDEX({3,2,2,1,1},MATCH(X107,{"Core","Vertical extension","Differentiator","Future","Adjacent"},0))</f>
        <v>27</v>
      </c>
      <c r="AM107" s="5"/>
      <c r="AN107" s="5"/>
      <c r="AO107" s="5"/>
      <c r="AP107" s="5"/>
      <c r="AQ107" s="5"/>
      <c r="AR107" s="5"/>
      <c r="AS107" s="5"/>
      <c r="AT107" s="5"/>
      <c r="AU107" s="6" t="s">
        <v>2317</v>
      </c>
      <c r="AV107" s="6" t="s">
        <v>76</v>
      </c>
      <c r="AW107" s="6" t="s">
        <v>76</v>
      </c>
      <c r="AX107" s="6" t="s">
        <v>2284</v>
      </c>
      <c r="AY107" s="6" t="s">
        <v>2285</v>
      </c>
      <c r="AZ107" s="6"/>
      <c r="BA107" s="6"/>
      <c r="BB107" s="6"/>
      <c r="BC107" s="6" t="s">
        <v>127</v>
      </c>
      <c r="BD107" s="6" t="s">
        <v>127</v>
      </c>
      <c r="BE107" s="6" t="s">
        <v>1477</v>
      </c>
      <c r="BF107" s="6" t="s">
        <v>2286</v>
      </c>
      <c r="BG107" s="6" t="s">
        <v>3239</v>
      </c>
      <c r="BH107" s="6" t="s">
        <v>3240</v>
      </c>
    </row>
    <row r="108" spans="1:60" ht="32" customHeight="1" x14ac:dyDescent="0.35">
      <c r="A108" s="13" t="s">
        <v>3241</v>
      </c>
      <c r="B108" s="6" t="s">
        <v>2265</v>
      </c>
      <c r="C108" s="5" t="s">
        <v>1693</v>
      </c>
      <c r="D108" s="5" t="s">
        <v>2183</v>
      </c>
      <c r="E108" s="5" t="s">
        <v>3242</v>
      </c>
      <c r="F108" s="5" t="s">
        <v>2973</v>
      </c>
      <c r="G108" s="5" t="s">
        <v>3043</v>
      </c>
      <c r="H108" s="5" t="s">
        <v>3243</v>
      </c>
      <c r="I108" s="5" t="s">
        <v>3244</v>
      </c>
      <c r="J108" s="16" t="s">
        <v>94</v>
      </c>
      <c r="K108" s="17" t="s">
        <v>1477</v>
      </c>
      <c r="L108" s="5" t="s">
        <v>3245</v>
      </c>
      <c r="M108" s="6" t="s">
        <v>1493</v>
      </c>
      <c r="N108" s="6" t="s">
        <v>2167</v>
      </c>
      <c r="O108" s="6" t="s">
        <v>94</v>
      </c>
      <c r="P108" s="5" t="s">
        <v>2272</v>
      </c>
      <c r="Q108" s="17" t="s">
        <v>2273</v>
      </c>
      <c r="R108" s="5" t="s">
        <v>3246</v>
      </c>
      <c r="S108" s="6" t="s">
        <v>2438</v>
      </c>
      <c r="T108" s="5" t="s">
        <v>2439</v>
      </c>
      <c r="U108" s="6"/>
      <c r="V108" s="6" t="s">
        <v>2440</v>
      </c>
      <c r="W108" s="6" t="s">
        <v>1699</v>
      </c>
      <c r="X108" s="5" t="s">
        <v>228</v>
      </c>
      <c r="Y108" s="5" t="s">
        <v>1824</v>
      </c>
      <c r="Z108" s="5" t="str">
        <f t="shared" si="2"/>
        <v>Critical</v>
      </c>
      <c r="AA108" s="5" t="s">
        <v>1302</v>
      </c>
      <c r="AB108" s="6" t="s">
        <v>1302</v>
      </c>
      <c r="AC108" s="6" t="s">
        <v>99</v>
      </c>
      <c r="AD108" s="5" t="s">
        <v>2278</v>
      </c>
      <c r="AE108" s="5" t="s">
        <v>1720</v>
      </c>
      <c r="AF108" s="5" t="s">
        <v>1720</v>
      </c>
      <c r="AG108" s="5" t="s">
        <v>1720</v>
      </c>
      <c r="AH108" s="5" t="s">
        <v>1720</v>
      </c>
      <c r="AI108" s="6" t="str">
        <f t="shared" si="3"/>
        <v>No</v>
      </c>
      <c r="AJ108" s="6" t="s">
        <v>2298</v>
      </c>
      <c r="AK108" s="6" t="s">
        <v>94</v>
      </c>
      <c r="AL108" s="6">
        <f>MATCH(AA108,{"Low","Medium","High"},0)*MATCH(AB108,{"Low","Medium","High"},0)*INDEX({3,2,2,1,1},MATCH(X108,{"Core","Vertical extension","Differentiator","Future","Adjacent"},0))</f>
        <v>27</v>
      </c>
      <c r="AM108" s="5"/>
      <c r="AN108" s="5"/>
      <c r="AO108" s="5"/>
      <c r="AP108" s="5"/>
      <c r="AQ108" s="5"/>
      <c r="AR108" s="5" t="s">
        <v>3247</v>
      </c>
      <c r="AS108" s="5" t="s">
        <v>1462</v>
      </c>
      <c r="AT108" s="5" t="s">
        <v>2281</v>
      </c>
      <c r="AU108" s="6" t="s">
        <v>95</v>
      </c>
      <c r="AV108" s="6" t="s">
        <v>76</v>
      </c>
      <c r="AW108" s="6" t="s">
        <v>76</v>
      </c>
      <c r="AX108" s="6" t="s">
        <v>2284</v>
      </c>
      <c r="AY108" s="6" t="s">
        <v>2285</v>
      </c>
      <c r="AZ108" s="6"/>
      <c r="BA108" s="6"/>
      <c r="BB108" s="6"/>
      <c r="BC108" s="6" t="s">
        <v>127</v>
      </c>
      <c r="BD108" s="6" t="s">
        <v>127</v>
      </c>
      <c r="BE108" s="6" t="s">
        <v>1477</v>
      </c>
      <c r="BF108" s="6" t="s">
        <v>2286</v>
      </c>
      <c r="BG108" s="6" t="s">
        <v>3248</v>
      </c>
      <c r="BH108" s="6" t="s">
        <v>3249</v>
      </c>
    </row>
    <row r="109" spans="1:60" ht="32" customHeight="1" x14ac:dyDescent="0.35">
      <c r="A109" s="13" t="s">
        <v>3250</v>
      </c>
      <c r="B109" s="6" t="s">
        <v>2265</v>
      </c>
      <c r="C109" s="5" t="s">
        <v>1693</v>
      </c>
      <c r="D109" s="5" t="s">
        <v>2183</v>
      </c>
      <c r="E109" s="5" t="s">
        <v>3251</v>
      </c>
      <c r="F109" s="5" t="s">
        <v>2973</v>
      </c>
      <c r="G109" s="5" t="s">
        <v>2974</v>
      </c>
      <c r="H109" s="5" t="s">
        <v>3252</v>
      </c>
      <c r="I109" s="5" t="s">
        <v>3253</v>
      </c>
      <c r="J109" s="16" t="s">
        <v>94</v>
      </c>
      <c r="K109" s="17" t="s">
        <v>1477</v>
      </c>
      <c r="L109" s="5" t="s">
        <v>3254</v>
      </c>
      <c r="M109" s="6" t="s">
        <v>1493</v>
      </c>
      <c r="N109" s="6" t="s">
        <v>2167</v>
      </c>
      <c r="O109" s="6" t="s">
        <v>94</v>
      </c>
      <c r="P109" s="5" t="s">
        <v>2272</v>
      </c>
      <c r="Q109" s="17" t="s">
        <v>2273</v>
      </c>
      <c r="R109" s="5" t="s">
        <v>3255</v>
      </c>
      <c r="S109" s="6" t="s">
        <v>2438</v>
      </c>
      <c r="T109" s="5" t="s">
        <v>2439</v>
      </c>
      <c r="U109" s="6"/>
      <c r="V109" s="6" t="s">
        <v>2440</v>
      </c>
      <c r="W109" s="6" t="s">
        <v>1699</v>
      </c>
      <c r="X109" s="5" t="s">
        <v>228</v>
      </c>
      <c r="Y109" s="5" t="s">
        <v>1824</v>
      </c>
      <c r="Z109" s="5" t="str">
        <f t="shared" si="2"/>
        <v>Critical</v>
      </c>
      <c r="AA109" s="5" t="s">
        <v>1302</v>
      </c>
      <c r="AB109" s="6" t="s">
        <v>1302</v>
      </c>
      <c r="AC109" s="6" t="s">
        <v>99</v>
      </c>
      <c r="AD109" s="5" t="s">
        <v>2278</v>
      </c>
      <c r="AE109" s="5" t="s">
        <v>1720</v>
      </c>
      <c r="AF109" s="5" t="s">
        <v>1720</v>
      </c>
      <c r="AG109" s="5" t="s">
        <v>1720</v>
      </c>
      <c r="AH109" s="5" t="s">
        <v>1720</v>
      </c>
      <c r="AI109" s="6" t="str">
        <f t="shared" si="3"/>
        <v>No</v>
      </c>
      <c r="AJ109" s="6" t="s">
        <v>2298</v>
      </c>
      <c r="AK109" s="6" t="s">
        <v>94</v>
      </c>
      <c r="AL109" s="6">
        <f>MATCH(AA109,{"Low","Medium","High"},0)*MATCH(AB109,{"Low","Medium","High"},0)*INDEX({3,2,2,1,1},MATCH(X109,{"Core","Vertical extension","Differentiator","Future","Adjacent"},0))</f>
        <v>27</v>
      </c>
      <c r="AM109" s="5"/>
      <c r="AN109" s="5"/>
      <c r="AO109" s="5"/>
      <c r="AP109" s="5"/>
      <c r="AQ109" s="5"/>
      <c r="AR109" s="5" t="s">
        <v>3256</v>
      </c>
      <c r="AS109" s="5" t="s">
        <v>1462</v>
      </c>
      <c r="AT109" s="5" t="s">
        <v>2281</v>
      </c>
      <c r="AU109" s="6" t="s">
        <v>95</v>
      </c>
      <c r="AV109" s="6" t="s">
        <v>76</v>
      </c>
      <c r="AW109" s="6" t="s">
        <v>76</v>
      </c>
      <c r="AX109" s="6" t="s">
        <v>2284</v>
      </c>
      <c r="AY109" s="6" t="s">
        <v>2285</v>
      </c>
      <c r="AZ109" s="6"/>
      <c r="BA109" s="6"/>
      <c r="BB109" s="6"/>
      <c r="BC109" s="6" t="s">
        <v>127</v>
      </c>
      <c r="BD109" s="6" t="s">
        <v>127</v>
      </c>
      <c r="BE109" s="6" t="s">
        <v>1477</v>
      </c>
      <c r="BF109" s="6" t="s">
        <v>2286</v>
      </c>
      <c r="BG109" s="6" t="s">
        <v>3257</v>
      </c>
      <c r="BH109" s="6" t="s">
        <v>3258</v>
      </c>
    </row>
    <row r="110" spans="1:60" ht="32" customHeight="1" x14ac:dyDescent="0.35">
      <c r="A110" s="13" t="s">
        <v>3259</v>
      </c>
      <c r="B110" s="6" t="s">
        <v>2265</v>
      </c>
      <c r="C110" s="5" t="s">
        <v>1693</v>
      </c>
      <c r="D110" s="5" t="s">
        <v>2183</v>
      </c>
      <c r="E110" s="5" t="s">
        <v>3260</v>
      </c>
      <c r="F110" s="5" t="s">
        <v>2973</v>
      </c>
      <c r="G110" s="5" t="s">
        <v>1669</v>
      </c>
      <c r="H110" s="5" t="s">
        <v>3261</v>
      </c>
      <c r="I110" s="5" t="s">
        <v>3262</v>
      </c>
      <c r="J110" s="17" t="s">
        <v>162</v>
      </c>
      <c r="K110" s="17" t="s">
        <v>1477</v>
      </c>
      <c r="L110" s="5" t="s">
        <v>3263</v>
      </c>
      <c r="M110" s="6" t="s">
        <v>1493</v>
      </c>
      <c r="N110" s="6" t="s">
        <v>2167</v>
      </c>
      <c r="O110" s="6" t="s">
        <v>162</v>
      </c>
      <c r="P110" s="5" t="s">
        <v>2272</v>
      </c>
      <c r="Q110" s="17" t="s">
        <v>2273</v>
      </c>
      <c r="R110" s="5" t="s">
        <v>3264</v>
      </c>
      <c r="S110" s="6" t="s">
        <v>2438</v>
      </c>
      <c r="T110" s="5" t="s">
        <v>2439</v>
      </c>
      <c r="U110" s="6"/>
      <c r="V110" s="6" t="s">
        <v>2440</v>
      </c>
      <c r="W110" s="6" t="s">
        <v>1699</v>
      </c>
      <c r="X110" s="5" t="s">
        <v>228</v>
      </c>
      <c r="Y110" s="5" t="s">
        <v>1824</v>
      </c>
      <c r="Z110" s="5" t="str">
        <f t="shared" si="2"/>
        <v>Critical</v>
      </c>
      <c r="AA110" s="5" t="s">
        <v>1302</v>
      </c>
      <c r="AB110" s="6" t="s">
        <v>1302</v>
      </c>
      <c r="AC110" s="6" t="s">
        <v>135</v>
      </c>
      <c r="AD110" s="5" t="s">
        <v>2278</v>
      </c>
      <c r="AE110" s="5" t="s">
        <v>1720</v>
      </c>
      <c r="AF110" s="5" t="s">
        <v>1720</v>
      </c>
      <c r="AG110" s="5" t="s">
        <v>1720</v>
      </c>
      <c r="AH110" s="5" t="s">
        <v>1720</v>
      </c>
      <c r="AI110" s="6" t="str">
        <f t="shared" si="3"/>
        <v>No</v>
      </c>
      <c r="AJ110" s="6" t="s">
        <v>2298</v>
      </c>
      <c r="AK110" s="6" t="s">
        <v>162</v>
      </c>
      <c r="AL110" s="6">
        <f>MATCH(AA110,{"Low","Medium","High"},0)*MATCH(AB110,{"Low","Medium","High"},0)*INDEX({3,2,2,1,1},MATCH(X110,{"Core","Vertical extension","Differentiator","Future","Adjacent"},0))</f>
        <v>27</v>
      </c>
      <c r="AM110" s="5"/>
      <c r="AN110" s="5"/>
      <c r="AO110" s="5"/>
      <c r="AP110" s="5"/>
      <c r="AQ110" s="5"/>
      <c r="AR110" s="5"/>
      <c r="AS110" s="5"/>
      <c r="AT110" s="5"/>
      <c r="AU110" s="6" t="s">
        <v>2317</v>
      </c>
      <c r="AV110" s="6" t="s">
        <v>76</v>
      </c>
      <c r="AW110" s="6" t="s">
        <v>76</v>
      </c>
      <c r="AX110" s="6" t="s">
        <v>2284</v>
      </c>
      <c r="AY110" s="6" t="s">
        <v>2285</v>
      </c>
      <c r="AZ110" s="6"/>
      <c r="BA110" s="6"/>
      <c r="BB110" s="6"/>
      <c r="BC110" s="6" t="s">
        <v>127</v>
      </c>
      <c r="BD110" s="6" t="s">
        <v>127</v>
      </c>
      <c r="BE110" s="6" t="s">
        <v>1477</v>
      </c>
      <c r="BF110" s="6" t="s">
        <v>2286</v>
      </c>
      <c r="BG110" s="6" t="s">
        <v>3265</v>
      </c>
      <c r="BH110" s="6" t="s">
        <v>3266</v>
      </c>
    </row>
    <row r="111" spans="1:60" ht="32" customHeight="1" x14ac:dyDescent="0.35">
      <c r="A111" s="13" t="s">
        <v>3267</v>
      </c>
      <c r="B111" s="6" t="s">
        <v>2265</v>
      </c>
      <c r="C111" s="5" t="s">
        <v>1693</v>
      </c>
      <c r="D111" s="5" t="s">
        <v>2183</v>
      </c>
      <c r="E111" s="5" t="s">
        <v>3268</v>
      </c>
      <c r="F111" s="5" t="s">
        <v>2973</v>
      </c>
      <c r="G111" s="5" t="s">
        <v>2974</v>
      </c>
      <c r="H111" s="5" t="s">
        <v>3269</v>
      </c>
      <c r="I111" s="5" t="s">
        <v>3270</v>
      </c>
      <c r="J111" s="16" t="s">
        <v>94</v>
      </c>
      <c r="K111" s="17" t="s">
        <v>1477</v>
      </c>
      <c r="L111" s="5" t="s">
        <v>3271</v>
      </c>
      <c r="M111" s="6" t="s">
        <v>1493</v>
      </c>
      <c r="N111" s="6" t="s">
        <v>2167</v>
      </c>
      <c r="O111" s="6" t="s">
        <v>94</v>
      </c>
      <c r="P111" s="5" t="s">
        <v>2272</v>
      </c>
      <c r="Q111" s="17" t="s">
        <v>2273</v>
      </c>
      <c r="R111" s="5" t="s">
        <v>3272</v>
      </c>
      <c r="S111" s="6" t="s">
        <v>2438</v>
      </c>
      <c r="T111" s="5" t="s">
        <v>2439</v>
      </c>
      <c r="U111" s="6"/>
      <c r="V111" s="6" t="s">
        <v>2440</v>
      </c>
      <c r="W111" s="6" t="s">
        <v>1699</v>
      </c>
      <c r="X111" s="5" t="s">
        <v>228</v>
      </c>
      <c r="Y111" s="5" t="s">
        <v>1824</v>
      </c>
      <c r="Z111" s="5" t="str">
        <f t="shared" si="2"/>
        <v>Critical</v>
      </c>
      <c r="AA111" s="5" t="s">
        <v>1302</v>
      </c>
      <c r="AB111" s="6" t="s">
        <v>1302</v>
      </c>
      <c r="AC111" s="6" t="s">
        <v>99</v>
      </c>
      <c r="AD111" s="5" t="s">
        <v>2278</v>
      </c>
      <c r="AE111" s="5" t="s">
        <v>1720</v>
      </c>
      <c r="AF111" s="5" t="s">
        <v>1720</v>
      </c>
      <c r="AG111" s="5" t="s">
        <v>1720</v>
      </c>
      <c r="AH111" s="5" t="s">
        <v>1720</v>
      </c>
      <c r="AI111" s="6" t="str">
        <f t="shared" si="3"/>
        <v>No</v>
      </c>
      <c r="AJ111" s="6" t="s">
        <v>2298</v>
      </c>
      <c r="AK111" s="6" t="s">
        <v>94</v>
      </c>
      <c r="AL111" s="6">
        <f>MATCH(AA111,{"Low","Medium","High"},0)*MATCH(AB111,{"Low","Medium","High"},0)*INDEX({3,2,2,1,1},MATCH(X111,{"Core","Vertical extension","Differentiator","Future","Adjacent"},0))</f>
        <v>27</v>
      </c>
      <c r="AM111" s="5"/>
      <c r="AN111" s="5"/>
      <c r="AO111" s="5"/>
      <c r="AP111" s="5"/>
      <c r="AQ111" s="5"/>
      <c r="AR111" s="5" t="s">
        <v>3273</v>
      </c>
      <c r="AS111" s="5" t="s">
        <v>1462</v>
      </c>
      <c r="AT111" s="5" t="s">
        <v>2281</v>
      </c>
      <c r="AU111" s="6" t="s">
        <v>95</v>
      </c>
      <c r="AV111" s="6" t="s">
        <v>76</v>
      </c>
      <c r="AW111" s="6" t="s">
        <v>76</v>
      </c>
      <c r="AX111" s="6" t="s">
        <v>2284</v>
      </c>
      <c r="AY111" s="6" t="s">
        <v>2285</v>
      </c>
      <c r="AZ111" s="6"/>
      <c r="BA111" s="6"/>
      <c r="BB111" s="6"/>
      <c r="BC111" s="6" t="s">
        <v>127</v>
      </c>
      <c r="BD111" s="6" t="s">
        <v>127</v>
      </c>
      <c r="BE111" s="6" t="s">
        <v>1477</v>
      </c>
      <c r="BF111" s="6" t="s">
        <v>2286</v>
      </c>
      <c r="BG111" s="6" t="s">
        <v>3274</v>
      </c>
      <c r="BH111" s="6" t="s">
        <v>3275</v>
      </c>
    </row>
    <row r="112" spans="1:60" ht="32" customHeight="1" x14ac:dyDescent="0.35">
      <c r="A112" s="13" t="s">
        <v>1690</v>
      </c>
      <c r="B112" s="6" t="s">
        <v>2265</v>
      </c>
      <c r="C112" s="5" t="s">
        <v>1693</v>
      </c>
      <c r="D112" s="5" t="s">
        <v>2194</v>
      </c>
      <c r="E112" s="5" t="s">
        <v>1692</v>
      </c>
      <c r="F112" s="5" t="s">
        <v>2973</v>
      </c>
      <c r="G112" s="5" t="s">
        <v>3276</v>
      </c>
      <c r="H112" s="5" t="s">
        <v>3277</v>
      </c>
      <c r="I112" s="5" t="s">
        <v>3278</v>
      </c>
      <c r="J112" s="17" t="s">
        <v>162</v>
      </c>
      <c r="K112" s="17" t="s">
        <v>95</v>
      </c>
      <c r="L112" s="5" t="s">
        <v>3279</v>
      </c>
      <c r="M112" s="6" t="s">
        <v>1493</v>
      </c>
      <c r="N112" s="6" t="s">
        <v>2167</v>
      </c>
      <c r="O112" s="6" t="s">
        <v>162</v>
      </c>
      <c r="P112" s="5" t="s">
        <v>2272</v>
      </c>
      <c r="Q112" s="17" t="s">
        <v>95</v>
      </c>
      <c r="R112" s="5" t="s">
        <v>3280</v>
      </c>
      <c r="S112" s="6" t="s">
        <v>2449</v>
      </c>
      <c r="T112" s="5" t="s">
        <v>2450</v>
      </c>
      <c r="U112" s="6"/>
      <c r="V112" s="6" t="s">
        <v>2440</v>
      </c>
      <c r="W112" s="6" t="s">
        <v>1699</v>
      </c>
      <c r="X112" s="5" t="s">
        <v>228</v>
      </c>
      <c r="Y112" s="5" t="s">
        <v>1824</v>
      </c>
      <c r="Z112" s="5" t="str">
        <f t="shared" si="2"/>
        <v>Medium</v>
      </c>
      <c r="AA112" s="5" t="s">
        <v>1319</v>
      </c>
      <c r="AB112" s="6" t="s">
        <v>1355</v>
      </c>
      <c r="AC112" s="6" t="s">
        <v>135</v>
      </c>
      <c r="AD112" s="5" t="s">
        <v>95</v>
      </c>
      <c r="AE112" s="5" t="s">
        <v>1720</v>
      </c>
      <c r="AF112" s="5" t="s">
        <v>1720</v>
      </c>
      <c r="AG112" s="5" t="s">
        <v>1720</v>
      </c>
      <c r="AH112" s="5" t="s">
        <v>1720</v>
      </c>
      <c r="AI112" s="6" t="str">
        <f t="shared" si="3"/>
        <v>No</v>
      </c>
      <c r="AJ112" s="6" t="s">
        <v>229</v>
      </c>
      <c r="AK112" s="6" t="s">
        <v>162</v>
      </c>
      <c r="AL112" s="6">
        <f>MATCH(AA112,{"Low","Medium","High"},0)*MATCH(AB112,{"Low","Medium","High"},0)*INDEX({3,2,2,1,1},MATCH(X112,{"Core","Vertical extension","Differentiator","Future","Adjacent"},0))</f>
        <v>6</v>
      </c>
      <c r="AM112" s="5"/>
      <c r="AN112" s="5"/>
      <c r="AO112" s="5"/>
      <c r="AP112" s="5"/>
      <c r="AQ112" s="5"/>
      <c r="AR112" s="5"/>
      <c r="AS112" s="5"/>
      <c r="AT112" s="5"/>
      <c r="AU112" s="6" t="s">
        <v>2317</v>
      </c>
      <c r="AV112" s="6" t="s">
        <v>76</v>
      </c>
      <c r="AW112" s="6" t="s">
        <v>76</v>
      </c>
      <c r="AX112" s="6" t="s">
        <v>2284</v>
      </c>
      <c r="AY112" s="6" t="s">
        <v>2285</v>
      </c>
      <c r="AZ112" s="6" t="s">
        <v>3281</v>
      </c>
      <c r="BA112" s="6"/>
      <c r="BB112" s="6"/>
      <c r="BC112" s="6" t="s">
        <v>127</v>
      </c>
      <c r="BD112" s="6" t="s">
        <v>127</v>
      </c>
      <c r="BE112" s="6" t="s">
        <v>1477</v>
      </c>
      <c r="BF112" s="6" t="s">
        <v>95</v>
      </c>
      <c r="BG112" s="6" t="s">
        <v>3282</v>
      </c>
      <c r="BH112" s="6" t="s">
        <v>3283</v>
      </c>
    </row>
    <row r="113" spans="1:60" ht="32" customHeight="1" x14ac:dyDescent="0.35">
      <c r="A113" s="13" t="s">
        <v>3284</v>
      </c>
      <c r="B113" s="6" t="s">
        <v>2265</v>
      </c>
      <c r="C113" s="5" t="s">
        <v>1693</v>
      </c>
      <c r="D113" s="5" t="s">
        <v>2183</v>
      </c>
      <c r="E113" s="5" t="s">
        <v>3285</v>
      </c>
      <c r="F113" s="5" t="s">
        <v>2973</v>
      </c>
      <c r="G113" s="5" t="s">
        <v>2974</v>
      </c>
      <c r="H113" s="5" t="s">
        <v>3286</v>
      </c>
      <c r="I113" s="5" t="s">
        <v>3287</v>
      </c>
      <c r="J113" s="17" t="s">
        <v>162</v>
      </c>
      <c r="K113" s="17" t="s">
        <v>95</v>
      </c>
      <c r="L113" s="5" t="s">
        <v>3288</v>
      </c>
      <c r="M113" s="6" t="s">
        <v>1493</v>
      </c>
      <c r="N113" s="6" t="s">
        <v>2167</v>
      </c>
      <c r="O113" s="6" t="s">
        <v>162</v>
      </c>
      <c r="P113" s="5" t="s">
        <v>2272</v>
      </c>
      <c r="Q113" s="17" t="s">
        <v>95</v>
      </c>
      <c r="R113" s="5" t="s">
        <v>3289</v>
      </c>
      <c r="S113" s="6" t="s">
        <v>2438</v>
      </c>
      <c r="T113" s="5" t="s">
        <v>2439</v>
      </c>
      <c r="U113" s="6"/>
      <c r="V113" s="6" t="s">
        <v>2440</v>
      </c>
      <c r="W113" s="6" t="s">
        <v>1699</v>
      </c>
      <c r="X113" s="5" t="s">
        <v>228</v>
      </c>
      <c r="Y113" s="5" t="s">
        <v>1824</v>
      </c>
      <c r="Z113" s="5" t="str">
        <f t="shared" si="2"/>
        <v>Critical</v>
      </c>
      <c r="AA113" s="5" t="s">
        <v>1302</v>
      </c>
      <c r="AB113" s="6" t="s">
        <v>1302</v>
      </c>
      <c r="AC113" s="6" t="s">
        <v>135</v>
      </c>
      <c r="AD113" s="5" t="s">
        <v>95</v>
      </c>
      <c r="AE113" s="5" t="s">
        <v>1720</v>
      </c>
      <c r="AF113" s="5" t="s">
        <v>1720</v>
      </c>
      <c r="AG113" s="5" t="s">
        <v>1720</v>
      </c>
      <c r="AH113" s="5" t="s">
        <v>1720</v>
      </c>
      <c r="AI113" s="6" t="str">
        <f t="shared" si="3"/>
        <v>No</v>
      </c>
      <c r="AJ113" s="6" t="s">
        <v>229</v>
      </c>
      <c r="AK113" s="6" t="s">
        <v>162</v>
      </c>
      <c r="AL113" s="6">
        <f>MATCH(AA113,{"Low","Medium","High"},0)*MATCH(AB113,{"Low","Medium","High"},0)*INDEX({3,2,2,1,1},MATCH(X113,{"Core","Vertical extension","Differentiator","Future","Adjacent"},0))</f>
        <v>27</v>
      </c>
      <c r="AM113" s="5"/>
      <c r="AN113" s="5"/>
      <c r="AO113" s="5"/>
      <c r="AP113" s="5"/>
      <c r="AQ113" s="5"/>
      <c r="AR113" s="5"/>
      <c r="AS113" s="5"/>
      <c r="AT113" s="5"/>
      <c r="AU113" s="6" t="s">
        <v>2317</v>
      </c>
      <c r="AV113" s="6" t="s">
        <v>76</v>
      </c>
      <c r="AW113" s="6" t="s">
        <v>76</v>
      </c>
      <c r="AX113" s="6" t="s">
        <v>2284</v>
      </c>
      <c r="AY113" s="6" t="s">
        <v>2285</v>
      </c>
      <c r="AZ113" s="6"/>
      <c r="BA113" s="6"/>
      <c r="BB113" s="6"/>
      <c r="BC113" s="6" t="s">
        <v>127</v>
      </c>
      <c r="BD113" s="6" t="s">
        <v>127</v>
      </c>
      <c r="BE113" s="6" t="s">
        <v>1477</v>
      </c>
      <c r="BF113" s="6" t="s">
        <v>95</v>
      </c>
      <c r="BG113" s="6" t="s">
        <v>3290</v>
      </c>
      <c r="BH113" s="6" t="s">
        <v>3291</v>
      </c>
    </row>
    <row r="114" spans="1:60" ht="32" customHeight="1" x14ac:dyDescent="0.35">
      <c r="A114" s="13" t="s">
        <v>3292</v>
      </c>
      <c r="B114" s="6" t="s">
        <v>2265</v>
      </c>
      <c r="C114" s="5" t="s">
        <v>1693</v>
      </c>
      <c r="D114" s="5" t="s">
        <v>2185</v>
      </c>
      <c r="E114" s="5" t="s">
        <v>3293</v>
      </c>
      <c r="F114" s="5" t="s">
        <v>2973</v>
      </c>
      <c r="G114" s="5" t="s">
        <v>3209</v>
      </c>
      <c r="H114" s="5" t="s">
        <v>3294</v>
      </c>
      <c r="I114" s="5" t="s">
        <v>3295</v>
      </c>
      <c r="J114" s="17" t="s">
        <v>162</v>
      </c>
      <c r="K114" s="17" t="s">
        <v>1477</v>
      </c>
      <c r="L114" s="5" t="s">
        <v>3296</v>
      </c>
      <c r="M114" s="6" t="s">
        <v>1493</v>
      </c>
      <c r="N114" s="6" t="s">
        <v>2167</v>
      </c>
      <c r="O114" s="6" t="s">
        <v>162</v>
      </c>
      <c r="P114" s="5" t="s">
        <v>2272</v>
      </c>
      <c r="Q114" s="18" t="s">
        <v>1482</v>
      </c>
      <c r="R114" s="5" t="s">
        <v>3297</v>
      </c>
      <c r="S114" s="6" t="s">
        <v>2409</v>
      </c>
      <c r="T114" s="5" t="s">
        <v>2185</v>
      </c>
      <c r="U114" s="6"/>
      <c r="V114" s="6" t="s">
        <v>2277</v>
      </c>
      <c r="W114" s="6" t="s">
        <v>1699</v>
      </c>
      <c r="X114" s="5" t="s">
        <v>228</v>
      </c>
      <c r="Y114" s="5" t="s">
        <v>1824</v>
      </c>
      <c r="Z114" s="5" t="str">
        <f t="shared" si="2"/>
        <v>High</v>
      </c>
      <c r="AA114" s="5" t="s">
        <v>1319</v>
      </c>
      <c r="AB114" s="6" t="s">
        <v>1319</v>
      </c>
      <c r="AC114" s="6" t="s">
        <v>135</v>
      </c>
      <c r="AD114" s="5" t="s">
        <v>2278</v>
      </c>
      <c r="AE114" s="5" t="s">
        <v>1720</v>
      </c>
      <c r="AF114" s="5" t="s">
        <v>1720</v>
      </c>
      <c r="AG114" s="5" t="s">
        <v>1720</v>
      </c>
      <c r="AH114" s="5" t="s">
        <v>1720</v>
      </c>
      <c r="AI114" s="6" t="str">
        <f t="shared" si="3"/>
        <v>No</v>
      </c>
      <c r="AJ114" s="6" t="s">
        <v>2298</v>
      </c>
      <c r="AK114" s="6" t="s">
        <v>162</v>
      </c>
      <c r="AL114" s="6">
        <f>MATCH(AA114,{"Low","Medium","High"},0)*MATCH(AB114,{"Low","Medium","High"},0)*INDEX({3,2,2,1,1},MATCH(X114,{"Core","Vertical extension","Differentiator","Future","Adjacent"},0))</f>
        <v>12</v>
      </c>
      <c r="AM114" s="5"/>
      <c r="AN114" s="5"/>
      <c r="AO114" s="5"/>
      <c r="AP114" s="5"/>
      <c r="AQ114" s="5"/>
      <c r="AR114" s="5"/>
      <c r="AS114" s="5"/>
      <c r="AT114" s="5"/>
      <c r="AU114" s="6" t="s">
        <v>2317</v>
      </c>
      <c r="AV114" s="6" t="s">
        <v>76</v>
      </c>
      <c r="AW114" s="6" t="s">
        <v>76</v>
      </c>
      <c r="AX114" s="6" t="s">
        <v>2284</v>
      </c>
      <c r="AY114" s="6" t="s">
        <v>2411</v>
      </c>
      <c r="AZ114" s="6"/>
      <c r="BA114" s="6"/>
      <c r="BB114" s="6"/>
      <c r="BC114" s="6" t="s">
        <v>127</v>
      </c>
      <c r="BD114" s="6" t="s">
        <v>127</v>
      </c>
      <c r="BE114" s="6"/>
      <c r="BF114" s="6"/>
      <c r="BG114" s="6"/>
      <c r="BH114" s="6"/>
    </row>
    <row r="115" spans="1:60" ht="32" customHeight="1" x14ac:dyDescent="0.35">
      <c r="A115" s="13" t="s">
        <v>3298</v>
      </c>
      <c r="B115" s="6" t="s">
        <v>2265</v>
      </c>
      <c r="C115" s="5" t="s">
        <v>1693</v>
      </c>
      <c r="D115" s="5" t="s">
        <v>2183</v>
      </c>
      <c r="E115" s="5" t="s">
        <v>3299</v>
      </c>
      <c r="F115" s="5" t="s">
        <v>2973</v>
      </c>
      <c r="G115" s="5" t="s">
        <v>3300</v>
      </c>
      <c r="H115" s="5" t="s">
        <v>3301</v>
      </c>
      <c r="I115" s="5" t="s">
        <v>3302</v>
      </c>
      <c r="J115" s="16" t="s">
        <v>94</v>
      </c>
      <c r="K115" s="17" t="s">
        <v>1477</v>
      </c>
      <c r="L115" s="5" t="s">
        <v>3303</v>
      </c>
      <c r="M115" s="6" t="s">
        <v>1493</v>
      </c>
      <c r="N115" s="6" t="s">
        <v>2167</v>
      </c>
      <c r="O115" s="6" t="s">
        <v>94</v>
      </c>
      <c r="P115" s="5" t="s">
        <v>2272</v>
      </c>
      <c r="Q115" s="17" t="s">
        <v>2273</v>
      </c>
      <c r="R115" s="5" t="s">
        <v>3304</v>
      </c>
      <c r="S115" s="6" t="s">
        <v>2438</v>
      </c>
      <c r="T115" s="5" t="s">
        <v>2439</v>
      </c>
      <c r="U115" s="6"/>
      <c r="V115" s="6" t="s">
        <v>2440</v>
      </c>
      <c r="W115" s="6" t="s">
        <v>1699</v>
      </c>
      <c r="X115" s="5" t="s">
        <v>228</v>
      </c>
      <c r="Y115" s="5" t="s">
        <v>1824</v>
      </c>
      <c r="Z115" s="5" t="str">
        <f t="shared" si="2"/>
        <v>Critical</v>
      </c>
      <c r="AA115" s="5" t="s">
        <v>1302</v>
      </c>
      <c r="AB115" s="6" t="s">
        <v>1302</v>
      </c>
      <c r="AC115" s="6" t="s">
        <v>99</v>
      </c>
      <c r="AD115" s="5" t="s">
        <v>2278</v>
      </c>
      <c r="AE115" s="5" t="s">
        <v>1720</v>
      </c>
      <c r="AF115" s="5" t="s">
        <v>1720</v>
      </c>
      <c r="AG115" s="5" t="s">
        <v>1720</v>
      </c>
      <c r="AH115" s="5" t="s">
        <v>1720</v>
      </c>
      <c r="AI115" s="6" t="str">
        <f t="shared" si="3"/>
        <v>No</v>
      </c>
      <c r="AJ115" s="6" t="s">
        <v>2298</v>
      </c>
      <c r="AK115" s="6" t="s">
        <v>94</v>
      </c>
      <c r="AL115" s="6">
        <f>MATCH(AA115,{"Low","Medium","High"},0)*MATCH(AB115,{"Low","Medium","High"},0)*INDEX({3,2,2,1,1},MATCH(X115,{"Core","Vertical extension","Differentiator","Future","Adjacent"},0))</f>
        <v>27</v>
      </c>
      <c r="AM115" s="5"/>
      <c r="AN115" s="5"/>
      <c r="AO115" s="5"/>
      <c r="AP115" s="5"/>
      <c r="AQ115" s="5"/>
      <c r="AR115" s="5" t="s">
        <v>3305</v>
      </c>
      <c r="AS115" s="5" t="s">
        <v>1462</v>
      </c>
      <c r="AT115" s="5" t="s">
        <v>2281</v>
      </c>
      <c r="AU115" s="6" t="s">
        <v>95</v>
      </c>
      <c r="AV115" s="6" t="s">
        <v>76</v>
      </c>
      <c r="AW115" s="6" t="s">
        <v>76</v>
      </c>
      <c r="AX115" s="6" t="s">
        <v>2284</v>
      </c>
      <c r="AY115" s="6" t="s">
        <v>2285</v>
      </c>
      <c r="AZ115" s="6"/>
      <c r="BA115" s="6"/>
      <c r="BB115" s="6"/>
      <c r="BC115" s="6" t="s">
        <v>127</v>
      </c>
      <c r="BD115" s="6" t="s">
        <v>127</v>
      </c>
      <c r="BE115" s="6" t="s">
        <v>1477</v>
      </c>
      <c r="BF115" s="6" t="s">
        <v>2286</v>
      </c>
      <c r="BG115" s="6" t="s">
        <v>3306</v>
      </c>
      <c r="BH115" s="6" t="s">
        <v>3307</v>
      </c>
    </row>
    <row r="116" spans="1:60" ht="32" customHeight="1" x14ac:dyDescent="0.35">
      <c r="A116" s="13" t="s">
        <v>92</v>
      </c>
      <c r="B116" s="6" t="s">
        <v>2265</v>
      </c>
      <c r="C116" s="5" t="s">
        <v>1693</v>
      </c>
      <c r="D116" s="5" t="s">
        <v>2185</v>
      </c>
      <c r="E116" s="5" t="s">
        <v>93</v>
      </c>
      <c r="F116" s="5" t="s">
        <v>2973</v>
      </c>
      <c r="G116" s="5" t="s">
        <v>3308</v>
      </c>
      <c r="H116" s="5" t="s">
        <v>3309</v>
      </c>
      <c r="I116" s="5" t="s">
        <v>3310</v>
      </c>
      <c r="J116" s="16" t="s">
        <v>94</v>
      </c>
      <c r="K116" s="20" t="s">
        <v>95</v>
      </c>
      <c r="L116" s="5" t="s">
        <v>3311</v>
      </c>
      <c r="M116" s="6" t="s">
        <v>1493</v>
      </c>
      <c r="N116" s="6" t="s">
        <v>2167</v>
      </c>
      <c r="O116" s="6" t="s">
        <v>94</v>
      </c>
      <c r="P116" s="5" t="s">
        <v>2272</v>
      </c>
      <c r="Q116" s="20" t="s">
        <v>95</v>
      </c>
      <c r="R116" s="5" t="s">
        <v>3312</v>
      </c>
      <c r="S116" s="6" t="s">
        <v>2409</v>
      </c>
      <c r="T116" s="5" t="s">
        <v>2185</v>
      </c>
      <c r="U116" s="6"/>
      <c r="V116" s="6" t="s">
        <v>2410</v>
      </c>
      <c r="W116" s="6" t="s">
        <v>1699</v>
      </c>
      <c r="X116" s="5" t="s">
        <v>228</v>
      </c>
      <c r="Y116" s="5" t="s">
        <v>1824</v>
      </c>
      <c r="Z116" s="5" t="str">
        <f t="shared" si="2"/>
        <v>Critical</v>
      </c>
      <c r="AA116" s="5" t="s">
        <v>1302</v>
      </c>
      <c r="AB116" s="6" t="s">
        <v>1319</v>
      </c>
      <c r="AC116" s="6" t="s">
        <v>99</v>
      </c>
      <c r="AD116" s="5" t="s">
        <v>95</v>
      </c>
      <c r="AE116" s="5" t="s">
        <v>1720</v>
      </c>
      <c r="AF116" s="5" t="s">
        <v>1720</v>
      </c>
      <c r="AG116" s="5" t="s">
        <v>1720</v>
      </c>
      <c r="AH116" s="5" t="s">
        <v>1720</v>
      </c>
      <c r="AI116" s="6" t="str">
        <f t="shared" si="3"/>
        <v>No</v>
      </c>
      <c r="AJ116" s="6" t="s">
        <v>2279</v>
      </c>
      <c r="AK116" s="6" t="s">
        <v>94</v>
      </c>
      <c r="AL116" s="6">
        <f>MATCH(AA116,{"Low","Medium","High"},0)*MATCH(AB116,{"Low","Medium","High"},0)*INDEX({3,2,2,1,1},MATCH(X116,{"Core","Vertical extension","Differentiator","Future","Adjacent"},0))</f>
        <v>18</v>
      </c>
      <c r="AM116" s="5"/>
      <c r="AN116" s="5"/>
      <c r="AO116" s="5">
        <v>3</v>
      </c>
      <c r="AP116" s="5"/>
      <c r="AQ116" s="5"/>
      <c r="AR116" s="5" t="s">
        <v>3313</v>
      </c>
      <c r="AS116" s="51">
        <v>46300</v>
      </c>
      <c r="AT116" s="5" t="s">
        <v>2760</v>
      </c>
      <c r="AU116" s="6" t="s">
        <v>2282</v>
      </c>
      <c r="AV116" s="6" t="s">
        <v>76</v>
      </c>
      <c r="AW116" s="6" t="s">
        <v>76</v>
      </c>
      <c r="AX116" s="6" t="s">
        <v>2284</v>
      </c>
      <c r="AY116" s="6" t="s">
        <v>2411</v>
      </c>
      <c r="AZ116" s="6"/>
      <c r="BA116" s="6" t="s">
        <v>3314</v>
      </c>
      <c r="BB116" s="6"/>
      <c r="BC116" s="6" t="s">
        <v>127</v>
      </c>
      <c r="BD116" s="6" t="s">
        <v>127</v>
      </c>
      <c r="BE116" s="6" t="s">
        <v>95</v>
      </c>
      <c r="BF116" s="6" t="s">
        <v>95</v>
      </c>
      <c r="BG116" s="6" t="s">
        <v>3315</v>
      </c>
      <c r="BH116" s="6" t="s">
        <v>250</v>
      </c>
    </row>
    <row r="117" spans="1:60" ht="32" customHeight="1" x14ac:dyDescent="0.35">
      <c r="A117" s="13" t="s">
        <v>3316</v>
      </c>
      <c r="B117" s="6" t="s">
        <v>2265</v>
      </c>
      <c r="C117" s="5" t="s">
        <v>2813</v>
      </c>
      <c r="D117" s="5" t="s">
        <v>2189</v>
      </c>
      <c r="E117" s="5" t="s">
        <v>3317</v>
      </c>
      <c r="F117" s="5" t="s">
        <v>3318</v>
      </c>
      <c r="G117" s="5" t="s">
        <v>3086</v>
      </c>
      <c r="H117" s="5" t="s">
        <v>3319</v>
      </c>
      <c r="I117" s="5" t="s">
        <v>3320</v>
      </c>
      <c r="J117" s="16" t="s">
        <v>94</v>
      </c>
      <c r="K117" s="17" t="s">
        <v>1477</v>
      </c>
      <c r="L117" s="5" t="s">
        <v>3321</v>
      </c>
      <c r="M117" s="6" t="s">
        <v>1493</v>
      </c>
      <c r="N117" s="6" t="s">
        <v>2167</v>
      </c>
      <c r="O117" s="6" t="s">
        <v>94</v>
      </c>
      <c r="P117" s="5" t="s">
        <v>2272</v>
      </c>
      <c r="Q117" s="18" t="s">
        <v>1482</v>
      </c>
      <c r="R117" s="5" t="s">
        <v>2400</v>
      </c>
      <c r="S117" s="6" t="s">
        <v>2325</v>
      </c>
      <c r="T117" s="5" t="s">
        <v>2326</v>
      </c>
      <c r="U117" s="6"/>
      <c r="V117" s="6" t="s">
        <v>2327</v>
      </c>
      <c r="W117" s="6" t="s">
        <v>1699</v>
      </c>
      <c r="X117" s="5" t="s">
        <v>228</v>
      </c>
      <c r="Y117" s="5" t="s">
        <v>760</v>
      </c>
      <c r="Z117" s="5" t="str">
        <f t="shared" si="2"/>
        <v>High</v>
      </c>
      <c r="AA117" s="5" t="s">
        <v>1302</v>
      </c>
      <c r="AB117" s="6" t="s">
        <v>1355</v>
      </c>
      <c r="AC117" s="6" t="s">
        <v>99</v>
      </c>
      <c r="AD117" s="5" t="s">
        <v>2278</v>
      </c>
      <c r="AE117" s="5" t="s">
        <v>1720</v>
      </c>
      <c r="AF117" s="5" t="s">
        <v>1720</v>
      </c>
      <c r="AG117" s="5" t="s">
        <v>1720</v>
      </c>
      <c r="AH117" s="5" t="s">
        <v>1720</v>
      </c>
      <c r="AI117" s="6" t="str">
        <f t="shared" si="3"/>
        <v>No</v>
      </c>
      <c r="AJ117" s="6" t="s">
        <v>2298</v>
      </c>
      <c r="AK117" s="6" t="s">
        <v>94</v>
      </c>
      <c r="AL117" s="6">
        <f>MATCH(AA117,{"Low","Medium","High"},0)*MATCH(AB117,{"Low","Medium","High"},0)*INDEX({3,2,2,1,1},MATCH(X117,{"Core","Vertical extension","Differentiator","Future","Adjacent"},0))</f>
        <v>9</v>
      </c>
      <c r="AM117" s="5"/>
      <c r="AN117" s="5"/>
      <c r="AO117" s="5"/>
      <c r="AP117" s="5"/>
      <c r="AQ117" s="5"/>
      <c r="AR117" s="5" t="s">
        <v>3322</v>
      </c>
      <c r="AS117" s="5" t="s">
        <v>1462</v>
      </c>
      <c r="AT117" s="5" t="s">
        <v>2281</v>
      </c>
      <c r="AU117" s="6" t="s">
        <v>95</v>
      </c>
      <c r="AV117" s="6" t="s">
        <v>2813</v>
      </c>
      <c r="AW117" s="6" t="s">
        <v>2813</v>
      </c>
      <c r="AX117" s="6" t="s">
        <v>2284</v>
      </c>
      <c r="AY117" s="6" t="s">
        <v>2285</v>
      </c>
      <c r="AZ117" s="6"/>
      <c r="BA117" s="6"/>
      <c r="BB117" s="6"/>
      <c r="BC117" s="6" t="s">
        <v>127</v>
      </c>
      <c r="BD117" s="6" t="s">
        <v>127</v>
      </c>
      <c r="BE117" s="6"/>
      <c r="BF117" s="6"/>
      <c r="BG117" s="6"/>
      <c r="BH117" s="6"/>
    </row>
    <row r="118" spans="1:60" ht="32" customHeight="1" x14ac:dyDescent="0.35">
      <c r="A118" s="13" t="s">
        <v>3323</v>
      </c>
      <c r="B118" s="6" t="s">
        <v>2265</v>
      </c>
      <c r="C118" s="5" t="s">
        <v>2813</v>
      </c>
      <c r="D118" s="5" t="s">
        <v>2189</v>
      </c>
      <c r="E118" s="5" t="s">
        <v>3324</v>
      </c>
      <c r="F118" s="5" t="s">
        <v>2813</v>
      </c>
      <c r="G118" s="5" t="s">
        <v>1824</v>
      </c>
      <c r="H118" s="5" t="s">
        <v>3325</v>
      </c>
      <c r="I118" s="5" t="s">
        <v>3326</v>
      </c>
      <c r="J118" s="17" t="s">
        <v>162</v>
      </c>
      <c r="K118" s="17" t="s">
        <v>95</v>
      </c>
      <c r="L118" s="5" t="s">
        <v>3327</v>
      </c>
      <c r="M118" s="6" t="s">
        <v>1493</v>
      </c>
      <c r="N118" s="6" t="s">
        <v>2167</v>
      </c>
      <c r="O118" s="6" t="s">
        <v>162</v>
      </c>
      <c r="P118" s="5" t="s">
        <v>2272</v>
      </c>
      <c r="Q118" s="17" t="s">
        <v>95</v>
      </c>
      <c r="R118" s="5" t="s">
        <v>3328</v>
      </c>
      <c r="S118" s="6" t="s">
        <v>2325</v>
      </c>
      <c r="T118" s="5" t="s">
        <v>2326</v>
      </c>
      <c r="U118" s="6"/>
      <c r="V118" s="6" t="s">
        <v>2327</v>
      </c>
      <c r="W118" s="6" t="s">
        <v>1699</v>
      </c>
      <c r="X118" s="5" t="s">
        <v>228</v>
      </c>
      <c r="Y118" s="5" t="s">
        <v>760</v>
      </c>
      <c r="Z118" s="5" t="str">
        <f t="shared" si="2"/>
        <v>Medium</v>
      </c>
      <c r="AA118" s="5" t="s">
        <v>1319</v>
      </c>
      <c r="AB118" s="6" t="s">
        <v>1355</v>
      </c>
      <c r="AC118" s="6" t="s">
        <v>135</v>
      </c>
      <c r="AD118" s="5" t="s">
        <v>95</v>
      </c>
      <c r="AE118" s="5" t="s">
        <v>1720</v>
      </c>
      <c r="AF118" s="5" t="s">
        <v>1720</v>
      </c>
      <c r="AG118" s="5" t="s">
        <v>1720</v>
      </c>
      <c r="AH118" s="5" t="s">
        <v>1720</v>
      </c>
      <c r="AI118" s="6" t="str">
        <f t="shared" si="3"/>
        <v>No</v>
      </c>
      <c r="AJ118" s="6" t="s">
        <v>229</v>
      </c>
      <c r="AK118" s="6" t="s">
        <v>162</v>
      </c>
      <c r="AL118" s="6">
        <f>MATCH(AA118,{"Low","Medium","High"},0)*MATCH(AB118,{"Low","Medium","High"},0)*INDEX({3,2,2,1,1},MATCH(X118,{"Core","Vertical extension","Differentiator","Future","Adjacent"},0))</f>
        <v>6</v>
      </c>
      <c r="AM118" s="5"/>
      <c r="AN118" s="5"/>
      <c r="AO118" s="5"/>
      <c r="AP118" s="5"/>
      <c r="AQ118" s="5"/>
      <c r="AR118" s="5"/>
      <c r="AS118" s="5"/>
      <c r="AT118" s="5"/>
      <c r="AU118" s="6" t="s">
        <v>2317</v>
      </c>
      <c r="AV118" s="6" t="s">
        <v>2813</v>
      </c>
      <c r="AW118" s="6" t="s">
        <v>2813</v>
      </c>
      <c r="AX118" s="6" t="s">
        <v>2284</v>
      </c>
      <c r="AY118" s="6" t="s">
        <v>2285</v>
      </c>
      <c r="AZ118" s="6"/>
      <c r="BA118" s="6"/>
      <c r="BB118" s="6"/>
      <c r="BC118" s="6" t="s">
        <v>127</v>
      </c>
      <c r="BD118" s="6" t="s">
        <v>127</v>
      </c>
      <c r="BE118" s="6" t="s">
        <v>1477</v>
      </c>
      <c r="BF118" s="6" t="s">
        <v>95</v>
      </c>
      <c r="BG118" s="6" t="s">
        <v>3329</v>
      </c>
      <c r="BH118" s="6" t="s">
        <v>3330</v>
      </c>
    </row>
    <row r="119" spans="1:60" ht="32" customHeight="1" x14ac:dyDescent="0.35">
      <c r="A119" s="13" t="s">
        <v>3331</v>
      </c>
      <c r="B119" s="6" t="s">
        <v>2265</v>
      </c>
      <c r="C119" s="5" t="s">
        <v>2813</v>
      </c>
      <c r="D119" s="5" t="s">
        <v>2192</v>
      </c>
      <c r="E119" s="5" t="s">
        <v>3332</v>
      </c>
      <c r="F119" s="5" t="s">
        <v>2813</v>
      </c>
      <c r="G119" s="5" t="s">
        <v>2939</v>
      </c>
      <c r="H119" s="5" t="s">
        <v>3333</v>
      </c>
      <c r="I119" s="5" t="s">
        <v>3334</v>
      </c>
      <c r="J119" s="16" t="s">
        <v>94</v>
      </c>
      <c r="K119" s="17" t="s">
        <v>1477</v>
      </c>
      <c r="L119" s="5" t="s">
        <v>3335</v>
      </c>
      <c r="M119" s="6" t="s">
        <v>1493</v>
      </c>
      <c r="N119" s="6" t="s">
        <v>2167</v>
      </c>
      <c r="O119" s="6" t="s">
        <v>94</v>
      </c>
      <c r="P119" s="5" t="s">
        <v>2272</v>
      </c>
      <c r="Q119" s="18" t="s">
        <v>1482</v>
      </c>
      <c r="R119" s="5" t="s">
        <v>2400</v>
      </c>
      <c r="S119" s="6" t="s">
        <v>2371</v>
      </c>
      <c r="T119" s="5" t="s">
        <v>2372</v>
      </c>
      <c r="U119" s="6"/>
      <c r="V119" s="6" t="s">
        <v>2373</v>
      </c>
      <c r="W119" s="6" t="s">
        <v>1699</v>
      </c>
      <c r="X119" s="5" t="s">
        <v>228</v>
      </c>
      <c r="Y119" s="5" t="s">
        <v>760</v>
      </c>
      <c r="Z119" s="5" t="str">
        <f t="shared" si="2"/>
        <v>Critical</v>
      </c>
      <c r="AA119" s="5" t="s">
        <v>1302</v>
      </c>
      <c r="AB119" s="6" t="s">
        <v>1319</v>
      </c>
      <c r="AC119" s="6" t="s">
        <v>99</v>
      </c>
      <c r="AD119" s="5" t="s">
        <v>2278</v>
      </c>
      <c r="AE119" s="5" t="s">
        <v>1720</v>
      </c>
      <c r="AF119" s="5" t="s">
        <v>1720</v>
      </c>
      <c r="AG119" s="5" t="s">
        <v>1720</v>
      </c>
      <c r="AH119" s="5" t="s">
        <v>1720</v>
      </c>
      <c r="AI119" s="6" t="str">
        <f t="shared" si="3"/>
        <v>No</v>
      </c>
      <c r="AJ119" s="6" t="s">
        <v>2298</v>
      </c>
      <c r="AK119" s="6" t="s">
        <v>94</v>
      </c>
      <c r="AL119" s="6">
        <f>MATCH(AA119,{"Low","Medium","High"},0)*MATCH(AB119,{"Low","Medium","High"},0)*INDEX({3,2,2,1,1},MATCH(X119,{"Core","Vertical extension","Differentiator","Future","Adjacent"},0))</f>
        <v>18</v>
      </c>
      <c r="AM119" s="5"/>
      <c r="AN119" s="5"/>
      <c r="AO119" s="5"/>
      <c r="AP119" s="5"/>
      <c r="AQ119" s="5"/>
      <c r="AR119" s="5"/>
      <c r="AS119" s="5"/>
      <c r="AT119" s="5"/>
      <c r="AU119" s="6" t="s">
        <v>2317</v>
      </c>
      <c r="AV119" s="6" t="s">
        <v>2813</v>
      </c>
      <c r="AW119" s="6" t="s">
        <v>2813</v>
      </c>
      <c r="AX119" s="6" t="s">
        <v>2284</v>
      </c>
      <c r="AY119" s="6" t="s">
        <v>2285</v>
      </c>
      <c r="AZ119" s="6"/>
      <c r="BA119" s="6"/>
      <c r="BB119" s="6"/>
      <c r="BC119" s="6" t="s">
        <v>127</v>
      </c>
      <c r="BD119" s="6" t="s">
        <v>127</v>
      </c>
      <c r="BE119" s="6"/>
      <c r="BF119" s="6"/>
      <c r="BG119" s="6"/>
      <c r="BH119" s="6"/>
    </row>
    <row r="120" spans="1:60" ht="32" customHeight="1" x14ac:dyDescent="0.35">
      <c r="A120" s="13" t="s">
        <v>254</v>
      </c>
      <c r="B120" s="6" t="s">
        <v>2265</v>
      </c>
      <c r="C120" s="5" t="s">
        <v>2813</v>
      </c>
      <c r="D120" s="5" t="s">
        <v>2192</v>
      </c>
      <c r="E120" s="5" t="s">
        <v>255</v>
      </c>
      <c r="F120" s="5" t="s">
        <v>2813</v>
      </c>
      <c r="G120" s="5" t="s">
        <v>3336</v>
      </c>
      <c r="H120" s="5" t="s">
        <v>3337</v>
      </c>
      <c r="I120" s="5" t="s">
        <v>3338</v>
      </c>
      <c r="J120" s="16" t="s">
        <v>94</v>
      </c>
      <c r="K120" s="17" t="s">
        <v>95</v>
      </c>
      <c r="L120" s="5" t="s">
        <v>3339</v>
      </c>
      <c r="M120" s="6" t="s">
        <v>1493</v>
      </c>
      <c r="N120" s="6" t="s">
        <v>2167</v>
      </c>
      <c r="O120" s="6" t="s">
        <v>94</v>
      </c>
      <c r="P120" s="5" t="s">
        <v>2272</v>
      </c>
      <c r="Q120" s="17" t="s">
        <v>95</v>
      </c>
      <c r="R120" s="5" t="s">
        <v>3340</v>
      </c>
      <c r="S120" s="6" t="s">
        <v>2371</v>
      </c>
      <c r="T120" s="5" t="s">
        <v>2372</v>
      </c>
      <c r="U120" s="6"/>
      <c r="V120" s="6" t="s">
        <v>2373</v>
      </c>
      <c r="W120" s="6" t="s">
        <v>1699</v>
      </c>
      <c r="X120" s="5" t="s">
        <v>228</v>
      </c>
      <c r="Y120" s="5" t="s">
        <v>760</v>
      </c>
      <c r="Z120" s="5" t="str">
        <f t="shared" si="2"/>
        <v>Critical</v>
      </c>
      <c r="AA120" s="5" t="s">
        <v>1302</v>
      </c>
      <c r="AB120" s="6" t="s">
        <v>1319</v>
      </c>
      <c r="AC120" s="6" t="s">
        <v>135</v>
      </c>
      <c r="AD120" s="5" t="s">
        <v>95</v>
      </c>
      <c r="AE120" s="5" t="s">
        <v>1720</v>
      </c>
      <c r="AF120" s="5" t="s">
        <v>1720</v>
      </c>
      <c r="AG120" s="5" t="s">
        <v>1720</v>
      </c>
      <c r="AH120" s="5" t="s">
        <v>1720</v>
      </c>
      <c r="AI120" s="6" t="str">
        <f t="shared" si="3"/>
        <v>No</v>
      </c>
      <c r="AJ120" s="6" t="s">
        <v>2279</v>
      </c>
      <c r="AK120" s="6" t="s">
        <v>94</v>
      </c>
      <c r="AL120" s="6">
        <f>MATCH(AA120,{"Low","Medium","High"},0)*MATCH(AB120,{"Low","Medium","High"},0)*INDEX({3,2,2,1,1},MATCH(X120,{"Core","Vertical extension","Differentiator","Future","Adjacent"},0))</f>
        <v>18</v>
      </c>
      <c r="AM120" s="5"/>
      <c r="AN120" s="5"/>
      <c r="AO120" s="5">
        <v>3</v>
      </c>
      <c r="AP120" s="5"/>
      <c r="AQ120" s="5"/>
      <c r="AR120" s="5" t="s">
        <v>3341</v>
      </c>
      <c r="AS120" s="51">
        <v>46300</v>
      </c>
      <c r="AT120" s="5" t="s">
        <v>2760</v>
      </c>
      <c r="AU120" s="6" t="s">
        <v>2282</v>
      </c>
      <c r="AV120" s="6" t="s">
        <v>2813</v>
      </c>
      <c r="AW120" s="6" t="s">
        <v>2813</v>
      </c>
      <c r="AX120" s="6" t="s">
        <v>2284</v>
      </c>
      <c r="AY120" s="6" t="s">
        <v>2285</v>
      </c>
      <c r="AZ120" s="6"/>
      <c r="BA120" s="6" t="s">
        <v>3342</v>
      </c>
      <c r="BB120" s="6"/>
      <c r="BC120" s="6" t="s">
        <v>127</v>
      </c>
      <c r="BD120" s="6" t="s">
        <v>127</v>
      </c>
      <c r="BE120" s="6" t="s">
        <v>1477</v>
      </c>
      <c r="BF120" s="6" t="s">
        <v>95</v>
      </c>
      <c r="BG120" s="6" t="s">
        <v>3343</v>
      </c>
      <c r="BH120" s="6" t="s">
        <v>256</v>
      </c>
    </row>
    <row r="121" spans="1:60" ht="32" customHeight="1" x14ac:dyDescent="0.35">
      <c r="A121" s="13" t="s">
        <v>3344</v>
      </c>
      <c r="B121" s="6" t="s">
        <v>2265</v>
      </c>
      <c r="C121" s="5" t="s">
        <v>2813</v>
      </c>
      <c r="D121" s="5" t="s">
        <v>2187</v>
      </c>
      <c r="E121" s="5" t="s">
        <v>3345</v>
      </c>
      <c r="F121" s="5" t="s">
        <v>2813</v>
      </c>
      <c r="G121" s="5" t="s">
        <v>1669</v>
      </c>
      <c r="H121" s="5" t="s">
        <v>3346</v>
      </c>
      <c r="I121" s="5" t="s">
        <v>3347</v>
      </c>
      <c r="J121" s="17" t="s">
        <v>162</v>
      </c>
      <c r="K121" s="17" t="s">
        <v>95</v>
      </c>
      <c r="L121" s="5" t="s">
        <v>3348</v>
      </c>
      <c r="M121" s="6" t="s">
        <v>1493</v>
      </c>
      <c r="N121" s="6" t="s">
        <v>2167</v>
      </c>
      <c r="O121" s="6" t="s">
        <v>162</v>
      </c>
      <c r="P121" s="5" t="s">
        <v>2272</v>
      </c>
      <c r="Q121" s="17" t="s">
        <v>95</v>
      </c>
      <c r="R121" s="5" t="s">
        <v>3349</v>
      </c>
      <c r="S121" s="6" t="s">
        <v>2345</v>
      </c>
      <c r="T121" s="5" t="s">
        <v>2346</v>
      </c>
      <c r="U121" s="6"/>
      <c r="V121" s="6" t="s">
        <v>2347</v>
      </c>
      <c r="W121" s="6" t="s">
        <v>1697</v>
      </c>
      <c r="X121" s="5" t="s">
        <v>228</v>
      </c>
      <c r="Y121" s="5" t="s">
        <v>760</v>
      </c>
      <c r="Z121" s="5" t="str">
        <f t="shared" si="2"/>
        <v>High</v>
      </c>
      <c r="AA121" s="5" t="s">
        <v>1302</v>
      </c>
      <c r="AB121" s="6" t="s">
        <v>1355</v>
      </c>
      <c r="AC121" s="6" t="s">
        <v>135</v>
      </c>
      <c r="AD121" s="5" t="s">
        <v>95</v>
      </c>
      <c r="AE121" s="5" t="s">
        <v>1720</v>
      </c>
      <c r="AF121" s="5" t="s">
        <v>1720</v>
      </c>
      <c r="AG121" s="5" t="s">
        <v>1720</v>
      </c>
      <c r="AH121" s="5" t="s">
        <v>1720</v>
      </c>
      <c r="AI121" s="6" t="str">
        <f t="shared" si="3"/>
        <v>No</v>
      </c>
      <c r="AJ121" s="6" t="s">
        <v>229</v>
      </c>
      <c r="AK121" s="6" t="s">
        <v>162</v>
      </c>
      <c r="AL121" s="6">
        <f>MATCH(AA121,{"Low","Medium","High"},0)*MATCH(AB121,{"Low","Medium","High"},0)*INDEX({3,2,2,1,1},MATCH(X121,{"Core","Vertical extension","Differentiator","Future","Adjacent"},0))</f>
        <v>9</v>
      </c>
      <c r="AM121" s="5"/>
      <c r="AN121" s="5"/>
      <c r="AO121" s="5"/>
      <c r="AP121" s="5"/>
      <c r="AQ121" s="5"/>
      <c r="AR121" s="5"/>
      <c r="AS121" s="5"/>
      <c r="AT121" s="5"/>
      <c r="AU121" s="6" t="s">
        <v>2317</v>
      </c>
      <c r="AV121" s="6" t="s">
        <v>2813</v>
      </c>
      <c r="AW121" s="6" t="s">
        <v>2813</v>
      </c>
      <c r="AX121" s="6" t="s">
        <v>2284</v>
      </c>
      <c r="AY121" s="6" t="s">
        <v>2285</v>
      </c>
      <c r="AZ121" s="6"/>
      <c r="BA121" s="6"/>
      <c r="BB121" s="6"/>
      <c r="BC121" s="6" t="s">
        <v>127</v>
      </c>
      <c r="BD121" s="6" t="s">
        <v>127</v>
      </c>
      <c r="BE121" s="6" t="s">
        <v>1477</v>
      </c>
      <c r="BF121" s="6" t="s">
        <v>95</v>
      </c>
      <c r="BG121" s="6" t="s">
        <v>3350</v>
      </c>
      <c r="BH121" s="6" t="s">
        <v>3351</v>
      </c>
    </row>
    <row r="122" spans="1:60" ht="32" customHeight="1" x14ac:dyDescent="0.35">
      <c r="A122" s="13" t="s">
        <v>3352</v>
      </c>
      <c r="B122" s="6" t="s">
        <v>2265</v>
      </c>
      <c r="C122" s="5" t="s">
        <v>2813</v>
      </c>
      <c r="D122" s="5" t="s">
        <v>2189</v>
      </c>
      <c r="E122" s="5" t="s">
        <v>3353</v>
      </c>
      <c r="F122" s="5" t="s">
        <v>2813</v>
      </c>
      <c r="G122" s="5" t="s">
        <v>2939</v>
      </c>
      <c r="H122" s="5" t="s">
        <v>3354</v>
      </c>
      <c r="I122" s="5" t="s">
        <v>3355</v>
      </c>
      <c r="J122" s="19" t="s">
        <v>204</v>
      </c>
      <c r="K122" s="17" t="s">
        <v>95</v>
      </c>
      <c r="L122" s="5" t="s">
        <v>3356</v>
      </c>
      <c r="M122" s="6" t="s">
        <v>1493</v>
      </c>
      <c r="N122" s="6" t="s">
        <v>2167</v>
      </c>
      <c r="O122" s="6" t="s">
        <v>204</v>
      </c>
      <c r="P122" s="5" t="s">
        <v>2524</v>
      </c>
      <c r="Q122" s="17" t="s">
        <v>95</v>
      </c>
      <c r="R122" s="5" t="s">
        <v>3357</v>
      </c>
      <c r="S122" s="6" t="s">
        <v>2325</v>
      </c>
      <c r="T122" s="5" t="s">
        <v>2326</v>
      </c>
      <c r="U122" s="6"/>
      <c r="V122" s="6" t="s">
        <v>2327</v>
      </c>
      <c r="W122" s="6" t="s">
        <v>1699</v>
      </c>
      <c r="X122" s="5" t="s">
        <v>228</v>
      </c>
      <c r="Y122" s="5" t="s">
        <v>760</v>
      </c>
      <c r="Z122" s="5" t="str">
        <f t="shared" si="2"/>
        <v>Medium</v>
      </c>
      <c r="AA122" s="5" t="s">
        <v>1319</v>
      </c>
      <c r="AB122" s="6" t="s">
        <v>1355</v>
      </c>
      <c r="AC122" s="6" t="s">
        <v>32</v>
      </c>
      <c r="AD122" s="5" t="s">
        <v>95</v>
      </c>
      <c r="AE122" s="5" t="s">
        <v>1720</v>
      </c>
      <c r="AF122" s="5" t="s">
        <v>1720</v>
      </c>
      <c r="AG122" s="5" t="s">
        <v>1720</v>
      </c>
      <c r="AH122" s="5" t="s">
        <v>1720</v>
      </c>
      <c r="AI122" s="6" t="str">
        <f t="shared" si="3"/>
        <v>No</v>
      </c>
      <c r="AJ122" s="6" t="s">
        <v>229</v>
      </c>
      <c r="AK122" s="6" t="s">
        <v>204</v>
      </c>
      <c r="AL122" s="6">
        <f>MATCH(AA122,{"Low","Medium","High"},0)*MATCH(AB122,{"Low","Medium","High"},0)*INDEX({3,2,2,1,1},MATCH(X122,{"Core","Vertical extension","Differentiator","Future","Adjacent"},0))</f>
        <v>6</v>
      </c>
      <c r="AM122" s="5"/>
      <c r="AN122" s="5"/>
      <c r="AO122" s="5"/>
      <c r="AP122" s="5"/>
      <c r="AQ122" s="5"/>
      <c r="AR122" s="5"/>
      <c r="AS122" s="5"/>
      <c r="AT122" s="5"/>
      <c r="AU122" s="6" t="s">
        <v>2317</v>
      </c>
      <c r="AV122" s="6" t="s">
        <v>2813</v>
      </c>
      <c r="AW122" s="6" t="s">
        <v>2813</v>
      </c>
      <c r="AX122" s="6" t="s">
        <v>2374</v>
      </c>
      <c r="AY122" s="6" t="s">
        <v>2285</v>
      </c>
      <c r="AZ122" s="6"/>
      <c r="BA122" s="6"/>
      <c r="BB122" s="6"/>
      <c r="BC122" s="6" t="s">
        <v>127</v>
      </c>
      <c r="BD122" s="6" t="s">
        <v>127</v>
      </c>
      <c r="BE122" s="6" t="s">
        <v>1477</v>
      </c>
      <c r="BF122" s="6" t="s">
        <v>95</v>
      </c>
      <c r="BG122" s="6" t="s">
        <v>2751</v>
      </c>
      <c r="BH122" s="6" t="s">
        <v>3358</v>
      </c>
    </row>
    <row r="123" spans="1:60" ht="32" customHeight="1" x14ac:dyDescent="0.35">
      <c r="A123" s="13" t="s">
        <v>3359</v>
      </c>
      <c r="B123" s="6" t="s">
        <v>2265</v>
      </c>
      <c r="C123" s="5" t="s">
        <v>2813</v>
      </c>
      <c r="D123" s="5" t="s">
        <v>2189</v>
      </c>
      <c r="E123" s="5" t="s">
        <v>3360</v>
      </c>
      <c r="F123" s="5" t="s">
        <v>2813</v>
      </c>
      <c r="G123" s="5" t="s">
        <v>1669</v>
      </c>
      <c r="H123" s="5" t="s">
        <v>3361</v>
      </c>
      <c r="I123" s="5" t="s">
        <v>3362</v>
      </c>
      <c r="J123" s="19" t="s">
        <v>204</v>
      </c>
      <c r="K123" s="17" t="s">
        <v>1477</v>
      </c>
      <c r="L123" s="5" t="s">
        <v>3363</v>
      </c>
      <c r="M123" s="6" t="s">
        <v>1493</v>
      </c>
      <c r="N123" s="6" t="s">
        <v>2167</v>
      </c>
      <c r="O123" s="6" t="s">
        <v>204</v>
      </c>
      <c r="P123" s="5" t="s">
        <v>2524</v>
      </c>
      <c r="Q123" s="17" t="s">
        <v>2273</v>
      </c>
      <c r="R123" s="5" t="s">
        <v>3364</v>
      </c>
      <c r="S123" s="6" t="s">
        <v>2325</v>
      </c>
      <c r="T123" s="5" t="s">
        <v>2326</v>
      </c>
      <c r="U123" s="6"/>
      <c r="V123" s="6" t="s">
        <v>2327</v>
      </c>
      <c r="W123" s="6" t="s">
        <v>1699</v>
      </c>
      <c r="X123" s="5" t="s">
        <v>228</v>
      </c>
      <c r="Y123" s="5" t="s">
        <v>760</v>
      </c>
      <c r="Z123" s="5" t="str">
        <f t="shared" si="2"/>
        <v>Medium</v>
      </c>
      <c r="AA123" s="5" t="s">
        <v>1319</v>
      </c>
      <c r="AB123" s="6" t="s">
        <v>1355</v>
      </c>
      <c r="AC123" s="6" t="s">
        <v>32</v>
      </c>
      <c r="AD123" s="5" t="s">
        <v>2278</v>
      </c>
      <c r="AE123" s="5" t="s">
        <v>1720</v>
      </c>
      <c r="AF123" s="5" t="s">
        <v>1720</v>
      </c>
      <c r="AG123" s="5" t="s">
        <v>1720</v>
      </c>
      <c r="AH123" s="5" t="s">
        <v>1720</v>
      </c>
      <c r="AI123" s="6" t="str">
        <f t="shared" si="3"/>
        <v>No</v>
      </c>
      <c r="AJ123" s="6" t="s">
        <v>2298</v>
      </c>
      <c r="AK123" s="6" t="s">
        <v>204</v>
      </c>
      <c r="AL123" s="6">
        <f>MATCH(AA123,{"Low","Medium","High"},0)*MATCH(AB123,{"Low","Medium","High"},0)*INDEX({3,2,2,1,1},MATCH(X123,{"Core","Vertical extension","Differentiator","Future","Adjacent"},0))</f>
        <v>6</v>
      </c>
      <c r="AM123" s="5"/>
      <c r="AN123" s="5"/>
      <c r="AO123" s="5"/>
      <c r="AP123" s="5"/>
      <c r="AQ123" s="5"/>
      <c r="AR123" s="5"/>
      <c r="AS123" s="5"/>
      <c r="AT123" s="5"/>
      <c r="AU123" s="6" t="s">
        <v>2317</v>
      </c>
      <c r="AV123" s="6" t="s">
        <v>2813</v>
      </c>
      <c r="AW123" s="6" t="s">
        <v>2813</v>
      </c>
      <c r="AX123" s="6" t="s">
        <v>2374</v>
      </c>
      <c r="AY123" s="6" t="s">
        <v>2285</v>
      </c>
      <c r="AZ123" s="6"/>
      <c r="BA123" s="6"/>
      <c r="BB123" s="6"/>
      <c r="BC123" s="6" t="s">
        <v>127</v>
      </c>
      <c r="BD123" s="6" t="s">
        <v>127</v>
      </c>
      <c r="BE123" s="6" t="s">
        <v>1477</v>
      </c>
      <c r="BF123" s="6" t="s">
        <v>2286</v>
      </c>
      <c r="BG123" s="6" t="s">
        <v>3365</v>
      </c>
      <c r="BH123" s="6" t="s">
        <v>3366</v>
      </c>
    </row>
    <row r="124" spans="1:60" ht="32" customHeight="1" x14ac:dyDescent="0.35">
      <c r="A124" s="13" t="s">
        <v>3367</v>
      </c>
      <c r="B124" s="6" t="s">
        <v>2265</v>
      </c>
      <c r="C124" s="5" t="s">
        <v>2813</v>
      </c>
      <c r="D124" s="5" t="s">
        <v>2189</v>
      </c>
      <c r="E124" s="5" t="s">
        <v>3368</v>
      </c>
      <c r="F124" s="5" t="s">
        <v>2813</v>
      </c>
      <c r="G124" s="5" t="s">
        <v>1824</v>
      </c>
      <c r="H124" s="5" t="s">
        <v>3369</v>
      </c>
      <c r="I124" s="5" t="s">
        <v>3370</v>
      </c>
      <c r="J124" s="19" t="s">
        <v>204</v>
      </c>
      <c r="K124" s="17" t="s">
        <v>95</v>
      </c>
      <c r="L124" s="5" t="s">
        <v>3371</v>
      </c>
      <c r="M124" s="6" t="s">
        <v>1493</v>
      </c>
      <c r="N124" s="6" t="s">
        <v>2167</v>
      </c>
      <c r="O124" s="6" t="s">
        <v>204</v>
      </c>
      <c r="P124" s="5" t="s">
        <v>2524</v>
      </c>
      <c r="Q124" s="17" t="s">
        <v>95</v>
      </c>
      <c r="R124" s="5" t="s">
        <v>3372</v>
      </c>
      <c r="S124" s="6" t="s">
        <v>2325</v>
      </c>
      <c r="T124" s="5" t="s">
        <v>2326</v>
      </c>
      <c r="U124" s="6"/>
      <c r="V124" s="6" t="s">
        <v>2327</v>
      </c>
      <c r="W124" s="6" t="s">
        <v>1699</v>
      </c>
      <c r="X124" s="5" t="s">
        <v>228</v>
      </c>
      <c r="Y124" s="5" t="s">
        <v>760</v>
      </c>
      <c r="Z124" s="5" t="str">
        <f t="shared" si="2"/>
        <v>Medium</v>
      </c>
      <c r="AA124" s="5" t="s">
        <v>1319</v>
      </c>
      <c r="AB124" s="6" t="s">
        <v>1355</v>
      </c>
      <c r="AC124" s="6" t="s">
        <v>32</v>
      </c>
      <c r="AD124" s="5" t="s">
        <v>95</v>
      </c>
      <c r="AE124" s="5" t="s">
        <v>1720</v>
      </c>
      <c r="AF124" s="5" t="s">
        <v>1720</v>
      </c>
      <c r="AG124" s="5" t="s">
        <v>1720</v>
      </c>
      <c r="AH124" s="5" t="s">
        <v>1720</v>
      </c>
      <c r="AI124" s="6" t="str">
        <f t="shared" si="3"/>
        <v>No</v>
      </c>
      <c r="AJ124" s="6" t="s">
        <v>229</v>
      </c>
      <c r="AK124" s="6" t="s">
        <v>204</v>
      </c>
      <c r="AL124" s="6">
        <f>MATCH(AA124,{"Low","Medium","High"},0)*MATCH(AB124,{"Low","Medium","High"},0)*INDEX({3,2,2,1,1},MATCH(X124,{"Core","Vertical extension","Differentiator","Future","Adjacent"},0))</f>
        <v>6</v>
      </c>
      <c r="AM124" s="5"/>
      <c r="AN124" s="5"/>
      <c r="AO124" s="5"/>
      <c r="AP124" s="5"/>
      <c r="AQ124" s="5"/>
      <c r="AR124" s="5"/>
      <c r="AS124" s="5"/>
      <c r="AT124" s="5"/>
      <c r="AU124" s="6" t="s">
        <v>2317</v>
      </c>
      <c r="AV124" s="6" t="s">
        <v>2813</v>
      </c>
      <c r="AW124" s="6" t="s">
        <v>2813</v>
      </c>
      <c r="AX124" s="6" t="s">
        <v>2374</v>
      </c>
      <c r="AY124" s="6" t="s">
        <v>2285</v>
      </c>
      <c r="AZ124" s="6"/>
      <c r="BA124" s="6"/>
      <c r="BB124" s="6"/>
      <c r="BC124" s="6" t="s">
        <v>127</v>
      </c>
      <c r="BD124" s="6" t="s">
        <v>127</v>
      </c>
      <c r="BE124" s="6" t="s">
        <v>1477</v>
      </c>
      <c r="BF124" s="6" t="s">
        <v>95</v>
      </c>
      <c r="BG124" s="6" t="s">
        <v>2751</v>
      </c>
      <c r="BH124" s="6" t="s">
        <v>3373</v>
      </c>
    </row>
    <row r="125" spans="1:60" ht="32" customHeight="1" x14ac:dyDescent="0.35">
      <c r="A125" s="13" t="s">
        <v>3374</v>
      </c>
      <c r="B125" s="6" t="s">
        <v>2265</v>
      </c>
      <c r="C125" s="5" t="s">
        <v>2813</v>
      </c>
      <c r="D125" s="5" t="s">
        <v>2183</v>
      </c>
      <c r="E125" s="5" t="s">
        <v>3375</v>
      </c>
      <c r="F125" s="5" t="s">
        <v>2813</v>
      </c>
      <c r="G125" s="5" t="s">
        <v>1824</v>
      </c>
      <c r="H125" s="5" t="s">
        <v>3376</v>
      </c>
      <c r="I125" s="5" t="s">
        <v>3377</v>
      </c>
      <c r="J125" s="17" t="s">
        <v>162</v>
      </c>
      <c r="K125" s="17" t="s">
        <v>95</v>
      </c>
      <c r="L125" s="5" t="s">
        <v>3378</v>
      </c>
      <c r="M125" s="6" t="s">
        <v>1493</v>
      </c>
      <c r="N125" s="6" t="s">
        <v>2167</v>
      </c>
      <c r="O125" s="6" t="s">
        <v>162</v>
      </c>
      <c r="P125" s="5" t="s">
        <v>2272</v>
      </c>
      <c r="Q125" s="17" t="s">
        <v>95</v>
      </c>
      <c r="R125" s="5" t="s">
        <v>3379</v>
      </c>
      <c r="S125" s="6" t="s">
        <v>2438</v>
      </c>
      <c r="T125" s="5" t="s">
        <v>2439</v>
      </c>
      <c r="U125" s="6"/>
      <c r="V125" s="6" t="s">
        <v>2440</v>
      </c>
      <c r="W125" s="6" t="s">
        <v>1699</v>
      </c>
      <c r="X125" s="5" t="s">
        <v>228</v>
      </c>
      <c r="Y125" s="5" t="s">
        <v>760</v>
      </c>
      <c r="Z125" s="5" t="str">
        <f t="shared" si="2"/>
        <v>Critical</v>
      </c>
      <c r="AA125" s="5" t="s">
        <v>1302</v>
      </c>
      <c r="AB125" s="6" t="s">
        <v>1302</v>
      </c>
      <c r="AC125" s="6" t="s">
        <v>135</v>
      </c>
      <c r="AD125" s="5" t="s">
        <v>95</v>
      </c>
      <c r="AE125" s="5" t="s">
        <v>1720</v>
      </c>
      <c r="AF125" s="5" t="s">
        <v>1720</v>
      </c>
      <c r="AG125" s="5" t="s">
        <v>1720</v>
      </c>
      <c r="AH125" s="5" t="s">
        <v>1720</v>
      </c>
      <c r="AI125" s="6" t="str">
        <f t="shared" si="3"/>
        <v>No</v>
      </c>
      <c r="AJ125" s="6" t="s">
        <v>229</v>
      </c>
      <c r="AK125" s="6" t="s">
        <v>162</v>
      </c>
      <c r="AL125" s="6">
        <f>MATCH(AA125,{"Low","Medium","High"},0)*MATCH(AB125,{"Low","Medium","High"},0)*INDEX({3,2,2,1,1},MATCH(X125,{"Core","Vertical extension","Differentiator","Future","Adjacent"},0))</f>
        <v>27</v>
      </c>
      <c r="AM125" s="5"/>
      <c r="AN125" s="5"/>
      <c r="AO125" s="5"/>
      <c r="AP125" s="5"/>
      <c r="AQ125" s="5"/>
      <c r="AR125" s="5"/>
      <c r="AS125" s="5"/>
      <c r="AT125" s="5"/>
      <c r="AU125" s="6" t="s">
        <v>2317</v>
      </c>
      <c r="AV125" s="6" t="s">
        <v>2813</v>
      </c>
      <c r="AW125" s="6" t="s">
        <v>2813</v>
      </c>
      <c r="AX125" s="6" t="s">
        <v>2284</v>
      </c>
      <c r="AY125" s="6" t="s">
        <v>2285</v>
      </c>
      <c r="AZ125" s="6"/>
      <c r="BA125" s="6"/>
      <c r="BB125" s="6"/>
      <c r="BC125" s="6" t="s">
        <v>127</v>
      </c>
      <c r="BD125" s="6" t="s">
        <v>127</v>
      </c>
      <c r="BE125" s="6" t="s">
        <v>1477</v>
      </c>
      <c r="BF125" s="6" t="s">
        <v>95</v>
      </c>
      <c r="BG125" s="6" t="s">
        <v>3380</v>
      </c>
      <c r="BH125" s="6" t="s">
        <v>3381</v>
      </c>
    </row>
    <row r="126" spans="1:60" ht="32" customHeight="1" x14ac:dyDescent="0.35">
      <c r="A126" s="13" t="s">
        <v>3382</v>
      </c>
      <c r="B126" s="6" t="s">
        <v>2265</v>
      </c>
      <c r="C126" s="5" t="s">
        <v>2813</v>
      </c>
      <c r="D126" s="5" t="s">
        <v>2195</v>
      </c>
      <c r="E126" s="5" t="s">
        <v>3383</v>
      </c>
      <c r="F126" s="5" t="s">
        <v>2813</v>
      </c>
      <c r="G126" s="5" t="s">
        <v>1824</v>
      </c>
      <c r="H126" s="5" t="s">
        <v>3384</v>
      </c>
      <c r="I126" s="5" t="s">
        <v>3385</v>
      </c>
      <c r="J126" s="17" t="s">
        <v>162</v>
      </c>
      <c r="K126" s="17" t="s">
        <v>1477</v>
      </c>
      <c r="L126" s="5" t="s">
        <v>3386</v>
      </c>
      <c r="M126" s="6" t="s">
        <v>1493</v>
      </c>
      <c r="N126" s="6" t="s">
        <v>2167</v>
      </c>
      <c r="O126" s="6" t="s">
        <v>162</v>
      </c>
      <c r="P126" s="5" t="s">
        <v>2272</v>
      </c>
      <c r="Q126" s="18" t="s">
        <v>1482</v>
      </c>
      <c r="R126" s="5" t="s">
        <v>3387</v>
      </c>
      <c r="S126" s="6" t="s">
        <v>2295</v>
      </c>
      <c r="T126" s="5" t="s">
        <v>2296</v>
      </c>
      <c r="U126" s="6"/>
      <c r="V126" s="6" t="s">
        <v>2297</v>
      </c>
      <c r="W126" s="6" t="s">
        <v>1697</v>
      </c>
      <c r="X126" s="5" t="s">
        <v>228</v>
      </c>
      <c r="Y126" s="5" t="s">
        <v>760</v>
      </c>
      <c r="Z126" s="5" t="str">
        <f t="shared" si="2"/>
        <v>High</v>
      </c>
      <c r="AA126" s="5" t="s">
        <v>1302</v>
      </c>
      <c r="AB126" s="6" t="s">
        <v>1355</v>
      </c>
      <c r="AC126" s="6" t="s">
        <v>135</v>
      </c>
      <c r="AD126" s="5" t="s">
        <v>2278</v>
      </c>
      <c r="AE126" s="5" t="s">
        <v>1720</v>
      </c>
      <c r="AF126" s="5" t="s">
        <v>1720</v>
      </c>
      <c r="AG126" s="5" t="s">
        <v>1720</v>
      </c>
      <c r="AH126" s="5" t="s">
        <v>1720</v>
      </c>
      <c r="AI126" s="6" t="str">
        <f t="shared" si="3"/>
        <v>No</v>
      </c>
      <c r="AJ126" s="6" t="s">
        <v>2298</v>
      </c>
      <c r="AK126" s="6" t="s">
        <v>162</v>
      </c>
      <c r="AL126" s="6">
        <f>MATCH(AA126,{"Low","Medium","High"},0)*MATCH(AB126,{"Low","Medium","High"},0)*INDEX({3,2,2,1,1},MATCH(X126,{"Core","Vertical extension","Differentiator","Future","Adjacent"},0))</f>
        <v>9</v>
      </c>
      <c r="AM126" s="5"/>
      <c r="AN126" s="5"/>
      <c r="AO126" s="5"/>
      <c r="AP126" s="5"/>
      <c r="AQ126" s="5"/>
      <c r="AR126" s="5"/>
      <c r="AS126" s="5"/>
      <c r="AT126" s="5"/>
      <c r="AU126" s="6" t="s">
        <v>2317</v>
      </c>
      <c r="AV126" s="6" t="s">
        <v>2813</v>
      </c>
      <c r="AW126" s="6" t="s">
        <v>2813</v>
      </c>
      <c r="AX126" s="6" t="s">
        <v>2284</v>
      </c>
      <c r="AY126" s="6" t="s">
        <v>2285</v>
      </c>
      <c r="AZ126" s="6"/>
      <c r="BA126" s="6" t="s">
        <v>3388</v>
      </c>
      <c r="BB126" s="6" t="s">
        <v>3389</v>
      </c>
      <c r="BC126" s="6" t="s">
        <v>127</v>
      </c>
      <c r="BD126" s="6" t="s">
        <v>127</v>
      </c>
      <c r="BE126" s="6"/>
      <c r="BF126" s="6"/>
      <c r="BG126" s="6"/>
      <c r="BH126" s="6"/>
    </row>
    <row r="127" spans="1:60" ht="32" customHeight="1" x14ac:dyDescent="0.35">
      <c r="A127" s="13" t="s">
        <v>3390</v>
      </c>
      <c r="B127" s="6" t="s">
        <v>2265</v>
      </c>
      <c r="C127" s="5" t="s">
        <v>2813</v>
      </c>
      <c r="D127" s="5" t="s">
        <v>2189</v>
      </c>
      <c r="E127" s="5" t="s">
        <v>3391</v>
      </c>
      <c r="F127" s="5" t="s">
        <v>2813</v>
      </c>
      <c r="G127" s="5" t="s">
        <v>3086</v>
      </c>
      <c r="H127" s="5" t="s">
        <v>3392</v>
      </c>
      <c r="I127" s="5" t="s">
        <v>3393</v>
      </c>
      <c r="J127" s="17" t="s">
        <v>162</v>
      </c>
      <c r="K127" s="17" t="s">
        <v>1477</v>
      </c>
      <c r="L127" s="5" t="s">
        <v>3394</v>
      </c>
      <c r="M127" s="6" t="s">
        <v>1493</v>
      </c>
      <c r="N127" s="6" t="s">
        <v>2167</v>
      </c>
      <c r="O127" s="6" t="s">
        <v>162</v>
      </c>
      <c r="P127" s="5" t="s">
        <v>2272</v>
      </c>
      <c r="Q127" s="17" t="s">
        <v>2273</v>
      </c>
      <c r="R127" s="5" t="s">
        <v>3395</v>
      </c>
      <c r="S127" s="6" t="s">
        <v>2325</v>
      </c>
      <c r="T127" s="5" t="s">
        <v>2326</v>
      </c>
      <c r="U127" s="6"/>
      <c r="V127" s="6" t="s">
        <v>2327</v>
      </c>
      <c r="W127" s="6" t="s">
        <v>1699</v>
      </c>
      <c r="X127" s="5" t="s">
        <v>228</v>
      </c>
      <c r="Y127" s="5" t="s">
        <v>760</v>
      </c>
      <c r="Z127" s="5" t="str">
        <f t="shared" si="2"/>
        <v>Medium</v>
      </c>
      <c r="AA127" s="5" t="s">
        <v>1319</v>
      </c>
      <c r="AB127" s="6" t="s">
        <v>1355</v>
      </c>
      <c r="AC127" s="6" t="s">
        <v>135</v>
      </c>
      <c r="AD127" s="5" t="s">
        <v>2278</v>
      </c>
      <c r="AE127" s="5" t="s">
        <v>1720</v>
      </c>
      <c r="AF127" s="5" t="s">
        <v>1720</v>
      </c>
      <c r="AG127" s="5" t="s">
        <v>1720</v>
      </c>
      <c r="AH127" s="5" t="s">
        <v>1720</v>
      </c>
      <c r="AI127" s="6" t="str">
        <f t="shared" si="3"/>
        <v>No</v>
      </c>
      <c r="AJ127" s="6" t="s">
        <v>2298</v>
      </c>
      <c r="AK127" s="6" t="s">
        <v>162</v>
      </c>
      <c r="AL127" s="6">
        <f>MATCH(AA127,{"Low","Medium","High"},0)*MATCH(AB127,{"Low","Medium","High"},0)*INDEX({3,2,2,1,1},MATCH(X127,{"Core","Vertical extension","Differentiator","Future","Adjacent"},0))</f>
        <v>6</v>
      </c>
      <c r="AM127" s="5"/>
      <c r="AN127" s="5"/>
      <c r="AO127" s="5"/>
      <c r="AP127" s="5"/>
      <c r="AQ127" s="5"/>
      <c r="AR127" s="5"/>
      <c r="AS127" s="5"/>
      <c r="AT127" s="5"/>
      <c r="AU127" s="6" t="s">
        <v>2317</v>
      </c>
      <c r="AV127" s="6" t="s">
        <v>2813</v>
      </c>
      <c r="AW127" s="6" t="s">
        <v>2813</v>
      </c>
      <c r="AX127" s="6" t="s">
        <v>2284</v>
      </c>
      <c r="AY127" s="6" t="s">
        <v>2285</v>
      </c>
      <c r="AZ127" s="6"/>
      <c r="BA127" s="6" t="s">
        <v>3396</v>
      </c>
      <c r="BB127" s="6" t="s">
        <v>3389</v>
      </c>
      <c r="BC127" s="6" t="s">
        <v>127</v>
      </c>
      <c r="BD127" s="6" t="s">
        <v>127</v>
      </c>
      <c r="BE127" s="6" t="s">
        <v>1477</v>
      </c>
      <c r="BF127" s="6" t="s">
        <v>2286</v>
      </c>
      <c r="BG127" s="6" t="s">
        <v>3397</v>
      </c>
      <c r="BH127" s="6" t="s">
        <v>3398</v>
      </c>
    </row>
    <row r="128" spans="1:60" ht="32" customHeight="1" x14ac:dyDescent="0.35">
      <c r="A128" s="13" t="s">
        <v>3399</v>
      </c>
      <c r="B128" s="6" t="s">
        <v>2265</v>
      </c>
      <c r="C128" s="5" t="s">
        <v>2813</v>
      </c>
      <c r="D128" s="5" t="s">
        <v>2189</v>
      </c>
      <c r="E128" s="5" t="s">
        <v>3400</v>
      </c>
      <c r="F128" s="5" t="s">
        <v>2813</v>
      </c>
      <c r="G128" s="5" t="s">
        <v>1824</v>
      </c>
      <c r="H128" s="5" t="s">
        <v>3401</v>
      </c>
      <c r="I128" s="5" t="s">
        <v>3402</v>
      </c>
      <c r="J128" s="17" t="s">
        <v>162</v>
      </c>
      <c r="K128" s="17" t="s">
        <v>95</v>
      </c>
      <c r="L128" s="5" t="s">
        <v>3403</v>
      </c>
      <c r="M128" s="6" t="s">
        <v>1493</v>
      </c>
      <c r="N128" s="6" t="s">
        <v>2167</v>
      </c>
      <c r="O128" s="6" t="s">
        <v>162</v>
      </c>
      <c r="P128" s="5" t="s">
        <v>2272</v>
      </c>
      <c r="Q128" s="17" t="s">
        <v>95</v>
      </c>
      <c r="R128" s="5" t="s">
        <v>3404</v>
      </c>
      <c r="S128" s="6" t="s">
        <v>2325</v>
      </c>
      <c r="T128" s="5" t="s">
        <v>2326</v>
      </c>
      <c r="U128" s="6"/>
      <c r="V128" s="6" t="s">
        <v>2327</v>
      </c>
      <c r="W128" s="6" t="s">
        <v>1699</v>
      </c>
      <c r="X128" s="5" t="s">
        <v>228</v>
      </c>
      <c r="Y128" s="5" t="s">
        <v>760</v>
      </c>
      <c r="Z128" s="5" t="str">
        <f t="shared" si="2"/>
        <v>Medium</v>
      </c>
      <c r="AA128" s="5" t="s">
        <v>1319</v>
      </c>
      <c r="AB128" s="6" t="s">
        <v>1355</v>
      </c>
      <c r="AC128" s="6" t="s">
        <v>135</v>
      </c>
      <c r="AD128" s="5" t="s">
        <v>95</v>
      </c>
      <c r="AE128" s="5" t="s">
        <v>1720</v>
      </c>
      <c r="AF128" s="5" t="s">
        <v>1720</v>
      </c>
      <c r="AG128" s="5" t="s">
        <v>1720</v>
      </c>
      <c r="AH128" s="5" t="s">
        <v>1720</v>
      </c>
      <c r="AI128" s="6" t="str">
        <f t="shared" si="3"/>
        <v>No</v>
      </c>
      <c r="AJ128" s="6" t="s">
        <v>229</v>
      </c>
      <c r="AK128" s="6" t="s">
        <v>162</v>
      </c>
      <c r="AL128" s="6">
        <f>MATCH(AA128,{"Low","Medium","High"},0)*MATCH(AB128,{"Low","Medium","High"},0)*INDEX({3,2,2,1,1},MATCH(X128,{"Core","Vertical extension","Differentiator","Future","Adjacent"},0))</f>
        <v>6</v>
      </c>
      <c r="AM128" s="5"/>
      <c r="AN128" s="5"/>
      <c r="AO128" s="5"/>
      <c r="AP128" s="5"/>
      <c r="AQ128" s="5"/>
      <c r="AR128" s="5"/>
      <c r="AS128" s="5"/>
      <c r="AT128" s="5"/>
      <c r="AU128" s="6" t="s">
        <v>2317</v>
      </c>
      <c r="AV128" s="6" t="s">
        <v>2813</v>
      </c>
      <c r="AW128" s="6" t="s">
        <v>2813</v>
      </c>
      <c r="AX128" s="6" t="s">
        <v>2284</v>
      </c>
      <c r="AY128" s="6" t="s">
        <v>2285</v>
      </c>
      <c r="AZ128" s="6"/>
      <c r="BA128" s="6"/>
      <c r="BB128" s="6"/>
      <c r="BC128" s="6" t="s">
        <v>127</v>
      </c>
      <c r="BD128" s="6" t="s">
        <v>127</v>
      </c>
      <c r="BE128" s="6" t="s">
        <v>1477</v>
      </c>
      <c r="BF128" s="6" t="s">
        <v>95</v>
      </c>
      <c r="BG128" s="6" t="s">
        <v>3329</v>
      </c>
      <c r="BH128" s="6" t="s">
        <v>3405</v>
      </c>
    </row>
    <row r="129" spans="1:60" ht="32" customHeight="1" x14ac:dyDescent="0.35">
      <c r="A129" s="13" t="s">
        <v>259</v>
      </c>
      <c r="B129" s="6" t="s">
        <v>2265</v>
      </c>
      <c r="C129" s="5" t="s">
        <v>2813</v>
      </c>
      <c r="D129" s="5" t="s">
        <v>2185</v>
      </c>
      <c r="E129" s="5" t="s">
        <v>260</v>
      </c>
      <c r="F129" s="5" t="s">
        <v>2813</v>
      </c>
      <c r="G129" s="5" t="s">
        <v>3406</v>
      </c>
      <c r="H129" s="5" t="s">
        <v>3407</v>
      </c>
      <c r="I129" s="5" t="s">
        <v>3408</v>
      </c>
      <c r="J129" s="16" t="s">
        <v>94</v>
      </c>
      <c r="K129" s="17" t="s">
        <v>95</v>
      </c>
      <c r="L129" s="5" t="s">
        <v>3409</v>
      </c>
      <c r="M129" s="6" t="s">
        <v>1493</v>
      </c>
      <c r="N129" s="6" t="s">
        <v>2167</v>
      </c>
      <c r="O129" s="6" t="s">
        <v>94</v>
      </c>
      <c r="P129" s="5" t="s">
        <v>2272</v>
      </c>
      <c r="Q129" s="17" t="s">
        <v>95</v>
      </c>
      <c r="R129" s="5" t="s">
        <v>3410</v>
      </c>
      <c r="S129" s="6" t="s">
        <v>2409</v>
      </c>
      <c r="T129" s="5" t="s">
        <v>2185</v>
      </c>
      <c r="U129" s="6"/>
      <c r="V129" s="6" t="s">
        <v>3411</v>
      </c>
      <c r="W129" s="6" t="s">
        <v>1699</v>
      </c>
      <c r="X129" s="5" t="s">
        <v>228</v>
      </c>
      <c r="Y129" s="5" t="s">
        <v>760</v>
      </c>
      <c r="Z129" s="5" t="str">
        <f t="shared" si="2"/>
        <v>Critical</v>
      </c>
      <c r="AA129" s="5" t="s">
        <v>1302</v>
      </c>
      <c r="AB129" s="6" t="s">
        <v>1319</v>
      </c>
      <c r="AC129" s="6" t="s">
        <v>99</v>
      </c>
      <c r="AD129" s="5" t="s">
        <v>95</v>
      </c>
      <c r="AE129" s="5" t="s">
        <v>1720</v>
      </c>
      <c r="AF129" s="5" t="s">
        <v>1720</v>
      </c>
      <c r="AG129" s="5" t="s">
        <v>1720</v>
      </c>
      <c r="AH129" s="5" t="s">
        <v>1720</v>
      </c>
      <c r="AI129" s="6" t="str">
        <f t="shared" si="3"/>
        <v>No</v>
      </c>
      <c r="AJ129" s="6" t="s">
        <v>229</v>
      </c>
      <c r="AK129" s="6" t="s">
        <v>94</v>
      </c>
      <c r="AL129" s="6">
        <f>MATCH(AA129,{"Low","Medium","High"},0)*MATCH(AB129,{"Low","Medium","High"},0)*INDEX({3,2,2,1,1},MATCH(X129,{"Core","Vertical extension","Differentiator","Future","Adjacent"},0))</f>
        <v>18</v>
      </c>
      <c r="AM129" s="5"/>
      <c r="AN129" s="5"/>
      <c r="AO129" s="5">
        <v>5</v>
      </c>
      <c r="AP129" s="5"/>
      <c r="AQ129" s="5"/>
      <c r="AR129" s="5" t="s">
        <v>3412</v>
      </c>
      <c r="AS129" s="51">
        <v>46300</v>
      </c>
      <c r="AT129" s="5" t="s">
        <v>2760</v>
      </c>
      <c r="AU129" s="6" t="s">
        <v>95</v>
      </c>
      <c r="AV129" s="6" t="s">
        <v>2813</v>
      </c>
      <c r="AW129" s="6" t="s">
        <v>2813</v>
      </c>
      <c r="AX129" s="6" t="s">
        <v>2284</v>
      </c>
      <c r="AY129" s="6" t="s">
        <v>2411</v>
      </c>
      <c r="AZ129" s="6"/>
      <c r="BA129" s="6" t="s">
        <v>3413</v>
      </c>
      <c r="BB129" s="6"/>
      <c r="BC129" s="6" t="s">
        <v>127</v>
      </c>
      <c r="BD129" s="6" t="s">
        <v>127</v>
      </c>
      <c r="BE129" s="6" t="s">
        <v>1477</v>
      </c>
      <c r="BF129" s="6" t="s">
        <v>95</v>
      </c>
      <c r="BG129" s="6" t="s">
        <v>3414</v>
      </c>
      <c r="BH129" s="6" t="s">
        <v>261</v>
      </c>
    </row>
    <row r="130" spans="1:60" ht="32" customHeight="1" x14ac:dyDescent="0.35">
      <c r="A130" s="13" t="s">
        <v>3415</v>
      </c>
      <c r="B130" s="6" t="s">
        <v>2265</v>
      </c>
      <c r="C130" s="5" t="s">
        <v>1679</v>
      </c>
      <c r="D130" s="5" t="s">
        <v>2200</v>
      </c>
      <c r="E130" s="5" t="s">
        <v>3416</v>
      </c>
      <c r="F130" s="5" t="s">
        <v>3417</v>
      </c>
      <c r="G130" s="5" t="s">
        <v>3418</v>
      </c>
      <c r="H130" s="5" t="s">
        <v>3419</v>
      </c>
      <c r="I130" s="5" t="s">
        <v>3420</v>
      </c>
      <c r="J130" s="17" t="s">
        <v>162</v>
      </c>
      <c r="K130" s="17" t="s">
        <v>1477</v>
      </c>
      <c r="L130" s="5" t="s">
        <v>3421</v>
      </c>
      <c r="M130" s="6" t="s">
        <v>1493</v>
      </c>
      <c r="N130" s="6" t="s">
        <v>2167</v>
      </c>
      <c r="O130" s="6" t="s">
        <v>162</v>
      </c>
      <c r="P130" s="5" t="s">
        <v>2272</v>
      </c>
      <c r="Q130" s="17" t="s">
        <v>2273</v>
      </c>
      <c r="R130" s="5" t="s">
        <v>3422</v>
      </c>
      <c r="S130" s="6" t="s">
        <v>3423</v>
      </c>
      <c r="T130" s="5" t="s">
        <v>3424</v>
      </c>
      <c r="U130" s="6"/>
      <c r="V130" s="6" t="s">
        <v>3425</v>
      </c>
      <c r="W130" s="6" t="s">
        <v>1701</v>
      </c>
      <c r="X130" s="5" t="s">
        <v>228</v>
      </c>
      <c r="Y130" s="5" t="s">
        <v>3426</v>
      </c>
      <c r="Z130" s="5" t="str">
        <f t="shared" ref="Z130:Z193" si="4">IF(AL130&gt;=18,"Critical",IF(AL130&gt;=9,"High",IF(AL130&gt;=4,"Medium","Low")))</f>
        <v>Medium</v>
      </c>
      <c r="AA130" s="5" t="s">
        <v>1319</v>
      </c>
      <c r="AB130" s="6" t="s">
        <v>1355</v>
      </c>
      <c r="AC130" s="6" t="s">
        <v>32</v>
      </c>
      <c r="AD130" s="5" t="s">
        <v>2278</v>
      </c>
      <c r="AE130" s="5" t="s">
        <v>1720</v>
      </c>
      <c r="AF130" s="5" t="s">
        <v>1720</v>
      </c>
      <c r="AG130" s="5" t="s">
        <v>1720</v>
      </c>
      <c r="AH130" s="5" t="s">
        <v>1720</v>
      </c>
      <c r="AI130" s="6" t="str">
        <f t="shared" ref="AI130:AI193" si="5">IF(AND(AU130="Pass",AE130&lt;&gt;"Not verified",AF130&lt;&gt;"Not verified",AG130&lt;&gt;"Not verified",AH130&lt;&gt;"Not verified",BC130="Yes",BD130="Yes"),"Yes","No")</f>
        <v>No</v>
      </c>
      <c r="AJ130" s="6" t="s">
        <v>2298</v>
      </c>
      <c r="AK130" s="6" t="s">
        <v>204</v>
      </c>
      <c r="AL130" s="6">
        <f>MATCH(AA130,{"Low","Medium","High"},0)*MATCH(AB130,{"Low","Medium","High"},0)*INDEX({3,2,2,1,1},MATCH(X130,{"Core","Vertical extension","Differentiator","Future","Adjacent"},0))</f>
        <v>6</v>
      </c>
      <c r="AM130" s="5"/>
      <c r="AN130" s="5"/>
      <c r="AO130" s="5"/>
      <c r="AP130" s="5"/>
      <c r="AQ130" s="5"/>
      <c r="AR130" s="5"/>
      <c r="AS130" s="5"/>
      <c r="AT130" s="5"/>
      <c r="AU130" s="6" t="s">
        <v>2317</v>
      </c>
      <c r="AV130" s="6" t="s">
        <v>2804</v>
      </c>
      <c r="AW130" s="6" t="s">
        <v>2804</v>
      </c>
      <c r="AX130" s="6" t="s">
        <v>2284</v>
      </c>
      <c r="AY130" s="6" t="s">
        <v>2285</v>
      </c>
      <c r="AZ130" s="6"/>
      <c r="BA130" s="6" t="s">
        <v>2772</v>
      </c>
      <c r="BB130" s="6" t="s">
        <v>2773</v>
      </c>
      <c r="BC130" s="6" t="s">
        <v>127</v>
      </c>
      <c r="BD130" s="6" t="s">
        <v>127</v>
      </c>
      <c r="BE130" s="6" t="s">
        <v>1477</v>
      </c>
      <c r="BF130" s="6" t="s">
        <v>2286</v>
      </c>
      <c r="BG130" s="6" t="s">
        <v>3427</v>
      </c>
      <c r="BH130" s="6" t="s">
        <v>3428</v>
      </c>
    </row>
    <row r="131" spans="1:60" ht="32" customHeight="1" x14ac:dyDescent="0.35">
      <c r="A131" s="13" t="s">
        <v>3429</v>
      </c>
      <c r="B131" s="6" t="s">
        <v>2265</v>
      </c>
      <c r="C131" s="5" t="s">
        <v>1679</v>
      </c>
      <c r="D131" s="5" t="s">
        <v>2200</v>
      </c>
      <c r="E131" s="5" t="s">
        <v>3430</v>
      </c>
      <c r="F131" s="5" t="s">
        <v>3417</v>
      </c>
      <c r="G131" s="5" t="s">
        <v>2799</v>
      </c>
      <c r="H131" s="5" t="s">
        <v>3431</v>
      </c>
      <c r="I131" s="5" t="s">
        <v>3432</v>
      </c>
      <c r="J131" s="17" t="s">
        <v>162</v>
      </c>
      <c r="K131" s="17" t="s">
        <v>95</v>
      </c>
      <c r="L131" s="5" t="s">
        <v>3433</v>
      </c>
      <c r="M131" s="6" t="s">
        <v>1493</v>
      </c>
      <c r="N131" s="6" t="s">
        <v>2167</v>
      </c>
      <c r="O131" s="6" t="s">
        <v>162</v>
      </c>
      <c r="P131" s="5" t="s">
        <v>2272</v>
      </c>
      <c r="Q131" s="17" t="s">
        <v>95</v>
      </c>
      <c r="R131" s="5" t="s">
        <v>3434</v>
      </c>
      <c r="S131" s="6" t="s">
        <v>3423</v>
      </c>
      <c r="T131" s="5" t="s">
        <v>3424</v>
      </c>
      <c r="U131" s="6"/>
      <c r="V131" s="6" t="s">
        <v>3425</v>
      </c>
      <c r="W131" s="6" t="s">
        <v>1701</v>
      </c>
      <c r="X131" s="5" t="s">
        <v>228</v>
      </c>
      <c r="Y131" s="5" t="s">
        <v>3426</v>
      </c>
      <c r="Z131" s="5" t="str">
        <f t="shared" si="4"/>
        <v>Medium</v>
      </c>
      <c r="AA131" s="5" t="s">
        <v>1319</v>
      </c>
      <c r="AB131" s="6" t="s">
        <v>1355</v>
      </c>
      <c r="AC131" s="6" t="s">
        <v>32</v>
      </c>
      <c r="AD131" s="5" t="s">
        <v>95</v>
      </c>
      <c r="AE131" s="5" t="s">
        <v>1720</v>
      </c>
      <c r="AF131" s="5" t="s">
        <v>1720</v>
      </c>
      <c r="AG131" s="5" t="s">
        <v>1720</v>
      </c>
      <c r="AH131" s="5" t="s">
        <v>1720</v>
      </c>
      <c r="AI131" s="6" t="str">
        <f t="shared" si="5"/>
        <v>No</v>
      </c>
      <c r="AJ131" s="6" t="s">
        <v>229</v>
      </c>
      <c r="AK131" s="6" t="s">
        <v>204</v>
      </c>
      <c r="AL131" s="6">
        <f>MATCH(AA131,{"Low","Medium","High"},0)*MATCH(AB131,{"Low","Medium","High"},0)*INDEX({3,2,2,1,1},MATCH(X131,{"Core","Vertical extension","Differentiator","Future","Adjacent"},0))</f>
        <v>6</v>
      </c>
      <c r="AM131" s="5"/>
      <c r="AN131" s="5"/>
      <c r="AO131" s="5"/>
      <c r="AP131" s="5"/>
      <c r="AQ131" s="5"/>
      <c r="AR131" s="5"/>
      <c r="AS131" s="5"/>
      <c r="AT131" s="5"/>
      <c r="AU131" s="6" t="s">
        <v>2317</v>
      </c>
      <c r="AV131" s="6" t="s">
        <v>2804</v>
      </c>
      <c r="AW131" s="6" t="s">
        <v>2804</v>
      </c>
      <c r="AX131" s="6" t="s">
        <v>2284</v>
      </c>
      <c r="AY131" s="6" t="s">
        <v>2285</v>
      </c>
      <c r="AZ131" s="6"/>
      <c r="BA131" s="6"/>
      <c r="BB131" s="6"/>
      <c r="BC131" s="6" t="s">
        <v>127</v>
      </c>
      <c r="BD131" s="6" t="s">
        <v>127</v>
      </c>
      <c r="BE131" s="6" t="s">
        <v>1477</v>
      </c>
      <c r="BF131" s="6" t="s">
        <v>95</v>
      </c>
      <c r="BG131" s="6" t="s">
        <v>3435</v>
      </c>
      <c r="BH131" s="6" t="s">
        <v>3436</v>
      </c>
    </row>
    <row r="132" spans="1:60" ht="32" customHeight="1" x14ac:dyDescent="0.35">
      <c r="A132" s="13" t="s">
        <v>3437</v>
      </c>
      <c r="B132" s="6" t="s">
        <v>2265</v>
      </c>
      <c r="C132" s="5" t="s">
        <v>1679</v>
      </c>
      <c r="D132" s="5" t="s">
        <v>2200</v>
      </c>
      <c r="E132" s="5" t="s">
        <v>3438</v>
      </c>
      <c r="F132" s="5" t="s">
        <v>1679</v>
      </c>
      <c r="G132" s="5" t="s">
        <v>3439</v>
      </c>
      <c r="H132" s="5" t="s">
        <v>3440</v>
      </c>
      <c r="I132" s="5" t="s">
        <v>3441</v>
      </c>
      <c r="J132" s="17" t="s">
        <v>162</v>
      </c>
      <c r="K132" s="17" t="s">
        <v>1477</v>
      </c>
      <c r="L132" s="5" t="s">
        <v>3442</v>
      </c>
      <c r="M132" s="6" t="s">
        <v>1493</v>
      </c>
      <c r="N132" s="6" t="s">
        <v>2167</v>
      </c>
      <c r="O132" s="6" t="s">
        <v>162</v>
      </c>
      <c r="P132" s="5" t="s">
        <v>2272</v>
      </c>
      <c r="Q132" s="18" t="s">
        <v>1482</v>
      </c>
      <c r="R132" s="5" t="s">
        <v>2400</v>
      </c>
      <c r="S132" s="6" t="s">
        <v>3423</v>
      </c>
      <c r="T132" s="5" t="s">
        <v>3424</v>
      </c>
      <c r="U132" s="6"/>
      <c r="V132" s="6" t="s">
        <v>3425</v>
      </c>
      <c r="W132" s="6" t="s">
        <v>1701</v>
      </c>
      <c r="X132" s="5" t="s">
        <v>228</v>
      </c>
      <c r="Y132" s="5" t="s">
        <v>3426</v>
      </c>
      <c r="Z132" s="5" t="str">
        <f t="shared" si="4"/>
        <v>Medium</v>
      </c>
      <c r="AA132" s="5" t="s">
        <v>1319</v>
      </c>
      <c r="AB132" s="6" t="s">
        <v>1355</v>
      </c>
      <c r="AC132" s="6" t="s">
        <v>32</v>
      </c>
      <c r="AD132" s="5" t="s">
        <v>2278</v>
      </c>
      <c r="AE132" s="5" t="s">
        <v>1720</v>
      </c>
      <c r="AF132" s="5" t="s">
        <v>1720</v>
      </c>
      <c r="AG132" s="5" t="s">
        <v>1720</v>
      </c>
      <c r="AH132" s="5" t="s">
        <v>1720</v>
      </c>
      <c r="AI132" s="6" t="str">
        <f t="shared" si="5"/>
        <v>No</v>
      </c>
      <c r="AJ132" s="6" t="s">
        <v>2298</v>
      </c>
      <c r="AK132" s="6" t="s">
        <v>204</v>
      </c>
      <c r="AL132" s="6">
        <f>MATCH(AA132,{"Low","Medium","High"},0)*MATCH(AB132,{"Low","Medium","High"},0)*INDEX({3,2,2,1,1},MATCH(X132,{"Core","Vertical extension","Differentiator","Future","Adjacent"},0))</f>
        <v>6</v>
      </c>
      <c r="AM132" s="5"/>
      <c r="AN132" s="5"/>
      <c r="AO132" s="5"/>
      <c r="AP132" s="5"/>
      <c r="AQ132" s="5"/>
      <c r="AR132" s="5"/>
      <c r="AS132" s="5"/>
      <c r="AT132" s="5"/>
      <c r="AU132" s="6" t="s">
        <v>2317</v>
      </c>
      <c r="AV132" s="6" t="s">
        <v>2804</v>
      </c>
      <c r="AW132" s="6" t="s">
        <v>2804</v>
      </c>
      <c r="AX132" s="6" t="s">
        <v>2284</v>
      </c>
      <c r="AY132" s="6" t="s">
        <v>2285</v>
      </c>
      <c r="AZ132" s="6"/>
      <c r="BA132" s="6"/>
      <c r="BB132" s="6"/>
      <c r="BC132" s="6" t="s">
        <v>127</v>
      </c>
      <c r="BD132" s="6" t="s">
        <v>127</v>
      </c>
      <c r="BE132" s="6"/>
      <c r="BF132" s="6"/>
      <c r="BG132" s="6"/>
      <c r="BH132" s="6"/>
    </row>
    <row r="133" spans="1:60" ht="32" customHeight="1" x14ac:dyDescent="0.35">
      <c r="A133" s="13" t="s">
        <v>3443</v>
      </c>
      <c r="B133" s="6" t="s">
        <v>2265</v>
      </c>
      <c r="C133" s="5" t="s">
        <v>1679</v>
      </c>
      <c r="D133" s="5" t="s">
        <v>2200</v>
      </c>
      <c r="E133" s="5" t="s">
        <v>3444</v>
      </c>
      <c r="F133" s="5" t="s">
        <v>1679</v>
      </c>
      <c r="G133" s="5" t="s">
        <v>2396</v>
      </c>
      <c r="H133" s="5" t="s">
        <v>3445</v>
      </c>
      <c r="I133" s="5" t="s">
        <v>3446</v>
      </c>
      <c r="J133" s="17" t="s">
        <v>162</v>
      </c>
      <c r="K133" s="17" t="s">
        <v>95</v>
      </c>
      <c r="L133" s="5" t="s">
        <v>3447</v>
      </c>
      <c r="M133" s="6" t="s">
        <v>1493</v>
      </c>
      <c r="N133" s="6" t="s">
        <v>2167</v>
      </c>
      <c r="O133" s="6" t="s">
        <v>162</v>
      </c>
      <c r="P133" s="5" t="s">
        <v>2272</v>
      </c>
      <c r="Q133" s="17" t="s">
        <v>95</v>
      </c>
      <c r="R133" s="5" t="s">
        <v>3448</v>
      </c>
      <c r="S133" s="6" t="s">
        <v>3423</v>
      </c>
      <c r="T133" s="5" t="s">
        <v>3424</v>
      </c>
      <c r="U133" s="6"/>
      <c r="V133" s="6" t="s">
        <v>3425</v>
      </c>
      <c r="W133" s="6" t="s">
        <v>1701</v>
      </c>
      <c r="X133" s="5" t="s">
        <v>228</v>
      </c>
      <c r="Y133" s="5" t="s">
        <v>3426</v>
      </c>
      <c r="Z133" s="5" t="str">
        <f t="shared" si="4"/>
        <v>Medium</v>
      </c>
      <c r="AA133" s="5" t="s">
        <v>1319</v>
      </c>
      <c r="AB133" s="6" t="s">
        <v>1355</v>
      </c>
      <c r="AC133" s="6" t="s">
        <v>32</v>
      </c>
      <c r="AD133" s="5" t="s">
        <v>95</v>
      </c>
      <c r="AE133" s="5" t="s">
        <v>1720</v>
      </c>
      <c r="AF133" s="5" t="s">
        <v>1720</v>
      </c>
      <c r="AG133" s="5" t="s">
        <v>1720</v>
      </c>
      <c r="AH133" s="5" t="s">
        <v>1720</v>
      </c>
      <c r="AI133" s="6" t="str">
        <f t="shared" si="5"/>
        <v>No</v>
      </c>
      <c r="AJ133" s="6" t="s">
        <v>229</v>
      </c>
      <c r="AK133" s="6" t="s">
        <v>204</v>
      </c>
      <c r="AL133" s="6">
        <f>MATCH(AA133,{"Low","Medium","High"},0)*MATCH(AB133,{"Low","Medium","High"},0)*INDEX({3,2,2,1,1},MATCH(X133,{"Core","Vertical extension","Differentiator","Future","Adjacent"},0))</f>
        <v>6</v>
      </c>
      <c r="AM133" s="5"/>
      <c r="AN133" s="5"/>
      <c r="AO133" s="5"/>
      <c r="AP133" s="5"/>
      <c r="AQ133" s="5"/>
      <c r="AR133" s="5"/>
      <c r="AS133" s="5"/>
      <c r="AT133" s="5"/>
      <c r="AU133" s="6" t="s">
        <v>2317</v>
      </c>
      <c r="AV133" s="6" t="s">
        <v>2804</v>
      </c>
      <c r="AW133" s="6" t="s">
        <v>2804</v>
      </c>
      <c r="AX133" s="6" t="s">
        <v>2284</v>
      </c>
      <c r="AY133" s="6" t="s">
        <v>2285</v>
      </c>
      <c r="AZ133" s="6"/>
      <c r="BA133" s="6" t="s">
        <v>2772</v>
      </c>
      <c r="BB133" s="6" t="s">
        <v>2773</v>
      </c>
      <c r="BC133" s="6" t="s">
        <v>127</v>
      </c>
      <c r="BD133" s="6" t="s">
        <v>127</v>
      </c>
      <c r="BE133" s="6" t="s">
        <v>1477</v>
      </c>
      <c r="BF133" s="6" t="s">
        <v>95</v>
      </c>
      <c r="BG133" s="6" t="s">
        <v>3449</v>
      </c>
      <c r="BH133" s="6" t="s">
        <v>3450</v>
      </c>
    </row>
    <row r="134" spans="1:60" ht="32" customHeight="1" x14ac:dyDescent="0.35">
      <c r="A134" s="13" t="s">
        <v>3451</v>
      </c>
      <c r="B134" s="6" t="s">
        <v>2265</v>
      </c>
      <c r="C134" s="5" t="s">
        <v>1679</v>
      </c>
      <c r="D134" s="5" t="s">
        <v>2187</v>
      </c>
      <c r="E134" s="5" t="s">
        <v>3452</v>
      </c>
      <c r="F134" s="5" t="s">
        <v>1679</v>
      </c>
      <c r="G134" s="5" t="s">
        <v>3453</v>
      </c>
      <c r="H134" s="5" t="s">
        <v>3454</v>
      </c>
      <c r="I134" s="5" t="s">
        <v>3455</v>
      </c>
      <c r="J134" s="16" t="s">
        <v>94</v>
      </c>
      <c r="K134" s="17" t="s">
        <v>1477</v>
      </c>
      <c r="L134" s="5" t="s">
        <v>3456</v>
      </c>
      <c r="M134" s="6" t="s">
        <v>1493</v>
      </c>
      <c r="N134" s="6" t="s">
        <v>2167</v>
      </c>
      <c r="O134" s="6" t="s">
        <v>94</v>
      </c>
      <c r="P134" s="5" t="s">
        <v>2272</v>
      </c>
      <c r="Q134" s="17" t="s">
        <v>2273</v>
      </c>
      <c r="R134" s="5" t="s">
        <v>3457</v>
      </c>
      <c r="S134" s="6" t="s">
        <v>2345</v>
      </c>
      <c r="T134" s="5" t="s">
        <v>2346</v>
      </c>
      <c r="U134" s="6"/>
      <c r="V134" s="6" t="s">
        <v>2347</v>
      </c>
      <c r="W134" s="6" t="s">
        <v>1697</v>
      </c>
      <c r="X134" s="5" t="s">
        <v>228</v>
      </c>
      <c r="Y134" s="5" t="s">
        <v>3426</v>
      </c>
      <c r="Z134" s="5" t="str">
        <f t="shared" si="4"/>
        <v>High</v>
      </c>
      <c r="AA134" s="5" t="s">
        <v>1302</v>
      </c>
      <c r="AB134" s="6" t="s">
        <v>1355</v>
      </c>
      <c r="AC134" s="6" t="s">
        <v>99</v>
      </c>
      <c r="AD134" s="5" t="s">
        <v>2278</v>
      </c>
      <c r="AE134" s="5" t="s">
        <v>1720</v>
      </c>
      <c r="AF134" s="5" t="s">
        <v>1720</v>
      </c>
      <c r="AG134" s="5" t="s">
        <v>1720</v>
      </c>
      <c r="AH134" s="5" t="s">
        <v>1720</v>
      </c>
      <c r="AI134" s="6" t="str">
        <f t="shared" si="5"/>
        <v>No</v>
      </c>
      <c r="AJ134" s="6" t="s">
        <v>2279</v>
      </c>
      <c r="AK134" s="6" t="s">
        <v>94</v>
      </c>
      <c r="AL134" s="6">
        <f>MATCH(AA134,{"Low","Medium","High"},0)*MATCH(AB134,{"Low","Medium","High"},0)*INDEX({3,2,2,1,1},MATCH(X134,{"Core","Vertical extension","Differentiator","Future","Adjacent"},0))</f>
        <v>9</v>
      </c>
      <c r="AM134" s="5"/>
      <c r="AN134" s="5"/>
      <c r="AO134" s="5"/>
      <c r="AP134" s="5"/>
      <c r="AQ134" s="5"/>
      <c r="AR134" s="5" t="s">
        <v>3007</v>
      </c>
      <c r="AS134" s="5" t="s">
        <v>1462</v>
      </c>
      <c r="AT134" s="5" t="s">
        <v>2281</v>
      </c>
      <c r="AU134" s="6" t="s">
        <v>2282</v>
      </c>
      <c r="AV134" s="6" t="s">
        <v>2804</v>
      </c>
      <c r="AW134" s="6" t="s">
        <v>2804</v>
      </c>
      <c r="AX134" s="6" t="s">
        <v>2284</v>
      </c>
      <c r="AY134" s="6" t="s">
        <v>2285</v>
      </c>
      <c r="AZ134" s="6"/>
      <c r="BA134" s="6"/>
      <c r="BB134" s="6"/>
      <c r="BC134" s="6" t="s">
        <v>127</v>
      </c>
      <c r="BD134" s="6" t="s">
        <v>127</v>
      </c>
      <c r="BE134" s="6" t="s">
        <v>1477</v>
      </c>
      <c r="BF134" s="6" t="s">
        <v>2286</v>
      </c>
      <c r="BG134" s="6" t="s">
        <v>3458</v>
      </c>
      <c r="BH134" s="6" t="s">
        <v>3459</v>
      </c>
    </row>
    <row r="135" spans="1:60" ht="32" customHeight="1" x14ac:dyDescent="0.35">
      <c r="A135" s="13" t="s">
        <v>3460</v>
      </c>
      <c r="B135" s="6" t="s">
        <v>2265</v>
      </c>
      <c r="C135" s="5" t="s">
        <v>1679</v>
      </c>
      <c r="D135" s="5" t="s">
        <v>2200</v>
      </c>
      <c r="E135" s="5" t="s">
        <v>3461</v>
      </c>
      <c r="F135" s="5" t="s">
        <v>1679</v>
      </c>
      <c r="G135" s="5" t="s">
        <v>2396</v>
      </c>
      <c r="H135" s="5" t="s">
        <v>3462</v>
      </c>
      <c r="I135" s="5" t="s">
        <v>3463</v>
      </c>
      <c r="J135" s="19" t="s">
        <v>204</v>
      </c>
      <c r="K135" s="17" t="s">
        <v>95</v>
      </c>
      <c r="L135" s="5" t="s">
        <v>3464</v>
      </c>
      <c r="M135" s="6" t="s">
        <v>1493</v>
      </c>
      <c r="N135" s="6" t="s">
        <v>2167</v>
      </c>
      <c r="O135" s="6" t="s">
        <v>204</v>
      </c>
      <c r="P135" s="5" t="s">
        <v>2272</v>
      </c>
      <c r="Q135" s="17" t="s">
        <v>95</v>
      </c>
      <c r="R135" s="5" t="s">
        <v>3465</v>
      </c>
      <c r="S135" s="6" t="s">
        <v>3423</v>
      </c>
      <c r="T135" s="5" t="s">
        <v>3424</v>
      </c>
      <c r="U135" s="6"/>
      <c r="V135" s="6" t="s">
        <v>3425</v>
      </c>
      <c r="W135" s="6" t="s">
        <v>1701</v>
      </c>
      <c r="X135" s="5" t="s">
        <v>228</v>
      </c>
      <c r="Y135" s="5" t="s">
        <v>3426</v>
      </c>
      <c r="Z135" s="5" t="str">
        <f t="shared" si="4"/>
        <v>Medium</v>
      </c>
      <c r="AA135" s="5" t="s">
        <v>1319</v>
      </c>
      <c r="AB135" s="6" t="s">
        <v>1355</v>
      </c>
      <c r="AC135" s="6" t="s">
        <v>32</v>
      </c>
      <c r="AD135" s="5" t="s">
        <v>95</v>
      </c>
      <c r="AE135" s="5" t="s">
        <v>1720</v>
      </c>
      <c r="AF135" s="5" t="s">
        <v>1720</v>
      </c>
      <c r="AG135" s="5" t="s">
        <v>1720</v>
      </c>
      <c r="AH135" s="5" t="s">
        <v>1720</v>
      </c>
      <c r="AI135" s="6" t="str">
        <f t="shared" si="5"/>
        <v>No</v>
      </c>
      <c r="AJ135" s="6" t="s">
        <v>229</v>
      </c>
      <c r="AK135" s="6" t="s">
        <v>204</v>
      </c>
      <c r="AL135" s="6">
        <f>MATCH(AA135,{"Low","Medium","High"},0)*MATCH(AB135,{"Low","Medium","High"},0)*INDEX({3,2,2,1,1},MATCH(X135,{"Core","Vertical extension","Differentiator","Future","Adjacent"},0))</f>
        <v>6</v>
      </c>
      <c r="AM135" s="5"/>
      <c r="AN135" s="5"/>
      <c r="AO135" s="5"/>
      <c r="AP135" s="5"/>
      <c r="AQ135" s="5"/>
      <c r="AR135" s="5"/>
      <c r="AS135" s="5"/>
      <c r="AT135" s="5"/>
      <c r="AU135" s="6" t="s">
        <v>2317</v>
      </c>
      <c r="AV135" s="6" t="s">
        <v>2804</v>
      </c>
      <c r="AW135" s="6" t="s">
        <v>2804</v>
      </c>
      <c r="AX135" s="6" t="s">
        <v>2284</v>
      </c>
      <c r="AY135" s="6" t="s">
        <v>2285</v>
      </c>
      <c r="AZ135" s="6"/>
      <c r="BA135" s="6"/>
      <c r="BB135" s="6"/>
      <c r="BC135" s="6" t="s">
        <v>127</v>
      </c>
      <c r="BD135" s="6" t="s">
        <v>127</v>
      </c>
      <c r="BE135" s="6" t="s">
        <v>1477</v>
      </c>
      <c r="BF135" s="6" t="s">
        <v>95</v>
      </c>
      <c r="BG135" s="6" t="s">
        <v>3466</v>
      </c>
      <c r="BH135" s="6" t="s">
        <v>3467</v>
      </c>
    </row>
    <row r="136" spans="1:60" ht="32" customHeight="1" x14ac:dyDescent="0.35">
      <c r="A136" s="13" t="s">
        <v>3468</v>
      </c>
      <c r="B136" s="6" t="s">
        <v>2265</v>
      </c>
      <c r="C136" s="5" t="s">
        <v>1679</v>
      </c>
      <c r="D136" s="5" t="s">
        <v>2191</v>
      </c>
      <c r="E136" s="5" t="s">
        <v>3469</v>
      </c>
      <c r="F136" s="5" t="s">
        <v>1679</v>
      </c>
      <c r="G136" s="5" t="s">
        <v>2396</v>
      </c>
      <c r="H136" s="5" t="s">
        <v>3470</v>
      </c>
      <c r="I136" s="5" t="s">
        <v>3471</v>
      </c>
      <c r="J136" s="17" t="s">
        <v>162</v>
      </c>
      <c r="K136" s="17" t="s">
        <v>95</v>
      </c>
      <c r="L136" s="5" t="s">
        <v>3472</v>
      </c>
      <c r="M136" s="6" t="s">
        <v>1493</v>
      </c>
      <c r="N136" s="6" t="s">
        <v>2167</v>
      </c>
      <c r="O136" s="6" t="s">
        <v>162</v>
      </c>
      <c r="P136" s="5" t="s">
        <v>2272</v>
      </c>
      <c r="Q136" s="17" t="s">
        <v>95</v>
      </c>
      <c r="R136" s="5" t="s">
        <v>3473</v>
      </c>
      <c r="S136" s="6" t="s">
        <v>2275</v>
      </c>
      <c r="T136" s="5" t="s">
        <v>2276</v>
      </c>
      <c r="U136" s="6"/>
      <c r="V136" s="6" t="s">
        <v>2277</v>
      </c>
      <c r="W136" s="6" t="s">
        <v>1697</v>
      </c>
      <c r="X136" s="5" t="s">
        <v>228</v>
      </c>
      <c r="Y136" s="5" t="s">
        <v>3426</v>
      </c>
      <c r="Z136" s="5" t="str">
        <f t="shared" si="4"/>
        <v>Medium</v>
      </c>
      <c r="AA136" s="5" t="s">
        <v>1319</v>
      </c>
      <c r="AB136" s="6" t="s">
        <v>1355</v>
      </c>
      <c r="AC136" s="6" t="s">
        <v>135</v>
      </c>
      <c r="AD136" s="5" t="s">
        <v>95</v>
      </c>
      <c r="AE136" s="5" t="s">
        <v>1720</v>
      </c>
      <c r="AF136" s="5" t="s">
        <v>1720</v>
      </c>
      <c r="AG136" s="5" t="s">
        <v>1720</v>
      </c>
      <c r="AH136" s="5" t="s">
        <v>1720</v>
      </c>
      <c r="AI136" s="6" t="str">
        <f t="shared" si="5"/>
        <v>No</v>
      </c>
      <c r="AJ136" s="6" t="s">
        <v>229</v>
      </c>
      <c r="AK136" s="6" t="s">
        <v>162</v>
      </c>
      <c r="AL136" s="6">
        <f>MATCH(AA136,{"Low","Medium","High"},0)*MATCH(AB136,{"Low","Medium","High"},0)*INDEX({3,2,2,1,1},MATCH(X136,{"Core","Vertical extension","Differentiator","Future","Adjacent"},0))</f>
        <v>6</v>
      </c>
      <c r="AM136" s="5"/>
      <c r="AN136" s="5"/>
      <c r="AO136" s="5"/>
      <c r="AP136" s="5"/>
      <c r="AQ136" s="5"/>
      <c r="AR136" s="5"/>
      <c r="AS136" s="5"/>
      <c r="AT136" s="5"/>
      <c r="AU136" s="6" t="s">
        <v>2317</v>
      </c>
      <c r="AV136" s="6" t="s">
        <v>2804</v>
      </c>
      <c r="AW136" s="6" t="s">
        <v>2804</v>
      </c>
      <c r="AX136" s="6" t="s">
        <v>2284</v>
      </c>
      <c r="AY136" s="6" t="s">
        <v>2285</v>
      </c>
      <c r="AZ136" s="6"/>
      <c r="BA136" s="6"/>
      <c r="BB136" s="6"/>
      <c r="BC136" s="6" t="s">
        <v>127</v>
      </c>
      <c r="BD136" s="6" t="s">
        <v>127</v>
      </c>
      <c r="BE136" s="6" t="s">
        <v>1477</v>
      </c>
      <c r="BF136" s="6" t="s">
        <v>95</v>
      </c>
      <c r="BG136" s="6" t="s">
        <v>3474</v>
      </c>
      <c r="BH136" s="6" t="s">
        <v>3475</v>
      </c>
    </row>
    <row r="137" spans="1:60" ht="32" customHeight="1" x14ac:dyDescent="0.35">
      <c r="A137" s="13" t="s">
        <v>3476</v>
      </c>
      <c r="B137" s="6" t="s">
        <v>2265</v>
      </c>
      <c r="C137" s="5" t="s">
        <v>1679</v>
      </c>
      <c r="D137" s="5" t="s">
        <v>2192</v>
      </c>
      <c r="E137" s="5" t="s">
        <v>3477</v>
      </c>
      <c r="F137" s="5" t="s">
        <v>1679</v>
      </c>
      <c r="G137" s="5" t="s">
        <v>3478</v>
      </c>
      <c r="H137" s="5" t="s">
        <v>3479</v>
      </c>
      <c r="I137" s="5" t="s">
        <v>3480</v>
      </c>
      <c r="J137" s="17" t="s">
        <v>162</v>
      </c>
      <c r="K137" s="17" t="s">
        <v>95</v>
      </c>
      <c r="L137" s="5" t="s">
        <v>3481</v>
      </c>
      <c r="M137" s="6" t="s">
        <v>1493</v>
      </c>
      <c r="N137" s="6" t="s">
        <v>2167</v>
      </c>
      <c r="O137" s="6" t="s">
        <v>162</v>
      </c>
      <c r="P137" s="5" t="s">
        <v>2272</v>
      </c>
      <c r="Q137" s="17" t="s">
        <v>95</v>
      </c>
      <c r="R137" s="5" t="s">
        <v>3482</v>
      </c>
      <c r="S137" s="6" t="s">
        <v>2371</v>
      </c>
      <c r="T137" s="5" t="s">
        <v>2372</v>
      </c>
      <c r="U137" s="6"/>
      <c r="V137" s="6" t="s">
        <v>2373</v>
      </c>
      <c r="W137" s="6" t="s">
        <v>1699</v>
      </c>
      <c r="X137" s="5" t="s">
        <v>228</v>
      </c>
      <c r="Y137" s="5" t="s">
        <v>3426</v>
      </c>
      <c r="Z137" s="5" t="str">
        <f t="shared" si="4"/>
        <v>Critical</v>
      </c>
      <c r="AA137" s="5" t="s">
        <v>1302</v>
      </c>
      <c r="AB137" s="6" t="s">
        <v>1319</v>
      </c>
      <c r="AC137" s="6" t="s">
        <v>135</v>
      </c>
      <c r="AD137" s="5" t="s">
        <v>95</v>
      </c>
      <c r="AE137" s="5" t="s">
        <v>1720</v>
      </c>
      <c r="AF137" s="5" t="s">
        <v>1720</v>
      </c>
      <c r="AG137" s="5" t="s">
        <v>1720</v>
      </c>
      <c r="AH137" s="5" t="s">
        <v>1720</v>
      </c>
      <c r="AI137" s="6" t="str">
        <f t="shared" si="5"/>
        <v>No</v>
      </c>
      <c r="AJ137" s="6" t="s">
        <v>229</v>
      </c>
      <c r="AK137" s="6" t="s">
        <v>162</v>
      </c>
      <c r="AL137" s="6">
        <f>MATCH(AA137,{"Low","Medium","High"},0)*MATCH(AB137,{"Low","Medium","High"},0)*INDEX({3,2,2,1,1},MATCH(X137,{"Core","Vertical extension","Differentiator","Future","Adjacent"},0))</f>
        <v>18</v>
      </c>
      <c r="AM137" s="5"/>
      <c r="AN137" s="5"/>
      <c r="AO137" s="5"/>
      <c r="AP137" s="5"/>
      <c r="AQ137" s="5"/>
      <c r="AR137" s="5"/>
      <c r="AS137" s="5"/>
      <c r="AT137" s="5"/>
      <c r="AU137" s="6" t="s">
        <v>2317</v>
      </c>
      <c r="AV137" s="6" t="s">
        <v>2804</v>
      </c>
      <c r="AW137" s="6" t="s">
        <v>2804</v>
      </c>
      <c r="AX137" s="6" t="s">
        <v>2284</v>
      </c>
      <c r="AY137" s="6" t="s">
        <v>2285</v>
      </c>
      <c r="AZ137" s="6"/>
      <c r="BA137" s="6"/>
      <c r="BB137" s="6"/>
      <c r="BC137" s="6" t="s">
        <v>127</v>
      </c>
      <c r="BD137" s="6" t="s">
        <v>127</v>
      </c>
      <c r="BE137" s="6" t="s">
        <v>1477</v>
      </c>
      <c r="BF137" s="6" t="s">
        <v>95</v>
      </c>
      <c r="BG137" s="6" t="s">
        <v>3483</v>
      </c>
      <c r="BH137" s="6" t="s">
        <v>3484</v>
      </c>
    </row>
    <row r="138" spans="1:60" ht="32" customHeight="1" x14ac:dyDescent="0.35">
      <c r="A138" s="13" t="s">
        <v>1676</v>
      </c>
      <c r="B138" s="6" t="s">
        <v>2265</v>
      </c>
      <c r="C138" s="5" t="s">
        <v>1679</v>
      </c>
      <c r="D138" s="5" t="s">
        <v>2192</v>
      </c>
      <c r="E138" s="5" t="s">
        <v>1678</v>
      </c>
      <c r="F138" s="5" t="s">
        <v>1679</v>
      </c>
      <c r="G138" s="5" t="s">
        <v>2396</v>
      </c>
      <c r="H138" s="5" t="s">
        <v>3485</v>
      </c>
      <c r="I138" s="5" t="s">
        <v>3486</v>
      </c>
      <c r="J138" s="17" t="s">
        <v>162</v>
      </c>
      <c r="K138" s="17" t="s">
        <v>1477</v>
      </c>
      <c r="L138" s="5" t="s">
        <v>3487</v>
      </c>
      <c r="M138" s="6" t="s">
        <v>1493</v>
      </c>
      <c r="N138" s="6" t="s">
        <v>2167</v>
      </c>
      <c r="O138" s="6" t="s">
        <v>162</v>
      </c>
      <c r="P138" s="5" t="s">
        <v>2369</v>
      </c>
      <c r="Q138" s="17" t="s">
        <v>2273</v>
      </c>
      <c r="R138" s="5" t="s">
        <v>3488</v>
      </c>
      <c r="S138" s="6" t="s">
        <v>2371</v>
      </c>
      <c r="T138" s="5" t="s">
        <v>2372</v>
      </c>
      <c r="U138" s="6"/>
      <c r="V138" s="6" t="s">
        <v>2373</v>
      </c>
      <c r="W138" s="6" t="s">
        <v>1699</v>
      </c>
      <c r="X138" s="5" t="s">
        <v>228</v>
      </c>
      <c r="Y138" s="5" t="s">
        <v>3426</v>
      </c>
      <c r="Z138" s="5" t="str">
        <f t="shared" si="4"/>
        <v>Critical</v>
      </c>
      <c r="AA138" s="5" t="s">
        <v>1302</v>
      </c>
      <c r="AB138" s="6" t="s">
        <v>1319</v>
      </c>
      <c r="AC138" s="6" t="s">
        <v>135</v>
      </c>
      <c r="AD138" s="5" t="s">
        <v>2278</v>
      </c>
      <c r="AE138" s="5" t="s">
        <v>1720</v>
      </c>
      <c r="AF138" s="5" t="s">
        <v>1720</v>
      </c>
      <c r="AG138" s="5" t="s">
        <v>1720</v>
      </c>
      <c r="AH138" s="5" t="s">
        <v>1720</v>
      </c>
      <c r="AI138" s="6" t="str">
        <f t="shared" si="5"/>
        <v>No</v>
      </c>
      <c r="AJ138" s="6" t="s">
        <v>2298</v>
      </c>
      <c r="AK138" s="6" t="s">
        <v>162</v>
      </c>
      <c r="AL138" s="6">
        <f>MATCH(AA138,{"Low","Medium","High"},0)*MATCH(AB138,{"Low","Medium","High"},0)*INDEX({3,2,2,1,1},MATCH(X138,{"Core","Vertical extension","Differentiator","Future","Adjacent"},0))</f>
        <v>18</v>
      </c>
      <c r="AM138" s="5"/>
      <c r="AN138" s="5"/>
      <c r="AO138" s="5"/>
      <c r="AP138" s="5"/>
      <c r="AQ138" s="5"/>
      <c r="AR138" s="5" t="s">
        <v>2812</v>
      </c>
      <c r="AS138" s="5" t="s">
        <v>1462</v>
      </c>
      <c r="AT138" s="5" t="s">
        <v>2281</v>
      </c>
      <c r="AU138" s="6" t="s">
        <v>95</v>
      </c>
      <c r="AV138" s="6" t="s">
        <v>2804</v>
      </c>
      <c r="AW138" s="6" t="s">
        <v>2804</v>
      </c>
      <c r="AX138" s="6" t="s">
        <v>2374</v>
      </c>
      <c r="AY138" s="6" t="s">
        <v>2285</v>
      </c>
      <c r="AZ138" s="6" t="s">
        <v>3489</v>
      </c>
      <c r="BA138" s="6"/>
      <c r="BB138" s="6"/>
      <c r="BC138" s="6" t="s">
        <v>127</v>
      </c>
      <c r="BD138" s="6" t="s">
        <v>127</v>
      </c>
      <c r="BE138" s="6" t="s">
        <v>1477</v>
      </c>
      <c r="BF138" s="6" t="s">
        <v>2286</v>
      </c>
      <c r="BG138" s="6" t="s">
        <v>3490</v>
      </c>
      <c r="BH138" s="6" t="s">
        <v>3491</v>
      </c>
    </row>
    <row r="139" spans="1:60" ht="32" customHeight="1" x14ac:dyDescent="0.35">
      <c r="A139" s="13" t="s">
        <v>3492</v>
      </c>
      <c r="B139" s="6" t="s">
        <v>2265</v>
      </c>
      <c r="C139" s="5" t="s">
        <v>1679</v>
      </c>
      <c r="D139" s="5" t="s">
        <v>2189</v>
      </c>
      <c r="E139" s="5" t="s">
        <v>3493</v>
      </c>
      <c r="F139" s="5" t="s">
        <v>1679</v>
      </c>
      <c r="G139" s="5" t="s">
        <v>2798</v>
      </c>
      <c r="H139" s="5" t="s">
        <v>3494</v>
      </c>
      <c r="I139" s="5" t="s">
        <v>3495</v>
      </c>
      <c r="J139" s="19" t="s">
        <v>204</v>
      </c>
      <c r="K139" s="17" t="s">
        <v>163</v>
      </c>
      <c r="L139" s="5" t="s">
        <v>3496</v>
      </c>
      <c r="M139" s="6" t="s">
        <v>1493</v>
      </c>
      <c r="N139" s="6" t="s">
        <v>2167</v>
      </c>
      <c r="O139" s="6" t="s">
        <v>204</v>
      </c>
      <c r="P139" s="5" t="s">
        <v>2524</v>
      </c>
      <c r="Q139" s="17" t="s">
        <v>163</v>
      </c>
      <c r="R139" s="5" t="s">
        <v>3497</v>
      </c>
      <c r="S139" s="6" t="s">
        <v>2325</v>
      </c>
      <c r="T139" s="5" t="s">
        <v>2326</v>
      </c>
      <c r="U139" s="6"/>
      <c r="V139" s="6" t="s">
        <v>2327</v>
      </c>
      <c r="W139" s="6" t="s">
        <v>1699</v>
      </c>
      <c r="X139" s="5" t="s">
        <v>228</v>
      </c>
      <c r="Y139" s="5" t="s">
        <v>3426</v>
      </c>
      <c r="Z139" s="5" t="str">
        <f t="shared" si="4"/>
        <v>Medium</v>
      </c>
      <c r="AA139" s="5" t="s">
        <v>1319</v>
      </c>
      <c r="AB139" s="6" t="s">
        <v>1355</v>
      </c>
      <c r="AC139" s="6" t="s">
        <v>32</v>
      </c>
      <c r="AD139" s="5" t="s">
        <v>1805</v>
      </c>
      <c r="AE139" s="5" t="s">
        <v>1720</v>
      </c>
      <c r="AF139" s="5" t="s">
        <v>1720</v>
      </c>
      <c r="AG139" s="5" t="s">
        <v>1720</v>
      </c>
      <c r="AH139" s="5" t="s">
        <v>1720</v>
      </c>
      <c r="AI139" s="6" t="str">
        <f t="shared" si="5"/>
        <v>No</v>
      </c>
      <c r="AJ139" s="6" t="s">
        <v>287</v>
      </c>
      <c r="AK139" s="6" t="s">
        <v>204</v>
      </c>
      <c r="AL139" s="6">
        <f>MATCH(AA139,{"Low","Medium","High"},0)*MATCH(AB139,{"Low","Medium","High"},0)*INDEX({3,2,2,1,1},MATCH(X139,{"Core","Vertical extension","Differentiator","Future","Adjacent"},0))</f>
        <v>6</v>
      </c>
      <c r="AM139" s="5"/>
      <c r="AN139" s="5"/>
      <c r="AO139" s="5"/>
      <c r="AP139" s="5"/>
      <c r="AQ139" s="5"/>
      <c r="AR139" s="5"/>
      <c r="AS139" s="5"/>
      <c r="AT139" s="5"/>
      <c r="AU139" s="6" t="s">
        <v>2317</v>
      </c>
      <c r="AV139" s="6" t="s">
        <v>2804</v>
      </c>
      <c r="AW139" s="6" t="s">
        <v>2804</v>
      </c>
      <c r="AX139" s="6" t="s">
        <v>2374</v>
      </c>
      <c r="AY139" s="6" t="s">
        <v>2285</v>
      </c>
      <c r="AZ139" s="6"/>
      <c r="BA139" s="6"/>
      <c r="BB139" s="6"/>
      <c r="BC139" s="6" t="s">
        <v>127</v>
      </c>
      <c r="BD139" s="6" t="s">
        <v>127</v>
      </c>
      <c r="BE139" s="6" t="s">
        <v>1477</v>
      </c>
      <c r="BF139" s="6" t="s">
        <v>288</v>
      </c>
      <c r="BG139" s="6" t="s">
        <v>3498</v>
      </c>
      <c r="BH139" s="6" t="s">
        <v>3499</v>
      </c>
    </row>
    <row r="140" spans="1:60" ht="32" customHeight="1" x14ac:dyDescent="0.35">
      <c r="A140" s="13" t="s">
        <v>3500</v>
      </c>
      <c r="B140" s="6" t="s">
        <v>2265</v>
      </c>
      <c r="C140" s="5" t="s">
        <v>1669</v>
      </c>
      <c r="D140" s="5" t="s">
        <v>2193</v>
      </c>
      <c r="E140" s="5" t="s">
        <v>3501</v>
      </c>
      <c r="F140" s="5" t="s">
        <v>1669</v>
      </c>
      <c r="G140" s="5" t="s">
        <v>3502</v>
      </c>
      <c r="H140" s="5" t="s">
        <v>3503</v>
      </c>
      <c r="I140" s="5" t="s">
        <v>3504</v>
      </c>
      <c r="J140" s="17" t="s">
        <v>162</v>
      </c>
      <c r="K140" s="17" t="s">
        <v>1477</v>
      </c>
      <c r="L140" s="5" t="s">
        <v>3505</v>
      </c>
      <c r="M140" s="6" t="s">
        <v>1493</v>
      </c>
      <c r="N140" s="6" t="s">
        <v>2167</v>
      </c>
      <c r="O140" s="6" t="s">
        <v>162</v>
      </c>
      <c r="P140" s="5" t="s">
        <v>2272</v>
      </c>
      <c r="Q140" s="18" t="s">
        <v>1482</v>
      </c>
      <c r="R140" s="5" t="s">
        <v>2400</v>
      </c>
      <c r="S140" s="6" t="s">
        <v>2470</v>
      </c>
      <c r="T140" s="5" t="s">
        <v>2471</v>
      </c>
      <c r="U140" s="6"/>
      <c r="V140" s="6" t="s">
        <v>2472</v>
      </c>
      <c r="W140" s="6" t="s">
        <v>1697</v>
      </c>
      <c r="X140" s="5" t="s">
        <v>228</v>
      </c>
      <c r="Y140" s="5" t="s">
        <v>3506</v>
      </c>
      <c r="Z140" s="5" t="str">
        <f t="shared" si="4"/>
        <v>Medium</v>
      </c>
      <c r="AA140" s="5" t="s">
        <v>1319</v>
      </c>
      <c r="AB140" s="6" t="s">
        <v>1355</v>
      </c>
      <c r="AC140" s="6" t="s">
        <v>135</v>
      </c>
      <c r="AD140" s="5" t="s">
        <v>2278</v>
      </c>
      <c r="AE140" s="5" t="s">
        <v>1720</v>
      </c>
      <c r="AF140" s="5" t="s">
        <v>1720</v>
      </c>
      <c r="AG140" s="5" t="s">
        <v>1720</v>
      </c>
      <c r="AH140" s="5" t="s">
        <v>1720</v>
      </c>
      <c r="AI140" s="6" t="str">
        <f t="shared" si="5"/>
        <v>No</v>
      </c>
      <c r="AJ140" s="6" t="s">
        <v>2298</v>
      </c>
      <c r="AK140" s="6" t="s">
        <v>162</v>
      </c>
      <c r="AL140" s="6">
        <f>MATCH(AA140,{"Low","Medium","High"},0)*MATCH(AB140,{"Low","Medium","High"},0)*INDEX({3,2,2,1,1},MATCH(X140,{"Core","Vertical extension","Differentiator","Future","Adjacent"},0))</f>
        <v>6</v>
      </c>
      <c r="AM140" s="5"/>
      <c r="AN140" s="5"/>
      <c r="AO140" s="5"/>
      <c r="AP140" s="5"/>
      <c r="AQ140" s="5"/>
      <c r="AR140" s="5"/>
      <c r="AS140" s="5"/>
      <c r="AT140" s="5"/>
      <c r="AU140" s="6" t="s">
        <v>2317</v>
      </c>
      <c r="AV140" s="6" t="s">
        <v>1669</v>
      </c>
      <c r="AW140" s="6" t="s">
        <v>1669</v>
      </c>
      <c r="AX140" s="6" t="s">
        <v>2284</v>
      </c>
      <c r="AY140" s="6" t="s">
        <v>2285</v>
      </c>
      <c r="AZ140" s="6"/>
      <c r="BA140" s="6" t="s">
        <v>3507</v>
      </c>
      <c r="BB140" s="6" t="s">
        <v>3508</v>
      </c>
      <c r="BC140" s="6" t="s">
        <v>127</v>
      </c>
      <c r="BD140" s="6" t="s">
        <v>127</v>
      </c>
      <c r="BE140" s="6"/>
      <c r="BF140" s="6"/>
      <c r="BG140" s="6"/>
      <c r="BH140" s="6"/>
    </row>
    <row r="141" spans="1:60" ht="32" customHeight="1" x14ac:dyDescent="0.35">
      <c r="A141" s="13" t="s">
        <v>3509</v>
      </c>
      <c r="B141" s="6" t="s">
        <v>2265</v>
      </c>
      <c r="C141" s="5" t="s">
        <v>1669</v>
      </c>
      <c r="D141" s="5" t="s">
        <v>2193</v>
      </c>
      <c r="E141" s="5" t="s">
        <v>3510</v>
      </c>
      <c r="F141" s="5" t="s">
        <v>1669</v>
      </c>
      <c r="G141" s="5" t="s">
        <v>2507</v>
      </c>
      <c r="H141" s="5" t="s">
        <v>3511</v>
      </c>
      <c r="I141" s="5" t="s">
        <v>3512</v>
      </c>
      <c r="J141" s="17" t="s">
        <v>162</v>
      </c>
      <c r="K141" s="17" t="s">
        <v>163</v>
      </c>
      <c r="L141" s="5" t="s">
        <v>3513</v>
      </c>
      <c r="M141" s="6" t="s">
        <v>1493</v>
      </c>
      <c r="N141" s="6" t="s">
        <v>2167</v>
      </c>
      <c r="O141" s="6" t="s">
        <v>162</v>
      </c>
      <c r="P141" s="5" t="s">
        <v>2272</v>
      </c>
      <c r="Q141" s="17" t="s">
        <v>163</v>
      </c>
      <c r="R141" s="5" t="s">
        <v>3514</v>
      </c>
      <c r="S141" s="6" t="s">
        <v>2470</v>
      </c>
      <c r="T141" s="5" t="s">
        <v>2471</v>
      </c>
      <c r="U141" s="6"/>
      <c r="V141" s="6" t="s">
        <v>2472</v>
      </c>
      <c r="W141" s="6" t="s">
        <v>1697</v>
      </c>
      <c r="X141" s="5" t="s">
        <v>228</v>
      </c>
      <c r="Y141" s="5" t="s">
        <v>3506</v>
      </c>
      <c r="Z141" s="5" t="str">
        <f t="shared" si="4"/>
        <v>Medium</v>
      </c>
      <c r="AA141" s="5" t="s">
        <v>1319</v>
      </c>
      <c r="AB141" s="6" t="s">
        <v>1355</v>
      </c>
      <c r="AC141" s="6" t="s">
        <v>135</v>
      </c>
      <c r="AD141" s="5" t="s">
        <v>1805</v>
      </c>
      <c r="AE141" s="5" t="s">
        <v>1720</v>
      </c>
      <c r="AF141" s="5" t="s">
        <v>1720</v>
      </c>
      <c r="AG141" s="5" t="s">
        <v>1720</v>
      </c>
      <c r="AH141" s="5" t="s">
        <v>1720</v>
      </c>
      <c r="AI141" s="6" t="str">
        <f t="shared" si="5"/>
        <v>No</v>
      </c>
      <c r="AJ141" s="6" t="s">
        <v>287</v>
      </c>
      <c r="AK141" s="6" t="s">
        <v>162</v>
      </c>
      <c r="AL141" s="6">
        <f>MATCH(AA141,{"Low","Medium","High"},0)*MATCH(AB141,{"Low","Medium","High"},0)*INDEX({3,2,2,1,1},MATCH(X141,{"Core","Vertical extension","Differentiator","Future","Adjacent"},0))</f>
        <v>6</v>
      </c>
      <c r="AM141" s="5"/>
      <c r="AN141" s="5"/>
      <c r="AO141" s="5"/>
      <c r="AP141" s="5"/>
      <c r="AQ141" s="5"/>
      <c r="AR141" s="5"/>
      <c r="AS141" s="5"/>
      <c r="AT141" s="5"/>
      <c r="AU141" s="6" t="s">
        <v>2317</v>
      </c>
      <c r="AV141" s="6" t="s">
        <v>1669</v>
      </c>
      <c r="AW141" s="6" t="s">
        <v>1669</v>
      </c>
      <c r="AX141" s="6" t="s">
        <v>2284</v>
      </c>
      <c r="AY141" s="6" t="s">
        <v>2285</v>
      </c>
      <c r="AZ141" s="6"/>
      <c r="BA141" s="6"/>
      <c r="BB141" s="6"/>
      <c r="BC141" s="6" t="s">
        <v>127</v>
      </c>
      <c r="BD141" s="6" t="s">
        <v>127</v>
      </c>
      <c r="BE141" s="6" t="s">
        <v>1477</v>
      </c>
      <c r="BF141" s="6" t="s">
        <v>288</v>
      </c>
      <c r="BG141" s="6" t="s">
        <v>3507</v>
      </c>
      <c r="BH141" s="6" t="s">
        <v>3515</v>
      </c>
    </row>
    <row r="142" spans="1:60" ht="32" customHeight="1" x14ac:dyDescent="0.35">
      <c r="A142" s="13" t="s">
        <v>3516</v>
      </c>
      <c r="B142" s="6" t="s">
        <v>2265</v>
      </c>
      <c r="C142" s="5" t="s">
        <v>1669</v>
      </c>
      <c r="D142" s="5" t="s">
        <v>2193</v>
      </c>
      <c r="E142" s="5" t="s">
        <v>3517</v>
      </c>
      <c r="F142" s="5" t="s">
        <v>1669</v>
      </c>
      <c r="G142" s="5" t="s">
        <v>3502</v>
      </c>
      <c r="H142" s="5" t="s">
        <v>3503</v>
      </c>
      <c r="I142" s="5" t="s">
        <v>3504</v>
      </c>
      <c r="J142" s="17" t="s">
        <v>162</v>
      </c>
      <c r="K142" s="17" t="s">
        <v>1477</v>
      </c>
      <c r="L142" s="5" t="s">
        <v>3505</v>
      </c>
      <c r="M142" s="6" t="s">
        <v>1493</v>
      </c>
      <c r="N142" s="6" t="s">
        <v>2167</v>
      </c>
      <c r="O142" s="6" t="s">
        <v>162</v>
      </c>
      <c r="P142" s="5" t="s">
        <v>2272</v>
      </c>
      <c r="Q142" s="18" t="s">
        <v>1482</v>
      </c>
      <c r="R142" s="5" t="s">
        <v>2400</v>
      </c>
      <c r="S142" s="6" t="s">
        <v>2470</v>
      </c>
      <c r="T142" s="5" t="s">
        <v>2471</v>
      </c>
      <c r="U142" s="6"/>
      <c r="V142" s="6" t="s">
        <v>2472</v>
      </c>
      <c r="W142" s="6" t="s">
        <v>1697</v>
      </c>
      <c r="X142" s="5" t="s">
        <v>228</v>
      </c>
      <c r="Y142" s="5" t="s">
        <v>3506</v>
      </c>
      <c r="Z142" s="5" t="str">
        <f t="shared" si="4"/>
        <v>Medium</v>
      </c>
      <c r="AA142" s="5" t="s">
        <v>1319</v>
      </c>
      <c r="AB142" s="6" t="s">
        <v>1355</v>
      </c>
      <c r="AC142" s="6" t="s">
        <v>135</v>
      </c>
      <c r="AD142" s="5" t="s">
        <v>2278</v>
      </c>
      <c r="AE142" s="5" t="s">
        <v>1720</v>
      </c>
      <c r="AF142" s="5" t="s">
        <v>1720</v>
      </c>
      <c r="AG142" s="5" t="s">
        <v>1720</v>
      </c>
      <c r="AH142" s="5" t="s">
        <v>1720</v>
      </c>
      <c r="AI142" s="6" t="str">
        <f t="shared" si="5"/>
        <v>No</v>
      </c>
      <c r="AJ142" s="6" t="s">
        <v>2298</v>
      </c>
      <c r="AK142" s="6" t="s">
        <v>162</v>
      </c>
      <c r="AL142" s="6">
        <f>MATCH(AA142,{"Low","Medium","High"},0)*MATCH(AB142,{"Low","Medium","High"},0)*INDEX({3,2,2,1,1},MATCH(X142,{"Core","Vertical extension","Differentiator","Future","Adjacent"},0))</f>
        <v>6</v>
      </c>
      <c r="AM142" s="5"/>
      <c r="AN142" s="5"/>
      <c r="AO142" s="5"/>
      <c r="AP142" s="5"/>
      <c r="AQ142" s="5"/>
      <c r="AR142" s="5"/>
      <c r="AS142" s="5"/>
      <c r="AT142" s="5"/>
      <c r="AU142" s="6" t="s">
        <v>2317</v>
      </c>
      <c r="AV142" s="6" t="s">
        <v>1669</v>
      </c>
      <c r="AW142" s="6" t="s">
        <v>1669</v>
      </c>
      <c r="AX142" s="6" t="s">
        <v>2284</v>
      </c>
      <c r="AY142" s="6" t="s">
        <v>2285</v>
      </c>
      <c r="AZ142" s="6"/>
      <c r="BA142" s="6" t="s">
        <v>3507</v>
      </c>
      <c r="BB142" s="6" t="s">
        <v>3508</v>
      </c>
      <c r="BC142" s="6" t="s">
        <v>127</v>
      </c>
      <c r="BD142" s="6" t="s">
        <v>127</v>
      </c>
      <c r="BE142" s="6"/>
      <c r="BF142" s="6"/>
      <c r="BG142" s="6"/>
      <c r="BH142" s="6"/>
    </row>
    <row r="143" spans="1:60" ht="32" customHeight="1" x14ac:dyDescent="0.35">
      <c r="A143" s="13" t="s">
        <v>3518</v>
      </c>
      <c r="B143" s="6" t="s">
        <v>2265</v>
      </c>
      <c r="C143" s="5" t="s">
        <v>1669</v>
      </c>
      <c r="D143" s="5" t="s">
        <v>2193</v>
      </c>
      <c r="E143" s="5" t="s">
        <v>3519</v>
      </c>
      <c r="F143" s="5" t="s">
        <v>3520</v>
      </c>
      <c r="G143" s="5" t="s">
        <v>2507</v>
      </c>
      <c r="H143" s="5" t="s">
        <v>3521</v>
      </c>
      <c r="I143" s="5" t="s">
        <v>3522</v>
      </c>
      <c r="J143" s="17" t="s">
        <v>162</v>
      </c>
      <c r="K143" s="17" t="s">
        <v>95</v>
      </c>
      <c r="L143" s="5" t="s">
        <v>3523</v>
      </c>
      <c r="M143" s="6" t="s">
        <v>1493</v>
      </c>
      <c r="N143" s="6" t="s">
        <v>2167</v>
      </c>
      <c r="O143" s="6" t="s">
        <v>162</v>
      </c>
      <c r="P143" s="5" t="s">
        <v>2272</v>
      </c>
      <c r="Q143" s="17" t="s">
        <v>95</v>
      </c>
      <c r="R143" s="5" t="s">
        <v>3524</v>
      </c>
      <c r="S143" s="6" t="s">
        <v>2470</v>
      </c>
      <c r="T143" s="5" t="s">
        <v>2471</v>
      </c>
      <c r="U143" s="6"/>
      <c r="V143" s="6" t="s">
        <v>2472</v>
      </c>
      <c r="W143" s="6" t="s">
        <v>1697</v>
      </c>
      <c r="X143" s="5" t="s">
        <v>228</v>
      </c>
      <c r="Y143" s="5" t="s">
        <v>3506</v>
      </c>
      <c r="Z143" s="5" t="str">
        <f t="shared" si="4"/>
        <v>Medium</v>
      </c>
      <c r="AA143" s="5" t="s">
        <v>1319</v>
      </c>
      <c r="AB143" s="6" t="s">
        <v>1355</v>
      </c>
      <c r="AC143" s="6" t="s">
        <v>135</v>
      </c>
      <c r="AD143" s="5" t="s">
        <v>95</v>
      </c>
      <c r="AE143" s="5" t="s">
        <v>1720</v>
      </c>
      <c r="AF143" s="5" t="s">
        <v>1720</v>
      </c>
      <c r="AG143" s="5" t="s">
        <v>1720</v>
      </c>
      <c r="AH143" s="5" t="s">
        <v>1720</v>
      </c>
      <c r="AI143" s="6" t="str">
        <f t="shared" si="5"/>
        <v>No</v>
      </c>
      <c r="AJ143" s="6" t="s">
        <v>229</v>
      </c>
      <c r="AK143" s="6" t="s">
        <v>162</v>
      </c>
      <c r="AL143" s="6">
        <f>MATCH(AA143,{"Low","Medium","High"},0)*MATCH(AB143,{"Low","Medium","High"},0)*INDEX({3,2,2,1,1},MATCH(X143,{"Core","Vertical extension","Differentiator","Future","Adjacent"},0))</f>
        <v>6</v>
      </c>
      <c r="AM143" s="5"/>
      <c r="AN143" s="5"/>
      <c r="AO143" s="5"/>
      <c r="AP143" s="5"/>
      <c r="AQ143" s="5"/>
      <c r="AR143" s="5"/>
      <c r="AS143" s="5"/>
      <c r="AT143" s="5"/>
      <c r="AU143" s="6" t="s">
        <v>2317</v>
      </c>
      <c r="AV143" s="6" t="s">
        <v>1669</v>
      </c>
      <c r="AW143" s="6" t="s">
        <v>1669</v>
      </c>
      <c r="AX143" s="6" t="s">
        <v>2284</v>
      </c>
      <c r="AY143" s="6" t="s">
        <v>2285</v>
      </c>
      <c r="AZ143" s="6"/>
      <c r="BA143" s="6"/>
      <c r="BB143" s="6"/>
      <c r="BC143" s="6" t="s">
        <v>127</v>
      </c>
      <c r="BD143" s="6" t="s">
        <v>127</v>
      </c>
      <c r="BE143" s="6" t="s">
        <v>1477</v>
      </c>
      <c r="BF143" s="6" t="s">
        <v>95</v>
      </c>
      <c r="BG143" s="6" t="s">
        <v>3525</v>
      </c>
      <c r="BH143" s="6" t="s">
        <v>3526</v>
      </c>
    </row>
    <row r="144" spans="1:60" ht="32" customHeight="1" x14ac:dyDescent="0.35">
      <c r="A144" s="13" t="s">
        <v>3527</v>
      </c>
      <c r="B144" s="6" t="s">
        <v>2265</v>
      </c>
      <c r="C144" s="5" t="s">
        <v>1669</v>
      </c>
      <c r="D144" s="5" t="s">
        <v>2193</v>
      </c>
      <c r="E144" s="5" t="s">
        <v>3528</v>
      </c>
      <c r="F144" s="5" t="s">
        <v>1669</v>
      </c>
      <c r="G144" s="5" t="s">
        <v>2507</v>
      </c>
      <c r="H144" s="5" t="s">
        <v>3529</v>
      </c>
      <c r="I144" s="5" t="s">
        <v>3530</v>
      </c>
      <c r="J144" s="17" t="s">
        <v>162</v>
      </c>
      <c r="K144" s="17" t="s">
        <v>95</v>
      </c>
      <c r="L144" s="5" t="s">
        <v>3531</v>
      </c>
      <c r="M144" s="6" t="s">
        <v>1493</v>
      </c>
      <c r="N144" s="6" t="s">
        <v>2167</v>
      </c>
      <c r="O144" s="6" t="s">
        <v>162</v>
      </c>
      <c r="P144" s="5" t="s">
        <v>2272</v>
      </c>
      <c r="Q144" s="17" t="s">
        <v>95</v>
      </c>
      <c r="R144" s="5" t="s">
        <v>3532</v>
      </c>
      <c r="S144" s="6" t="s">
        <v>2470</v>
      </c>
      <c r="T144" s="5" t="s">
        <v>2471</v>
      </c>
      <c r="U144" s="6"/>
      <c r="V144" s="6" t="s">
        <v>2472</v>
      </c>
      <c r="W144" s="6" t="s">
        <v>1697</v>
      </c>
      <c r="X144" s="5" t="s">
        <v>228</v>
      </c>
      <c r="Y144" s="5" t="s">
        <v>3506</v>
      </c>
      <c r="Z144" s="5" t="str">
        <f t="shared" si="4"/>
        <v>Medium</v>
      </c>
      <c r="AA144" s="5" t="s">
        <v>1319</v>
      </c>
      <c r="AB144" s="6" t="s">
        <v>1355</v>
      </c>
      <c r="AC144" s="6" t="s">
        <v>135</v>
      </c>
      <c r="AD144" s="5" t="s">
        <v>95</v>
      </c>
      <c r="AE144" s="5" t="s">
        <v>1720</v>
      </c>
      <c r="AF144" s="5" t="s">
        <v>1720</v>
      </c>
      <c r="AG144" s="5" t="s">
        <v>1720</v>
      </c>
      <c r="AH144" s="5" t="s">
        <v>1720</v>
      </c>
      <c r="AI144" s="6" t="str">
        <f t="shared" si="5"/>
        <v>No</v>
      </c>
      <c r="AJ144" s="6" t="s">
        <v>229</v>
      </c>
      <c r="AK144" s="6" t="s">
        <v>162</v>
      </c>
      <c r="AL144" s="6">
        <f>MATCH(AA144,{"Low","Medium","High"},0)*MATCH(AB144,{"Low","Medium","High"},0)*INDEX({3,2,2,1,1},MATCH(X144,{"Core","Vertical extension","Differentiator","Future","Adjacent"},0))</f>
        <v>6</v>
      </c>
      <c r="AM144" s="5"/>
      <c r="AN144" s="5"/>
      <c r="AO144" s="5"/>
      <c r="AP144" s="5"/>
      <c r="AQ144" s="5"/>
      <c r="AR144" s="5"/>
      <c r="AS144" s="5"/>
      <c r="AT144" s="5"/>
      <c r="AU144" s="6" t="s">
        <v>2317</v>
      </c>
      <c r="AV144" s="6" t="s">
        <v>1669</v>
      </c>
      <c r="AW144" s="6" t="s">
        <v>1669</v>
      </c>
      <c r="AX144" s="6" t="s">
        <v>2284</v>
      </c>
      <c r="AY144" s="6" t="s">
        <v>2285</v>
      </c>
      <c r="AZ144" s="6"/>
      <c r="BA144" s="6"/>
      <c r="BB144" s="6"/>
      <c r="BC144" s="6" t="s">
        <v>127</v>
      </c>
      <c r="BD144" s="6" t="s">
        <v>127</v>
      </c>
      <c r="BE144" s="6" t="s">
        <v>1477</v>
      </c>
      <c r="BF144" s="6" t="s">
        <v>95</v>
      </c>
      <c r="BG144" s="6" t="s">
        <v>3533</v>
      </c>
      <c r="BH144" s="6" t="s">
        <v>3534</v>
      </c>
    </row>
    <row r="145" spans="1:60" ht="32" customHeight="1" x14ac:dyDescent="0.35">
      <c r="A145" s="13" t="s">
        <v>3535</v>
      </c>
      <c r="B145" s="6" t="s">
        <v>2265</v>
      </c>
      <c r="C145" s="5" t="s">
        <v>1669</v>
      </c>
      <c r="D145" s="5" t="s">
        <v>2187</v>
      </c>
      <c r="E145" s="5" t="s">
        <v>3536</v>
      </c>
      <c r="F145" s="5" t="s">
        <v>3520</v>
      </c>
      <c r="G145" s="5" t="s">
        <v>2507</v>
      </c>
      <c r="H145" s="5" t="s">
        <v>3537</v>
      </c>
      <c r="I145" s="5" t="s">
        <v>3538</v>
      </c>
      <c r="J145" s="17" t="s">
        <v>162</v>
      </c>
      <c r="K145" s="17" t="s">
        <v>95</v>
      </c>
      <c r="L145" s="5" t="s">
        <v>3539</v>
      </c>
      <c r="M145" s="6" t="s">
        <v>1493</v>
      </c>
      <c r="N145" s="6" t="s">
        <v>2167</v>
      </c>
      <c r="O145" s="6" t="s">
        <v>162</v>
      </c>
      <c r="P145" s="5" t="s">
        <v>2272</v>
      </c>
      <c r="Q145" s="17" t="s">
        <v>95</v>
      </c>
      <c r="R145" s="5" t="s">
        <v>3540</v>
      </c>
      <c r="S145" s="6" t="s">
        <v>2345</v>
      </c>
      <c r="T145" s="5" t="s">
        <v>2346</v>
      </c>
      <c r="U145" s="6"/>
      <c r="V145" s="6" t="s">
        <v>2347</v>
      </c>
      <c r="W145" s="6" t="s">
        <v>1697</v>
      </c>
      <c r="X145" s="5" t="s">
        <v>228</v>
      </c>
      <c r="Y145" s="5" t="s">
        <v>3506</v>
      </c>
      <c r="Z145" s="5" t="str">
        <f t="shared" si="4"/>
        <v>High</v>
      </c>
      <c r="AA145" s="5" t="s">
        <v>1302</v>
      </c>
      <c r="AB145" s="6" t="s">
        <v>1355</v>
      </c>
      <c r="AC145" s="6" t="s">
        <v>135</v>
      </c>
      <c r="AD145" s="5" t="s">
        <v>95</v>
      </c>
      <c r="AE145" s="5" t="s">
        <v>1720</v>
      </c>
      <c r="AF145" s="5" t="s">
        <v>1720</v>
      </c>
      <c r="AG145" s="5" t="s">
        <v>1720</v>
      </c>
      <c r="AH145" s="5" t="s">
        <v>1720</v>
      </c>
      <c r="AI145" s="6" t="str">
        <f t="shared" si="5"/>
        <v>No</v>
      </c>
      <c r="AJ145" s="6" t="s">
        <v>229</v>
      </c>
      <c r="AK145" s="6" t="s">
        <v>162</v>
      </c>
      <c r="AL145" s="6">
        <f>MATCH(AA145,{"Low","Medium","High"},0)*MATCH(AB145,{"Low","Medium","High"},0)*INDEX({3,2,2,1,1},MATCH(X145,{"Core","Vertical extension","Differentiator","Future","Adjacent"},0))</f>
        <v>9</v>
      </c>
      <c r="AM145" s="5"/>
      <c r="AN145" s="5"/>
      <c r="AO145" s="5"/>
      <c r="AP145" s="5"/>
      <c r="AQ145" s="5"/>
      <c r="AR145" s="5"/>
      <c r="AS145" s="5"/>
      <c r="AT145" s="5"/>
      <c r="AU145" s="6" t="s">
        <v>2317</v>
      </c>
      <c r="AV145" s="6" t="s">
        <v>1669</v>
      </c>
      <c r="AW145" s="6" t="s">
        <v>1669</v>
      </c>
      <c r="AX145" s="6" t="s">
        <v>2284</v>
      </c>
      <c r="AY145" s="6" t="s">
        <v>2285</v>
      </c>
      <c r="AZ145" s="6"/>
      <c r="BA145" s="6"/>
      <c r="BB145" s="6"/>
      <c r="BC145" s="6" t="s">
        <v>127</v>
      </c>
      <c r="BD145" s="6" t="s">
        <v>127</v>
      </c>
      <c r="BE145" s="6" t="s">
        <v>1477</v>
      </c>
      <c r="BF145" s="6" t="s">
        <v>95</v>
      </c>
      <c r="BG145" s="6" t="s">
        <v>3541</v>
      </c>
      <c r="BH145" s="6" t="s">
        <v>3542</v>
      </c>
    </row>
    <row r="146" spans="1:60" ht="32" customHeight="1" x14ac:dyDescent="0.35">
      <c r="A146" s="13" t="s">
        <v>3543</v>
      </c>
      <c r="B146" s="6" t="s">
        <v>2265</v>
      </c>
      <c r="C146" s="5" t="s">
        <v>1669</v>
      </c>
      <c r="D146" s="5" t="s">
        <v>2193</v>
      </c>
      <c r="E146" s="5" t="s">
        <v>3544</v>
      </c>
      <c r="F146" s="5" t="s">
        <v>3545</v>
      </c>
      <c r="G146" s="5" t="s">
        <v>2507</v>
      </c>
      <c r="H146" s="5" t="s">
        <v>3546</v>
      </c>
      <c r="I146" s="5" t="s">
        <v>3547</v>
      </c>
      <c r="J146" s="17" t="s">
        <v>162</v>
      </c>
      <c r="K146" s="17" t="s">
        <v>95</v>
      </c>
      <c r="L146" s="5" t="s">
        <v>3548</v>
      </c>
      <c r="M146" s="6" t="s">
        <v>1493</v>
      </c>
      <c r="N146" s="6" t="s">
        <v>2167</v>
      </c>
      <c r="O146" s="6" t="s">
        <v>162</v>
      </c>
      <c r="P146" s="5" t="s">
        <v>2272</v>
      </c>
      <c r="Q146" s="17" t="s">
        <v>95</v>
      </c>
      <c r="R146" s="5" t="s">
        <v>3549</v>
      </c>
      <c r="S146" s="6" t="s">
        <v>2470</v>
      </c>
      <c r="T146" s="5" t="s">
        <v>2471</v>
      </c>
      <c r="U146" s="6"/>
      <c r="V146" s="6" t="s">
        <v>2472</v>
      </c>
      <c r="W146" s="6" t="s">
        <v>1697</v>
      </c>
      <c r="X146" s="5" t="s">
        <v>228</v>
      </c>
      <c r="Y146" s="5" t="s">
        <v>3506</v>
      </c>
      <c r="Z146" s="5" t="str">
        <f t="shared" si="4"/>
        <v>Medium</v>
      </c>
      <c r="AA146" s="5" t="s">
        <v>1319</v>
      </c>
      <c r="AB146" s="6" t="s">
        <v>1355</v>
      </c>
      <c r="AC146" s="6" t="s">
        <v>135</v>
      </c>
      <c r="AD146" s="5" t="s">
        <v>95</v>
      </c>
      <c r="AE146" s="5" t="s">
        <v>1720</v>
      </c>
      <c r="AF146" s="5" t="s">
        <v>1720</v>
      </c>
      <c r="AG146" s="5" t="s">
        <v>1720</v>
      </c>
      <c r="AH146" s="5" t="s">
        <v>1720</v>
      </c>
      <c r="AI146" s="6" t="str">
        <f t="shared" si="5"/>
        <v>No</v>
      </c>
      <c r="AJ146" s="6" t="s">
        <v>229</v>
      </c>
      <c r="AK146" s="6" t="s">
        <v>162</v>
      </c>
      <c r="AL146" s="6">
        <f>MATCH(AA146,{"Low","Medium","High"},0)*MATCH(AB146,{"Low","Medium","High"},0)*INDEX({3,2,2,1,1},MATCH(X146,{"Core","Vertical extension","Differentiator","Future","Adjacent"},0))</f>
        <v>6</v>
      </c>
      <c r="AM146" s="5"/>
      <c r="AN146" s="5"/>
      <c r="AO146" s="5"/>
      <c r="AP146" s="5"/>
      <c r="AQ146" s="5"/>
      <c r="AR146" s="5"/>
      <c r="AS146" s="5"/>
      <c r="AT146" s="5"/>
      <c r="AU146" s="6" t="s">
        <v>2317</v>
      </c>
      <c r="AV146" s="6" t="s">
        <v>1669</v>
      </c>
      <c r="AW146" s="6" t="s">
        <v>76</v>
      </c>
      <c r="AX146" s="6" t="s">
        <v>2284</v>
      </c>
      <c r="AY146" s="6" t="s">
        <v>2285</v>
      </c>
      <c r="AZ146" s="6"/>
      <c r="BA146" s="6" t="s">
        <v>3550</v>
      </c>
      <c r="BB146" s="6" t="s">
        <v>3551</v>
      </c>
      <c r="BC146" s="6" t="s">
        <v>127</v>
      </c>
      <c r="BD146" s="6" t="s">
        <v>127</v>
      </c>
      <c r="BE146" s="6" t="s">
        <v>1477</v>
      </c>
      <c r="BF146" s="6" t="s">
        <v>95</v>
      </c>
      <c r="BG146" s="6" t="s">
        <v>3552</v>
      </c>
      <c r="BH146" s="6" t="s">
        <v>3553</v>
      </c>
    </row>
    <row r="147" spans="1:60" ht="32" customHeight="1" x14ac:dyDescent="0.35">
      <c r="A147" s="13" t="s">
        <v>1667</v>
      </c>
      <c r="B147" s="6" t="s">
        <v>2265</v>
      </c>
      <c r="C147" s="5" t="s">
        <v>1669</v>
      </c>
      <c r="D147" s="5" t="s">
        <v>2192</v>
      </c>
      <c r="E147" s="5" t="s">
        <v>1668</v>
      </c>
      <c r="F147" s="5" t="s">
        <v>1669</v>
      </c>
      <c r="G147" s="5" t="s">
        <v>3554</v>
      </c>
      <c r="H147" s="5" t="s">
        <v>3555</v>
      </c>
      <c r="I147" s="5" t="s">
        <v>3556</v>
      </c>
      <c r="J147" s="17" t="s">
        <v>162</v>
      </c>
      <c r="K147" s="17" t="s">
        <v>1477</v>
      </c>
      <c r="L147" s="5" t="s">
        <v>3557</v>
      </c>
      <c r="M147" s="6" t="s">
        <v>1493</v>
      </c>
      <c r="N147" s="6" t="s">
        <v>2167</v>
      </c>
      <c r="O147" s="6" t="s">
        <v>162</v>
      </c>
      <c r="P147" s="5" t="s">
        <v>2272</v>
      </c>
      <c r="Q147" s="17" t="s">
        <v>2273</v>
      </c>
      <c r="R147" s="5" t="s">
        <v>3558</v>
      </c>
      <c r="S147" s="6" t="s">
        <v>2371</v>
      </c>
      <c r="T147" s="5" t="s">
        <v>2372</v>
      </c>
      <c r="U147" s="6"/>
      <c r="V147" s="6" t="s">
        <v>2373</v>
      </c>
      <c r="W147" s="6" t="s">
        <v>1699</v>
      </c>
      <c r="X147" s="5" t="s">
        <v>228</v>
      </c>
      <c r="Y147" s="5" t="s">
        <v>3506</v>
      </c>
      <c r="Z147" s="5" t="str">
        <f t="shared" si="4"/>
        <v>Critical</v>
      </c>
      <c r="AA147" s="5" t="s">
        <v>1302</v>
      </c>
      <c r="AB147" s="6" t="s">
        <v>1319</v>
      </c>
      <c r="AC147" s="6" t="s">
        <v>135</v>
      </c>
      <c r="AD147" s="5" t="s">
        <v>2278</v>
      </c>
      <c r="AE147" s="5" t="s">
        <v>1720</v>
      </c>
      <c r="AF147" s="5" t="s">
        <v>1720</v>
      </c>
      <c r="AG147" s="5" t="s">
        <v>1720</v>
      </c>
      <c r="AH147" s="5" t="s">
        <v>1720</v>
      </c>
      <c r="AI147" s="6" t="str">
        <f t="shared" si="5"/>
        <v>No</v>
      </c>
      <c r="AJ147" s="6" t="s">
        <v>2298</v>
      </c>
      <c r="AK147" s="6" t="s">
        <v>162</v>
      </c>
      <c r="AL147" s="6">
        <f>MATCH(AA147,{"Low","Medium","High"},0)*MATCH(AB147,{"Low","Medium","High"},0)*INDEX({3,2,2,1,1},MATCH(X147,{"Core","Vertical extension","Differentiator","Future","Adjacent"},0))</f>
        <v>18</v>
      </c>
      <c r="AM147" s="5"/>
      <c r="AN147" s="5"/>
      <c r="AO147" s="5"/>
      <c r="AP147" s="5"/>
      <c r="AQ147" s="5"/>
      <c r="AR147" s="5"/>
      <c r="AS147" s="5"/>
      <c r="AT147" s="5"/>
      <c r="AU147" s="6" t="s">
        <v>2317</v>
      </c>
      <c r="AV147" s="6" t="s">
        <v>1669</v>
      </c>
      <c r="AW147" s="6" t="s">
        <v>1669</v>
      </c>
      <c r="AX147" s="6" t="s">
        <v>2284</v>
      </c>
      <c r="AY147" s="6" t="s">
        <v>2285</v>
      </c>
      <c r="AZ147" s="6" t="s">
        <v>3559</v>
      </c>
      <c r="BA147" s="6"/>
      <c r="BB147" s="6"/>
      <c r="BC147" s="6" t="s">
        <v>127</v>
      </c>
      <c r="BD147" s="6" t="s">
        <v>127</v>
      </c>
      <c r="BE147" s="6" t="s">
        <v>1477</v>
      </c>
      <c r="BF147" s="6" t="s">
        <v>2286</v>
      </c>
      <c r="BG147" s="6" t="s">
        <v>3560</v>
      </c>
      <c r="BH147" s="6" t="s">
        <v>3561</v>
      </c>
    </row>
    <row r="148" spans="1:60" ht="32" customHeight="1" x14ac:dyDescent="0.35">
      <c r="A148" s="13" t="s">
        <v>3562</v>
      </c>
      <c r="B148" s="6" t="s">
        <v>2265</v>
      </c>
      <c r="C148" s="5" t="s">
        <v>1669</v>
      </c>
      <c r="D148" s="5" t="s">
        <v>2193</v>
      </c>
      <c r="E148" s="5" t="s">
        <v>3563</v>
      </c>
      <c r="F148" s="5" t="s">
        <v>1669</v>
      </c>
      <c r="G148" s="5" t="s">
        <v>2312</v>
      </c>
      <c r="H148" s="5" t="s">
        <v>3564</v>
      </c>
      <c r="I148" s="5" t="s">
        <v>3565</v>
      </c>
      <c r="J148" s="19" t="s">
        <v>204</v>
      </c>
      <c r="K148" s="17" t="s">
        <v>95</v>
      </c>
      <c r="L148" s="5" t="s">
        <v>3566</v>
      </c>
      <c r="M148" s="6" t="s">
        <v>1493</v>
      </c>
      <c r="N148" s="6" t="s">
        <v>2167</v>
      </c>
      <c r="O148" s="6" t="s">
        <v>204</v>
      </c>
      <c r="P148" s="5" t="s">
        <v>2524</v>
      </c>
      <c r="Q148" s="17" t="s">
        <v>95</v>
      </c>
      <c r="R148" s="5" t="s">
        <v>3567</v>
      </c>
      <c r="S148" s="6" t="s">
        <v>2470</v>
      </c>
      <c r="T148" s="5" t="s">
        <v>2471</v>
      </c>
      <c r="U148" s="6"/>
      <c r="V148" s="6" t="s">
        <v>2472</v>
      </c>
      <c r="W148" s="6" t="s">
        <v>1697</v>
      </c>
      <c r="X148" s="5" t="s">
        <v>228</v>
      </c>
      <c r="Y148" s="5" t="s">
        <v>3506</v>
      </c>
      <c r="Z148" s="5" t="str">
        <f t="shared" si="4"/>
        <v>Medium</v>
      </c>
      <c r="AA148" s="5" t="s">
        <v>1319</v>
      </c>
      <c r="AB148" s="6" t="s">
        <v>1355</v>
      </c>
      <c r="AC148" s="6" t="s">
        <v>32</v>
      </c>
      <c r="AD148" s="5" t="s">
        <v>95</v>
      </c>
      <c r="AE148" s="5" t="s">
        <v>1720</v>
      </c>
      <c r="AF148" s="5" t="s">
        <v>1720</v>
      </c>
      <c r="AG148" s="5" t="s">
        <v>1720</v>
      </c>
      <c r="AH148" s="5" t="s">
        <v>1720</v>
      </c>
      <c r="AI148" s="6" t="str">
        <f t="shared" si="5"/>
        <v>No</v>
      </c>
      <c r="AJ148" s="6" t="s">
        <v>229</v>
      </c>
      <c r="AK148" s="6" t="s">
        <v>204</v>
      </c>
      <c r="AL148" s="6">
        <f>MATCH(AA148,{"Low","Medium","High"},0)*MATCH(AB148,{"Low","Medium","High"},0)*INDEX({3,2,2,1,1},MATCH(X148,{"Core","Vertical extension","Differentiator","Future","Adjacent"},0))</f>
        <v>6</v>
      </c>
      <c r="AM148" s="5"/>
      <c r="AN148" s="5"/>
      <c r="AO148" s="5"/>
      <c r="AP148" s="5"/>
      <c r="AQ148" s="5"/>
      <c r="AR148" s="5"/>
      <c r="AS148" s="5"/>
      <c r="AT148" s="5"/>
      <c r="AU148" s="6" t="s">
        <v>2317</v>
      </c>
      <c r="AV148" s="6" t="s">
        <v>1669</v>
      </c>
      <c r="AW148" s="6" t="s">
        <v>1669</v>
      </c>
      <c r="AX148" s="6" t="s">
        <v>2374</v>
      </c>
      <c r="AY148" s="6" t="s">
        <v>2285</v>
      </c>
      <c r="AZ148" s="6"/>
      <c r="BA148" s="6"/>
      <c r="BB148" s="6"/>
      <c r="BC148" s="6" t="s">
        <v>127</v>
      </c>
      <c r="BD148" s="6" t="s">
        <v>127</v>
      </c>
      <c r="BE148" s="6" t="s">
        <v>1477</v>
      </c>
      <c r="BF148" s="6" t="s">
        <v>95</v>
      </c>
      <c r="BG148" s="6" t="s">
        <v>3568</v>
      </c>
      <c r="BH148" s="6" t="s">
        <v>3569</v>
      </c>
    </row>
    <row r="149" spans="1:60" ht="32" customHeight="1" x14ac:dyDescent="0.35">
      <c r="A149" s="13" t="s">
        <v>3570</v>
      </c>
      <c r="B149" s="6" t="s">
        <v>2265</v>
      </c>
      <c r="C149" s="5" t="s">
        <v>1669</v>
      </c>
      <c r="D149" s="5" t="s">
        <v>2193</v>
      </c>
      <c r="E149" s="5" t="s">
        <v>3571</v>
      </c>
      <c r="F149" s="5" t="s">
        <v>1669</v>
      </c>
      <c r="G149" s="5" t="s">
        <v>2813</v>
      </c>
      <c r="H149" s="5" t="s">
        <v>3572</v>
      </c>
      <c r="I149" s="5" t="s">
        <v>3573</v>
      </c>
      <c r="J149" s="19" t="s">
        <v>204</v>
      </c>
      <c r="K149" s="17" t="s">
        <v>95</v>
      </c>
      <c r="L149" s="5" t="s">
        <v>3574</v>
      </c>
      <c r="M149" s="6" t="s">
        <v>1493</v>
      </c>
      <c r="N149" s="6" t="s">
        <v>2167</v>
      </c>
      <c r="O149" s="6" t="s">
        <v>204</v>
      </c>
      <c r="P149" s="5" t="s">
        <v>2524</v>
      </c>
      <c r="Q149" s="17" t="s">
        <v>95</v>
      </c>
      <c r="R149" s="5" t="s">
        <v>3575</v>
      </c>
      <c r="S149" s="6" t="s">
        <v>2470</v>
      </c>
      <c r="T149" s="5" t="s">
        <v>2471</v>
      </c>
      <c r="U149" s="6"/>
      <c r="V149" s="6" t="s">
        <v>2472</v>
      </c>
      <c r="W149" s="6" t="s">
        <v>1697</v>
      </c>
      <c r="X149" s="5" t="s">
        <v>228</v>
      </c>
      <c r="Y149" s="5" t="s">
        <v>3506</v>
      </c>
      <c r="Z149" s="5" t="str">
        <f t="shared" si="4"/>
        <v>Medium</v>
      </c>
      <c r="AA149" s="5" t="s">
        <v>1319</v>
      </c>
      <c r="AB149" s="6" t="s">
        <v>1355</v>
      </c>
      <c r="AC149" s="6" t="s">
        <v>32</v>
      </c>
      <c r="AD149" s="5" t="s">
        <v>95</v>
      </c>
      <c r="AE149" s="5" t="s">
        <v>1720</v>
      </c>
      <c r="AF149" s="5" t="s">
        <v>1720</v>
      </c>
      <c r="AG149" s="5" t="s">
        <v>1720</v>
      </c>
      <c r="AH149" s="5" t="s">
        <v>1720</v>
      </c>
      <c r="AI149" s="6" t="str">
        <f t="shared" si="5"/>
        <v>No</v>
      </c>
      <c r="AJ149" s="6" t="s">
        <v>229</v>
      </c>
      <c r="AK149" s="6" t="s">
        <v>204</v>
      </c>
      <c r="AL149" s="6">
        <f>MATCH(AA149,{"Low","Medium","High"},0)*MATCH(AB149,{"Low","Medium","High"},0)*INDEX({3,2,2,1,1},MATCH(X149,{"Core","Vertical extension","Differentiator","Future","Adjacent"},0))</f>
        <v>6</v>
      </c>
      <c r="AM149" s="5"/>
      <c r="AN149" s="5"/>
      <c r="AO149" s="5"/>
      <c r="AP149" s="5"/>
      <c r="AQ149" s="5"/>
      <c r="AR149" s="5"/>
      <c r="AS149" s="5"/>
      <c r="AT149" s="5"/>
      <c r="AU149" s="6" t="s">
        <v>2317</v>
      </c>
      <c r="AV149" s="6" t="s">
        <v>1669</v>
      </c>
      <c r="AW149" s="6" t="s">
        <v>1669</v>
      </c>
      <c r="AX149" s="6" t="s">
        <v>2374</v>
      </c>
      <c r="AY149" s="6" t="s">
        <v>2285</v>
      </c>
      <c r="AZ149" s="6"/>
      <c r="BA149" s="6"/>
      <c r="BB149" s="6"/>
      <c r="BC149" s="6" t="s">
        <v>127</v>
      </c>
      <c r="BD149" s="6" t="s">
        <v>127</v>
      </c>
      <c r="BE149" s="6" t="s">
        <v>1477</v>
      </c>
      <c r="BF149" s="6" t="s">
        <v>95</v>
      </c>
      <c r="BG149" s="6" t="s">
        <v>3533</v>
      </c>
      <c r="BH149" s="6" t="s">
        <v>3576</v>
      </c>
    </row>
    <row r="150" spans="1:60" ht="32" customHeight="1" x14ac:dyDescent="0.35">
      <c r="A150" s="13" t="s">
        <v>3577</v>
      </c>
      <c r="B150" s="6" t="s">
        <v>2265</v>
      </c>
      <c r="C150" s="5" t="s">
        <v>1685</v>
      </c>
      <c r="D150" s="5" t="s">
        <v>2187</v>
      </c>
      <c r="E150" s="5" t="s">
        <v>3578</v>
      </c>
      <c r="F150" s="5" t="s">
        <v>1685</v>
      </c>
      <c r="G150" s="5" t="s">
        <v>3579</v>
      </c>
      <c r="H150" s="5" t="s">
        <v>3580</v>
      </c>
      <c r="I150" s="5" t="s">
        <v>3581</v>
      </c>
      <c r="J150" s="16" t="s">
        <v>94</v>
      </c>
      <c r="K150" s="17" t="s">
        <v>1477</v>
      </c>
      <c r="L150" s="5" t="s">
        <v>3582</v>
      </c>
      <c r="M150" s="6" t="s">
        <v>1493</v>
      </c>
      <c r="N150" s="6" t="s">
        <v>2167</v>
      </c>
      <c r="O150" s="6" t="s">
        <v>94</v>
      </c>
      <c r="P150" s="5" t="s">
        <v>2272</v>
      </c>
      <c r="Q150" s="17" t="s">
        <v>2273</v>
      </c>
      <c r="R150" s="5" t="s">
        <v>3583</v>
      </c>
      <c r="S150" s="6" t="s">
        <v>2345</v>
      </c>
      <c r="T150" s="5" t="s">
        <v>2346</v>
      </c>
      <c r="U150" s="6"/>
      <c r="V150" s="6" t="s">
        <v>2347</v>
      </c>
      <c r="W150" s="6" t="s">
        <v>1697</v>
      </c>
      <c r="X150" s="5" t="s">
        <v>228</v>
      </c>
      <c r="Y150" s="5" t="s">
        <v>2917</v>
      </c>
      <c r="Z150" s="5" t="str">
        <f t="shared" si="4"/>
        <v>High</v>
      </c>
      <c r="AA150" s="5" t="s">
        <v>1302</v>
      </c>
      <c r="AB150" s="6" t="s">
        <v>1355</v>
      </c>
      <c r="AC150" s="6" t="s">
        <v>99</v>
      </c>
      <c r="AD150" s="5" t="s">
        <v>2278</v>
      </c>
      <c r="AE150" s="5" t="s">
        <v>1720</v>
      </c>
      <c r="AF150" s="5" t="s">
        <v>1720</v>
      </c>
      <c r="AG150" s="5" t="s">
        <v>1720</v>
      </c>
      <c r="AH150" s="5" t="s">
        <v>1720</v>
      </c>
      <c r="AI150" s="6" t="str">
        <f t="shared" si="5"/>
        <v>No</v>
      </c>
      <c r="AJ150" s="6" t="s">
        <v>2298</v>
      </c>
      <c r="AK150" s="6" t="s">
        <v>94</v>
      </c>
      <c r="AL150" s="6">
        <f>MATCH(AA150,{"Low","Medium","High"},0)*MATCH(AB150,{"Low","Medium","High"},0)*INDEX({3,2,2,1,1},MATCH(X150,{"Core","Vertical extension","Differentiator","Future","Adjacent"},0))</f>
        <v>9</v>
      </c>
      <c r="AM150" s="5"/>
      <c r="AN150" s="5"/>
      <c r="AO150" s="5"/>
      <c r="AP150" s="5"/>
      <c r="AQ150" s="5"/>
      <c r="AR150" s="5" t="s">
        <v>3584</v>
      </c>
      <c r="AS150" s="5" t="s">
        <v>1462</v>
      </c>
      <c r="AT150" s="5" t="s">
        <v>2281</v>
      </c>
      <c r="AU150" s="6" t="s">
        <v>95</v>
      </c>
      <c r="AV150" s="6" t="s">
        <v>2784</v>
      </c>
      <c r="AW150" s="6" t="s">
        <v>2784</v>
      </c>
      <c r="AX150" s="6" t="s">
        <v>2284</v>
      </c>
      <c r="AY150" s="6" t="s">
        <v>2285</v>
      </c>
      <c r="AZ150" s="6"/>
      <c r="BA150" s="6"/>
      <c r="BB150" s="6"/>
      <c r="BC150" s="6" t="s">
        <v>127</v>
      </c>
      <c r="BD150" s="6" t="s">
        <v>127</v>
      </c>
      <c r="BE150" s="6" t="s">
        <v>1477</v>
      </c>
      <c r="BF150" s="6" t="s">
        <v>2286</v>
      </c>
      <c r="BG150" s="6" t="s">
        <v>3585</v>
      </c>
      <c r="BH150" s="6" t="s">
        <v>3586</v>
      </c>
    </row>
    <row r="151" spans="1:60" ht="32" customHeight="1" x14ac:dyDescent="0.35">
      <c r="A151" s="13" t="s">
        <v>3587</v>
      </c>
      <c r="B151" s="6" t="s">
        <v>2265</v>
      </c>
      <c r="C151" s="5" t="s">
        <v>1685</v>
      </c>
      <c r="D151" s="5" t="s">
        <v>2187</v>
      </c>
      <c r="E151" s="5" t="s">
        <v>3588</v>
      </c>
      <c r="F151" s="5" t="s">
        <v>3589</v>
      </c>
      <c r="G151" s="5" t="s">
        <v>2507</v>
      </c>
      <c r="H151" s="5" t="s">
        <v>3590</v>
      </c>
      <c r="I151" s="5" t="s">
        <v>3591</v>
      </c>
      <c r="J151" s="17" t="s">
        <v>162</v>
      </c>
      <c r="K151" s="17" t="s">
        <v>1477</v>
      </c>
      <c r="L151" s="5" t="s">
        <v>3592</v>
      </c>
      <c r="M151" s="6" t="s">
        <v>1493</v>
      </c>
      <c r="N151" s="6" t="s">
        <v>2167</v>
      </c>
      <c r="O151" s="6" t="s">
        <v>162</v>
      </c>
      <c r="P151" s="5" t="s">
        <v>2272</v>
      </c>
      <c r="Q151" s="17" t="s">
        <v>2273</v>
      </c>
      <c r="R151" s="5" t="s">
        <v>3593</v>
      </c>
      <c r="S151" s="6" t="s">
        <v>2345</v>
      </c>
      <c r="T151" s="5" t="s">
        <v>2346</v>
      </c>
      <c r="U151" s="6"/>
      <c r="V151" s="6" t="s">
        <v>2347</v>
      </c>
      <c r="W151" s="6" t="s">
        <v>1697</v>
      </c>
      <c r="X151" s="5" t="s">
        <v>228</v>
      </c>
      <c r="Y151" s="5" t="s">
        <v>2917</v>
      </c>
      <c r="Z151" s="5" t="str">
        <f t="shared" si="4"/>
        <v>High</v>
      </c>
      <c r="AA151" s="5" t="s">
        <v>1302</v>
      </c>
      <c r="AB151" s="6" t="s">
        <v>1355</v>
      </c>
      <c r="AC151" s="6" t="s">
        <v>135</v>
      </c>
      <c r="AD151" s="5" t="s">
        <v>2278</v>
      </c>
      <c r="AE151" s="5" t="s">
        <v>1720</v>
      </c>
      <c r="AF151" s="5" t="s">
        <v>1720</v>
      </c>
      <c r="AG151" s="5" t="s">
        <v>1720</v>
      </c>
      <c r="AH151" s="5" t="s">
        <v>1720</v>
      </c>
      <c r="AI151" s="6" t="str">
        <f t="shared" si="5"/>
        <v>No</v>
      </c>
      <c r="AJ151" s="6" t="s">
        <v>2298</v>
      </c>
      <c r="AK151" s="6" t="s">
        <v>162</v>
      </c>
      <c r="AL151" s="6">
        <f>MATCH(AA151,{"Low","Medium","High"},0)*MATCH(AB151,{"Low","Medium","High"},0)*INDEX({3,2,2,1,1},MATCH(X151,{"Core","Vertical extension","Differentiator","Future","Adjacent"},0))</f>
        <v>9</v>
      </c>
      <c r="AM151" s="5"/>
      <c r="AN151" s="5"/>
      <c r="AO151" s="5"/>
      <c r="AP151" s="5"/>
      <c r="AQ151" s="5"/>
      <c r="AR151" s="5"/>
      <c r="AS151" s="5"/>
      <c r="AT151" s="5"/>
      <c r="AU151" s="6" t="s">
        <v>2317</v>
      </c>
      <c r="AV151" s="6" t="s">
        <v>2784</v>
      </c>
      <c r="AW151" s="6" t="s">
        <v>2784</v>
      </c>
      <c r="AX151" s="6" t="s">
        <v>2284</v>
      </c>
      <c r="AY151" s="6" t="s">
        <v>2285</v>
      </c>
      <c r="AZ151" s="6"/>
      <c r="BA151" s="6" t="s">
        <v>2473</v>
      </c>
      <c r="BB151" s="6" t="s">
        <v>2474</v>
      </c>
      <c r="BC151" s="6" t="s">
        <v>127</v>
      </c>
      <c r="BD151" s="6" t="s">
        <v>127</v>
      </c>
      <c r="BE151" s="6" t="s">
        <v>1477</v>
      </c>
      <c r="BF151" s="6" t="s">
        <v>2286</v>
      </c>
      <c r="BG151" s="6" t="s">
        <v>3594</v>
      </c>
      <c r="BH151" s="6" t="s">
        <v>3595</v>
      </c>
    </row>
    <row r="152" spans="1:60" ht="32" customHeight="1" x14ac:dyDescent="0.35">
      <c r="A152" s="13" t="s">
        <v>3596</v>
      </c>
      <c r="B152" s="6" t="s">
        <v>2265</v>
      </c>
      <c r="C152" s="5" t="s">
        <v>1685</v>
      </c>
      <c r="D152" s="5" t="s">
        <v>2197</v>
      </c>
      <c r="E152" s="5" t="s">
        <v>3597</v>
      </c>
      <c r="F152" s="5" t="s">
        <v>1685</v>
      </c>
      <c r="G152" s="5" t="s">
        <v>3013</v>
      </c>
      <c r="H152" s="5" t="s">
        <v>3598</v>
      </c>
      <c r="I152" s="5" t="s">
        <v>3599</v>
      </c>
      <c r="J152" s="17" t="s">
        <v>162</v>
      </c>
      <c r="K152" s="17" t="s">
        <v>95</v>
      </c>
      <c r="L152" s="5" t="s">
        <v>3600</v>
      </c>
      <c r="M152" s="6" t="s">
        <v>1493</v>
      </c>
      <c r="N152" s="6" t="s">
        <v>2167</v>
      </c>
      <c r="O152" s="6" t="s">
        <v>162</v>
      </c>
      <c r="P152" s="5" t="s">
        <v>2272</v>
      </c>
      <c r="Q152" s="17" t="s">
        <v>95</v>
      </c>
      <c r="R152" s="5" t="s">
        <v>3601</v>
      </c>
      <c r="S152" s="6" t="s">
        <v>2861</v>
      </c>
      <c r="T152" s="5" t="s">
        <v>2862</v>
      </c>
      <c r="U152" s="6"/>
      <c r="V152" s="6" t="s">
        <v>2347</v>
      </c>
      <c r="W152" s="6" t="s">
        <v>1697</v>
      </c>
      <c r="X152" s="5" t="s">
        <v>228</v>
      </c>
      <c r="Y152" s="5" t="s">
        <v>2917</v>
      </c>
      <c r="Z152" s="5" t="str">
        <f t="shared" si="4"/>
        <v>Medium</v>
      </c>
      <c r="AA152" s="5" t="s">
        <v>1319</v>
      </c>
      <c r="AB152" s="6" t="s">
        <v>1355</v>
      </c>
      <c r="AC152" s="6" t="s">
        <v>135</v>
      </c>
      <c r="AD152" s="5" t="s">
        <v>95</v>
      </c>
      <c r="AE152" s="5" t="s">
        <v>1720</v>
      </c>
      <c r="AF152" s="5" t="s">
        <v>1720</v>
      </c>
      <c r="AG152" s="5" t="s">
        <v>1720</v>
      </c>
      <c r="AH152" s="5" t="s">
        <v>1720</v>
      </c>
      <c r="AI152" s="6" t="str">
        <f t="shared" si="5"/>
        <v>No</v>
      </c>
      <c r="AJ152" s="6" t="s">
        <v>229</v>
      </c>
      <c r="AK152" s="6" t="s">
        <v>162</v>
      </c>
      <c r="AL152" s="6">
        <f>MATCH(AA152,{"Low","Medium","High"},0)*MATCH(AB152,{"Low","Medium","High"},0)*INDEX({3,2,2,1,1},MATCH(X152,{"Core","Vertical extension","Differentiator","Future","Adjacent"},0))</f>
        <v>6</v>
      </c>
      <c r="AM152" s="5"/>
      <c r="AN152" s="5"/>
      <c r="AO152" s="5"/>
      <c r="AP152" s="5"/>
      <c r="AQ152" s="5"/>
      <c r="AR152" s="5"/>
      <c r="AS152" s="5"/>
      <c r="AT152" s="5"/>
      <c r="AU152" s="6" t="s">
        <v>2317</v>
      </c>
      <c r="AV152" s="6" t="s">
        <v>2784</v>
      </c>
      <c r="AW152" s="6" t="s">
        <v>2784</v>
      </c>
      <c r="AX152" s="6" t="s">
        <v>2284</v>
      </c>
      <c r="AY152" s="6" t="s">
        <v>2285</v>
      </c>
      <c r="AZ152" s="6"/>
      <c r="BA152" s="6" t="s">
        <v>2863</v>
      </c>
      <c r="BB152" s="6" t="s">
        <v>2864</v>
      </c>
      <c r="BC152" s="6" t="s">
        <v>127</v>
      </c>
      <c r="BD152" s="6" t="s">
        <v>127</v>
      </c>
      <c r="BE152" s="6" t="s">
        <v>1477</v>
      </c>
      <c r="BF152" s="6" t="s">
        <v>95</v>
      </c>
      <c r="BG152" s="6" t="s">
        <v>3602</v>
      </c>
      <c r="BH152" s="6" t="s">
        <v>3603</v>
      </c>
    </row>
    <row r="153" spans="1:60" ht="32" customHeight="1" x14ac:dyDescent="0.35">
      <c r="A153" s="13" t="s">
        <v>264</v>
      </c>
      <c r="B153" s="6" t="s">
        <v>2265</v>
      </c>
      <c r="C153" s="5" t="s">
        <v>1685</v>
      </c>
      <c r="D153" s="5" t="s">
        <v>2187</v>
      </c>
      <c r="E153" s="5" t="s">
        <v>265</v>
      </c>
      <c r="F153" s="5" t="s">
        <v>1685</v>
      </c>
      <c r="G153" s="5" t="s">
        <v>3604</v>
      </c>
      <c r="H153" s="5" t="s">
        <v>3605</v>
      </c>
      <c r="I153" s="5" t="s">
        <v>3606</v>
      </c>
      <c r="J153" s="16" t="s">
        <v>94</v>
      </c>
      <c r="K153" s="17" t="s">
        <v>95</v>
      </c>
      <c r="L153" s="5" t="s">
        <v>3607</v>
      </c>
      <c r="M153" s="6" t="s">
        <v>1493</v>
      </c>
      <c r="N153" s="6" t="s">
        <v>2167</v>
      </c>
      <c r="O153" s="6" t="s">
        <v>94</v>
      </c>
      <c r="P153" s="5" t="s">
        <v>2272</v>
      </c>
      <c r="Q153" s="17" t="s">
        <v>95</v>
      </c>
      <c r="R153" s="5" t="s">
        <v>3608</v>
      </c>
      <c r="S153" s="6" t="s">
        <v>2345</v>
      </c>
      <c r="T153" s="5" t="s">
        <v>2346</v>
      </c>
      <c r="U153" s="6"/>
      <c r="V153" s="6" t="s">
        <v>2347</v>
      </c>
      <c r="W153" s="6" t="s">
        <v>1697</v>
      </c>
      <c r="X153" s="5" t="s">
        <v>228</v>
      </c>
      <c r="Y153" s="5" t="s">
        <v>2917</v>
      </c>
      <c r="Z153" s="5" t="str">
        <f t="shared" si="4"/>
        <v>High</v>
      </c>
      <c r="AA153" s="5" t="s">
        <v>1302</v>
      </c>
      <c r="AB153" s="6" t="s">
        <v>1355</v>
      </c>
      <c r="AC153" s="6" t="s">
        <v>99</v>
      </c>
      <c r="AD153" s="5" t="s">
        <v>95</v>
      </c>
      <c r="AE153" s="5" t="s">
        <v>1720</v>
      </c>
      <c r="AF153" s="5" t="s">
        <v>1720</v>
      </c>
      <c r="AG153" s="5" t="s">
        <v>1720</v>
      </c>
      <c r="AH153" s="5" t="s">
        <v>1720</v>
      </c>
      <c r="AI153" s="6" t="str">
        <f t="shared" si="5"/>
        <v>No</v>
      </c>
      <c r="AJ153" s="6" t="s">
        <v>2279</v>
      </c>
      <c r="AK153" s="6" t="s">
        <v>94</v>
      </c>
      <c r="AL153" s="6">
        <f>MATCH(AA153,{"Low","Medium","High"},0)*MATCH(AB153,{"Low","Medium","High"},0)*INDEX({3,2,2,1,1},MATCH(X153,{"Core","Vertical extension","Differentiator","Future","Adjacent"},0))</f>
        <v>9</v>
      </c>
      <c r="AM153" s="5"/>
      <c r="AN153" s="5"/>
      <c r="AO153" s="5">
        <v>2</v>
      </c>
      <c r="AP153" s="5"/>
      <c r="AQ153" s="5"/>
      <c r="AR153" s="5" t="s">
        <v>3609</v>
      </c>
      <c r="AS153" s="51">
        <v>46300</v>
      </c>
      <c r="AT153" s="5" t="s">
        <v>2760</v>
      </c>
      <c r="AU153" s="6" t="s">
        <v>2282</v>
      </c>
      <c r="AV153" s="6" t="s">
        <v>2784</v>
      </c>
      <c r="AW153" s="6" t="s">
        <v>2784</v>
      </c>
      <c r="AX153" s="6" t="s">
        <v>2284</v>
      </c>
      <c r="AY153" s="6" t="s">
        <v>2285</v>
      </c>
      <c r="AZ153" s="6"/>
      <c r="BA153" s="6" t="s">
        <v>3610</v>
      </c>
      <c r="BB153" s="6" t="s">
        <v>2474</v>
      </c>
      <c r="BC153" s="6" t="s">
        <v>127</v>
      </c>
      <c r="BD153" s="6" t="s">
        <v>127</v>
      </c>
      <c r="BE153" s="6" t="s">
        <v>1477</v>
      </c>
      <c r="BF153" s="6" t="s">
        <v>95</v>
      </c>
      <c r="BG153" s="6" t="s">
        <v>3611</v>
      </c>
      <c r="BH153" s="6" t="s">
        <v>266</v>
      </c>
    </row>
    <row r="154" spans="1:60" ht="32" customHeight="1" x14ac:dyDescent="0.35">
      <c r="A154" s="13" t="s">
        <v>1681</v>
      </c>
      <c r="B154" s="6" t="s">
        <v>2265</v>
      </c>
      <c r="C154" s="5" t="s">
        <v>1685</v>
      </c>
      <c r="D154" s="5" t="s">
        <v>2187</v>
      </c>
      <c r="E154" s="5" t="s">
        <v>1683</v>
      </c>
      <c r="F154" s="5" t="s">
        <v>1685</v>
      </c>
      <c r="G154" s="5" t="s">
        <v>3612</v>
      </c>
      <c r="H154" s="5" t="s">
        <v>3613</v>
      </c>
      <c r="I154" s="5" t="s">
        <v>3614</v>
      </c>
      <c r="J154" s="17" t="s">
        <v>162</v>
      </c>
      <c r="K154" s="17" t="s">
        <v>1477</v>
      </c>
      <c r="L154" s="5" t="s">
        <v>3615</v>
      </c>
      <c r="M154" s="6" t="s">
        <v>1493</v>
      </c>
      <c r="N154" s="6" t="s">
        <v>2167</v>
      </c>
      <c r="O154" s="6" t="s">
        <v>162</v>
      </c>
      <c r="P154" s="5" t="s">
        <v>2272</v>
      </c>
      <c r="Q154" s="18" t="s">
        <v>1482</v>
      </c>
      <c r="R154" s="5" t="s">
        <v>2947</v>
      </c>
      <c r="S154" s="6" t="s">
        <v>2345</v>
      </c>
      <c r="T154" s="5" t="s">
        <v>2346</v>
      </c>
      <c r="U154" s="6"/>
      <c r="V154" s="6" t="s">
        <v>2347</v>
      </c>
      <c r="W154" s="6" t="s">
        <v>1697</v>
      </c>
      <c r="X154" s="5" t="s">
        <v>228</v>
      </c>
      <c r="Y154" s="5" t="s">
        <v>2917</v>
      </c>
      <c r="Z154" s="5" t="str">
        <f t="shared" si="4"/>
        <v>High</v>
      </c>
      <c r="AA154" s="5" t="s">
        <v>1302</v>
      </c>
      <c r="AB154" s="6" t="s">
        <v>1355</v>
      </c>
      <c r="AC154" s="6" t="s">
        <v>135</v>
      </c>
      <c r="AD154" s="5" t="s">
        <v>2278</v>
      </c>
      <c r="AE154" s="5" t="s">
        <v>1720</v>
      </c>
      <c r="AF154" s="5" t="s">
        <v>1720</v>
      </c>
      <c r="AG154" s="5" t="s">
        <v>1720</v>
      </c>
      <c r="AH154" s="5" t="s">
        <v>1720</v>
      </c>
      <c r="AI154" s="6" t="str">
        <f t="shared" si="5"/>
        <v>No</v>
      </c>
      <c r="AJ154" s="6" t="s">
        <v>2298</v>
      </c>
      <c r="AK154" s="6" t="s">
        <v>162</v>
      </c>
      <c r="AL154" s="6">
        <f>MATCH(AA154,{"Low","Medium","High"},0)*MATCH(AB154,{"Low","Medium","High"},0)*INDEX({3,2,2,1,1},MATCH(X154,{"Core","Vertical extension","Differentiator","Future","Adjacent"},0))</f>
        <v>9</v>
      </c>
      <c r="AM154" s="5"/>
      <c r="AN154" s="5"/>
      <c r="AO154" s="5"/>
      <c r="AP154" s="5"/>
      <c r="AQ154" s="5"/>
      <c r="AR154" s="5"/>
      <c r="AS154" s="5"/>
      <c r="AT154" s="5"/>
      <c r="AU154" s="6" t="s">
        <v>2317</v>
      </c>
      <c r="AV154" s="6" t="s">
        <v>2784</v>
      </c>
      <c r="AW154" s="6" t="s">
        <v>2784</v>
      </c>
      <c r="AX154" s="6" t="s">
        <v>2284</v>
      </c>
      <c r="AY154" s="6" t="s">
        <v>2285</v>
      </c>
      <c r="AZ154" s="6" t="s">
        <v>3616</v>
      </c>
      <c r="BA154" s="6"/>
      <c r="BB154" s="6"/>
      <c r="BC154" s="6" t="s">
        <v>127</v>
      </c>
      <c r="BD154" s="6" t="s">
        <v>127</v>
      </c>
      <c r="BE154" s="6"/>
      <c r="BF154" s="6"/>
      <c r="BG154" s="6"/>
      <c r="BH154" s="6"/>
    </row>
    <row r="155" spans="1:60" ht="32" customHeight="1" x14ac:dyDescent="0.35">
      <c r="A155" s="13" t="s">
        <v>1687</v>
      </c>
      <c r="B155" s="6" t="s">
        <v>2265</v>
      </c>
      <c r="C155" s="5" t="s">
        <v>1685</v>
      </c>
      <c r="D155" s="5" t="s">
        <v>2199</v>
      </c>
      <c r="E155" s="5" t="s">
        <v>1689</v>
      </c>
      <c r="F155" s="5" t="s">
        <v>1685</v>
      </c>
      <c r="G155" s="5" t="s">
        <v>3617</v>
      </c>
      <c r="H155" s="5" t="s">
        <v>3618</v>
      </c>
      <c r="I155" s="5" t="s">
        <v>3619</v>
      </c>
      <c r="J155" s="17" t="s">
        <v>162</v>
      </c>
      <c r="K155" s="17" t="s">
        <v>1477</v>
      </c>
      <c r="L155" s="5" t="s">
        <v>3620</v>
      </c>
      <c r="M155" s="6" t="s">
        <v>1493</v>
      </c>
      <c r="N155" s="6" t="s">
        <v>2167</v>
      </c>
      <c r="O155" s="6" t="s">
        <v>162</v>
      </c>
      <c r="P155" s="5" t="s">
        <v>2272</v>
      </c>
      <c r="Q155" s="18" t="s">
        <v>1482</v>
      </c>
      <c r="R155" s="5" t="s">
        <v>2701</v>
      </c>
      <c r="S155" s="6" t="s">
        <v>2416</v>
      </c>
      <c r="T155" s="5" t="s">
        <v>2417</v>
      </c>
      <c r="U155" s="6"/>
      <c r="V155" s="6" t="s">
        <v>2277</v>
      </c>
      <c r="W155" s="6" t="s">
        <v>1697</v>
      </c>
      <c r="X155" s="5" t="s">
        <v>228</v>
      </c>
      <c r="Y155" s="5" t="s">
        <v>2917</v>
      </c>
      <c r="Z155" s="5" t="str">
        <f t="shared" si="4"/>
        <v>Medium</v>
      </c>
      <c r="AA155" s="5" t="s">
        <v>1319</v>
      </c>
      <c r="AB155" s="6" t="s">
        <v>1355</v>
      </c>
      <c r="AC155" s="6" t="s">
        <v>135</v>
      </c>
      <c r="AD155" s="5" t="s">
        <v>2278</v>
      </c>
      <c r="AE155" s="5" t="s">
        <v>1720</v>
      </c>
      <c r="AF155" s="5" t="s">
        <v>1720</v>
      </c>
      <c r="AG155" s="5" t="s">
        <v>1720</v>
      </c>
      <c r="AH155" s="5" t="s">
        <v>1720</v>
      </c>
      <c r="AI155" s="6" t="str">
        <f t="shared" si="5"/>
        <v>No</v>
      </c>
      <c r="AJ155" s="6" t="s">
        <v>2298</v>
      </c>
      <c r="AK155" s="6" t="s">
        <v>162</v>
      </c>
      <c r="AL155" s="6">
        <f>MATCH(AA155,{"Low","Medium","High"},0)*MATCH(AB155,{"Low","Medium","High"},0)*INDEX({3,2,2,1,1},MATCH(X155,{"Core","Vertical extension","Differentiator","Future","Adjacent"},0))</f>
        <v>6</v>
      </c>
      <c r="AM155" s="5"/>
      <c r="AN155" s="5"/>
      <c r="AO155" s="5"/>
      <c r="AP155" s="5"/>
      <c r="AQ155" s="5"/>
      <c r="AR155" s="5"/>
      <c r="AS155" s="5"/>
      <c r="AT155" s="5"/>
      <c r="AU155" s="6" t="s">
        <v>2317</v>
      </c>
      <c r="AV155" s="6" t="s">
        <v>2784</v>
      </c>
      <c r="AW155" s="6" t="s">
        <v>2784</v>
      </c>
      <c r="AX155" s="6" t="s">
        <v>2284</v>
      </c>
      <c r="AY155" s="6" t="s">
        <v>2285</v>
      </c>
      <c r="AZ155" s="6" t="s">
        <v>3621</v>
      </c>
      <c r="BA155" s="6" t="s">
        <v>3622</v>
      </c>
      <c r="BB155" s="6" t="s">
        <v>2349</v>
      </c>
      <c r="BC155" s="6" t="s">
        <v>127</v>
      </c>
      <c r="BD155" s="6" t="s">
        <v>127</v>
      </c>
      <c r="BE155" s="6"/>
      <c r="BF155" s="6"/>
      <c r="BG155" s="6"/>
      <c r="BH155" s="6"/>
    </row>
    <row r="156" spans="1:60" ht="32" customHeight="1" x14ac:dyDescent="0.35">
      <c r="A156" s="13" t="s">
        <v>3623</v>
      </c>
      <c r="B156" s="6" t="s">
        <v>2265</v>
      </c>
      <c r="C156" s="5" t="s">
        <v>1685</v>
      </c>
      <c r="D156" s="5" t="s">
        <v>2187</v>
      </c>
      <c r="E156" s="5" t="s">
        <v>3624</v>
      </c>
      <c r="F156" s="5" t="s">
        <v>1685</v>
      </c>
      <c r="G156" s="5" t="s">
        <v>3625</v>
      </c>
      <c r="H156" s="5" t="s">
        <v>3626</v>
      </c>
      <c r="I156" s="5" t="s">
        <v>3627</v>
      </c>
      <c r="J156" s="17" t="s">
        <v>162</v>
      </c>
      <c r="K156" s="17" t="s">
        <v>95</v>
      </c>
      <c r="L156" s="5" t="s">
        <v>3628</v>
      </c>
      <c r="M156" s="6" t="s">
        <v>1493</v>
      </c>
      <c r="N156" s="6" t="s">
        <v>2167</v>
      </c>
      <c r="O156" s="6" t="s">
        <v>162</v>
      </c>
      <c r="P156" s="5" t="s">
        <v>2272</v>
      </c>
      <c r="Q156" s="17" t="s">
        <v>95</v>
      </c>
      <c r="R156" s="5" t="s">
        <v>3629</v>
      </c>
      <c r="S156" s="6" t="s">
        <v>2345</v>
      </c>
      <c r="T156" s="5" t="s">
        <v>2346</v>
      </c>
      <c r="U156" s="6"/>
      <c r="V156" s="6" t="s">
        <v>2347</v>
      </c>
      <c r="W156" s="6" t="s">
        <v>1697</v>
      </c>
      <c r="X156" s="5" t="s">
        <v>228</v>
      </c>
      <c r="Y156" s="5" t="s">
        <v>2917</v>
      </c>
      <c r="Z156" s="5" t="str">
        <f t="shared" si="4"/>
        <v>High</v>
      </c>
      <c r="AA156" s="5" t="s">
        <v>1302</v>
      </c>
      <c r="AB156" s="6" t="s">
        <v>1355</v>
      </c>
      <c r="AC156" s="6" t="s">
        <v>135</v>
      </c>
      <c r="AD156" s="5" t="s">
        <v>95</v>
      </c>
      <c r="AE156" s="5" t="s">
        <v>1720</v>
      </c>
      <c r="AF156" s="5" t="s">
        <v>1720</v>
      </c>
      <c r="AG156" s="5" t="s">
        <v>1720</v>
      </c>
      <c r="AH156" s="5" t="s">
        <v>1720</v>
      </c>
      <c r="AI156" s="6" t="str">
        <f t="shared" si="5"/>
        <v>No</v>
      </c>
      <c r="AJ156" s="6" t="s">
        <v>229</v>
      </c>
      <c r="AK156" s="6" t="s">
        <v>162</v>
      </c>
      <c r="AL156" s="6">
        <f>MATCH(AA156,{"Low","Medium","High"},0)*MATCH(AB156,{"Low","Medium","High"},0)*INDEX({3,2,2,1,1},MATCH(X156,{"Core","Vertical extension","Differentiator","Future","Adjacent"},0))</f>
        <v>9</v>
      </c>
      <c r="AM156" s="5"/>
      <c r="AN156" s="5"/>
      <c r="AO156" s="5"/>
      <c r="AP156" s="5"/>
      <c r="AQ156" s="5"/>
      <c r="AR156" s="5"/>
      <c r="AS156" s="5"/>
      <c r="AT156" s="5"/>
      <c r="AU156" s="6" t="s">
        <v>2317</v>
      </c>
      <c r="AV156" s="6" t="s">
        <v>2784</v>
      </c>
      <c r="AW156" s="6" t="s">
        <v>2784</v>
      </c>
      <c r="AX156" s="6" t="s">
        <v>2284</v>
      </c>
      <c r="AY156" s="6" t="s">
        <v>2285</v>
      </c>
      <c r="AZ156" s="6"/>
      <c r="BA156" s="6" t="s">
        <v>2961</v>
      </c>
      <c r="BB156" s="6" t="s">
        <v>2962</v>
      </c>
      <c r="BC156" s="6" t="s">
        <v>127</v>
      </c>
      <c r="BD156" s="6" t="s">
        <v>127</v>
      </c>
      <c r="BE156" s="6" t="s">
        <v>1477</v>
      </c>
      <c r="BF156" s="6" t="s">
        <v>95</v>
      </c>
      <c r="BG156" s="6" t="s">
        <v>3630</v>
      </c>
      <c r="BH156" s="6" t="s">
        <v>3631</v>
      </c>
    </row>
    <row r="157" spans="1:60" ht="32" customHeight="1" x14ac:dyDescent="0.35">
      <c r="A157" s="13" t="s">
        <v>3632</v>
      </c>
      <c r="B157" s="6" t="s">
        <v>2265</v>
      </c>
      <c r="C157" s="5" t="s">
        <v>1685</v>
      </c>
      <c r="D157" s="5" t="s">
        <v>2187</v>
      </c>
      <c r="E157" s="5" t="s">
        <v>3633</v>
      </c>
      <c r="F157" s="5" t="s">
        <v>1685</v>
      </c>
      <c r="G157" s="5" t="s">
        <v>1824</v>
      </c>
      <c r="H157" s="5" t="s">
        <v>3634</v>
      </c>
      <c r="I157" s="5" t="s">
        <v>3635</v>
      </c>
      <c r="J157" s="17" t="s">
        <v>162</v>
      </c>
      <c r="K157" s="17" t="s">
        <v>1477</v>
      </c>
      <c r="L157" s="5" t="s">
        <v>3636</v>
      </c>
      <c r="M157" s="6" t="s">
        <v>1493</v>
      </c>
      <c r="N157" s="6" t="s">
        <v>2167</v>
      </c>
      <c r="O157" s="6" t="s">
        <v>162</v>
      </c>
      <c r="P157" s="5" t="s">
        <v>2272</v>
      </c>
      <c r="Q157" s="18" t="s">
        <v>1482</v>
      </c>
      <c r="R157" s="5" t="s">
        <v>2970</v>
      </c>
      <c r="S157" s="6" t="s">
        <v>2345</v>
      </c>
      <c r="T157" s="5" t="s">
        <v>2346</v>
      </c>
      <c r="U157" s="6"/>
      <c r="V157" s="6" t="s">
        <v>2347</v>
      </c>
      <c r="W157" s="6" t="s">
        <v>1697</v>
      </c>
      <c r="X157" s="5" t="s">
        <v>228</v>
      </c>
      <c r="Y157" s="5" t="s">
        <v>2917</v>
      </c>
      <c r="Z157" s="5" t="str">
        <f t="shared" si="4"/>
        <v>High</v>
      </c>
      <c r="AA157" s="5" t="s">
        <v>1302</v>
      </c>
      <c r="AB157" s="6" t="s">
        <v>1355</v>
      </c>
      <c r="AC157" s="6" t="s">
        <v>135</v>
      </c>
      <c r="AD157" s="5" t="s">
        <v>2278</v>
      </c>
      <c r="AE157" s="5" t="s">
        <v>1720</v>
      </c>
      <c r="AF157" s="5" t="s">
        <v>1720</v>
      </c>
      <c r="AG157" s="5" t="s">
        <v>1720</v>
      </c>
      <c r="AH157" s="5" t="s">
        <v>1720</v>
      </c>
      <c r="AI157" s="6" t="str">
        <f t="shared" si="5"/>
        <v>No</v>
      </c>
      <c r="AJ157" s="6" t="s">
        <v>2298</v>
      </c>
      <c r="AK157" s="6" t="s">
        <v>162</v>
      </c>
      <c r="AL157" s="6">
        <f>MATCH(AA157,{"Low","Medium","High"},0)*MATCH(AB157,{"Low","Medium","High"},0)*INDEX({3,2,2,1,1},MATCH(X157,{"Core","Vertical extension","Differentiator","Future","Adjacent"},0))</f>
        <v>9</v>
      </c>
      <c r="AM157" s="5"/>
      <c r="AN157" s="5"/>
      <c r="AO157" s="5"/>
      <c r="AP157" s="5"/>
      <c r="AQ157" s="5"/>
      <c r="AR157" s="5"/>
      <c r="AS157" s="5"/>
      <c r="AT157" s="5"/>
      <c r="AU157" s="6" t="s">
        <v>2317</v>
      </c>
      <c r="AV157" s="6" t="s">
        <v>2784</v>
      </c>
      <c r="AW157" s="6" t="s">
        <v>2784</v>
      </c>
      <c r="AX157" s="6" t="s">
        <v>2284</v>
      </c>
      <c r="AY157" s="6" t="s">
        <v>2285</v>
      </c>
      <c r="AZ157" s="6"/>
      <c r="BA157" s="6" t="s">
        <v>2961</v>
      </c>
      <c r="BB157" s="6" t="s">
        <v>2962</v>
      </c>
      <c r="BC157" s="6" t="s">
        <v>127</v>
      </c>
      <c r="BD157" s="6" t="s">
        <v>127</v>
      </c>
      <c r="BE157" s="6"/>
      <c r="BF157" s="6"/>
      <c r="BG157" s="6"/>
      <c r="BH157" s="6"/>
    </row>
    <row r="158" spans="1:60" ht="32" customHeight="1" x14ac:dyDescent="0.35">
      <c r="A158" s="13" t="s">
        <v>3637</v>
      </c>
      <c r="B158" s="6" t="s">
        <v>2265</v>
      </c>
      <c r="C158" s="5" t="s">
        <v>1685</v>
      </c>
      <c r="D158" s="5" t="s">
        <v>2187</v>
      </c>
      <c r="E158" s="5" t="s">
        <v>3638</v>
      </c>
      <c r="F158" s="5" t="s">
        <v>1685</v>
      </c>
      <c r="G158" s="5" t="s">
        <v>3639</v>
      </c>
      <c r="H158" s="5" t="s">
        <v>3640</v>
      </c>
      <c r="I158" s="5" t="s">
        <v>3641</v>
      </c>
      <c r="J158" s="17" t="s">
        <v>162</v>
      </c>
      <c r="K158" s="17" t="s">
        <v>95</v>
      </c>
      <c r="L158" s="5" t="s">
        <v>3642</v>
      </c>
      <c r="M158" s="6" t="s">
        <v>1493</v>
      </c>
      <c r="N158" s="6" t="s">
        <v>2167</v>
      </c>
      <c r="O158" s="6" t="s">
        <v>162</v>
      </c>
      <c r="P158" s="5" t="s">
        <v>2272</v>
      </c>
      <c r="Q158" s="17" t="s">
        <v>95</v>
      </c>
      <c r="R158" s="5" t="s">
        <v>3643</v>
      </c>
      <c r="S158" s="6" t="s">
        <v>2345</v>
      </c>
      <c r="T158" s="5" t="s">
        <v>2346</v>
      </c>
      <c r="U158" s="6"/>
      <c r="V158" s="6" t="s">
        <v>2347</v>
      </c>
      <c r="W158" s="6" t="s">
        <v>1697</v>
      </c>
      <c r="X158" s="5" t="s">
        <v>228</v>
      </c>
      <c r="Y158" s="5" t="s">
        <v>2917</v>
      </c>
      <c r="Z158" s="5" t="str">
        <f t="shared" si="4"/>
        <v>High</v>
      </c>
      <c r="AA158" s="5" t="s">
        <v>1302</v>
      </c>
      <c r="AB158" s="6" t="s">
        <v>1355</v>
      </c>
      <c r="AC158" s="6" t="s">
        <v>135</v>
      </c>
      <c r="AD158" s="5" t="s">
        <v>95</v>
      </c>
      <c r="AE158" s="5" t="s">
        <v>1720</v>
      </c>
      <c r="AF158" s="5" t="s">
        <v>1720</v>
      </c>
      <c r="AG158" s="5" t="s">
        <v>1720</v>
      </c>
      <c r="AH158" s="5" t="s">
        <v>1720</v>
      </c>
      <c r="AI158" s="6" t="str">
        <f t="shared" si="5"/>
        <v>No</v>
      </c>
      <c r="AJ158" s="6" t="s">
        <v>229</v>
      </c>
      <c r="AK158" s="6" t="s">
        <v>162</v>
      </c>
      <c r="AL158" s="6">
        <f>MATCH(AA158,{"Low","Medium","High"},0)*MATCH(AB158,{"Low","Medium","High"},0)*INDEX({3,2,2,1,1},MATCH(X158,{"Core","Vertical extension","Differentiator","Future","Adjacent"},0))</f>
        <v>9</v>
      </c>
      <c r="AM158" s="5"/>
      <c r="AN158" s="5"/>
      <c r="AO158" s="5"/>
      <c r="AP158" s="5"/>
      <c r="AQ158" s="5"/>
      <c r="AR158" s="5"/>
      <c r="AS158" s="5"/>
      <c r="AT158" s="5"/>
      <c r="AU158" s="6" t="s">
        <v>2317</v>
      </c>
      <c r="AV158" s="6" t="s">
        <v>2784</v>
      </c>
      <c r="AW158" s="6" t="s">
        <v>2784</v>
      </c>
      <c r="AX158" s="6" t="s">
        <v>2284</v>
      </c>
      <c r="AY158" s="6" t="s">
        <v>2285</v>
      </c>
      <c r="AZ158" s="6"/>
      <c r="BA158" s="6"/>
      <c r="BB158" s="6"/>
      <c r="BC158" s="6" t="s">
        <v>127</v>
      </c>
      <c r="BD158" s="6" t="s">
        <v>127</v>
      </c>
      <c r="BE158" s="6" t="s">
        <v>1477</v>
      </c>
      <c r="BF158" s="6" t="s">
        <v>95</v>
      </c>
      <c r="BG158" s="6" t="s">
        <v>3644</v>
      </c>
      <c r="BH158" s="6" t="s">
        <v>3645</v>
      </c>
    </row>
    <row r="159" spans="1:60" ht="32" customHeight="1" x14ac:dyDescent="0.35">
      <c r="A159" s="13" t="s">
        <v>3646</v>
      </c>
      <c r="B159" s="6" t="s">
        <v>2265</v>
      </c>
      <c r="C159" s="5" t="s">
        <v>1685</v>
      </c>
      <c r="D159" s="5" t="s">
        <v>2187</v>
      </c>
      <c r="E159" s="5" t="s">
        <v>3647</v>
      </c>
      <c r="F159" s="5" t="s">
        <v>1685</v>
      </c>
      <c r="G159" s="5" t="s">
        <v>2939</v>
      </c>
      <c r="H159" s="5" t="s">
        <v>3648</v>
      </c>
      <c r="I159" s="5" t="s">
        <v>3649</v>
      </c>
      <c r="J159" s="16" t="s">
        <v>94</v>
      </c>
      <c r="K159" s="17" t="s">
        <v>1477</v>
      </c>
      <c r="L159" s="5" t="s">
        <v>3650</v>
      </c>
      <c r="M159" s="6" t="s">
        <v>1493</v>
      </c>
      <c r="N159" s="6" t="s">
        <v>2167</v>
      </c>
      <c r="O159" s="6" t="s">
        <v>94</v>
      </c>
      <c r="P159" s="5" t="s">
        <v>2272</v>
      </c>
      <c r="Q159" s="17" t="s">
        <v>2273</v>
      </c>
      <c r="R159" s="5" t="s">
        <v>3651</v>
      </c>
      <c r="S159" s="6" t="s">
        <v>2345</v>
      </c>
      <c r="T159" s="5" t="s">
        <v>2346</v>
      </c>
      <c r="U159" s="6"/>
      <c r="V159" s="6" t="s">
        <v>2347</v>
      </c>
      <c r="W159" s="6" t="s">
        <v>1697</v>
      </c>
      <c r="X159" s="5" t="s">
        <v>228</v>
      </c>
      <c r="Y159" s="5" t="s">
        <v>2917</v>
      </c>
      <c r="Z159" s="5" t="str">
        <f t="shared" si="4"/>
        <v>High</v>
      </c>
      <c r="AA159" s="5" t="s">
        <v>1302</v>
      </c>
      <c r="AB159" s="6" t="s">
        <v>1355</v>
      </c>
      <c r="AC159" s="6" t="s">
        <v>99</v>
      </c>
      <c r="AD159" s="5" t="s">
        <v>2278</v>
      </c>
      <c r="AE159" s="5" t="s">
        <v>1720</v>
      </c>
      <c r="AF159" s="5" t="s">
        <v>1720</v>
      </c>
      <c r="AG159" s="5" t="s">
        <v>1720</v>
      </c>
      <c r="AH159" s="5" t="s">
        <v>1720</v>
      </c>
      <c r="AI159" s="6" t="str">
        <f t="shared" si="5"/>
        <v>No</v>
      </c>
      <c r="AJ159" s="6" t="s">
        <v>2279</v>
      </c>
      <c r="AK159" s="6" t="s">
        <v>94</v>
      </c>
      <c r="AL159" s="6">
        <f>MATCH(AA159,{"Low","Medium","High"},0)*MATCH(AB159,{"Low","Medium","High"},0)*INDEX({3,2,2,1,1},MATCH(X159,{"Core","Vertical extension","Differentiator","Future","Adjacent"},0))</f>
        <v>9</v>
      </c>
      <c r="AM159" s="5"/>
      <c r="AN159" s="5"/>
      <c r="AO159" s="5"/>
      <c r="AP159" s="5"/>
      <c r="AQ159" s="5"/>
      <c r="AR159" s="5" t="s">
        <v>3652</v>
      </c>
      <c r="AS159" s="5" t="s">
        <v>1462</v>
      </c>
      <c r="AT159" s="5" t="s">
        <v>2281</v>
      </c>
      <c r="AU159" s="6" t="s">
        <v>2282</v>
      </c>
      <c r="AV159" s="6" t="s">
        <v>2784</v>
      </c>
      <c r="AW159" s="6" t="s">
        <v>2784</v>
      </c>
      <c r="AX159" s="6" t="s">
        <v>2284</v>
      </c>
      <c r="AY159" s="6" t="s">
        <v>2285</v>
      </c>
      <c r="AZ159" s="6"/>
      <c r="BA159" s="6"/>
      <c r="BB159" s="6"/>
      <c r="BC159" s="6" t="s">
        <v>127</v>
      </c>
      <c r="BD159" s="6" t="s">
        <v>127</v>
      </c>
      <c r="BE159" s="6" t="s">
        <v>1477</v>
      </c>
      <c r="BF159" s="6" t="s">
        <v>2286</v>
      </c>
      <c r="BG159" s="6" t="s">
        <v>3653</v>
      </c>
      <c r="BH159" s="6" t="s">
        <v>3654</v>
      </c>
    </row>
    <row r="160" spans="1:60" ht="32" customHeight="1" x14ac:dyDescent="0.35">
      <c r="A160" s="13" t="s">
        <v>3655</v>
      </c>
      <c r="B160" s="6" t="s">
        <v>2265</v>
      </c>
      <c r="C160" s="5" t="s">
        <v>1685</v>
      </c>
      <c r="D160" s="5" t="s">
        <v>2187</v>
      </c>
      <c r="E160" s="5" t="s">
        <v>3656</v>
      </c>
      <c r="F160" s="5" t="s">
        <v>1685</v>
      </c>
      <c r="G160" s="5" t="s">
        <v>3657</v>
      </c>
      <c r="H160" s="5" t="s">
        <v>3658</v>
      </c>
      <c r="I160" s="5" t="s">
        <v>3659</v>
      </c>
      <c r="J160" s="19" t="s">
        <v>204</v>
      </c>
      <c r="K160" s="17" t="s">
        <v>1477</v>
      </c>
      <c r="L160" s="5" t="s">
        <v>3660</v>
      </c>
      <c r="M160" s="6" t="s">
        <v>1493</v>
      </c>
      <c r="N160" s="6" t="s">
        <v>2167</v>
      </c>
      <c r="O160" s="6" t="s">
        <v>204</v>
      </c>
      <c r="P160" s="5" t="s">
        <v>2524</v>
      </c>
      <c r="Q160" s="17" t="s">
        <v>2273</v>
      </c>
      <c r="R160" s="5" t="s">
        <v>3661</v>
      </c>
      <c r="S160" s="6" t="s">
        <v>2345</v>
      </c>
      <c r="T160" s="5" t="s">
        <v>2346</v>
      </c>
      <c r="U160" s="6"/>
      <c r="V160" s="6" t="s">
        <v>2347</v>
      </c>
      <c r="W160" s="6" t="s">
        <v>1697</v>
      </c>
      <c r="X160" s="5" t="s">
        <v>228</v>
      </c>
      <c r="Y160" s="5" t="s">
        <v>2917</v>
      </c>
      <c r="Z160" s="5" t="str">
        <f t="shared" si="4"/>
        <v>High</v>
      </c>
      <c r="AA160" s="5" t="s">
        <v>1302</v>
      </c>
      <c r="AB160" s="6" t="s">
        <v>1355</v>
      </c>
      <c r="AC160" s="6" t="s">
        <v>32</v>
      </c>
      <c r="AD160" s="5" t="s">
        <v>2278</v>
      </c>
      <c r="AE160" s="5" t="s">
        <v>1720</v>
      </c>
      <c r="AF160" s="5" t="s">
        <v>1720</v>
      </c>
      <c r="AG160" s="5" t="s">
        <v>1720</v>
      </c>
      <c r="AH160" s="5" t="s">
        <v>1720</v>
      </c>
      <c r="AI160" s="6" t="str">
        <f t="shared" si="5"/>
        <v>No</v>
      </c>
      <c r="AJ160" s="6" t="s">
        <v>2298</v>
      </c>
      <c r="AK160" s="6" t="s">
        <v>204</v>
      </c>
      <c r="AL160" s="6">
        <f>MATCH(AA160,{"Low","Medium","High"},0)*MATCH(AB160,{"Low","Medium","High"},0)*INDEX({3,2,2,1,1},MATCH(X160,{"Core","Vertical extension","Differentiator","Future","Adjacent"},0))</f>
        <v>9</v>
      </c>
      <c r="AM160" s="5"/>
      <c r="AN160" s="5"/>
      <c r="AO160" s="5"/>
      <c r="AP160" s="5"/>
      <c r="AQ160" s="5"/>
      <c r="AR160" s="5"/>
      <c r="AS160" s="5"/>
      <c r="AT160" s="5"/>
      <c r="AU160" s="6" t="s">
        <v>2317</v>
      </c>
      <c r="AV160" s="6" t="s">
        <v>2784</v>
      </c>
      <c r="AW160" s="6" t="s">
        <v>2784</v>
      </c>
      <c r="AX160" s="6" t="s">
        <v>2374</v>
      </c>
      <c r="AY160" s="6" t="s">
        <v>2285</v>
      </c>
      <c r="AZ160" s="6"/>
      <c r="BA160" s="6"/>
      <c r="BB160" s="6"/>
      <c r="BC160" s="6" t="s">
        <v>127</v>
      </c>
      <c r="BD160" s="6" t="s">
        <v>127</v>
      </c>
      <c r="BE160" s="6" t="s">
        <v>1477</v>
      </c>
      <c r="BF160" s="6" t="s">
        <v>2286</v>
      </c>
      <c r="BG160" s="6" t="s">
        <v>3662</v>
      </c>
      <c r="BH160" s="6" t="s">
        <v>3663</v>
      </c>
    </row>
    <row r="161" spans="1:60" ht="32" customHeight="1" x14ac:dyDescent="0.35">
      <c r="A161" s="13" t="s">
        <v>3664</v>
      </c>
      <c r="B161" s="6" t="s">
        <v>2265</v>
      </c>
      <c r="C161" s="5" t="s">
        <v>1685</v>
      </c>
      <c r="D161" s="5" t="s">
        <v>2187</v>
      </c>
      <c r="E161" s="5" t="s">
        <v>3665</v>
      </c>
      <c r="F161" s="5" t="s">
        <v>1685</v>
      </c>
      <c r="G161" s="5" t="s">
        <v>3666</v>
      </c>
      <c r="H161" s="5" t="s">
        <v>3667</v>
      </c>
      <c r="I161" s="5" t="s">
        <v>3668</v>
      </c>
      <c r="J161" s="17" t="s">
        <v>162</v>
      </c>
      <c r="K161" s="17" t="s">
        <v>95</v>
      </c>
      <c r="L161" s="5" t="s">
        <v>3669</v>
      </c>
      <c r="M161" s="6" t="s">
        <v>1493</v>
      </c>
      <c r="N161" s="6" t="s">
        <v>2167</v>
      </c>
      <c r="O161" s="6" t="s">
        <v>162</v>
      </c>
      <c r="P161" s="5" t="s">
        <v>2272</v>
      </c>
      <c r="Q161" s="17" t="s">
        <v>95</v>
      </c>
      <c r="R161" s="5" t="s">
        <v>3670</v>
      </c>
      <c r="S161" s="6" t="s">
        <v>2345</v>
      </c>
      <c r="T161" s="5" t="s">
        <v>2346</v>
      </c>
      <c r="U161" s="6"/>
      <c r="V161" s="6" t="s">
        <v>2347</v>
      </c>
      <c r="W161" s="6" t="s">
        <v>1697</v>
      </c>
      <c r="X161" s="5" t="s">
        <v>228</v>
      </c>
      <c r="Y161" s="5" t="s">
        <v>2917</v>
      </c>
      <c r="Z161" s="5" t="str">
        <f t="shared" si="4"/>
        <v>High</v>
      </c>
      <c r="AA161" s="5" t="s">
        <v>1302</v>
      </c>
      <c r="AB161" s="6" t="s">
        <v>1355</v>
      </c>
      <c r="AC161" s="6" t="s">
        <v>135</v>
      </c>
      <c r="AD161" s="5" t="s">
        <v>95</v>
      </c>
      <c r="AE161" s="5" t="s">
        <v>1720</v>
      </c>
      <c r="AF161" s="5" t="s">
        <v>1720</v>
      </c>
      <c r="AG161" s="5" t="s">
        <v>1720</v>
      </c>
      <c r="AH161" s="5" t="s">
        <v>1720</v>
      </c>
      <c r="AI161" s="6" t="str">
        <f t="shared" si="5"/>
        <v>No</v>
      </c>
      <c r="AJ161" s="6" t="s">
        <v>229</v>
      </c>
      <c r="AK161" s="6" t="s">
        <v>162</v>
      </c>
      <c r="AL161" s="6">
        <f>MATCH(AA161,{"Low","Medium","High"},0)*MATCH(AB161,{"Low","Medium","High"},0)*INDEX({3,2,2,1,1},MATCH(X161,{"Core","Vertical extension","Differentiator","Future","Adjacent"},0))</f>
        <v>9</v>
      </c>
      <c r="AM161" s="5"/>
      <c r="AN161" s="5"/>
      <c r="AO161" s="5"/>
      <c r="AP161" s="5"/>
      <c r="AQ161" s="5"/>
      <c r="AR161" s="5"/>
      <c r="AS161" s="5"/>
      <c r="AT161" s="5"/>
      <c r="AU161" s="6" t="s">
        <v>2317</v>
      </c>
      <c r="AV161" s="6" t="s">
        <v>2784</v>
      </c>
      <c r="AW161" s="6" t="s">
        <v>2784</v>
      </c>
      <c r="AX161" s="6" t="s">
        <v>2284</v>
      </c>
      <c r="AY161" s="6" t="s">
        <v>2285</v>
      </c>
      <c r="AZ161" s="6"/>
      <c r="BA161" s="6"/>
      <c r="BB161" s="6"/>
      <c r="BC161" s="6" t="s">
        <v>127</v>
      </c>
      <c r="BD161" s="6" t="s">
        <v>127</v>
      </c>
      <c r="BE161" s="6" t="s">
        <v>1477</v>
      </c>
      <c r="BF161" s="6" t="s">
        <v>95</v>
      </c>
      <c r="BG161" s="6" t="s">
        <v>3671</v>
      </c>
      <c r="BH161" s="6" t="s">
        <v>3672</v>
      </c>
    </row>
    <row r="162" spans="1:60" ht="32" customHeight="1" x14ac:dyDescent="0.35">
      <c r="A162" s="13" t="s">
        <v>3673</v>
      </c>
      <c r="B162" s="6" t="s">
        <v>2265</v>
      </c>
      <c r="C162" s="5" t="s">
        <v>1685</v>
      </c>
      <c r="D162" s="5" t="s">
        <v>2187</v>
      </c>
      <c r="E162" s="5" t="s">
        <v>3674</v>
      </c>
      <c r="F162" s="5" t="s">
        <v>1685</v>
      </c>
      <c r="G162" s="5" t="s">
        <v>2983</v>
      </c>
      <c r="H162" s="5" t="s">
        <v>3675</v>
      </c>
      <c r="I162" s="5" t="s">
        <v>3676</v>
      </c>
      <c r="J162" s="17" t="s">
        <v>162</v>
      </c>
      <c r="K162" s="17" t="s">
        <v>95</v>
      </c>
      <c r="L162" s="5" t="s">
        <v>3677</v>
      </c>
      <c r="M162" s="6" t="s">
        <v>1493</v>
      </c>
      <c r="N162" s="6" t="s">
        <v>2167</v>
      </c>
      <c r="O162" s="6" t="s">
        <v>162</v>
      </c>
      <c r="P162" s="5" t="s">
        <v>2272</v>
      </c>
      <c r="Q162" s="17" t="s">
        <v>95</v>
      </c>
      <c r="R162" s="5" t="s">
        <v>3678</v>
      </c>
      <c r="S162" s="6" t="s">
        <v>2345</v>
      </c>
      <c r="T162" s="5" t="s">
        <v>2346</v>
      </c>
      <c r="U162" s="6"/>
      <c r="V162" s="6" t="s">
        <v>2347</v>
      </c>
      <c r="W162" s="6" t="s">
        <v>1697</v>
      </c>
      <c r="X162" s="5" t="s">
        <v>228</v>
      </c>
      <c r="Y162" s="5" t="s">
        <v>2917</v>
      </c>
      <c r="Z162" s="5" t="str">
        <f t="shared" si="4"/>
        <v>High</v>
      </c>
      <c r="AA162" s="5" t="s">
        <v>1302</v>
      </c>
      <c r="AB162" s="6" t="s">
        <v>1355</v>
      </c>
      <c r="AC162" s="6" t="s">
        <v>135</v>
      </c>
      <c r="AD162" s="5" t="s">
        <v>95</v>
      </c>
      <c r="AE162" s="5" t="s">
        <v>1720</v>
      </c>
      <c r="AF162" s="5" t="s">
        <v>1720</v>
      </c>
      <c r="AG162" s="5" t="s">
        <v>1720</v>
      </c>
      <c r="AH162" s="5" t="s">
        <v>1720</v>
      </c>
      <c r="AI162" s="6" t="str">
        <f t="shared" si="5"/>
        <v>No</v>
      </c>
      <c r="AJ162" s="6" t="s">
        <v>229</v>
      </c>
      <c r="AK162" s="6" t="s">
        <v>162</v>
      </c>
      <c r="AL162" s="6">
        <f>MATCH(AA162,{"Low","Medium","High"},0)*MATCH(AB162,{"Low","Medium","High"},0)*INDEX({3,2,2,1,1},MATCH(X162,{"Core","Vertical extension","Differentiator","Future","Adjacent"},0))</f>
        <v>9</v>
      </c>
      <c r="AM162" s="5"/>
      <c r="AN162" s="5"/>
      <c r="AO162" s="5"/>
      <c r="AP162" s="5"/>
      <c r="AQ162" s="5"/>
      <c r="AR162" s="5"/>
      <c r="AS162" s="5"/>
      <c r="AT162" s="5"/>
      <c r="AU162" s="6" t="s">
        <v>2317</v>
      </c>
      <c r="AV162" s="6" t="s">
        <v>2784</v>
      </c>
      <c r="AW162" s="6" t="s">
        <v>2784</v>
      </c>
      <c r="AX162" s="6" t="s">
        <v>2284</v>
      </c>
      <c r="AY162" s="6" t="s">
        <v>2285</v>
      </c>
      <c r="AZ162" s="6"/>
      <c r="BA162" s="6" t="s">
        <v>2473</v>
      </c>
      <c r="BB162" s="6" t="s">
        <v>2474</v>
      </c>
      <c r="BC162" s="6" t="s">
        <v>127</v>
      </c>
      <c r="BD162" s="6" t="s">
        <v>127</v>
      </c>
      <c r="BE162" s="6" t="s">
        <v>1477</v>
      </c>
      <c r="BF162" s="6" t="s">
        <v>95</v>
      </c>
      <c r="BG162" s="6" t="s">
        <v>3671</v>
      </c>
      <c r="BH162" s="6" t="s">
        <v>3679</v>
      </c>
    </row>
    <row r="163" spans="1:60" ht="32" customHeight="1" x14ac:dyDescent="0.35">
      <c r="A163" s="13" t="s">
        <v>3680</v>
      </c>
      <c r="B163" s="6" t="s">
        <v>2265</v>
      </c>
      <c r="C163" s="5" t="s">
        <v>2396</v>
      </c>
      <c r="D163" s="5" t="s">
        <v>2191</v>
      </c>
      <c r="E163" s="5" t="s">
        <v>3681</v>
      </c>
      <c r="F163" s="5" t="s">
        <v>2396</v>
      </c>
      <c r="G163" s="5" t="s">
        <v>2267</v>
      </c>
      <c r="H163" s="5" t="s">
        <v>3682</v>
      </c>
      <c r="I163" s="5" t="s">
        <v>3683</v>
      </c>
      <c r="J163" s="17" t="s">
        <v>162</v>
      </c>
      <c r="K163" s="17" t="s">
        <v>1477</v>
      </c>
      <c r="L163" s="5" t="s">
        <v>3684</v>
      </c>
      <c r="M163" s="6" t="s">
        <v>1493</v>
      </c>
      <c r="N163" s="6" t="s">
        <v>2167</v>
      </c>
      <c r="O163" s="6" t="s">
        <v>162</v>
      </c>
      <c r="P163" s="5" t="s">
        <v>2272</v>
      </c>
      <c r="Q163" s="18" t="s">
        <v>1482</v>
      </c>
      <c r="R163" s="5" t="s">
        <v>2400</v>
      </c>
      <c r="S163" s="6" t="s">
        <v>2275</v>
      </c>
      <c r="T163" s="5" t="s">
        <v>2276</v>
      </c>
      <c r="U163" s="6"/>
      <c r="V163" s="6" t="s">
        <v>2277</v>
      </c>
      <c r="W163" s="6" t="s">
        <v>1697</v>
      </c>
      <c r="X163" s="5" t="s">
        <v>228</v>
      </c>
      <c r="Y163" s="5" t="s">
        <v>3685</v>
      </c>
      <c r="Z163" s="5" t="str">
        <f t="shared" si="4"/>
        <v>Medium</v>
      </c>
      <c r="AA163" s="5" t="s">
        <v>1319</v>
      </c>
      <c r="AB163" s="6" t="s">
        <v>1355</v>
      </c>
      <c r="AC163" s="6" t="s">
        <v>135</v>
      </c>
      <c r="AD163" s="5" t="s">
        <v>2278</v>
      </c>
      <c r="AE163" s="5" t="s">
        <v>1720</v>
      </c>
      <c r="AF163" s="5" t="s">
        <v>1720</v>
      </c>
      <c r="AG163" s="5" t="s">
        <v>1720</v>
      </c>
      <c r="AH163" s="5" t="s">
        <v>1720</v>
      </c>
      <c r="AI163" s="6" t="str">
        <f t="shared" si="5"/>
        <v>No</v>
      </c>
      <c r="AJ163" s="6" t="s">
        <v>2298</v>
      </c>
      <c r="AK163" s="6" t="s">
        <v>162</v>
      </c>
      <c r="AL163" s="6">
        <f>MATCH(AA163,{"Low","Medium","High"},0)*MATCH(AB163,{"Low","Medium","High"},0)*INDEX({3,2,2,1,1},MATCH(X163,{"Core","Vertical extension","Differentiator","Future","Adjacent"},0))</f>
        <v>6</v>
      </c>
      <c r="AM163" s="5"/>
      <c r="AN163" s="5"/>
      <c r="AO163" s="5"/>
      <c r="AP163" s="5"/>
      <c r="AQ163" s="5"/>
      <c r="AR163" s="5"/>
      <c r="AS163" s="5"/>
      <c r="AT163" s="5"/>
      <c r="AU163" s="6" t="s">
        <v>2317</v>
      </c>
      <c r="AV163" s="6" t="s">
        <v>3686</v>
      </c>
      <c r="AW163" s="6" t="s">
        <v>3686</v>
      </c>
      <c r="AX163" s="6" t="s">
        <v>2284</v>
      </c>
      <c r="AY163" s="6" t="s">
        <v>2285</v>
      </c>
      <c r="AZ163" s="6"/>
      <c r="BA163" s="6"/>
      <c r="BB163" s="6"/>
      <c r="BC163" s="6" t="s">
        <v>127</v>
      </c>
      <c r="BD163" s="6" t="s">
        <v>127</v>
      </c>
      <c r="BE163" s="6"/>
      <c r="BF163" s="6"/>
      <c r="BG163" s="6"/>
      <c r="BH163" s="6"/>
    </row>
    <row r="164" spans="1:60" ht="32" customHeight="1" x14ac:dyDescent="0.35">
      <c r="A164" s="13" t="s">
        <v>3687</v>
      </c>
      <c r="B164" s="6" t="s">
        <v>2265</v>
      </c>
      <c r="C164" s="5" t="s">
        <v>2396</v>
      </c>
      <c r="D164" s="5" t="s">
        <v>2200</v>
      </c>
      <c r="E164" s="5" t="s">
        <v>3688</v>
      </c>
      <c r="F164" s="5" t="s">
        <v>2396</v>
      </c>
      <c r="G164" s="5" t="s">
        <v>1679</v>
      </c>
      <c r="H164" s="5" t="s">
        <v>3689</v>
      </c>
      <c r="I164" s="5" t="s">
        <v>3690</v>
      </c>
      <c r="J164" s="19" t="s">
        <v>204</v>
      </c>
      <c r="K164" s="17" t="s">
        <v>95</v>
      </c>
      <c r="L164" s="5" t="s">
        <v>3691</v>
      </c>
      <c r="M164" s="6" t="s">
        <v>1493</v>
      </c>
      <c r="N164" s="6" t="s">
        <v>2167</v>
      </c>
      <c r="O164" s="6" t="s">
        <v>204</v>
      </c>
      <c r="P164" s="5" t="s">
        <v>2524</v>
      </c>
      <c r="Q164" s="17" t="s">
        <v>95</v>
      </c>
      <c r="R164" s="5" t="s">
        <v>3692</v>
      </c>
      <c r="S164" s="6" t="s">
        <v>3423</v>
      </c>
      <c r="T164" s="5" t="s">
        <v>3424</v>
      </c>
      <c r="U164" s="6"/>
      <c r="V164" s="6" t="s">
        <v>3425</v>
      </c>
      <c r="W164" s="6" t="s">
        <v>1701</v>
      </c>
      <c r="X164" s="5" t="s">
        <v>228</v>
      </c>
      <c r="Y164" s="5" t="s">
        <v>3685</v>
      </c>
      <c r="Z164" s="5" t="str">
        <f t="shared" si="4"/>
        <v>Medium</v>
      </c>
      <c r="AA164" s="5" t="s">
        <v>1319</v>
      </c>
      <c r="AB164" s="6" t="s">
        <v>1355</v>
      </c>
      <c r="AC164" s="6" t="s">
        <v>32</v>
      </c>
      <c r="AD164" s="5" t="s">
        <v>95</v>
      </c>
      <c r="AE164" s="5" t="s">
        <v>1720</v>
      </c>
      <c r="AF164" s="5" t="s">
        <v>1720</v>
      </c>
      <c r="AG164" s="5" t="s">
        <v>1720</v>
      </c>
      <c r="AH164" s="5" t="s">
        <v>1720</v>
      </c>
      <c r="AI164" s="6" t="str">
        <f t="shared" si="5"/>
        <v>No</v>
      </c>
      <c r="AJ164" s="6" t="s">
        <v>229</v>
      </c>
      <c r="AK164" s="6" t="s">
        <v>204</v>
      </c>
      <c r="AL164" s="6">
        <f>MATCH(AA164,{"Low","Medium","High"},0)*MATCH(AB164,{"Low","Medium","High"},0)*INDEX({3,2,2,1,1},MATCH(X164,{"Core","Vertical extension","Differentiator","Future","Adjacent"},0))</f>
        <v>6</v>
      </c>
      <c r="AM164" s="5"/>
      <c r="AN164" s="5"/>
      <c r="AO164" s="5"/>
      <c r="AP164" s="5"/>
      <c r="AQ164" s="5"/>
      <c r="AR164" s="5"/>
      <c r="AS164" s="5"/>
      <c r="AT164" s="5"/>
      <c r="AU164" s="6" t="s">
        <v>2317</v>
      </c>
      <c r="AV164" s="6" t="s">
        <v>3686</v>
      </c>
      <c r="AW164" s="6" t="s">
        <v>3686</v>
      </c>
      <c r="AX164" s="6" t="s">
        <v>2374</v>
      </c>
      <c r="AY164" s="6" t="s">
        <v>2285</v>
      </c>
      <c r="AZ164" s="6"/>
      <c r="BA164" s="6"/>
      <c r="BB164" s="6"/>
      <c r="BC164" s="6" t="s">
        <v>127</v>
      </c>
      <c r="BD164" s="6" t="s">
        <v>127</v>
      </c>
      <c r="BE164" s="6" t="s">
        <v>1477</v>
      </c>
      <c r="BF164" s="6" t="s">
        <v>95</v>
      </c>
      <c r="BG164" s="6" t="s">
        <v>3693</v>
      </c>
      <c r="BH164" s="6" t="s">
        <v>3694</v>
      </c>
    </row>
    <row r="165" spans="1:60" ht="32" customHeight="1" x14ac:dyDescent="0.35">
      <c r="A165" s="13" t="s">
        <v>3695</v>
      </c>
      <c r="B165" s="6" t="s">
        <v>2265</v>
      </c>
      <c r="C165" s="5" t="s">
        <v>2396</v>
      </c>
      <c r="D165" s="5" t="s">
        <v>2192</v>
      </c>
      <c r="E165" s="5" t="s">
        <v>3696</v>
      </c>
      <c r="F165" s="5" t="s">
        <v>2396</v>
      </c>
      <c r="G165" s="5" t="s">
        <v>3697</v>
      </c>
      <c r="H165" s="5" t="s">
        <v>3698</v>
      </c>
      <c r="I165" s="5" t="s">
        <v>3699</v>
      </c>
      <c r="J165" s="17" t="s">
        <v>162</v>
      </c>
      <c r="K165" s="17" t="s">
        <v>1477</v>
      </c>
      <c r="L165" s="5" t="s">
        <v>3700</v>
      </c>
      <c r="M165" s="6" t="s">
        <v>1493</v>
      </c>
      <c r="N165" s="6" t="s">
        <v>2167</v>
      </c>
      <c r="O165" s="6" t="s">
        <v>162</v>
      </c>
      <c r="P165" s="5" t="s">
        <v>2272</v>
      </c>
      <c r="Q165" s="18" t="s">
        <v>1482</v>
      </c>
      <c r="R165" s="5" t="s">
        <v>2400</v>
      </c>
      <c r="S165" s="6" t="s">
        <v>2371</v>
      </c>
      <c r="T165" s="5" t="s">
        <v>2372</v>
      </c>
      <c r="U165" s="6"/>
      <c r="V165" s="6" t="s">
        <v>2373</v>
      </c>
      <c r="W165" s="6" t="s">
        <v>1699</v>
      </c>
      <c r="X165" s="5" t="s">
        <v>228</v>
      </c>
      <c r="Y165" s="5" t="s">
        <v>3685</v>
      </c>
      <c r="Z165" s="5" t="str">
        <f t="shared" si="4"/>
        <v>Critical</v>
      </c>
      <c r="AA165" s="5" t="s">
        <v>1302</v>
      </c>
      <c r="AB165" s="6" t="s">
        <v>1319</v>
      </c>
      <c r="AC165" s="6" t="s">
        <v>135</v>
      </c>
      <c r="AD165" s="5" t="s">
        <v>2278</v>
      </c>
      <c r="AE165" s="5" t="s">
        <v>1720</v>
      </c>
      <c r="AF165" s="5" t="s">
        <v>1720</v>
      </c>
      <c r="AG165" s="5" t="s">
        <v>1720</v>
      </c>
      <c r="AH165" s="5" t="s">
        <v>1720</v>
      </c>
      <c r="AI165" s="6" t="str">
        <f t="shared" si="5"/>
        <v>No</v>
      </c>
      <c r="AJ165" s="6" t="s">
        <v>2298</v>
      </c>
      <c r="AK165" s="6" t="s">
        <v>162</v>
      </c>
      <c r="AL165" s="6">
        <f>MATCH(AA165,{"Low","Medium","High"},0)*MATCH(AB165,{"Low","Medium","High"},0)*INDEX({3,2,2,1,1},MATCH(X165,{"Core","Vertical extension","Differentiator","Future","Adjacent"},0))</f>
        <v>18</v>
      </c>
      <c r="AM165" s="5"/>
      <c r="AN165" s="5"/>
      <c r="AO165" s="5"/>
      <c r="AP165" s="5"/>
      <c r="AQ165" s="5"/>
      <c r="AR165" s="5"/>
      <c r="AS165" s="5"/>
      <c r="AT165" s="5"/>
      <c r="AU165" s="6" t="s">
        <v>2317</v>
      </c>
      <c r="AV165" s="6" t="s">
        <v>3686</v>
      </c>
      <c r="AW165" s="6" t="s">
        <v>3686</v>
      </c>
      <c r="AX165" s="6" t="s">
        <v>2284</v>
      </c>
      <c r="AY165" s="6" t="s">
        <v>2285</v>
      </c>
      <c r="AZ165" s="6"/>
      <c r="BA165" s="6"/>
      <c r="BB165" s="6"/>
      <c r="BC165" s="6" t="s">
        <v>127</v>
      </c>
      <c r="BD165" s="6" t="s">
        <v>127</v>
      </c>
      <c r="BE165" s="6"/>
      <c r="BF165" s="6"/>
      <c r="BG165" s="6"/>
      <c r="BH165" s="6"/>
    </row>
    <row r="166" spans="1:60" ht="32" customHeight="1" x14ac:dyDescent="0.35">
      <c r="A166" s="13" t="s">
        <v>3701</v>
      </c>
      <c r="B166" s="6" t="s">
        <v>2265</v>
      </c>
      <c r="C166" s="5" t="s">
        <v>2396</v>
      </c>
      <c r="D166" s="5" t="s">
        <v>2195</v>
      </c>
      <c r="E166" s="5" t="s">
        <v>3702</v>
      </c>
      <c r="F166" s="5" t="s">
        <v>2396</v>
      </c>
      <c r="G166" s="5" t="s">
        <v>3703</v>
      </c>
      <c r="H166" s="5" t="s">
        <v>3704</v>
      </c>
      <c r="I166" s="5" t="s">
        <v>3705</v>
      </c>
      <c r="J166" s="17" t="s">
        <v>162</v>
      </c>
      <c r="K166" s="17" t="s">
        <v>1477</v>
      </c>
      <c r="L166" s="5" t="s">
        <v>3706</v>
      </c>
      <c r="M166" s="6" t="s">
        <v>1493</v>
      </c>
      <c r="N166" s="6" t="s">
        <v>2167</v>
      </c>
      <c r="O166" s="6" t="s">
        <v>162</v>
      </c>
      <c r="P166" s="5" t="s">
        <v>2272</v>
      </c>
      <c r="Q166" s="17" t="s">
        <v>2273</v>
      </c>
      <c r="R166" s="5" t="s">
        <v>3707</v>
      </c>
      <c r="S166" s="6" t="s">
        <v>2295</v>
      </c>
      <c r="T166" s="5" t="s">
        <v>2296</v>
      </c>
      <c r="U166" s="6"/>
      <c r="V166" s="6" t="s">
        <v>2297</v>
      </c>
      <c r="W166" s="6" t="s">
        <v>1697</v>
      </c>
      <c r="X166" s="5" t="s">
        <v>228</v>
      </c>
      <c r="Y166" s="5" t="s">
        <v>3685</v>
      </c>
      <c r="Z166" s="5" t="str">
        <f t="shared" si="4"/>
        <v>High</v>
      </c>
      <c r="AA166" s="5" t="s">
        <v>1302</v>
      </c>
      <c r="AB166" s="6" t="s">
        <v>1355</v>
      </c>
      <c r="AC166" s="6" t="s">
        <v>135</v>
      </c>
      <c r="AD166" s="5" t="s">
        <v>2278</v>
      </c>
      <c r="AE166" s="5" t="s">
        <v>1720</v>
      </c>
      <c r="AF166" s="5" t="s">
        <v>1720</v>
      </c>
      <c r="AG166" s="5" t="s">
        <v>1720</v>
      </c>
      <c r="AH166" s="5" t="s">
        <v>1720</v>
      </c>
      <c r="AI166" s="6" t="str">
        <f t="shared" si="5"/>
        <v>No</v>
      </c>
      <c r="AJ166" s="6" t="s">
        <v>2298</v>
      </c>
      <c r="AK166" s="6" t="s">
        <v>162</v>
      </c>
      <c r="AL166" s="6">
        <f>MATCH(AA166,{"Low","Medium","High"},0)*MATCH(AB166,{"Low","Medium","High"},0)*INDEX({3,2,2,1,1},MATCH(X166,{"Core","Vertical extension","Differentiator","Future","Adjacent"},0))</f>
        <v>9</v>
      </c>
      <c r="AM166" s="5"/>
      <c r="AN166" s="5"/>
      <c r="AO166" s="5"/>
      <c r="AP166" s="5"/>
      <c r="AQ166" s="5"/>
      <c r="AR166" s="5"/>
      <c r="AS166" s="5"/>
      <c r="AT166" s="5"/>
      <c r="AU166" s="6" t="s">
        <v>2317</v>
      </c>
      <c r="AV166" s="6" t="s">
        <v>3686</v>
      </c>
      <c r="AW166" s="6" t="s">
        <v>3686</v>
      </c>
      <c r="AX166" s="6" t="s">
        <v>2284</v>
      </c>
      <c r="AY166" s="6" t="s">
        <v>2285</v>
      </c>
      <c r="AZ166" s="6"/>
      <c r="BA166" s="6"/>
      <c r="BB166" s="6"/>
      <c r="BC166" s="6" t="s">
        <v>127</v>
      </c>
      <c r="BD166" s="6" t="s">
        <v>127</v>
      </c>
      <c r="BE166" s="6" t="s">
        <v>1477</v>
      </c>
      <c r="BF166" s="6" t="s">
        <v>2286</v>
      </c>
      <c r="BG166" s="6" t="s">
        <v>3708</v>
      </c>
      <c r="BH166" s="6" t="s">
        <v>3709</v>
      </c>
    </row>
    <row r="167" spans="1:60" ht="32" customHeight="1" x14ac:dyDescent="0.35">
      <c r="A167" s="13" t="s">
        <v>3710</v>
      </c>
      <c r="B167" s="6" t="s">
        <v>2265</v>
      </c>
      <c r="C167" s="5" t="s">
        <v>2396</v>
      </c>
      <c r="D167" s="5" t="s">
        <v>2199</v>
      </c>
      <c r="E167" s="5" t="s">
        <v>3711</v>
      </c>
      <c r="F167" s="5" t="s">
        <v>2396</v>
      </c>
      <c r="G167" s="5" t="s">
        <v>3712</v>
      </c>
      <c r="H167" s="5" t="s">
        <v>3713</v>
      </c>
      <c r="I167" s="5" t="s">
        <v>3714</v>
      </c>
      <c r="J167" s="17" t="s">
        <v>162</v>
      </c>
      <c r="K167" s="17" t="s">
        <v>1477</v>
      </c>
      <c r="L167" s="5" t="s">
        <v>3715</v>
      </c>
      <c r="M167" s="6" t="s">
        <v>1493</v>
      </c>
      <c r="N167" s="6" t="s">
        <v>2167</v>
      </c>
      <c r="O167" s="6" t="s">
        <v>162</v>
      </c>
      <c r="P167" s="5" t="s">
        <v>2272</v>
      </c>
      <c r="Q167" s="18" t="s">
        <v>1482</v>
      </c>
      <c r="R167" s="5" t="s">
        <v>2701</v>
      </c>
      <c r="S167" s="6" t="s">
        <v>2416</v>
      </c>
      <c r="T167" s="5" t="s">
        <v>2417</v>
      </c>
      <c r="U167" s="6"/>
      <c r="V167" s="6" t="s">
        <v>2277</v>
      </c>
      <c r="W167" s="6" t="s">
        <v>1697</v>
      </c>
      <c r="X167" s="5" t="s">
        <v>228</v>
      </c>
      <c r="Y167" s="5" t="s">
        <v>3685</v>
      </c>
      <c r="Z167" s="5" t="str">
        <f t="shared" si="4"/>
        <v>Medium</v>
      </c>
      <c r="AA167" s="5" t="s">
        <v>1319</v>
      </c>
      <c r="AB167" s="6" t="s">
        <v>1355</v>
      </c>
      <c r="AC167" s="6" t="s">
        <v>135</v>
      </c>
      <c r="AD167" s="5" t="s">
        <v>2278</v>
      </c>
      <c r="AE167" s="5" t="s">
        <v>1720</v>
      </c>
      <c r="AF167" s="5" t="s">
        <v>1720</v>
      </c>
      <c r="AG167" s="5" t="s">
        <v>1720</v>
      </c>
      <c r="AH167" s="5" t="s">
        <v>1720</v>
      </c>
      <c r="AI167" s="6" t="str">
        <f t="shared" si="5"/>
        <v>No</v>
      </c>
      <c r="AJ167" s="6" t="s">
        <v>2298</v>
      </c>
      <c r="AK167" s="6" t="s">
        <v>162</v>
      </c>
      <c r="AL167" s="6">
        <f>MATCH(AA167,{"Low","Medium","High"},0)*MATCH(AB167,{"Low","Medium","High"},0)*INDEX({3,2,2,1,1},MATCH(X167,{"Core","Vertical extension","Differentiator","Future","Adjacent"},0))</f>
        <v>6</v>
      </c>
      <c r="AM167" s="5"/>
      <c r="AN167" s="5"/>
      <c r="AO167" s="5"/>
      <c r="AP167" s="5"/>
      <c r="AQ167" s="5"/>
      <c r="AR167" s="5"/>
      <c r="AS167" s="5"/>
      <c r="AT167" s="5"/>
      <c r="AU167" s="6" t="s">
        <v>2317</v>
      </c>
      <c r="AV167" s="6" t="s">
        <v>3686</v>
      </c>
      <c r="AW167" s="6" t="s">
        <v>3686</v>
      </c>
      <c r="AX167" s="6" t="s">
        <v>2284</v>
      </c>
      <c r="AY167" s="6" t="s">
        <v>2285</v>
      </c>
      <c r="AZ167" s="6"/>
      <c r="BA167" s="6" t="s">
        <v>2419</v>
      </c>
      <c r="BB167" s="6" t="s">
        <v>2420</v>
      </c>
      <c r="BC167" s="6" t="s">
        <v>127</v>
      </c>
      <c r="BD167" s="6" t="s">
        <v>127</v>
      </c>
      <c r="BE167" s="6"/>
      <c r="BF167" s="6"/>
      <c r="BG167" s="6"/>
      <c r="BH167" s="6"/>
    </row>
    <row r="168" spans="1:60" ht="32" customHeight="1" x14ac:dyDescent="0.35">
      <c r="A168" s="13" t="s">
        <v>3716</v>
      </c>
      <c r="B168" s="6" t="s">
        <v>2265</v>
      </c>
      <c r="C168" s="5" t="s">
        <v>2396</v>
      </c>
      <c r="D168" s="5" t="s">
        <v>2199</v>
      </c>
      <c r="E168" s="5" t="s">
        <v>3717</v>
      </c>
      <c r="F168" s="5" t="s">
        <v>2396</v>
      </c>
      <c r="G168" s="5" t="s">
        <v>3718</v>
      </c>
      <c r="H168" s="5" t="s">
        <v>3719</v>
      </c>
      <c r="I168" s="5" t="s">
        <v>3720</v>
      </c>
      <c r="J168" s="19" t="s">
        <v>204</v>
      </c>
      <c r="K168" s="17" t="s">
        <v>163</v>
      </c>
      <c r="L168" s="5" t="s">
        <v>3721</v>
      </c>
      <c r="M168" s="6" t="s">
        <v>1493</v>
      </c>
      <c r="N168" s="6" t="s">
        <v>2167</v>
      </c>
      <c r="O168" s="6" t="s">
        <v>204</v>
      </c>
      <c r="P168" s="5" t="s">
        <v>2524</v>
      </c>
      <c r="Q168" s="17" t="s">
        <v>163</v>
      </c>
      <c r="R168" s="5" t="s">
        <v>3722</v>
      </c>
      <c r="S168" s="6" t="s">
        <v>2416</v>
      </c>
      <c r="T168" s="5" t="s">
        <v>2417</v>
      </c>
      <c r="U168" s="6"/>
      <c r="V168" s="6" t="s">
        <v>2277</v>
      </c>
      <c r="W168" s="6" t="s">
        <v>1697</v>
      </c>
      <c r="X168" s="5" t="s">
        <v>228</v>
      </c>
      <c r="Y168" s="5" t="s">
        <v>3685</v>
      </c>
      <c r="Z168" s="5" t="str">
        <f t="shared" si="4"/>
        <v>Medium</v>
      </c>
      <c r="AA168" s="5" t="s">
        <v>1319</v>
      </c>
      <c r="AB168" s="6" t="s">
        <v>1355</v>
      </c>
      <c r="AC168" s="6" t="s">
        <v>32</v>
      </c>
      <c r="AD168" s="5" t="s">
        <v>1805</v>
      </c>
      <c r="AE168" s="5" t="s">
        <v>1720</v>
      </c>
      <c r="AF168" s="5" t="s">
        <v>1720</v>
      </c>
      <c r="AG168" s="5" t="s">
        <v>1720</v>
      </c>
      <c r="AH168" s="5" t="s">
        <v>1720</v>
      </c>
      <c r="AI168" s="6" t="str">
        <f t="shared" si="5"/>
        <v>No</v>
      </c>
      <c r="AJ168" s="6" t="s">
        <v>287</v>
      </c>
      <c r="AK168" s="6" t="s">
        <v>204</v>
      </c>
      <c r="AL168" s="6">
        <f>MATCH(AA168,{"Low","Medium","High"},0)*MATCH(AB168,{"Low","Medium","High"},0)*INDEX({3,2,2,1,1},MATCH(X168,{"Core","Vertical extension","Differentiator","Future","Adjacent"},0))</f>
        <v>6</v>
      </c>
      <c r="AM168" s="5"/>
      <c r="AN168" s="5"/>
      <c r="AO168" s="5"/>
      <c r="AP168" s="5"/>
      <c r="AQ168" s="5"/>
      <c r="AR168" s="5"/>
      <c r="AS168" s="5"/>
      <c r="AT168" s="5"/>
      <c r="AU168" s="6" t="s">
        <v>2317</v>
      </c>
      <c r="AV168" s="6" t="s">
        <v>3686</v>
      </c>
      <c r="AW168" s="6" t="s">
        <v>3686</v>
      </c>
      <c r="AX168" s="6" t="s">
        <v>2374</v>
      </c>
      <c r="AY168" s="6" t="s">
        <v>2285</v>
      </c>
      <c r="AZ168" s="6"/>
      <c r="BA168" s="6"/>
      <c r="BB168" s="6"/>
      <c r="BC168" s="6" t="s">
        <v>127</v>
      </c>
      <c r="BD168" s="6" t="s">
        <v>127</v>
      </c>
      <c r="BE168" s="6" t="s">
        <v>1477</v>
      </c>
      <c r="BF168" s="6" t="s">
        <v>288</v>
      </c>
      <c r="BG168" s="6" t="s">
        <v>3723</v>
      </c>
      <c r="BH168" s="6" t="s">
        <v>3724</v>
      </c>
    </row>
    <row r="169" spans="1:60" ht="32" customHeight="1" x14ac:dyDescent="0.35">
      <c r="A169" s="13" t="s">
        <v>3725</v>
      </c>
      <c r="B169" s="6" t="s">
        <v>2265</v>
      </c>
      <c r="C169" s="5" t="s">
        <v>2396</v>
      </c>
      <c r="D169" s="5" t="s">
        <v>2192</v>
      </c>
      <c r="E169" s="5" t="s">
        <v>3726</v>
      </c>
      <c r="F169" s="5" t="s">
        <v>2396</v>
      </c>
      <c r="G169" s="5" t="s">
        <v>3727</v>
      </c>
      <c r="H169" s="5" t="s">
        <v>3728</v>
      </c>
      <c r="I169" s="5" t="s">
        <v>3729</v>
      </c>
      <c r="J169" s="19" t="s">
        <v>204</v>
      </c>
      <c r="K169" s="17" t="s">
        <v>1477</v>
      </c>
      <c r="L169" s="5" t="s">
        <v>3730</v>
      </c>
      <c r="M169" s="6" t="s">
        <v>1493</v>
      </c>
      <c r="N169" s="6" t="s">
        <v>2167</v>
      </c>
      <c r="O169" s="6" t="s">
        <v>204</v>
      </c>
      <c r="P169" s="5" t="s">
        <v>2524</v>
      </c>
      <c r="Q169" s="18" t="s">
        <v>1482</v>
      </c>
      <c r="R169" s="5" t="s">
        <v>3731</v>
      </c>
      <c r="S169" s="6" t="s">
        <v>2371</v>
      </c>
      <c r="T169" s="5" t="s">
        <v>2372</v>
      </c>
      <c r="U169" s="6"/>
      <c r="V169" s="6" t="s">
        <v>2373</v>
      </c>
      <c r="W169" s="6" t="s">
        <v>1699</v>
      </c>
      <c r="X169" s="5" t="s">
        <v>228</v>
      </c>
      <c r="Y169" s="5" t="s">
        <v>3685</v>
      </c>
      <c r="Z169" s="5" t="str">
        <f t="shared" si="4"/>
        <v>Critical</v>
      </c>
      <c r="AA169" s="5" t="s">
        <v>1302</v>
      </c>
      <c r="AB169" s="6" t="s">
        <v>1319</v>
      </c>
      <c r="AC169" s="6" t="s">
        <v>32</v>
      </c>
      <c r="AD169" s="5" t="s">
        <v>2278</v>
      </c>
      <c r="AE169" s="5" t="s">
        <v>1720</v>
      </c>
      <c r="AF169" s="5" t="s">
        <v>1720</v>
      </c>
      <c r="AG169" s="5" t="s">
        <v>1720</v>
      </c>
      <c r="AH169" s="5" t="s">
        <v>1720</v>
      </c>
      <c r="AI169" s="6" t="str">
        <f t="shared" si="5"/>
        <v>No</v>
      </c>
      <c r="AJ169" s="6" t="s">
        <v>2298</v>
      </c>
      <c r="AK169" s="6" t="s">
        <v>204</v>
      </c>
      <c r="AL169" s="6">
        <f>MATCH(AA169,{"Low","Medium","High"},0)*MATCH(AB169,{"Low","Medium","High"},0)*INDEX({3,2,2,1,1},MATCH(X169,{"Core","Vertical extension","Differentiator","Future","Adjacent"},0))</f>
        <v>18</v>
      </c>
      <c r="AM169" s="5"/>
      <c r="AN169" s="5"/>
      <c r="AO169" s="5"/>
      <c r="AP169" s="5"/>
      <c r="AQ169" s="5"/>
      <c r="AR169" s="5"/>
      <c r="AS169" s="5"/>
      <c r="AT169" s="5"/>
      <c r="AU169" s="6" t="s">
        <v>2317</v>
      </c>
      <c r="AV169" s="6" t="s">
        <v>3686</v>
      </c>
      <c r="AW169" s="6" t="s">
        <v>3686</v>
      </c>
      <c r="AX169" s="6" t="s">
        <v>2374</v>
      </c>
      <c r="AY169" s="6" t="s">
        <v>2285</v>
      </c>
      <c r="AZ169" s="6"/>
      <c r="BA169" s="6"/>
      <c r="BB169" s="6"/>
      <c r="BC169" s="6" t="s">
        <v>127</v>
      </c>
      <c r="BD169" s="6" t="s">
        <v>127</v>
      </c>
      <c r="BE169" s="6"/>
      <c r="BF169" s="6"/>
      <c r="BG169" s="6"/>
      <c r="BH169" s="6"/>
    </row>
    <row r="170" spans="1:60" ht="32" customHeight="1" x14ac:dyDescent="0.35">
      <c r="A170" s="13" t="s">
        <v>3732</v>
      </c>
      <c r="B170" s="6" t="s">
        <v>2265</v>
      </c>
      <c r="C170" s="5" t="s">
        <v>2396</v>
      </c>
      <c r="D170" s="5" t="s">
        <v>2191</v>
      </c>
      <c r="E170" s="5" t="s">
        <v>3733</v>
      </c>
      <c r="F170" s="5" t="s">
        <v>2396</v>
      </c>
      <c r="G170" s="5" t="s">
        <v>3734</v>
      </c>
      <c r="H170" s="5" t="s">
        <v>3735</v>
      </c>
      <c r="I170" s="5" t="s">
        <v>3736</v>
      </c>
      <c r="J170" s="19" t="s">
        <v>204</v>
      </c>
      <c r="K170" s="17" t="s">
        <v>1477</v>
      </c>
      <c r="L170" s="5" t="s">
        <v>3737</v>
      </c>
      <c r="M170" s="6" t="s">
        <v>1493</v>
      </c>
      <c r="N170" s="6" t="s">
        <v>2167</v>
      </c>
      <c r="O170" s="6" t="s">
        <v>204</v>
      </c>
      <c r="P170" s="5" t="s">
        <v>2524</v>
      </c>
      <c r="Q170" s="18" t="s">
        <v>1482</v>
      </c>
      <c r="R170" s="5" t="s">
        <v>3731</v>
      </c>
      <c r="S170" s="6" t="s">
        <v>2275</v>
      </c>
      <c r="T170" s="5" t="s">
        <v>2276</v>
      </c>
      <c r="U170" s="6"/>
      <c r="V170" s="6" t="s">
        <v>2277</v>
      </c>
      <c r="W170" s="6" t="s">
        <v>1697</v>
      </c>
      <c r="X170" s="5" t="s">
        <v>228</v>
      </c>
      <c r="Y170" s="5" t="s">
        <v>3685</v>
      </c>
      <c r="Z170" s="5" t="str">
        <f t="shared" si="4"/>
        <v>Medium</v>
      </c>
      <c r="AA170" s="5" t="s">
        <v>1319</v>
      </c>
      <c r="AB170" s="6" t="s">
        <v>1355</v>
      </c>
      <c r="AC170" s="6" t="s">
        <v>32</v>
      </c>
      <c r="AD170" s="5" t="s">
        <v>2278</v>
      </c>
      <c r="AE170" s="5" t="s">
        <v>1720</v>
      </c>
      <c r="AF170" s="5" t="s">
        <v>1720</v>
      </c>
      <c r="AG170" s="5" t="s">
        <v>1720</v>
      </c>
      <c r="AH170" s="5" t="s">
        <v>1720</v>
      </c>
      <c r="AI170" s="6" t="str">
        <f t="shared" si="5"/>
        <v>No</v>
      </c>
      <c r="AJ170" s="6" t="s">
        <v>2298</v>
      </c>
      <c r="AK170" s="6" t="s">
        <v>204</v>
      </c>
      <c r="AL170" s="6">
        <f>MATCH(AA170,{"Low","Medium","High"},0)*MATCH(AB170,{"Low","Medium","High"},0)*INDEX({3,2,2,1,1},MATCH(X170,{"Core","Vertical extension","Differentiator","Future","Adjacent"},0))</f>
        <v>6</v>
      </c>
      <c r="AM170" s="5"/>
      <c r="AN170" s="5"/>
      <c r="AO170" s="5"/>
      <c r="AP170" s="5"/>
      <c r="AQ170" s="5"/>
      <c r="AR170" s="5"/>
      <c r="AS170" s="5"/>
      <c r="AT170" s="5"/>
      <c r="AU170" s="6" t="s">
        <v>2317</v>
      </c>
      <c r="AV170" s="6" t="s">
        <v>3686</v>
      </c>
      <c r="AW170" s="6" t="s">
        <v>3686</v>
      </c>
      <c r="AX170" s="6" t="s">
        <v>2374</v>
      </c>
      <c r="AY170" s="6" t="s">
        <v>2285</v>
      </c>
      <c r="AZ170" s="6"/>
      <c r="BA170" s="6"/>
      <c r="BB170" s="6"/>
      <c r="BC170" s="6" t="s">
        <v>127</v>
      </c>
      <c r="BD170" s="6" t="s">
        <v>127</v>
      </c>
      <c r="BE170" s="6"/>
      <c r="BF170" s="6"/>
      <c r="BG170" s="6"/>
      <c r="BH170" s="6"/>
    </row>
    <row r="171" spans="1:60" ht="32" customHeight="1" x14ac:dyDescent="0.35">
      <c r="A171" s="13" t="s">
        <v>3738</v>
      </c>
      <c r="B171" s="6" t="s">
        <v>2265</v>
      </c>
      <c r="C171" s="5" t="s">
        <v>2507</v>
      </c>
      <c r="D171" s="5" t="s">
        <v>2193</v>
      </c>
      <c r="E171" s="5" t="s">
        <v>3739</v>
      </c>
      <c r="F171" s="5" t="s">
        <v>3740</v>
      </c>
      <c r="G171" s="5" t="s">
        <v>1669</v>
      </c>
      <c r="H171" s="5" t="s">
        <v>3741</v>
      </c>
      <c r="I171" s="5" t="s">
        <v>3742</v>
      </c>
      <c r="J171" s="17" t="s">
        <v>162</v>
      </c>
      <c r="K171" s="17" t="s">
        <v>1477</v>
      </c>
      <c r="L171" s="5" t="s">
        <v>3743</v>
      </c>
      <c r="M171" s="6" t="s">
        <v>1493</v>
      </c>
      <c r="N171" s="6" t="s">
        <v>2167</v>
      </c>
      <c r="O171" s="6" t="s">
        <v>162</v>
      </c>
      <c r="P171" s="5" t="s">
        <v>2272</v>
      </c>
      <c r="Q171" s="18" t="s">
        <v>1482</v>
      </c>
      <c r="R171" s="5" t="s">
        <v>2400</v>
      </c>
      <c r="S171" s="6" t="s">
        <v>2470</v>
      </c>
      <c r="T171" s="5" t="s">
        <v>2471</v>
      </c>
      <c r="U171" s="6"/>
      <c r="V171" s="6" t="s">
        <v>2472</v>
      </c>
      <c r="W171" s="6" t="s">
        <v>1697</v>
      </c>
      <c r="X171" s="5" t="s">
        <v>228</v>
      </c>
      <c r="Y171" s="5" t="s">
        <v>3685</v>
      </c>
      <c r="Z171" s="5" t="str">
        <f t="shared" si="4"/>
        <v>Medium</v>
      </c>
      <c r="AA171" s="5" t="s">
        <v>1319</v>
      </c>
      <c r="AB171" s="6" t="s">
        <v>1355</v>
      </c>
      <c r="AC171" s="6" t="s">
        <v>135</v>
      </c>
      <c r="AD171" s="5" t="s">
        <v>2278</v>
      </c>
      <c r="AE171" s="5" t="s">
        <v>1720</v>
      </c>
      <c r="AF171" s="5" t="s">
        <v>1720</v>
      </c>
      <c r="AG171" s="5" t="s">
        <v>1720</v>
      </c>
      <c r="AH171" s="5" t="s">
        <v>1720</v>
      </c>
      <c r="AI171" s="6" t="str">
        <f t="shared" si="5"/>
        <v>No</v>
      </c>
      <c r="AJ171" s="6" t="s">
        <v>2298</v>
      </c>
      <c r="AK171" s="6" t="s">
        <v>162</v>
      </c>
      <c r="AL171" s="6">
        <f>MATCH(AA171,{"Low","Medium","High"},0)*MATCH(AB171,{"Low","Medium","High"},0)*INDEX({3,2,2,1,1},MATCH(X171,{"Core","Vertical extension","Differentiator","Future","Adjacent"},0))</f>
        <v>6</v>
      </c>
      <c r="AM171" s="5"/>
      <c r="AN171" s="5"/>
      <c r="AO171" s="5"/>
      <c r="AP171" s="5"/>
      <c r="AQ171" s="5"/>
      <c r="AR171" s="5"/>
      <c r="AS171" s="5"/>
      <c r="AT171" s="5"/>
      <c r="AU171" s="6" t="s">
        <v>2317</v>
      </c>
      <c r="AV171" s="6" t="s">
        <v>3686</v>
      </c>
      <c r="AW171" s="6" t="s">
        <v>3686</v>
      </c>
      <c r="AX171" s="6" t="s">
        <v>2284</v>
      </c>
      <c r="AY171" s="6" t="s">
        <v>2285</v>
      </c>
      <c r="AZ171" s="6"/>
      <c r="BA171" s="6"/>
      <c r="BB171" s="6"/>
      <c r="BC171" s="6" t="s">
        <v>127</v>
      </c>
      <c r="BD171" s="6" t="s">
        <v>127</v>
      </c>
      <c r="BE171" s="6"/>
      <c r="BF171" s="6"/>
      <c r="BG171" s="6"/>
      <c r="BH171" s="6"/>
    </row>
    <row r="172" spans="1:60" ht="32" customHeight="1" x14ac:dyDescent="0.35">
      <c r="A172" s="13" t="s">
        <v>3744</v>
      </c>
      <c r="B172" s="6" t="s">
        <v>2265</v>
      </c>
      <c r="C172" s="5" t="s">
        <v>2507</v>
      </c>
      <c r="D172" s="5" t="s">
        <v>2193</v>
      </c>
      <c r="E172" s="5" t="s">
        <v>3745</v>
      </c>
      <c r="F172" s="5" t="s">
        <v>2507</v>
      </c>
      <c r="G172" s="5" t="s">
        <v>3545</v>
      </c>
      <c r="H172" s="5" t="s">
        <v>3746</v>
      </c>
      <c r="I172" s="5" t="s">
        <v>3747</v>
      </c>
      <c r="J172" s="17" t="s">
        <v>162</v>
      </c>
      <c r="K172" s="17" t="s">
        <v>1477</v>
      </c>
      <c r="L172" s="5" t="s">
        <v>3748</v>
      </c>
      <c r="M172" s="6" t="s">
        <v>1493</v>
      </c>
      <c r="N172" s="6" t="s">
        <v>2167</v>
      </c>
      <c r="O172" s="6" t="s">
        <v>162</v>
      </c>
      <c r="P172" s="5" t="s">
        <v>2272</v>
      </c>
      <c r="Q172" s="17" t="s">
        <v>2273</v>
      </c>
      <c r="R172" s="5" t="s">
        <v>3749</v>
      </c>
      <c r="S172" s="6" t="s">
        <v>2470</v>
      </c>
      <c r="T172" s="5" t="s">
        <v>2471</v>
      </c>
      <c r="U172" s="6"/>
      <c r="V172" s="6" t="s">
        <v>2472</v>
      </c>
      <c r="W172" s="6" t="s">
        <v>1697</v>
      </c>
      <c r="X172" s="5" t="s">
        <v>228</v>
      </c>
      <c r="Y172" s="5" t="s">
        <v>3685</v>
      </c>
      <c r="Z172" s="5" t="str">
        <f t="shared" si="4"/>
        <v>Medium</v>
      </c>
      <c r="AA172" s="5" t="s">
        <v>1319</v>
      </c>
      <c r="AB172" s="6" t="s">
        <v>1355</v>
      </c>
      <c r="AC172" s="6" t="s">
        <v>135</v>
      </c>
      <c r="AD172" s="5" t="s">
        <v>2278</v>
      </c>
      <c r="AE172" s="5" t="s">
        <v>1720</v>
      </c>
      <c r="AF172" s="5" t="s">
        <v>1720</v>
      </c>
      <c r="AG172" s="5" t="s">
        <v>1720</v>
      </c>
      <c r="AH172" s="5" t="s">
        <v>1720</v>
      </c>
      <c r="AI172" s="6" t="str">
        <f t="shared" si="5"/>
        <v>No</v>
      </c>
      <c r="AJ172" s="6" t="s">
        <v>2298</v>
      </c>
      <c r="AK172" s="6" t="s">
        <v>162</v>
      </c>
      <c r="AL172" s="6">
        <f>MATCH(AA172,{"Low","Medium","High"},0)*MATCH(AB172,{"Low","Medium","High"},0)*INDEX({3,2,2,1,1},MATCH(X172,{"Core","Vertical extension","Differentiator","Future","Adjacent"},0))</f>
        <v>6</v>
      </c>
      <c r="AM172" s="5"/>
      <c r="AN172" s="5"/>
      <c r="AO172" s="5"/>
      <c r="AP172" s="5"/>
      <c r="AQ172" s="5"/>
      <c r="AR172" s="5"/>
      <c r="AS172" s="5"/>
      <c r="AT172" s="5"/>
      <c r="AU172" s="6" t="s">
        <v>2317</v>
      </c>
      <c r="AV172" s="6" t="s">
        <v>3686</v>
      </c>
      <c r="AW172" s="6" t="s">
        <v>3686</v>
      </c>
      <c r="AX172" s="6" t="s">
        <v>2284</v>
      </c>
      <c r="AY172" s="6" t="s">
        <v>2285</v>
      </c>
      <c r="AZ172" s="6"/>
      <c r="BA172" s="6"/>
      <c r="BB172" s="6"/>
      <c r="BC172" s="6" t="s">
        <v>127</v>
      </c>
      <c r="BD172" s="6" t="s">
        <v>127</v>
      </c>
      <c r="BE172" s="6" t="s">
        <v>1477</v>
      </c>
      <c r="BF172" s="6" t="s">
        <v>2286</v>
      </c>
      <c r="BG172" s="6" t="s">
        <v>3750</v>
      </c>
      <c r="BH172" s="6" t="s">
        <v>3751</v>
      </c>
    </row>
    <row r="173" spans="1:60" ht="32" customHeight="1" x14ac:dyDescent="0.35">
      <c r="A173" s="13" t="s">
        <v>3752</v>
      </c>
      <c r="B173" s="6" t="s">
        <v>2265</v>
      </c>
      <c r="C173" s="5" t="s">
        <v>2507</v>
      </c>
      <c r="D173" s="5" t="s">
        <v>2192</v>
      </c>
      <c r="E173" s="5" t="s">
        <v>3753</v>
      </c>
      <c r="F173" s="5" t="s">
        <v>2507</v>
      </c>
      <c r="G173" s="5" t="s">
        <v>2973</v>
      </c>
      <c r="H173" s="5" t="s">
        <v>3754</v>
      </c>
      <c r="I173" s="5" t="s">
        <v>3755</v>
      </c>
      <c r="J173" s="19" t="s">
        <v>204</v>
      </c>
      <c r="K173" s="17" t="s">
        <v>95</v>
      </c>
      <c r="L173" s="5" t="s">
        <v>3756</v>
      </c>
      <c r="M173" s="6" t="s">
        <v>1493</v>
      </c>
      <c r="N173" s="6" t="s">
        <v>2167</v>
      </c>
      <c r="O173" s="6" t="s">
        <v>204</v>
      </c>
      <c r="P173" s="5" t="s">
        <v>2524</v>
      </c>
      <c r="Q173" s="17" t="s">
        <v>95</v>
      </c>
      <c r="R173" s="5" t="s">
        <v>3757</v>
      </c>
      <c r="S173" s="6" t="s">
        <v>2371</v>
      </c>
      <c r="T173" s="5" t="s">
        <v>2372</v>
      </c>
      <c r="U173" s="6"/>
      <c r="V173" s="6" t="s">
        <v>2373</v>
      </c>
      <c r="W173" s="6" t="s">
        <v>1699</v>
      </c>
      <c r="X173" s="5" t="s">
        <v>228</v>
      </c>
      <c r="Y173" s="5" t="s">
        <v>3685</v>
      </c>
      <c r="Z173" s="5" t="str">
        <f t="shared" si="4"/>
        <v>Critical</v>
      </c>
      <c r="AA173" s="5" t="s">
        <v>1302</v>
      </c>
      <c r="AB173" s="6" t="s">
        <v>1319</v>
      </c>
      <c r="AC173" s="6" t="s">
        <v>32</v>
      </c>
      <c r="AD173" s="5" t="s">
        <v>95</v>
      </c>
      <c r="AE173" s="5" t="s">
        <v>1720</v>
      </c>
      <c r="AF173" s="5" t="s">
        <v>1720</v>
      </c>
      <c r="AG173" s="5" t="s">
        <v>1720</v>
      </c>
      <c r="AH173" s="5" t="s">
        <v>1720</v>
      </c>
      <c r="AI173" s="6" t="str">
        <f t="shared" si="5"/>
        <v>No</v>
      </c>
      <c r="AJ173" s="6" t="s">
        <v>229</v>
      </c>
      <c r="AK173" s="6" t="s">
        <v>204</v>
      </c>
      <c r="AL173" s="6">
        <f>MATCH(AA173,{"Low","Medium","High"},0)*MATCH(AB173,{"Low","Medium","High"},0)*INDEX({3,2,2,1,1},MATCH(X173,{"Core","Vertical extension","Differentiator","Future","Adjacent"},0))</f>
        <v>18</v>
      </c>
      <c r="AM173" s="5"/>
      <c r="AN173" s="5"/>
      <c r="AO173" s="5"/>
      <c r="AP173" s="5"/>
      <c r="AQ173" s="5"/>
      <c r="AR173" s="5"/>
      <c r="AS173" s="5"/>
      <c r="AT173" s="5"/>
      <c r="AU173" s="6" t="s">
        <v>2317</v>
      </c>
      <c r="AV173" s="6" t="s">
        <v>3686</v>
      </c>
      <c r="AW173" s="6" t="s">
        <v>3686</v>
      </c>
      <c r="AX173" s="6" t="s">
        <v>2374</v>
      </c>
      <c r="AY173" s="6" t="s">
        <v>2285</v>
      </c>
      <c r="AZ173" s="6"/>
      <c r="BA173" s="6"/>
      <c r="BB173" s="6"/>
      <c r="BC173" s="6" t="s">
        <v>127</v>
      </c>
      <c r="BD173" s="6" t="s">
        <v>127</v>
      </c>
      <c r="BE173" s="6" t="s">
        <v>1477</v>
      </c>
      <c r="BF173" s="6" t="s">
        <v>95</v>
      </c>
      <c r="BG173" s="6" t="s">
        <v>3758</v>
      </c>
      <c r="BH173" s="6" t="s">
        <v>3759</v>
      </c>
    </row>
    <row r="174" spans="1:60" ht="32" customHeight="1" x14ac:dyDescent="0.35">
      <c r="A174" s="13" t="s">
        <v>3760</v>
      </c>
      <c r="B174" s="6" t="s">
        <v>2265</v>
      </c>
      <c r="C174" s="5" t="s">
        <v>2507</v>
      </c>
      <c r="D174" s="5" t="s">
        <v>2192</v>
      </c>
      <c r="E174" s="5" t="s">
        <v>3761</v>
      </c>
      <c r="F174" s="5" t="s">
        <v>2507</v>
      </c>
      <c r="G174" s="5" t="s">
        <v>3336</v>
      </c>
      <c r="H174" s="5" t="s">
        <v>3762</v>
      </c>
      <c r="I174" s="5" t="s">
        <v>3763</v>
      </c>
      <c r="J174" s="19" t="s">
        <v>204</v>
      </c>
      <c r="K174" s="17" t="s">
        <v>1477</v>
      </c>
      <c r="L174" s="5" t="s">
        <v>3764</v>
      </c>
      <c r="M174" s="6" t="s">
        <v>1493</v>
      </c>
      <c r="N174" s="6" t="s">
        <v>2167</v>
      </c>
      <c r="O174" s="6" t="s">
        <v>204</v>
      </c>
      <c r="P174" s="5" t="s">
        <v>2524</v>
      </c>
      <c r="Q174" s="17" t="s">
        <v>2273</v>
      </c>
      <c r="R174" s="5" t="s">
        <v>3765</v>
      </c>
      <c r="S174" s="6" t="s">
        <v>2371</v>
      </c>
      <c r="T174" s="5" t="s">
        <v>2372</v>
      </c>
      <c r="U174" s="6"/>
      <c r="V174" s="6" t="s">
        <v>2373</v>
      </c>
      <c r="W174" s="6" t="s">
        <v>1699</v>
      </c>
      <c r="X174" s="5" t="s">
        <v>228</v>
      </c>
      <c r="Y174" s="5" t="s">
        <v>3685</v>
      </c>
      <c r="Z174" s="5" t="str">
        <f t="shared" si="4"/>
        <v>Critical</v>
      </c>
      <c r="AA174" s="5" t="s">
        <v>1302</v>
      </c>
      <c r="AB174" s="6" t="s">
        <v>1319</v>
      </c>
      <c r="AC174" s="6" t="s">
        <v>32</v>
      </c>
      <c r="AD174" s="5" t="s">
        <v>2278</v>
      </c>
      <c r="AE174" s="5" t="s">
        <v>1720</v>
      </c>
      <c r="AF174" s="5" t="s">
        <v>1720</v>
      </c>
      <c r="AG174" s="5" t="s">
        <v>1720</v>
      </c>
      <c r="AH174" s="5" t="s">
        <v>1720</v>
      </c>
      <c r="AI174" s="6" t="str">
        <f t="shared" si="5"/>
        <v>No</v>
      </c>
      <c r="AJ174" s="6" t="s">
        <v>2298</v>
      </c>
      <c r="AK174" s="6" t="s">
        <v>204</v>
      </c>
      <c r="AL174" s="6">
        <f>MATCH(AA174,{"Low","Medium","High"},0)*MATCH(AB174,{"Low","Medium","High"},0)*INDEX({3,2,2,1,1},MATCH(X174,{"Core","Vertical extension","Differentiator","Future","Adjacent"},0))</f>
        <v>18</v>
      </c>
      <c r="AM174" s="5"/>
      <c r="AN174" s="5"/>
      <c r="AO174" s="5"/>
      <c r="AP174" s="5"/>
      <c r="AQ174" s="5"/>
      <c r="AR174" s="5"/>
      <c r="AS174" s="5"/>
      <c r="AT174" s="5"/>
      <c r="AU174" s="6" t="s">
        <v>2317</v>
      </c>
      <c r="AV174" s="6" t="s">
        <v>3686</v>
      </c>
      <c r="AW174" s="6" t="s">
        <v>3686</v>
      </c>
      <c r="AX174" s="6" t="s">
        <v>2374</v>
      </c>
      <c r="AY174" s="6" t="s">
        <v>2285</v>
      </c>
      <c r="AZ174" s="6"/>
      <c r="BA174" s="6"/>
      <c r="BB174" s="6"/>
      <c r="BC174" s="6" t="s">
        <v>127</v>
      </c>
      <c r="BD174" s="6" t="s">
        <v>127</v>
      </c>
      <c r="BE174" s="6" t="s">
        <v>1477</v>
      </c>
      <c r="BF174" s="6" t="s">
        <v>2286</v>
      </c>
      <c r="BG174" s="6" t="s">
        <v>3766</v>
      </c>
      <c r="BH174" s="6" t="s">
        <v>3767</v>
      </c>
    </row>
    <row r="175" spans="1:60" ht="32" customHeight="1" x14ac:dyDescent="0.35">
      <c r="A175" s="13" t="s">
        <v>3768</v>
      </c>
      <c r="B175" s="6" t="s">
        <v>2265</v>
      </c>
      <c r="C175" s="5" t="s">
        <v>2507</v>
      </c>
      <c r="D175" s="5" t="s">
        <v>2199</v>
      </c>
      <c r="E175" s="5" t="s">
        <v>3769</v>
      </c>
      <c r="F175" s="5" t="s">
        <v>2507</v>
      </c>
      <c r="G175" s="5" t="s">
        <v>1669</v>
      </c>
      <c r="H175" s="5" t="s">
        <v>3770</v>
      </c>
      <c r="I175" s="5" t="s">
        <v>3771</v>
      </c>
      <c r="J175" s="17" t="s">
        <v>162</v>
      </c>
      <c r="K175" s="17" t="s">
        <v>1477</v>
      </c>
      <c r="L175" s="5" t="s">
        <v>3772</v>
      </c>
      <c r="M175" s="6" t="s">
        <v>1493</v>
      </c>
      <c r="N175" s="6" t="s">
        <v>2167</v>
      </c>
      <c r="O175" s="6" t="s">
        <v>162</v>
      </c>
      <c r="P175" s="5" t="s">
        <v>2272</v>
      </c>
      <c r="Q175" s="18" t="s">
        <v>1482</v>
      </c>
      <c r="R175" s="5" t="s">
        <v>3773</v>
      </c>
      <c r="S175" s="6" t="s">
        <v>2416</v>
      </c>
      <c r="T175" s="5" t="s">
        <v>2417</v>
      </c>
      <c r="U175" s="6"/>
      <c r="V175" s="6" t="s">
        <v>2277</v>
      </c>
      <c r="W175" s="6" t="s">
        <v>1697</v>
      </c>
      <c r="X175" s="5" t="s">
        <v>228</v>
      </c>
      <c r="Y175" s="5" t="s">
        <v>3685</v>
      </c>
      <c r="Z175" s="5" t="str">
        <f t="shared" si="4"/>
        <v>Medium</v>
      </c>
      <c r="AA175" s="5" t="s">
        <v>1319</v>
      </c>
      <c r="AB175" s="6" t="s">
        <v>1355</v>
      </c>
      <c r="AC175" s="6" t="s">
        <v>135</v>
      </c>
      <c r="AD175" s="5" t="s">
        <v>2278</v>
      </c>
      <c r="AE175" s="5" t="s">
        <v>1720</v>
      </c>
      <c r="AF175" s="5" t="s">
        <v>1720</v>
      </c>
      <c r="AG175" s="5" t="s">
        <v>1720</v>
      </c>
      <c r="AH175" s="5" t="s">
        <v>1720</v>
      </c>
      <c r="AI175" s="6" t="str">
        <f t="shared" si="5"/>
        <v>No</v>
      </c>
      <c r="AJ175" s="6" t="s">
        <v>2298</v>
      </c>
      <c r="AK175" s="6" t="s">
        <v>162</v>
      </c>
      <c r="AL175" s="6">
        <f>MATCH(AA175,{"Low","Medium","High"},0)*MATCH(AB175,{"Low","Medium","High"},0)*INDEX({3,2,2,1,1},MATCH(X175,{"Core","Vertical extension","Differentiator","Future","Adjacent"},0))</f>
        <v>6</v>
      </c>
      <c r="AM175" s="5"/>
      <c r="AN175" s="5"/>
      <c r="AO175" s="5"/>
      <c r="AP175" s="5"/>
      <c r="AQ175" s="5"/>
      <c r="AR175" s="5"/>
      <c r="AS175" s="5"/>
      <c r="AT175" s="5"/>
      <c r="AU175" s="6" t="s">
        <v>2317</v>
      </c>
      <c r="AV175" s="6" t="s">
        <v>3686</v>
      </c>
      <c r="AW175" s="6" t="s">
        <v>3686</v>
      </c>
      <c r="AX175" s="6" t="s">
        <v>2284</v>
      </c>
      <c r="AY175" s="6" t="s">
        <v>2285</v>
      </c>
      <c r="AZ175" s="6"/>
      <c r="BA175" s="6" t="s">
        <v>2573</v>
      </c>
      <c r="BB175" s="6" t="s">
        <v>2574</v>
      </c>
      <c r="BC175" s="6" t="s">
        <v>127</v>
      </c>
      <c r="BD175" s="6" t="s">
        <v>127</v>
      </c>
      <c r="BE175" s="6"/>
      <c r="BF175" s="6"/>
      <c r="BG175" s="6"/>
      <c r="BH175" s="6"/>
    </row>
    <row r="176" spans="1:60" ht="32" customHeight="1" x14ac:dyDescent="0.35">
      <c r="A176" s="13" t="s">
        <v>3774</v>
      </c>
      <c r="B176" s="6" t="s">
        <v>2265</v>
      </c>
      <c r="C176" s="5" t="s">
        <v>2507</v>
      </c>
      <c r="D176" s="5" t="s">
        <v>2193</v>
      </c>
      <c r="E176" s="5" t="s">
        <v>3775</v>
      </c>
      <c r="F176" s="5" t="s">
        <v>2507</v>
      </c>
      <c r="G176" s="5" t="s">
        <v>2973</v>
      </c>
      <c r="H176" s="5" t="s">
        <v>3776</v>
      </c>
      <c r="I176" s="5" t="s">
        <v>3777</v>
      </c>
      <c r="J176" s="17" t="s">
        <v>162</v>
      </c>
      <c r="K176" s="17" t="s">
        <v>95</v>
      </c>
      <c r="L176" s="5" t="s">
        <v>3778</v>
      </c>
      <c r="M176" s="6" t="s">
        <v>1493</v>
      </c>
      <c r="N176" s="6" t="s">
        <v>2167</v>
      </c>
      <c r="O176" s="6" t="s">
        <v>162</v>
      </c>
      <c r="P176" s="5" t="s">
        <v>2272</v>
      </c>
      <c r="Q176" s="17" t="s">
        <v>95</v>
      </c>
      <c r="R176" s="5" t="s">
        <v>3779</v>
      </c>
      <c r="S176" s="6" t="s">
        <v>2470</v>
      </c>
      <c r="T176" s="5" t="s">
        <v>2471</v>
      </c>
      <c r="U176" s="6"/>
      <c r="V176" s="6" t="s">
        <v>2472</v>
      </c>
      <c r="W176" s="6" t="s">
        <v>1697</v>
      </c>
      <c r="X176" s="5" t="s">
        <v>228</v>
      </c>
      <c r="Y176" s="5" t="s">
        <v>3685</v>
      </c>
      <c r="Z176" s="5" t="str">
        <f t="shared" si="4"/>
        <v>Medium</v>
      </c>
      <c r="AA176" s="5" t="s">
        <v>1319</v>
      </c>
      <c r="AB176" s="6" t="s">
        <v>1355</v>
      </c>
      <c r="AC176" s="6" t="s">
        <v>135</v>
      </c>
      <c r="AD176" s="5" t="s">
        <v>95</v>
      </c>
      <c r="AE176" s="5" t="s">
        <v>1720</v>
      </c>
      <c r="AF176" s="5" t="s">
        <v>1720</v>
      </c>
      <c r="AG176" s="5" t="s">
        <v>1720</v>
      </c>
      <c r="AH176" s="5" t="s">
        <v>1720</v>
      </c>
      <c r="AI176" s="6" t="str">
        <f t="shared" si="5"/>
        <v>No</v>
      </c>
      <c r="AJ176" s="6" t="s">
        <v>229</v>
      </c>
      <c r="AK176" s="6" t="s">
        <v>162</v>
      </c>
      <c r="AL176" s="6">
        <f>MATCH(AA176,{"Low","Medium","High"},0)*MATCH(AB176,{"Low","Medium","High"},0)*INDEX({3,2,2,1,1},MATCH(X176,{"Core","Vertical extension","Differentiator","Future","Adjacent"},0))</f>
        <v>6</v>
      </c>
      <c r="AM176" s="5"/>
      <c r="AN176" s="5"/>
      <c r="AO176" s="5"/>
      <c r="AP176" s="5"/>
      <c r="AQ176" s="5"/>
      <c r="AR176" s="5"/>
      <c r="AS176" s="5"/>
      <c r="AT176" s="5"/>
      <c r="AU176" s="6" t="s">
        <v>2317</v>
      </c>
      <c r="AV176" s="6" t="s">
        <v>3686</v>
      </c>
      <c r="AW176" s="6" t="s">
        <v>3686</v>
      </c>
      <c r="AX176" s="6" t="s">
        <v>2284</v>
      </c>
      <c r="AY176" s="6" t="s">
        <v>2285</v>
      </c>
      <c r="AZ176" s="6"/>
      <c r="BA176" s="6"/>
      <c r="BB176" s="6"/>
      <c r="BC176" s="6" t="s">
        <v>127</v>
      </c>
      <c r="BD176" s="6" t="s">
        <v>127</v>
      </c>
      <c r="BE176" s="6" t="s">
        <v>1477</v>
      </c>
      <c r="BF176" s="6" t="s">
        <v>95</v>
      </c>
      <c r="BG176" s="6" t="s">
        <v>3780</v>
      </c>
      <c r="BH176" s="6" t="s">
        <v>3781</v>
      </c>
    </row>
    <row r="177" spans="1:60" ht="32" customHeight="1" x14ac:dyDescent="0.35">
      <c r="A177" s="13" t="s">
        <v>3782</v>
      </c>
      <c r="B177" s="6" t="s">
        <v>2265</v>
      </c>
      <c r="C177" s="5" t="s">
        <v>3783</v>
      </c>
      <c r="D177" s="5" t="s">
        <v>2196</v>
      </c>
      <c r="E177" s="5" t="s">
        <v>3784</v>
      </c>
      <c r="F177" s="5" t="s">
        <v>3173</v>
      </c>
      <c r="G177" s="5" t="s">
        <v>3785</v>
      </c>
      <c r="H177" s="5" t="s">
        <v>3786</v>
      </c>
      <c r="I177" s="5" t="s">
        <v>3787</v>
      </c>
      <c r="J177" s="16" t="s">
        <v>94</v>
      </c>
      <c r="K177" s="17" t="s">
        <v>1477</v>
      </c>
      <c r="L177" s="5" t="s">
        <v>3788</v>
      </c>
      <c r="M177" s="6" t="s">
        <v>1493</v>
      </c>
      <c r="N177" s="6" t="s">
        <v>2167</v>
      </c>
      <c r="O177" s="6" t="s">
        <v>94</v>
      </c>
      <c r="P177" s="5" t="s">
        <v>2272</v>
      </c>
      <c r="Q177" s="17" t="s">
        <v>2273</v>
      </c>
      <c r="R177" s="5" t="s">
        <v>3789</v>
      </c>
      <c r="S177" s="6" t="s">
        <v>2358</v>
      </c>
      <c r="T177" s="5" t="s">
        <v>2359</v>
      </c>
      <c r="U177" s="6"/>
      <c r="V177" s="6" t="s">
        <v>2360</v>
      </c>
      <c r="W177" s="6" t="s">
        <v>1703</v>
      </c>
      <c r="X177" s="5" t="s">
        <v>228</v>
      </c>
      <c r="Y177" s="5" t="s">
        <v>3790</v>
      </c>
      <c r="Z177" s="5" t="str">
        <f t="shared" si="4"/>
        <v>High</v>
      </c>
      <c r="AA177" s="5" t="s">
        <v>1302</v>
      </c>
      <c r="AB177" s="6" t="s">
        <v>1355</v>
      </c>
      <c r="AC177" s="6" t="s">
        <v>99</v>
      </c>
      <c r="AD177" s="5" t="s">
        <v>2278</v>
      </c>
      <c r="AE177" s="5" t="s">
        <v>1720</v>
      </c>
      <c r="AF177" s="5" t="s">
        <v>1720</v>
      </c>
      <c r="AG177" s="5" t="s">
        <v>1720</v>
      </c>
      <c r="AH177" s="5" t="s">
        <v>1720</v>
      </c>
      <c r="AI177" s="6" t="str">
        <f t="shared" si="5"/>
        <v>No</v>
      </c>
      <c r="AJ177" s="6" t="s">
        <v>2279</v>
      </c>
      <c r="AK177" s="6" t="s">
        <v>94</v>
      </c>
      <c r="AL177" s="6">
        <f>MATCH(AA177,{"Low","Medium","High"},0)*MATCH(AB177,{"Low","Medium","High"},0)*INDEX({3,2,2,1,1},MATCH(X177,{"Core","Vertical extension","Differentiator","Future","Adjacent"},0))</f>
        <v>9</v>
      </c>
      <c r="AM177" s="5"/>
      <c r="AN177" s="5"/>
      <c r="AO177" s="5"/>
      <c r="AP177" s="5"/>
      <c r="AQ177" s="5"/>
      <c r="AR177" s="5" t="s">
        <v>3791</v>
      </c>
      <c r="AS177" s="5" t="s">
        <v>1462</v>
      </c>
      <c r="AT177" s="5" t="s">
        <v>2281</v>
      </c>
      <c r="AU177" s="6" t="s">
        <v>2282</v>
      </c>
      <c r="AV177" s="6" t="s">
        <v>2898</v>
      </c>
      <c r="AW177" s="6" t="s">
        <v>2898</v>
      </c>
      <c r="AX177" s="6" t="s">
        <v>2284</v>
      </c>
      <c r="AY177" s="6" t="s">
        <v>2285</v>
      </c>
      <c r="AZ177" s="6"/>
      <c r="BA177" s="6" t="s">
        <v>3179</v>
      </c>
      <c r="BB177" s="6" t="s">
        <v>3180</v>
      </c>
      <c r="BC177" s="6" t="s">
        <v>127</v>
      </c>
      <c r="BD177" s="6" t="s">
        <v>127</v>
      </c>
      <c r="BE177" s="6" t="s">
        <v>1477</v>
      </c>
      <c r="BF177" s="6" t="s">
        <v>2286</v>
      </c>
      <c r="BG177" s="6" t="s">
        <v>3792</v>
      </c>
      <c r="BH177" s="6" t="s">
        <v>3793</v>
      </c>
    </row>
    <row r="178" spans="1:60" ht="32" customHeight="1" x14ac:dyDescent="0.35">
      <c r="A178" s="13" t="s">
        <v>3794</v>
      </c>
      <c r="B178" s="6" t="s">
        <v>2265</v>
      </c>
      <c r="C178" s="5" t="s">
        <v>3783</v>
      </c>
      <c r="D178" s="5" t="s">
        <v>2196</v>
      </c>
      <c r="E178" s="5" t="s">
        <v>3795</v>
      </c>
      <c r="F178" s="5" t="s">
        <v>3173</v>
      </c>
      <c r="G178" s="5" t="s">
        <v>3796</v>
      </c>
      <c r="H178" s="5" t="s">
        <v>3797</v>
      </c>
      <c r="I178" s="5" t="s">
        <v>3798</v>
      </c>
      <c r="J178" s="16" t="s">
        <v>94</v>
      </c>
      <c r="K178" s="17" t="s">
        <v>1477</v>
      </c>
      <c r="L178" s="5" t="s">
        <v>3799</v>
      </c>
      <c r="M178" s="6" t="s">
        <v>1493</v>
      </c>
      <c r="N178" s="6" t="s">
        <v>2167</v>
      </c>
      <c r="O178" s="6" t="s">
        <v>94</v>
      </c>
      <c r="P178" s="5" t="s">
        <v>2272</v>
      </c>
      <c r="Q178" s="17" t="s">
        <v>2273</v>
      </c>
      <c r="R178" s="5" t="s">
        <v>3800</v>
      </c>
      <c r="S178" s="6" t="s">
        <v>2358</v>
      </c>
      <c r="T178" s="5" t="s">
        <v>2359</v>
      </c>
      <c r="U178" s="6"/>
      <c r="V178" s="6" t="s">
        <v>2360</v>
      </c>
      <c r="W178" s="6" t="s">
        <v>1703</v>
      </c>
      <c r="X178" s="5" t="s">
        <v>228</v>
      </c>
      <c r="Y178" s="5" t="s">
        <v>3790</v>
      </c>
      <c r="Z178" s="5" t="str">
        <f t="shared" si="4"/>
        <v>High</v>
      </c>
      <c r="AA178" s="5" t="s">
        <v>1302</v>
      </c>
      <c r="AB178" s="6" t="s">
        <v>1355</v>
      </c>
      <c r="AC178" s="6" t="s">
        <v>99</v>
      </c>
      <c r="AD178" s="5" t="s">
        <v>2278</v>
      </c>
      <c r="AE178" s="5" t="s">
        <v>1720</v>
      </c>
      <c r="AF178" s="5" t="s">
        <v>1720</v>
      </c>
      <c r="AG178" s="5" t="s">
        <v>1720</v>
      </c>
      <c r="AH178" s="5" t="s">
        <v>1720</v>
      </c>
      <c r="AI178" s="6" t="str">
        <f t="shared" si="5"/>
        <v>No</v>
      </c>
      <c r="AJ178" s="6" t="s">
        <v>2279</v>
      </c>
      <c r="AK178" s="6" t="s">
        <v>94</v>
      </c>
      <c r="AL178" s="6">
        <f>MATCH(AA178,{"Low","Medium","High"},0)*MATCH(AB178,{"Low","Medium","High"},0)*INDEX({3,2,2,1,1},MATCH(X178,{"Core","Vertical extension","Differentiator","Future","Adjacent"},0))</f>
        <v>9</v>
      </c>
      <c r="AM178" s="5"/>
      <c r="AN178" s="5"/>
      <c r="AO178" s="5"/>
      <c r="AP178" s="5"/>
      <c r="AQ178" s="5"/>
      <c r="AR178" s="5" t="s">
        <v>3801</v>
      </c>
      <c r="AS178" s="5" t="s">
        <v>1462</v>
      </c>
      <c r="AT178" s="5" t="s">
        <v>2281</v>
      </c>
      <c r="AU178" s="6" t="s">
        <v>2282</v>
      </c>
      <c r="AV178" s="6" t="s">
        <v>2898</v>
      </c>
      <c r="AW178" s="6" t="s">
        <v>2898</v>
      </c>
      <c r="AX178" s="6" t="s">
        <v>2284</v>
      </c>
      <c r="AY178" s="6" t="s">
        <v>2285</v>
      </c>
      <c r="AZ178" s="6"/>
      <c r="BA178" s="6"/>
      <c r="BB178" s="6"/>
      <c r="BC178" s="6" t="s">
        <v>127</v>
      </c>
      <c r="BD178" s="6" t="s">
        <v>127</v>
      </c>
      <c r="BE178" s="6" t="s">
        <v>1477</v>
      </c>
      <c r="BF178" s="6" t="s">
        <v>2286</v>
      </c>
      <c r="BG178" s="6" t="s">
        <v>3802</v>
      </c>
      <c r="BH178" s="6" t="s">
        <v>3803</v>
      </c>
    </row>
    <row r="179" spans="1:60" ht="32" customHeight="1" x14ac:dyDescent="0.35">
      <c r="A179" s="13" t="s">
        <v>3804</v>
      </c>
      <c r="B179" s="6" t="s">
        <v>2265</v>
      </c>
      <c r="C179" s="5" t="s">
        <v>3783</v>
      </c>
      <c r="D179" s="5" t="s">
        <v>2196</v>
      </c>
      <c r="E179" s="5" t="s">
        <v>3805</v>
      </c>
      <c r="F179" s="5" t="s">
        <v>3173</v>
      </c>
      <c r="G179" s="5" t="s">
        <v>2813</v>
      </c>
      <c r="H179" s="5" t="s">
        <v>3806</v>
      </c>
      <c r="I179" s="5" t="s">
        <v>3807</v>
      </c>
      <c r="J179" s="16" t="s">
        <v>94</v>
      </c>
      <c r="K179" s="17" t="s">
        <v>1477</v>
      </c>
      <c r="L179" s="5" t="s">
        <v>3808</v>
      </c>
      <c r="M179" s="6" t="s">
        <v>1493</v>
      </c>
      <c r="N179" s="6" t="s">
        <v>2167</v>
      </c>
      <c r="O179" s="6" t="s">
        <v>94</v>
      </c>
      <c r="P179" s="5" t="s">
        <v>2272</v>
      </c>
      <c r="Q179" s="17" t="s">
        <v>2273</v>
      </c>
      <c r="R179" s="5" t="s">
        <v>3809</v>
      </c>
      <c r="S179" s="6" t="s">
        <v>2358</v>
      </c>
      <c r="T179" s="5" t="s">
        <v>2359</v>
      </c>
      <c r="U179" s="6"/>
      <c r="V179" s="6" t="s">
        <v>2360</v>
      </c>
      <c r="W179" s="6" t="s">
        <v>1703</v>
      </c>
      <c r="X179" s="5" t="s">
        <v>228</v>
      </c>
      <c r="Y179" s="5" t="s">
        <v>3790</v>
      </c>
      <c r="Z179" s="5" t="str">
        <f t="shared" si="4"/>
        <v>High</v>
      </c>
      <c r="AA179" s="5" t="s">
        <v>1302</v>
      </c>
      <c r="AB179" s="6" t="s">
        <v>1355</v>
      </c>
      <c r="AC179" s="6" t="s">
        <v>99</v>
      </c>
      <c r="AD179" s="5" t="s">
        <v>2278</v>
      </c>
      <c r="AE179" s="5" t="s">
        <v>1720</v>
      </c>
      <c r="AF179" s="5" t="s">
        <v>1720</v>
      </c>
      <c r="AG179" s="5" t="s">
        <v>1720</v>
      </c>
      <c r="AH179" s="5" t="s">
        <v>1720</v>
      </c>
      <c r="AI179" s="6" t="str">
        <f t="shared" si="5"/>
        <v>No</v>
      </c>
      <c r="AJ179" s="6" t="s">
        <v>2298</v>
      </c>
      <c r="AK179" s="6" t="s">
        <v>94</v>
      </c>
      <c r="AL179" s="6">
        <f>MATCH(AA179,{"Low","Medium","High"},0)*MATCH(AB179,{"Low","Medium","High"},0)*INDEX({3,2,2,1,1},MATCH(X179,{"Core","Vertical extension","Differentiator","Future","Adjacent"},0))</f>
        <v>9</v>
      </c>
      <c r="AM179" s="5"/>
      <c r="AN179" s="5"/>
      <c r="AO179" s="5"/>
      <c r="AP179" s="5"/>
      <c r="AQ179" s="5"/>
      <c r="AR179" s="5" t="s">
        <v>3810</v>
      </c>
      <c r="AS179" s="5" t="s">
        <v>1462</v>
      </c>
      <c r="AT179" s="5" t="s">
        <v>2281</v>
      </c>
      <c r="AU179" s="6" t="s">
        <v>95</v>
      </c>
      <c r="AV179" s="6" t="s">
        <v>2898</v>
      </c>
      <c r="AW179" s="6" t="s">
        <v>2898</v>
      </c>
      <c r="AX179" s="6" t="s">
        <v>2284</v>
      </c>
      <c r="AY179" s="6" t="s">
        <v>2285</v>
      </c>
      <c r="AZ179" s="6"/>
      <c r="BA179" s="6"/>
      <c r="BB179" s="6"/>
      <c r="BC179" s="6" t="s">
        <v>127</v>
      </c>
      <c r="BD179" s="6" t="s">
        <v>127</v>
      </c>
      <c r="BE179" s="6" t="s">
        <v>1477</v>
      </c>
      <c r="BF179" s="6" t="s">
        <v>2286</v>
      </c>
      <c r="BG179" s="6" t="s">
        <v>3811</v>
      </c>
      <c r="BH179" s="6" t="s">
        <v>3812</v>
      </c>
    </row>
    <row r="180" spans="1:60" ht="32" customHeight="1" x14ac:dyDescent="0.35">
      <c r="A180" s="13" t="s">
        <v>3813</v>
      </c>
      <c r="B180" s="6" t="s">
        <v>2265</v>
      </c>
      <c r="C180" s="5" t="s">
        <v>3783</v>
      </c>
      <c r="D180" s="5" t="s">
        <v>2183</v>
      </c>
      <c r="E180" s="5" t="s">
        <v>3814</v>
      </c>
      <c r="F180" s="5" t="s">
        <v>3173</v>
      </c>
      <c r="G180" s="5" t="s">
        <v>2433</v>
      </c>
      <c r="H180" s="5" t="s">
        <v>3815</v>
      </c>
      <c r="I180" s="5" t="s">
        <v>3816</v>
      </c>
      <c r="J180" s="16" t="s">
        <v>94</v>
      </c>
      <c r="K180" s="17" t="s">
        <v>1477</v>
      </c>
      <c r="L180" s="5" t="s">
        <v>3817</v>
      </c>
      <c r="M180" s="6" t="s">
        <v>1493</v>
      </c>
      <c r="N180" s="6" t="s">
        <v>2167</v>
      </c>
      <c r="O180" s="6" t="s">
        <v>94</v>
      </c>
      <c r="P180" s="5" t="s">
        <v>2272</v>
      </c>
      <c r="Q180" s="17" t="s">
        <v>2273</v>
      </c>
      <c r="R180" s="5" t="s">
        <v>3818</v>
      </c>
      <c r="S180" s="6" t="s">
        <v>2438</v>
      </c>
      <c r="T180" s="5" t="s">
        <v>2439</v>
      </c>
      <c r="U180" s="6"/>
      <c r="V180" s="6" t="s">
        <v>2440</v>
      </c>
      <c r="W180" s="6" t="s">
        <v>1699</v>
      </c>
      <c r="X180" s="5" t="s">
        <v>228</v>
      </c>
      <c r="Y180" s="5" t="s">
        <v>3790</v>
      </c>
      <c r="Z180" s="5" t="str">
        <f t="shared" si="4"/>
        <v>Critical</v>
      </c>
      <c r="AA180" s="5" t="s">
        <v>1302</v>
      </c>
      <c r="AB180" s="6" t="s">
        <v>1302</v>
      </c>
      <c r="AC180" s="6" t="s">
        <v>99</v>
      </c>
      <c r="AD180" s="5" t="s">
        <v>2278</v>
      </c>
      <c r="AE180" s="5" t="s">
        <v>1720</v>
      </c>
      <c r="AF180" s="5" t="s">
        <v>1720</v>
      </c>
      <c r="AG180" s="5" t="s">
        <v>1720</v>
      </c>
      <c r="AH180" s="5" t="s">
        <v>1720</v>
      </c>
      <c r="AI180" s="6" t="str">
        <f t="shared" si="5"/>
        <v>No</v>
      </c>
      <c r="AJ180" s="6" t="s">
        <v>2298</v>
      </c>
      <c r="AK180" s="6" t="s">
        <v>94</v>
      </c>
      <c r="AL180" s="6">
        <f>MATCH(AA180,{"Low","Medium","High"},0)*MATCH(AB180,{"Low","Medium","High"},0)*INDEX({3,2,2,1,1},MATCH(X180,{"Core","Vertical extension","Differentiator","Future","Adjacent"},0))</f>
        <v>27</v>
      </c>
      <c r="AM180" s="5"/>
      <c r="AN180" s="5"/>
      <c r="AO180" s="5"/>
      <c r="AP180" s="5"/>
      <c r="AQ180" s="5"/>
      <c r="AR180" s="5" t="s">
        <v>3819</v>
      </c>
      <c r="AS180" s="5" t="s">
        <v>1462</v>
      </c>
      <c r="AT180" s="5" t="s">
        <v>2281</v>
      </c>
      <c r="AU180" s="6" t="s">
        <v>95</v>
      </c>
      <c r="AV180" s="6" t="s">
        <v>2898</v>
      </c>
      <c r="AW180" s="6" t="s">
        <v>2898</v>
      </c>
      <c r="AX180" s="6" t="s">
        <v>2284</v>
      </c>
      <c r="AY180" s="6" t="s">
        <v>2285</v>
      </c>
      <c r="AZ180" s="6"/>
      <c r="BA180" s="6" t="s">
        <v>3820</v>
      </c>
      <c r="BB180" s="6" t="s">
        <v>3821</v>
      </c>
      <c r="BC180" s="6" t="s">
        <v>127</v>
      </c>
      <c r="BD180" s="6" t="s">
        <v>127</v>
      </c>
      <c r="BE180" s="6" t="s">
        <v>1477</v>
      </c>
      <c r="BF180" s="6" t="s">
        <v>2286</v>
      </c>
      <c r="BG180" s="6" t="s">
        <v>3822</v>
      </c>
      <c r="BH180" s="6" t="s">
        <v>3823</v>
      </c>
    </row>
    <row r="181" spans="1:60" ht="32" customHeight="1" x14ac:dyDescent="0.35">
      <c r="A181" s="13" t="s">
        <v>269</v>
      </c>
      <c r="B181" s="6" t="s">
        <v>2265</v>
      </c>
      <c r="C181" s="5" t="s">
        <v>3783</v>
      </c>
      <c r="D181" s="5" t="s">
        <v>2197</v>
      </c>
      <c r="E181" s="5" t="s">
        <v>270</v>
      </c>
      <c r="F181" s="5" t="s">
        <v>3173</v>
      </c>
      <c r="G181" s="5" t="s">
        <v>3824</v>
      </c>
      <c r="H181" s="5" t="s">
        <v>3825</v>
      </c>
      <c r="I181" s="5" t="s">
        <v>3826</v>
      </c>
      <c r="J181" s="16" t="s">
        <v>94</v>
      </c>
      <c r="K181" s="17" t="s">
        <v>95</v>
      </c>
      <c r="L181" s="5" t="s">
        <v>3827</v>
      </c>
      <c r="M181" s="6" t="s">
        <v>1493</v>
      </c>
      <c r="N181" s="6" t="s">
        <v>2167</v>
      </c>
      <c r="O181" s="6" t="s">
        <v>94</v>
      </c>
      <c r="P181" s="5" t="s">
        <v>2272</v>
      </c>
      <c r="Q181" s="17" t="s">
        <v>95</v>
      </c>
      <c r="R181" s="5" t="s">
        <v>3828</v>
      </c>
      <c r="S181" s="6" t="s">
        <v>2861</v>
      </c>
      <c r="T181" s="5" t="s">
        <v>2862</v>
      </c>
      <c r="U181" s="6"/>
      <c r="V181" s="6" t="s">
        <v>2347</v>
      </c>
      <c r="W181" s="6" t="s">
        <v>1697</v>
      </c>
      <c r="X181" s="5" t="s">
        <v>228</v>
      </c>
      <c r="Y181" s="5" t="s">
        <v>3790</v>
      </c>
      <c r="Z181" s="5" t="str">
        <f t="shared" si="4"/>
        <v>High</v>
      </c>
      <c r="AA181" s="5" t="s">
        <v>1302</v>
      </c>
      <c r="AB181" s="6" t="s">
        <v>1355</v>
      </c>
      <c r="AC181" s="6" t="s">
        <v>135</v>
      </c>
      <c r="AD181" s="5" t="s">
        <v>95</v>
      </c>
      <c r="AE181" s="5" t="s">
        <v>1720</v>
      </c>
      <c r="AF181" s="5" t="s">
        <v>1720</v>
      </c>
      <c r="AG181" s="5" t="s">
        <v>1720</v>
      </c>
      <c r="AH181" s="5" t="s">
        <v>1720</v>
      </c>
      <c r="AI181" s="6" t="str">
        <f t="shared" si="5"/>
        <v>No</v>
      </c>
      <c r="AJ181" s="6" t="s">
        <v>229</v>
      </c>
      <c r="AK181" s="6" t="s">
        <v>94</v>
      </c>
      <c r="AL181" s="6">
        <f>MATCH(AA181,{"Low","Medium","High"},0)*MATCH(AB181,{"Low","Medium","High"},0)*INDEX({3,2,2,1,1},MATCH(X181,{"Core","Vertical extension","Differentiator","Future","Adjacent"},0))</f>
        <v>9</v>
      </c>
      <c r="AM181" s="5"/>
      <c r="AN181" s="5"/>
      <c r="AO181" s="5">
        <v>2</v>
      </c>
      <c r="AP181" s="5"/>
      <c r="AQ181" s="5"/>
      <c r="AR181" s="5" t="s">
        <v>3829</v>
      </c>
      <c r="AS181" s="5" t="s">
        <v>1462</v>
      </c>
      <c r="AT181" s="5" t="s">
        <v>2281</v>
      </c>
      <c r="AU181" s="6" t="s">
        <v>95</v>
      </c>
      <c r="AV181" s="6" t="s">
        <v>2898</v>
      </c>
      <c r="AW181" s="6" t="s">
        <v>2898</v>
      </c>
      <c r="AX181" s="6" t="s">
        <v>2284</v>
      </c>
      <c r="AY181" s="6" t="s">
        <v>2285</v>
      </c>
      <c r="AZ181" s="6"/>
      <c r="BA181" s="6" t="s">
        <v>3830</v>
      </c>
      <c r="BB181" s="6"/>
      <c r="BC181" s="6" t="s">
        <v>127</v>
      </c>
      <c r="BD181" s="6" t="s">
        <v>127</v>
      </c>
      <c r="BE181" s="6" t="s">
        <v>1477</v>
      </c>
      <c r="BF181" s="6" t="s">
        <v>95</v>
      </c>
      <c r="BG181" s="6" t="s">
        <v>3831</v>
      </c>
      <c r="BH181" s="6" t="s">
        <v>271</v>
      </c>
    </row>
    <row r="182" spans="1:60" ht="32" customHeight="1" x14ac:dyDescent="0.35">
      <c r="A182" s="13" t="s">
        <v>3832</v>
      </c>
      <c r="B182" s="6" t="s">
        <v>2265</v>
      </c>
      <c r="C182" s="5" t="s">
        <v>3783</v>
      </c>
      <c r="D182" s="5" t="s">
        <v>2183</v>
      </c>
      <c r="E182" s="5" t="s">
        <v>3833</v>
      </c>
      <c r="F182" s="5" t="s">
        <v>3173</v>
      </c>
      <c r="G182" s="5" t="s">
        <v>1824</v>
      </c>
      <c r="H182" s="5" t="s">
        <v>3834</v>
      </c>
      <c r="I182" s="5" t="s">
        <v>3835</v>
      </c>
      <c r="J182" s="16" t="s">
        <v>94</v>
      </c>
      <c r="K182" s="17" t="s">
        <v>1477</v>
      </c>
      <c r="L182" s="5" t="s">
        <v>3836</v>
      </c>
      <c r="M182" s="6" t="s">
        <v>1493</v>
      </c>
      <c r="N182" s="6" t="s">
        <v>2167</v>
      </c>
      <c r="O182" s="6" t="s">
        <v>94</v>
      </c>
      <c r="P182" s="5" t="s">
        <v>2272</v>
      </c>
      <c r="Q182" s="17" t="s">
        <v>2273</v>
      </c>
      <c r="R182" s="5" t="s">
        <v>3837</v>
      </c>
      <c r="S182" s="6" t="s">
        <v>2438</v>
      </c>
      <c r="T182" s="5" t="s">
        <v>2439</v>
      </c>
      <c r="U182" s="6"/>
      <c r="V182" s="6" t="s">
        <v>2440</v>
      </c>
      <c r="W182" s="6" t="s">
        <v>1699</v>
      </c>
      <c r="X182" s="5" t="s">
        <v>228</v>
      </c>
      <c r="Y182" s="5" t="s">
        <v>3790</v>
      </c>
      <c r="Z182" s="5" t="str">
        <f t="shared" si="4"/>
        <v>Critical</v>
      </c>
      <c r="AA182" s="5" t="s">
        <v>1302</v>
      </c>
      <c r="AB182" s="6" t="s">
        <v>1302</v>
      </c>
      <c r="AC182" s="6" t="s">
        <v>99</v>
      </c>
      <c r="AD182" s="5" t="s">
        <v>2278</v>
      </c>
      <c r="AE182" s="5" t="s">
        <v>1720</v>
      </c>
      <c r="AF182" s="5" t="s">
        <v>1720</v>
      </c>
      <c r="AG182" s="5" t="s">
        <v>1720</v>
      </c>
      <c r="AH182" s="5" t="s">
        <v>1720</v>
      </c>
      <c r="AI182" s="6" t="str">
        <f t="shared" si="5"/>
        <v>No</v>
      </c>
      <c r="AJ182" s="6" t="s">
        <v>2298</v>
      </c>
      <c r="AK182" s="6" t="s">
        <v>94</v>
      </c>
      <c r="AL182" s="6">
        <f>MATCH(AA182,{"Low","Medium","High"},0)*MATCH(AB182,{"Low","Medium","High"},0)*INDEX({3,2,2,1,1},MATCH(X182,{"Core","Vertical extension","Differentiator","Future","Adjacent"},0))</f>
        <v>27</v>
      </c>
      <c r="AM182" s="5"/>
      <c r="AN182" s="5"/>
      <c r="AO182" s="5"/>
      <c r="AP182" s="5"/>
      <c r="AQ182" s="5"/>
      <c r="AR182" s="5" t="s">
        <v>3838</v>
      </c>
      <c r="AS182" s="5" t="s">
        <v>1462</v>
      </c>
      <c r="AT182" s="5" t="s">
        <v>2281</v>
      </c>
      <c r="AU182" s="6" t="s">
        <v>95</v>
      </c>
      <c r="AV182" s="6" t="s">
        <v>2898</v>
      </c>
      <c r="AW182" s="6" t="s">
        <v>2898</v>
      </c>
      <c r="AX182" s="6" t="s">
        <v>2284</v>
      </c>
      <c r="AY182" s="6" t="s">
        <v>2285</v>
      </c>
      <c r="AZ182" s="6"/>
      <c r="BA182" s="6" t="s">
        <v>3839</v>
      </c>
      <c r="BB182" s="6"/>
      <c r="BC182" s="6" t="s">
        <v>127</v>
      </c>
      <c r="BD182" s="6" t="s">
        <v>127</v>
      </c>
      <c r="BE182" s="6" t="s">
        <v>1477</v>
      </c>
      <c r="BF182" s="6" t="s">
        <v>2286</v>
      </c>
      <c r="BG182" s="6" t="s">
        <v>3840</v>
      </c>
      <c r="BH182" s="6" t="s">
        <v>3841</v>
      </c>
    </row>
    <row r="183" spans="1:60" ht="32" customHeight="1" x14ac:dyDescent="0.35">
      <c r="A183" s="13" t="s">
        <v>3842</v>
      </c>
      <c r="B183" s="6" t="s">
        <v>2265</v>
      </c>
      <c r="C183" s="5" t="s">
        <v>3783</v>
      </c>
      <c r="D183" s="5" t="s">
        <v>2191</v>
      </c>
      <c r="E183" s="5" t="s">
        <v>3843</v>
      </c>
      <c r="F183" s="5" t="s">
        <v>3173</v>
      </c>
      <c r="G183" s="5" t="s">
        <v>3844</v>
      </c>
      <c r="H183" s="5" t="s">
        <v>3845</v>
      </c>
      <c r="I183" s="5" t="s">
        <v>3846</v>
      </c>
      <c r="J183" s="19" t="s">
        <v>204</v>
      </c>
      <c r="K183" s="17" t="s">
        <v>95</v>
      </c>
      <c r="L183" s="5" t="s">
        <v>3847</v>
      </c>
      <c r="M183" s="6" t="s">
        <v>1493</v>
      </c>
      <c r="N183" s="6" t="s">
        <v>2167</v>
      </c>
      <c r="O183" s="6" t="s">
        <v>204</v>
      </c>
      <c r="P183" s="5" t="s">
        <v>2524</v>
      </c>
      <c r="Q183" s="17" t="s">
        <v>95</v>
      </c>
      <c r="R183" s="5" t="s">
        <v>3848</v>
      </c>
      <c r="S183" s="6" t="s">
        <v>2275</v>
      </c>
      <c r="T183" s="5" t="s">
        <v>2276</v>
      </c>
      <c r="U183" s="6"/>
      <c r="V183" s="6" t="s">
        <v>2277</v>
      </c>
      <c r="W183" s="6" t="s">
        <v>1697</v>
      </c>
      <c r="X183" s="5" t="s">
        <v>228</v>
      </c>
      <c r="Y183" s="5" t="s">
        <v>3790</v>
      </c>
      <c r="Z183" s="5" t="str">
        <f t="shared" si="4"/>
        <v>Medium</v>
      </c>
      <c r="AA183" s="5" t="s">
        <v>1319</v>
      </c>
      <c r="AB183" s="6" t="s">
        <v>1355</v>
      </c>
      <c r="AC183" s="6" t="s">
        <v>32</v>
      </c>
      <c r="AD183" s="5" t="s">
        <v>95</v>
      </c>
      <c r="AE183" s="5" t="s">
        <v>1720</v>
      </c>
      <c r="AF183" s="5" t="s">
        <v>1720</v>
      </c>
      <c r="AG183" s="5" t="s">
        <v>1720</v>
      </c>
      <c r="AH183" s="5" t="s">
        <v>1720</v>
      </c>
      <c r="AI183" s="6" t="str">
        <f t="shared" si="5"/>
        <v>No</v>
      </c>
      <c r="AJ183" s="6" t="s">
        <v>229</v>
      </c>
      <c r="AK183" s="6" t="s">
        <v>204</v>
      </c>
      <c r="AL183" s="6">
        <f>MATCH(AA183,{"Low","Medium","High"},0)*MATCH(AB183,{"Low","Medium","High"},0)*INDEX({3,2,2,1,1},MATCH(X183,{"Core","Vertical extension","Differentiator","Future","Adjacent"},0))</f>
        <v>6</v>
      </c>
      <c r="AM183" s="5"/>
      <c r="AN183" s="5"/>
      <c r="AO183" s="5"/>
      <c r="AP183" s="5"/>
      <c r="AQ183" s="5"/>
      <c r="AR183" s="5"/>
      <c r="AS183" s="5"/>
      <c r="AT183" s="5"/>
      <c r="AU183" s="6" t="s">
        <v>2317</v>
      </c>
      <c r="AV183" s="6" t="s">
        <v>2898</v>
      </c>
      <c r="AW183" s="6" t="s">
        <v>2898</v>
      </c>
      <c r="AX183" s="6" t="s">
        <v>2374</v>
      </c>
      <c r="AY183" s="6" t="s">
        <v>2285</v>
      </c>
      <c r="AZ183" s="6"/>
      <c r="BA183" s="6"/>
      <c r="BB183" s="6"/>
      <c r="BC183" s="6" t="s">
        <v>127</v>
      </c>
      <c r="BD183" s="6" t="s">
        <v>127</v>
      </c>
      <c r="BE183" s="6" t="s">
        <v>1477</v>
      </c>
      <c r="BF183" s="6" t="s">
        <v>95</v>
      </c>
      <c r="BG183" s="6" t="s">
        <v>3849</v>
      </c>
      <c r="BH183" s="6" t="s">
        <v>3850</v>
      </c>
    </row>
    <row r="184" spans="1:60" ht="32" customHeight="1" x14ac:dyDescent="0.35">
      <c r="A184" s="13" t="s">
        <v>3851</v>
      </c>
      <c r="B184" s="6" t="s">
        <v>2265</v>
      </c>
      <c r="C184" s="5" t="s">
        <v>3783</v>
      </c>
      <c r="D184" s="5" t="s">
        <v>2198</v>
      </c>
      <c r="E184" s="5" t="s">
        <v>3852</v>
      </c>
      <c r="F184" s="5" t="s">
        <v>3173</v>
      </c>
      <c r="G184" s="5" t="s">
        <v>2312</v>
      </c>
      <c r="H184" s="5" t="s">
        <v>3853</v>
      </c>
      <c r="I184" s="5" t="s">
        <v>3854</v>
      </c>
      <c r="J184" s="17" t="s">
        <v>162</v>
      </c>
      <c r="K184" s="17" t="s">
        <v>1477</v>
      </c>
      <c r="L184" s="5" t="s">
        <v>3855</v>
      </c>
      <c r="M184" s="6" t="s">
        <v>1493</v>
      </c>
      <c r="N184" s="6" t="s">
        <v>2167</v>
      </c>
      <c r="O184" s="6" t="s">
        <v>162</v>
      </c>
      <c r="P184" s="5" t="s">
        <v>2272</v>
      </c>
      <c r="Q184" s="18" t="s">
        <v>1482</v>
      </c>
      <c r="R184" s="5" t="s">
        <v>2400</v>
      </c>
      <c r="S184" s="6" t="s">
        <v>2401</v>
      </c>
      <c r="T184" s="5" t="s">
        <v>2402</v>
      </c>
      <c r="U184" s="6"/>
      <c r="V184" s="6" t="s">
        <v>2403</v>
      </c>
      <c r="W184" s="6" t="s">
        <v>1703</v>
      </c>
      <c r="X184" s="5" t="s">
        <v>228</v>
      </c>
      <c r="Y184" s="5" t="s">
        <v>3790</v>
      </c>
      <c r="Z184" s="5" t="str">
        <f t="shared" si="4"/>
        <v>Medium</v>
      </c>
      <c r="AA184" s="5" t="s">
        <v>1319</v>
      </c>
      <c r="AB184" s="6" t="s">
        <v>1355</v>
      </c>
      <c r="AC184" s="6" t="s">
        <v>32</v>
      </c>
      <c r="AD184" s="5" t="s">
        <v>2278</v>
      </c>
      <c r="AE184" s="5" t="s">
        <v>1720</v>
      </c>
      <c r="AF184" s="5" t="s">
        <v>1720</v>
      </c>
      <c r="AG184" s="5" t="s">
        <v>1720</v>
      </c>
      <c r="AH184" s="5" t="s">
        <v>1720</v>
      </c>
      <c r="AI184" s="6" t="str">
        <f t="shared" si="5"/>
        <v>No</v>
      </c>
      <c r="AJ184" s="6" t="s">
        <v>2298</v>
      </c>
      <c r="AK184" s="6" t="s">
        <v>204</v>
      </c>
      <c r="AL184" s="6">
        <f>MATCH(AA184,{"Low","Medium","High"},0)*MATCH(AB184,{"Low","Medium","High"},0)*INDEX({3,2,2,1,1},MATCH(X184,{"Core","Vertical extension","Differentiator","Future","Adjacent"},0))</f>
        <v>6</v>
      </c>
      <c r="AM184" s="5"/>
      <c r="AN184" s="5"/>
      <c r="AO184" s="5"/>
      <c r="AP184" s="5"/>
      <c r="AQ184" s="5"/>
      <c r="AR184" s="5"/>
      <c r="AS184" s="5"/>
      <c r="AT184" s="5"/>
      <c r="AU184" s="6" t="s">
        <v>2317</v>
      </c>
      <c r="AV184" s="6" t="s">
        <v>2898</v>
      </c>
      <c r="AW184" s="6" t="s">
        <v>2898</v>
      </c>
      <c r="AX184" s="6" t="s">
        <v>2284</v>
      </c>
      <c r="AY184" s="6" t="s">
        <v>2285</v>
      </c>
      <c r="AZ184" s="6"/>
      <c r="BA184" s="6"/>
      <c r="BB184" s="6"/>
      <c r="BC184" s="6" t="s">
        <v>127</v>
      </c>
      <c r="BD184" s="6" t="s">
        <v>127</v>
      </c>
      <c r="BE184" s="6"/>
      <c r="BF184" s="6"/>
      <c r="BG184" s="6"/>
      <c r="BH184" s="6"/>
    </row>
    <row r="185" spans="1:60" ht="32" customHeight="1" x14ac:dyDescent="0.35">
      <c r="A185" s="13" t="s">
        <v>3856</v>
      </c>
      <c r="B185" s="6" t="s">
        <v>2265</v>
      </c>
      <c r="C185" s="5" t="s">
        <v>3783</v>
      </c>
      <c r="D185" s="5" t="s">
        <v>2185</v>
      </c>
      <c r="E185" s="5" t="s">
        <v>3857</v>
      </c>
      <c r="F185" s="5" t="s">
        <v>3173</v>
      </c>
      <c r="G185" s="5" t="s">
        <v>3858</v>
      </c>
      <c r="H185" s="5" t="s">
        <v>3859</v>
      </c>
      <c r="I185" s="5" t="s">
        <v>3860</v>
      </c>
      <c r="J185" s="17" t="s">
        <v>162</v>
      </c>
      <c r="K185" s="17" t="s">
        <v>95</v>
      </c>
      <c r="L185" s="5" t="s">
        <v>3861</v>
      </c>
      <c r="M185" s="6" t="s">
        <v>1493</v>
      </c>
      <c r="N185" s="6" t="s">
        <v>2167</v>
      </c>
      <c r="O185" s="6" t="s">
        <v>162</v>
      </c>
      <c r="P185" s="5" t="s">
        <v>2272</v>
      </c>
      <c r="Q185" s="17" t="s">
        <v>95</v>
      </c>
      <c r="R185" s="5" t="s">
        <v>3862</v>
      </c>
      <c r="S185" s="6" t="s">
        <v>2409</v>
      </c>
      <c r="T185" s="5" t="s">
        <v>2185</v>
      </c>
      <c r="U185" s="6"/>
      <c r="V185" s="6" t="s">
        <v>2410</v>
      </c>
      <c r="W185" s="6" t="s">
        <v>1699</v>
      </c>
      <c r="X185" s="5" t="s">
        <v>228</v>
      </c>
      <c r="Y185" s="5" t="s">
        <v>3790</v>
      </c>
      <c r="Z185" s="5" t="str">
        <f t="shared" si="4"/>
        <v>High</v>
      </c>
      <c r="AA185" s="5" t="s">
        <v>1319</v>
      </c>
      <c r="AB185" s="6" t="s">
        <v>1319</v>
      </c>
      <c r="AC185" s="6" t="s">
        <v>135</v>
      </c>
      <c r="AD185" s="5" t="s">
        <v>95</v>
      </c>
      <c r="AE185" s="5" t="s">
        <v>1720</v>
      </c>
      <c r="AF185" s="5" t="s">
        <v>1720</v>
      </c>
      <c r="AG185" s="5" t="s">
        <v>1720</v>
      </c>
      <c r="AH185" s="5" t="s">
        <v>1720</v>
      </c>
      <c r="AI185" s="6" t="str">
        <f t="shared" si="5"/>
        <v>No</v>
      </c>
      <c r="AJ185" s="6" t="s">
        <v>229</v>
      </c>
      <c r="AK185" s="6" t="s">
        <v>162</v>
      </c>
      <c r="AL185" s="6">
        <f>MATCH(AA185,{"Low","Medium","High"},0)*MATCH(AB185,{"Low","Medium","High"},0)*INDEX({3,2,2,1,1},MATCH(X185,{"Core","Vertical extension","Differentiator","Future","Adjacent"},0))</f>
        <v>12</v>
      </c>
      <c r="AM185" s="5"/>
      <c r="AN185" s="5"/>
      <c r="AO185" s="5"/>
      <c r="AP185" s="5"/>
      <c r="AQ185" s="5"/>
      <c r="AR185" s="5"/>
      <c r="AS185" s="5"/>
      <c r="AT185" s="5"/>
      <c r="AU185" s="6" t="s">
        <v>2317</v>
      </c>
      <c r="AV185" s="6" t="s">
        <v>2898</v>
      </c>
      <c r="AW185" s="6" t="s">
        <v>2898</v>
      </c>
      <c r="AX185" s="6" t="s">
        <v>2284</v>
      </c>
      <c r="AY185" s="6" t="s">
        <v>2411</v>
      </c>
      <c r="AZ185" s="6"/>
      <c r="BA185" s="6"/>
      <c r="BB185" s="6"/>
      <c r="BC185" s="6" t="s">
        <v>127</v>
      </c>
      <c r="BD185" s="6" t="s">
        <v>127</v>
      </c>
      <c r="BE185" s="6" t="s">
        <v>1477</v>
      </c>
      <c r="BF185" s="6" t="s">
        <v>95</v>
      </c>
      <c r="BG185" s="6" t="s">
        <v>3863</v>
      </c>
      <c r="BH185" s="6" t="s">
        <v>3864</v>
      </c>
    </row>
    <row r="186" spans="1:60" ht="32" customHeight="1" x14ac:dyDescent="0.35">
      <c r="A186" s="13" t="s">
        <v>3865</v>
      </c>
      <c r="B186" s="6" t="s">
        <v>2265</v>
      </c>
      <c r="C186" s="5" t="s">
        <v>3783</v>
      </c>
      <c r="D186" s="5" t="s">
        <v>2185</v>
      </c>
      <c r="E186" s="5" t="s">
        <v>3866</v>
      </c>
      <c r="F186" s="5" t="s">
        <v>3173</v>
      </c>
      <c r="G186" s="5" t="s">
        <v>3867</v>
      </c>
      <c r="H186" s="5" t="s">
        <v>3868</v>
      </c>
      <c r="I186" s="5" t="s">
        <v>3869</v>
      </c>
      <c r="J186" s="16" t="s">
        <v>94</v>
      </c>
      <c r="K186" s="17" t="s">
        <v>1477</v>
      </c>
      <c r="L186" s="5" t="s">
        <v>3870</v>
      </c>
      <c r="M186" s="6" t="s">
        <v>1493</v>
      </c>
      <c r="N186" s="6" t="s">
        <v>2167</v>
      </c>
      <c r="O186" s="6" t="s">
        <v>94</v>
      </c>
      <c r="P186" s="5" t="s">
        <v>2272</v>
      </c>
      <c r="Q186" s="17" t="s">
        <v>2273</v>
      </c>
      <c r="R186" s="5" t="s">
        <v>3871</v>
      </c>
      <c r="S186" s="6" t="s">
        <v>2409</v>
      </c>
      <c r="T186" s="5" t="s">
        <v>2185</v>
      </c>
      <c r="U186" s="6"/>
      <c r="V186" s="6" t="s">
        <v>2410</v>
      </c>
      <c r="W186" s="6" t="s">
        <v>1699</v>
      </c>
      <c r="X186" s="5" t="s">
        <v>228</v>
      </c>
      <c r="Y186" s="5" t="s">
        <v>3790</v>
      </c>
      <c r="Z186" s="5" t="str">
        <f t="shared" si="4"/>
        <v>Critical</v>
      </c>
      <c r="AA186" s="5" t="s">
        <v>1302</v>
      </c>
      <c r="AB186" s="6" t="s">
        <v>1319</v>
      </c>
      <c r="AC186" s="6" t="s">
        <v>99</v>
      </c>
      <c r="AD186" s="5" t="s">
        <v>2278</v>
      </c>
      <c r="AE186" s="5" t="s">
        <v>1720</v>
      </c>
      <c r="AF186" s="5" t="s">
        <v>1720</v>
      </c>
      <c r="AG186" s="5" t="s">
        <v>1720</v>
      </c>
      <c r="AH186" s="5" t="s">
        <v>1720</v>
      </c>
      <c r="AI186" s="6" t="str">
        <f t="shared" si="5"/>
        <v>No</v>
      </c>
      <c r="AJ186" s="6" t="s">
        <v>2298</v>
      </c>
      <c r="AK186" s="6" t="s">
        <v>94</v>
      </c>
      <c r="AL186" s="6">
        <f>MATCH(AA186,{"Low","Medium","High"},0)*MATCH(AB186,{"Low","Medium","High"},0)*INDEX({3,2,2,1,1},MATCH(X186,{"Core","Vertical extension","Differentiator","Future","Adjacent"},0))</f>
        <v>18</v>
      </c>
      <c r="AM186" s="5"/>
      <c r="AN186" s="5"/>
      <c r="AO186" s="5"/>
      <c r="AP186" s="5"/>
      <c r="AQ186" s="5"/>
      <c r="AR186" s="5" t="s">
        <v>3872</v>
      </c>
      <c r="AS186" s="5" t="s">
        <v>1462</v>
      </c>
      <c r="AT186" s="5" t="s">
        <v>2281</v>
      </c>
      <c r="AU186" s="6" t="s">
        <v>95</v>
      </c>
      <c r="AV186" s="6" t="s">
        <v>2898</v>
      </c>
      <c r="AW186" s="6" t="s">
        <v>2898</v>
      </c>
      <c r="AX186" s="6" t="s">
        <v>2284</v>
      </c>
      <c r="AY186" s="6" t="s">
        <v>2411</v>
      </c>
      <c r="AZ186" s="6"/>
      <c r="BA186" s="6"/>
      <c r="BB186" s="6"/>
      <c r="BC186" s="6" t="s">
        <v>127</v>
      </c>
      <c r="BD186" s="6" t="s">
        <v>127</v>
      </c>
      <c r="BE186" s="6" t="s">
        <v>1477</v>
      </c>
      <c r="BF186" s="6" t="s">
        <v>2286</v>
      </c>
      <c r="BG186" s="6" t="s">
        <v>3873</v>
      </c>
      <c r="BH186" s="6" t="s">
        <v>3874</v>
      </c>
    </row>
    <row r="187" spans="1:60" ht="32" customHeight="1" x14ac:dyDescent="0.35">
      <c r="A187" s="13" t="s">
        <v>3875</v>
      </c>
      <c r="B187" s="6" t="s">
        <v>2265</v>
      </c>
      <c r="C187" s="5" t="s">
        <v>3783</v>
      </c>
      <c r="D187" s="5" t="s">
        <v>2194</v>
      </c>
      <c r="E187" s="5" t="s">
        <v>3876</v>
      </c>
      <c r="F187" s="5" t="s">
        <v>3173</v>
      </c>
      <c r="G187" s="5" t="s">
        <v>1824</v>
      </c>
      <c r="H187" s="5" t="s">
        <v>3877</v>
      </c>
      <c r="I187" s="5" t="s">
        <v>3878</v>
      </c>
      <c r="J187" s="17" t="s">
        <v>162</v>
      </c>
      <c r="K187" s="17" t="s">
        <v>1477</v>
      </c>
      <c r="L187" s="5" t="s">
        <v>3879</v>
      </c>
      <c r="M187" s="6" t="s">
        <v>1493</v>
      </c>
      <c r="N187" s="6" t="s">
        <v>2167</v>
      </c>
      <c r="O187" s="6" t="s">
        <v>162</v>
      </c>
      <c r="P187" s="5" t="s">
        <v>2272</v>
      </c>
      <c r="Q187" s="17" t="s">
        <v>2273</v>
      </c>
      <c r="R187" s="5" t="s">
        <v>3880</v>
      </c>
      <c r="S187" s="6" t="s">
        <v>2449</v>
      </c>
      <c r="T187" s="5" t="s">
        <v>2450</v>
      </c>
      <c r="U187" s="6"/>
      <c r="V187" s="6" t="s">
        <v>2440</v>
      </c>
      <c r="W187" s="6" t="s">
        <v>1699</v>
      </c>
      <c r="X187" s="5" t="s">
        <v>228</v>
      </c>
      <c r="Y187" s="5" t="s">
        <v>3790</v>
      </c>
      <c r="Z187" s="5" t="str">
        <f t="shared" si="4"/>
        <v>Medium</v>
      </c>
      <c r="AA187" s="5" t="s">
        <v>1319</v>
      </c>
      <c r="AB187" s="6" t="s">
        <v>1355</v>
      </c>
      <c r="AC187" s="6" t="s">
        <v>135</v>
      </c>
      <c r="AD187" s="5" t="s">
        <v>2278</v>
      </c>
      <c r="AE187" s="5" t="s">
        <v>1720</v>
      </c>
      <c r="AF187" s="5" t="s">
        <v>1720</v>
      </c>
      <c r="AG187" s="5" t="s">
        <v>1720</v>
      </c>
      <c r="AH187" s="5" t="s">
        <v>1720</v>
      </c>
      <c r="AI187" s="6" t="str">
        <f t="shared" si="5"/>
        <v>No</v>
      </c>
      <c r="AJ187" s="6" t="s">
        <v>2298</v>
      </c>
      <c r="AK187" s="6" t="s">
        <v>162</v>
      </c>
      <c r="AL187" s="6">
        <f>MATCH(AA187,{"Low","Medium","High"},0)*MATCH(AB187,{"Low","Medium","High"},0)*INDEX({3,2,2,1,1},MATCH(X187,{"Core","Vertical extension","Differentiator","Future","Adjacent"},0))</f>
        <v>6</v>
      </c>
      <c r="AM187" s="5"/>
      <c r="AN187" s="5"/>
      <c r="AO187" s="5"/>
      <c r="AP187" s="5"/>
      <c r="AQ187" s="5"/>
      <c r="AR187" s="5"/>
      <c r="AS187" s="5"/>
      <c r="AT187" s="5"/>
      <c r="AU187" s="6" t="s">
        <v>2317</v>
      </c>
      <c r="AV187" s="6" t="s">
        <v>2898</v>
      </c>
      <c r="AW187" s="6" t="s">
        <v>2898</v>
      </c>
      <c r="AX187" s="6" t="s">
        <v>2284</v>
      </c>
      <c r="AY187" s="6" t="s">
        <v>2285</v>
      </c>
      <c r="AZ187" s="6"/>
      <c r="BA187" s="6"/>
      <c r="BB187" s="6"/>
      <c r="BC187" s="6" t="s">
        <v>127</v>
      </c>
      <c r="BD187" s="6" t="s">
        <v>127</v>
      </c>
      <c r="BE187" s="6" t="s">
        <v>1477</v>
      </c>
      <c r="BF187" s="6" t="s">
        <v>2286</v>
      </c>
      <c r="BG187" s="6" t="s">
        <v>3881</v>
      </c>
      <c r="BH187" s="6" t="s">
        <v>3882</v>
      </c>
    </row>
    <row r="188" spans="1:60" ht="32" customHeight="1" x14ac:dyDescent="0.35">
      <c r="A188" s="13" t="s">
        <v>3883</v>
      </c>
      <c r="B188" s="6" t="s">
        <v>2265</v>
      </c>
      <c r="C188" s="5" t="s">
        <v>3783</v>
      </c>
      <c r="D188" s="5" t="s">
        <v>2185</v>
      </c>
      <c r="E188" s="5" t="s">
        <v>3884</v>
      </c>
      <c r="F188" s="5" t="s">
        <v>3173</v>
      </c>
      <c r="G188" s="5" t="s">
        <v>2813</v>
      </c>
      <c r="H188" s="5" t="s">
        <v>3885</v>
      </c>
      <c r="I188" s="5" t="s">
        <v>3886</v>
      </c>
      <c r="J188" s="16" t="s">
        <v>94</v>
      </c>
      <c r="K188" s="17" t="s">
        <v>1477</v>
      </c>
      <c r="L188" s="5" t="s">
        <v>3887</v>
      </c>
      <c r="M188" s="6" t="s">
        <v>1493</v>
      </c>
      <c r="N188" s="6" t="s">
        <v>2167</v>
      </c>
      <c r="O188" s="6" t="s">
        <v>94</v>
      </c>
      <c r="P188" s="5" t="s">
        <v>2272</v>
      </c>
      <c r="Q188" s="17" t="s">
        <v>2273</v>
      </c>
      <c r="R188" s="5" t="s">
        <v>3888</v>
      </c>
      <c r="S188" s="6" t="s">
        <v>2409</v>
      </c>
      <c r="T188" s="5" t="s">
        <v>2185</v>
      </c>
      <c r="U188" s="6"/>
      <c r="V188" s="6" t="s">
        <v>3411</v>
      </c>
      <c r="W188" s="6" t="s">
        <v>1699</v>
      </c>
      <c r="X188" s="5" t="s">
        <v>228</v>
      </c>
      <c r="Y188" s="5" t="s">
        <v>3790</v>
      </c>
      <c r="Z188" s="5" t="str">
        <f t="shared" si="4"/>
        <v>Critical</v>
      </c>
      <c r="AA188" s="5" t="s">
        <v>1302</v>
      </c>
      <c r="AB188" s="6" t="s">
        <v>1319</v>
      </c>
      <c r="AC188" s="6" t="s">
        <v>99</v>
      </c>
      <c r="AD188" s="5" t="s">
        <v>2278</v>
      </c>
      <c r="AE188" s="5" t="s">
        <v>1720</v>
      </c>
      <c r="AF188" s="5" t="s">
        <v>1720</v>
      </c>
      <c r="AG188" s="5" t="s">
        <v>1720</v>
      </c>
      <c r="AH188" s="5" t="s">
        <v>1720</v>
      </c>
      <c r="AI188" s="6" t="str">
        <f t="shared" si="5"/>
        <v>No</v>
      </c>
      <c r="AJ188" s="6" t="s">
        <v>2279</v>
      </c>
      <c r="AK188" s="6" t="s">
        <v>94</v>
      </c>
      <c r="AL188" s="6">
        <f>MATCH(AA188,{"Low","Medium","High"},0)*MATCH(AB188,{"Low","Medium","High"},0)*INDEX({3,2,2,1,1},MATCH(X188,{"Core","Vertical extension","Differentiator","Future","Adjacent"},0))</f>
        <v>18</v>
      </c>
      <c r="AM188" s="5"/>
      <c r="AN188" s="5"/>
      <c r="AO188" s="5"/>
      <c r="AP188" s="5"/>
      <c r="AQ188" s="5"/>
      <c r="AR188" s="5" t="s">
        <v>3889</v>
      </c>
      <c r="AS188" s="5" t="s">
        <v>1462</v>
      </c>
      <c r="AT188" s="5" t="s">
        <v>2281</v>
      </c>
      <c r="AU188" s="6" t="s">
        <v>2282</v>
      </c>
      <c r="AV188" s="6" t="s">
        <v>2898</v>
      </c>
      <c r="AW188" s="6" t="s">
        <v>2898</v>
      </c>
      <c r="AX188" s="6" t="s">
        <v>2284</v>
      </c>
      <c r="AY188" s="6" t="s">
        <v>2411</v>
      </c>
      <c r="AZ188" s="6"/>
      <c r="BA188" s="6"/>
      <c r="BB188" s="6"/>
      <c r="BC188" s="6" t="s">
        <v>127</v>
      </c>
      <c r="BD188" s="6" t="s">
        <v>127</v>
      </c>
      <c r="BE188" s="6" t="s">
        <v>1477</v>
      </c>
      <c r="BF188" s="6" t="s">
        <v>2286</v>
      </c>
      <c r="BG188" s="6" t="s">
        <v>3890</v>
      </c>
      <c r="BH188" s="6" t="s">
        <v>3891</v>
      </c>
    </row>
    <row r="189" spans="1:60" ht="32" customHeight="1" x14ac:dyDescent="0.35">
      <c r="A189" s="13" t="s">
        <v>3892</v>
      </c>
      <c r="B189" s="6" t="s">
        <v>2265</v>
      </c>
      <c r="C189" s="5" t="s">
        <v>3783</v>
      </c>
      <c r="D189" s="5" t="s">
        <v>2185</v>
      </c>
      <c r="E189" s="5" t="s">
        <v>3893</v>
      </c>
      <c r="F189" s="5" t="s">
        <v>3173</v>
      </c>
      <c r="G189" s="5" t="s">
        <v>2312</v>
      </c>
      <c r="H189" s="5" t="s">
        <v>3894</v>
      </c>
      <c r="I189" s="5" t="s">
        <v>3895</v>
      </c>
      <c r="J189" s="17" t="s">
        <v>162</v>
      </c>
      <c r="K189" s="17" t="s">
        <v>1477</v>
      </c>
      <c r="L189" s="5" t="s">
        <v>3896</v>
      </c>
      <c r="M189" s="6" t="s">
        <v>1493</v>
      </c>
      <c r="N189" s="6" t="s">
        <v>2167</v>
      </c>
      <c r="O189" s="6" t="s">
        <v>162</v>
      </c>
      <c r="P189" s="5" t="s">
        <v>2272</v>
      </c>
      <c r="Q189" s="17" t="s">
        <v>2273</v>
      </c>
      <c r="R189" s="5" t="s">
        <v>3897</v>
      </c>
      <c r="S189" s="6" t="s">
        <v>2409</v>
      </c>
      <c r="T189" s="5" t="s">
        <v>2185</v>
      </c>
      <c r="U189" s="6"/>
      <c r="V189" s="6" t="s">
        <v>3411</v>
      </c>
      <c r="W189" s="6" t="s">
        <v>1699</v>
      </c>
      <c r="X189" s="5" t="s">
        <v>228</v>
      </c>
      <c r="Y189" s="5" t="s">
        <v>3790</v>
      </c>
      <c r="Z189" s="5" t="str">
        <f t="shared" si="4"/>
        <v>High</v>
      </c>
      <c r="AA189" s="5" t="s">
        <v>1319</v>
      </c>
      <c r="AB189" s="6" t="s">
        <v>1319</v>
      </c>
      <c r="AC189" s="6" t="s">
        <v>135</v>
      </c>
      <c r="AD189" s="5" t="s">
        <v>2278</v>
      </c>
      <c r="AE189" s="5" t="s">
        <v>1720</v>
      </c>
      <c r="AF189" s="5" t="s">
        <v>1720</v>
      </c>
      <c r="AG189" s="5" t="s">
        <v>1720</v>
      </c>
      <c r="AH189" s="5" t="s">
        <v>1720</v>
      </c>
      <c r="AI189" s="6" t="str">
        <f t="shared" si="5"/>
        <v>No</v>
      </c>
      <c r="AJ189" s="6" t="s">
        <v>2298</v>
      </c>
      <c r="AK189" s="6" t="s">
        <v>162</v>
      </c>
      <c r="AL189" s="6">
        <f>MATCH(AA189,{"Low","Medium","High"},0)*MATCH(AB189,{"Low","Medium","High"},0)*INDEX({3,2,2,1,1},MATCH(X189,{"Core","Vertical extension","Differentiator","Future","Adjacent"},0))</f>
        <v>12</v>
      </c>
      <c r="AM189" s="5"/>
      <c r="AN189" s="5"/>
      <c r="AO189" s="5"/>
      <c r="AP189" s="5"/>
      <c r="AQ189" s="5"/>
      <c r="AR189" s="5"/>
      <c r="AS189" s="5"/>
      <c r="AT189" s="5"/>
      <c r="AU189" s="6" t="s">
        <v>2317</v>
      </c>
      <c r="AV189" s="6" t="s">
        <v>2898</v>
      </c>
      <c r="AW189" s="6" t="s">
        <v>2898</v>
      </c>
      <c r="AX189" s="6" t="s">
        <v>2284</v>
      </c>
      <c r="AY189" s="6" t="s">
        <v>2411</v>
      </c>
      <c r="AZ189" s="6"/>
      <c r="BA189" s="6"/>
      <c r="BB189" s="6"/>
      <c r="BC189" s="6" t="s">
        <v>127</v>
      </c>
      <c r="BD189" s="6" t="s">
        <v>127</v>
      </c>
      <c r="BE189" s="6" t="s">
        <v>1477</v>
      </c>
      <c r="BF189" s="6" t="s">
        <v>2286</v>
      </c>
      <c r="BG189" s="6" t="s">
        <v>3898</v>
      </c>
      <c r="BH189" s="6" t="s">
        <v>3899</v>
      </c>
    </row>
    <row r="190" spans="1:60" ht="32" customHeight="1" x14ac:dyDescent="0.35">
      <c r="A190" s="13" t="s">
        <v>3900</v>
      </c>
      <c r="B190" s="6" t="s">
        <v>3901</v>
      </c>
      <c r="C190" s="5" t="s">
        <v>1652</v>
      </c>
      <c r="D190" s="5" t="s">
        <v>2191</v>
      </c>
      <c r="E190" s="5" t="s">
        <v>3902</v>
      </c>
      <c r="F190" s="5" t="s">
        <v>3417</v>
      </c>
      <c r="G190" s="5" t="s">
        <v>3903</v>
      </c>
      <c r="H190" s="5" t="s">
        <v>3904</v>
      </c>
      <c r="I190" s="5" t="s">
        <v>3905</v>
      </c>
      <c r="J190" s="17" t="s">
        <v>162</v>
      </c>
      <c r="K190" s="17" t="s">
        <v>95</v>
      </c>
      <c r="L190" s="5" t="s">
        <v>3906</v>
      </c>
      <c r="M190" s="6" t="s">
        <v>1493</v>
      </c>
      <c r="N190" s="6" t="s">
        <v>2170</v>
      </c>
      <c r="O190" s="6" t="s">
        <v>162</v>
      </c>
      <c r="P190" s="5" t="s">
        <v>2272</v>
      </c>
      <c r="Q190" s="17" t="s">
        <v>95</v>
      </c>
      <c r="R190" s="5" t="s">
        <v>3907</v>
      </c>
      <c r="S190" s="6" t="s">
        <v>2275</v>
      </c>
      <c r="T190" s="5" t="s">
        <v>2276</v>
      </c>
      <c r="U190" s="6"/>
      <c r="V190" s="6" t="s">
        <v>2277</v>
      </c>
      <c r="W190" s="6" t="s">
        <v>1697</v>
      </c>
      <c r="X190" s="5" t="s">
        <v>228</v>
      </c>
      <c r="Y190" s="5" t="s">
        <v>2170</v>
      </c>
      <c r="Z190" s="5" t="str">
        <f t="shared" si="4"/>
        <v>Medium</v>
      </c>
      <c r="AA190" s="5" t="s">
        <v>1319</v>
      </c>
      <c r="AB190" s="6" t="s">
        <v>1355</v>
      </c>
      <c r="AC190" s="6" t="s">
        <v>135</v>
      </c>
      <c r="AD190" s="5" t="s">
        <v>95</v>
      </c>
      <c r="AE190" s="5" t="s">
        <v>1720</v>
      </c>
      <c r="AF190" s="5" t="s">
        <v>1720</v>
      </c>
      <c r="AG190" s="5" t="s">
        <v>1720</v>
      </c>
      <c r="AH190" s="5" t="s">
        <v>1720</v>
      </c>
      <c r="AI190" s="6" t="str">
        <f t="shared" si="5"/>
        <v>No</v>
      </c>
      <c r="AJ190" s="6" t="s">
        <v>229</v>
      </c>
      <c r="AK190" s="6" t="s">
        <v>162</v>
      </c>
      <c r="AL190" s="6">
        <f>MATCH(AA190,{"Low","Medium","High"},0)*MATCH(AB190,{"Low","Medium","High"},0)*INDEX({3,2,2,1,1},MATCH(X190,{"Core","Vertical extension","Differentiator","Future","Adjacent"},0))</f>
        <v>6</v>
      </c>
      <c r="AM190" s="5"/>
      <c r="AN190" s="5"/>
      <c r="AO190" s="5"/>
      <c r="AP190" s="5"/>
      <c r="AQ190" s="5"/>
      <c r="AR190" s="5"/>
      <c r="AS190" s="5"/>
      <c r="AT190" s="5"/>
      <c r="AU190" s="6" t="s">
        <v>2317</v>
      </c>
      <c r="AV190" s="6" t="s">
        <v>2804</v>
      </c>
      <c r="AW190" s="6" t="s">
        <v>2804</v>
      </c>
      <c r="AX190" s="6" t="s">
        <v>2284</v>
      </c>
      <c r="AY190" s="6" t="s">
        <v>2285</v>
      </c>
      <c r="AZ190" s="6"/>
      <c r="BA190" s="6" t="s">
        <v>2772</v>
      </c>
      <c r="BB190" s="6" t="s">
        <v>2773</v>
      </c>
      <c r="BC190" s="6" t="s">
        <v>127</v>
      </c>
      <c r="BD190" s="6" t="s">
        <v>127</v>
      </c>
      <c r="BE190" s="6" t="s">
        <v>1477</v>
      </c>
      <c r="BF190" s="6" t="s">
        <v>95</v>
      </c>
      <c r="BG190" s="6" t="s">
        <v>3427</v>
      </c>
      <c r="BH190" s="6" t="s">
        <v>3908</v>
      </c>
    </row>
    <row r="191" spans="1:60" ht="32" customHeight="1" x14ac:dyDescent="0.35">
      <c r="A191" s="13" t="s">
        <v>3909</v>
      </c>
      <c r="B191" s="6" t="s">
        <v>3901</v>
      </c>
      <c r="C191" s="5" t="s">
        <v>1652</v>
      </c>
      <c r="D191" s="5" t="s">
        <v>2191</v>
      </c>
      <c r="E191" s="5" t="s">
        <v>3910</v>
      </c>
      <c r="F191" s="5" t="s">
        <v>1679</v>
      </c>
      <c r="G191" s="5" t="s">
        <v>2396</v>
      </c>
      <c r="H191" s="5" t="s">
        <v>3911</v>
      </c>
      <c r="I191" s="5" t="s">
        <v>3912</v>
      </c>
      <c r="J191" s="17" t="s">
        <v>162</v>
      </c>
      <c r="K191" s="17" t="s">
        <v>1477</v>
      </c>
      <c r="L191" s="5" t="s">
        <v>3447</v>
      </c>
      <c r="M191" s="6" t="s">
        <v>1493</v>
      </c>
      <c r="N191" s="6" t="s">
        <v>2170</v>
      </c>
      <c r="O191" s="6" t="s">
        <v>162</v>
      </c>
      <c r="P191" s="5" t="s">
        <v>2272</v>
      </c>
      <c r="Q191" s="17" t="s">
        <v>2273</v>
      </c>
      <c r="R191" s="5" t="s">
        <v>3913</v>
      </c>
      <c r="S191" s="6" t="s">
        <v>2275</v>
      </c>
      <c r="T191" s="5" t="s">
        <v>2276</v>
      </c>
      <c r="U191" s="6"/>
      <c r="V191" s="6" t="s">
        <v>2277</v>
      </c>
      <c r="W191" s="6" t="s">
        <v>1697</v>
      </c>
      <c r="X191" s="5" t="s">
        <v>228</v>
      </c>
      <c r="Y191" s="5" t="s">
        <v>2170</v>
      </c>
      <c r="Z191" s="5" t="str">
        <f t="shared" si="4"/>
        <v>Medium</v>
      </c>
      <c r="AA191" s="5" t="s">
        <v>1319</v>
      </c>
      <c r="AB191" s="6" t="s">
        <v>1355</v>
      </c>
      <c r="AC191" s="6" t="s">
        <v>135</v>
      </c>
      <c r="AD191" s="5" t="s">
        <v>2278</v>
      </c>
      <c r="AE191" s="5" t="s">
        <v>1720</v>
      </c>
      <c r="AF191" s="5" t="s">
        <v>1720</v>
      </c>
      <c r="AG191" s="5" t="s">
        <v>1720</v>
      </c>
      <c r="AH191" s="5" t="s">
        <v>1720</v>
      </c>
      <c r="AI191" s="6" t="str">
        <f t="shared" si="5"/>
        <v>No</v>
      </c>
      <c r="AJ191" s="6" t="s">
        <v>2298</v>
      </c>
      <c r="AK191" s="6" t="s">
        <v>162</v>
      </c>
      <c r="AL191" s="6">
        <f>MATCH(AA191,{"Low","Medium","High"},0)*MATCH(AB191,{"Low","Medium","High"},0)*INDEX({3,2,2,1,1},MATCH(X191,{"Core","Vertical extension","Differentiator","Future","Adjacent"},0))</f>
        <v>6</v>
      </c>
      <c r="AM191" s="5"/>
      <c r="AN191" s="5"/>
      <c r="AO191" s="5"/>
      <c r="AP191" s="5"/>
      <c r="AQ191" s="5"/>
      <c r="AR191" s="5"/>
      <c r="AS191" s="5"/>
      <c r="AT191" s="5"/>
      <c r="AU191" s="6" t="s">
        <v>2317</v>
      </c>
      <c r="AV191" s="6" t="s">
        <v>2804</v>
      </c>
      <c r="AW191" s="6" t="s">
        <v>2804</v>
      </c>
      <c r="AX191" s="6" t="s">
        <v>2284</v>
      </c>
      <c r="AY191" s="6" t="s">
        <v>2285</v>
      </c>
      <c r="AZ191" s="6"/>
      <c r="BA191" s="6" t="s">
        <v>2772</v>
      </c>
      <c r="BB191" s="6" t="s">
        <v>2773</v>
      </c>
      <c r="BC191" s="6" t="s">
        <v>127</v>
      </c>
      <c r="BD191" s="6" t="s">
        <v>127</v>
      </c>
      <c r="BE191" s="6" t="s">
        <v>1477</v>
      </c>
      <c r="BF191" s="6" t="s">
        <v>2286</v>
      </c>
      <c r="BG191" s="6" t="s">
        <v>3914</v>
      </c>
      <c r="BH191" s="6" t="s">
        <v>3915</v>
      </c>
    </row>
    <row r="192" spans="1:60" ht="32" customHeight="1" x14ac:dyDescent="0.35">
      <c r="A192" s="13" t="s">
        <v>3916</v>
      </c>
      <c r="B192" s="6" t="s">
        <v>3901</v>
      </c>
      <c r="C192" s="5" t="s">
        <v>1652</v>
      </c>
      <c r="D192" s="5" t="s">
        <v>2191</v>
      </c>
      <c r="E192" s="5" t="s">
        <v>3917</v>
      </c>
      <c r="F192" s="5" t="s">
        <v>3918</v>
      </c>
      <c r="G192" s="5" t="s">
        <v>2856</v>
      </c>
      <c r="H192" s="5" t="s">
        <v>3919</v>
      </c>
      <c r="I192" s="5" t="s">
        <v>3920</v>
      </c>
      <c r="J192" s="17" t="s">
        <v>162</v>
      </c>
      <c r="K192" s="17" t="s">
        <v>1477</v>
      </c>
      <c r="L192" s="5" t="s">
        <v>3921</v>
      </c>
      <c r="M192" s="6" t="s">
        <v>1493</v>
      </c>
      <c r="N192" s="6" t="s">
        <v>2170</v>
      </c>
      <c r="O192" s="6" t="s">
        <v>162</v>
      </c>
      <c r="P192" s="5" t="s">
        <v>2369</v>
      </c>
      <c r="Q192" s="17" t="s">
        <v>2273</v>
      </c>
      <c r="R192" s="5" t="s">
        <v>3922</v>
      </c>
      <c r="S192" s="6" t="s">
        <v>2275</v>
      </c>
      <c r="T192" s="5" t="s">
        <v>2276</v>
      </c>
      <c r="U192" s="6"/>
      <c r="V192" s="6" t="s">
        <v>2277</v>
      </c>
      <c r="W192" s="6" t="s">
        <v>1697</v>
      </c>
      <c r="X192" s="5" t="s">
        <v>228</v>
      </c>
      <c r="Y192" s="5" t="s">
        <v>2170</v>
      </c>
      <c r="Z192" s="5" t="str">
        <f t="shared" si="4"/>
        <v>Medium</v>
      </c>
      <c r="AA192" s="5" t="s">
        <v>1319</v>
      </c>
      <c r="AB192" s="6" t="s">
        <v>1355</v>
      </c>
      <c r="AC192" s="6" t="s">
        <v>135</v>
      </c>
      <c r="AD192" s="5" t="s">
        <v>2278</v>
      </c>
      <c r="AE192" s="5" t="s">
        <v>1720</v>
      </c>
      <c r="AF192" s="5" t="s">
        <v>1720</v>
      </c>
      <c r="AG192" s="5" t="s">
        <v>1720</v>
      </c>
      <c r="AH192" s="5" t="s">
        <v>1720</v>
      </c>
      <c r="AI192" s="6" t="str">
        <f t="shared" si="5"/>
        <v>No</v>
      </c>
      <c r="AJ192" s="6" t="s">
        <v>2298</v>
      </c>
      <c r="AK192" s="6" t="s">
        <v>162</v>
      </c>
      <c r="AL192" s="6">
        <f>MATCH(AA192,{"Low","Medium","High"},0)*MATCH(AB192,{"Low","Medium","High"},0)*INDEX({3,2,2,1,1},MATCH(X192,{"Core","Vertical extension","Differentiator","Future","Adjacent"},0))</f>
        <v>6</v>
      </c>
      <c r="AM192" s="5"/>
      <c r="AN192" s="5"/>
      <c r="AO192" s="5"/>
      <c r="AP192" s="5"/>
      <c r="AQ192" s="5"/>
      <c r="AR192" s="5"/>
      <c r="AS192" s="5"/>
      <c r="AT192" s="5"/>
      <c r="AU192" s="6" t="s">
        <v>2317</v>
      </c>
      <c r="AV192" s="6" t="s">
        <v>2804</v>
      </c>
      <c r="AW192" s="6" t="s">
        <v>2804</v>
      </c>
      <c r="AX192" s="6" t="s">
        <v>2374</v>
      </c>
      <c r="AY192" s="6" t="s">
        <v>2285</v>
      </c>
      <c r="AZ192" s="6"/>
      <c r="BA192" s="6" t="s">
        <v>2348</v>
      </c>
      <c r="BB192" s="6" t="s">
        <v>2349</v>
      </c>
      <c r="BC192" s="6" t="s">
        <v>127</v>
      </c>
      <c r="BD192" s="6" t="s">
        <v>127</v>
      </c>
      <c r="BE192" s="6" t="s">
        <v>1477</v>
      </c>
      <c r="BF192" s="6" t="s">
        <v>2286</v>
      </c>
      <c r="BG192" s="6" t="s">
        <v>3923</v>
      </c>
      <c r="BH192" s="6" t="s">
        <v>3924</v>
      </c>
    </row>
    <row r="193" spans="1:60" ht="32" customHeight="1" x14ac:dyDescent="0.35">
      <c r="A193" s="13" t="s">
        <v>3925</v>
      </c>
      <c r="B193" s="6" t="s">
        <v>3901</v>
      </c>
      <c r="C193" s="5" t="s">
        <v>1652</v>
      </c>
      <c r="D193" s="5" t="s">
        <v>2191</v>
      </c>
      <c r="E193" s="5" t="s">
        <v>3926</v>
      </c>
      <c r="F193" s="5" t="s">
        <v>3927</v>
      </c>
      <c r="G193" s="5" t="s">
        <v>2911</v>
      </c>
      <c r="H193" s="5" t="s">
        <v>3928</v>
      </c>
      <c r="I193" s="5" t="s">
        <v>3929</v>
      </c>
      <c r="J193" s="17" t="s">
        <v>162</v>
      </c>
      <c r="K193" s="17" t="s">
        <v>163</v>
      </c>
      <c r="L193" s="5" t="s">
        <v>3930</v>
      </c>
      <c r="M193" s="6" t="s">
        <v>1493</v>
      </c>
      <c r="N193" s="6" t="s">
        <v>2170</v>
      </c>
      <c r="O193" s="6" t="s">
        <v>162</v>
      </c>
      <c r="P193" s="5" t="s">
        <v>2272</v>
      </c>
      <c r="Q193" s="17" t="s">
        <v>163</v>
      </c>
      <c r="R193" s="5" t="s">
        <v>3931</v>
      </c>
      <c r="S193" s="6" t="s">
        <v>2275</v>
      </c>
      <c r="T193" s="5" t="s">
        <v>2276</v>
      </c>
      <c r="U193" s="6"/>
      <c r="V193" s="6" t="s">
        <v>2277</v>
      </c>
      <c r="W193" s="6" t="s">
        <v>1697</v>
      </c>
      <c r="X193" s="5" t="s">
        <v>228</v>
      </c>
      <c r="Y193" s="5" t="s">
        <v>2170</v>
      </c>
      <c r="Z193" s="5" t="str">
        <f t="shared" si="4"/>
        <v>Medium</v>
      </c>
      <c r="AA193" s="5" t="s">
        <v>1319</v>
      </c>
      <c r="AB193" s="6" t="s">
        <v>1355</v>
      </c>
      <c r="AC193" s="6" t="s">
        <v>135</v>
      </c>
      <c r="AD193" s="5" t="s">
        <v>1805</v>
      </c>
      <c r="AE193" s="5" t="s">
        <v>1720</v>
      </c>
      <c r="AF193" s="5" t="s">
        <v>1720</v>
      </c>
      <c r="AG193" s="5" t="s">
        <v>1720</v>
      </c>
      <c r="AH193" s="5" t="s">
        <v>1720</v>
      </c>
      <c r="AI193" s="6" t="str">
        <f t="shared" si="5"/>
        <v>No</v>
      </c>
      <c r="AJ193" s="6" t="s">
        <v>287</v>
      </c>
      <c r="AK193" s="6" t="s">
        <v>162</v>
      </c>
      <c r="AL193" s="6">
        <f>MATCH(AA193,{"Low","Medium","High"},0)*MATCH(AB193,{"Low","Medium","High"},0)*INDEX({3,2,2,1,1},MATCH(X193,{"Core","Vertical extension","Differentiator","Future","Adjacent"},0))</f>
        <v>6</v>
      </c>
      <c r="AM193" s="5"/>
      <c r="AN193" s="5"/>
      <c r="AO193" s="5"/>
      <c r="AP193" s="5"/>
      <c r="AQ193" s="5"/>
      <c r="AR193" s="5"/>
      <c r="AS193" s="5"/>
      <c r="AT193" s="5"/>
      <c r="AU193" s="6" t="s">
        <v>2317</v>
      </c>
      <c r="AV193" s="6" t="s">
        <v>2804</v>
      </c>
      <c r="AW193" s="6" t="s">
        <v>2804</v>
      </c>
      <c r="AX193" s="6" t="s">
        <v>2284</v>
      </c>
      <c r="AY193" s="6" t="s">
        <v>2285</v>
      </c>
      <c r="AZ193" s="6"/>
      <c r="BA193" s="6"/>
      <c r="BB193" s="6"/>
      <c r="BC193" s="6" t="s">
        <v>127</v>
      </c>
      <c r="BD193" s="6" t="s">
        <v>127</v>
      </c>
      <c r="BE193" s="6" t="s">
        <v>1477</v>
      </c>
      <c r="BF193" s="6" t="s">
        <v>288</v>
      </c>
      <c r="BG193" s="6" t="s">
        <v>3932</v>
      </c>
      <c r="BH193" s="6" t="s">
        <v>3933</v>
      </c>
    </row>
    <row r="194" spans="1:60" ht="32" customHeight="1" x14ac:dyDescent="0.35">
      <c r="A194" s="13" t="s">
        <v>3934</v>
      </c>
      <c r="B194" s="6" t="s">
        <v>3901</v>
      </c>
      <c r="C194" s="5" t="s">
        <v>1652</v>
      </c>
      <c r="D194" s="5" t="s">
        <v>2191</v>
      </c>
      <c r="E194" s="5" t="s">
        <v>3935</v>
      </c>
      <c r="F194" s="5" t="s">
        <v>2911</v>
      </c>
      <c r="G194" s="5" t="s">
        <v>2855</v>
      </c>
      <c r="H194" s="5" t="s">
        <v>3936</v>
      </c>
      <c r="I194" s="5" t="s">
        <v>3937</v>
      </c>
      <c r="J194" s="17" t="s">
        <v>162</v>
      </c>
      <c r="K194" s="17" t="s">
        <v>163</v>
      </c>
      <c r="L194" s="5" t="s">
        <v>3938</v>
      </c>
      <c r="M194" s="6" t="s">
        <v>1493</v>
      </c>
      <c r="N194" s="6" t="s">
        <v>2170</v>
      </c>
      <c r="O194" s="6" t="s">
        <v>162</v>
      </c>
      <c r="P194" s="5" t="s">
        <v>2272</v>
      </c>
      <c r="Q194" s="17" t="s">
        <v>163</v>
      </c>
      <c r="R194" s="5" t="s">
        <v>3939</v>
      </c>
      <c r="S194" s="6" t="s">
        <v>2275</v>
      </c>
      <c r="T194" s="5" t="s">
        <v>2276</v>
      </c>
      <c r="U194" s="6"/>
      <c r="V194" s="6" t="s">
        <v>2277</v>
      </c>
      <c r="W194" s="6" t="s">
        <v>1697</v>
      </c>
      <c r="X194" s="5" t="s">
        <v>228</v>
      </c>
      <c r="Y194" s="5" t="s">
        <v>2170</v>
      </c>
      <c r="Z194" s="5" t="str">
        <f t="shared" ref="Z194:Z257" si="6">IF(AL194&gt;=18,"Critical",IF(AL194&gt;=9,"High",IF(AL194&gt;=4,"Medium","Low")))</f>
        <v>Medium</v>
      </c>
      <c r="AA194" s="5" t="s">
        <v>1319</v>
      </c>
      <c r="AB194" s="6" t="s">
        <v>1355</v>
      </c>
      <c r="AC194" s="6" t="s">
        <v>135</v>
      </c>
      <c r="AD194" s="5" t="s">
        <v>1805</v>
      </c>
      <c r="AE194" s="5" t="s">
        <v>1720</v>
      </c>
      <c r="AF194" s="5" t="s">
        <v>1720</v>
      </c>
      <c r="AG194" s="5" t="s">
        <v>1720</v>
      </c>
      <c r="AH194" s="5" t="s">
        <v>1720</v>
      </c>
      <c r="AI194" s="6" t="str">
        <f t="shared" ref="AI194:AI257" si="7">IF(AND(AU194="Pass",AE194&lt;&gt;"Not verified",AF194&lt;&gt;"Not verified",AG194&lt;&gt;"Not verified",AH194&lt;&gt;"Not verified",BC194="Yes",BD194="Yes"),"Yes","No")</f>
        <v>No</v>
      </c>
      <c r="AJ194" s="6" t="s">
        <v>287</v>
      </c>
      <c r="AK194" s="6" t="s">
        <v>162</v>
      </c>
      <c r="AL194" s="6">
        <f>MATCH(AA194,{"Low","Medium","High"},0)*MATCH(AB194,{"Low","Medium","High"},0)*INDEX({3,2,2,1,1},MATCH(X194,{"Core","Vertical extension","Differentiator","Future","Adjacent"},0))</f>
        <v>6</v>
      </c>
      <c r="AM194" s="5"/>
      <c r="AN194" s="5"/>
      <c r="AO194" s="5"/>
      <c r="AP194" s="5"/>
      <c r="AQ194" s="5"/>
      <c r="AR194" s="5"/>
      <c r="AS194" s="5"/>
      <c r="AT194" s="5"/>
      <c r="AU194" s="6" t="s">
        <v>2317</v>
      </c>
      <c r="AV194" s="6" t="s">
        <v>2784</v>
      </c>
      <c r="AW194" s="6" t="s">
        <v>2784</v>
      </c>
      <c r="AX194" s="6" t="s">
        <v>2284</v>
      </c>
      <c r="AY194" s="6" t="s">
        <v>2285</v>
      </c>
      <c r="AZ194" s="6"/>
      <c r="BA194" s="6" t="s">
        <v>2772</v>
      </c>
      <c r="BB194" s="6" t="s">
        <v>2773</v>
      </c>
      <c r="BC194" s="6" t="s">
        <v>127</v>
      </c>
      <c r="BD194" s="6" t="s">
        <v>127</v>
      </c>
      <c r="BE194" s="6" t="s">
        <v>1477</v>
      </c>
      <c r="BF194" s="6" t="s">
        <v>288</v>
      </c>
      <c r="BG194" s="6" t="s">
        <v>3940</v>
      </c>
      <c r="BH194" s="6" t="s">
        <v>3941</v>
      </c>
    </row>
    <row r="195" spans="1:60" ht="32" customHeight="1" x14ac:dyDescent="0.35">
      <c r="A195" s="13" t="s">
        <v>3942</v>
      </c>
      <c r="B195" s="6" t="s">
        <v>3901</v>
      </c>
      <c r="C195" s="5" t="s">
        <v>1652</v>
      </c>
      <c r="D195" s="5" t="s">
        <v>2191</v>
      </c>
      <c r="E195" s="5" t="s">
        <v>3943</v>
      </c>
      <c r="F195" s="5" t="s">
        <v>2788</v>
      </c>
      <c r="G195" s="5" t="s">
        <v>3944</v>
      </c>
      <c r="H195" s="5" t="s">
        <v>3945</v>
      </c>
      <c r="I195" s="5" t="s">
        <v>3946</v>
      </c>
      <c r="J195" s="17" t="s">
        <v>162</v>
      </c>
      <c r="K195" s="17" t="s">
        <v>1477</v>
      </c>
      <c r="L195" s="5" t="s">
        <v>3947</v>
      </c>
      <c r="M195" s="6" t="s">
        <v>1493</v>
      </c>
      <c r="N195" s="6" t="s">
        <v>2170</v>
      </c>
      <c r="O195" s="6" t="s">
        <v>162</v>
      </c>
      <c r="P195" s="5" t="s">
        <v>2272</v>
      </c>
      <c r="Q195" s="17" t="s">
        <v>2273</v>
      </c>
      <c r="R195" s="5" t="s">
        <v>3948</v>
      </c>
      <c r="S195" s="6" t="s">
        <v>2275</v>
      </c>
      <c r="T195" s="5" t="s">
        <v>2276</v>
      </c>
      <c r="U195" s="6"/>
      <c r="V195" s="6" t="s">
        <v>2277</v>
      </c>
      <c r="W195" s="6" t="s">
        <v>1697</v>
      </c>
      <c r="X195" s="5" t="s">
        <v>228</v>
      </c>
      <c r="Y195" s="5" t="s">
        <v>2170</v>
      </c>
      <c r="Z195" s="5" t="str">
        <f t="shared" si="6"/>
        <v>Medium</v>
      </c>
      <c r="AA195" s="5" t="s">
        <v>1319</v>
      </c>
      <c r="AB195" s="6" t="s">
        <v>1355</v>
      </c>
      <c r="AC195" s="6" t="s">
        <v>135</v>
      </c>
      <c r="AD195" s="5" t="s">
        <v>2278</v>
      </c>
      <c r="AE195" s="5" t="s">
        <v>1720</v>
      </c>
      <c r="AF195" s="5" t="s">
        <v>1720</v>
      </c>
      <c r="AG195" s="5" t="s">
        <v>1720</v>
      </c>
      <c r="AH195" s="5" t="s">
        <v>1720</v>
      </c>
      <c r="AI195" s="6" t="str">
        <f t="shared" si="7"/>
        <v>No</v>
      </c>
      <c r="AJ195" s="6" t="s">
        <v>2298</v>
      </c>
      <c r="AK195" s="6" t="s">
        <v>162</v>
      </c>
      <c r="AL195" s="6">
        <f>MATCH(AA195,{"Low","Medium","High"},0)*MATCH(AB195,{"Low","Medium","High"},0)*INDEX({3,2,2,1,1},MATCH(X195,{"Core","Vertical extension","Differentiator","Future","Adjacent"},0))</f>
        <v>6</v>
      </c>
      <c r="AM195" s="5"/>
      <c r="AN195" s="5"/>
      <c r="AO195" s="5"/>
      <c r="AP195" s="5"/>
      <c r="AQ195" s="5"/>
      <c r="AR195" s="5"/>
      <c r="AS195" s="5"/>
      <c r="AT195" s="5"/>
      <c r="AU195" s="6" t="s">
        <v>2317</v>
      </c>
      <c r="AV195" s="6" t="s">
        <v>2794</v>
      </c>
      <c r="AW195" s="6" t="s">
        <v>2794</v>
      </c>
      <c r="AX195" s="6" t="s">
        <v>2284</v>
      </c>
      <c r="AY195" s="6" t="s">
        <v>2285</v>
      </c>
      <c r="AZ195" s="6"/>
      <c r="BA195" s="6" t="s">
        <v>3949</v>
      </c>
      <c r="BB195" s="6" t="s">
        <v>3950</v>
      </c>
      <c r="BC195" s="6" t="s">
        <v>127</v>
      </c>
      <c r="BD195" s="6" t="s">
        <v>127</v>
      </c>
      <c r="BE195" s="6" t="s">
        <v>1477</v>
      </c>
      <c r="BF195" s="6" t="s">
        <v>2286</v>
      </c>
      <c r="BG195" s="6" t="s">
        <v>3951</v>
      </c>
      <c r="BH195" s="6" t="s">
        <v>3952</v>
      </c>
    </row>
    <row r="196" spans="1:60" ht="32" customHeight="1" x14ac:dyDescent="0.35">
      <c r="A196" s="13" t="s">
        <v>3953</v>
      </c>
      <c r="B196" s="6" t="s">
        <v>3901</v>
      </c>
      <c r="C196" s="5" t="s">
        <v>1652</v>
      </c>
      <c r="D196" s="5" t="s">
        <v>2191</v>
      </c>
      <c r="E196" s="5" t="s">
        <v>3954</v>
      </c>
      <c r="F196" s="5" t="s">
        <v>3209</v>
      </c>
      <c r="G196" s="5" t="s">
        <v>2396</v>
      </c>
      <c r="H196" s="5" t="s">
        <v>3955</v>
      </c>
      <c r="I196" s="5" t="s">
        <v>3956</v>
      </c>
      <c r="J196" s="17" t="s">
        <v>162</v>
      </c>
      <c r="K196" s="17" t="s">
        <v>1477</v>
      </c>
      <c r="L196" s="5" t="s">
        <v>3957</v>
      </c>
      <c r="M196" s="6" t="s">
        <v>1493</v>
      </c>
      <c r="N196" s="6" t="s">
        <v>2170</v>
      </c>
      <c r="O196" s="6" t="s">
        <v>162</v>
      </c>
      <c r="P196" s="5" t="s">
        <v>2272</v>
      </c>
      <c r="Q196" s="17" t="s">
        <v>2273</v>
      </c>
      <c r="R196" s="5" t="s">
        <v>3958</v>
      </c>
      <c r="S196" s="6" t="s">
        <v>2275</v>
      </c>
      <c r="T196" s="5" t="s">
        <v>2276</v>
      </c>
      <c r="U196" s="6"/>
      <c r="V196" s="6" t="s">
        <v>2277</v>
      </c>
      <c r="W196" s="6" t="s">
        <v>1697</v>
      </c>
      <c r="X196" s="5" t="s">
        <v>228</v>
      </c>
      <c r="Y196" s="5" t="s">
        <v>2170</v>
      </c>
      <c r="Z196" s="5" t="str">
        <f t="shared" si="6"/>
        <v>Medium</v>
      </c>
      <c r="AA196" s="5" t="s">
        <v>1319</v>
      </c>
      <c r="AB196" s="6" t="s">
        <v>1355</v>
      </c>
      <c r="AC196" s="6" t="s">
        <v>135</v>
      </c>
      <c r="AD196" s="5" t="s">
        <v>2278</v>
      </c>
      <c r="AE196" s="5" t="s">
        <v>1720</v>
      </c>
      <c r="AF196" s="5" t="s">
        <v>1720</v>
      </c>
      <c r="AG196" s="5" t="s">
        <v>1720</v>
      </c>
      <c r="AH196" s="5" t="s">
        <v>1720</v>
      </c>
      <c r="AI196" s="6" t="str">
        <f t="shared" si="7"/>
        <v>No</v>
      </c>
      <c r="AJ196" s="6" t="s">
        <v>2298</v>
      </c>
      <c r="AK196" s="6" t="s">
        <v>162</v>
      </c>
      <c r="AL196" s="6">
        <f>MATCH(AA196,{"Low","Medium","High"},0)*MATCH(AB196,{"Low","Medium","High"},0)*INDEX({3,2,2,1,1},MATCH(X196,{"Core","Vertical extension","Differentiator","Future","Adjacent"},0))</f>
        <v>6</v>
      </c>
      <c r="AM196" s="5"/>
      <c r="AN196" s="5"/>
      <c r="AO196" s="5"/>
      <c r="AP196" s="5"/>
      <c r="AQ196" s="5"/>
      <c r="AR196" s="5"/>
      <c r="AS196" s="5"/>
      <c r="AT196" s="5"/>
      <c r="AU196" s="6" t="s">
        <v>2317</v>
      </c>
      <c r="AV196" s="6" t="s">
        <v>2283</v>
      </c>
      <c r="AW196" s="6" t="s">
        <v>2283</v>
      </c>
      <c r="AX196" s="6" t="s">
        <v>2284</v>
      </c>
      <c r="AY196" s="6" t="s">
        <v>2285</v>
      </c>
      <c r="AZ196" s="6"/>
      <c r="BA196" s="6" t="s">
        <v>2299</v>
      </c>
      <c r="BB196" s="6" t="s">
        <v>2300</v>
      </c>
      <c r="BC196" s="6" t="s">
        <v>127</v>
      </c>
      <c r="BD196" s="6" t="s">
        <v>127</v>
      </c>
      <c r="BE196" s="6" t="s">
        <v>1477</v>
      </c>
      <c r="BF196" s="6" t="s">
        <v>2286</v>
      </c>
      <c r="BG196" s="6" t="s">
        <v>3959</v>
      </c>
      <c r="BH196" s="6" t="s">
        <v>3960</v>
      </c>
    </row>
    <row r="197" spans="1:60" ht="32" customHeight="1" x14ac:dyDescent="0.35">
      <c r="A197" s="13" t="s">
        <v>3961</v>
      </c>
      <c r="B197" s="6" t="s">
        <v>3901</v>
      </c>
      <c r="C197" s="5" t="s">
        <v>1652</v>
      </c>
      <c r="D197" s="5" t="s">
        <v>2191</v>
      </c>
      <c r="E197" s="5" t="s">
        <v>3962</v>
      </c>
      <c r="F197" s="5" t="s">
        <v>3963</v>
      </c>
      <c r="G197" s="5" t="s">
        <v>2911</v>
      </c>
      <c r="H197" s="5" t="s">
        <v>3964</v>
      </c>
      <c r="I197" s="5" t="s">
        <v>3965</v>
      </c>
      <c r="J197" s="17" t="s">
        <v>162</v>
      </c>
      <c r="K197" s="17" t="s">
        <v>1477</v>
      </c>
      <c r="L197" s="5" t="s">
        <v>3966</v>
      </c>
      <c r="M197" s="6" t="s">
        <v>1493</v>
      </c>
      <c r="N197" s="6" t="s">
        <v>2170</v>
      </c>
      <c r="O197" s="6" t="s">
        <v>162</v>
      </c>
      <c r="P197" s="5" t="s">
        <v>2272</v>
      </c>
      <c r="Q197" s="17" t="s">
        <v>2273</v>
      </c>
      <c r="R197" s="5" t="s">
        <v>3967</v>
      </c>
      <c r="S197" s="6" t="s">
        <v>2275</v>
      </c>
      <c r="T197" s="5" t="s">
        <v>2276</v>
      </c>
      <c r="U197" s="6"/>
      <c r="V197" s="6" t="s">
        <v>2277</v>
      </c>
      <c r="W197" s="6" t="s">
        <v>1697</v>
      </c>
      <c r="X197" s="5" t="s">
        <v>228</v>
      </c>
      <c r="Y197" s="5" t="s">
        <v>2170</v>
      </c>
      <c r="Z197" s="5" t="str">
        <f t="shared" si="6"/>
        <v>Medium</v>
      </c>
      <c r="AA197" s="5" t="s">
        <v>1319</v>
      </c>
      <c r="AB197" s="6" t="s">
        <v>1355</v>
      </c>
      <c r="AC197" s="6" t="s">
        <v>135</v>
      </c>
      <c r="AD197" s="5" t="s">
        <v>2278</v>
      </c>
      <c r="AE197" s="5" t="s">
        <v>1720</v>
      </c>
      <c r="AF197" s="5" t="s">
        <v>1720</v>
      </c>
      <c r="AG197" s="5" t="s">
        <v>1720</v>
      </c>
      <c r="AH197" s="5" t="s">
        <v>1720</v>
      </c>
      <c r="AI197" s="6" t="str">
        <f t="shared" si="7"/>
        <v>No</v>
      </c>
      <c r="AJ197" s="6" t="s">
        <v>2298</v>
      </c>
      <c r="AK197" s="6" t="s">
        <v>162</v>
      </c>
      <c r="AL197" s="6">
        <f>MATCH(AA197,{"Low","Medium","High"},0)*MATCH(AB197,{"Low","Medium","High"},0)*INDEX({3,2,2,1,1},MATCH(X197,{"Core","Vertical extension","Differentiator","Future","Adjacent"},0))</f>
        <v>6</v>
      </c>
      <c r="AM197" s="5"/>
      <c r="AN197" s="5"/>
      <c r="AO197" s="5"/>
      <c r="AP197" s="5"/>
      <c r="AQ197" s="5"/>
      <c r="AR197" s="5"/>
      <c r="AS197" s="5"/>
      <c r="AT197" s="5"/>
      <c r="AU197" s="6" t="s">
        <v>2317</v>
      </c>
      <c r="AV197" s="6" t="s">
        <v>3968</v>
      </c>
      <c r="AW197" s="6" t="s">
        <v>3968</v>
      </c>
      <c r="AX197" s="6" t="s">
        <v>2284</v>
      </c>
      <c r="AY197" s="6" t="s">
        <v>2285</v>
      </c>
      <c r="AZ197" s="6"/>
      <c r="BA197" s="6" t="s">
        <v>2473</v>
      </c>
      <c r="BB197" s="6" t="s">
        <v>2474</v>
      </c>
      <c r="BC197" s="6" t="s">
        <v>127</v>
      </c>
      <c r="BD197" s="6" t="s">
        <v>127</v>
      </c>
      <c r="BE197" s="6" t="s">
        <v>1477</v>
      </c>
      <c r="BF197" s="6" t="s">
        <v>2286</v>
      </c>
      <c r="BG197" s="6" t="s">
        <v>3969</v>
      </c>
      <c r="BH197" s="6" t="s">
        <v>3970</v>
      </c>
    </row>
    <row r="198" spans="1:60" ht="32" customHeight="1" x14ac:dyDescent="0.35">
      <c r="A198" s="13" t="s">
        <v>3971</v>
      </c>
      <c r="B198" s="6" t="s">
        <v>3901</v>
      </c>
      <c r="C198" s="5" t="s">
        <v>1652</v>
      </c>
      <c r="D198" s="5" t="s">
        <v>2191</v>
      </c>
      <c r="E198" s="5" t="s">
        <v>3972</v>
      </c>
      <c r="F198" s="5" t="s">
        <v>3973</v>
      </c>
      <c r="G198" s="5" t="s">
        <v>2973</v>
      </c>
      <c r="H198" s="5" t="s">
        <v>3974</v>
      </c>
      <c r="I198" s="5" t="s">
        <v>3975</v>
      </c>
      <c r="J198" s="17" t="s">
        <v>162</v>
      </c>
      <c r="K198" s="17" t="s">
        <v>1477</v>
      </c>
      <c r="L198" s="5" t="s">
        <v>3976</v>
      </c>
      <c r="M198" s="6" t="s">
        <v>1493</v>
      </c>
      <c r="N198" s="6" t="s">
        <v>2170</v>
      </c>
      <c r="O198" s="6" t="s">
        <v>162</v>
      </c>
      <c r="P198" s="5" t="s">
        <v>2369</v>
      </c>
      <c r="Q198" s="18" t="s">
        <v>1482</v>
      </c>
      <c r="R198" s="5" t="s">
        <v>3977</v>
      </c>
      <c r="S198" s="6" t="s">
        <v>2275</v>
      </c>
      <c r="T198" s="5" t="s">
        <v>2276</v>
      </c>
      <c r="U198" s="6"/>
      <c r="V198" s="6" t="s">
        <v>2277</v>
      </c>
      <c r="W198" s="6" t="s">
        <v>1697</v>
      </c>
      <c r="X198" s="5" t="s">
        <v>228</v>
      </c>
      <c r="Y198" s="5" t="s">
        <v>2170</v>
      </c>
      <c r="Z198" s="5" t="str">
        <f t="shared" si="6"/>
        <v>Medium</v>
      </c>
      <c r="AA198" s="5" t="s">
        <v>1319</v>
      </c>
      <c r="AB198" s="6" t="s">
        <v>1355</v>
      </c>
      <c r="AC198" s="6" t="s">
        <v>135</v>
      </c>
      <c r="AD198" s="5" t="s">
        <v>2278</v>
      </c>
      <c r="AE198" s="5" t="s">
        <v>1720</v>
      </c>
      <c r="AF198" s="5" t="s">
        <v>1720</v>
      </c>
      <c r="AG198" s="5" t="s">
        <v>1720</v>
      </c>
      <c r="AH198" s="5" t="s">
        <v>1720</v>
      </c>
      <c r="AI198" s="6" t="str">
        <f t="shared" si="7"/>
        <v>No</v>
      </c>
      <c r="AJ198" s="6" t="s">
        <v>2298</v>
      </c>
      <c r="AK198" s="6" t="s">
        <v>162</v>
      </c>
      <c r="AL198" s="6">
        <f>MATCH(AA198,{"Low","Medium","High"},0)*MATCH(AB198,{"Low","Medium","High"},0)*INDEX({3,2,2,1,1},MATCH(X198,{"Core","Vertical extension","Differentiator","Future","Adjacent"},0))</f>
        <v>6</v>
      </c>
      <c r="AM198" s="5"/>
      <c r="AN198" s="5"/>
      <c r="AO198" s="5"/>
      <c r="AP198" s="5"/>
      <c r="AQ198" s="5"/>
      <c r="AR198" s="5"/>
      <c r="AS198" s="5"/>
      <c r="AT198" s="5"/>
      <c r="AU198" s="6" t="s">
        <v>2317</v>
      </c>
      <c r="AV198" s="6" t="s">
        <v>3968</v>
      </c>
      <c r="AW198" s="6" t="s">
        <v>3968</v>
      </c>
      <c r="AX198" s="6" t="s">
        <v>2374</v>
      </c>
      <c r="AY198" s="6" t="s">
        <v>2285</v>
      </c>
      <c r="AZ198" s="6"/>
      <c r="BA198" s="6" t="s">
        <v>2824</v>
      </c>
      <c r="BB198" s="6" t="s">
        <v>2825</v>
      </c>
      <c r="BC198" s="6" t="s">
        <v>127</v>
      </c>
      <c r="BD198" s="6" t="s">
        <v>127</v>
      </c>
      <c r="BE198" s="6"/>
      <c r="BF198" s="6"/>
      <c r="BG198" s="6"/>
      <c r="BH198" s="6"/>
    </row>
    <row r="199" spans="1:60" ht="32" customHeight="1" x14ac:dyDescent="0.35">
      <c r="A199" s="13" t="s">
        <v>3978</v>
      </c>
      <c r="B199" s="6" t="s">
        <v>3901</v>
      </c>
      <c r="C199" s="5" t="s">
        <v>1652</v>
      </c>
      <c r="D199" s="5" t="s">
        <v>2191</v>
      </c>
      <c r="E199" s="5" t="s">
        <v>3979</v>
      </c>
      <c r="F199" s="5" t="s">
        <v>3980</v>
      </c>
      <c r="G199" s="5" t="s">
        <v>2433</v>
      </c>
      <c r="H199" s="5" t="s">
        <v>3981</v>
      </c>
      <c r="I199" s="5" t="s">
        <v>3982</v>
      </c>
      <c r="J199" s="17" t="s">
        <v>162</v>
      </c>
      <c r="K199" s="17" t="s">
        <v>1477</v>
      </c>
      <c r="L199" s="5" t="s">
        <v>3983</v>
      </c>
      <c r="M199" s="6" t="s">
        <v>1493</v>
      </c>
      <c r="N199" s="6" t="s">
        <v>2170</v>
      </c>
      <c r="O199" s="6" t="s">
        <v>162</v>
      </c>
      <c r="P199" s="5" t="s">
        <v>2272</v>
      </c>
      <c r="Q199" s="18" t="s">
        <v>1482</v>
      </c>
      <c r="R199" s="5" t="s">
        <v>3984</v>
      </c>
      <c r="S199" s="6" t="s">
        <v>2275</v>
      </c>
      <c r="T199" s="5" t="s">
        <v>2276</v>
      </c>
      <c r="U199" s="6"/>
      <c r="V199" s="6" t="s">
        <v>2277</v>
      </c>
      <c r="W199" s="6" t="s">
        <v>1697</v>
      </c>
      <c r="X199" s="5" t="s">
        <v>228</v>
      </c>
      <c r="Y199" s="5" t="s">
        <v>2170</v>
      </c>
      <c r="Z199" s="5" t="str">
        <f t="shared" si="6"/>
        <v>Medium</v>
      </c>
      <c r="AA199" s="5" t="s">
        <v>1319</v>
      </c>
      <c r="AB199" s="6" t="s">
        <v>1355</v>
      </c>
      <c r="AC199" s="6" t="s">
        <v>135</v>
      </c>
      <c r="AD199" s="5" t="s">
        <v>2278</v>
      </c>
      <c r="AE199" s="5" t="s">
        <v>1720</v>
      </c>
      <c r="AF199" s="5" t="s">
        <v>1720</v>
      </c>
      <c r="AG199" s="5" t="s">
        <v>1720</v>
      </c>
      <c r="AH199" s="5" t="s">
        <v>1720</v>
      </c>
      <c r="AI199" s="6" t="str">
        <f t="shared" si="7"/>
        <v>No</v>
      </c>
      <c r="AJ199" s="6" t="s">
        <v>2298</v>
      </c>
      <c r="AK199" s="6" t="s">
        <v>162</v>
      </c>
      <c r="AL199" s="6">
        <f>MATCH(AA199,{"Low","Medium","High"},0)*MATCH(AB199,{"Low","Medium","High"},0)*INDEX({3,2,2,1,1},MATCH(X199,{"Core","Vertical extension","Differentiator","Future","Adjacent"},0))</f>
        <v>6</v>
      </c>
      <c r="AM199" s="5"/>
      <c r="AN199" s="5"/>
      <c r="AO199" s="5"/>
      <c r="AP199" s="5"/>
      <c r="AQ199" s="5"/>
      <c r="AR199" s="5"/>
      <c r="AS199" s="5"/>
      <c r="AT199" s="5"/>
      <c r="AU199" s="6" t="s">
        <v>2317</v>
      </c>
      <c r="AV199" s="6" t="s">
        <v>3968</v>
      </c>
      <c r="AW199" s="6" t="s">
        <v>3968</v>
      </c>
      <c r="AX199" s="6" t="s">
        <v>2284</v>
      </c>
      <c r="AY199" s="6" t="s">
        <v>2285</v>
      </c>
      <c r="AZ199" s="6"/>
      <c r="BA199" s="6" t="s">
        <v>3985</v>
      </c>
      <c r="BB199" s="6"/>
      <c r="BC199" s="6" t="s">
        <v>127</v>
      </c>
      <c r="BD199" s="6" t="s">
        <v>127</v>
      </c>
      <c r="BE199" s="6"/>
      <c r="BF199" s="6"/>
      <c r="BG199" s="6"/>
      <c r="BH199" s="6"/>
    </row>
    <row r="200" spans="1:60" ht="32" customHeight="1" x14ac:dyDescent="0.35">
      <c r="A200" s="13" t="s">
        <v>3986</v>
      </c>
      <c r="B200" s="6" t="s">
        <v>3901</v>
      </c>
      <c r="C200" s="5" t="s">
        <v>1652</v>
      </c>
      <c r="D200" s="5" t="s">
        <v>2191</v>
      </c>
      <c r="E200" s="5" t="s">
        <v>3987</v>
      </c>
      <c r="F200" s="5" t="s">
        <v>3703</v>
      </c>
      <c r="G200" s="5" t="s">
        <v>2396</v>
      </c>
      <c r="H200" s="5" t="s">
        <v>3988</v>
      </c>
      <c r="I200" s="5" t="s">
        <v>3989</v>
      </c>
      <c r="J200" s="17" t="s">
        <v>162</v>
      </c>
      <c r="K200" s="17" t="s">
        <v>1477</v>
      </c>
      <c r="L200" s="5" t="s">
        <v>3990</v>
      </c>
      <c r="M200" s="6" t="s">
        <v>1493</v>
      </c>
      <c r="N200" s="6" t="s">
        <v>2170</v>
      </c>
      <c r="O200" s="6" t="s">
        <v>162</v>
      </c>
      <c r="P200" s="5" t="s">
        <v>2272</v>
      </c>
      <c r="Q200" s="17" t="s">
        <v>2273</v>
      </c>
      <c r="R200" s="5" t="s">
        <v>3991</v>
      </c>
      <c r="S200" s="6" t="s">
        <v>2275</v>
      </c>
      <c r="T200" s="5" t="s">
        <v>2276</v>
      </c>
      <c r="U200" s="6"/>
      <c r="V200" s="6" t="s">
        <v>2277</v>
      </c>
      <c r="W200" s="6" t="s">
        <v>1697</v>
      </c>
      <c r="X200" s="5" t="s">
        <v>228</v>
      </c>
      <c r="Y200" s="5" t="s">
        <v>2170</v>
      </c>
      <c r="Z200" s="5" t="str">
        <f t="shared" si="6"/>
        <v>Medium</v>
      </c>
      <c r="AA200" s="5" t="s">
        <v>1319</v>
      </c>
      <c r="AB200" s="6" t="s">
        <v>1355</v>
      </c>
      <c r="AC200" s="6" t="s">
        <v>135</v>
      </c>
      <c r="AD200" s="5" t="s">
        <v>2278</v>
      </c>
      <c r="AE200" s="5" t="s">
        <v>1720</v>
      </c>
      <c r="AF200" s="5" t="s">
        <v>1720</v>
      </c>
      <c r="AG200" s="5" t="s">
        <v>1720</v>
      </c>
      <c r="AH200" s="5" t="s">
        <v>1720</v>
      </c>
      <c r="AI200" s="6" t="str">
        <f t="shared" si="7"/>
        <v>No</v>
      </c>
      <c r="AJ200" s="6" t="s">
        <v>2298</v>
      </c>
      <c r="AK200" s="6" t="s">
        <v>162</v>
      </c>
      <c r="AL200" s="6">
        <f>MATCH(AA200,{"Low","Medium","High"},0)*MATCH(AB200,{"Low","Medium","High"},0)*INDEX({3,2,2,1,1},MATCH(X200,{"Core","Vertical extension","Differentiator","Future","Adjacent"},0))</f>
        <v>6</v>
      </c>
      <c r="AM200" s="5"/>
      <c r="AN200" s="5"/>
      <c r="AO200" s="5"/>
      <c r="AP200" s="5"/>
      <c r="AQ200" s="5"/>
      <c r="AR200" s="5"/>
      <c r="AS200" s="5"/>
      <c r="AT200" s="5"/>
      <c r="AU200" s="6" t="s">
        <v>2317</v>
      </c>
      <c r="AV200" s="6" t="s">
        <v>76</v>
      </c>
      <c r="AW200" s="6" t="s">
        <v>76</v>
      </c>
      <c r="AX200" s="6" t="s">
        <v>2284</v>
      </c>
      <c r="AY200" s="6" t="s">
        <v>2285</v>
      </c>
      <c r="AZ200" s="6"/>
      <c r="BA200" s="6"/>
      <c r="BB200" s="6"/>
      <c r="BC200" s="6" t="s">
        <v>127</v>
      </c>
      <c r="BD200" s="6" t="s">
        <v>127</v>
      </c>
      <c r="BE200" s="6" t="s">
        <v>1477</v>
      </c>
      <c r="BF200" s="6" t="s">
        <v>2286</v>
      </c>
      <c r="BG200" s="6" t="s">
        <v>3992</v>
      </c>
      <c r="BH200" s="6" t="s">
        <v>3993</v>
      </c>
    </row>
    <row r="201" spans="1:60" ht="32" customHeight="1" x14ac:dyDescent="0.35">
      <c r="A201" s="13" t="s">
        <v>3994</v>
      </c>
      <c r="B201" s="6" t="s">
        <v>3901</v>
      </c>
      <c r="C201" s="5" t="s">
        <v>1652</v>
      </c>
      <c r="D201" s="5" t="s">
        <v>2191</v>
      </c>
      <c r="E201" s="5" t="s">
        <v>3995</v>
      </c>
      <c r="F201" s="5" t="s">
        <v>3973</v>
      </c>
      <c r="G201" s="5" t="s">
        <v>3336</v>
      </c>
      <c r="H201" s="5" t="s">
        <v>3996</v>
      </c>
      <c r="I201" s="5" t="s">
        <v>3997</v>
      </c>
      <c r="J201" s="17" t="s">
        <v>162</v>
      </c>
      <c r="K201" s="17" t="s">
        <v>1477</v>
      </c>
      <c r="L201" s="5" t="s">
        <v>3998</v>
      </c>
      <c r="M201" s="6" t="s">
        <v>1493</v>
      </c>
      <c r="N201" s="6" t="s">
        <v>2170</v>
      </c>
      <c r="O201" s="6" t="s">
        <v>162</v>
      </c>
      <c r="P201" s="5" t="s">
        <v>2272</v>
      </c>
      <c r="Q201" s="17" t="s">
        <v>2273</v>
      </c>
      <c r="R201" s="5" t="s">
        <v>3999</v>
      </c>
      <c r="S201" s="6" t="s">
        <v>2275</v>
      </c>
      <c r="T201" s="5" t="s">
        <v>2276</v>
      </c>
      <c r="U201" s="6"/>
      <c r="V201" s="6" t="s">
        <v>2277</v>
      </c>
      <c r="W201" s="6" t="s">
        <v>1697</v>
      </c>
      <c r="X201" s="5" t="s">
        <v>228</v>
      </c>
      <c r="Y201" s="5" t="s">
        <v>2170</v>
      </c>
      <c r="Z201" s="5" t="str">
        <f t="shared" si="6"/>
        <v>Medium</v>
      </c>
      <c r="AA201" s="5" t="s">
        <v>1319</v>
      </c>
      <c r="AB201" s="6" t="s">
        <v>1355</v>
      </c>
      <c r="AC201" s="6" t="s">
        <v>135</v>
      </c>
      <c r="AD201" s="5" t="s">
        <v>2278</v>
      </c>
      <c r="AE201" s="5" t="s">
        <v>1720</v>
      </c>
      <c r="AF201" s="5" t="s">
        <v>1720</v>
      </c>
      <c r="AG201" s="5" t="s">
        <v>1720</v>
      </c>
      <c r="AH201" s="5" t="s">
        <v>1720</v>
      </c>
      <c r="AI201" s="6" t="str">
        <f t="shared" si="7"/>
        <v>No</v>
      </c>
      <c r="AJ201" s="6" t="s">
        <v>2298</v>
      </c>
      <c r="AK201" s="6" t="s">
        <v>162</v>
      </c>
      <c r="AL201" s="6">
        <f>MATCH(AA201,{"Low","Medium","High"},0)*MATCH(AB201,{"Low","Medium","High"},0)*INDEX({3,2,2,1,1},MATCH(X201,{"Core","Vertical extension","Differentiator","Future","Adjacent"},0))</f>
        <v>6</v>
      </c>
      <c r="AM201" s="5"/>
      <c r="AN201" s="5"/>
      <c r="AO201" s="5"/>
      <c r="AP201" s="5"/>
      <c r="AQ201" s="5"/>
      <c r="AR201" s="5"/>
      <c r="AS201" s="5"/>
      <c r="AT201" s="5"/>
      <c r="AU201" s="6" t="s">
        <v>2317</v>
      </c>
      <c r="AV201" s="6" t="s">
        <v>3968</v>
      </c>
      <c r="AW201" s="6" t="s">
        <v>3968</v>
      </c>
      <c r="AX201" s="6" t="s">
        <v>2284</v>
      </c>
      <c r="AY201" s="6" t="s">
        <v>2285</v>
      </c>
      <c r="AZ201" s="6"/>
      <c r="BA201" s="6"/>
      <c r="BB201" s="6"/>
      <c r="BC201" s="6" t="s">
        <v>127</v>
      </c>
      <c r="BD201" s="6" t="s">
        <v>127</v>
      </c>
      <c r="BE201" s="6" t="s">
        <v>1477</v>
      </c>
      <c r="BF201" s="6" t="s">
        <v>2286</v>
      </c>
      <c r="BG201" s="6" t="s">
        <v>4000</v>
      </c>
      <c r="BH201" s="6" t="s">
        <v>4001</v>
      </c>
    </row>
    <row r="202" spans="1:60" ht="32" customHeight="1" x14ac:dyDescent="0.35">
      <c r="A202" s="13" t="s">
        <v>4002</v>
      </c>
      <c r="B202" s="6" t="s">
        <v>3901</v>
      </c>
      <c r="C202" s="5" t="s">
        <v>1652</v>
      </c>
      <c r="D202" s="5" t="s">
        <v>2191</v>
      </c>
      <c r="E202" s="5" t="s">
        <v>4003</v>
      </c>
      <c r="F202" s="5" t="s">
        <v>2828</v>
      </c>
      <c r="G202" s="5" t="s">
        <v>2396</v>
      </c>
      <c r="H202" s="5" t="s">
        <v>4004</v>
      </c>
      <c r="I202" s="5" t="s">
        <v>4005</v>
      </c>
      <c r="J202" s="17" t="s">
        <v>162</v>
      </c>
      <c r="K202" s="17" t="s">
        <v>1477</v>
      </c>
      <c r="L202" s="5" t="s">
        <v>4006</v>
      </c>
      <c r="M202" s="6" t="s">
        <v>1493</v>
      </c>
      <c r="N202" s="6" t="s">
        <v>2170</v>
      </c>
      <c r="O202" s="6" t="s">
        <v>162</v>
      </c>
      <c r="P202" s="5" t="s">
        <v>2272</v>
      </c>
      <c r="Q202" s="18" t="s">
        <v>1482</v>
      </c>
      <c r="R202" s="5" t="s">
        <v>4007</v>
      </c>
      <c r="S202" s="6" t="s">
        <v>2275</v>
      </c>
      <c r="T202" s="5" t="s">
        <v>2276</v>
      </c>
      <c r="U202" s="6"/>
      <c r="V202" s="6" t="s">
        <v>2277</v>
      </c>
      <c r="W202" s="6" t="s">
        <v>1697</v>
      </c>
      <c r="X202" s="5" t="s">
        <v>228</v>
      </c>
      <c r="Y202" s="5" t="s">
        <v>2170</v>
      </c>
      <c r="Z202" s="5" t="str">
        <f t="shared" si="6"/>
        <v>Medium</v>
      </c>
      <c r="AA202" s="5" t="s">
        <v>1319</v>
      </c>
      <c r="AB202" s="6" t="s">
        <v>1355</v>
      </c>
      <c r="AC202" s="6" t="s">
        <v>135</v>
      </c>
      <c r="AD202" s="5" t="s">
        <v>2278</v>
      </c>
      <c r="AE202" s="5" t="s">
        <v>1720</v>
      </c>
      <c r="AF202" s="5" t="s">
        <v>1720</v>
      </c>
      <c r="AG202" s="5" t="s">
        <v>1720</v>
      </c>
      <c r="AH202" s="5" t="s">
        <v>1720</v>
      </c>
      <c r="AI202" s="6" t="str">
        <f t="shared" si="7"/>
        <v>No</v>
      </c>
      <c r="AJ202" s="6" t="s">
        <v>2298</v>
      </c>
      <c r="AK202" s="6" t="s">
        <v>162</v>
      </c>
      <c r="AL202" s="6">
        <f>MATCH(AA202,{"Low","Medium","High"},0)*MATCH(AB202,{"Low","Medium","High"},0)*INDEX({3,2,2,1,1},MATCH(X202,{"Core","Vertical extension","Differentiator","Future","Adjacent"},0))</f>
        <v>6</v>
      </c>
      <c r="AM202" s="5"/>
      <c r="AN202" s="5"/>
      <c r="AO202" s="5"/>
      <c r="AP202" s="5"/>
      <c r="AQ202" s="5"/>
      <c r="AR202" s="5"/>
      <c r="AS202" s="5"/>
      <c r="AT202" s="5"/>
      <c r="AU202" s="6" t="s">
        <v>2317</v>
      </c>
      <c r="AV202" s="6" t="s">
        <v>76</v>
      </c>
      <c r="AW202" s="6" t="s">
        <v>76</v>
      </c>
      <c r="AX202" s="6" t="s">
        <v>2284</v>
      </c>
      <c r="AY202" s="6" t="s">
        <v>2285</v>
      </c>
      <c r="AZ202" s="6"/>
      <c r="BA202" s="6" t="s">
        <v>4008</v>
      </c>
      <c r="BB202" s="6" t="s">
        <v>4009</v>
      </c>
      <c r="BC202" s="6" t="s">
        <v>127</v>
      </c>
      <c r="BD202" s="6" t="s">
        <v>127</v>
      </c>
      <c r="BE202" s="6"/>
      <c r="BF202" s="6"/>
      <c r="BG202" s="6"/>
      <c r="BH202" s="6"/>
    </row>
    <row r="203" spans="1:60" ht="32" customHeight="1" x14ac:dyDescent="0.35">
      <c r="A203" s="13" t="s">
        <v>4010</v>
      </c>
      <c r="B203" s="6" t="s">
        <v>3901</v>
      </c>
      <c r="C203" s="5" t="s">
        <v>1652</v>
      </c>
      <c r="D203" s="5" t="s">
        <v>2191</v>
      </c>
      <c r="E203" s="5" t="s">
        <v>4011</v>
      </c>
      <c r="F203" s="5" t="s">
        <v>3336</v>
      </c>
      <c r="G203" s="5" t="s">
        <v>4012</v>
      </c>
      <c r="H203" s="5" t="s">
        <v>4013</v>
      </c>
      <c r="I203" s="5" t="s">
        <v>4014</v>
      </c>
      <c r="J203" s="16" t="s">
        <v>94</v>
      </c>
      <c r="K203" s="17" t="s">
        <v>1477</v>
      </c>
      <c r="L203" s="5" t="s">
        <v>4015</v>
      </c>
      <c r="M203" s="6" t="s">
        <v>1493</v>
      </c>
      <c r="N203" s="6" t="s">
        <v>2170</v>
      </c>
      <c r="O203" s="6" t="s">
        <v>94</v>
      </c>
      <c r="P203" s="5" t="s">
        <v>2272</v>
      </c>
      <c r="Q203" s="17" t="s">
        <v>2273</v>
      </c>
      <c r="R203" s="5" t="s">
        <v>4016</v>
      </c>
      <c r="S203" s="6" t="s">
        <v>2275</v>
      </c>
      <c r="T203" s="5" t="s">
        <v>2276</v>
      </c>
      <c r="U203" s="6"/>
      <c r="V203" s="6" t="s">
        <v>2277</v>
      </c>
      <c r="W203" s="6" t="s">
        <v>1697</v>
      </c>
      <c r="X203" s="5" t="s">
        <v>228</v>
      </c>
      <c r="Y203" s="5" t="s">
        <v>2170</v>
      </c>
      <c r="Z203" s="5" t="str">
        <f t="shared" si="6"/>
        <v>High</v>
      </c>
      <c r="AA203" s="5" t="s">
        <v>1302</v>
      </c>
      <c r="AB203" s="6" t="s">
        <v>1355</v>
      </c>
      <c r="AC203" s="6" t="s">
        <v>99</v>
      </c>
      <c r="AD203" s="5" t="s">
        <v>2278</v>
      </c>
      <c r="AE203" s="5" t="s">
        <v>1720</v>
      </c>
      <c r="AF203" s="5" t="s">
        <v>1720</v>
      </c>
      <c r="AG203" s="5" t="s">
        <v>1720</v>
      </c>
      <c r="AH203" s="5" t="s">
        <v>1720</v>
      </c>
      <c r="AI203" s="6" t="str">
        <f t="shared" si="7"/>
        <v>No</v>
      </c>
      <c r="AJ203" s="6" t="s">
        <v>2279</v>
      </c>
      <c r="AK203" s="6" t="s">
        <v>94</v>
      </c>
      <c r="AL203" s="6">
        <f>MATCH(AA203,{"Low","Medium","High"},0)*MATCH(AB203,{"Low","Medium","High"},0)*INDEX({3,2,2,1,1},MATCH(X203,{"Core","Vertical extension","Differentiator","Future","Adjacent"},0))</f>
        <v>9</v>
      </c>
      <c r="AM203" s="5"/>
      <c r="AN203" s="5"/>
      <c r="AO203" s="5"/>
      <c r="AP203" s="5"/>
      <c r="AQ203" s="5"/>
      <c r="AR203" s="5" t="s">
        <v>2823</v>
      </c>
      <c r="AS203" s="5" t="s">
        <v>1462</v>
      </c>
      <c r="AT203" s="5" t="s">
        <v>2281</v>
      </c>
      <c r="AU203" s="6" t="s">
        <v>2282</v>
      </c>
      <c r="AV203" s="6" t="s">
        <v>76</v>
      </c>
      <c r="AW203" s="6" t="s">
        <v>76</v>
      </c>
      <c r="AX203" s="6" t="s">
        <v>2284</v>
      </c>
      <c r="AY203" s="6" t="s">
        <v>2285</v>
      </c>
      <c r="AZ203" s="6"/>
      <c r="BA203" s="6"/>
      <c r="BB203" s="6"/>
      <c r="BC203" s="6" t="s">
        <v>127</v>
      </c>
      <c r="BD203" s="6" t="s">
        <v>127</v>
      </c>
      <c r="BE203" s="6" t="s">
        <v>1477</v>
      </c>
      <c r="BF203" s="6" t="s">
        <v>2286</v>
      </c>
      <c r="BG203" s="6" t="s">
        <v>4017</v>
      </c>
      <c r="BH203" s="6" t="s">
        <v>4018</v>
      </c>
    </row>
    <row r="204" spans="1:60" ht="32" customHeight="1" x14ac:dyDescent="0.35">
      <c r="A204" s="13" t="s">
        <v>4019</v>
      </c>
      <c r="B204" s="6" t="s">
        <v>3901</v>
      </c>
      <c r="C204" s="5" t="s">
        <v>1652</v>
      </c>
      <c r="D204" s="5" t="s">
        <v>2191</v>
      </c>
      <c r="E204" s="5" t="s">
        <v>4020</v>
      </c>
      <c r="F204" s="5" t="s">
        <v>4021</v>
      </c>
      <c r="G204" s="5" t="s">
        <v>3336</v>
      </c>
      <c r="H204" s="5" t="s">
        <v>4022</v>
      </c>
      <c r="I204" s="5" t="s">
        <v>4023</v>
      </c>
      <c r="J204" s="17" t="s">
        <v>162</v>
      </c>
      <c r="K204" s="17" t="s">
        <v>1477</v>
      </c>
      <c r="L204" s="5" t="s">
        <v>4024</v>
      </c>
      <c r="M204" s="6" t="s">
        <v>1493</v>
      </c>
      <c r="N204" s="6" t="s">
        <v>2170</v>
      </c>
      <c r="O204" s="6" t="s">
        <v>162</v>
      </c>
      <c r="P204" s="5" t="s">
        <v>2272</v>
      </c>
      <c r="Q204" s="17" t="s">
        <v>2273</v>
      </c>
      <c r="R204" s="5" t="s">
        <v>4025</v>
      </c>
      <c r="S204" s="6" t="s">
        <v>2275</v>
      </c>
      <c r="T204" s="5" t="s">
        <v>2276</v>
      </c>
      <c r="U204" s="6"/>
      <c r="V204" s="6" t="s">
        <v>2277</v>
      </c>
      <c r="W204" s="6" t="s">
        <v>1697</v>
      </c>
      <c r="X204" s="5" t="s">
        <v>228</v>
      </c>
      <c r="Y204" s="5" t="s">
        <v>2170</v>
      </c>
      <c r="Z204" s="5" t="str">
        <f t="shared" si="6"/>
        <v>Medium</v>
      </c>
      <c r="AA204" s="5" t="s">
        <v>1319</v>
      </c>
      <c r="AB204" s="6" t="s">
        <v>1355</v>
      </c>
      <c r="AC204" s="6" t="s">
        <v>135</v>
      </c>
      <c r="AD204" s="5" t="s">
        <v>2278</v>
      </c>
      <c r="AE204" s="5" t="s">
        <v>1720</v>
      </c>
      <c r="AF204" s="5" t="s">
        <v>1720</v>
      </c>
      <c r="AG204" s="5" t="s">
        <v>1720</v>
      </c>
      <c r="AH204" s="5" t="s">
        <v>1720</v>
      </c>
      <c r="AI204" s="6" t="str">
        <f t="shared" si="7"/>
        <v>No</v>
      </c>
      <c r="AJ204" s="6" t="s">
        <v>2298</v>
      </c>
      <c r="AK204" s="6" t="s">
        <v>162</v>
      </c>
      <c r="AL204" s="6">
        <f>MATCH(AA204,{"Low","Medium","High"},0)*MATCH(AB204,{"Low","Medium","High"},0)*INDEX({3,2,2,1,1},MATCH(X204,{"Core","Vertical extension","Differentiator","Future","Adjacent"},0))</f>
        <v>6</v>
      </c>
      <c r="AM204" s="5"/>
      <c r="AN204" s="5"/>
      <c r="AO204" s="5"/>
      <c r="AP204" s="5"/>
      <c r="AQ204" s="5"/>
      <c r="AR204" s="5"/>
      <c r="AS204" s="5"/>
      <c r="AT204" s="5"/>
      <c r="AU204" s="6" t="s">
        <v>2317</v>
      </c>
      <c r="AV204" s="6" t="s">
        <v>3968</v>
      </c>
      <c r="AW204" s="6" t="s">
        <v>3968</v>
      </c>
      <c r="AX204" s="6" t="s">
        <v>2284</v>
      </c>
      <c r="AY204" s="6" t="s">
        <v>2285</v>
      </c>
      <c r="AZ204" s="6"/>
      <c r="BA204" s="6"/>
      <c r="BB204" s="6"/>
      <c r="BC204" s="6" t="s">
        <v>127</v>
      </c>
      <c r="BD204" s="6" t="s">
        <v>127</v>
      </c>
      <c r="BE204" s="6" t="s">
        <v>1477</v>
      </c>
      <c r="BF204" s="6" t="s">
        <v>2286</v>
      </c>
      <c r="BG204" s="6" t="s">
        <v>4026</v>
      </c>
      <c r="BH204" s="6" t="s">
        <v>4027</v>
      </c>
    </row>
    <row r="205" spans="1:60" ht="32" customHeight="1" x14ac:dyDescent="0.35">
      <c r="A205" s="13" t="s">
        <v>4028</v>
      </c>
      <c r="B205" s="6" t="s">
        <v>3901</v>
      </c>
      <c r="C205" s="5" t="s">
        <v>1652</v>
      </c>
      <c r="D205" s="5" t="s">
        <v>2191</v>
      </c>
      <c r="E205" s="5" t="s">
        <v>4029</v>
      </c>
      <c r="F205" s="5" t="s">
        <v>4030</v>
      </c>
      <c r="G205" s="5" t="s">
        <v>2813</v>
      </c>
      <c r="H205" s="5" t="s">
        <v>4031</v>
      </c>
      <c r="I205" s="5" t="s">
        <v>4032</v>
      </c>
      <c r="J205" s="17" t="s">
        <v>162</v>
      </c>
      <c r="K205" s="17" t="s">
        <v>1477</v>
      </c>
      <c r="L205" s="5" t="s">
        <v>4033</v>
      </c>
      <c r="M205" s="6" t="s">
        <v>1493</v>
      </c>
      <c r="N205" s="6" t="s">
        <v>2170</v>
      </c>
      <c r="O205" s="6" t="s">
        <v>162</v>
      </c>
      <c r="P205" s="5" t="s">
        <v>2272</v>
      </c>
      <c r="Q205" s="17" t="s">
        <v>2273</v>
      </c>
      <c r="R205" s="5" t="s">
        <v>4034</v>
      </c>
      <c r="S205" s="6" t="s">
        <v>2275</v>
      </c>
      <c r="T205" s="5" t="s">
        <v>2276</v>
      </c>
      <c r="U205" s="6"/>
      <c r="V205" s="6" t="s">
        <v>2277</v>
      </c>
      <c r="W205" s="6" t="s">
        <v>1697</v>
      </c>
      <c r="X205" s="5" t="s">
        <v>228</v>
      </c>
      <c r="Y205" s="5" t="s">
        <v>2170</v>
      </c>
      <c r="Z205" s="5" t="str">
        <f t="shared" si="6"/>
        <v>Medium</v>
      </c>
      <c r="AA205" s="5" t="s">
        <v>1319</v>
      </c>
      <c r="AB205" s="6" t="s">
        <v>1355</v>
      </c>
      <c r="AC205" s="6" t="s">
        <v>135</v>
      </c>
      <c r="AD205" s="5" t="s">
        <v>2278</v>
      </c>
      <c r="AE205" s="5" t="s">
        <v>1720</v>
      </c>
      <c r="AF205" s="5" t="s">
        <v>1720</v>
      </c>
      <c r="AG205" s="5" t="s">
        <v>1720</v>
      </c>
      <c r="AH205" s="5" t="s">
        <v>1720</v>
      </c>
      <c r="AI205" s="6" t="str">
        <f t="shared" si="7"/>
        <v>No</v>
      </c>
      <c r="AJ205" s="6" t="s">
        <v>2298</v>
      </c>
      <c r="AK205" s="6" t="s">
        <v>162</v>
      </c>
      <c r="AL205" s="6">
        <f>MATCH(AA205,{"Low","Medium","High"},0)*MATCH(AB205,{"Low","Medium","High"},0)*INDEX({3,2,2,1,1},MATCH(X205,{"Core","Vertical extension","Differentiator","Future","Adjacent"},0))</f>
        <v>6</v>
      </c>
      <c r="AM205" s="5"/>
      <c r="AN205" s="5"/>
      <c r="AO205" s="5"/>
      <c r="AP205" s="5"/>
      <c r="AQ205" s="5"/>
      <c r="AR205" s="5"/>
      <c r="AS205" s="5"/>
      <c r="AT205" s="5"/>
      <c r="AU205" s="6" t="s">
        <v>2317</v>
      </c>
      <c r="AV205" s="6" t="s">
        <v>3968</v>
      </c>
      <c r="AW205" s="6" t="s">
        <v>3968</v>
      </c>
      <c r="AX205" s="6" t="s">
        <v>2284</v>
      </c>
      <c r="AY205" s="6" t="s">
        <v>2285</v>
      </c>
      <c r="AZ205" s="6"/>
      <c r="BA205" s="6" t="s">
        <v>3396</v>
      </c>
      <c r="BB205" s="6" t="s">
        <v>3389</v>
      </c>
      <c r="BC205" s="6" t="s">
        <v>127</v>
      </c>
      <c r="BD205" s="6" t="s">
        <v>127</v>
      </c>
      <c r="BE205" s="6" t="s">
        <v>1477</v>
      </c>
      <c r="BF205" s="6" t="s">
        <v>2286</v>
      </c>
      <c r="BG205" s="6" t="s">
        <v>4035</v>
      </c>
      <c r="BH205" s="6" t="s">
        <v>4036</v>
      </c>
    </row>
    <row r="206" spans="1:60" ht="32" customHeight="1" x14ac:dyDescent="0.35">
      <c r="A206" s="13" t="s">
        <v>4037</v>
      </c>
      <c r="B206" s="6" t="s">
        <v>3901</v>
      </c>
      <c r="C206" s="5" t="s">
        <v>1652</v>
      </c>
      <c r="D206" s="5" t="s">
        <v>2191</v>
      </c>
      <c r="E206" s="5" t="s">
        <v>4038</v>
      </c>
      <c r="F206" s="5" t="s">
        <v>4039</v>
      </c>
      <c r="G206" s="5" t="s">
        <v>2396</v>
      </c>
      <c r="H206" s="5" t="s">
        <v>4040</v>
      </c>
      <c r="I206" s="5" t="s">
        <v>4041</v>
      </c>
      <c r="J206" s="17" t="s">
        <v>162</v>
      </c>
      <c r="K206" s="17" t="s">
        <v>1477</v>
      </c>
      <c r="L206" s="5" t="s">
        <v>4042</v>
      </c>
      <c r="M206" s="6" t="s">
        <v>1493</v>
      </c>
      <c r="N206" s="6" t="s">
        <v>2170</v>
      </c>
      <c r="O206" s="6" t="s">
        <v>162</v>
      </c>
      <c r="P206" s="5" t="s">
        <v>2272</v>
      </c>
      <c r="Q206" s="17" t="s">
        <v>2273</v>
      </c>
      <c r="R206" s="5" t="s">
        <v>4043</v>
      </c>
      <c r="S206" s="6" t="s">
        <v>2275</v>
      </c>
      <c r="T206" s="5" t="s">
        <v>2276</v>
      </c>
      <c r="U206" s="6"/>
      <c r="V206" s="6" t="s">
        <v>2277</v>
      </c>
      <c r="W206" s="6" t="s">
        <v>1697</v>
      </c>
      <c r="X206" s="5" t="s">
        <v>228</v>
      </c>
      <c r="Y206" s="5" t="s">
        <v>2170</v>
      </c>
      <c r="Z206" s="5" t="str">
        <f t="shared" si="6"/>
        <v>Medium</v>
      </c>
      <c r="AA206" s="5" t="s">
        <v>1319</v>
      </c>
      <c r="AB206" s="6" t="s">
        <v>1355</v>
      </c>
      <c r="AC206" s="6" t="s">
        <v>135</v>
      </c>
      <c r="AD206" s="5" t="s">
        <v>2278</v>
      </c>
      <c r="AE206" s="5" t="s">
        <v>1720</v>
      </c>
      <c r="AF206" s="5" t="s">
        <v>1720</v>
      </c>
      <c r="AG206" s="5" t="s">
        <v>1720</v>
      </c>
      <c r="AH206" s="5" t="s">
        <v>1720</v>
      </c>
      <c r="AI206" s="6" t="str">
        <f t="shared" si="7"/>
        <v>No</v>
      </c>
      <c r="AJ206" s="6" t="s">
        <v>2298</v>
      </c>
      <c r="AK206" s="6" t="s">
        <v>162</v>
      </c>
      <c r="AL206" s="6">
        <f>MATCH(AA206,{"Low","Medium","High"},0)*MATCH(AB206,{"Low","Medium","High"},0)*INDEX({3,2,2,1,1},MATCH(X206,{"Core","Vertical extension","Differentiator","Future","Adjacent"},0))</f>
        <v>6</v>
      </c>
      <c r="AM206" s="5"/>
      <c r="AN206" s="5"/>
      <c r="AO206" s="5"/>
      <c r="AP206" s="5"/>
      <c r="AQ206" s="5"/>
      <c r="AR206" s="5"/>
      <c r="AS206" s="5"/>
      <c r="AT206" s="5"/>
      <c r="AU206" s="6" t="s">
        <v>2317</v>
      </c>
      <c r="AV206" s="6" t="s">
        <v>2804</v>
      </c>
      <c r="AW206" s="6" t="s">
        <v>2804</v>
      </c>
      <c r="AX206" s="6" t="s">
        <v>2284</v>
      </c>
      <c r="AY206" s="6" t="s">
        <v>2285</v>
      </c>
      <c r="AZ206" s="6"/>
      <c r="BA206" s="6" t="s">
        <v>2419</v>
      </c>
      <c r="BB206" s="6" t="s">
        <v>2420</v>
      </c>
      <c r="BC206" s="6" t="s">
        <v>127</v>
      </c>
      <c r="BD206" s="6" t="s">
        <v>127</v>
      </c>
      <c r="BE206" s="6" t="s">
        <v>1477</v>
      </c>
      <c r="BF206" s="6" t="s">
        <v>2286</v>
      </c>
      <c r="BG206" s="6" t="s">
        <v>2421</v>
      </c>
      <c r="BH206" s="6" t="s">
        <v>4044</v>
      </c>
    </row>
    <row r="207" spans="1:60" ht="32" customHeight="1" x14ac:dyDescent="0.35">
      <c r="A207" s="13" t="s">
        <v>4045</v>
      </c>
      <c r="B207" s="6" t="s">
        <v>3901</v>
      </c>
      <c r="C207" s="5" t="s">
        <v>1652</v>
      </c>
      <c r="D207" s="5" t="s">
        <v>2191</v>
      </c>
      <c r="E207" s="5" t="s">
        <v>4046</v>
      </c>
      <c r="F207" s="5" t="s">
        <v>2875</v>
      </c>
      <c r="G207" s="5" t="s">
        <v>2911</v>
      </c>
      <c r="H207" s="5" t="s">
        <v>4047</v>
      </c>
      <c r="I207" s="5" t="s">
        <v>4048</v>
      </c>
      <c r="J207" s="17" t="s">
        <v>162</v>
      </c>
      <c r="K207" s="17" t="s">
        <v>1477</v>
      </c>
      <c r="L207" s="5" t="s">
        <v>4049</v>
      </c>
      <c r="M207" s="6" t="s">
        <v>1493</v>
      </c>
      <c r="N207" s="6" t="s">
        <v>2170</v>
      </c>
      <c r="O207" s="6" t="s">
        <v>162</v>
      </c>
      <c r="P207" s="5" t="s">
        <v>2369</v>
      </c>
      <c r="Q207" s="18" t="s">
        <v>1482</v>
      </c>
      <c r="R207" s="5" t="s">
        <v>4050</v>
      </c>
      <c r="S207" s="6" t="s">
        <v>2275</v>
      </c>
      <c r="T207" s="5" t="s">
        <v>2276</v>
      </c>
      <c r="U207" s="6"/>
      <c r="V207" s="6" t="s">
        <v>2277</v>
      </c>
      <c r="W207" s="6" t="s">
        <v>1697</v>
      </c>
      <c r="X207" s="5" t="s">
        <v>228</v>
      </c>
      <c r="Y207" s="5" t="s">
        <v>2170</v>
      </c>
      <c r="Z207" s="5" t="str">
        <f t="shared" si="6"/>
        <v>Medium</v>
      </c>
      <c r="AA207" s="5" t="s">
        <v>1319</v>
      </c>
      <c r="AB207" s="6" t="s">
        <v>1355</v>
      </c>
      <c r="AC207" s="6" t="s">
        <v>135</v>
      </c>
      <c r="AD207" s="5" t="s">
        <v>2278</v>
      </c>
      <c r="AE207" s="5" t="s">
        <v>1720</v>
      </c>
      <c r="AF207" s="5" t="s">
        <v>1720</v>
      </c>
      <c r="AG207" s="5" t="s">
        <v>1720</v>
      </c>
      <c r="AH207" s="5" t="s">
        <v>1720</v>
      </c>
      <c r="AI207" s="6" t="str">
        <f t="shared" si="7"/>
        <v>No</v>
      </c>
      <c r="AJ207" s="6" t="s">
        <v>2298</v>
      </c>
      <c r="AK207" s="6" t="s">
        <v>162</v>
      </c>
      <c r="AL207" s="6">
        <f>MATCH(AA207,{"Low","Medium","High"},0)*MATCH(AB207,{"Low","Medium","High"},0)*INDEX({3,2,2,1,1},MATCH(X207,{"Core","Vertical extension","Differentiator","Future","Adjacent"},0))</f>
        <v>6</v>
      </c>
      <c r="AM207" s="5"/>
      <c r="AN207" s="5"/>
      <c r="AO207" s="5"/>
      <c r="AP207" s="5"/>
      <c r="AQ207" s="5"/>
      <c r="AR207" s="5"/>
      <c r="AS207" s="5"/>
      <c r="AT207" s="5"/>
      <c r="AU207" s="6" t="s">
        <v>2317</v>
      </c>
      <c r="AV207" s="6" t="s">
        <v>2784</v>
      </c>
      <c r="AW207" s="6" t="s">
        <v>2784</v>
      </c>
      <c r="AX207" s="6" t="s">
        <v>2374</v>
      </c>
      <c r="AY207" s="6" t="s">
        <v>2285</v>
      </c>
      <c r="AZ207" s="6"/>
      <c r="BA207" s="6" t="s">
        <v>4051</v>
      </c>
      <c r="BB207" s="6" t="s">
        <v>2474</v>
      </c>
      <c r="BC207" s="6" t="s">
        <v>127</v>
      </c>
      <c r="BD207" s="6" t="s">
        <v>127</v>
      </c>
      <c r="BE207" s="6"/>
      <c r="BF207" s="6"/>
      <c r="BG207" s="6"/>
      <c r="BH207" s="6"/>
    </row>
    <row r="208" spans="1:60" ht="32" customHeight="1" x14ac:dyDescent="0.35">
      <c r="A208" s="13" t="s">
        <v>4052</v>
      </c>
      <c r="B208" s="6" t="s">
        <v>3901</v>
      </c>
      <c r="C208" s="5" t="s">
        <v>1652</v>
      </c>
      <c r="D208" s="5" t="s">
        <v>2191</v>
      </c>
      <c r="E208" s="5" t="s">
        <v>4053</v>
      </c>
      <c r="F208" s="5" t="s">
        <v>2973</v>
      </c>
      <c r="G208" s="5" t="s">
        <v>2396</v>
      </c>
      <c r="H208" s="5" t="s">
        <v>4054</v>
      </c>
      <c r="I208" s="5" t="s">
        <v>4055</v>
      </c>
      <c r="J208" s="17" t="s">
        <v>162</v>
      </c>
      <c r="K208" s="17" t="s">
        <v>1477</v>
      </c>
      <c r="L208" s="5" t="s">
        <v>4056</v>
      </c>
      <c r="M208" s="6" t="s">
        <v>1493</v>
      </c>
      <c r="N208" s="6" t="s">
        <v>2170</v>
      </c>
      <c r="O208" s="6" t="s">
        <v>162</v>
      </c>
      <c r="P208" s="5" t="s">
        <v>2272</v>
      </c>
      <c r="Q208" s="18" t="s">
        <v>1482</v>
      </c>
      <c r="R208" s="5" t="s">
        <v>4057</v>
      </c>
      <c r="S208" s="6" t="s">
        <v>2275</v>
      </c>
      <c r="T208" s="5" t="s">
        <v>2276</v>
      </c>
      <c r="U208" s="6"/>
      <c r="V208" s="6" t="s">
        <v>2277</v>
      </c>
      <c r="W208" s="6" t="s">
        <v>1697</v>
      </c>
      <c r="X208" s="5" t="s">
        <v>228</v>
      </c>
      <c r="Y208" s="5" t="s">
        <v>2170</v>
      </c>
      <c r="Z208" s="5" t="str">
        <f t="shared" si="6"/>
        <v>Medium</v>
      </c>
      <c r="AA208" s="5" t="s">
        <v>1319</v>
      </c>
      <c r="AB208" s="6" t="s">
        <v>1355</v>
      </c>
      <c r="AC208" s="6" t="s">
        <v>135</v>
      </c>
      <c r="AD208" s="5" t="s">
        <v>2278</v>
      </c>
      <c r="AE208" s="5" t="s">
        <v>1720</v>
      </c>
      <c r="AF208" s="5" t="s">
        <v>1720</v>
      </c>
      <c r="AG208" s="5" t="s">
        <v>1720</v>
      </c>
      <c r="AH208" s="5" t="s">
        <v>1720</v>
      </c>
      <c r="AI208" s="6" t="str">
        <f t="shared" si="7"/>
        <v>No</v>
      </c>
      <c r="AJ208" s="6" t="s">
        <v>2298</v>
      </c>
      <c r="AK208" s="6" t="s">
        <v>162</v>
      </c>
      <c r="AL208" s="6">
        <f>MATCH(AA208,{"Low","Medium","High"},0)*MATCH(AB208,{"Low","Medium","High"},0)*INDEX({3,2,2,1,1},MATCH(X208,{"Core","Vertical extension","Differentiator","Future","Adjacent"},0))</f>
        <v>6</v>
      </c>
      <c r="AM208" s="5"/>
      <c r="AN208" s="5"/>
      <c r="AO208" s="5"/>
      <c r="AP208" s="5"/>
      <c r="AQ208" s="5"/>
      <c r="AR208" s="5"/>
      <c r="AS208" s="5"/>
      <c r="AT208" s="5"/>
      <c r="AU208" s="6" t="s">
        <v>2317</v>
      </c>
      <c r="AV208" s="6" t="s">
        <v>76</v>
      </c>
      <c r="AW208" s="6" t="s">
        <v>76</v>
      </c>
      <c r="AX208" s="6" t="s">
        <v>2284</v>
      </c>
      <c r="AY208" s="6" t="s">
        <v>2285</v>
      </c>
      <c r="AZ208" s="6"/>
      <c r="BA208" s="6" t="s">
        <v>4058</v>
      </c>
      <c r="BB208" s="6" t="s">
        <v>4059</v>
      </c>
      <c r="BC208" s="6" t="s">
        <v>127</v>
      </c>
      <c r="BD208" s="6" t="s">
        <v>127</v>
      </c>
      <c r="BE208" s="6"/>
      <c r="BF208" s="6"/>
      <c r="BG208" s="6"/>
      <c r="BH208" s="6"/>
    </row>
    <row r="209" spans="1:60" ht="32" customHeight="1" x14ac:dyDescent="0.35">
      <c r="A209" s="13" t="s">
        <v>4060</v>
      </c>
      <c r="B209" s="6" t="s">
        <v>3901</v>
      </c>
      <c r="C209" s="5" t="s">
        <v>1652</v>
      </c>
      <c r="D209" s="5" t="s">
        <v>2191</v>
      </c>
      <c r="E209" s="5" t="s">
        <v>4061</v>
      </c>
      <c r="F209" s="5" t="s">
        <v>4062</v>
      </c>
      <c r="G209" s="5" t="s">
        <v>2433</v>
      </c>
      <c r="H209" s="5" t="s">
        <v>4063</v>
      </c>
      <c r="I209" s="5" t="s">
        <v>4064</v>
      </c>
      <c r="J209" s="17" t="s">
        <v>162</v>
      </c>
      <c r="K209" s="17" t="s">
        <v>1477</v>
      </c>
      <c r="L209" s="5" t="s">
        <v>4065</v>
      </c>
      <c r="M209" s="6" t="s">
        <v>1493</v>
      </c>
      <c r="N209" s="6" t="s">
        <v>2170</v>
      </c>
      <c r="O209" s="6" t="s">
        <v>162</v>
      </c>
      <c r="P209" s="5" t="s">
        <v>2369</v>
      </c>
      <c r="Q209" s="17" t="s">
        <v>2273</v>
      </c>
      <c r="R209" s="5" t="s">
        <v>4066</v>
      </c>
      <c r="S209" s="6" t="s">
        <v>2275</v>
      </c>
      <c r="T209" s="5" t="s">
        <v>2276</v>
      </c>
      <c r="U209" s="6"/>
      <c r="V209" s="6" t="s">
        <v>2277</v>
      </c>
      <c r="W209" s="6" t="s">
        <v>1697</v>
      </c>
      <c r="X209" s="5" t="s">
        <v>228</v>
      </c>
      <c r="Y209" s="5" t="s">
        <v>2170</v>
      </c>
      <c r="Z209" s="5" t="str">
        <f t="shared" si="6"/>
        <v>Medium</v>
      </c>
      <c r="AA209" s="5" t="s">
        <v>1319</v>
      </c>
      <c r="AB209" s="6" t="s">
        <v>1355</v>
      </c>
      <c r="AC209" s="6" t="s">
        <v>135</v>
      </c>
      <c r="AD209" s="5" t="s">
        <v>2278</v>
      </c>
      <c r="AE209" s="5" t="s">
        <v>1720</v>
      </c>
      <c r="AF209" s="5" t="s">
        <v>1720</v>
      </c>
      <c r="AG209" s="5" t="s">
        <v>1720</v>
      </c>
      <c r="AH209" s="5" t="s">
        <v>1720</v>
      </c>
      <c r="AI209" s="6" t="str">
        <f t="shared" si="7"/>
        <v>No</v>
      </c>
      <c r="AJ209" s="6" t="s">
        <v>2298</v>
      </c>
      <c r="AK209" s="6" t="s">
        <v>162</v>
      </c>
      <c r="AL209" s="6">
        <f>MATCH(AA209,{"Low","Medium","High"},0)*MATCH(AB209,{"Low","Medium","High"},0)*INDEX({3,2,2,1,1},MATCH(X209,{"Core","Vertical extension","Differentiator","Future","Adjacent"},0))</f>
        <v>6</v>
      </c>
      <c r="AM209" s="5"/>
      <c r="AN209" s="5"/>
      <c r="AO209" s="5"/>
      <c r="AP209" s="5"/>
      <c r="AQ209" s="5"/>
      <c r="AR209" s="5"/>
      <c r="AS209" s="5"/>
      <c r="AT209" s="5"/>
      <c r="AU209" s="6" t="s">
        <v>2317</v>
      </c>
      <c r="AV209" s="6" t="s">
        <v>3968</v>
      </c>
      <c r="AW209" s="6" t="s">
        <v>3968</v>
      </c>
      <c r="AX209" s="6" t="s">
        <v>2374</v>
      </c>
      <c r="AY209" s="6" t="s">
        <v>2285</v>
      </c>
      <c r="AZ209" s="6"/>
      <c r="BA209" s="6"/>
      <c r="BB209" s="6"/>
      <c r="BC209" s="6" t="s">
        <v>127</v>
      </c>
      <c r="BD209" s="6" t="s">
        <v>127</v>
      </c>
      <c r="BE209" s="6" t="s">
        <v>1477</v>
      </c>
      <c r="BF209" s="6" t="s">
        <v>2286</v>
      </c>
      <c r="BG209" s="6" t="s">
        <v>4067</v>
      </c>
      <c r="BH209" s="6" t="s">
        <v>4068</v>
      </c>
    </row>
    <row r="210" spans="1:60" ht="32" customHeight="1" x14ac:dyDescent="0.35">
      <c r="A210" s="13" t="s">
        <v>4069</v>
      </c>
      <c r="B210" s="6" t="s">
        <v>3901</v>
      </c>
      <c r="C210" s="5" t="s">
        <v>1652</v>
      </c>
      <c r="D210" s="5" t="s">
        <v>2191</v>
      </c>
      <c r="E210" s="5" t="s">
        <v>4070</v>
      </c>
      <c r="F210" s="5" t="s">
        <v>4071</v>
      </c>
      <c r="G210" s="5" t="s">
        <v>2396</v>
      </c>
      <c r="H210" s="5" t="s">
        <v>4072</v>
      </c>
      <c r="I210" s="5" t="s">
        <v>4073</v>
      </c>
      <c r="J210" s="17" t="s">
        <v>162</v>
      </c>
      <c r="K210" s="17" t="s">
        <v>95</v>
      </c>
      <c r="L210" s="5" t="s">
        <v>4074</v>
      </c>
      <c r="M210" s="6" t="s">
        <v>1493</v>
      </c>
      <c r="N210" s="6" t="s">
        <v>2170</v>
      </c>
      <c r="O210" s="6" t="s">
        <v>162</v>
      </c>
      <c r="P210" s="5" t="s">
        <v>2272</v>
      </c>
      <c r="Q210" s="17" t="s">
        <v>95</v>
      </c>
      <c r="R210" s="5" t="s">
        <v>4075</v>
      </c>
      <c r="S210" s="6" t="s">
        <v>2275</v>
      </c>
      <c r="T210" s="5" t="s">
        <v>2276</v>
      </c>
      <c r="U210" s="6"/>
      <c r="V210" s="6" t="s">
        <v>2277</v>
      </c>
      <c r="W210" s="6" t="s">
        <v>1697</v>
      </c>
      <c r="X210" s="5" t="s">
        <v>228</v>
      </c>
      <c r="Y210" s="5" t="s">
        <v>2170</v>
      </c>
      <c r="Z210" s="5" t="str">
        <f t="shared" si="6"/>
        <v>Medium</v>
      </c>
      <c r="AA210" s="5" t="s">
        <v>1319</v>
      </c>
      <c r="AB210" s="6" t="s">
        <v>1355</v>
      </c>
      <c r="AC210" s="6" t="s">
        <v>135</v>
      </c>
      <c r="AD210" s="5" t="s">
        <v>95</v>
      </c>
      <c r="AE210" s="5" t="s">
        <v>1720</v>
      </c>
      <c r="AF210" s="5" t="s">
        <v>1720</v>
      </c>
      <c r="AG210" s="5" t="s">
        <v>1720</v>
      </c>
      <c r="AH210" s="5" t="s">
        <v>1720</v>
      </c>
      <c r="AI210" s="6" t="str">
        <f t="shared" si="7"/>
        <v>No</v>
      </c>
      <c r="AJ210" s="6" t="s">
        <v>229</v>
      </c>
      <c r="AK210" s="6" t="s">
        <v>162</v>
      </c>
      <c r="AL210" s="6">
        <f>MATCH(AA210,{"Low","Medium","High"},0)*MATCH(AB210,{"Low","Medium","High"},0)*INDEX({3,2,2,1,1},MATCH(X210,{"Core","Vertical extension","Differentiator","Future","Adjacent"},0))</f>
        <v>6</v>
      </c>
      <c r="AM210" s="5"/>
      <c r="AN210" s="5"/>
      <c r="AO210" s="5"/>
      <c r="AP210" s="5"/>
      <c r="AQ210" s="5"/>
      <c r="AR210" s="5"/>
      <c r="AS210" s="5"/>
      <c r="AT210" s="5"/>
      <c r="AU210" s="6" t="s">
        <v>2317</v>
      </c>
      <c r="AV210" s="6" t="s">
        <v>76</v>
      </c>
      <c r="AW210" s="6" t="s">
        <v>76</v>
      </c>
      <c r="AX210" s="6" t="s">
        <v>2284</v>
      </c>
      <c r="AY210" s="6" t="s">
        <v>2285</v>
      </c>
      <c r="AZ210" s="6"/>
      <c r="BA210" s="6"/>
      <c r="BB210" s="6"/>
      <c r="BC210" s="6" t="s">
        <v>127</v>
      </c>
      <c r="BD210" s="6" t="s">
        <v>127</v>
      </c>
      <c r="BE210" s="6" t="s">
        <v>1477</v>
      </c>
      <c r="BF210" s="6" t="s">
        <v>95</v>
      </c>
      <c r="BG210" s="6" t="s">
        <v>4076</v>
      </c>
      <c r="BH210" s="6" t="s">
        <v>4077</v>
      </c>
    </row>
    <row r="211" spans="1:60" ht="32" customHeight="1" x14ac:dyDescent="0.35">
      <c r="A211" s="13" t="s">
        <v>4078</v>
      </c>
      <c r="B211" s="6" t="s">
        <v>3901</v>
      </c>
      <c r="C211" s="5" t="s">
        <v>1652</v>
      </c>
      <c r="D211" s="5" t="s">
        <v>2191</v>
      </c>
      <c r="E211" s="5" t="s">
        <v>4079</v>
      </c>
      <c r="F211" s="5" t="s">
        <v>2973</v>
      </c>
      <c r="G211" s="5" t="s">
        <v>3867</v>
      </c>
      <c r="H211" s="5" t="s">
        <v>4080</v>
      </c>
      <c r="I211" s="5" t="s">
        <v>4081</v>
      </c>
      <c r="J211" s="17" t="s">
        <v>162</v>
      </c>
      <c r="K211" s="17" t="s">
        <v>1477</v>
      </c>
      <c r="L211" s="5" t="s">
        <v>4082</v>
      </c>
      <c r="M211" s="6" t="s">
        <v>1493</v>
      </c>
      <c r="N211" s="6" t="s">
        <v>2170</v>
      </c>
      <c r="O211" s="6" t="s">
        <v>162</v>
      </c>
      <c r="P211" s="5" t="s">
        <v>2272</v>
      </c>
      <c r="Q211" s="17" t="s">
        <v>2273</v>
      </c>
      <c r="R211" s="5" t="s">
        <v>4083</v>
      </c>
      <c r="S211" s="6" t="s">
        <v>2275</v>
      </c>
      <c r="T211" s="5" t="s">
        <v>2276</v>
      </c>
      <c r="U211" s="6"/>
      <c r="V211" s="6" t="s">
        <v>2277</v>
      </c>
      <c r="W211" s="6" t="s">
        <v>1697</v>
      </c>
      <c r="X211" s="5" t="s">
        <v>228</v>
      </c>
      <c r="Y211" s="5" t="s">
        <v>2170</v>
      </c>
      <c r="Z211" s="5" t="str">
        <f t="shared" si="6"/>
        <v>Medium</v>
      </c>
      <c r="AA211" s="5" t="s">
        <v>1319</v>
      </c>
      <c r="AB211" s="6" t="s">
        <v>1355</v>
      </c>
      <c r="AC211" s="6" t="s">
        <v>135</v>
      </c>
      <c r="AD211" s="5" t="s">
        <v>2278</v>
      </c>
      <c r="AE211" s="5" t="s">
        <v>1720</v>
      </c>
      <c r="AF211" s="5" t="s">
        <v>1720</v>
      </c>
      <c r="AG211" s="5" t="s">
        <v>1720</v>
      </c>
      <c r="AH211" s="5" t="s">
        <v>1720</v>
      </c>
      <c r="AI211" s="6" t="str">
        <f t="shared" si="7"/>
        <v>No</v>
      </c>
      <c r="AJ211" s="6" t="s">
        <v>2298</v>
      </c>
      <c r="AK211" s="6" t="s">
        <v>162</v>
      </c>
      <c r="AL211" s="6">
        <f>MATCH(AA211,{"Low","Medium","High"},0)*MATCH(AB211,{"Low","Medium","High"},0)*INDEX({3,2,2,1,1},MATCH(X211,{"Core","Vertical extension","Differentiator","Future","Adjacent"},0))</f>
        <v>6</v>
      </c>
      <c r="AM211" s="5"/>
      <c r="AN211" s="5"/>
      <c r="AO211" s="5"/>
      <c r="AP211" s="5"/>
      <c r="AQ211" s="5"/>
      <c r="AR211" s="5"/>
      <c r="AS211" s="5"/>
      <c r="AT211" s="5"/>
      <c r="AU211" s="6" t="s">
        <v>2317</v>
      </c>
      <c r="AV211" s="6" t="s">
        <v>76</v>
      </c>
      <c r="AW211" s="6" t="s">
        <v>76</v>
      </c>
      <c r="AX211" s="6" t="s">
        <v>2284</v>
      </c>
      <c r="AY211" s="6" t="s">
        <v>2285</v>
      </c>
      <c r="AZ211" s="6"/>
      <c r="BA211" s="6"/>
      <c r="BB211" s="6"/>
      <c r="BC211" s="6" t="s">
        <v>127</v>
      </c>
      <c r="BD211" s="6" t="s">
        <v>127</v>
      </c>
      <c r="BE211" s="6" t="s">
        <v>1477</v>
      </c>
      <c r="BF211" s="6" t="s">
        <v>2286</v>
      </c>
      <c r="BG211" s="6" t="s">
        <v>4084</v>
      </c>
      <c r="BH211" s="6" t="s">
        <v>4085</v>
      </c>
    </row>
    <row r="212" spans="1:60" ht="32" customHeight="1" x14ac:dyDescent="0.35">
      <c r="A212" s="13" t="s">
        <v>4086</v>
      </c>
      <c r="B212" s="6" t="s">
        <v>3901</v>
      </c>
      <c r="C212" s="5" t="s">
        <v>1652</v>
      </c>
      <c r="D212" s="5" t="s">
        <v>2193</v>
      </c>
      <c r="E212" s="5" t="s">
        <v>4087</v>
      </c>
      <c r="F212" s="5" t="s">
        <v>1669</v>
      </c>
      <c r="G212" s="5" t="s">
        <v>2507</v>
      </c>
      <c r="H212" s="5" t="s">
        <v>4088</v>
      </c>
      <c r="I212" s="5" t="s">
        <v>4089</v>
      </c>
      <c r="J212" s="17" t="s">
        <v>162</v>
      </c>
      <c r="K212" s="17" t="s">
        <v>1477</v>
      </c>
      <c r="L212" s="5" t="s">
        <v>4090</v>
      </c>
      <c r="M212" s="6" t="s">
        <v>1493</v>
      </c>
      <c r="N212" s="6" t="s">
        <v>2170</v>
      </c>
      <c r="O212" s="6" t="s">
        <v>162</v>
      </c>
      <c r="P212" s="5" t="s">
        <v>2272</v>
      </c>
      <c r="Q212" s="17" t="s">
        <v>2273</v>
      </c>
      <c r="R212" s="5" t="s">
        <v>4091</v>
      </c>
      <c r="S212" s="6" t="s">
        <v>2470</v>
      </c>
      <c r="T212" s="5" t="s">
        <v>2471</v>
      </c>
      <c r="U212" s="6"/>
      <c r="V212" s="6" t="s">
        <v>2472</v>
      </c>
      <c r="W212" s="6" t="s">
        <v>1697</v>
      </c>
      <c r="X212" s="5" t="s">
        <v>228</v>
      </c>
      <c r="Y212" s="5" t="s">
        <v>2170</v>
      </c>
      <c r="Z212" s="5" t="str">
        <f t="shared" si="6"/>
        <v>Medium</v>
      </c>
      <c r="AA212" s="5" t="s">
        <v>1319</v>
      </c>
      <c r="AB212" s="6" t="s">
        <v>1355</v>
      </c>
      <c r="AC212" s="6" t="s">
        <v>135</v>
      </c>
      <c r="AD212" s="5" t="s">
        <v>2278</v>
      </c>
      <c r="AE212" s="5" t="s">
        <v>1720</v>
      </c>
      <c r="AF212" s="5" t="s">
        <v>1720</v>
      </c>
      <c r="AG212" s="5" t="s">
        <v>1720</v>
      </c>
      <c r="AH212" s="5" t="s">
        <v>1720</v>
      </c>
      <c r="AI212" s="6" t="str">
        <f t="shared" si="7"/>
        <v>No</v>
      </c>
      <c r="AJ212" s="6" t="s">
        <v>2298</v>
      </c>
      <c r="AK212" s="6" t="s">
        <v>162</v>
      </c>
      <c r="AL212" s="6">
        <f>MATCH(AA212,{"Low","Medium","High"},0)*MATCH(AB212,{"Low","Medium","High"},0)*INDEX({3,2,2,1,1},MATCH(X212,{"Core","Vertical extension","Differentiator","Future","Adjacent"},0))</f>
        <v>6</v>
      </c>
      <c r="AM212" s="5"/>
      <c r="AN212" s="5"/>
      <c r="AO212" s="5"/>
      <c r="AP212" s="5"/>
      <c r="AQ212" s="5"/>
      <c r="AR212" s="5"/>
      <c r="AS212" s="5"/>
      <c r="AT212" s="5"/>
      <c r="AU212" s="6" t="s">
        <v>2317</v>
      </c>
      <c r="AV212" s="6" t="s">
        <v>1669</v>
      </c>
      <c r="AW212" s="6" t="s">
        <v>1669</v>
      </c>
      <c r="AX212" s="6" t="s">
        <v>2284</v>
      </c>
      <c r="AY212" s="6" t="s">
        <v>2285</v>
      </c>
      <c r="AZ212" s="6"/>
      <c r="BA212" s="6" t="s">
        <v>3507</v>
      </c>
      <c r="BB212" s="6" t="s">
        <v>3508</v>
      </c>
      <c r="BC212" s="6" t="s">
        <v>127</v>
      </c>
      <c r="BD212" s="6" t="s">
        <v>127</v>
      </c>
      <c r="BE212" s="6" t="s">
        <v>1477</v>
      </c>
      <c r="BF212" s="6" t="s">
        <v>2286</v>
      </c>
      <c r="BG212" s="6" t="s">
        <v>4092</v>
      </c>
      <c r="BH212" s="6" t="s">
        <v>4093</v>
      </c>
    </row>
    <row r="213" spans="1:60" ht="32" customHeight="1" x14ac:dyDescent="0.35">
      <c r="A213" s="13" t="s">
        <v>4094</v>
      </c>
      <c r="B213" s="6" t="s">
        <v>3901</v>
      </c>
      <c r="C213" s="5" t="s">
        <v>1652</v>
      </c>
      <c r="D213" s="5" t="s">
        <v>2193</v>
      </c>
      <c r="E213" s="5" t="s">
        <v>4095</v>
      </c>
      <c r="F213" s="5" t="s">
        <v>1669</v>
      </c>
      <c r="G213" s="5" t="s">
        <v>2507</v>
      </c>
      <c r="H213" s="5" t="s">
        <v>4096</v>
      </c>
      <c r="I213" s="5" t="s">
        <v>4097</v>
      </c>
      <c r="J213" s="17" t="s">
        <v>162</v>
      </c>
      <c r="K213" s="17" t="s">
        <v>1477</v>
      </c>
      <c r="L213" s="5" t="s">
        <v>4098</v>
      </c>
      <c r="M213" s="6" t="s">
        <v>1493</v>
      </c>
      <c r="N213" s="6" t="s">
        <v>2170</v>
      </c>
      <c r="O213" s="6" t="s">
        <v>162</v>
      </c>
      <c r="P213" s="5" t="s">
        <v>2272</v>
      </c>
      <c r="Q213" s="18" t="s">
        <v>1482</v>
      </c>
      <c r="R213" s="5" t="s">
        <v>2400</v>
      </c>
      <c r="S213" s="6" t="s">
        <v>2470</v>
      </c>
      <c r="T213" s="5" t="s">
        <v>2471</v>
      </c>
      <c r="U213" s="6"/>
      <c r="V213" s="6" t="s">
        <v>2472</v>
      </c>
      <c r="W213" s="6" t="s">
        <v>1697</v>
      </c>
      <c r="X213" s="5" t="s">
        <v>228</v>
      </c>
      <c r="Y213" s="5" t="s">
        <v>2170</v>
      </c>
      <c r="Z213" s="5" t="str">
        <f t="shared" si="6"/>
        <v>Medium</v>
      </c>
      <c r="AA213" s="5" t="s">
        <v>1319</v>
      </c>
      <c r="AB213" s="6" t="s">
        <v>1355</v>
      </c>
      <c r="AC213" s="6" t="s">
        <v>135</v>
      </c>
      <c r="AD213" s="5" t="s">
        <v>2278</v>
      </c>
      <c r="AE213" s="5" t="s">
        <v>1720</v>
      </c>
      <c r="AF213" s="5" t="s">
        <v>1720</v>
      </c>
      <c r="AG213" s="5" t="s">
        <v>1720</v>
      </c>
      <c r="AH213" s="5" t="s">
        <v>1720</v>
      </c>
      <c r="AI213" s="6" t="str">
        <f t="shared" si="7"/>
        <v>No</v>
      </c>
      <c r="AJ213" s="6" t="s">
        <v>2298</v>
      </c>
      <c r="AK213" s="6" t="s">
        <v>162</v>
      </c>
      <c r="AL213" s="6">
        <f>MATCH(AA213,{"Low","Medium","High"},0)*MATCH(AB213,{"Low","Medium","High"},0)*INDEX({3,2,2,1,1},MATCH(X213,{"Core","Vertical extension","Differentiator","Future","Adjacent"},0))</f>
        <v>6</v>
      </c>
      <c r="AM213" s="5"/>
      <c r="AN213" s="5"/>
      <c r="AO213" s="5"/>
      <c r="AP213" s="5"/>
      <c r="AQ213" s="5"/>
      <c r="AR213" s="5"/>
      <c r="AS213" s="5"/>
      <c r="AT213" s="5"/>
      <c r="AU213" s="6" t="s">
        <v>2317</v>
      </c>
      <c r="AV213" s="6" t="s">
        <v>1669</v>
      </c>
      <c r="AW213" s="6" t="s">
        <v>1669</v>
      </c>
      <c r="AX213" s="6" t="s">
        <v>2284</v>
      </c>
      <c r="AY213" s="6" t="s">
        <v>2285</v>
      </c>
      <c r="AZ213" s="6"/>
      <c r="BA213" s="6"/>
      <c r="BB213" s="6"/>
      <c r="BC213" s="6" t="s">
        <v>127</v>
      </c>
      <c r="BD213" s="6" t="s">
        <v>127</v>
      </c>
      <c r="BE213" s="6"/>
      <c r="BF213" s="6"/>
      <c r="BG213" s="6"/>
      <c r="BH213" s="6"/>
    </row>
    <row r="214" spans="1:60" ht="32" customHeight="1" x14ac:dyDescent="0.35">
      <c r="A214" s="13" t="s">
        <v>4099</v>
      </c>
      <c r="B214" s="6" t="s">
        <v>3901</v>
      </c>
      <c r="C214" s="5" t="s">
        <v>1652</v>
      </c>
      <c r="D214" s="5" t="s">
        <v>2193</v>
      </c>
      <c r="E214" s="5" t="s">
        <v>4100</v>
      </c>
      <c r="F214" s="5" t="s">
        <v>1669</v>
      </c>
      <c r="G214" s="5" t="s">
        <v>2507</v>
      </c>
      <c r="H214" s="5" t="s">
        <v>4101</v>
      </c>
      <c r="I214" s="5" t="s">
        <v>4102</v>
      </c>
      <c r="J214" s="17" t="s">
        <v>162</v>
      </c>
      <c r="K214" s="17" t="s">
        <v>163</v>
      </c>
      <c r="L214" s="5" t="s">
        <v>4103</v>
      </c>
      <c r="M214" s="6" t="s">
        <v>1493</v>
      </c>
      <c r="N214" s="6" t="s">
        <v>2170</v>
      </c>
      <c r="O214" s="6" t="s">
        <v>162</v>
      </c>
      <c r="P214" s="5" t="s">
        <v>2272</v>
      </c>
      <c r="Q214" s="17" t="s">
        <v>163</v>
      </c>
      <c r="R214" s="5" t="s">
        <v>4104</v>
      </c>
      <c r="S214" s="6" t="s">
        <v>2470</v>
      </c>
      <c r="T214" s="5" t="s">
        <v>2471</v>
      </c>
      <c r="U214" s="6"/>
      <c r="V214" s="6" t="s">
        <v>2472</v>
      </c>
      <c r="W214" s="6" t="s">
        <v>1697</v>
      </c>
      <c r="X214" s="5" t="s">
        <v>228</v>
      </c>
      <c r="Y214" s="5" t="s">
        <v>2170</v>
      </c>
      <c r="Z214" s="5" t="str">
        <f t="shared" si="6"/>
        <v>Medium</v>
      </c>
      <c r="AA214" s="5" t="s">
        <v>1319</v>
      </c>
      <c r="AB214" s="6" t="s">
        <v>1355</v>
      </c>
      <c r="AC214" s="6" t="s">
        <v>135</v>
      </c>
      <c r="AD214" s="5" t="s">
        <v>1805</v>
      </c>
      <c r="AE214" s="5" t="s">
        <v>1720</v>
      </c>
      <c r="AF214" s="5" t="s">
        <v>1720</v>
      </c>
      <c r="AG214" s="5" t="s">
        <v>1720</v>
      </c>
      <c r="AH214" s="5" t="s">
        <v>1720</v>
      </c>
      <c r="AI214" s="6" t="str">
        <f t="shared" si="7"/>
        <v>No</v>
      </c>
      <c r="AJ214" s="6" t="s">
        <v>287</v>
      </c>
      <c r="AK214" s="6" t="s">
        <v>162</v>
      </c>
      <c r="AL214" s="6">
        <f>MATCH(AA214,{"Low","Medium","High"},0)*MATCH(AB214,{"Low","Medium","High"},0)*INDEX({3,2,2,1,1},MATCH(X214,{"Core","Vertical extension","Differentiator","Future","Adjacent"},0))</f>
        <v>6</v>
      </c>
      <c r="AM214" s="5"/>
      <c r="AN214" s="5"/>
      <c r="AO214" s="5"/>
      <c r="AP214" s="5"/>
      <c r="AQ214" s="5"/>
      <c r="AR214" s="5"/>
      <c r="AS214" s="5"/>
      <c r="AT214" s="5"/>
      <c r="AU214" s="6" t="s">
        <v>2317</v>
      </c>
      <c r="AV214" s="6" t="s">
        <v>1669</v>
      </c>
      <c r="AW214" s="6" t="s">
        <v>1669</v>
      </c>
      <c r="AX214" s="6" t="s">
        <v>2284</v>
      </c>
      <c r="AY214" s="6" t="s">
        <v>2285</v>
      </c>
      <c r="AZ214" s="6"/>
      <c r="BA214" s="6"/>
      <c r="BB214" s="6"/>
      <c r="BC214" s="6" t="s">
        <v>127</v>
      </c>
      <c r="BD214" s="6" t="s">
        <v>127</v>
      </c>
      <c r="BE214" s="6" t="s">
        <v>1477</v>
      </c>
      <c r="BF214" s="6" t="s">
        <v>288</v>
      </c>
      <c r="BG214" s="6" t="s">
        <v>3507</v>
      </c>
      <c r="BH214" s="6" t="s">
        <v>4105</v>
      </c>
    </row>
    <row r="215" spans="1:60" ht="32" customHeight="1" x14ac:dyDescent="0.35">
      <c r="A215" s="13" t="s">
        <v>4106</v>
      </c>
      <c r="B215" s="6" t="s">
        <v>3901</v>
      </c>
      <c r="C215" s="5" t="s">
        <v>1652</v>
      </c>
      <c r="D215" s="5" t="s">
        <v>2193</v>
      </c>
      <c r="E215" s="5" t="s">
        <v>4107</v>
      </c>
      <c r="F215" s="5" t="s">
        <v>2855</v>
      </c>
      <c r="G215" s="5" t="s">
        <v>4108</v>
      </c>
      <c r="H215" s="5" t="s">
        <v>4109</v>
      </c>
      <c r="I215" s="5" t="s">
        <v>4110</v>
      </c>
      <c r="J215" s="17" t="s">
        <v>162</v>
      </c>
      <c r="K215" s="17" t="s">
        <v>163</v>
      </c>
      <c r="L215" s="5" t="s">
        <v>4111</v>
      </c>
      <c r="M215" s="6" t="s">
        <v>1493</v>
      </c>
      <c r="N215" s="6" t="s">
        <v>2170</v>
      </c>
      <c r="O215" s="6" t="s">
        <v>162</v>
      </c>
      <c r="P215" s="5" t="s">
        <v>2272</v>
      </c>
      <c r="Q215" s="17" t="s">
        <v>163</v>
      </c>
      <c r="R215" s="5" t="s">
        <v>4112</v>
      </c>
      <c r="S215" s="6" t="s">
        <v>2470</v>
      </c>
      <c r="T215" s="5" t="s">
        <v>2471</v>
      </c>
      <c r="U215" s="6"/>
      <c r="V215" s="6" t="s">
        <v>2472</v>
      </c>
      <c r="W215" s="6" t="s">
        <v>1697</v>
      </c>
      <c r="X215" s="5" t="s">
        <v>228</v>
      </c>
      <c r="Y215" s="5" t="s">
        <v>2170</v>
      </c>
      <c r="Z215" s="5" t="str">
        <f t="shared" si="6"/>
        <v>Medium</v>
      </c>
      <c r="AA215" s="5" t="s">
        <v>1319</v>
      </c>
      <c r="AB215" s="6" t="s">
        <v>1355</v>
      </c>
      <c r="AC215" s="6" t="s">
        <v>135</v>
      </c>
      <c r="AD215" s="5" t="s">
        <v>1805</v>
      </c>
      <c r="AE215" s="5" t="s">
        <v>1720</v>
      </c>
      <c r="AF215" s="5" t="s">
        <v>1720</v>
      </c>
      <c r="AG215" s="5" t="s">
        <v>1720</v>
      </c>
      <c r="AH215" s="5" t="s">
        <v>1720</v>
      </c>
      <c r="AI215" s="6" t="str">
        <f t="shared" si="7"/>
        <v>No</v>
      </c>
      <c r="AJ215" s="6" t="s">
        <v>287</v>
      </c>
      <c r="AK215" s="6" t="s">
        <v>162</v>
      </c>
      <c r="AL215" s="6">
        <f>MATCH(AA215,{"Low","Medium","High"},0)*MATCH(AB215,{"Low","Medium","High"},0)*INDEX({3,2,2,1,1},MATCH(X215,{"Core","Vertical extension","Differentiator","Future","Adjacent"},0))</f>
        <v>6</v>
      </c>
      <c r="AM215" s="5"/>
      <c r="AN215" s="5"/>
      <c r="AO215" s="5"/>
      <c r="AP215" s="5"/>
      <c r="AQ215" s="5"/>
      <c r="AR215" s="5"/>
      <c r="AS215" s="5"/>
      <c r="AT215" s="5"/>
      <c r="AU215" s="6" t="s">
        <v>2317</v>
      </c>
      <c r="AV215" s="6" t="s">
        <v>2794</v>
      </c>
      <c r="AW215" s="6" t="s">
        <v>2794</v>
      </c>
      <c r="AX215" s="6" t="s">
        <v>2284</v>
      </c>
      <c r="AY215" s="6" t="s">
        <v>2285</v>
      </c>
      <c r="AZ215" s="6"/>
      <c r="BA215" s="6"/>
      <c r="BB215" s="6"/>
      <c r="BC215" s="6" t="s">
        <v>127</v>
      </c>
      <c r="BD215" s="6" t="s">
        <v>127</v>
      </c>
      <c r="BE215" s="6" t="s">
        <v>1477</v>
      </c>
      <c r="BF215" s="6" t="s">
        <v>288</v>
      </c>
      <c r="BG215" s="6" t="s">
        <v>4113</v>
      </c>
      <c r="BH215" s="6" t="s">
        <v>4114</v>
      </c>
    </row>
    <row r="216" spans="1:60" ht="32" customHeight="1" x14ac:dyDescent="0.35">
      <c r="A216" s="13" t="s">
        <v>4115</v>
      </c>
      <c r="B216" s="6" t="s">
        <v>3901</v>
      </c>
      <c r="C216" s="5" t="s">
        <v>1652</v>
      </c>
      <c r="D216" s="5" t="s">
        <v>2193</v>
      </c>
      <c r="E216" s="5" t="s">
        <v>4116</v>
      </c>
      <c r="F216" s="5" t="s">
        <v>2911</v>
      </c>
      <c r="G216" s="5" t="s">
        <v>4117</v>
      </c>
      <c r="H216" s="5" t="s">
        <v>4118</v>
      </c>
      <c r="I216" s="5" t="s">
        <v>4119</v>
      </c>
      <c r="J216" s="17" t="s">
        <v>162</v>
      </c>
      <c r="K216" s="17" t="s">
        <v>1477</v>
      </c>
      <c r="L216" s="5" t="s">
        <v>4120</v>
      </c>
      <c r="M216" s="6" t="s">
        <v>1493</v>
      </c>
      <c r="N216" s="6" t="s">
        <v>2170</v>
      </c>
      <c r="O216" s="6" t="s">
        <v>162</v>
      </c>
      <c r="P216" s="5" t="s">
        <v>2272</v>
      </c>
      <c r="Q216" s="17" t="s">
        <v>2273</v>
      </c>
      <c r="R216" s="5" t="s">
        <v>4121</v>
      </c>
      <c r="S216" s="6" t="s">
        <v>2470</v>
      </c>
      <c r="T216" s="5" t="s">
        <v>2471</v>
      </c>
      <c r="U216" s="6"/>
      <c r="V216" s="6" t="s">
        <v>2472</v>
      </c>
      <c r="W216" s="6" t="s">
        <v>1697</v>
      </c>
      <c r="X216" s="5" t="s">
        <v>228</v>
      </c>
      <c r="Y216" s="5" t="s">
        <v>2170</v>
      </c>
      <c r="Z216" s="5" t="str">
        <f t="shared" si="6"/>
        <v>Medium</v>
      </c>
      <c r="AA216" s="5" t="s">
        <v>1319</v>
      </c>
      <c r="AB216" s="6" t="s">
        <v>1355</v>
      </c>
      <c r="AC216" s="6" t="s">
        <v>135</v>
      </c>
      <c r="AD216" s="5" t="s">
        <v>2278</v>
      </c>
      <c r="AE216" s="5" t="s">
        <v>1720</v>
      </c>
      <c r="AF216" s="5" t="s">
        <v>1720</v>
      </c>
      <c r="AG216" s="5" t="s">
        <v>1720</v>
      </c>
      <c r="AH216" s="5" t="s">
        <v>1720</v>
      </c>
      <c r="AI216" s="6" t="str">
        <f t="shared" si="7"/>
        <v>No</v>
      </c>
      <c r="AJ216" s="6" t="s">
        <v>2298</v>
      </c>
      <c r="AK216" s="6" t="s">
        <v>162</v>
      </c>
      <c r="AL216" s="6">
        <f>MATCH(AA216,{"Low","Medium","High"},0)*MATCH(AB216,{"Low","Medium","High"},0)*INDEX({3,2,2,1,1},MATCH(X216,{"Core","Vertical extension","Differentiator","Future","Adjacent"},0))</f>
        <v>6</v>
      </c>
      <c r="AM216" s="5"/>
      <c r="AN216" s="5"/>
      <c r="AO216" s="5"/>
      <c r="AP216" s="5"/>
      <c r="AQ216" s="5"/>
      <c r="AR216" s="5"/>
      <c r="AS216" s="5"/>
      <c r="AT216" s="5"/>
      <c r="AU216" s="6" t="s">
        <v>2317</v>
      </c>
      <c r="AV216" s="6" t="s">
        <v>2784</v>
      </c>
      <c r="AW216" s="6" t="s">
        <v>2784</v>
      </c>
      <c r="AX216" s="6" t="s">
        <v>2284</v>
      </c>
      <c r="AY216" s="6" t="s">
        <v>2285</v>
      </c>
      <c r="AZ216" s="6"/>
      <c r="BA216" s="6"/>
      <c r="BB216" s="6"/>
      <c r="BC216" s="6" t="s">
        <v>127</v>
      </c>
      <c r="BD216" s="6" t="s">
        <v>127</v>
      </c>
      <c r="BE216" s="6" t="s">
        <v>1477</v>
      </c>
      <c r="BF216" s="6" t="s">
        <v>2286</v>
      </c>
      <c r="BG216" s="6" t="s">
        <v>4122</v>
      </c>
      <c r="BH216" s="6" t="s">
        <v>4123</v>
      </c>
    </row>
    <row r="217" spans="1:60" ht="32" customHeight="1" x14ac:dyDescent="0.35">
      <c r="A217" s="13" t="s">
        <v>4124</v>
      </c>
      <c r="B217" s="6" t="s">
        <v>3901</v>
      </c>
      <c r="C217" s="5" t="s">
        <v>1652</v>
      </c>
      <c r="D217" s="5" t="s">
        <v>2193</v>
      </c>
      <c r="E217" s="5" t="s">
        <v>4125</v>
      </c>
      <c r="F217" s="5" t="s">
        <v>4126</v>
      </c>
      <c r="G217" s="5" t="s">
        <v>2911</v>
      </c>
      <c r="H217" s="5" t="s">
        <v>4127</v>
      </c>
      <c r="I217" s="5" t="s">
        <v>4128</v>
      </c>
      <c r="J217" s="17" t="s">
        <v>162</v>
      </c>
      <c r="K217" s="17" t="s">
        <v>1477</v>
      </c>
      <c r="L217" s="5" t="s">
        <v>4129</v>
      </c>
      <c r="M217" s="6" t="s">
        <v>1493</v>
      </c>
      <c r="N217" s="6" t="s">
        <v>2170</v>
      </c>
      <c r="O217" s="6" t="s">
        <v>162</v>
      </c>
      <c r="P217" s="5" t="s">
        <v>2369</v>
      </c>
      <c r="Q217" s="17" t="s">
        <v>2273</v>
      </c>
      <c r="R217" s="5" t="s">
        <v>4130</v>
      </c>
      <c r="S217" s="6" t="s">
        <v>2470</v>
      </c>
      <c r="T217" s="5" t="s">
        <v>2471</v>
      </c>
      <c r="U217" s="6"/>
      <c r="V217" s="6" t="s">
        <v>2472</v>
      </c>
      <c r="W217" s="6" t="s">
        <v>1697</v>
      </c>
      <c r="X217" s="5" t="s">
        <v>228</v>
      </c>
      <c r="Y217" s="5" t="s">
        <v>2170</v>
      </c>
      <c r="Z217" s="5" t="str">
        <f t="shared" si="6"/>
        <v>Medium</v>
      </c>
      <c r="AA217" s="5" t="s">
        <v>1319</v>
      </c>
      <c r="AB217" s="6" t="s">
        <v>1355</v>
      </c>
      <c r="AC217" s="6" t="s">
        <v>135</v>
      </c>
      <c r="AD217" s="5" t="s">
        <v>2278</v>
      </c>
      <c r="AE217" s="5" t="s">
        <v>1720</v>
      </c>
      <c r="AF217" s="5" t="s">
        <v>1720</v>
      </c>
      <c r="AG217" s="5" t="s">
        <v>1720</v>
      </c>
      <c r="AH217" s="5" t="s">
        <v>1720</v>
      </c>
      <c r="AI217" s="6" t="str">
        <f t="shared" si="7"/>
        <v>No</v>
      </c>
      <c r="AJ217" s="6" t="s">
        <v>2298</v>
      </c>
      <c r="AK217" s="6" t="s">
        <v>162</v>
      </c>
      <c r="AL217" s="6">
        <f>MATCH(AA217,{"Low","Medium","High"},0)*MATCH(AB217,{"Low","Medium","High"},0)*INDEX({3,2,2,1,1},MATCH(X217,{"Core","Vertical extension","Differentiator","Future","Adjacent"},0))</f>
        <v>6</v>
      </c>
      <c r="AM217" s="5"/>
      <c r="AN217" s="5"/>
      <c r="AO217" s="5"/>
      <c r="AP217" s="5"/>
      <c r="AQ217" s="5"/>
      <c r="AR217" s="5"/>
      <c r="AS217" s="5"/>
      <c r="AT217" s="5"/>
      <c r="AU217" s="6" t="s">
        <v>2317</v>
      </c>
      <c r="AV217" s="6" t="s">
        <v>3968</v>
      </c>
      <c r="AW217" s="6" t="s">
        <v>3968</v>
      </c>
      <c r="AX217" s="6" t="s">
        <v>2374</v>
      </c>
      <c r="AY217" s="6" t="s">
        <v>2285</v>
      </c>
      <c r="AZ217" s="6"/>
      <c r="BA217" s="6" t="s">
        <v>2502</v>
      </c>
      <c r="BB217" s="6" t="s">
        <v>2474</v>
      </c>
      <c r="BC217" s="6" t="s">
        <v>127</v>
      </c>
      <c r="BD217" s="6" t="s">
        <v>127</v>
      </c>
      <c r="BE217" s="6" t="s">
        <v>1477</v>
      </c>
      <c r="BF217" s="6" t="s">
        <v>2286</v>
      </c>
      <c r="BG217" s="6" t="s">
        <v>4131</v>
      </c>
      <c r="BH217" s="6" t="s">
        <v>4132</v>
      </c>
    </row>
    <row r="218" spans="1:60" ht="32" customHeight="1" x14ac:dyDescent="0.35">
      <c r="A218" s="13" t="s">
        <v>4133</v>
      </c>
      <c r="B218" s="6" t="s">
        <v>3901</v>
      </c>
      <c r="C218" s="5" t="s">
        <v>1652</v>
      </c>
      <c r="D218" s="5" t="s">
        <v>2193</v>
      </c>
      <c r="E218" s="5" t="s">
        <v>4134</v>
      </c>
      <c r="F218" s="5" t="s">
        <v>2911</v>
      </c>
      <c r="G218" s="5" t="s">
        <v>2507</v>
      </c>
      <c r="H218" s="5" t="s">
        <v>4135</v>
      </c>
      <c r="I218" s="5" t="s">
        <v>4136</v>
      </c>
      <c r="J218" s="17" t="s">
        <v>162</v>
      </c>
      <c r="K218" s="17" t="s">
        <v>163</v>
      </c>
      <c r="L218" s="5" t="s">
        <v>4137</v>
      </c>
      <c r="M218" s="6" t="s">
        <v>1493</v>
      </c>
      <c r="N218" s="6" t="s">
        <v>2170</v>
      </c>
      <c r="O218" s="6" t="s">
        <v>162</v>
      </c>
      <c r="P218" s="5" t="s">
        <v>2272</v>
      </c>
      <c r="Q218" s="17" t="s">
        <v>163</v>
      </c>
      <c r="R218" s="5" t="s">
        <v>4138</v>
      </c>
      <c r="S218" s="6" t="s">
        <v>2470</v>
      </c>
      <c r="T218" s="5" t="s">
        <v>2471</v>
      </c>
      <c r="U218" s="6"/>
      <c r="V218" s="6" t="s">
        <v>2472</v>
      </c>
      <c r="W218" s="6" t="s">
        <v>1697</v>
      </c>
      <c r="X218" s="5" t="s">
        <v>228</v>
      </c>
      <c r="Y218" s="5" t="s">
        <v>2170</v>
      </c>
      <c r="Z218" s="5" t="str">
        <f t="shared" si="6"/>
        <v>Medium</v>
      </c>
      <c r="AA218" s="5" t="s">
        <v>1319</v>
      </c>
      <c r="AB218" s="6" t="s">
        <v>1355</v>
      </c>
      <c r="AC218" s="6" t="s">
        <v>135</v>
      </c>
      <c r="AD218" s="5" t="s">
        <v>1805</v>
      </c>
      <c r="AE218" s="5" t="s">
        <v>1720</v>
      </c>
      <c r="AF218" s="5" t="s">
        <v>1720</v>
      </c>
      <c r="AG218" s="5" t="s">
        <v>1720</v>
      </c>
      <c r="AH218" s="5" t="s">
        <v>1720</v>
      </c>
      <c r="AI218" s="6" t="str">
        <f t="shared" si="7"/>
        <v>No</v>
      </c>
      <c r="AJ218" s="6" t="s">
        <v>287</v>
      </c>
      <c r="AK218" s="6" t="s">
        <v>162</v>
      </c>
      <c r="AL218" s="6">
        <f>MATCH(AA218,{"Low","Medium","High"},0)*MATCH(AB218,{"Low","Medium","High"},0)*INDEX({3,2,2,1,1},MATCH(X218,{"Core","Vertical extension","Differentiator","Future","Adjacent"},0))</f>
        <v>6</v>
      </c>
      <c r="AM218" s="5"/>
      <c r="AN218" s="5"/>
      <c r="AO218" s="5"/>
      <c r="AP218" s="5"/>
      <c r="AQ218" s="5"/>
      <c r="AR218" s="5"/>
      <c r="AS218" s="5"/>
      <c r="AT218" s="5"/>
      <c r="AU218" s="6" t="s">
        <v>2317</v>
      </c>
      <c r="AV218" s="6" t="s">
        <v>2784</v>
      </c>
      <c r="AW218" s="6" t="s">
        <v>2784</v>
      </c>
      <c r="AX218" s="6" t="s">
        <v>2284</v>
      </c>
      <c r="AY218" s="6" t="s">
        <v>2285</v>
      </c>
      <c r="AZ218" s="6"/>
      <c r="BA218" s="6" t="s">
        <v>4139</v>
      </c>
      <c r="BB218" s="6" t="s">
        <v>2638</v>
      </c>
      <c r="BC218" s="6" t="s">
        <v>127</v>
      </c>
      <c r="BD218" s="6" t="s">
        <v>127</v>
      </c>
      <c r="BE218" s="6" t="s">
        <v>1477</v>
      </c>
      <c r="BF218" s="6" t="s">
        <v>288</v>
      </c>
      <c r="BG218" s="6" t="s">
        <v>3525</v>
      </c>
      <c r="BH218" s="6" t="s">
        <v>4140</v>
      </c>
    </row>
    <row r="219" spans="1:60" ht="32" customHeight="1" x14ac:dyDescent="0.35">
      <c r="A219" s="13" t="s">
        <v>4141</v>
      </c>
      <c r="B219" s="6" t="s">
        <v>3901</v>
      </c>
      <c r="C219" s="5" t="s">
        <v>1652</v>
      </c>
      <c r="D219" s="5" t="s">
        <v>2193</v>
      </c>
      <c r="E219" s="5" t="s">
        <v>4142</v>
      </c>
      <c r="F219" s="5" t="s">
        <v>2911</v>
      </c>
      <c r="G219" s="5" t="s">
        <v>4143</v>
      </c>
      <c r="H219" s="5" t="s">
        <v>4144</v>
      </c>
      <c r="I219" s="5" t="s">
        <v>4145</v>
      </c>
      <c r="J219" s="17" t="s">
        <v>162</v>
      </c>
      <c r="K219" s="17" t="s">
        <v>95</v>
      </c>
      <c r="L219" s="5" t="s">
        <v>4146</v>
      </c>
      <c r="M219" s="6" t="s">
        <v>1493</v>
      </c>
      <c r="N219" s="6" t="s">
        <v>2170</v>
      </c>
      <c r="O219" s="6" t="s">
        <v>162</v>
      </c>
      <c r="P219" s="5" t="s">
        <v>2272</v>
      </c>
      <c r="Q219" s="17" t="s">
        <v>95</v>
      </c>
      <c r="R219" s="5" t="s">
        <v>4147</v>
      </c>
      <c r="S219" s="6" t="s">
        <v>2470</v>
      </c>
      <c r="T219" s="5" t="s">
        <v>2471</v>
      </c>
      <c r="U219" s="6"/>
      <c r="V219" s="6" t="s">
        <v>2472</v>
      </c>
      <c r="W219" s="6" t="s">
        <v>1697</v>
      </c>
      <c r="X219" s="5" t="s">
        <v>228</v>
      </c>
      <c r="Y219" s="5" t="s">
        <v>2170</v>
      </c>
      <c r="Z219" s="5" t="str">
        <f t="shared" si="6"/>
        <v>Medium</v>
      </c>
      <c r="AA219" s="5" t="s">
        <v>1319</v>
      </c>
      <c r="AB219" s="6" t="s">
        <v>1355</v>
      </c>
      <c r="AC219" s="6" t="s">
        <v>135</v>
      </c>
      <c r="AD219" s="5" t="s">
        <v>95</v>
      </c>
      <c r="AE219" s="5" t="s">
        <v>1720</v>
      </c>
      <c r="AF219" s="5" t="s">
        <v>1720</v>
      </c>
      <c r="AG219" s="5" t="s">
        <v>1720</v>
      </c>
      <c r="AH219" s="5" t="s">
        <v>1720</v>
      </c>
      <c r="AI219" s="6" t="str">
        <f t="shared" si="7"/>
        <v>No</v>
      </c>
      <c r="AJ219" s="6" t="s">
        <v>229</v>
      </c>
      <c r="AK219" s="6" t="s">
        <v>162</v>
      </c>
      <c r="AL219" s="6">
        <f>MATCH(AA219,{"Low","Medium","High"},0)*MATCH(AB219,{"Low","Medium","High"},0)*INDEX({3,2,2,1,1},MATCH(X219,{"Core","Vertical extension","Differentiator","Future","Adjacent"},0))</f>
        <v>6</v>
      </c>
      <c r="AM219" s="5"/>
      <c r="AN219" s="5"/>
      <c r="AO219" s="5"/>
      <c r="AP219" s="5"/>
      <c r="AQ219" s="5"/>
      <c r="AR219" s="5"/>
      <c r="AS219" s="5"/>
      <c r="AT219" s="5"/>
      <c r="AU219" s="6" t="s">
        <v>2317</v>
      </c>
      <c r="AV219" s="6" t="s">
        <v>2784</v>
      </c>
      <c r="AW219" s="6" t="s">
        <v>2784</v>
      </c>
      <c r="AX219" s="6" t="s">
        <v>2284</v>
      </c>
      <c r="AY219" s="6" t="s">
        <v>2285</v>
      </c>
      <c r="AZ219" s="6"/>
      <c r="BA219" s="6"/>
      <c r="BB219" s="6"/>
      <c r="BC219" s="6" t="s">
        <v>127</v>
      </c>
      <c r="BD219" s="6" t="s">
        <v>127</v>
      </c>
      <c r="BE219" s="6" t="s">
        <v>1477</v>
      </c>
      <c r="BF219" s="6" t="s">
        <v>95</v>
      </c>
      <c r="BG219" s="6" t="s">
        <v>4148</v>
      </c>
      <c r="BH219" s="6" t="s">
        <v>4149</v>
      </c>
    </row>
    <row r="220" spans="1:60" ht="32" customHeight="1" x14ac:dyDescent="0.35">
      <c r="A220" s="13" t="s">
        <v>4150</v>
      </c>
      <c r="B220" s="6" t="s">
        <v>3901</v>
      </c>
      <c r="C220" s="5" t="s">
        <v>1652</v>
      </c>
      <c r="D220" s="5" t="s">
        <v>2193</v>
      </c>
      <c r="E220" s="5" t="s">
        <v>4151</v>
      </c>
      <c r="F220" s="5" t="s">
        <v>4152</v>
      </c>
      <c r="G220" s="5" t="s">
        <v>1669</v>
      </c>
      <c r="H220" s="5" t="s">
        <v>4153</v>
      </c>
      <c r="I220" s="5" t="s">
        <v>4154</v>
      </c>
      <c r="J220" s="17" t="s">
        <v>162</v>
      </c>
      <c r="K220" s="17" t="s">
        <v>163</v>
      </c>
      <c r="L220" s="5" t="s">
        <v>4155</v>
      </c>
      <c r="M220" s="6" t="s">
        <v>1493</v>
      </c>
      <c r="N220" s="6" t="s">
        <v>2170</v>
      </c>
      <c r="O220" s="6" t="s">
        <v>162</v>
      </c>
      <c r="P220" s="5" t="s">
        <v>2272</v>
      </c>
      <c r="Q220" s="17" t="s">
        <v>163</v>
      </c>
      <c r="R220" s="5" t="s">
        <v>4156</v>
      </c>
      <c r="S220" s="6" t="s">
        <v>2470</v>
      </c>
      <c r="T220" s="5" t="s">
        <v>2471</v>
      </c>
      <c r="U220" s="6"/>
      <c r="V220" s="6" t="s">
        <v>2472</v>
      </c>
      <c r="W220" s="6" t="s">
        <v>1697</v>
      </c>
      <c r="X220" s="5" t="s">
        <v>228</v>
      </c>
      <c r="Y220" s="5" t="s">
        <v>2170</v>
      </c>
      <c r="Z220" s="5" t="str">
        <f t="shared" si="6"/>
        <v>Medium</v>
      </c>
      <c r="AA220" s="5" t="s">
        <v>1319</v>
      </c>
      <c r="AB220" s="6" t="s">
        <v>1355</v>
      </c>
      <c r="AC220" s="6" t="s">
        <v>135</v>
      </c>
      <c r="AD220" s="5" t="s">
        <v>1805</v>
      </c>
      <c r="AE220" s="5" t="s">
        <v>1720</v>
      </c>
      <c r="AF220" s="5" t="s">
        <v>1720</v>
      </c>
      <c r="AG220" s="5" t="s">
        <v>1720</v>
      </c>
      <c r="AH220" s="5" t="s">
        <v>1720</v>
      </c>
      <c r="AI220" s="6" t="str">
        <f t="shared" si="7"/>
        <v>No</v>
      </c>
      <c r="AJ220" s="6" t="s">
        <v>287</v>
      </c>
      <c r="AK220" s="6" t="s">
        <v>162</v>
      </c>
      <c r="AL220" s="6">
        <f>MATCH(AA220,{"Low","Medium","High"},0)*MATCH(AB220,{"Low","Medium","High"},0)*INDEX({3,2,2,1,1},MATCH(X220,{"Core","Vertical extension","Differentiator","Future","Adjacent"},0))</f>
        <v>6</v>
      </c>
      <c r="AM220" s="5"/>
      <c r="AN220" s="5"/>
      <c r="AO220" s="5"/>
      <c r="AP220" s="5"/>
      <c r="AQ220" s="5"/>
      <c r="AR220" s="5"/>
      <c r="AS220" s="5"/>
      <c r="AT220" s="5"/>
      <c r="AU220" s="6" t="s">
        <v>2317</v>
      </c>
      <c r="AV220" s="6" t="s">
        <v>3968</v>
      </c>
      <c r="AW220" s="6" t="s">
        <v>3968</v>
      </c>
      <c r="AX220" s="6" t="s">
        <v>2284</v>
      </c>
      <c r="AY220" s="6" t="s">
        <v>2285</v>
      </c>
      <c r="AZ220" s="6"/>
      <c r="BA220" s="6"/>
      <c r="BB220" s="6"/>
      <c r="BC220" s="6" t="s">
        <v>127</v>
      </c>
      <c r="BD220" s="6" t="s">
        <v>127</v>
      </c>
      <c r="BE220" s="6" t="s">
        <v>1477</v>
      </c>
      <c r="BF220" s="6" t="s">
        <v>288</v>
      </c>
      <c r="BG220" s="6" t="s">
        <v>4157</v>
      </c>
      <c r="BH220" s="6" t="s">
        <v>4158</v>
      </c>
    </row>
    <row r="221" spans="1:60" ht="32" customHeight="1" x14ac:dyDescent="0.35">
      <c r="A221" s="13" t="s">
        <v>4159</v>
      </c>
      <c r="B221" s="6" t="s">
        <v>3901</v>
      </c>
      <c r="C221" s="5" t="s">
        <v>1652</v>
      </c>
      <c r="D221" s="5" t="s">
        <v>2193</v>
      </c>
      <c r="E221" s="5" t="s">
        <v>4160</v>
      </c>
      <c r="F221" s="5" t="s">
        <v>2973</v>
      </c>
      <c r="G221" s="5" t="s">
        <v>1669</v>
      </c>
      <c r="H221" s="5" t="s">
        <v>4161</v>
      </c>
      <c r="I221" s="5" t="s">
        <v>4162</v>
      </c>
      <c r="J221" s="17" t="s">
        <v>162</v>
      </c>
      <c r="K221" s="17" t="s">
        <v>95</v>
      </c>
      <c r="L221" s="5" t="s">
        <v>4163</v>
      </c>
      <c r="M221" s="6" t="s">
        <v>1493</v>
      </c>
      <c r="N221" s="6" t="s">
        <v>2170</v>
      </c>
      <c r="O221" s="6" t="s">
        <v>162</v>
      </c>
      <c r="P221" s="5" t="s">
        <v>2272</v>
      </c>
      <c r="Q221" s="17" t="s">
        <v>163</v>
      </c>
      <c r="R221" s="5" t="s">
        <v>4164</v>
      </c>
      <c r="S221" s="6" t="s">
        <v>2470</v>
      </c>
      <c r="T221" s="5" t="s">
        <v>2471</v>
      </c>
      <c r="U221" s="6"/>
      <c r="V221" s="6" t="s">
        <v>2472</v>
      </c>
      <c r="W221" s="6" t="s">
        <v>1697</v>
      </c>
      <c r="X221" s="5" t="s">
        <v>228</v>
      </c>
      <c r="Y221" s="5" t="s">
        <v>2170</v>
      </c>
      <c r="Z221" s="5" t="str">
        <f t="shared" si="6"/>
        <v>Medium</v>
      </c>
      <c r="AA221" s="5" t="s">
        <v>1319</v>
      </c>
      <c r="AB221" s="6" t="s">
        <v>1355</v>
      </c>
      <c r="AC221" s="6" t="s">
        <v>135</v>
      </c>
      <c r="AD221" s="5" t="s">
        <v>1805</v>
      </c>
      <c r="AE221" s="5" t="s">
        <v>1720</v>
      </c>
      <c r="AF221" s="5" t="s">
        <v>1720</v>
      </c>
      <c r="AG221" s="5" t="s">
        <v>1720</v>
      </c>
      <c r="AH221" s="5" t="s">
        <v>1720</v>
      </c>
      <c r="AI221" s="6" t="str">
        <f t="shared" si="7"/>
        <v>No</v>
      </c>
      <c r="AJ221" s="6" t="s">
        <v>229</v>
      </c>
      <c r="AK221" s="6" t="s">
        <v>162</v>
      </c>
      <c r="AL221" s="6">
        <f>MATCH(AA221,{"Low","Medium","High"},0)*MATCH(AB221,{"Low","Medium","High"},0)*INDEX({3,2,2,1,1},MATCH(X221,{"Core","Vertical extension","Differentiator","Future","Adjacent"},0))</f>
        <v>6</v>
      </c>
      <c r="AM221" s="5"/>
      <c r="AN221" s="5"/>
      <c r="AO221" s="5"/>
      <c r="AP221" s="5"/>
      <c r="AQ221" s="5"/>
      <c r="AR221" s="5"/>
      <c r="AS221" s="5"/>
      <c r="AT221" s="5"/>
      <c r="AU221" s="6" t="s">
        <v>2317</v>
      </c>
      <c r="AV221" s="6" t="s">
        <v>76</v>
      </c>
      <c r="AW221" s="6" t="s">
        <v>76</v>
      </c>
      <c r="AX221" s="6" t="s">
        <v>2284</v>
      </c>
      <c r="AY221" s="6" t="s">
        <v>2285</v>
      </c>
      <c r="AZ221" s="6"/>
      <c r="BA221" s="6"/>
      <c r="BB221" s="6"/>
      <c r="BC221" s="6" t="s">
        <v>127</v>
      </c>
      <c r="BD221" s="6" t="s">
        <v>127</v>
      </c>
      <c r="BE221" s="6" t="s">
        <v>1477</v>
      </c>
      <c r="BF221" s="6" t="s">
        <v>288</v>
      </c>
      <c r="BG221" s="6" t="s">
        <v>4165</v>
      </c>
      <c r="BH221" s="6" t="s">
        <v>4166</v>
      </c>
    </row>
    <row r="222" spans="1:60" ht="32" customHeight="1" x14ac:dyDescent="0.35">
      <c r="A222" s="13" t="s">
        <v>4167</v>
      </c>
      <c r="B222" s="6" t="s">
        <v>3901</v>
      </c>
      <c r="C222" s="5" t="s">
        <v>1652</v>
      </c>
      <c r="D222" s="5" t="s">
        <v>2193</v>
      </c>
      <c r="E222" s="5" t="s">
        <v>4168</v>
      </c>
      <c r="F222" s="5" t="s">
        <v>2973</v>
      </c>
      <c r="G222" s="5" t="s">
        <v>1669</v>
      </c>
      <c r="H222" s="5" t="s">
        <v>4169</v>
      </c>
      <c r="I222" s="5" t="s">
        <v>4170</v>
      </c>
      <c r="J222" s="17" t="s">
        <v>162</v>
      </c>
      <c r="K222" s="17" t="s">
        <v>163</v>
      </c>
      <c r="L222" s="5" t="s">
        <v>4171</v>
      </c>
      <c r="M222" s="6" t="s">
        <v>1493</v>
      </c>
      <c r="N222" s="6" t="s">
        <v>2170</v>
      </c>
      <c r="O222" s="6" t="s">
        <v>162</v>
      </c>
      <c r="P222" s="5" t="s">
        <v>2272</v>
      </c>
      <c r="Q222" s="17" t="s">
        <v>163</v>
      </c>
      <c r="R222" s="5" t="s">
        <v>4172</v>
      </c>
      <c r="S222" s="6" t="s">
        <v>2470</v>
      </c>
      <c r="T222" s="5" t="s">
        <v>2471</v>
      </c>
      <c r="U222" s="6"/>
      <c r="V222" s="6" t="s">
        <v>2472</v>
      </c>
      <c r="W222" s="6" t="s">
        <v>1697</v>
      </c>
      <c r="X222" s="5" t="s">
        <v>228</v>
      </c>
      <c r="Y222" s="5" t="s">
        <v>2170</v>
      </c>
      <c r="Z222" s="5" t="str">
        <f t="shared" si="6"/>
        <v>Medium</v>
      </c>
      <c r="AA222" s="5" t="s">
        <v>1319</v>
      </c>
      <c r="AB222" s="6" t="s">
        <v>1355</v>
      </c>
      <c r="AC222" s="6" t="s">
        <v>135</v>
      </c>
      <c r="AD222" s="5" t="s">
        <v>1805</v>
      </c>
      <c r="AE222" s="5" t="s">
        <v>1720</v>
      </c>
      <c r="AF222" s="5" t="s">
        <v>1720</v>
      </c>
      <c r="AG222" s="5" t="s">
        <v>1720</v>
      </c>
      <c r="AH222" s="5" t="s">
        <v>1720</v>
      </c>
      <c r="AI222" s="6" t="str">
        <f t="shared" si="7"/>
        <v>No</v>
      </c>
      <c r="AJ222" s="6" t="s">
        <v>287</v>
      </c>
      <c r="AK222" s="6" t="s">
        <v>162</v>
      </c>
      <c r="AL222" s="6">
        <f>MATCH(AA222,{"Low","Medium","High"},0)*MATCH(AB222,{"Low","Medium","High"},0)*INDEX({3,2,2,1,1},MATCH(X222,{"Core","Vertical extension","Differentiator","Future","Adjacent"},0))</f>
        <v>6</v>
      </c>
      <c r="AM222" s="5"/>
      <c r="AN222" s="5"/>
      <c r="AO222" s="5"/>
      <c r="AP222" s="5"/>
      <c r="AQ222" s="5"/>
      <c r="AR222" s="5"/>
      <c r="AS222" s="5"/>
      <c r="AT222" s="5"/>
      <c r="AU222" s="6" t="s">
        <v>2317</v>
      </c>
      <c r="AV222" s="6" t="s">
        <v>76</v>
      </c>
      <c r="AW222" s="6" t="s">
        <v>76</v>
      </c>
      <c r="AX222" s="6" t="s">
        <v>2284</v>
      </c>
      <c r="AY222" s="6" t="s">
        <v>2285</v>
      </c>
      <c r="AZ222" s="6"/>
      <c r="BA222" s="6"/>
      <c r="BB222" s="6"/>
      <c r="BC222" s="6" t="s">
        <v>127</v>
      </c>
      <c r="BD222" s="6" t="s">
        <v>127</v>
      </c>
      <c r="BE222" s="6" t="s">
        <v>1477</v>
      </c>
      <c r="BF222" s="6" t="s">
        <v>288</v>
      </c>
      <c r="BG222" s="6" t="s">
        <v>4173</v>
      </c>
      <c r="BH222" s="6" t="s">
        <v>4174</v>
      </c>
    </row>
    <row r="223" spans="1:60" ht="32" customHeight="1" x14ac:dyDescent="0.35">
      <c r="A223" s="13" t="s">
        <v>4175</v>
      </c>
      <c r="B223" s="6" t="s">
        <v>3901</v>
      </c>
      <c r="C223" s="5" t="s">
        <v>1652</v>
      </c>
      <c r="D223" s="5" t="s">
        <v>2193</v>
      </c>
      <c r="E223" s="5" t="s">
        <v>4176</v>
      </c>
      <c r="F223" s="5" t="s">
        <v>2973</v>
      </c>
      <c r="G223" s="5" t="s">
        <v>1669</v>
      </c>
      <c r="H223" s="5" t="s">
        <v>4177</v>
      </c>
      <c r="I223" s="5" t="s">
        <v>4178</v>
      </c>
      <c r="J223" s="17" t="s">
        <v>162</v>
      </c>
      <c r="K223" s="17" t="s">
        <v>95</v>
      </c>
      <c r="L223" s="5" t="s">
        <v>4179</v>
      </c>
      <c r="M223" s="6" t="s">
        <v>1493</v>
      </c>
      <c r="N223" s="6" t="s">
        <v>2170</v>
      </c>
      <c r="O223" s="6" t="s">
        <v>162</v>
      </c>
      <c r="P223" s="5" t="s">
        <v>2272</v>
      </c>
      <c r="Q223" s="17" t="s">
        <v>163</v>
      </c>
      <c r="R223" s="5" t="s">
        <v>4180</v>
      </c>
      <c r="S223" s="6" t="s">
        <v>2470</v>
      </c>
      <c r="T223" s="5" t="s">
        <v>2471</v>
      </c>
      <c r="U223" s="6"/>
      <c r="V223" s="6" t="s">
        <v>2472</v>
      </c>
      <c r="W223" s="6" t="s">
        <v>1697</v>
      </c>
      <c r="X223" s="5" t="s">
        <v>228</v>
      </c>
      <c r="Y223" s="5" t="s">
        <v>2170</v>
      </c>
      <c r="Z223" s="5" t="str">
        <f t="shared" si="6"/>
        <v>Medium</v>
      </c>
      <c r="AA223" s="5" t="s">
        <v>1319</v>
      </c>
      <c r="AB223" s="6" t="s">
        <v>1355</v>
      </c>
      <c r="AC223" s="6" t="s">
        <v>135</v>
      </c>
      <c r="AD223" s="5" t="s">
        <v>1805</v>
      </c>
      <c r="AE223" s="5" t="s">
        <v>1720</v>
      </c>
      <c r="AF223" s="5" t="s">
        <v>1720</v>
      </c>
      <c r="AG223" s="5" t="s">
        <v>1720</v>
      </c>
      <c r="AH223" s="5" t="s">
        <v>1720</v>
      </c>
      <c r="AI223" s="6" t="str">
        <f t="shared" si="7"/>
        <v>No</v>
      </c>
      <c r="AJ223" s="6" t="s">
        <v>229</v>
      </c>
      <c r="AK223" s="6" t="s">
        <v>162</v>
      </c>
      <c r="AL223" s="6">
        <f>MATCH(AA223,{"Low","Medium","High"},0)*MATCH(AB223,{"Low","Medium","High"},0)*INDEX({3,2,2,1,1},MATCH(X223,{"Core","Vertical extension","Differentiator","Future","Adjacent"},0))</f>
        <v>6</v>
      </c>
      <c r="AM223" s="5"/>
      <c r="AN223" s="5"/>
      <c r="AO223" s="5"/>
      <c r="AP223" s="5"/>
      <c r="AQ223" s="5"/>
      <c r="AR223" s="5"/>
      <c r="AS223" s="5"/>
      <c r="AT223" s="5"/>
      <c r="AU223" s="6" t="s">
        <v>2317</v>
      </c>
      <c r="AV223" s="6" t="s">
        <v>76</v>
      </c>
      <c r="AW223" s="6" t="s">
        <v>76</v>
      </c>
      <c r="AX223" s="6" t="s">
        <v>2284</v>
      </c>
      <c r="AY223" s="6" t="s">
        <v>2285</v>
      </c>
      <c r="AZ223" s="6"/>
      <c r="BA223" s="6"/>
      <c r="BB223" s="6"/>
      <c r="BC223" s="6" t="s">
        <v>127</v>
      </c>
      <c r="BD223" s="6" t="s">
        <v>127</v>
      </c>
      <c r="BE223" s="6" t="s">
        <v>1477</v>
      </c>
      <c r="BF223" s="6" t="s">
        <v>288</v>
      </c>
      <c r="BG223" s="6" t="s">
        <v>4181</v>
      </c>
      <c r="BH223" s="6" t="s">
        <v>4182</v>
      </c>
    </row>
    <row r="224" spans="1:60" ht="32" customHeight="1" x14ac:dyDescent="0.35">
      <c r="A224" s="13" t="s">
        <v>4183</v>
      </c>
      <c r="B224" s="6" t="s">
        <v>3901</v>
      </c>
      <c r="C224" s="5" t="s">
        <v>1652</v>
      </c>
      <c r="D224" s="5" t="s">
        <v>2193</v>
      </c>
      <c r="E224" s="5" t="s">
        <v>4184</v>
      </c>
      <c r="F224" s="5" t="s">
        <v>2973</v>
      </c>
      <c r="G224" s="5" t="s">
        <v>2507</v>
      </c>
      <c r="H224" s="5" t="s">
        <v>4185</v>
      </c>
      <c r="I224" s="5" t="s">
        <v>4186</v>
      </c>
      <c r="J224" s="17" t="s">
        <v>162</v>
      </c>
      <c r="K224" s="17" t="s">
        <v>95</v>
      </c>
      <c r="L224" s="5" t="s">
        <v>4187</v>
      </c>
      <c r="M224" s="6" t="s">
        <v>1493</v>
      </c>
      <c r="N224" s="6" t="s">
        <v>2170</v>
      </c>
      <c r="O224" s="6" t="s">
        <v>162</v>
      </c>
      <c r="P224" s="5" t="s">
        <v>2272</v>
      </c>
      <c r="Q224" s="17" t="s">
        <v>95</v>
      </c>
      <c r="R224" s="5" t="s">
        <v>4188</v>
      </c>
      <c r="S224" s="6" t="s">
        <v>2470</v>
      </c>
      <c r="T224" s="5" t="s">
        <v>2471</v>
      </c>
      <c r="U224" s="6"/>
      <c r="V224" s="6" t="s">
        <v>2472</v>
      </c>
      <c r="W224" s="6" t="s">
        <v>1697</v>
      </c>
      <c r="X224" s="5" t="s">
        <v>228</v>
      </c>
      <c r="Y224" s="5" t="s">
        <v>2170</v>
      </c>
      <c r="Z224" s="5" t="str">
        <f t="shared" si="6"/>
        <v>Medium</v>
      </c>
      <c r="AA224" s="5" t="s">
        <v>1319</v>
      </c>
      <c r="AB224" s="6" t="s">
        <v>1355</v>
      </c>
      <c r="AC224" s="6" t="s">
        <v>135</v>
      </c>
      <c r="AD224" s="5" t="s">
        <v>95</v>
      </c>
      <c r="AE224" s="5" t="s">
        <v>1720</v>
      </c>
      <c r="AF224" s="5" t="s">
        <v>1720</v>
      </c>
      <c r="AG224" s="5" t="s">
        <v>1720</v>
      </c>
      <c r="AH224" s="5" t="s">
        <v>1720</v>
      </c>
      <c r="AI224" s="6" t="str">
        <f t="shared" si="7"/>
        <v>No</v>
      </c>
      <c r="AJ224" s="6" t="s">
        <v>229</v>
      </c>
      <c r="AK224" s="6" t="s">
        <v>162</v>
      </c>
      <c r="AL224" s="6">
        <f>MATCH(AA224,{"Low","Medium","High"},0)*MATCH(AB224,{"Low","Medium","High"},0)*INDEX({3,2,2,1,1},MATCH(X224,{"Core","Vertical extension","Differentiator","Future","Adjacent"},0))</f>
        <v>6</v>
      </c>
      <c r="AM224" s="5"/>
      <c r="AN224" s="5"/>
      <c r="AO224" s="5"/>
      <c r="AP224" s="5"/>
      <c r="AQ224" s="5"/>
      <c r="AR224" s="5"/>
      <c r="AS224" s="5"/>
      <c r="AT224" s="5"/>
      <c r="AU224" s="6" t="s">
        <v>2317</v>
      </c>
      <c r="AV224" s="6" t="s">
        <v>76</v>
      </c>
      <c r="AW224" s="6" t="s">
        <v>76</v>
      </c>
      <c r="AX224" s="6" t="s">
        <v>2284</v>
      </c>
      <c r="AY224" s="6" t="s">
        <v>2285</v>
      </c>
      <c r="AZ224" s="6"/>
      <c r="BA224" s="6"/>
      <c r="BB224" s="6"/>
      <c r="BC224" s="6" t="s">
        <v>127</v>
      </c>
      <c r="BD224" s="6" t="s">
        <v>127</v>
      </c>
      <c r="BE224" s="6" t="s">
        <v>1477</v>
      </c>
      <c r="BF224" s="6" t="s">
        <v>95</v>
      </c>
      <c r="BG224" s="6" t="s">
        <v>4189</v>
      </c>
      <c r="BH224" s="6" t="s">
        <v>4190</v>
      </c>
    </row>
    <row r="225" spans="1:60" ht="32" customHeight="1" x14ac:dyDescent="0.35">
      <c r="A225" s="13" t="s">
        <v>4191</v>
      </c>
      <c r="B225" s="6" t="s">
        <v>3901</v>
      </c>
      <c r="C225" s="5" t="s">
        <v>1652</v>
      </c>
      <c r="D225" s="5" t="s">
        <v>2193</v>
      </c>
      <c r="E225" s="5" t="s">
        <v>4192</v>
      </c>
      <c r="F225" s="5" t="s">
        <v>3973</v>
      </c>
      <c r="G225" s="5" t="s">
        <v>2973</v>
      </c>
      <c r="H225" s="5" t="s">
        <v>4193</v>
      </c>
      <c r="I225" s="5" t="s">
        <v>4194</v>
      </c>
      <c r="J225" s="17" t="s">
        <v>162</v>
      </c>
      <c r="K225" s="17" t="s">
        <v>1477</v>
      </c>
      <c r="L225" s="5" t="s">
        <v>4195</v>
      </c>
      <c r="M225" s="6" t="s">
        <v>1493</v>
      </c>
      <c r="N225" s="6" t="s">
        <v>2170</v>
      </c>
      <c r="O225" s="6" t="s">
        <v>162</v>
      </c>
      <c r="P225" s="5" t="s">
        <v>2369</v>
      </c>
      <c r="Q225" s="18" t="s">
        <v>1482</v>
      </c>
      <c r="R225" s="5" t="s">
        <v>4196</v>
      </c>
      <c r="S225" s="6" t="s">
        <v>2470</v>
      </c>
      <c r="T225" s="5" t="s">
        <v>2471</v>
      </c>
      <c r="U225" s="6"/>
      <c r="V225" s="6" t="s">
        <v>2472</v>
      </c>
      <c r="W225" s="6" t="s">
        <v>1697</v>
      </c>
      <c r="X225" s="5" t="s">
        <v>228</v>
      </c>
      <c r="Y225" s="5" t="s">
        <v>2170</v>
      </c>
      <c r="Z225" s="5" t="str">
        <f t="shared" si="6"/>
        <v>Medium</v>
      </c>
      <c r="AA225" s="5" t="s">
        <v>1319</v>
      </c>
      <c r="AB225" s="6" t="s">
        <v>1355</v>
      </c>
      <c r="AC225" s="6" t="s">
        <v>135</v>
      </c>
      <c r="AD225" s="5" t="s">
        <v>2278</v>
      </c>
      <c r="AE225" s="5" t="s">
        <v>1720</v>
      </c>
      <c r="AF225" s="5" t="s">
        <v>1720</v>
      </c>
      <c r="AG225" s="5" t="s">
        <v>1720</v>
      </c>
      <c r="AH225" s="5" t="s">
        <v>1720</v>
      </c>
      <c r="AI225" s="6" t="str">
        <f t="shared" si="7"/>
        <v>No</v>
      </c>
      <c r="AJ225" s="6" t="s">
        <v>2298</v>
      </c>
      <c r="AK225" s="6" t="s">
        <v>162</v>
      </c>
      <c r="AL225" s="6">
        <f>MATCH(AA225,{"Low","Medium","High"},0)*MATCH(AB225,{"Low","Medium","High"},0)*INDEX({3,2,2,1,1},MATCH(X225,{"Core","Vertical extension","Differentiator","Future","Adjacent"},0))</f>
        <v>6</v>
      </c>
      <c r="AM225" s="5"/>
      <c r="AN225" s="5"/>
      <c r="AO225" s="5"/>
      <c r="AP225" s="5"/>
      <c r="AQ225" s="5"/>
      <c r="AR225" s="5"/>
      <c r="AS225" s="5"/>
      <c r="AT225" s="5"/>
      <c r="AU225" s="6" t="s">
        <v>2317</v>
      </c>
      <c r="AV225" s="6" t="s">
        <v>3968</v>
      </c>
      <c r="AW225" s="6" t="s">
        <v>3968</v>
      </c>
      <c r="AX225" s="6" t="s">
        <v>2374</v>
      </c>
      <c r="AY225" s="6" t="s">
        <v>2285</v>
      </c>
      <c r="AZ225" s="6"/>
      <c r="BA225" s="6" t="s">
        <v>3550</v>
      </c>
      <c r="BB225" s="6" t="s">
        <v>3551</v>
      </c>
      <c r="BC225" s="6" t="s">
        <v>127</v>
      </c>
      <c r="BD225" s="6" t="s">
        <v>127</v>
      </c>
      <c r="BE225" s="6"/>
      <c r="BF225" s="6"/>
      <c r="BG225" s="6"/>
      <c r="BH225" s="6"/>
    </row>
    <row r="226" spans="1:60" ht="32" customHeight="1" x14ac:dyDescent="0.35">
      <c r="A226" s="13" t="s">
        <v>4197</v>
      </c>
      <c r="B226" s="6" t="s">
        <v>3901</v>
      </c>
      <c r="C226" s="5" t="s">
        <v>1652</v>
      </c>
      <c r="D226" s="5" t="s">
        <v>2193</v>
      </c>
      <c r="E226" s="5" t="s">
        <v>4198</v>
      </c>
      <c r="F226" s="5" t="s">
        <v>3980</v>
      </c>
      <c r="G226" s="5" t="s">
        <v>2973</v>
      </c>
      <c r="H226" s="5" t="s">
        <v>4199</v>
      </c>
      <c r="I226" s="5" t="s">
        <v>4200</v>
      </c>
      <c r="J226" s="17" t="s">
        <v>162</v>
      </c>
      <c r="K226" s="17" t="s">
        <v>1477</v>
      </c>
      <c r="L226" s="5" t="s">
        <v>4201</v>
      </c>
      <c r="M226" s="6" t="s">
        <v>1493</v>
      </c>
      <c r="N226" s="6" t="s">
        <v>2170</v>
      </c>
      <c r="O226" s="6" t="s">
        <v>162</v>
      </c>
      <c r="P226" s="5" t="s">
        <v>2272</v>
      </c>
      <c r="Q226" s="18" t="s">
        <v>1482</v>
      </c>
      <c r="R226" s="5" t="s">
        <v>3984</v>
      </c>
      <c r="S226" s="6" t="s">
        <v>2470</v>
      </c>
      <c r="T226" s="5" t="s">
        <v>2471</v>
      </c>
      <c r="U226" s="6"/>
      <c r="V226" s="6" t="s">
        <v>2472</v>
      </c>
      <c r="W226" s="6" t="s">
        <v>1697</v>
      </c>
      <c r="X226" s="5" t="s">
        <v>228</v>
      </c>
      <c r="Y226" s="5" t="s">
        <v>2170</v>
      </c>
      <c r="Z226" s="5" t="str">
        <f t="shared" si="6"/>
        <v>Medium</v>
      </c>
      <c r="AA226" s="5" t="s">
        <v>1319</v>
      </c>
      <c r="AB226" s="6" t="s">
        <v>1355</v>
      </c>
      <c r="AC226" s="6" t="s">
        <v>135</v>
      </c>
      <c r="AD226" s="5" t="s">
        <v>2278</v>
      </c>
      <c r="AE226" s="5" t="s">
        <v>1720</v>
      </c>
      <c r="AF226" s="5" t="s">
        <v>1720</v>
      </c>
      <c r="AG226" s="5" t="s">
        <v>1720</v>
      </c>
      <c r="AH226" s="5" t="s">
        <v>1720</v>
      </c>
      <c r="AI226" s="6" t="str">
        <f t="shared" si="7"/>
        <v>No</v>
      </c>
      <c r="AJ226" s="6" t="s">
        <v>2298</v>
      </c>
      <c r="AK226" s="6" t="s">
        <v>162</v>
      </c>
      <c r="AL226" s="6">
        <f>MATCH(AA226,{"Low","Medium","High"},0)*MATCH(AB226,{"Low","Medium","High"},0)*INDEX({3,2,2,1,1},MATCH(X226,{"Core","Vertical extension","Differentiator","Future","Adjacent"},0))</f>
        <v>6</v>
      </c>
      <c r="AM226" s="5"/>
      <c r="AN226" s="5"/>
      <c r="AO226" s="5"/>
      <c r="AP226" s="5"/>
      <c r="AQ226" s="5"/>
      <c r="AR226" s="5"/>
      <c r="AS226" s="5"/>
      <c r="AT226" s="5"/>
      <c r="AU226" s="6" t="s">
        <v>2317</v>
      </c>
      <c r="AV226" s="6" t="s">
        <v>3968</v>
      </c>
      <c r="AW226" s="6" t="s">
        <v>3968</v>
      </c>
      <c r="AX226" s="6" t="s">
        <v>2284</v>
      </c>
      <c r="AY226" s="6" t="s">
        <v>2285</v>
      </c>
      <c r="AZ226" s="6"/>
      <c r="BA226" s="6" t="s">
        <v>3985</v>
      </c>
      <c r="BB226" s="6"/>
      <c r="BC226" s="6" t="s">
        <v>127</v>
      </c>
      <c r="BD226" s="6" t="s">
        <v>127</v>
      </c>
      <c r="BE226" s="6"/>
      <c r="BF226" s="6"/>
      <c r="BG226" s="6"/>
      <c r="BH226" s="6"/>
    </row>
    <row r="227" spans="1:60" ht="32" customHeight="1" x14ac:dyDescent="0.35">
      <c r="A227" s="13" t="s">
        <v>4202</v>
      </c>
      <c r="B227" s="6" t="s">
        <v>3901</v>
      </c>
      <c r="C227" s="5" t="s">
        <v>1652</v>
      </c>
      <c r="D227" s="5" t="s">
        <v>2193</v>
      </c>
      <c r="E227" s="5" t="s">
        <v>4203</v>
      </c>
      <c r="F227" s="5" t="s">
        <v>2973</v>
      </c>
      <c r="G227" s="5" t="s">
        <v>2974</v>
      </c>
      <c r="H227" s="5" t="s">
        <v>4204</v>
      </c>
      <c r="I227" s="5" t="s">
        <v>4205</v>
      </c>
      <c r="J227" s="17" t="s">
        <v>162</v>
      </c>
      <c r="K227" s="17" t="s">
        <v>95</v>
      </c>
      <c r="L227" s="5" t="s">
        <v>4206</v>
      </c>
      <c r="M227" s="6" t="s">
        <v>1493</v>
      </c>
      <c r="N227" s="6" t="s">
        <v>2170</v>
      </c>
      <c r="O227" s="6" t="s">
        <v>162</v>
      </c>
      <c r="P227" s="5" t="s">
        <v>2369</v>
      </c>
      <c r="Q227" s="17" t="s">
        <v>95</v>
      </c>
      <c r="R227" s="5" t="s">
        <v>4207</v>
      </c>
      <c r="S227" s="6" t="s">
        <v>2470</v>
      </c>
      <c r="T227" s="5" t="s">
        <v>2471</v>
      </c>
      <c r="U227" s="6"/>
      <c r="V227" s="6" t="s">
        <v>2472</v>
      </c>
      <c r="W227" s="6" t="s">
        <v>1697</v>
      </c>
      <c r="X227" s="5" t="s">
        <v>228</v>
      </c>
      <c r="Y227" s="5" t="s">
        <v>2170</v>
      </c>
      <c r="Z227" s="5" t="str">
        <f t="shared" si="6"/>
        <v>Medium</v>
      </c>
      <c r="AA227" s="5" t="s">
        <v>1319</v>
      </c>
      <c r="AB227" s="6" t="s">
        <v>1355</v>
      </c>
      <c r="AC227" s="6" t="s">
        <v>135</v>
      </c>
      <c r="AD227" s="5" t="s">
        <v>95</v>
      </c>
      <c r="AE227" s="5" t="s">
        <v>1720</v>
      </c>
      <c r="AF227" s="5" t="s">
        <v>1720</v>
      </c>
      <c r="AG227" s="5" t="s">
        <v>1720</v>
      </c>
      <c r="AH227" s="5" t="s">
        <v>1720</v>
      </c>
      <c r="AI227" s="6" t="str">
        <f t="shared" si="7"/>
        <v>No</v>
      </c>
      <c r="AJ227" s="6" t="s">
        <v>229</v>
      </c>
      <c r="AK227" s="6" t="s">
        <v>162</v>
      </c>
      <c r="AL227" s="6">
        <f>MATCH(AA227,{"Low","Medium","High"},0)*MATCH(AB227,{"Low","Medium","High"},0)*INDEX({3,2,2,1,1},MATCH(X227,{"Core","Vertical extension","Differentiator","Future","Adjacent"},0))</f>
        <v>6</v>
      </c>
      <c r="AM227" s="5"/>
      <c r="AN227" s="5"/>
      <c r="AO227" s="5"/>
      <c r="AP227" s="5"/>
      <c r="AQ227" s="5"/>
      <c r="AR227" s="5"/>
      <c r="AS227" s="5"/>
      <c r="AT227" s="5"/>
      <c r="AU227" s="6" t="s">
        <v>2317</v>
      </c>
      <c r="AV227" s="6" t="s">
        <v>76</v>
      </c>
      <c r="AW227" s="6" t="s">
        <v>76</v>
      </c>
      <c r="AX227" s="6" t="s">
        <v>2374</v>
      </c>
      <c r="AY227" s="6" t="s">
        <v>2285</v>
      </c>
      <c r="AZ227" s="6"/>
      <c r="BA227" s="6"/>
      <c r="BB227" s="6"/>
      <c r="BC227" s="6" t="s">
        <v>127</v>
      </c>
      <c r="BD227" s="6" t="s">
        <v>127</v>
      </c>
      <c r="BE227" s="6" t="s">
        <v>1477</v>
      </c>
      <c r="BF227" s="6" t="s">
        <v>95</v>
      </c>
      <c r="BG227" s="6" t="s">
        <v>3550</v>
      </c>
      <c r="BH227" s="6" t="s">
        <v>4208</v>
      </c>
    </row>
    <row r="228" spans="1:60" ht="32" customHeight="1" x14ac:dyDescent="0.35">
      <c r="A228" s="13" t="s">
        <v>4209</v>
      </c>
      <c r="B228" s="6" t="s">
        <v>3901</v>
      </c>
      <c r="C228" s="5" t="s">
        <v>1652</v>
      </c>
      <c r="D228" s="5" t="s">
        <v>2193</v>
      </c>
      <c r="E228" s="5" t="s">
        <v>4210</v>
      </c>
      <c r="F228" s="5" t="s">
        <v>2828</v>
      </c>
      <c r="G228" s="5" t="s">
        <v>2507</v>
      </c>
      <c r="H228" s="5" t="s">
        <v>4211</v>
      </c>
      <c r="I228" s="5" t="s">
        <v>4212</v>
      </c>
      <c r="J228" s="17" t="s">
        <v>162</v>
      </c>
      <c r="K228" s="17" t="s">
        <v>1477</v>
      </c>
      <c r="L228" s="5" t="s">
        <v>4213</v>
      </c>
      <c r="M228" s="6" t="s">
        <v>1493</v>
      </c>
      <c r="N228" s="6" t="s">
        <v>2170</v>
      </c>
      <c r="O228" s="6" t="s">
        <v>162</v>
      </c>
      <c r="P228" s="5" t="s">
        <v>2272</v>
      </c>
      <c r="Q228" s="17" t="s">
        <v>2273</v>
      </c>
      <c r="R228" s="5" t="s">
        <v>4214</v>
      </c>
      <c r="S228" s="6" t="s">
        <v>2470</v>
      </c>
      <c r="T228" s="5" t="s">
        <v>2471</v>
      </c>
      <c r="U228" s="6"/>
      <c r="V228" s="6" t="s">
        <v>2472</v>
      </c>
      <c r="W228" s="6" t="s">
        <v>1697</v>
      </c>
      <c r="X228" s="5" t="s">
        <v>228</v>
      </c>
      <c r="Y228" s="5" t="s">
        <v>2170</v>
      </c>
      <c r="Z228" s="5" t="str">
        <f t="shared" si="6"/>
        <v>Medium</v>
      </c>
      <c r="AA228" s="5" t="s">
        <v>1319</v>
      </c>
      <c r="AB228" s="6" t="s">
        <v>1355</v>
      </c>
      <c r="AC228" s="6" t="s">
        <v>135</v>
      </c>
      <c r="AD228" s="5" t="s">
        <v>2278</v>
      </c>
      <c r="AE228" s="5" t="s">
        <v>1720</v>
      </c>
      <c r="AF228" s="5" t="s">
        <v>1720</v>
      </c>
      <c r="AG228" s="5" t="s">
        <v>1720</v>
      </c>
      <c r="AH228" s="5" t="s">
        <v>1720</v>
      </c>
      <c r="AI228" s="6" t="str">
        <f t="shared" si="7"/>
        <v>No</v>
      </c>
      <c r="AJ228" s="6" t="s">
        <v>2298</v>
      </c>
      <c r="AK228" s="6" t="s">
        <v>162</v>
      </c>
      <c r="AL228" s="6">
        <f>MATCH(AA228,{"Low","Medium","High"},0)*MATCH(AB228,{"Low","Medium","High"},0)*INDEX({3,2,2,1,1},MATCH(X228,{"Core","Vertical extension","Differentiator","Future","Adjacent"},0))</f>
        <v>6</v>
      </c>
      <c r="AM228" s="5"/>
      <c r="AN228" s="5"/>
      <c r="AO228" s="5"/>
      <c r="AP228" s="5"/>
      <c r="AQ228" s="5"/>
      <c r="AR228" s="5"/>
      <c r="AS228" s="5"/>
      <c r="AT228" s="5"/>
      <c r="AU228" s="6" t="s">
        <v>2317</v>
      </c>
      <c r="AV228" s="6" t="s">
        <v>76</v>
      </c>
      <c r="AW228" s="6" t="s">
        <v>76</v>
      </c>
      <c r="AX228" s="6" t="s">
        <v>2284</v>
      </c>
      <c r="AY228" s="6" t="s">
        <v>2285</v>
      </c>
      <c r="AZ228" s="6"/>
      <c r="BA228" s="6"/>
      <c r="BB228" s="6"/>
      <c r="BC228" s="6" t="s">
        <v>127</v>
      </c>
      <c r="BD228" s="6" t="s">
        <v>127</v>
      </c>
      <c r="BE228" s="6" t="s">
        <v>1477</v>
      </c>
      <c r="BF228" s="6" t="s">
        <v>2286</v>
      </c>
      <c r="BG228" s="6" t="s">
        <v>4215</v>
      </c>
      <c r="BH228" s="6" t="s">
        <v>4216</v>
      </c>
    </row>
    <row r="229" spans="1:60" ht="32" customHeight="1" x14ac:dyDescent="0.35">
      <c r="A229" s="13" t="s">
        <v>4217</v>
      </c>
      <c r="B229" s="6" t="s">
        <v>3901</v>
      </c>
      <c r="C229" s="5" t="s">
        <v>1652</v>
      </c>
      <c r="D229" s="5" t="s">
        <v>2193</v>
      </c>
      <c r="E229" s="5" t="s">
        <v>4218</v>
      </c>
      <c r="F229" s="5" t="s">
        <v>2973</v>
      </c>
      <c r="G229" s="5" t="s">
        <v>2507</v>
      </c>
      <c r="H229" s="5" t="s">
        <v>4219</v>
      </c>
      <c r="I229" s="5" t="s">
        <v>4220</v>
      </c>
      <c r="J229" s="17" t="s">
        <v>162</v>
      </c>
      <c r="K229" s="17" t="s">
        <v>1477</v>
      </c>
      <c r="L229" s="5" t="s">
        <v>4221</v>
      </c>
      <c r="M229" s="6" t="s">
        <v>1493</v>
      </c>
      <c r="N229" s="6" t="s">
        <v>2170</v>
      </c>
      <c r="O229" s="6" t="s">
        <v>162</v>
      </c>
      <c r="P229" s="5" t="s">
        <v>2272</v>
      </c>
      <c r="Q229" s="18" t="s">
        <v>1482</v>
      </c>
      <c r="R229" s="5" t="s">
        <v>4007</v>
      </c>
      <c r="S229" s="6" t="s">
        <v>2470</v>
      </c>
      <c r="T229" s="5" t="s">
        <v>2471</v>
      </c>
      <c r="U229" s="6"/>
      <c r="V229" s="6" t="s">
        <v>2472</v>
      </c>
      <c r="W229" s="6" t="s">
        <v>1697</v>
      </c>
      <c r="X229" s="5" t="s">
        <v>228</v>
      </c>
      <c r="Y229" s="5" t="s">
        <v>2170</v>
      </c>
      <c r="Z229" s="5" t="str">
        <f t="shared" si="6"/>
        <v>Medium</v>
      </c>
      <c r="AA229" s="5" t="s">
        <v>1319</v>
      </c>
      <c r="AB229" s="6" t="s">
        <v>1355</v>
      </c>
      <c r="AC229" s="6" t="s">
        <v>135</v>
      </c>
      <c r="AD229" s="5" t="s">
        <v>2278</v>
      </c>
      <c r="AE229" s="5" t="s">
        <v>1720</v>
      </c>
      <c r="AF229" s="5" t="s">
        <v>1720</v>
      </c>
      <c r="AG229" s="5" t="s">
        <v>1720</v>
      </c>
      <c r="AH229" s="5" t="s">
        <v>1720</v>
      </c>
      <c r="AI229" s="6" t="str">
        <f t="shared" si="7"/>
        <v>No</v>
      </c>
      <c r="AJ229" s="6" t="s">
        <v>2298</v>
      </c>
      <c r="AK229" s="6" t="s">
        <v>162</v>
      </c>
      <c r="AL229" s="6">
        <f>MATCH(AA229,{"Low","Medium","High"},0)*MATCH(AB229,{"Low","Medium","High"},0)*INDEX({3,2,2,1,1},MATCH(X229,{"Core","Vertical extension","Differentiator","Future","Adjacent"},0))</f>
        <v>6</v>
      </c>
      <c r="AM229" s="5"/>
      <c r="AN229" s="5"/>
      <c r="AO229" s="5"/>
      <c r="AP229" s="5"/>
      <c r="AQ229" s="5"/>
      <c r="AR229" s="5"/>
      <c r="AS229" s="5"/>
      <c r="AT229" s="5"/>
      <c r="AU229" s="6" t="s">
        <v>2317</v>
      </c>
      <c r="AV229" s="6" t="s">
        <v>76</v>
      </c>
      <c r="AW229" s="6" t="s">
        <v>76</v>
      </c>
      <c r="AX229" s="6" t="s">
        <v>2284</v>
      </c>
      <c r="AY229" s="6" t="s">
        <v>2285</v>
      </c>
      <c r="AZ229" s="6"/>
      <c r="BA229" s="6" t="s">
        <v>4008</v>
      </c>
      <c r="BB229" s="6" t="s">
        <v>4009</v>
      </c>
      <c r="BC229" s="6" t="s">
        <v>127</v>
      </c>
      <c r="BD229" s="6" t="s">
        <v>127</v>
      </c>
      <c r="BE229" s="6"/>
      <c r="BF229" s="6"/>
      <c r="BG229" s="6"/>
      <c r="BH229" s="6"/>
    </row>
    <row r="230" spans="1:60" ht="32" customHeight="1" x14ac:dyDescent="0.35">
      <c r="A230" s="13" t="s">
        <v>4222</v>
      </c>
      <c r="B230" s="6" t="s">
        <v>3901</v>
      </c>
      <c r="C230" s="5" t="s">
        <v>1652</v>
      </c>
      <c r="D230" s="5" t="s">
        <v>2193</v>
      </c>
      <c r="E230" s="5" t="s">
        <v>4223</v>
      </c>
      <c r="F230" s="5" t="s">
        <v>2973</v>
      </c>
      <c r="G230" s="5" t="s">
        <v>2507</v>
      </c>
      <c r="H230" s="5" t="s">
        <v>4224</v>
      </c>
      <c r="I230" s="5" t="s">
        <v>4225</v>
      </c>
      <c r="J230" s="17" t="s">
        <v>162</v>
      </c>
      <c r="K230" s="17" t="s">
        <v>1477</v>
      </c>
      <c r="L230" s="5" t="s">
        <v>4226</v>
      </c>
      <c r="M230" s="6" t="s">
        <v>1493</v>
      </c>
      <c r="N230" s="6" t="s">
        <v>2170</v>
      </c>
      <c r="O230" s="6" t="s">
        <v>162</v>
      </c>
      <c r="P230" s="5" t="s">
        <v>2272</v>
      </c>
      <c r="Q230" s="18" t="s">
        <v>1482</v>
      </c>
      <c r="R230" s="5" t="s">
        <v>4227</v>
      </c>
      <c r="S230" s="6" t="s">
        <v>2470</v>
      </c>
      <c r="T230" s="5" t="s">
        <v>2471</v>
      </c>
      <c r="U230" s="6"/>
      <c r="V230" s="6" t="s">
        <v>2472</v>
      </c>
      <c r="W230" s="6" t="s">
        <v>1697</v>
      </c>
      <c r="X230" s="5" t="s">
        <v>228</v>
      </c>
      <c r="Y230" s="5" t="s">
        <v>2170</v>
      </c>
      <c r="Z230" s="5" t="str">
        <f t="shared" si="6"/>
        <v>Medium</v>
      </c>
      <c r="AA230" s="5" t="s">
        <v>1319</v>
      </c>
      <c r="AB230" s="6" t="s">
        <v>1355</v>
      </c>
      <c r="AC230" s="6" t="s">
        <v>135</v>
      </c>
      <c r="AD230" s="5" t="s">
        <v>2278</v>
      </c>
      <c r="AE230" s="5" t="s">
        <v>1720</v>
      </c>
      <c r="AF230" s="5" t="s">
        <v>1720</v>
      </c>
      <c r="AG230" s="5" t="s">
        <v>1720</v>
      </c>
      <c r="AH230" s="5" t="s">
        <v>1720</v>
      </c>
      <c r="AI230" s="6" t="str">
        <f t="shared" si="7"/>
        <v>No</v>
      </c>
      <c r="AJ230" s="6" t="s">
        <v>2298</v>
      </c>
      <c r="AK230" s="6" t="s">
        <v>162</v>
      </c>
      <c r="AL230" s="6">
        <f>MATCH(AA230,{"Low","Medium","High"},0)*MATCH(AB230,{"Low","Medium","High"},0)*INDEX({3,2,2,1,1},MATCH(X230,{"Core","Vertical extension","Differentiator","Future","Adjacent"},0))</f>
        <v>6</v>
      </c>
      <c r="AM230" s="5"/>
      <c r="AN230" s="5"/>
      <c r="AO230" s="5"/>
      <c r="AP230" s="5"/>
      <c r="AQ230" s="5"/>
      <c r="AR230" s="5"/>
      <c r="AS230" s="5"/>
      <c r="AT230" s="5"/>
      <c r="AU230" s="6" t="s">
        <v>2317</v>
      </c>
      <c r="AV230" s="6" t="s">
        <v>76</v>
      </c>
      <c r="AW230" s="6" t="s">
        <v>76</v>
      </c>
      <c r="AX230" s="6" t="s">
        <v>2284</v>
      </c>
      <c r="AY230" s="6" t="s">
        <v>2285</v>
      </c>
      <c r="AZ230" s="6"/>
      <c r="BA230" s="6" t="s">
        <v>4228</v>
      </c>
      <c r="BB230" s="6" t="s">
        <v>4229</v>
      </c>
      <c r="BC230" s="6" t="s">
        <v>127</v>
      </c>
      <c r="BD230" s="6" t="s">
        <v>127</v>
      </c>
      <c r="BE230" s="6"/>
      <c r="BF230" s="6"/>
      <c r="BG230" s="6"/>
      <c r="BH230" s="6"/>
    </row>
    <row r="231" spans="1:60" ht="32" customHeight="1" x14ac:dyDescent="0.35">
      <c r="A231" s="13" t="s">
        <v>4230</v>
      </c>
      <c r="B231" s="6" t="s">
        <v>3901</v>
      </c>
      <c r="C231" s="5" t="s">
        <v>1652</v>
      </c>
      <c r="D231" s="5" t="s">
        <v>2193</v>
      </c>
      <c r="E231" s="5" t="s">
        <v>4231</v>
      </c>
      <c r="F231" s="5" t="s">
        <v>2846</v>
      </c>
      <c r="G231" s="5" t="s">
        <v>2507</v>
      </c>
      <c r="H231" s="5" t="s">
        <v>4232</v>
      </c>
      <c r="I231" s="5" t="s">
        <v>4233</v>
      </c>
      <c r="J231" s="17" t="s">
        <v>162</v>
      </c>
      <c r="K231" s="17" t="s">
        <v>1477</v>
      </c>
      <c r="L231" s="5" t="s">
        <v>4234</v>
      </c>
      <c r="M231" s="6" t="s">
        <v>1493</v>
      </c>
      <c r="N231" s="6" t="s">
        <v>2170</v>
      </c>
      <c r="O231" s="6" t="s">
        <v>162</v>
      </c>
      <c r="P231" s="5" t="s">
        <v>2369</v>
      </c>
      <c r="Q231" s="18" t="s">
        <v>1482</v>
      </c>
      <c r="R231" s="5" t="s">
        <v>4235</v>
      </c>
      <c r="S231" s="6" t="s">
        <v>2470</v>
      </c>
      <c r="T231" s="5" t="s">
        <v>2471</v>
      </c>
      <c r="U231" s="6"/>
      <c r="V231" s="6" t="s">
        <v>2472</v>
      </c>
      <c r="W231" s="6" t="s">
        <v>1697</v>
      </c>
      <c r="X231" s="5" t="s">
        <v>228</v>
      </c>
      <c r="Y231" s="5" t="s">
        <v>2170</v>
      </c>
      <c r="Z231" s="5" t="str">
        <f t="shared" si="6"/>
        <v>Medium</v>
      </c>
      <c r="AA231" s="5" t="s">
        <v>1319</v>
      </c>
      <c r="AB231" s="6" t="s">
        <v>1355</v>
      </c>
      <c r="AC231" s="6" t="s">
        <v>135</v>
      </c>
      <c r="AD231" s="5" t="s">
        <v>2278</v>
      </c>
      <c r="AE231" s="5" t="s">
        <v>1720</v>
      </c>
      <c r="AF231" s="5" t="s">
        <v>1720</v>
      </c>
      <c r="AG231" s="5" t="s">
        <v>1720</v>
      </c>
      <c r="AH231" s="5" t="s">
        <v>1720</v>
      </c>
      <c r="AI231" s="6" t="str">
        <f t="shared" si="7"/>
        <v>No</v>
      </c>
      <c r="AJ231" s="6" t="s">
        <v>2298</v>
      </c>
      <c r="AK231" s="6" t="s">
        <v>162</v>
      </c>
      <c r="AL231" s="6">
        <f>MATCH(AA231,{"Low","Medium","High"},0)*MATCH(AB231,{"Low","Medium","High"},0)*INDEX({3,2,2,1,1},MATCH(X231,{"Core","Vertical extension","Differentiator","Future","Adjacent"},0))</f>
        <v>6</v>
      </c>
      <c r="AM231" s="5"/>
      <c r="AN231" s="5"/>
      <c r="AO231" s="5"/>
      <c r="AP231" s="5"/>
      <c r="AQ231" s="5"/>
      <c r="AR231" s="5"/>
      <c r="AS231" s="5"/>
      <c r="AT231" s="5"/>
      <c r="AU231" s="6" t="s">
        <v>2317</v>
      </c>
      <c r="AV231" s="6" t="s">
        <v>2784</v>
      </c>
      <c r="AW231" s="6" t="s">
        <v>2784</v>
      </c>
      <c r="AX231" s="6" t="s">
        <v>2374</v>
      </c>
      <c r="AY231" s="6" t="s">
        <v>2285</v>
      </c>
      <c r="AZ231" s="6"/>
      <c r="BA231" s="6" t="s">
        <v>4236</v>
      </c>
      <c r="BB231" s="6" t="s">
        <v>2474</v>
      </c>
      <c r="BC231" s="6" t="s">
        <v>127</v>
      </c>
      <c r="BD231" s="6" t="s">
        <v>127</v>
      </c>
      <c r="BE231" s="6"/>
      <c r="BF231" s="6"/>
      <c r="BG231" s="6"/>
      <c r="BH231" s="6"/>
    </row>
    <row r="232" spans="1:60" ht="32" customHeight="1" x14ac:dyDescent="0.35">
      <c r="A232" s="13" t="s">
        <v>4237</v>
      </c>
      <c r="B232" s="6" t="s">
        <v>3901</v>
      </c>
      <c r="C232" s="5" t="s">
        <v>1652</v>
      </c>
      <c r="D232" s="5" t="s">
        <v>2193</v>
      </c>
      <c r="E232" s="5" t="s">
        <v>4238</v>
      </c>
      <c r="F232" s="5" t="s">
        <v>2973</v>
      </c>
      <c r="G232" s="5" t="s">
        <v>2507</v>
      </c>
      <c r="H232" s="5" t="s">
        <v>4239</v>
      </c>
      <c r="I232" s="5" t="s">
        <v>4240</v>
      </c>
      <c r="J232" s="17" t="s">
        <v>162</v>
      </c>
      <c r="K232" s="17" t="s">
        <v>1477</v>
      </c>
      <c r="L232" s="5" t="s">
        <v>4241</v>
      </c>
      <c r="M232" s="6" t="s">
        <v>1493</v>
      </c>
      <c r="N232" s="6" t="s">
        <v>2170</v>
      </c>
      <c r="O232" s="6" t="s">
        <v>162</v>
      </c>
      <c r="P232" s="5" t="s">
        <v>2272</v>
      </c>
      <c r="Q232" s="18" t="s">
        <v>1482</v>
      </c>
      <c r="R232" s="5" t="s">
        <v>3773</v>
      </c>
      <c r="S232" s="6" t="s">
        <v>2470</v>
      </c>
      <c r="T232" s="5" t="s">
        <v>2471</v>
      </c>
      <c r="U232" s="6"/>
      <c r="V232" s="6" t="s">
        <v>2472</v>
      </c>
      <c r="W232" s="6" t="s">
        <v>1697</v>
      </c>
      <c r="X232" s="5" t="s">
        <v>228</v>
      </c>
      <c r="Y232" s="5" t="s">
        <v>2170</v>
      </c>
      <c r="Z232" s="5" t="str">
        <f t="shared" si="6"/>
        <v>Medium</v>
      </c>
      <c r="AA232" s="5" t="s">
        <v>1319</v>
      </c>
      <c r="AB232" s="6" t="s">
        <v>1355</v>
      </c>
      <c r="AC232" s="6" t="s">
        <v>135</v>
      </c>
      <c r="AD232" s="5" t="s">
        <v>2278</v>
      </c>
      <c r="AE232" s="5" t="s">
        <v>1720</v>
      </c>
      <c r="AF232" s="5" t="s">
        <v>1720</v>
      </c>
      <c r="AG232" s="5" t="s">
        <v>1720</v>
      </c>
      <c r="AH232" s="5" t="s">
        <v>1720</v>
      </c>
      <c r="AI232" s="6" t="str">
        <f t="shared" si="7"/>
        <v>No</v>
      </c>
      <c r="AJ232" s="6" t="s">
        <v>2298</v>
      </c>
      <c r="AK232" s="6" t="s">
        <v>162</v>
      </c>
      <c r="AL232" s="6">
        <f>MATCH(AA232,{"Low","Medium","High"},0)*MATCH(AB232,{"Low","Medium","High"},0)*INDEX({3,2,2,1,1},MATCH(X232,{"Core","Vertical extension","Differentiator","Future","Adjacent"},0))</f>
        <v>6</v>
      </c>
      <c r="AM232" s="5"/>
      <c r="AN232" s="5"/>
      <c r="AO232" s="5"/>
      <c r="AP232" s="5"/>
      <c r="AQ232" s="5"/>
      <c r="AR232" s="5"/>
      <c r="AS232" s="5"/>
      <c r="AT232" s="5"/>
      <c r="AU232" s="6" t="s">
        <v>2317</v>
      </c>
      <c r="AV232" s="6" t="s">
        <v>76</v>
      </c>
      <c r="AW232" s="6" t="s">
        <v>76</v>
      </c>
      <c r="AX232" s="6" t="s">
        <v>2284</v>
      </c>
      <c r="AY232" s="6" t="s">
        <v>2285</v>
      </c>
      <c r="AZ232" s="6"/>
      <c r="BA232" s="6" t="s">
        <v>4242</v>
      </c>
      <c r="BB232" s="6" t="s">
        <v>4243</v>
      </c>
      <c r="BC232" s="6" t="s">
        <v>127</v>
      </c>
      <c r="BD232" s="6" t="s">
        <v>127</v>
      </c>
      <c r="BE232" s="6"/>
      <c r="BF232" s="6"/>
      <c r="BG232" s="6"/>
      <c r="BH232" s="6"/>
    </row>
    <row r="233" spans="1:60" ht="32" customHeight="1" x14ac:dyDescent="0.35">
      <c r="A233" s="13" t="s">
        <v>4244</v>
      </c>
      <c r="B233" s="6" t="s">
        <v>3901</v>
      </c>
      <c r="C233" s="5" t="s">
        <v>1652</v>
      </c>
      <c r="D233" s="5" t="s">
        <v>2193</v>
      </c>
      <c r="E233" s="5" t="s">
        <v>4245</v>
      </c>
      <c r="F233" s="5" t="s">
        <v>3980</v>
      </c>
      <c r="G233" s="5" t="s">
        <v>2433</v>
      </c>
      <c r="H233" s="5" t="s">
        <v>4246</v>
      </c>
      <c r="I233" s="5" t="s">
        <v>4247</v>
      </c>
      <c r="J233" s="17" t="s">
        <v>162</v>
      </c>
      <c r="K233" s="17" t="s">
        <v>95</v>
      </c>
      <c r="L233" s="5" t="s">
        <v>4248</v>
      </c>
      <c r="M233" s="6" t="s">
        <v>1493</v>
      </c>
      <c r="N233" s="6" t="s">
        <v>2170</v>
      </c>
      <c r="O233" s="6" t="s">
        <v>162</v>
      </c>
      <c r="P233" s="5" t="s">
        <v>2369</v>
      </c>
      <c r="Q233" s="17" t="s">
        <v>95</v>
      </c>
      <c r="R233" s="5" t="s">
        <v>4249</v>
      </c>
      <c r="S233" s="6" t="s">
        <v>2470</v>
      </c>
      <c r="T233" s="5" t="s">
        <v>2471</v>
      </c>
      <c r="U233" s="6"/>
      <c r="V233" s="6" t="s">
        <v>2472</v>
      </c>
      <c r="W233" s="6" t="s">
        <v>1697</v>
      </c>
      <c r="X233" s="5" t="s">
        <v>228</v>
      </c>
      <c r="Y233" s="5" t="s">
        <v>2170</v>
      </c>
      <c r="Z233" s="5" t="str">
        <f t="shared" si="6"/>
        <v>Medium</v>
      </c>
      <c r="AA233" s="5" t="s">
        <v>1319</v>
      </c>
      <c r="AB233" s="6" t="s">
        <v>1355</v>
      </c>
      <c r="AC233" s="6" t="s">
        <v>135</v>
      </c>
      <c r="AD233" s="5" t="s">
        <v>95</v>
      </c>
      <c r="AE233" s="5" t="s">
        <v>1720</v>
      </c>
      <c r="AF233" s="5" t="s">
        <v>1720</v>
      </c>
      <c r="AG233" s="5" t="s">
        <v>1720</v>
      </c>
      <c r="AH233" s="5" t="s">
        <v>1720</v>
      </c>
      <c r="AI233" s="6" t="str">
        <f t="shared" si="7"/>
        <v>No</v>
      </c>
      <c r="AJ233" s="6" t="s">
        <v>229</v>
      </c>
      <c r="AK233" s="6" t="s">
        <v>162</v>
      </c>
      <c r="AL233" s="6">
        <f>MATCH(AA233,{"Low","Medium","High"},0)*MATCH(AB233,{"Low","Medium","High"},0)*INDEX({3,2,2,1,1},MATCH(X233,{"Core","Vertical extension","Differentiator","Future","Adjacent"},0))</f>
        <v>6</v>
      </c>
      <c r="AM233" s="5"/>
      <c r="AN233" s="5"/>
      <c r="AO233" s="5"/>
      <c r="AP233" s="5"/>
      <c r="AQ233" s="5"/>
      <c r="AR233" s="5"/>
      <c r="AS233" s="5"/>
      <c r="AT233" s="5"/>
      <c r="AU233" s="6" t="s">
        <v>2317</v>
      </c>
      <c r="AV233" s="6" t="s">
        <v>3968</v>
      </c>
      <c r="AW233" s="6" t="s">
        <v>3968</v>
      </c>
      <c r="AX233" s="6" t="s">
        <v>2374</v>
      </c>
      <c r="AY233" s="6" t="s">
        <v>2285</v>
      </c>
      <c r="AZ233" s="6"/>
      <c r="BA233" s="6"/>
      <c r="BB233" s="6"/>
      <c r="BC233" s="6" t="s">
        <v>127</v>
      </c>
      <c r="BD233" s="6" t="s">
        <v>127</v>
      </c>
      <c r="BE233" s="6" t="s">
        <v>1477</v>
      </c>
      <c r="BF233" s="6" t="s">
        <v>95</v>
      </c>
      <c r="BG233" s="6" t="s">
        <v>4250</v>
      </c>
      <c r="BH233" s="6" t="s">
        <v>4251</v>
      </c>
    </row>
    <row r="234" spans="1:60" ht="32" customHeight="1" x14ac:dyDescent="0.35">
      <c r="A234" s="13" t="s">
        <v>4252</v>
      </c>
      <c r="B234" s="6" t="s">
        <v>3901</v>
      </c>
      <c r="C234" s="5" t="s">
        <v>1652</v>
      </c>
      <c r="D234" s="5" t="s">
        <v>2193</v>
      </c>
      <c r="E234" s="5" t="s">
        <v>4253</v>
      </c>
      <c r="F234" s="5" t="s">
        <v>4030</v>
      </c>
      <c r="G234" s="5" t="s">
        <v>2973</v>
      </c>
      <c r="H234" s="5" t="s">
        <v>4254</v>
      </c>
      <c r="I234" s="5" t="s">
        <v>4255</v>
      </c>
      <c r="J234" s="17" t="s">
        <v>162</v>
      </c>
      <c r="K234" s="17" t="s">
        <v>95</v>
      </c>
      <c r="L234" s="5" t="s">
        <v>4256</v>
      </c>
      <c r="M234" s="6" t="s">
        <v>1493</v>
      </c>
      <c r="N234" s="6" t="s">
        <v>2170</v>
      </c>
      <c r="O234" s="6" t="s">
        <v>162</v>
      </c>
      <c r="P234" s="5" t="s">
        <v>2272</v>
      </c>
      <c r="Q234" s="17" t="s">
        <v>95</v>
      </c>
      <c r="R234" s="5" t="s">
        <v>4257</v>
      </c>
      <c r="S234" s="6" t="s">
        <v>2470</v>
      </c>
      <c r="T234" s="5" t="s">
        <v>2471</v>
      </c>
      <c r="U234" s="6"/>
      <c r="V234" s="6" t="s">
        <v>2472</v>
      </c>
      <c r="W234" s="6" t="s">
        <v>1697</v>
      </c>
      <c r="X234" s="5" t="s">
        <v>228</v>
      </c>
      <c r="Y234" s="5" t="s">
        <v>2170</v>
      </c>
      <c r="Z234" s="5" t="str">
        <f t="shared" si="6"/>
        <v>Medium</v>
      </c>
      <c r="AA234" s="5" t="s">
        <v>1319</v>
      </c>
      <c r="AB234" s="6" t="s">
        <v>1355</v>
      </c>
      <c r="AC234" s="6" t="s">
        <v>135</v>
      </c>
      <c r="AD234" s="5" t="s">
        <v>95</v>
      </c>
      <c r="AE234" s="5" t="s">
        <v>1720</v>
      </c>
      <c r="AF234" s="5" t="s">
        <v>1720</v>
      </c>
      <c r="AG234" s="5" t="s">
        <v>1720</v>
      </c>
      <c r="AH234" s="5" t="s">
        <v>1720</v>
      </c>
      <c r="AI234" s="6" t="str">
        <f t="shared" si="7"/>
        <v>No</v>
      </c>
      <c r="AJ234" s="6" t="s">
        <v>229</v>
      </c>
      <c r="AK234" s="6" t="s">
        <v>162</v>
      </c>
      <c r="AL234" s="6">
        <f>MATCH(AA234,{"Low","Medium","High"},0)*MATCH(AB234,{"Low","Medium","High"},0)*INDEX({3,2,2,1,1},MATCH(X234,{"Core","Vertical extension","Differentiator","Future","Adjacent"},0))</f>
        <v>6</v>
      </c>
      <c r="AM234" s="5"/>
      <c r="AN234" s="5"/>
      <c r="AO234" s="5"/>
      <c r="AP234" s="5"/>
      <c r="AQ234" s="5"/>
      <c r="AR234" s="5"/>
      <c r="AS234" s="5"/>
      <c r="AT234" s="5"/>
      <c r="AU234" s="6" t="s">
        <v>2317</v>
      </c>
      <c r="AV234" s="6" t="s">
        <v>3968</v>
      </c>
      <c r="AW234" s="6" t="s">
        <v>3968</v>
      </c>
      <c r="AX234" s="6" t="s">
        <v>2284</v>
      </c>
      <c r="AY234" s="6" t="s">
        <v>2285</v>
      </c>
      <c r="AZ234" s="6"/>
      <c r="BA234" s="6" t="s">
        <v>4258</v>
      </c>
      <c r="BB234" s="6" t="s">
        <v>4259</v>
      </c>
      <c r="BC234" s="6" t="s">
        <v>127</v>
      </c>
      <c r="BD234" s="6" t="s">
        <v>127</v>
      </c>
      <c r="BE234" s="6" t="s">
        <v>1477</v>
      </c>
      <c r="BF234" s="6" t="s">
        <v>95</v>
      </c>
      <c r="BG234" s="6" t="s">
        <v>4260</v>
      </c>
      <c r="BH234" s="6" t="s">
        <v>4261</v>
      </c>
    </row>
    <row r="235" spans="1:60" ht="32" customHeight="1" x14ac:dyDescent="0.35">
      <c r="A235" s="13" t="s">
        <v>4262</v>
      </c>
      <c r="B235" s="6" t="s">
        <v>3901</v>
      </c>
      <c r="C235" s="5" t="s">
        <v>1652</v>
      </c>
      <c r="D235" s="5" t="s">
        <v>2193</v>
      </c>
      <c r="E235" s="5" t="s">
        <v>4263</v>
      </c>
      <c r="F235" s="5" t="s">
        <v>2973</v>
      </c>
      <c r="G235" s="5" t="s">
        <v>2983</v>
      </c>
      <c r="H235" s="5" t="s">
        <v>4264</v>
      </c>
      <c r="I235" s="5" t="s">
        <v>4265</v>
      </c>
      <c r="J235" s="17" t="s">
        <v>162</v>
      </c>
      <c r="K235" s="17" t="s">
        <v>95</v>
      </c>
      <c r="L235" s="5" t="s">
        <v>4266</v>
      </c>
      <c r="M235" s="6" t="s">
        <v>1493</v>
      </c>
      <c r="N235" s="6" t="s">
        <v>2170</v>
      </c>
      <c r="O235" s="6" t="s">
        <v>162</v>
      </c>
      <c r="P235" s="5" t="s">
        <v>2272</v>
      </c>
      <c r="Q235" s="17" t="s">
        <v>95</v>
      </c>
      <c r="R235" s="5" t="s">
        <v>4267</v>
      </c>
      <c r="S235" s="6" t="s">
        <v>2470</v>
      </c>
      <c r="T235" s="5" t="s">
        <v>2471</v>
      </c>
      <c r="U235" s="6"/>
      <c r="V235" s="6" t="s">
        <v>2472</v>
      </c>
      <c r="W235" s="6" t="s">
        <v>1697</v>
      </c>
      <c r="X235" s="5" t="s">
        <v>228</v>
      </c>
      <c r="Y235" s="5" t="s">
        <v>2170</v>
      </c>
      <c r="Z235" s="5" t="str">
        <f t="shared" si="6"/>
        <v>Medium</v>
      </c>
      <c r="AA235" s="5" t="s">
        <v>1319</v>
      </c>
      <c r="AB235" s="6" t="s">
        <v>1355</v>
      </c>
      <c r="AC235" s="6" t="s">
        <v>135</v>
      </c>
      <c r="AD235" s="5" t="s">
        <v>95</v>
      </c>
      <c r="AE235" s="5" t="s">
        <v>1720</v>
      </c>
      <c r="AF235" s="5" t="s">
        <v>1720</v>
      </c>
      <c r="AG235" s="5" t="s">
        <v>1720</v>
      </c>
      <c r="AH235" s="5" t="s">
        <v>1720</v>
      </c>
      <c r="AI235" s="6" t="str">
        <f t="shared" si="7"/>
        <v>No</v>
      </c>
      <c r="AJ235" s="6" t="s">
        <v>229</v>
      </c>
      <c r="AK235" s="6" t="s">
        <v>162</v>
      </c>
      <c r="AL235" s="6">
        <f>MATCH(AA235,{"Low","Medium","High"},0)*MATCH(AB235,{"Low","Medium","High"},0)*INDEX({3,2,2,1,1},MATCH(X235,{"Core","Vertical extension","Differentiator","Future","Adjacent"},0))</f>
        <v>6</v>
      </c>
      <c r="AM235" s="5"/>
      <c r="AN235" s="5"/>
      <c r="AO235" s="5"/>
      <c r="AP235" s="5"/>
      <c r="AQ235" s="5"/>
      <c r="AR235" s="5"/>
      <c r="AS235" s="5"/>
      <c r="AT235" s="5"/>
      <c r="AU235" s="6" t="s">
        <v>2317</v>
      </c>
      <c r="AV235" s="6" t="s">
        <v>76</v>
      </c>
      <c r="AW235" s="6" t="s">
        <v>76</v>
      </c>
      <c r="AX235" s="6" t="s">
        <v>2284</v>
      </c>
      <c r="AY235" s="6" t="s">
        <v>2285</v>
      </c>
      <c r="AZ235" s="6"/>
      <c r="BA235" s="6"/>
      <c r="BB235" s="6"/>
      <c r="BC235" s="6" t="s">
        <v>127</v>
      </c>
      <c r="BD235" s="6" t="s">
        <v>127</v>
      </c>
      <c r="BE235" s="6" t="s">
        <v>1477</v>
      </c>
      <c r="BF235" s="6" t="s">
        <v>95</v>
      </c>
      <c r="BG235" s="6" t="s">
        <v>4268</v>
      </c>
      <c r="BH235" s="6" t="s">
        <v>4269</v>
      </c>
    </row>
    <row r="236" spans="1:60" ht="32" customHeight="1" x14ac:dyDescent="0.35">
      <c r="A236" s="13" t="s">
        <v>4270</v>
      </c>
      <c r="B236" s="6" t="s">
        <v>3901</v>
      </c>
      <c r="C236" s="5" t="s">
        <v>1652</v>
      </c>
      <c r="D236" s="5" t="s">
        <v>2187</v>
      </c>
      <c r="E236" s="5" t="s">
        <v>4271</v>
      </c>
      <c r="F236" s="5" t="s">
        <v>2911</v>
      </c>
      <c r="G236" s="5" t="s">
        <v>2507</v>
      </c>
      <c r="H236" s="5" t="s">
        <v>4272</v>
      </c>
      <c r="I236" s="5" t="s">
        <v>4273</v>
      </c>
      <c r="J236" s="17" t="s">
        <v>162</v>
      </c>
      <c r="K236" s="17" t="s">
        <v>1477</v>
      </c>
      <c r="L236" s="5" t="s">
        <v>4274</v>
      </c>
      <c r="M236" s="6" t="s">
        <v>1493</v>
      </c>
      <c r="N236" s="6" t="s">
        <v>2170</v>
      </c>
      <c r="O236" s="6" t="s">
        <v>162</v>
      </c>
      <c r="P236" s="5" t="s">
        <v>2272</v>
      </c>
      <c r="Q236" s="18" t="s">
        <v>1482</v>
      </c>
      <c r="R236" s="5" t="s">
        <v>4275</v>
      </c>
      <c r="S236" s="6" t="s">
        <v>2345</v>
      </c>
      <c r="T236" s="5" t="s">
        <v>2346</v>
      </c>
      <c r="U236" s="6"/>
      <c r="V236" s="6" t="s">
        <v>2347</v>
      </c>
      <c r="W236" s="6" t="s">
        <v>1697</v>
      </c>
      <c r="X236" s="5" t="s">
        <v>228</v>
      </c>
      <c r="Y236" s="5" t="s">
        <v>2170</v>
      </c>
      <c r="Z236" s="5" t="str">
        <f t="shared" si="6"/>
        <v>High</v>
      </c>
      <c r="AA236" s="5" t="s">
        <v>1302</v>
      </c>
      <c r="AB236" s="6" t="s">
        <v>1355</v>
      </c>
      <c r="AC236" s="6" t="s">
        <v>135</v>
      </c>
      <c r="AD236" s="5" t="s">
        <v>2278</v>
      </c>
      <c r="AE236" s="5" t="s">
        <v>1720</v>
      </c>
      <c r="AF236" s="5" t="s">
        <v>1720</v>
      </c>
      <c r="AG236" s="5" t="s">
        <v>1720</v>
      </c>
      <c r="AH236" s="5" t="s">
        <v>1720</v>
      </c>
      <c r="AI236" s="6" t="str">
        <f t="shared" si="7"/>
        <v>No</v>
      </c>
      <c r="AJ236" s="6" t="s">
        <v>2298</v>
      </c>
      <c r="AK236" s="6" t="s">
        <v>162</v>
      </c>
      <c r="AL236" s="6">
        <f>MATCH(AA236,{"Low","Medium","High"},0)*MATCH(AB236,{"Low","Medium","High"},0)*INDEX({3,2,2,1,1},MATCH(X236,{"Core","Vertical extension","Differentiator","Future","Adjacent"},0))</f>
        <v>9</v>
      </c>
      <c r="AM236" s="5"/>
      <c r="AN236" s="5"/>
      <c r="AO236" s="5"/>
      <c r="AP236" s="5"/>
      <c r="AQ236" s="5"/>
      <c r="AR236" s="5"/>
      <c r="AS236" s="5"/>
      <c r="AT236" s="5"/>
      <c r="AU236" s="6" t="s">
        <v>2317</v>
      </c>
      <c r="AV236" s="6" t="s">
        <v>2784</v>
      </c>
      <c r="AW236" s="6" t="s">
        <v>2784</v>
      </c>
      <c r="AX236" s="6" t="s">
        <v>2284</v>
      </c>
      <c r="AY236" s="6" t="s">
        <v>2285</v>
      </c>
      <c r="AZ236" s="6"/>
      <c r="BA236" s="6" t="s">
        <v>4276</v>
      </c>
      <c r="BB236" s="6" t="s">
        <v>2474</v>
      </c>
      <c r="BC236" s="6" t="s">
        <v>127</v>
      </c>
      <c r="BD236" s="6" t="s">
        <v>127</v>
      </c>
      <c r="BE236" s="6"/>
      <c r="BF236" s="6"/>
      <c r="BG236" s="6"/>
      <c r="BH236" s="6"/>
    </row>
    <row r="237" spans="1:60" ht="32" customHeight="1" x14ac:dyDescent="0.35">
      <c r="A237" s="13" t="s">
        <v>4277</v>
      </c>
      <c r="B237" s="6" t="s">
        <v>3901</v>
      </c>
      <c r="C237" s="5" t="s">
        <v>1652</v>
      </c>
      <c r="D237" s="5" t="s">
        <v>2187</v>
      </c>
      <c r="E237" s="5" t="s">
        <v>4278</v>
      </c>
      <c r="F237" s="5" t="s">
        <v>4279</v>
      </c>
      <c r="G237" s="5" t="s">
        <v>2396</v>
      </c>
      <c r="H237" s="5" t="s">
        <v>4280</v>
      </c>
      <c r="I237" s="5" t="s">
        <v>4281</v>
      </c>
      <c r="J237" s="17" t="s">
        <v>162</v>
      </c>
      <c r="K237" s="17" t="s">
        <v>1477</v>
      </c>
      <c r="L237" s="5" t="s">
        <v>4282</v>
      </c>
      <c r="M237" s="6" t="s">
        <v>1493</v>
      </c>
      <c r="N237" s="6" t="s">
        <v>2170</v>
      </c>
      <c r="O237" s="6" t="s">
        <v>162</v>
      </c>
      <c r="P237" s="5" t="s">
        <v>2369</v>
      </c>
      <c r="Q237" s="17" t="s">
        <v>2273</v>
      </c>
      <c r="R237" s="5" t="s">
        <v>4283</v>
      </c>
      <c r="S237" s="6" t="s">
        <v>2345</v>
      </c>
      <c r="T237" s="5" t="s">
        <v>2346</v>
      </c>
      <c r="U237" s="6"/>
      <c r="V237" s="6" t="s">
        <v>2347</v>
      </c>
      <c r="W237" s="6" t="s">
        <v>1697</v>
      </c>
      <c r="X237" s="5" t="s">
        <v>228</v>
      </c>
      <c r="Y237" s="5" t="s">
        <v>2170</v>
      </c>
      <c r="Z237" s="5" t="str">
        <f t="shared" si="6"/>
        <v>High</v>
      </c>
      <c r="AA237" s="5" t="s">
        <v>1302</v>
      </c>
      <c r="AB237" s="6" t="s">
        <v>1355</v>
      </c>
      <c r="AC237" s="6" t="s">
        <v>135</v>
      </c>
      <c r="AD237" s="5" t="s">
        <v>2278</v>
      </c>
      <c r="AE237" s="5" t="s">
        <v>1720</v>
      </c>
      <c r="AF237" s="5" t="s">
        <v>1720</v>
      </c>
      <c r="AG237" s="5" t="s">
        <v>1720</v>
      </c>
      <c r="AH237" s="5" t="s">
        <v>1720</v>
      </c>
      <c r="AI237" s="6" t="str">
        <f t="shared" si="7"/>
        <v>No</v>
      </c>
      <c r="AJ237" s="6" t="s">
        <v>2298</v>
      </c>
      <c r="AK237" s="6" t="s">
        <v>162</v>
      </c>
      <c r="AL237" s="6">
        <f>MATCH(AA237,{"Low","Medium","High"},0)*MATCH(AB237,{"Low","Medium","High"},0)*INDEX({3,2,2,1,1},MATCH(X237,{"Core","Vertical extension","Differentiator","Future","Adjacent"},0))</f>
        <v>9</v>
      </c>
      <c r="AM237" s="5"/>
      <c r="AN237" s="5"/>
      <c r="AO237" s="5"/>
      <c r="AP237" s="5"/>
      <c r="AQ237" s="5"/>
      <c r="AR237" s="5"/>
      <c r="AS237" s="5"/>
      <c r="AT237" s="5"/>
      <c r="AU237" s="6" t="s">
        <v>2317</v>
      </c>
      <c r="AV237" s="6" t="s">
        <v>2283</v>
      </c>
      <c r="AW237" s="6" t="s">
        <v>2283</v>
      </c>
      <c r="AX237" s="6" t="s">
        <v>2374</v>
      </c>
      <c r="AY237" s="6" t="s">
        <v>2285</v>
      </c>
      <c r="AZ237" s="6"/>
      <c r="BA237" s="6" t="s">
        <v>2473</v>
      </c>
      <c r="BB237" s="6" t="s">
        <v>2474</v>
      </c>
      <c r="BC237" s="6" t="s">
        <v>127</v>
      </c>
      <c r="BD237" s="6" t="s">
        <v>127</v>
      </c>
      <c r="BE237" s="6" t="s">
        <v>1477</v>
      </c>
      <c r="BF237" s="6" t="s">
        <v>2286</v>
      </c>
      <c r="BG237" s="6" t="s">
        <v>4284</v>
      </c>
      <c r="BH237" s="6" t="s">
        <v>4285</v>
      </c>
    </row>
    <row r="238" spans="1:60" ht="32" customHeight="1" x14ac:dyDescent="0.35">
      <c r="A238" s="13" t="s">
        <v>4286</v>
      </c>
      <c r="B238" s="6" t="s">
        <v>3901</v>
      </c>
      <c r="C238" s="5" t="s">
        <v>1652</v>
      </c>
      <c r="D238" s="5" t="s">
        <v>2187</v>
      </c>
      <c r="E238" s="5" t="s">
        <v>4287</v>
      </c>
      <c r="F238" s="5" t="s">
        <v>2911</v>
      </c>
      <c r="G238" s="5" t="s">
        <v>2396</v>
      </c>
      <c r="H238" s="5" t="s">
        <v>4288</v>
      </c>
      <c r="I238" s="5" t="s">
        <v>4289</v>
      </c>
      <c r="J238" s="17" t="s">
        <v>162</v>
      </c>
      <c r="K238" s="17" t="s">
        <v>1477</v>
      </c>
      <c r="L238" s="5" t="s">
        <v>4290</v>
      </c>
      <c r="M238" s="6" t="s">
        <v>1493</v>
      </c>
      <c r="N238" s="6" t="s">
        <v>2170</v>
      </c>
      <c r="O238" s="6" t="s">
        <v>162</v>
      </c>
      <c r="P238" s="5" t="s">
        <v>2272</v>
      </c>
      <c r="Q238" s="18" t="s">
        <v>1482</v>
      </c>
      <c r="R238" s="5" t="s">
        <v>2701</v>
      </c>
      <c r="S238" s="6" t="s">
        <v>2345</v>
      </c>
      <c r="T238" s="5" t="s">
        <v>2346</v>
      </c>
      <c r="U238" s="6"/>
      <c r="V238" s="6" t="s">
        <v>2347</v>
      </c>
      <c r="W238" s="6" t="s">
        <v>1697</v>
      </c>
      <c r="X238" s="5" t="s">
        <v>228</v>
      </c>
      <c r="Y238" s="5" t="s">
        <v>2170</v>
      </c>
      <c r="Z238" s="5" t="str">
        <f t="shared" si="6"/>
        <v>High</v>
      </c>
      <c r="AA238" s="5" t="s">
        <v>1302</v>
      </c>
      <c r="AB238" s="6" t="s">
        <v>1355</v>
      </c>
      <c r="AC238" s="6" t="s">
        <v>135</v>
      </c>
      <c r="AD238" s="5" t="s">
        <v>2278</v>
      </c>
      <c r="AE238" s="5" t="s">
        <v>1720</v>
      </c>
      <c r="AF238" s="5" t="s">
        <v>1720</v>
      </c>
      <c r="AG238" s="5" t="s">
        <v>1720</v>
      </c>
      <c r="AH238" s="5" t="s">
        <v>1720</v>
      </c>
      <c r="AI238" s="6" t="str">
        <f t="shared" si="7"/>
        <v>No</v>
      </c>
      <c r="AJ238" s="6" t="s">
        <v>2298</v>
      </c>
      <c r="AK238" s="6" t="s">
        <v>162</v>
      </c>
      <c r="AL238" s="6">
        <f>MATCH(AA238,{"Low","Medium","High"},0)*MATCH(AB238,{"Low","Medium","High"},0)*INDEX({3,2,2,1,1},MATCH(X238,{"Core","Vertical extension","Differentiator","Future","Adjacent"},0))</f>
        <v>9</v>
      </c>
      <c r="AM238" s="5"/>
      <c r="AN238" s="5"/>
      <c r="AO238" s="5"/>
      <c r="AP238" s="5"/>
      <c r="AQ238" s="5"/>
      <c r="AR238" s="5"/>
      <c r="AS238" s="5"/>
      <c r="AT238" s="5"/>
      <c r="AU238" s="6" t="s">
        <v>2317</v>
      </c>
      <c r="AV238" s="6" t="s">
        <v>2784</v>
      </c>
      <c r="AW238" s="6" t="s">
        <v>2784</v>
      </c>
      <c r="AX238" s="6" t="s">
        <v>2284</v>
      </c>
      <c r="AY238" s="6" t="s">
        <v>2285</v>
      </c>
      <c r="AZ238" s="6"/>
      <c r="BA238" s="6" t="s">
        <v>4051</v>
      </c>
      <c r="BB238" s="6" t="s">
        <v>2474</v>
      </c>
      <c r="BC238" s="6" t="s">
        <v>127</v>
      </c>
      <c r="BD238" s="6" t="s">
        <v>127</v>
      </c>
      <c r="BE238" s="6"/>
      <c r="BF238" s="6"/>
      <c r="BG238" s="6"/>
      <c r="BH238" s="6"/>
    </row>
    <row r="239" spans="1:60" ht="32" customHeight="1" x14ac:dyDescent="0.35">
      <c r="A239" s="13" t="s">
        <v>4291</v>
      </c>
      <c r="B239" s="6" t="s">
        <v>3901</v>
      </c>
      <c r="C239" s="5" t="s">
        <v>1652</v>
      </c>
      <c r="D239" s="5" t="s">
        <v>2187</v>
      </c>
      <c r="E239" s="5" t="s">
        <v>4292</v>
      </c>
      <c r="F239" s="5" t="s">
        <v>2911</v>
      </c>
      <c r="G239" s="5" t="s">
        <v>2507</v>
      </c>
      <c r="H239" s="5" t="s">
        <v>4293</v>
      </c>
      <c r="I239" s="5" t="s">
        <v>4294</v>
      </c>
      <c r="J239" s="17" t="s">
        <v>162</v>
      </c>
      <c r="K239" s="17" t="s">
        <v>1477</v>
      </c>
      <c r="L239" s="5" t="s">
        <v>4295</v>
      </c>
      <c r="M239" s="6" t="s">
        <v>1493</v>
      </c>
      <c r="N239" s="6" t="s">
        <v>2170</v>
      </c>
      <c r="O239" s="6" t="s">
        <v>162</v>
      </c>
      <c r="P239" s="5" t="s">
        <v>2272</v>
      </c>
      <c r="Q239" s="18" t="s">
        <v>1482</v>
      </c>
      <c r="R239" s="5" t="s">
        <v>4296</v>
      </c>
      <c r="S239" s="6" t="s">
        <v>2345</v>
      </c>
      <c r="T239" s="5" t="s">
        <v>2346</v>
      </c>
      <c r="U239" s="6"/>
      <c r="V239" s="6" t="s">
        <v>2347</v>
      </c>
      <c r="W239" s="6" t="s">
        <v>1697</v>
      </c>
      <c r="X239" s="5" t="s">
        <v>228</v>
      </c>
      <c r="Y239" s="5" t="s">
        <v>2170</v>
      </c>
      <c r="Z239" s="5" t="str">
        <f t="shared" si="6"/>
        <v>High</v>
      </c>
      <c r="AA239" s="5" t="s">
        <v>1302</v>
      </c>
      <c r="AB239" s="6" t="s">
        <v>1355</v>
      </c>
      <c r="AC239" s="6" t="s">
        <v>135</v>
      </c>
      <c r="AD239" s="5" t="s">
        <v>2278</v>
      </c>
      <c r="AE239" s="5" t="s">
        <v>1720</v>
      </c>
      <c r="AF239" s="5" t="s">
        <v>1720</v>
      </c>
      <c r="AG239" s="5" t="s">
        <v>1720</v>
      </c>
      <c r="AH239" s="5" t="s">
        <v>1720</v>
      </c>
      <c r="AI239" s="6" t="str">
        <f t="shared" si="7"/>
        <v>No</v>
      </c>
      <c r="AJ239" s="6" t="s">
        <v>2298</v>
      </c>
      <c r="AK239" s="6" t="s">
        <v>162</v>
      </c>
      <c r="AL239" s="6">
        <f>MATCH(AA239,{"Low","Medium","High"},0)*MATCH(AB239,{"Low","Medium","High"},0)*INDEX({3,2,2,1,1},MATCH(X239,{"Core","Vertical extension","Differentiator","Future","Adjacent"},0))</f>
        <v>9</v>
      </c>
      <c r="AM239" s="5"/>
      <c r="AN239" s="5"/>
      <c r="AO239" s="5"/>
      <c r="AP239" s="5"/>
      <c r="AQ239" s="5"/>
      <c r="AR239" s="5"/>
      <c r="AS239" s="5"/>
      <c r="AT239" s="5"/>
      <c r="AU239" s="6" t="s">
        <v>2317</v>
      </c>
      <c r="AV239" s="6" t="s">
        <v>2784</v>
      </c>
      <c r="AW239" s="6" t="s">
        <v>2784</v>
      </c>
      <c r="AX239" s="6" t="s">
        <v>2284</v>
      </c>
      <c r="AY239" s="6" t="s">
        <v>2285</v>
      </c>
      <c r="AZ239" s="6"/>
      <c r="BA239" s="6" t="s">
        <v>4297</v>
      </c>
      <c r="BB239" s="6" t="s">
        <v>2474</v>
      </c>
      <c r="BC239" s="6" t="s">
        <v>127</v>
      </c>
      <c r="BD239" s="6" t="s">
        <v>127</v>
      </c>
      <c r="BE239" s="6"/>
      <c r="BF239" s="6"/>
      <c r="BG239" s="6"/>
      <c r="BH239" s="6"/>
    </row>
    <row r="240" spans="1:60" ht="32" customHeight="1" x14ac:dyDescent="0.35">
      <c r="A240" s="13" t="s">
        <v>4298</v>
      </c>
      <c r="B240" s="6" t="s">
        <v>3901</v>
      </c>
      <c r="C240" s="5" t="s">
        <v>1652</v>
      </c>
      <c r="D240" s="5" t="s">
        <v>2187</v>
      </c>
      <c r="E240" s="5" t="s">
        <v>4299</v>
      </c>
      <c r="F240" s="5" t="s">
        <v>4300</v>
      </c>
      <c r="G240" s="5" t="s">
        <v>2855</v>
      </c>
      <c r="H240" s="5" t="s">
        <v>4301</v>
      </c>
      <c r="I240" s="5" t="s">
        <v>4302</v>
      </c>
      <c r="J240" s="17" t="s">
        <v>162</v>
      </c>
      <c r="K240" s="17" t="s">
        <v>1477</v>
      </c>
      <c r="L240" s="5" t="s">
        <v>4303</v>
      </c>
      <c r="M240" s="6" t="s">
        <v>1493</v>
      </c>
      <c r="N240" s="6" t="s">
        <v>2170</v>
      </c>
      <c r="O240" s="6" t="s">
        <v>162</v>
      </c>
      <c r="P240" s="5" t="s">
        <v>2272</v>
      </c>
      <c r="Q240" s="18" t="s">
        <v>1482</v>
      </c>
      <c r="R240" s="5" t="s">
        <v>2860</v>
      </c>
      <c r="S240" s="6" t="s">
        <v>2345</v>
      </c>
      <c r="T240" s="5" t="s">
        <v>2346</v>
      </c>
      <c r="U240" s="6"/>
      <c r="V240" s="6" t="s">
        <v>2347</v>
      </c>
      <c r="W240" s="6" t="s">
        <v>1697</v>
      </c>
      <c r="X240" s="5" t="s">
        <v>228</v>
      </c>
      <c r="Y240" s="5" t="s">
        <v>2170</v>
      </c>
      <c r="Z240" s="5" t="str">
        <f t="shared" si="6"/>
        <v>High</v>
      </c>
      <c r="AA240" s="5" t="s">
        <v>1302</v>
      </c>
      <c r="AB240" s="6" t="s">
        <v>1355</v>
      </c>
      <c r="AC240" s="6" t="s">
        <v>135</v>
      </c>
      <c r="AD240" s="5" t="s">
        <v>2278</v>
      </c>
      <c r="AE240" s="5" t="s">
        <v>1720</v>
      </c>
      <c r="AF240" s="5" t="s">
        <v>1720</v>
      </c>
      <c r="AG240" s="5" t="s">
        <v>1720</v>
      </c>
      <c r="AH240" s="5" t="s">
        <v>1720</v>
      </c>
      <c r="AI240" s="6" t="str">
        <f t="shared" si="7"/>
        <v>No</v>
      </c>
      <c r="AJ240" s="6" t="s">
        <v>2298</v>
      </c>
      <c r="AK240" s="6" t="s">
        <v>162</v>
      </c>
      <c r="AL240" s="6">
        <f>MATCH(AA240,{"Low","Medium","High"},0)*MATCH(AB240,{"Low","Medium","High"},0)*INDEX({3,2,2,1,1},MATCH(X240,{"Core","Vertical extension","Differentiator","Future","Adjacent"},0))</f>
        <v>9</v>
      </c>
      <c r="AM240" s="5"/>
      <c r="AN240" s="5"/>
      <c r="AO240" s="5"/>
      <c r="AP240" s="5"/>
      <c r="AQ240" s="5"/>
      <c r="AR240" s="5"/>
      <c r="AS240" s="5"/>
      <c r="AT240" s="5"/>
      <c r="AU240" s="6" t="s">
        <v>2317</v>
      </c>
      <c r="AV240" s="6" t="s">
        <v>2784</v>
      </c>
      <c r="AW240" s="6" t="s">
        <v>2784</v>
      </c>
      <c r="AX240" s="6" t="s">
        <v>2284</v>
      </c>
      <c r="AY240" s="6" t="s">
        <v>2285</v>
      </c>
      <c r="AZ240" s="6"/>
      <c r="BA240" s="6" t="s">
        <v>4304</v>
      </c>
      <c r="BB240" s="6" t="s">
        <v>2474</v>
      </c>
      <c r="BC240" s="6" t="s">
        <v>127</v>
      </c>
      <c r="BD240" s="6" t="s">
        <v>127</v>
      </c>
      <c r="BE240" s="6"/>
      <c r="BF240" s="6"/>
      <c r="BG240" s="6"/>
      <c r="BH240" s="6"/>
    </row>
    <row r="241" spans="1:60" ht="32" customHeight="1" x14ac:dyDescent="0.35">
      <c r="A241" s="13" t="s">
        <v>4305</v>
      </c>
      <c r="B241" s="6" t="s">
        <v>3901</v>
      </c>
      <c r="C241" s="5" t="s">
        <v>1652</v>
      </c>
      <c r="D241" s="5" t="s">
        <v>2187</v>
      </c>
      <c r="E241" s="5" t="s">
        <v>4306</v>
      </c>
      <c r="F241" s="5" t="s">
        <v>4307</v>
      </c>
      <c r="G241" s="5" t="s">
        <v>2855</v>
      </c>
      <c r="H241" s="5" t="s">
        <v>4308</v>
      </c>
      <c r="I241" s="5" t="s">
        <v>4309</v>
      </c>
      <c r="J241" s="17" t="s">
        <v>162</v>
      </c>
      <c r="K241" s="17" t="s">
        <v>1477</v>
      </c>
      <c r="L241" s="5" t="s">
        <v>4310</v>
      </c>
      <c r="M241" s="6" t="s">
        <v>1493</v>
      </c>
      <c r="N241" s="6" t="s">
        <v>2170</v>
      </c>
      <c r="O241" s="6" t="s">
        <v>162</v>
      </c>
      <c r="P241" s="5" t="s">
        <v>2272</v>
      </c>
      <c r="Q241" s="18" t="s">
        <v>1482</v>
      </c>
      <c r="R241" s="5" t="s">
        <v>2860</v>
      </c>
      <c r="S241" s="6" t="s">
        <v>2345</v>
      </c>
      <c r="T241" s="5" t="s">
        <v>2346</v>
      </c>
      <c r="U241" s="6"/>
      <c r="V241" s="6" t="s">
        <v>2347</v>
      </c>
      <c r="W241" s="6" t="s">
        <v>1697</v>
      </c>
      <c r="X241" s="5" t="s">
        <v>228</v>
      </c>
      <c r="Y241" s="5" t="s">
        <v>2170</v>
      </c>
      <c r="Z241" s="5" t="str">
        <f t="shared" si="6"/>
        <v>High</v>
      </c>
      <c r="AA241" s="5" t="s">
        <v>1302</v>
      </c>
      <c r="AB241" s="6" t="s">
        <v>1355</v>
      </c>
      <c r="AC241" s="6" t="s">
        <v>135</v>
      </c>
      <c r="AD241" s="5" t="s">
        <v>2278</v>
      </c>
      <c r="AE241" s="5" t="s">
        <v>1720</v>
      </c>
      <c r="AF241" s="5" t="s">
        <v>1720</v>
      </c>
      <c r="AG241" s="5" t="s">
        <v>1720</v>
      </c>
      <c r="AH241" s="5" t="s">
        <v>1720</v>
      </c>
      <c r="AI241" s="6" t="str">
        <f t="shared" si="7"/>
        <v>No</v>
      </c>
      <c r="AJ241" s="6" t="s">
        <v>2298</v>
      </c>
      <c r="AK241" s="6" t="s">
        <v>162</v>
      </c>
      <c r="AL241" s="6">
        <f>MATCH(AA241,{"Low","Medium","High"},0)*MATCH(AB241,{"Low","Medium","High"},0)*INDEX({3,2,2,1,1},MATCH(X241,{"Core","Vertical extension","Differentiator","Future","Adjacent"},0))</f>
        <v>9</v>
      </c>
      <c r="AM241" s="5"/>
      <c r="AN241" s="5"/>
      <c r="AO241" s="5"/>
      <c r="AP241" s="5"/>
      <c r="AQ241" s="5"/>
      <c r="AR241" s="5"/>
      <c r="AS241" s="5"/>
      <c r="AT241" s="5"/>
      <c r="AU241" s="6" t="s">
        <v>2317</v>
      </c>
      <c r="AV241" s="6" t="s">
        <v>2784</v>
      </c>
      <c r="AW241" s="6" t="s">
        <v>2784</v>
      </c>
      <c r="AX241" s="6" t="s">
        <v>2284</v>
      </c>
      <c r="AY241" s="6" t="s">
        <v>2285</v>
      </c>
      <c r="AZ241" s="6"/>
      <c r="BA241" s="6" t="s">
        <v>4304</v>
      </c>
      <c r="BB241" s="6" t="s">
        <v>2474</v>
      </c>
      <c r="BC241" s="6" t="s">
        <v>127</v>
      </c>
      <c r="BD241" s="6" t="s">
        <v>127</v>
      </c>
      <c r="BE241" s="6"/>
      <c r="BF241" s="6"/>
      <c r="BG241" s="6"/>
      <c r="BH241" s="6"/>
    </row>
    <row r="242" spans="1:60" ht="32" customHeight="1" x14ac:dyDescent="0.35">
      <c r="A242" s="13" t="s">
        <v>4311</v>
      </c>
      <c r="B242" s="6" t="s">
        <v>3901</v>
      </c>
      <c r="C242" s="5" t="s">
        <v>1652</v>
      </c>
      <c r="D242" s="5" t="s">
        <v>2187</v>
      </c>
      <c r="E242" s="5" t="s">
        <v>4312</v>
      </c>
      <c r="F242" s="5" t="s">
        <v>3036</v>
      </c>
      <c r="G242" s="5" t="s">
        <v>2983</v>
      </c>
      <c r="H242" s="5" t="s">
        <v>4313</v>
      </c>
      <c r="I242" s="5" t="s">
        <v>4314</v>
      </c>
      <c r="J242" s="17" t="s">
        <v>162</v>
      </c>
      <c r="K242" s="17" t="s">
        <v>1477</v>
      </c>
      <c r="L242" s="5" t="s">
        <v>4315</v>
      </c>
      <c r="M242" s="6" t="s">
        <v>1493</v>
      </c>
      <c r="N242" s="6" t="s">
        <v>2170</v>
      </c>
      <c r="O242" s="6" t="s">
        <v>162</v>
      </c>
      <c r="P242" s="5" t="s">
        <v>2272</v>
      </c>
      <c r="Q242" s="18" t="s">
        <v>1482</v>
      </c>
      <c r="R242" s="5" t="s">
        <v>2860</v>
      </c>
      <c r="S242" s="6" t="s">
        <v>2345</v>
      </c>
      <c r="T242" s="5" t="s">
        <v>2346</v>
      </c>
      <c r="U242" s="6"/>
      <c r="V242" s="6" t="s">
        <v>2347</v>
      </c>
      <c r="W242" s="6" t="s">
        <v>1697</v>
      </c>
      <c r="X242" s="5" t="s">
        <v>228</v>
      </c>
      <c r="Y242" s="5" t="s">
        <v>2170</v>
      </c>
      <c r="Z242" s="5" t="str">
        <f t="shared" si="6"/>
        <v>High</v>
      </c>
      <c r="AA242" s="5" t="s">
        <v>1302</v>
      </c>
      <c r="AB242" s="6" t="s">
        <v>1355</v>
      </c>
      <c r="AC242" s="6" t="s">
        <v>135</v>
      </c>
      <c r="AD242" s="5" t="s">
        <v>2278</v>
      </c>
      <c r="AE242" s="5" t="s">
        <v>1720</v>
      </c>
      <c r="AF242" s="5" t="s">
        <v>1720</v>
      </c>
      <c r="AG242" s="5" t="s">
        <v>1720</v>
      </c>
      <c r="AH242" s="5" t="s">
        <v>1720</v>
      </c>
      <c r="AI242" s="6" t="str">
        <f t="shared" si="7"/>
        <v>No</v>
      </c>
      <c r="AJ242" s="6" t="s">
        <v>2298</v>
      </c>
      <c r="AK242" s="6" t="s">
        <v>162</v>
      </c>
      <c r="AL242" s="6">
        <f>MATCH(AA242,{"Low","Medium","High"},0)*MATCH(AB242,{"Low","Medium","High"},0)*INDEX({3,2,2,1,1},MATCH(X242,{"Core","Vertical extension","Differentiator","Future","Adjacent"},0))</f>
        <v>9</v>
      </c>
      <c r="AM242" s="5"/>
      <c r="AN242" s="5"/>
      <c r="AO242" s="5"/>
      <c r="AP242" s="5"/>
      <c r="AQ242" s="5"/>
      <c r="AR242" s="5"/>
      <c r="AS242" s="5"/>
      <c r="AT242" s="5"/>
      <c r="AU242" s="6" t="s">
        <v>2317</v>
      </c>
      <c r="AV242" s="6" t="s">
        <v>2794</v>
      </c>
      <c r="AW242" s="6" t="s">
        <v>2794</v>
      </c>
      <c r="AX242" s="6" t="s">
        <v>2284</v>
      </c>
      <c r="AY242" s="6" t="s">
        <v>2285</v>
      </c>
      <c r="AZ242" s="6"/>
      <c r="BA242" s="6" t="s">
        <v>2863</v>
      </c>
      <c r="BB242" s="6" t="s">
        <v>2864</v>
      </c>
      <c r="BC242" s="6" t="s">
        <v>127</v>
      </c>
      <c r="BD242" s="6" t="s">
        <v>127</v>
      </c>
      <c r="BE242" s="6"/>
      <c r="BF242" s="6"/>
      <c r="BG242" s="6"/>
      <c r="BH242" s="6"/>
    </row>
    <row r="243" spans="1:60" ht="32" customHeight="1" x14ac:dyDescent="0.35">
      <c r="A243" s="13" t="s">
        <v>4316</v>
      </c>
      <c r="B243" s="6" t="s">
        <v>3901</v>
      </c>
      <c r="C243" s="5" t="s">
        <v>1652</v>
      </c>
      <c r="D243" s="5" t="s">
        <v>2187</v>
      </c>
      <c r="E243" s="5" t="s">
        <v>4317</v>
      </c>
      <c r="F243" s="5" t="s">
        <v>4318</v>
      </c>
      <c r="G243" s="5" t="s">
        <v>4319</v>
      </c>
      <c r="H243" s="5" t="s">
        <v>4320</v>
      </c>
      <c r="I243" s="5" t="s">
        <v>4321</v>
      </c>
      <c r="J243" s="17" t="s">
        <v>162</v>
      </c>
      <c r="K243" s="17" t="s">
        <v>1477</v>
      </c>
      <c r="L243" s="5" t="s">
        <v>4322</v>
      </c>
      <c r="M243" s="6" t="s">
        <v>1493</v>
      </c>
      <c r="N243" s="6" t="s">
        <v>2170</v>
      </c>
      <c r="O243" s="6" t="s">
        <v>162</v>
      </c>
      <c r="P243" s="5" t="s">
        <v>2272</v>
      </c>
      <c r="Q243" s="18" t="s">
        <v>1482</v>
      </c>
      <c r="R243" s="5" t="s">
        <v>2947</v>
      </c>
      <c r="S243" s="6" t="s">
        <v>2345</v>
      </c>
      <c r="T243" s="5" t="s">
        <v>2346</v>
      </c>
      <c r="U243" s="6"/>
      <c r="V243" s="6" t="s">
        <v>2347</v>
      </c>
      <c r="W243" s="6" t="s">
        <v>1697</v>
      </c>
      <c r="X243" s="5" t="s">
        <v>228</v>
      </c>
      <c r="Y243" s="5" t="s">
        <v>2170</v>
      </c>
      <c r="Z243" s="5" t="str">
        <f t="shared" si="6"/>
        <v>High</v>
      </c>
      <c r="AA243" s="5" t="s">
        <v>1302</v>
      </c>
      <c r="AB243" s="6" t="s">
        <v>1355</v>
      </c>
      <c r="AC243" s="6" t="s">
        <v>135</v>
      </c>
      <c r="AD243" s="5" t="s">
        <v>2278</v>
      </c>
      <c r="AE243" s="5" t="s">
        <v>1720</v>
      </c>
      <c r="AF243" s="5" t="s">
        <v>1720</v>
      </c>
      <c r="AG243" s="5" t="s">
        <v>1720</v>
      </c>
      <c r="AH243" s="5" t="s">
        <v>1720</v>
      </c>
      <c r="AI243" s="6" t="str">
        <f t="shared" si="7"/>
        <v>No</v>
      </c>
      <c r="AJ243" s="6" t="s">
        <v>2298</v>
      </c>
      <c r="AK243" s="6" t="s">
        <v>162</v>
      </c>
      <c r="AL243" s="6">
        <f>MATCH(AA243,{"Low","Medium","High"},0)*MATCH(AB243,{"Low","Medium","High"},0)*INDEX({3,2,2,1,1},MATCH(X243,{"Core","Vertical extension","Differentiator","Future","Adjacent"},0))</f>
        <v>9</v>
      </c>
      <c r="AM243" s="5"/>
      <c r="AN243" s="5"/>
      <c r="AO243" s="5"/>
      <c r="AP243" s="5"/>
      <c r="AQ243" s="5"/>
      <c r="AR243" s="5"/>
      <c r="AS243" s="5"/>
      <c r="AT243" s="5"/>
      <c r="AU243" s="6" t="s">
        <v>2317</v>
      </c>
      <c r="AV243" s="6" t="s">
        <v>2813</v>
      </c>
      <c r="AW243" s="6" t="s">
        <v>2813</v>
      </c>
      <c r="AX243" s="6" t="s">
        <v>2284</v>
      </c>
      <c r="AY243" s="6" t="s">
        <v>2285</v>
      </c>
      <c r="AZ243" s="6"/>
      <c r="BA243" s="6"/>
      <c r="BB243" s="6"/>
      <c r="BC243" s="6" t="s">
        <v>127</v>
      </c>
      <c r="BD243" s="6" t="s">
        <v>127</v>
      </c>
      <c r="BE243" s="6"/>
      <c r="BF243" s="6"/>
      <c r="BG243" s="6"/>
      <c r="BH243" s="6"/>
    </row>
    <row r="244" spans="1:60" ht="32" customHeight="1" x14ac:dyDescent="0.35">
      <c r="A244" s="13" t="s">
        <v>4323</v>
      </c>
      <c r="B244" s="6" t="s">
        <v>3901</v>
      </c>
      <c r="C244" s="5" t="s">
        <v>1652</v>
      </c>
      <c r="D244" s="5" t="s">
        <v>2187</v>
      </c>
      <c r="E244" s="5" t="s">
        <v>4324</v>
      </c>
      <c r="F244" s="5" t="s">
        <v>4126</v>
      </c>
      <c r="G244" s="5" t="s">
        <v>1685</v>
      </c>
      <c r="H244" s="5" t="s">
        <v>4325</v>
      </c>
      <c r="I244" s="5" t="s">
        <v>4326</v>
      </c>
      <c r="J244" s="17" t="s">
        <v>162</v>
      </c>
      <c r="K244" s="17" t="s">
        <v>95</v>
      </c>
      <c r="L244" s="5" t="s">
        <v>4327</v>
      </c>
      <c r="M244" s="6" t="s">
        <v>1493</v>
      </c>
      <c r="N244" s="6" t="s">
        <v>2170</v>
      </c>
      <c r="O244" s="6" t="s">
        <v>162</v>
      </c>
      <c r="P244" s="5" t="s">
        <v>2369</v>
      </c>
      <c r="Q244" s="17" t="s">
        <v>95</v>
      </c>
      <c r="R244" s="5" t="s">
        <v>4328</v>
      </c>
      <c r="S244" s="6" t="s">
        <v>2345</v>
      </c>
      <c r="T244" s="5" t="s">
        <v>2346</v>
      </c>
      <c r="U244" s="6"/>
      <c r="V244" s="6" t="s">
        <v>2347</v>
      </c>
      <c r="W244" s="6" t="s">
        <v>1697</v>
      </c>
      <c r="X244" s="5" t="s">
        <v>228</v>
      </c>
      <c r="Y244" s="5" t="s">
        <v>2170</v>
      </c>
      <c r="Z244" s="5" t="str">
        <f t="shared" si="6"/>
        <v>High</v>
      </c>
      <c r="AA244" s="5" t="s">
        <v>1302</v>
      </c>
      <c r="AB244" s="6" t="s">
        <v>1355</v>
      </c>
      <c r="AC244" s="6" t="s">
        <v>135</v>
      </c>
      <c r="AD244" s="5" t="s">
        <v>95</v>
      </c>
      <c r="AE244" s="5" t="s">
        <v>1720</v>
      </c>
      <c r="AF244" s="5" t="s">
        <v>1720</v>
      </c>
      <c r="AG244" s="5" t="s">
        <v>1720</v>
      </c>
      <c r="AH244" s="5" t="s">
        <v>1720</v>
      </c>
      <c r="AI244" s="6" t="str">
        <f t="shared" si="7"/>
        <v>No</v>
      </c>
      <c r="AJ244" s="6" t="s">
        <v>229</v>
      </c>
      <c r="AK244" s="6" t="s">
        <v>162</v>
      </c>
      <c r="AL244" s="6">
        <f>MATCH(AA244,{"Low","Medium","High"},0)*MATCH(AB244,{"Low","Medium","High"},0)*INDEX({3,2,2,1,1},MATCH(X244,{"Core","Vertical extension","Differentiator","Future","Adjacent"},0))</f>
        <v>9</v>
      </c>
      <c r="AM244" s="5"/>
      <c r="AN244" s="5"/>
      <c r="AO244" s="5"/>
      <c r="AP244" s="5"/>
      <c r="AQ244" s="5"/>
      <c r="AR244" s="5"/>
      <c r="AS244" s="5"/>
      <c r="AT244" s="5"/>
      <c r="AU244" s="6" t="s">
        <v>2317</v>
      </c>
      <c r="AV244" s="6" t="s">
        <v>3968</v>
      </c>
      <c r="AW244" s="6" t="s">
        <v>3968</v>
      </c>
      <c r="AX244" s="6" t="s">
        <v>2374</v>
      </c>
      <c r="AY244" s="6" t="s">
        <v>2285</v>
      </c>
      <c r="AZ244" s="6"/>
      <c r="BA244" s="6" t="s">
        <v>2473</v>
      </c>
      <c r="BB244" s="6" t="s">
        <v>2474</v>
      </c>
      <c r="BC244" s="6" t="s">
        <v>127</v>
      </c>
      <c r="BD244" s="6" t="s">
        <v>127</v>
      </c>
      <c r="BE244" s="6" t="s">
        <v>1477</v>
      </c>
      <c r="BF244" s="6" t="s">
        <v>95</v>
      </c>
      <c r="BG244" s="6" t="s">
        <v>4329</v>
      </c>
      <c r="BH244" s="6" t="s">
        <v>4330</v>
      </c>
    </row>
    <row r="245" spans="1:60" ht="32" customHeight="1" x14ac:dyDescent="0.35">
      <c r="A245" s="13" t="s">
        <v>4331</v>
      </c>
      <c r="B245" s="6" t="s">
        <v>3901</v>
      </c>
      <c r="C245" s="5" t="s">
        <v>1652</v>
      </c>
      <c r="D245" s="5" t="s">
        <v>2187</v>
      </c>
      <c r="E245" s="5" t="s">
        <v>4332</v>
      </c>
      <c r="F245" s="5" t="s">
        <v>2911</v>
      </c>
      <c r="G245" s="5" t="s">
        <v>2939</v>
      </c>
      <c r="H245" s="5" t="s">
        <v>4333</v>
      </c>
      <c r="I245" s="5" t="s">
        <v>4334</v>
      </c>
      <c r="J245" s="17" t="s">
        <v>162</v>
      </c>
      <c r="K245" s="17" t="s">
        <v>163</v>
      </c>
      <c r="L245" s="5" t="s">
        <v>4335</v>
      </c>
      <c r="M245" s="6" t="s">
        <v>1493</v>
      </c>
      <c r="N245" s="6" t="s">
        <v>2170</v>
      </c>
      <c r="O245" s="6" t="s">
        <v>162</v>
      </c>
      <c r="P245" s="5" t="s">
        <v>2272</v>
      </c>
      <c r="Q245" s="17" t="s">
        <v>163</v>
      </c>
      <c r="R245" s="5" t="s">
        <v>4336</v>
      </c>
      <c r="S245" s="6" t="s">
        <v>2345</v>
      </c>
      <c r="T245" s="5" t="s">
        <v>2346</v>
      </c>
      <c r="U245" s="6"/>
      <c r="V245" s="6" t="s">
        <v>2347</v>
      </c>
      <c r="W245" s="6" t="s">
        <v>1697</v>
      </c>
      <c r="X245" s="5" t="s">
        <v>228</v>
      </c>
      <c r="Y245" s="5" t="s">
        <v>2170</v>
      </c>
      <c r="Z245" s="5" t="str">
        <f t="shared" si="6"/>
        <v>High</v>
      </c>
      <c r="AA245" s="5" t="s">
        <v>1302</v>
      </c>
      <c r="AB245" s="6" t="s">
        <v>1355</v>
      </c>
      <c r="AC245" s="6" t="s">
        <v>135</v>
      </c>
      <c r="AD245" s="5" t="s">
        <v>1805</v>
      </c>
      <c r="AE245" s="5" t="s">
        <v>1720</v>
      </c>
      <c r="AF245" s="5" t="s">
        <v>1720</v>
      </c>
      <c r="AG245" s="5" t="s">
        <v>1720</v>
      </c>
      <c r="AH245" s="5" t="s">
        <v>1720</v>
      </c>
      <c r="AI245" s="6" t="str">
        <f t="shared" si="7"/>
        <v>No</v>
      </c>
      <c r="AJ245" s="6" t="s">
        <v>287</v>
      </c>
      <c r="AK245" s="6" t="s">
        <v>162</v>
      </c>
      <c r="AL245" s="6">
        <f>MATCH(AA245,{"Low","Medium","High"},0)*MATCH(AB245,{"Low","Medium","High"},0)*INDEX({3,2,2,1,1},MATCH(X245,{"Core","Vertical extension","Differentiator","Future","Adjacent"},0))</f>
        <v>9</v>
      </c>
      <c r="AM245" s="5"/>
      <c r="AN245" s="5"/>
      <c r="AO245" s="5"/>
      <c r="AP245" s="5"/>
      <c r="AQ245" s="5"/>
      <c r="AR245" s="5"/>
      <c r="AS245" s="5"/>
      <c r="AT245" s="5"/>
      <c r="AU245" s="6" t="s">
        <v>2317</v>
      </c>
      <c r="AV245" s="6" t="s">
        <v>2784</v>
      </c>
      <c r="AW245" s="6" t="s">
        <v>2784</v>
      </c>
      <c r="AX245" s="6" t="s">
        <v>2284</v>
      </c>
      <c r="AY245" s="6" t="s">
        <v>2285</v>
      </c>
      <c r="AZ245" s="6"/>
      <c r="BA245" s="6"/>
      <c r="BB245" s="6"/>
      <c r="BC245" s="6" t="s">
        <v>127</v>
      </c>
      <c r="BD245" s="6" t="s">
        <v>127</v>
      </c>
      <c r="BE245" s="6" t="s">
        <v>1477</v>
      </c>
      <c r="BF245" s="6" t="s">
        <v>288</v>
      </c>
      <c r="BG245" s="6" t="s">
        <v>4337</v>
      </c>
      <c r="BH245" s="6" t="s">
        <v>4338</v>
      </c>
    </row>
    <row r="246" spans="1:60" ht="32" customHeight="1" x14ac:dyDescent="0.35">
      <c r="A246" s="13" t="s">
        <v>4339</v>
      </c>
      <c r="B246" s="6" t="s">
        <v>3901</v>
      </c>
      <c r="C246" s="5" t="s">
        <v>1652</v>
      </c>
      <c r="D246" s="5" t="s">
        <v>2187</v>
      </c>
      <c r="E246" s="5" t="s">
        <v>4340</v>
      </c>
      <c r="F246" s="5" t="s">
        <v>1685</v>
      </c>
      <c r="G246" s="5" t="s">
        <v>2813</v>
      </c>
      <c r="H246" s="5" t="s">
        <v>4341</v>
      </c>
      <c r="I246" s="5" t="s">
        <v>4342</v>
      </c>
      <c r="J246" s="17" t="s">
        <v>162</v>
      </c>
      <c r="K246" s="17" t="s">
        <v>1477</v>
      </c>
      <c r="L246" s="5" t="s">
        <v>4343</v>
      </c>
      <c r="M246" s="6" t="s">
        <v>1493</v>
      </c>
      <c r="N246" s="6" t="s">
        <v>2170</v>
      </c>
      <c r="O246" s="6" t="s">
        <v>162</v>
      </c>
      <c r="P246" s="5" t="s">
        <v>2272</v>
      </c>
      <c r="Q246" s="18" t="s">
        <v>1482</v>
      </c>
      <c r="R246" s="5" t="s">
        <v>2947</v>
      </c>
      <c r="S246" s="6" t="s">
        <v>2345</v>
      </c>
      <c r="T246" s="5" t="s">
        <v>2346</v>
      </c>
      <c r="U246" s="6"/>
      <c r="V246" s="6" t="s">
        <v>2347</v>
      </c>
      <c r="W246" s="6" t="s">
        <v>1697</v>
      </c>
      <c r="X246" s="5" t="s">
        <v>228</v>
      </c>
      <c r="Y246" s="5" t="s">
        <v>2170</v>
      </c>
      <c r="Z246" s="5" t="str">
        <f t="shared" si="6"/>
        <v>High</v>
      </c>
      <c r="AA246" s="5" t="s">
        <v>1302</v>
      </c>
      <c r="AB246" s="6" t="s">
        <v>1355</v>
      </c>
      <c r="AC246" s="6" t="s">
        <v>135</v>
      </c>
      <c r="AD246" s="5" t="s">
        <v>2278</v>
      </c>
      <c r="AE246" s="5" t="s">
        <v>1720</v>
      </c>
      <c r="AF246" s="5" t="s">
        <v>1720</v>
      </c>
      <c r="AG246" s="5" t="s">
        <v>1720</v>
      </c>
      <c r="AH246" s="5" t="s">
        <v>1720</v>
      </c>
      <c r="AI246" s="6" t="str">
        <f t="shared" si="7"/>
        <v>No</v>
      </c>
      <c r="AJ246" s="6" t="s">
        <v>2298</v>
      </c>
      <c r="AK246" s="6" t="s">
        <v>162</v>
      </c>
      <c r="AL246" s="6">
        <f>MATCH(AA246,{"Low","Medium","High"},0)*MATCH(AB246,{"Low","Medium","High"},0)*INDEX({3,2,2,1,1},MATCH(X246,{"Core","Vertical extension","Differentiator","Future","Adjacent"},0))</f>
        <v>9</v>
      </c>
      <c r="AM246" s="5"/>
      <c r="AN246" s="5"/>
      <c r="AO246" s="5"/>
      <c r="AP246" s="5"/>
      <c r="AQ246" s="5"/>
      <c r="AR246" s="5"/>
      <c r="AS246" s="5"/>
      <c r="AT246" s="5"/>
      <c r="AU246" s="6" t="s">
        <v>2317</v>
      </c>
      <c r="AV246" s="6" t="s">
        <v>2784</v>
      </c>
      <c r="AW246" s="6" t="s">
        <v>2784</v>
      </c>
      <c r="AX246" s="6" t="s">
        <v>2284</v>
      </c>
      <c r="AY246" s="6" t="s">
        <v>2285</v>
      </c>
      <c r="AZ246" s="6"/>
      <c r="BA246" s="6"/>
      <c r="BB246" s="6"/>
      <c r="BC246" s="6" t="s">
        <v>127</v>
      </c>
      <c r="BD246" s="6" t="s">
        <v>127</v>
      </c>
      <c r="BE246" s="6"/>
      <c r="BF246" s="6"/>
      <c r="BG246" s="6"/>
      <c r="BH246" s="6"/>
    </row>
    <row r="247" spans="1:60" ht="32" customHeight="1" x14ac:dyDescent="0.35">
      <c r="A247" s="13" t="s">
        <v>4344</v>
      </c>
      <c r="B247" s="6" t="s">
        <v>3901</v>
      </c>
      <c r="C247" s="5" t="s">
        <v>1652</v>
      </c>
      <c r="D247" s="5" t="s">
        <v>2187</v>
      </c>
      <c r="E247" s="5" t="s">
        <v>4345</v>
      </c>
      <c r="F247" s="5" t="s">
        <v>3963</v>
      </c>
      <c r="G247" s="5" t="s">
        <v>4346</v>
      </c>
      <c r="H247" s="5" t="s">
        <v>4347</v>
      </c>
      <c r="I247" s="5" t="s">
        <v>4348</v>
      </c>
      <c r="J247" s="16" t="s">
        <v>94</v>
      </c>
      <c r="K247" s="17" t="s">
        <v>1477</v>
      </c>
      <c r="L247" s="5" t="s">
        <v>4349</v>
      </c>
      <c r="M247" s="6" t="s">
        <v>1493</v>
      </c>
      <c r="N247" s="6" t="s">
        <v>2170</v>
      </c>
      <c r="O247" s="6" t="s">
        <v>94</v>
      </c>
      <c r="P247" s="5" t="s">
        <v>4350</v>
      </c>
      <c r="Q247" s="17" t="s">
        <v>2273</v>
      </c>
      <c r="R247" s="5" t="s">
        <v>4351</v>
      </c>
      <c r="S247" s="6" t="s">
        <v>2345</v>
      </c>
      <c r="T247" s="5" t="s">
        <v>2346</v>
      </c>
      <c r="U247" s="6"/>
      <c r="V247" s="6" t="s">
        <v>2347</v>
      </c>
      <c r="W247" s="6" t="s">
        <v>1697</v>
      </c>
      <c r="X247" s="5" t="s">
        <v>228</v>
      </c>
      <c r="Y247" s="5" t="s">
        <v>2170</v>
      </c>
      <c r="Z247" s="5" t="str">
        <f t="shared" si="6"/>
        <v>High</v>
      </c>
      <c r="AA247" s="5" t="s">
        <v>1302</v>
      </c>
      <c r="AB247" s="6" t="s">
        <v>1355</v>
      </c>
      <c r="AC247" s="6" t="s">
        <v>99</v>
      </c>
      <c r="AD247" s="5" t="s">
        <v>2278</v>
      </c>
      <c r="AE247" s="5" t="s">
        <v>1720</v>
      </c>
      <c r="AF247" s="5" t="s">
        <v>1720</v>
      </c>
      <c r="AG247" s="5" t="s">
        <v>1720</v>
      </c>
      <c r="AH247" s="5" t="s">
        <v>1720</v>
      </c>
      <c r="AI247" s="6" t="str">
        <f t="shared" si="7"/>
        <v>No</v>
      </c>
      <c r="AJ247" s="6" t="s">
        <v>2279</v>
      </c>
      <c r="AK247" s="6" t="s">
        <v>94</v>
      </c>
      <c r="AL247" s="6">
        <f>MATCH(AA247,{"Low","Medium","High"},0)*MATCH(AB247,{"Low","Medium","High"},0)*INDEX({3,2,2,1,1},MATCH(X247,{"Core","Vertical extension","Differentiator","Future","Adjacent"},0))</f>
        <v>9</v>
      </c>
      <c r="AM247" s="5"/>
      <c r="AN247" s="5"/>
      <c r="AO247" s="5"/>
      <c r="AP247" s="5"/>
      <c r="AQ247" s="5"/>
      <c r="AR247" s="5" t="s">
        <v>4352</v>
      </c>
      <c r="AS247" s="5" t="s">
        <v>1462</v>
      </c>
      <c r="AT247" s="5" t="s">
        <v>2281</v>
      </c>
      <c r="AU247" s="6" t="s">
        <v>2282</v>
      </c>
      <c r="AV247" s="6" t="s">
        <v>3968</v>
      </c>
      <c r="AW247" s="6" t="s">
        <v>3968</v>
      </c>
      <c r="AX247" s="6" t="s">
        <v>2374</v>
      </c>
      <c r="AY247" s="6" t="s">
        <v>2285</v>
      </c>
      <c r="AZ247" s="6"/>
      <c r="BA247" s="6"/>
      <c r="BB247" s="6"/>
      <c r="BC247" s="6" t="s">
        <v>127</v>
      </c>
      <c r="BD247" s="6" t="s">
        <v>127</v>
      </c>
      <c r="BE247" s="6" t="s">
        <v>1477</v>
      </c>
      <c r="BF247" s="6" t="s">
        <v>2286</v>
      </c>
      <c r="BG247" s="6" t="s">
        <v>4353</v>
      </c>
      <c r="BH247" s="6" t="s">
        <v>4354</v>
      </c>
    </row>
    <row r="248" spans="1:60" ht="32" customHeight="1" x14ac:dyDescent="0.35">
      <c r="A248" s="13" t="s">
        <v>4355</v>
      </c>
      <c r="B248" s="6" t="s">
        <v>3901</v>
      </c>
      <c r="C248" s="5" t="s">
        <v>1652</v>
      </c>
      <c r="D248" s="5" t="s">
        <v>2187</v>
      </c>
      <c r="E248" s="5" t="s">
        <v>4356</v>
      </c>
      <c r="F248" s="5" t="s">
        <v>4030</v>
      </c>
      <c r="G248" s="5" t="s">
        <v>4357</v>
      </c>
      <c r="H248" s="5" t="s">
        <v>4358</v>
      </c>
      <c r="I248" s="5" t="s">
        <v>4359</v>
      </c>
      <c r="J248" s="17" t="s">
        <v>162</v>
      </c>
      <c r="K248" s="17" t="s">
        <v>95</v>
      </c>
      <c r="L248" s="5" t="s">
        <v>4360</v>
      </c>
      <c r="M248" s="6" t="s">
        <v>1493</v>
      </c>
      <c r="N248" s="6" t="s">
        <v>2170</v>
      </c>
      <c r="O248" s="6" t="s">
        <v>162</v>
      </c>
      <c r="P248" s="5" t="s">
        <v>2272</v>
      </c>
      <c r="Q248" s="17" t="s">
        <v>95</v>
      </c>
      <c r="R248" s="5" t="s">
        <v>4361</v>
      </c>
      <c r="S248" s="6" t="s">
        <v>2345</v>
      </c>
      <c r="T248" s="5" t="s">
        <v>2346</v>
      </c>
      <c r="U248" s="6"/>
      <c r="V248" s="6" t="s">
        <v>2347</v>
      </c>
      <c r="W248" s="6" t="s">
        <v>1697</v>
      </c>
      <c r="X248" s="5" t="s">
        <v>228</v>
      </c>
      <c r="Y248" s="5" t="s">
        <v>2170</v>
      </c>
      <c r="Z248" s="5" t="str">
        <f t="shared" si="6"/>
        <v>High</v>
      </c>
      <c r="AA248" s="5" t="s">
        <v>1302</v>
      </c>
      <c r="AB248" s="6" t="s">
        <v>1355</v>
      </c>
      <c r="AC248" s="6" t="s">
        <v>135</v>
      </c>
      <c r="AD248" s="5" t="s">
        <v>95</v>
      </c>
      <c r="AE248" s="5" t="s">
        <v>1720</v>
      </c>
      <c r="AF248" s="5" t="s">
        <v>1720</v>
      </c>
      <c r="AG248" s="5" t="s">
        <v>1720</v>
      </c>
      <c r="AH248" s="5" t="s">
        <v>1720</v>
      </c>
      <c r="AI248" s="6" t="str">
        <f t="shared" si="7"/>
        <v>No</v>
      </c>
      <c r="AJ248" s="6" t="s">
        <v>229</v>
      </c>
      <c r="AK248" s="6" t="s">
        <v>162</v>
      </c>
      <c r="AL248" s="6">
        <f>MATCH(AA248,{"Low","Medium","High"},0)*MATCH(AB248,{"Low","Medium","High"},0)*INDEX({3,2,2,1,1},MATCH(X248,{"Core","Vertical extension","Differentiator","Future","Adjacent"},0))</f>
        <v>9</v>
      </c>
      <c r="AM248" s="5"/>
      <c r="AN248" s="5"/>
      <c r="AO248" s="5"/>
      <c r="AP248" s="5"/>
      <c r="AQ248" s="5"/>
      <c r="AR248" s="5"/>
      <c r="AS248" s="5"/>
      <c r="AT248" s="5"/>
      <c r="AU248" s="6" t="s">
        <v>2317</v>
      </c>
      <c r="AV248" s="6" t="s">
        <v>3968</v>
      </c>
      <c r="AW248" s="6" t="s">
        <v>3968</v>
      </c>
      <c r="AX248" s="6" t="s">
        <v>2284</v>
      </c>
      <c r="AY248" s="6" t="s">
        <v>2285</v>
      </c>
      <c r="AZ248" s="6"/>
      <c r="BA248" s="6" t="s">
        <v>3396</v>
      </c>
      <c r="BB248" s="6" t="s">
        <v>3389</v>
      </c>
      <c r="BC248" s="6" t="s">
        <v>127</v>
      </c>
      <c r="BD248" s="6" t="s">
        <v>127</v>
      </c>
      <c r="BE248" s="6" t="s">
        <v>1477</v>
      </c>
      <c r="BF248" s="6" t="s">
        <v>95</v>
      </c>
      <c r="BG248" s="6" t="s">
        <v>4362</v>
      </c>
      <c r="BH248" s="6" t="s">
        <v>4363</v>
      </c>
    </row>
    <row r="249" spans="1:60" ht="32" customHeight="1" x14ac:dyDescent="0.35">
      <c r="A249" s="13" t="s">
        <v>4364</v>
      </c>
      <c r="B249" s="6" t="s">
        <v>3901</v>
      </c>
      <c r="C249" s="5" t="s">
        <v>1652</v>
      </c>
      <c r="D249" s="5" t="s">
        <v>2187</v>
      </c>
      <c r="E249" s="5" t="s">
        <v>4365</v>
      </c>
      <c r="F249" s="5" t="s">
        <v>2267</v>
      </c>
      <c r="G249" s="5" t="s">
        <v>2396</v>
      </c>
      <c r="H249" s="5" t="s">
        <v>4366</v>
      </c>
      <c r="I249" s="5" t="s">
        <v>4367</v>
      </c>
      <c r="J249" s="17" t="s">
        <v>162</v>
      </c>
      <c r="K249" s="17" t="s">
        <v>1477</v>
      </c>
      <c r="L249" s="5" t="s">
        <v>4368</v>
      </c>
      <c r="M249" s="6" t="s">
        <v>1493</v>
      </c>
      <c r="N249" s="6" t="s">
        <v>2170</v>
      </c>
      <c r="O249" s="6" t="s">
        <v>162</v>
      </c>
      <c r="P249" s="5" t="s">
        <v>2272</v>
      </c>
      <c r="Q249" s="17" t="s">
        <v>2273</v>
      </c>
      <c r="R249" s="5" t="s">
        <v>4369</v>
      </c>
      <c r="S249" s="6" t="s">
        <v>2345</v>
      </c>
      <c r="T249" s="5" t="s">
        <v>2346</v>
      </c>
      <c r="U249" s="6"/>
      <c r="V249" s="6" t="s">
        <v>2347</v>
      </c>
      <c r="W249" s="6" t="s">
        <v>1697</v>
      </c>
      <c r="X249" s="5" t="s">
        <v>228</v>
      </c>
      <c r="Y249" s="5" t="s">
        <v>2170</v>
      </c>
      <c r="Z249" s="5" t="str">
        <f t="shared" si="6"/>
        <v>High</v>
      </c>
      <c r="AA249" s="5" t="s">
        <v>1302</v>
      </c>
      <c r="AB249" s="6" t="s">
        <v>1355</v>
      </c>
      <c r="AC249" s="6" t="s">
        <v>135</v>
      </c>
      <c r="AD249" s="5" t="s">
        <v>2278</v>
      </c>
      <c r="AE249" s="5" t="s">
        <v>1720</v>
      </c>
      <c r="AF249" s="5" t="s">
        <v>1720</v>
      </c>
      <c r="AG249" s="5" t="s">
        <v>1720</v>
      </c>
      <c r="AH249" s="5" t="s">
        <v>1720</v>
      </c>
      <c r="AI249" s="6" t="str">
        <f t="shared" si="7"/>
        <v>No</v>
      </c>
      <c r="AJ249" s="6" t="s">
        <v>2298</v>
      </c>
      <c r="AK249" s="6" t="s">
        <v>162</v>
      </c>
      <c r="AL249" s="6">
        <f>MATCH(AA249,{"Low","Medium","High"},0)*MATCH(AB249,{"Low","Medium","High"},0)*INDEX({3,2,2,1,1},MATCH(X249,{"Core","Vertical extension","Differentiator","Future","Adjacent"},0))</f>
        <v>9</v>
      </c>
      <c r="AM249" s="5"/>
      <c r="AN249" s="5"/>
      <c r="AO249" s="5"/>
      <c r="AP249" s="5"/>
      <c r="AQ249" s="5"/>
      <c r="AR249" s="5"/>
      <c r="AS249" s="5"/>
      <c r="AT249" s="5"/>
      <c r="AU249" s="6" t="s">
        <v>2317</v>
      </c>
      <c r="AV249" s="6" t="s">
        <v>2283</v>
      </c>
      <c r="AW249" s="6" t="s">
        <v>2283</v>
      </c>
      <c r="AX249" s="6" t="s">
        <v>2284</v>
      </c>
      <c r="AY249" s="6" t="s">
        <v>2285</v>
      </c>
      <c r="AZ249" s="6"/>
      <c r="BA249" s="6" t="s">
        <v>4370</v>
      </c>
      <c r="BB249" s="6" t="s">
        <v>2638</v>
      </c>
      <c r="BC249" s="6" t="s">
        <v>127</v>
      </c>
      <c r="BD249" s="6" t="s">
        <v>127</v>
      </c>
      <c r="BE249" s="6" t="s">
        <v>1477</v>
      </c>
      <c r="BF249" s="6" t="s">
        <v>2286</v>
      </c>
      <c r="BG249" s="6" t="s">
        <v>4371</v>
      </c>
      <c r="BH249" s="6" t="s">
        <v>4372</v>
      </c>
    </row>
    <row r="250" spans="1:60" ht="32" customHeight="1" x14ac:dyDescent="0.35">
      <c r="A250" s="13" t="s">
        <v>4373</v>
      </c>
      <c r="B250" s="6" t="s">
        <v>3901</v>
      </c>
      <c r="C250" s="5" t="s">
        <v>1652</v>
      </c>
      <c r="D250" s="5" t="s">
        <v>2187</v>
      </c>
      <c r="E250" s="5" t="s">
        <v>4374</v>
      </c>
      <c r="F250" s="5" t="s">
        <v>2267</v>
      </c>
      <c r="G250" s="5" t="s">
        <v>2396</v>
      </c>
      <c r="H250" s="5" t="s">
        <v>4375</v>
      </c>
      <c r="I250" s="5" t="s">
        <v>4376</v>
      </c>
      <c r="J250" s="17" t="s">
        <v>162</v>
      </c>
      <c r="K250" s="17" t="s">
        <v>1477</v>
      </c>
      <c r="L250" s="5" t="s">
        <v>4377</v>
      </c>
      <c r="M250" s="6" t="s">
        <v>1493</v>
      </c>
      <c r="N250" s="6" t="s">
        <v>2170</v>
      </c>
      <c r="O250" s="6" t="s">
        <v>162</v>
      </c>
      <c r="P250" s="5" t="s">
        <v>2272</v>
      </c>
      <c r="Q250" s="18" t="s">
        <v>1482</v>
      </c>
      <c r="R250" s="5" t="s">
        <v>2870</v>
      </c>
      <c r="S250" s="6" t="s">
        <v>2345</v>
      </c>
      <c r="T250" s="5" t="s">
        <v>2346</v>
      </c>
      <c r="U250" s="6"/>
      <c r="V250" s="6" t="s">
        <v>2347</v>
      </c>
      <c r="W250" s="6" t="s">
        <v>1697</v>
      </c>
      <c r="X250" s="5" t="s">
        <v>228</v>
      </c>
      <c r="Y250" s="5" t="s">
        <v>2170</v>
      </c>
      <c r="Z250" s="5" t="str">
        <f t="shared" si="6"/>
        <v>High</v>
      </c>
      <c r="AA250" s="5" t="s">
        <v>1302</v>
      </c>
      <c r="AB250" s="6" t="s">
        <v>1355</v>
      </c>
      <c r="AC250" s="6" t="s">
        <v>135</v>
      </c>
      <c r="AD250" s="5" t="s">
        <v>2278</v>
      </c>
      <c r="AE250" s="5" t="s">
        <v>1720</v>
      </c>
      <c r="AF250" s="5" t="s">
        <v>1720</v>
      </c>
      <c r="AG250" s="5" t="s">
        <v>1720</v>
      </c>
      <c r="AH250" s="5" t="s">
        <v>1720</v>
      </c>
      <c r="AI250" s="6" t="str">
        <f t="shared" si="7"/>
        <v>No</v>
      </c>
      <c r="AJ250" s="6" t="s">
        <v>2298</v>
      </c>
      <c r="AK250" s="6" t="s">
        <v>162</v>
      </c>
      <c r="AL250" s="6">
        <f>MATCH(AA250,{"Low","Medium","High"},0)*MATCH(AB250,{"Low","Medium","High"},0)*INDEX({3,2,2,1,1},MATCH(X250,{"Core","Vertical extension","Differentiator","Future","Adjacent"},0))</f>
        <v>9</v>
      </c>
      <c r="AM250" s="5"/>
      <c r="AN250" s="5"/>
      <c r="AO250" s="5"/>
      <c r="AP250" s="5"/>
      <c r="AQ250" s="5"/>
      <c r="AR250" s="5"/>
      <c r="AS250" s="5"/>
      <c r="AT250" s="5"/>
      <c r="AU250" s="6" t="s">
        <v>2317</v>
      </c>
      <c r="AV250" s="6" t="s">
        <v>2283</v>
      </c>
      <c r="AW250" s="6" t="s">
        <v>2283</v>
      </c>
      <c r="AX250" s="6" t="s">
        <v>2284</v>
      </c>
      <c r="AY250" s="6" t="s">
        <v>2285</v>
      </c>
      <c r="AZ250" s="6"/>
      <c r="BA250" s="6" t="s">
        <v>4378</v>
      </c>
      <c r="BB250" s="6" t="s">
        <v>2872</v>
      </c>
      <c r="BC250" s="6" t="s">
        <v>127</v>
      </c>
      <c r="BD250" s="6" t="s">
        <v>127</v>
      </c>
      <c r="BE250" s="6"/>
      <c r="BF250" s="6"/>
      <c r="BG250" s="6"/>
      <c r="BH250" s="6"/>
    </row>
    <row r="251" spans="1:60" ht="32" customHeight="1" x14ac:dyDescent="0.35">
      <c r="A251" s="13" t="s">
        <v>4379</v>
      </c>
      <c r="B251" s="6" t="s">
        <v>3901</v>
      </c>
      <c r="C251" s="5" t="s">
        <v>1652</v>
      </c>
      <c r="D251" s="5" t="s">
        <v>2187</v>
      </c>
      <c r="E251" s="5" t="s">
        <v>4380</v>
      </c>
      <c r="F251" s="5" t="s">
        <v>2911</v>
      </c>
      <c r="G251" s="5" t="s">
        <v>2396</v>
      </c>
      <c r="H251" s="5" t="s">
        <v>4381</v>
      </c>
      <c r="I251" s="5" t="s">
        <v>4382</v>
      </c>
      <c r="J251" s="17" t="s">
        <v>162</v>
      </c>
      <c r="K251" s="17" t="s">
        <v>1477</v>
      </c>
      <c r="L251" s="5" t="s">
        <v>4383</v>
      </c>
      <c r="M251" s="6" t="s">
        <v>1493</v>
      </c>
      <c r="N251" s="6" t="s">
        <v>2170</v>
      </c>
      <c r="O251" s="6" t="s">
        <v>162</v>
      </c>
      <c r="P251" s="5" t="s">
        <v>2272</v>
      </c>
      <c r="Q251" s="18" t="s">
        <v>1482</v>
      </c>
      <c r="R251" s="5" t="s">
        <v>2870</v>
      </c>
      <c r="S251" s="6" t="s">
        <v>2345</v>
      </c>
      <c r="T251" s="5" t="s">
        <v>2346</v>
      </c>
      <c r="U251" s="6"/>
      <c r="V251" s="6" t="s">
        <v>2347</v>
      </c>
      <c r="W251" s="6" t="s">
        <v>1697</v>
      </c>
      <c r="X251" s="5" t="s">
        <v>228</v>
      </c>
      <c r="Y251" s="5" t="s">
        <v>2170</v>
      </c>
      <c r="Z251" s="5" t="str">
        <f t="shared" si="6"/>
        <v>High</v>
      </c>
      <c r="AA251" s="5" t="s">
        <v>1302</v>
      </c>
      <c r="AB251" s="6" t="s">
        <v>1355</v>
      </c>
      <c r="AC251" s="6" t="s">
        <v>135</v>
      </c>
      <c r="AD251" s="5" t="s">
        <v>2278</v>
      </c>
      <c r="AE251" s="5" t="s">
        <v>1720</v>
      </c>
      <c r="AF251" s="5" t="s">
        <v>1720</v>
      </c>
      <c r="AG251" s="5" t="s">
        <v>1720</v>
      </c>
      <c r="AH251" s="5" t="s">
        <v>1720</v>
      </c>
      <c r="AI251" s="6" t="str">
        <f t="shared" si="7"/>
        <v>No</v>
      </c>
      <c r="AJ251" s="6" t="s">
        <v>2298</v>
      </c>
      <c r="AK251" s="6" t="s">
        <v>162</v>
      </c>
      <c r="AL251" s="6">
        <f>MATCH(AA251,{"Low","Medium","High"},0)*MATCH(AB251,{"Low","Medium","High"},0)*INDEX({3,2,2,1,1},MATCH(X251,{"Core","Vertical extension","Differentiator","Future","Adjacent"},0))</f>
        <v>9</v>
      </c>
      <c r="AM251" s="5"/>
      <c r="AN251" s="5"/>
      <c r="AO251" s="5"/>
      <c r="AP251" s="5"/>
      <c r="AQ251" s="5"/>
      <c r="AR251" s="5"/>
      <c r="AS251" s="5"/>
      <c r="AT251" s="5"/>
      <c r="AU251" s="6" t="s">
        <v>2317</v>
      </c>
      <c r="AV251" s="6" t="s">
        <v>2784</v>
      </c>
      <c r="AW251" s="6" t="s">
        <v>2784</v>
      </c>
      <c r="AX251" s="6" t="s">
        <v>2284</v>
      </c>
      <c r="AY251" s="6" t="s">
        <v>2285</v>
      </c>
      <c r="AZ251" s="6"/>
      <c r="BA251" s="6" t="s">
        <v>4384</v>
      </c>
      <c r="BB251" s="6" t="s">
        <v>2872</v>
      </c>
      <c r="BC251" s="6" t="s">
        <v>127</v>
      </c>
      <c r="BD251" s="6" t="s">
        <v>127</v>
      </c>
      <c r="BE251" s="6"/>
      <c r="BF251" s="6"/>
      <c r="BG251" s="6"/>
      <c r="BH251" s="6"/>
    </row>
    <row r="252" spans="1:60" ht="32" customHeight="1" x14ac:dyDescent="0.35">
      <c r="A252" s="13" t="s">
        <v>4385</v>
      </c>
      <c r="B252" s="6" t="s">
        <v>3901</v>
      </c>
      <c r="C252" s="5" t="s">
        <v>1652</v>
      </c>
      <c r="D252" s="5" t="s">
        <v>2187</v>
      </c>
      <c r="E252" s="5" t="s">
        <v>4386</v>
      </c>
      <c r="F252" s="5" t="s">
        <v>4387</v>
      </c>
      <c r="G252" s="5" t="s">
        <v>3119</v>
      </c>
      <c r="H252" s="5" t="s">
        <v>4388</v>
      </c>
      <c r="I252" s="5" t="s">
        <v>4389</v>
      </c>
      <c r="J252" s="17" t="s">
        <v>162</v>
      </c>
      <c r="K252" s="17" t="s">
        <v>1477</v>
      </c>
      <c r="L252" s="5" t="s">
        <v>4390</v>
      </c>
      <c r="M252" s="6" t="s">
        <v>1493</v>
      </c>
      <c r="N252" s="6" t="s">
        <v>2170</v>
      </c>
      <c r="O252" s="6" t="s">
        <v>162</v>
      </c>
      <c r="P252" s="5" t="s">
        <v>2272</v>
      </c>
      <c r="Q252" s="18" t="s">
        <v>1482</v>
      </c>
      <c r="R252" s="5" t="s">
        <v>2970</v>
      </c>
      <c r="S252" s="6" t="s">
        <v>2345</v>
      </c>
      <c r="T252" s="5" t="s">
        <v>2346</v>
      </c>
      <c r="U252" s="6"/>
      <c r="V252" s="6" t="s">
        <v>2347</v>
      </c>
      <c r="W252" s="6" t="s">
        <v>1697</v>
      </c>
      <c r="X252" s="5" t="s">
        <v>228</v>
      </c>
      <c r="Y252" s="5" t="s">
        <v>2170</v>
      </c>
      <c r="Z252" s="5" t="str">
        <f t="shared" si="6"/>
        <v>High</v>
      </c>
      <c r="AA252" s="5" t="s">
        <v>1302</v>
      </c>
      <c r="AB252" s="6" t="s">
        <v>1355</v>
      </c>
      <c r="AC252" s="6" t="s">
        <v>135</v>
      </c>
      <c r="AD252" s="5" t="s">
        <v>2278</v>
      </c>
      <c r="AE252" s="5" t="s">
        <v>1720</v>
      </c>
      <c r="AF252" s="5" t="s">
        <v>1720</v>
      </c>
      <c r="AG252" s="5" t="s">
        <v>1720</v>
      </c>
      <c r="AH252" s="5" t="s">
        <v>1720</v>
      </c>
      <c r="AI252" s="6" t="str">
        <f t="shared" si="7"/>
        <v>No</v>
      </c>
      <c r="AJ252" s="6" t="s">
        <v>2298</v>
      </c>
      <c r="AK252" s="6" t="s">
        <v>162</v>
      </c>
      <c r="AL252" s="6">
        <f>MATCH(AA252,{"Low","Medium","High"},0)*MATCH(AB252,{"Low","Medium","High"},0)*INDEX({3,2,2,1,1},MATCH(X252,{"Core","Vertical extension","Differentiator","Future","Adjacent"},0))</f>
        <v>9</v>
      </c>
      <c r="AM252" s="5"/>
      <c r="AN252" s="5"/>
      <c r="AO252" s="5"/>
      <c r="AP252" s="5"/>
      <c r="AQ252" s="5"/>
      <c r="AR252" s="5"/>
      <c r="AS252" s="5"/>
      <c r="AT252" s="5"/>
      <c r="AU252" s="6" t="s">
        <v>2317</v>
      </c>
      <c r="AV252" s="6" t="s">
        <v>2784</v>
      </c>
      <c r="AW252" s="6" t="s">
        <v>2784</v>
      </c>
      <c r="AX252" s="6" t="s">
        <v>2284</v>
      </c>
      <c r="AY252" s="6" t="s">
        <v>2285</v>
      </c>
      <c r="AZ252" s="6"/>
      <c r="BA252" s="6" t="s">
        <v>2961</v>
      </c>
      <c r="BB252" s="6" t="s">
        <v>2962</v>
      </c>
      <c r="BC252" s="6" t="s">
        <v>127</v>
      </c>
      <c r="BD252" s="6" t="s">
        <v>127</v>
      </c>
      <c r="BE252" s="6"/>
      <c r="BF252" s="6"/>
      <c r="BG252" s="6"/>
      <c r="BH252" s="6"/>
    </row>
    <row r="253" spans="1:60" ht="32" customHeight="1" x14ac:dyDescent="0.35">
      <c r="A253" s="13" t="s">
        <v>4391</v>
      </c>
      <c r="B253" s="6" t="s">
        <v>3901</v>
      </c>
      <c r="C253" s="5" t="s">
        <v>1652</v>
      </c>
      <c r="D253" s="5" t="s">
        <v>2187</v>
      </c>
      <c r="E253" s="5" t="s">
        <v>4392</v>
      </c>
      <c r="F253" s="5" t="s">
        <v>3119</v>
      </c>
      <c r="G253" s="5" t="s">
        <v>2875</v>
      </c>
      <c r="H253" s="5" t="s">
        <v>4393</v>
      </c>
      <c r="I253" s="5" t="s">
        <v>4394</v>
      </c>
      <c r="J253" s="17" t="s">
        <v>162</v>
      </c>
      <c r="K253" s="17" t="s">
        <v>1477</v>
      </c>
      <c r="L253" s="5" t="s">
        <v>4395</v>
      </c>
      <c r="M253" s="6" t="s">
        <v>1493</v>
      </c>
      <c r="N253" s="6" t="s">
        <v>2170</v>
      </c>
      <c r="O253" s="6" t="s">
        <v>162</v>
      </c>
      <c r="P253" s="5" t="s">
        <v>2272</v>
      </c>
      <c r="Q253" s="18" t="s">
        <v>1482</v>
      </c>
      <c r="R253" s="5" t="s">
        <v>2970</v>
      </c>
      <c r="S253" s="6" t="s">
        <v>2345</v>
      </c>
      <c r="T253" s="5" t="s">
        <v>2346</v>
      </c>
      <c r="U253" s="6"/>
      <c r="V253" s="6" t="s">
        <v>2347</v>
      </c>
      <c r="W253" s="6" t="s">
        <v>1697</v>
      </c>
      <c r="X253" s="5" t="s">
        <v>228</v>
      </c>
      <c r="Y253" s="5" t="s">
        <v>2170</v>
      </c>
      <c r="Z253" s="5" t="str">
        <f t="shared" si="6"/>
        <v>High</v>
      </c>
      <c r="AA253" s="5" t="s">
        <v>1302</v>
      </c>
      <c r="AB253" s="6" t="s">
        <v>1355</v>
      </c>
      <c r="AC253" s="6" t="s">
        <v>135</v>
      </c>
      <c r="AD253" s="5" t="s">
        <v>2278</v>
      </c>
      <c r="AE253" s="5" t="s">
        <v>1720</v>
      </c>
      <c r="AF253" s="5" t="s">
        <v>1720</v>
      </c>
      <c r="AG253" s="5" t="s">
        <v>1720</v>
      </c>
      <c r="AH253" s="5" t="s">
        <v>1720</v>
      </c>
      <c r="AI253" s="6" t="str">
        <f t="shared" si="7"/>
        <v>No</v>
      </c>
      <c r="AJ253" s="6" t="s">
        <v>2298</v>
      </c>
      <c r="AK253" s="6" t="s">
        <v>162</v>
      </c>
      <c r="AL253" s="6">
        <f>MATCH(AA253,{"Low","Medium","High"},0)*MATCH(AB253,{"Low","Medium","High"},0)*INDEX({3,2,2,1,1},MATCH(X253,{"Core","Vertical extension","Differentiator","Future","Adjacent"},0))</f>
        <v>9</v>
      </c>
      <c r="AM253" s="5"/>
      <c r="AN253" s="5"/>
      <c r="AO253" s="5"/>
      <c r="AP253" s="5"/>
      <c r="AQ253" s="5"/>
      <c r="AR253" s="5"/>
      <c r="AS253" s="5"/>
      <c r="AT253" s="5"/>
      <c r="AU253" s="6" t="s">
        <v>2317</v>
      </c>
      <c r="AV253" s="6" t="s">
        <v>2784</v>
      </c>
      <c r="AW253" s="6" t="s">
        <v>2784</v>
      </c>
      <c r="AX253" s="6" t="s">
        <v>2284</v>
      </c>
      <c r="AY253" s="6" t="s">
        <v>2285</v>
      </c>
      <c r="AZ253" s="6"/>
      <c r="BA253" s="6" t="s">
        <v>2961</v>
      </c>
      <c r="BB253" s="6" t="s">
        <v>2962</v>
      </c>
      <c r="BC253" s="6" t="s">
        <v>127</v>
      </c>
      <c r="BD253" s="6" t="s">
        <v>127</v>
      </c>
      <c r="BE253" s="6"/>
      <c r="BF253" s="6"/>
      <c r="BG253" s="6"/>
      <c r="BH253" s="6"/>
    </row>
    <row r="254" spans="1:60" ht="32" customHeight="1" x14ac:dyDescent="0.35">
      <c r="A254" s="13" t="s">
        <v>4396</v>
      </c>
      <c r="B254" s="6" t="s">
        <v>3901</v>
      </c>
      <c r="C254" s="5" t="s">
        <v>1652</v>
      </c>
      <c r="D254" s="5" t="s">
        <v>2187</v>
      </c>
      <c r="E254" s="5" t="s">
        <v>4397</v>
      </c>
      <c r="F254" s="5" t="s">
        <v>4398</v>
      </c>
      <c r="G254" s="5" t="s">
        <v>2983</v>
      </c>
      <c r="H254" s="5" t="s">
        <v>4399</v>
      </c>
      <c r="I254" s="5" t="s">
        <v>4400</v>
      </c>
      <c r="J254" s="17" t="s">
        <v>162</v>
      </c>
      <c r="K254" s="17" t="s">
        <v>1477</v>
      </c>
      <c r="L254" s="5" t="s">
        <v>4401</v>
      </c>
      <c r="M254" s="6" t="s">
        <v>1493</v>
      </c>
      <c r="N254" s="6" t="s">
        <v>2170</v>
      </c>
      <c r="O254" s="6" t="s">
        <v>162</v>
      </c>
      <c r="P254" s="5" t="s">
        <v>2272</v>
      </c>
      <c r="Q254" s="18" t="s">
        <v>1482</v>
      </c>
      <c r="R254" s="5" t="s">
        <v>2970</v>
      </c>
      <c r="S254" s="6" t="s">
        <v>2345</v>
      </c>
      <c r="T254" s="5" t="s">
        <v>2346</v>
      </c>
      <c r="U254" s="6"/>
      <c r="V254" s="6" t="s">
        <v>2347</v>
      </c>
      <c r="W254" s="6" t="s">
        <v>1697</v>
      </c>
      <c r="X254" s="5" t="s">
        <v>228</v>
      </c>
      <c r="Y254" s="5" t="s">
        <v>2170</v>
      </c>
      <c r="Z254" s="5" t="str">
        <f t="shared" si="6"/>
        <v>High</v>
      </c>
      <c r="AA254" s="5" t="s">
        <v>1302</v>
      </c>
      <c r="AB254" s="6" t="s">
        <v>1355</v>
      </c>
      <c r="AC254" s="6" t="s">
        <v>135</v>
      </c>
      <c r="AD254" s="5" t="s">
        <v>2278</v>
      </c>
      <c r="AE254" s="5" t="s">
        <v>1720</v>
      </c>
      <c r="AF254" s="5" t="s">
        <v>1720</v>
      </c>
      <c r="AG254" s="5" t="s">
        <v>1720</v>
      </c>
      <c r="AH254" s="5" t="s">
        <v>1720</v>
      </c>
      <c r="AI254" s="6" t="str">
        <f t="shared" si="7"/>
        <v>No</v>
      </c>
      <c r="AJ254" s="6" t="s">
        <v>2298</v>
      </c>
      <c r="AK254" s="6" t="s">
        <v>162</v>
      </c>
      <c r="AL254" s="6">
        <f>MATCH(AA254,{"Low","Medium","High"},0)*MATCH(AB254,{"Low","Medium","High"},0)*INDEX({3,2,2,1,1},MATCH(X254,{"Core","Vertical extension","Differentiator","Future","Adjacent"},0))</f>
        <v>9</v>
      </c>
      <c r="AM254" s="5"/>
      <c r="AN254" s="5"/>
      <c r="AO254" s="5"/>
      <c r="AP254" s="5"/>
      <c r="AQ254" s="5"/>
      <c r="AR254" s="5"/>
      <c r="AS254" s="5"/>
      <c r="AT254" s="5"/>
      <c r="AU254" s="6" t="s">
        <v>2317</v>
      </c>
      <c r="AV254" s="6" t="s">
        <v>2813</v>
      </c>
      <c r="AW254" s="6" t="s">
        <v>2813</v>
      </c>
      <c r="AX254" s="6" t="s">
        <v>2284</v>
      </c>
      <c r="AY254" s="6" t="s">
        <v>2285</v>
      </c>
      <c r="AZ254" s="6"/>
      <c r="BA254" s="6" t="s">
        <v>4402</v>
      </c>
      <c r="BB254" s="6" t="s">
        <v>4403</v>
      </c>
      <c r="BC254" s="6" t="s">
        <v>127</v>
      </c>
      <c r="BD254" s="6" t="s">
        <v>127</v>
      </c>
      <c r="BE254" s="6"/>
      <c r="BF254" s="6"/>
      <c r="BG254" s="6"/>
      <c r="BH254" s="6"/>
    </row>
    <row r="255" spans="1:60" ht="32" customHeight="1" x14ac:dyDescent="0.35">
      <c r="A255" s="13" t="s">
        <v>4404</v>
      </c>
      <c r="B255" s="6" t="s">
        <v>3901</v>
      </c>
      <c r="C255" s="5" t="s">
        <v>1652</v>
      </c>
      <c r="D255" s="5" t="s">
        <v>2187</v>
      </c>
      <c r="E255" s="5" t="s">
        <v>4405</v>
      </c>
      <c r="F255" s="5" t="s">
        <v>4406</v>
      </c>
      <c r="G255" s="5" t="s">
        <v>3867</v>
      </c>
      <c r="H255" s="5" t="s">
        <v>4407</v>
      </c>
      <c r="I255" s="5" t="s">
        <v>4408</v>
      </c>
      <c r="J255" s="17" t="s">
        <v>162</v>
      </c>
      <c r="K255" s="17" t="s">
        <v>95</v>
      </c>
      <c r="L255" s="5" t="s">
        <v>4409</v>
      </c>
      <c r="M255" s="6" t="s">
        <v>1493</v>
      </c>
      <c r="N255" s="6" t="s">
        <v>2170</v>
      </c>
      <c r="O255" s="6" t="s">
        <v>162</v>
      </c>
      <c r="P255" s="5" t="s">
        <v>2272</v>
      </c>
      <c r="Q255" s="17" t="s">
        <v>95</v>
      </c>
      <c r="R255" s="5" t="s">
        <v>4410</v>
      </c>
      <c r="S255" s="6" t="s">
        <v>2345</v>
      </c>
      <c r="T255" s="5" t="s">
        <v>2346</v>
      </c>
      <c r="U255" s="6"/>
      <c r="V255" s="6" t="s">
        <v>2347</v>
      </c>
      <c r="W255" s="6" t="s">
        <v>1697</v>
      </c>
      <c r="X255" s="5" t="s">
        <v>228</v>
      </c>
      <c r="Y255" s="5" t="s">
        <v>2170</v>
      </c>
      <c r="Z255" s="5" t="str">
        <f t="shared" si="6"/>
        <v>High</v>
      </c>
      <c r="AA255" s="5" t="s">
        <v>1302</v>
      </c>
      <c r="AB255" s="6" t="s">
        <v>1355</v>
      </c>
      <c r="AC255" s="6" t="s">
        <v>135</v>
      </c>
      <c r="AD255" s="5" t="s">
        <v>95</v>
      </c>
      <c r="AE255" s="5" t="s">
        <v>1720</v>
      </c>
      <c r="AF255" s="5" t="s">
        <v>1720</v>
      </c>
      <c r="AG255" s="5" t="s">
        <v>1720</v>
      </c>
      <c r="AH255" s="5" t="s">
        <v>1720</v>
      </c>
      <c r="AI255" s="6" t="str">
        <f t="shared" si="7"/>
        <v>No</v>
      </c>
      <c r="AJ255" s="6" t="s">
        <v>229</v>
      </c>
      <c r="AK255" s="6" t="s">
        <v>162</v>
      </c>
      <c r="AL255" s="6">
        <f>MATCH(AA255,{"Low","Medium","High"},0)*MATCH(AB255,{"Low","Medium","High"},0)*INDEX({3,2,2,1,1},MATCH(X255,{"Core","Vertical extension","Differentiator","Future","Adjacent"},0))</f>
        <v>9</v>
      </c>
      <c r="AM255" s="5"/>
      <c r="AN255" s="5"/>
      <c r="AO255" s="5"/>
      <c r="AP255" s="5"/>
      <c r="AQ255" s="5"/>
      <c r="AR255" s="5"/>
      <c r="AS255" s="5"/>
      <c r="AT255" s="5"/>
      <c r="AU255" s="6" t="s">
        <v>2317</v>
      </c>
      <c r="AV255" s="6" t="s">
        <v>3968</v>
      </c>
      <c r="AW255" s="6" t="s">
        <v>3968</v>
      </c>
      <c r="AX255" s="6" t="s">
        <v>2284</v>
      </c>
      <c r="AY255" s="6" t="s">
        <v>2285</v>
      </c>
      <c r="AZ255" s="6"/>
      <c r="BA255" s="6"/>
      <c r="BB255" s="6"/>
      <c r="BC255" s="6" t="s">
        <v>127</v>
      </c>
      <c r="BD255" s="6" t="s">
        <v>127</v>
      </c>
      <c r="BE255" s="6" t="s">
        <v>1477</v>
      </c>
      <c r="BF255" s="6" t="s">
        <v>95</v>
      </c>
      <c r="BG255" s="6" t="s">
        <v>4411</v>
      </c>
      <c r="BH255" s="6" t="s">
        <v>4412</v>
      </c>
    </row>
    <row r="256" spans="1:60" ht="32" customHeight="1" x14ac:dyDescent="0.35">
      <c r="A256" s="13" t="s">
        <v>4413</v>
      </c>
      <c r="B256" s="6" t="s">
        <v>3901</v>
      </c>
      <c r="C256" s="5" t="s">
        <v>1652</v>
      </c>
      <c r="D256" s="5" t="s">
        <v>2187</v>
      </c>
      <c r="E256" s="5" t="s">
        <v>4414</v>
      </c>
      <c r="F256" s="5" t="s">
        <v>4415</v>
      </c>
      <c r="G256" s="5" t="s">
        <v>2973</v>
      </c>
      <c r="H256" s="5" t="s">
        <v>4416</v>
      </c>
      <c r="I256" s="5" t="s">
        <v>4417</v>
      </c>
      <c r="J256" s="17" t="s">
        <v>162</v>
      </c>
      <c r="K256" s="17" t="s">
        <v>1477</v>
      </c>
      <c r="L256" s="5" t="s">
        <v>4418</v>
      </c>
      <c r="M256" s="6" t="s">
        <v>1493</v>
      </c>
      <c r="N256" s="6" t="s">
        <v>2170</v>
      </c>
      <c r="O256" s="6" t="s">
        <v>162</v>
      </c>
      <c r="P256" s="5" t="s">
        <v>2272</v>
      </c>
      <c r="Q256" s="17" t="s">
        <v>2273</v>
      </c>
      <c r="R256" s="5" t="s">
        <v>4419</v>
      </c>
      <c r="S256" s="6" t="s">
        <v>2345</v>
      </c>
      <c r="T256" s="5" t="s">
        <v>2346</v>
      </c>
      <c r="U256" s="6"/>
      <c r="V256" s="6" t="s">
        <v>2347</v>
      </c>
      <c r="W256" s="6" t="s">
        <v>1697</v>
      </c>
      <c r="X256" s="5" t="s">
        <v>228</v>
      </c>
      <c r="Y256" s="5" t="s">
        <v>2170</v>
      </c>
      <c r="Z256" s="5" t="str">
        <f t="shared" si="6"/>
        <v>High</v>
      </c>
      <c r="AA256" s="5" t="s">
        <v>1302</v>
      </c>
      <c r="AB256" s="6" t="s">
        <v>1355</v>
      </c>
      <c r="AC256" s="6" t="s">
        <v>135</v>
      </c>
      <c r="AD256" s="5" t="s">
        <v>2278</v>
      </c>
      <c r="AE256" s="5" t="s">
        <v>1720</v>
      </c>
      <c r="AF256" s="5" t="s">
        <v>1720</v>
      </c>
      <c r="AG256" s="5" t="s">
        <v>1720</v>
      </c>
      <c r="AH256" s="5" t="s">
        <v>1720</v>
      </c>
      <c r="AI256" s="6" t="str">
        <f t="shared" si="7"/>
        <v>No</v>
      </c>
      <c r="AJ256" s="6" t="s">
        <v>2298</v>
      </c>
      <c r="AK256" s="6" t="s">
        <v>162</v>
      </c>
      <c r="AL256" s="6">
        <f>MATCH(AA256,{"Low","Medium","High"},0)*MATCH(AB256,{"Low","Medium","High"},0)*INDEX({3,2,2,1,1},MATCH(X256,{"Core","Vertical extension","Differentiator","Future","Adjacent"},0))</f>
        <v>9</v>
      </c>
      <c r="AM256" s="5"/>
      <c r="AN256" s="5"/>
      <c r="AO256" s="5"/>
      <c r="AP256" s="5"/>
      <c r="AQ256" s="5"/>
      <c r="AR256" s="5"/>
      <c r="AS256" s="5"/>
      <c r="AT256" s="5"/>
      <c r="AU256" s="6" t="s">
        <v>2317</v>
      </c>
      <c r="AV256" s="6" t="s">
        <v>3968</v>
      </c>
      <c r="AW256" s="6" t="s">
        <v>3968</v>
      </c>
      <c r="AX256" s="6" t="s">
        <v>2284</v>
      </c>
      <c r="AY256" s="6" t="s">
        <v>2285</v>
      </c>
      <c r="AZ256" s="6"/>
      <c r="BA256" s="6"/>
      <c r="BB256" s="6"/>
      <c r="BC256" s="6" t="s">
        <v>127</v>
      </c>
      <c r="BD256" s="6" t="s">
        <v>127</v>
      </c>
      <c r="BE256" s="6" t="s">
        <v>1477</v>
      </c>
      <c r="BF256" s="6" t="s">
        <v>2286</v>
      </c>
      <c r="BG256" s="6" t="s">
        <v>4420</v>
      </c>
      <c r="BH256" s="6" t="s">
        <v>4421</v>
      </c>
    </row>
    <row r="257" spans="1:60" ht="32" customHeight="1" x14ac:dyDescent="0.35">
      <c r="A257" s="13" t="s">
        <v>4422</v>
      </c>
      <c r="B257" s="6" t="s">
        <v>3901</v>
      </c>
      <c r="C257" s="5" t="s">
        <v>1652</v>
      </c>
      <c r="D257" s="5" t="s">
        <v>2187</v>
      </c>
      <c r="E257" s="5" t="s">
        <v>4423</v>
      </c>
      <c r="F257" s="5" t="s">
        <v>2189</v>
      </c>
      <c r="G257" s="5" t="s">
        <v>2813</v>
      </c>
      <c r="H257" s="5" t="s">
        <v>4424</v>
      </c>
      <c r="I257" s="5" t="s">
        <v>4425</v>
      </c>
      <c r="J257" s="17" t="s">
        <v>162</v>
      </c>
      <c r="K257" s="17" t="s">
        <v>1477</v>
      </c>
      <c r="L257" s="5" t="s">
        <v>4426</v>
      </c>
      <c r="M257" s="6" t="s">
        <v>1493</v>
      </c>
      <c r="N257" s="6" t="s">
        <v>2170</v>
      </c>
      <c r="O257" s="6" t="s">
        <v>162</v>
      </c>
      <c r="P257" s="5" t="s">
        <v>2272</v>
      </c>
      <c r="Q257" s="17" t="s">
        <v>2273</v>
      </c>
      <c r="R257" s="5" t="s">
        <v>4427</v>
      </c>
      <c r="S257" s="6" t="s">
        <v>2345</v>
      </c>
      <c r="T257" s="5" t="s">
        <v>2346</v>
      </c>
      <c r="U257" s="6"/>
      <c r="V257" s="6" t="s">
        <v>2347</v>
      </c>
      <c r="W257" s="6" t="s">
        <v>1697</v>
      </c>
      <c r="X257" s="5" t="s">
        <v>228</v>
      </c>
      <c r="Y257" s="5" t="s">
        <v>2170</v>
      </c>
      <c r="Z257" s="5" t="str">
        <f t="shared" si="6"/>
        <v>High</v>
      </c>
      <c r="AA257" s="5" t="s">
        <v>1302</v>
      </c>
      <c r="AB257" s="6" t="s">
        <v>1355</v>
      </c>
      <c r="AC257" s="6" t="s">
        <v>135</v>
      </c>
      <c r="AD257" s="5" t="s">
        <v>2278</v>
      </c>
      <c r="AE257" s="5" t="s">
        <v>1720</v>
      </c>
      <c r="AF257" s="5" t="s">
        <v>1720</v>
      </c>
      <c r="AG257" s="5" t="s">
        <v>1720</v>
      </c>
      <c r="AH257" s="5" t="s">
        <v>1720</v>
      </c>
      <c r="AI257" s="6" t="str">
        <f t="shared" si="7"/>
        <v>No</v>
      </c>
      <c r="AJ257" s="6" t="s">
        <v>2298</v>
      </c>
      <c r="AK257" s="6" t="s">
        <v>162</v>
      </c>
      <c r="AL257" s="6">
        <f>MATCH(AA257,{"Low","Medium","High"},0)*MATCH(AB257,{"Low","Medium","High"},0)*INDEX({3,2,2,1,1},MATCH(X257,{"Core","Vertical extension","Differentiator","Future","Adjacent"},0))</f>
        <v>9</v>
      </c>
      <c r="AM257" s="5"/>
      <c r="AN257" s="5"/>
      <c r="AO257" s="5"/>
      <c r="AP257" s="5"/>
      <c r="AQ257" s="5"/>
      <c r="AR257" s="5"/>
      <c r="AS257" s="5"/>
      <c r="AT257" s="5"/>
      <c r="AU257" s="6" t="s">
        <v>2317</v>
      </c>
      <c r="AV257" s="6" t="s">
        <v>3968</v>
      </c>
      <c r="AW257" s="6" t="s">
        <v>3968</v>
      </c>
      <c r="AX257" s="6" t="s">
        <v>2284</v>
      </c>
      <c r="AY257" s="6" t="s">
        <v>2285</v>
      </c>
      <c r="AZ257" s="6"/>
      <c r="BA257" s="6"/>
      <c r="BB257" s="6"/>
      <c r="BC257" s="6" t="s">
        <v>127</v>
      </c>
      <c r="BD257" s="6" t="s">
        <v>127</v>
      </c>
      <c r="BE257" s="6" t="s">
        <v>1477</v>
      </c>
      <c r="BF257" s="6" t="s">
        <v>2286</v>
      </c>
      <c r="BG257" s="6" t="s">
        <v>4428</v>
      </c>
      <c r="BH257" s="6" t="s">
        <v>4429</v>
      </c>
    </row>
    <row r="258" spans="1:60" ht="32" customHeight="1" x14ac:dyDescent="0.35">
      <c r="A258" s="13" t="s">
        <v>4430</v>
      </c>
      <c r="B258" s="6" t="s">
        <v>3901</v>
      </c>
      <c r="C258" s="5" t="s">
        <v>1652</v>
      </c>
      <c r="D258" s="5" t="s">
        <v>2187</v>
      </c>
      <c r="E258" s="5" t="s">
        <v>4431</v>
      </c>
      <c r="F258" s="5" t="s">
        <v>4432</v>
      </c>
      <c r="G258" s="5" t="s">
        <v>2983</v>
      </c>
      <c r="H258" s="5" t="s">
        <v>4433</v>
      </c>
      <c r="I258" s="5" t="s">
        <v>4434</v>
      </c>
      <c r="J258" s="17" t="s">
        <v>162</v>
      </c>
      <c r="K258" s="17" t="s">
        <v>1477</v>
      </c>
      <c r="L258" s="5" t="s">
        <v>4435</v>
      </c>
      <c r="M258" s="6" t="s">
        <v>1493</v>
      </c>
      <c r="N258" s="6" t="s">
        <v>2170</v>
      </c>
      <c r="O258" s="6" t="s">
        <v>162</v>
      </c>
      <c r="P258" s="5" t="s">
        <v>2272</v>
      </c>
      <c r="Q258" s="18" t="s">
        <v>1482</v>
      </c>
      <c r="R258" s="5" t="s">
        <v>4436</v>
      </c>
      <c r="S258" s="6" t="s">
        <v>2345</v>
      </c>
      <c r="T258" s="5" t="s">
        <v>2346</v>
      </c>
      <c r="U258" s="6"/>
      <c r="V258" s="6" t="s">
        <v>2347</v>
      </c>
      <c r="W258" s="6" t="s">
        <v>1697</v>
      </c>
      <c r="X258" s="5" t="s">
        <v>228</v>
      </c>
      <c r="Y258" s="5" t="s">
        <v>2170</v>
      </c>
      <c r="Z258" s="5" t="str">
        <f t="shared" ref="Z258:Z321" si="8">IF(AL258&gt;=18,"Critical",IF(AL258&gt;=9,"High",IF(AL258&gt;=4,"Medium","Low")))</f>
        <v>High</v>
      </c>
      <c r="AA258" s="5" t="s">
        <v>1302</v>
      </c>
      <c r="AB258" s="6" t="s">
        <v>1355</v>
      </c>
      <c r="AC258" s="6" t="s">
        <v>135</v>
      </c>
      <c r="AD258" s="5" t="s">
        <v>2278</v>
      </c>
      <c r="AE258" s="5" t="s">
        <v>1720</v>
      </c>
      <c r="AF258" s="5" t="s">
        <v>1720</v>
      </c>
      <c r="AG258" s="5" t="s">
        <v>1720</v>
      </c>
      <c r="AH258" s="5" t="s">
        <v>1720</v>
      </c>
      <c r="AI258" s="6" t="str">
        <f t="shared" ref="AI258:AI321" si="9">IF(AND(AU258="Pass",AE258&lt;&gt;"Not verified",AF258&lt;&gt;"Not verified",AG258&lt;&gt;"Not verified",AH258&lt;&gt;"Not verified",BC258="Yes",BD258="Yes"),"Yes","No")</f>
        <v>No</v>
      </c>
      <c r="AJ258" s="6" t="s">
        <v>2298</v>
      </c>
      <c r="AK258" s="6" t="s">
        <v>162</v>
      </c>
      <c r="AL258" s="6">
        <f>MATCH(AA258,{"Low","Medium","High"},0)*MATCH(AB258,{"Low","Medium","High"},0)*INDEX({3,2,2,1,1},MATCH(X258,{"Core","Vertical extension","Differentiator","Future","Adjacent"},0))</f>
        <v>9</v>
      </c>
      <c r="AM258" s="5"/>
      <c r="AN258" s="5"/>
      <c r="AO258" s="5"/>
      <c r="AP258" s="5"/>
      <c r="AQ258" s="5"/>
      <c r="AR258" s="5"/>
      <c r="AS258" s="5"/>
      <c r="AT258" s="5"/>
      <c r="AU258" s="6" t="s">
        <v>2317</v>
      </c>
      <c r="AV258" s="6" t="s">
        <v>3968</v>
      </c>
      <c r="AW258" s="6" t="s">
        <v>3968</v>
      </c>
      <c r="AX258" s="6" t="s">
        <v>2284</v>
      </c>
      <c r="AY258" s="6" t="s">
        <v>2285</v>
      </c>
      <c r="AZ258" s="6"/>
      <c r="BA258" s="6" t="s">
        <v>2473</v>
      </c>
      <c r="BB258" s="6" t="s">
        <v>2474</v>
      </c>
      <c r="BC258" s="6" t="s">
        <v>127</v>
      </c>
      <c r="BD258" s="6" t="s">
        <v>127</v>
      </c>
      <c r="BE258" s="6"/>
      <c r="BF258" s="6"/>
      <c r="BG258" s="6"/>
      <c r="BH258" s="6"/>
    </row>
    <row r="259" spans="1:60" ht="32" customHeight="1" x14ac:dyDescent="0.35">
      <c r="A259" s="13" t="s">
        <v>4437</v>
      </c>
      <c r="B259" s="6" t="s">
        <v>3901</v>
      </c>
      <c r="C259" s="5" t="s">
        <v>1652</v>
      </c>
      <c r="D259" s="5" t="s">
        <v>2197</v>
      </c>
      <c r="E259" s="5" t="s">
        <v>4438</v>
      </c>
      <c r="F259" s="5" t="s">
        <v>4439</v>
      </c>
      <c r="G259" s="5" t="s">
        <v>4440</v>
      </c>
      <c r="H259" s="5" t="s">
        <v>4441</v>
      </c>
      <c r="I259" s="5" t="s">
        <v>4442</v>
      </c>
      <c r="J259" s="17" t="s">
        <v>162</v>
      </c>
      <c r="K259" s="17" t="s">
        <v>163</v>
      </c>
      <c r="L259" s="5" t="s">
        <v>4443</v>
      </c>
      <c r="M259" s="6" t="s">
        <v>1493</v>
      </c>
      <c r="N259" s="6" t="s">
        <v>2170</v>
      </c>
      <c r="O259" s="6" t="s">
        <v>162</v>
      </c>
      <c r="P259" s="5" t="s">
        <v>2272</v>
      </c>
      <c r="Q259" s="17" t="s">
        <v>163</v>
      </c>
      <c r="R259" s="5" t="s">
        <v>4444</v>
      </c>
      <c r="S259" s="6" t="s">
        <v>2861</v>
      </c>
      <c r="T259" s="5" t="s">
        <v>2862</v>
      </c>
      <c r="U259" s="6"/>
      <c r="V259" s="6" t="s">
        <v>2347</v>
      </c>
      <c r="W259" s="6" t="s">
        <v>1697</v>
      </c>
      <c r="X259" s="5" t="s">
        <v>228</v>
      </c>
      <c r="Y259" s="5" t="s">
        <v>2170</v>
      </c>
      <c r="Z259" s="5" t="str">
        <f t="shared" si="8"/>
        <v>Medium</v>
      </c>
      <c r="AA259" s="5" t="s">
        <v>1319</v>
      </c>
      <c r="AB259" s="6" t="s">
        <v>1355</v>
      </c>
      <c r="AC259" s="6" t="s">
        <v>135</v>
      </c>
      <c r="AD259" s="5" t="s">
        <v>1805</v>
      </c>
      <c r="AE259" s="5" t="s">
        <v>1720</v>
      </c>
      <c r="AF259" s="5" t="s">
        <v>1720</v>
      </c>
      <c r="AG259" s="5" t="s">
        <v>1720</v>
      </c>
      <c r="AH259" s="5" t="s">
        <v>1720</v>
      </c>
      <c r="AI259" s="6" t="str">
        <f t="shared" si="9"/>
        <v>No</v>
      </c>
      <c r="AJ259" s="6" t="s">
        <v>287</v>
      </c>
      <c r="AK259" s="6" t="s">
        <v>162</v>
      </c>
      <c r="AL259" s="6">
        <f>MATCH(AA259,{"Low","Medium","High"},0)*MATCH(AB259,{"Low","Medium","High"},0)*INDEX({3,2,2,1,1},MATCH(X259,{"Core","Vertical extension","Differentiator","Future","Adjacent"},0))</f>
        <v>6</v>
      </c>
      <c r="AM259" s="5"/>
      <c r="AN259" s="5"/>
      <c r="AO259" s="5"/>
      <c r="AP259" s="5"/>
      <c r="AQ259" s="5"/>
      <c r="AR259" s="5"/>
      <c r="AS259" s="5"/>
      <c r="AT259" s="5"/>
      <c r="AU259" s="6" t="s">
        <v>2317</v>
      </c>
      <c r="AV259" s="6" t="s">
        <v>2784</v>
      </c>
      <c r="AW259" s="6" t="s">
        <v>2784</v>
      </c>
      <c r="AX259" s="6" t="s">
        <v>2284</v>
      </c>
      <c r="AY259" s="6" t="s">
        <v>2285</v>
      </c>
      <c r="AZ259" s="6"/>
      <c r="BA259" s="6"/>
      <c r="BB259" s="6"/>
      <c r="BC259" s="6" t="s">
        <v>127</v>
      </c>
      <c r="BD259" s="6" t="s">
        <v>127</v>
      </c>
      <c r="BE259" s="6" t="s">
        <v>1477</v>
      </c>
      <c r="BF259" s="6" t="s">
        <v>288</v>
      </c>
      <c r="BG259" s="6" t="s">
        <v>4445</v>
      </c>
      <c r="BH259" s="6" t="s">
        <v>4446</v>
      </c>
    </row>
    <row r="260" spans="1:60" ht="32" customHeight="1" x14ac:dyDescent="0.35">
      <c r="A260" s="13" t="s">
        <v>4447</v>
      </c>
      <c r="B260" s="6" t="s">
        <v>3901</v>
      </c>
      <c r="C260" s="5" t="s">
        <v>1652</v>
      </c>
      <c r="D260" s="5" t="s">
        <v>2197</v>
      </c>
      <c r="E260" s="5" t="s">
        <v>4448</v>
      </c>
      <c r="F260" s="5" t="s">
        <v>4440</v>
      </c>
      <c r="G260" s="5" t="s">
        <v>4439</v>
      </c>
      <c r="H260" s="5" t="s">
        <v>4449</v>
      </c>
      <c r="I260" s="5" t="s">
        <v>4450</v>
      </c>
      <c r="J260" s="17" t="s">
        <v>162</v>
      </c>
      <c r="K260" s="17" t="s">
        <v>163</v>
      </c>
      <c r="L260" s="5" t="s">
        <v>4451</v>
      </c>
      <c r="M260" s="6" t="s">
        <v>1493</v>
      </c>
      <c r="N260" s="6" t="s">
        <v>2170</v>
      </c>
      <c r="O260" s="6" t="s">
        <v>162</v>
      </c>
      <c r="P260" s="5" t="s">
        <v>2272</v>
      </c>
      <c r="Q260" s="17" t="s">
        <v>163</v>
      </c>
      <c r="R260" s="5" t="s">
        <v>4452</v>
      </c>
      <c r="S260" s="6" t="s">
        <v>2861</v>
      </c>
      <c r="T260" s="5" t="s">
        <v>2862</v>
      </c>
      <c r="U260" s="6"/>
      <c r="V260" s="6" t="s">
        <v>2347</v>
      </c>
      <c r="W260" s="6" t="s">
        <v>1697</v>
      </c>
      <c r="X260" s="5" t="s">
        <v>228</v>
      </c>
      <c r="Y260" s="5" t="s">
        <v>2170</v>
      </c>
      <c r="Z260" s="5" t="str">
        <f t="shared" si="8"/>
        <v>Medium</v>
      </c>
      <c r="AA260" s="5" t="s">
        <v>1319</v>
      </c>
      <c r="AB260" s="6" t="s">
        <v>1355</v>
      </c>
      <c r="AC260" s="6" t="s">
        <v>135</v>
      </c>
      <c r="AD260" s="5" t="s">
        <v>1805</v>
      </c>
      <c r="AE260" s="5" t="s">
        <v>1720</v>
      </c>
      <c r="AF260" s="5" t="s">
        <v>1720</v>
      </c>
      <c r="AG260" s="5" t="s">
        <v>1720</v>
      </c>
      <c r="AH260" s="5" t="s">
        <v>1720</v>
      </c>
      <c r="AI260" s="6" t="str">
        <f t="shared" si="9"/>
        <v>No</v>
      </c>
      <c r="AJ260" s="6" t="s">
        <v>287</v>
      </c>
      <c r="AK260" s="6" t="s">
        <v>162</v>
      </c>
      <c r="AL260" s="6">
        <f>MATCH(AA260,{"Low","Medium","High"},0)*MATCH(AB260,{"Low","Medium","High"},0)*INDEX({3,2,2,1,1},MATCH(X260,{"Core","Vertical extension","Differentiator","Future","Adjacent"},0))</f>
        <v>6</v>
      </c>
      <c r="AM260" s="5"/>
      <c r="AN260" s="5"/>
      <c r="AO260" s="5"/>
      <c r="AP260" s="5"/>
      <c r="AQ260" s="5"/>
      <c r="AR260" s="5"/>
      <c r="AS260" s="5"/>
      <c r="AT260" s="5"/>
      <c r="AU260" s="6" t="s">
        <v>2317</v>
      </c>
      <c r="AV260" s="6" t="s">
        <v>2784</v>
      </c>
      <c r="AW260" s="6" t="s">
        <v>2784</v>
      </c>
      <c r="AX260" s="6" t="s">
        <v>2284</v>
      </c>
      <c r="AY260" s="6" t="s">
        <v>2285</v>
      </c>
      <c r="AZ260" s="6"/>
      <c r="BA260" s="6"/>
      <c r="BB260" s="6"/>
      <c r="BC260" s="6" t="s">
        <v>127</v>
      </c>
      <c r="BD260" s="6" t="s">
        <v>127</v>
      </c>
      <c r="BE260" s="6" t="s">
        <v>1477</v>
      </c>
      <c r="BF260" s="6" t="s">
        <v>288</v>
      </c>
      <c r="BG260" s="6" t="s">
        <v>4453</v>
      </c>
      <c r="BH260" s="6" t="s">
        <v>4454</v>
      </c>
    </row>
    <row r="261" spans="1:60" ht="32" customHeight="1" x14ac:dyDescent="0.35">
      <c r="A261" s="13" t="s">
        <v>4455</v>
      </c>
      <c r="B261" s="6" t="s">
        <v>3901</v>
      </c>
      <c r="C261" s="5" t="s">
        <v>1652</v>
      </c>
      <c r="D261" s="5" t="s">
        <v>2197</v>
      </c>
      <c r="E261" s="5" t="s">
        <v>4456</v>
      </c>
      <c r="F261" s="5" t="s">
        <v>2911</v>
      </c>
      <c r="G261" s="5" t="s">
        <v>2788</v>
      </c>
      <c r="H261" s="5" t="s">
        <v>4457</v>
      </c>
      <c r="I261" s="5" t="s">
        <v>4458</v>
      </c>
      <c r="J261" s="17" t="s">
        <v>162</v>
      </c>
      <c r="K261" s="17" t="s">
        <v>163</v>
      </c>
      <c r="L261" s="5" t="s">
        <v>4459</v>
      </c>
      <c r="M261" s="6" t="s">
        <v>1493</v>
      </c>
      <c r="N261" s="6" t="s">
        <v>2170</v>
      </c>
      <c r="O261" s="6" t="s">
        <v>162</v>
      </c>
      <c r="P261" s="5" t="s">
        <v>2272</v>
      </c>
      <c r="Q261" s="17" t="s">
        <v>163</v>
      </c>
      <c r="R261" s="5" t="s">
        <v>4460</v>
      </c>
      <c r="S261" s="6" t="s">
        <v>2861</v>
      </c>
      <c r="T261" s="5" t="s">
        <v>2862</v>
      </c>
      <c r="U261" s="6"/>
      <c r="V261" s="6" t="s">
        <v>2347</v>
      </c>
      <c r="W261" s="6" t="s">
        <v>1697</v>
      </c>
      <c r="X261" s="5" t="s">
        <v>228</v>
      </c>
      <c r="Y261" s="5" t="s">
        <v>2170</v>
      </c>
      <c r="Z261" s="5" t="str">
        <f t="shared" si="8"/>
        <v>Medium</v>
      </c>
      <c r="AA261" s="5" t="s">
        <v>1319</v>
      </c>
      <c r="AB261" s="6" t="s">
        <v>1355</v>
      </c>
      <c r="AC261" s="6" t="s">
        <v>135</v>
      </c>
      <c r="AD261" s="5" t="s">
        <v>1805</v>
      </c>
      <c r="AE261" s="5" t="s">
        <v>1720</v>
      </c>
      <c r="AF261" s="5" t="s">
        <v>1720</v>
      </c>
      <c r="AG261" s="5" t="s">
        <v>1720</v>
      </c>
      <c r="AH261" s="5" t="s">
        <v>1720</v>
      </c>
      <c r="AI261" s="6" t="str">
        <f t="shared" si="9"/>
        <v>No</v>
      </c>
      <c r="AJ261" s="6" t="s">
        <v>287</v>
      </c>
      <c r="AK261" s="6" t="s">
        <v>162</v>
      </c>
      <c r="AL261" s="6">
        <f>MATCH(AA261,{"Low","Medium","High"},0)*MATCH(AB261,{"Low","Medium","High"},0)*INDEX({3,2,2,1,1},MATCH(X261,{"Core","Vertical extension","Differentiator","Future","Adjacent"},0))</f>
        <v>6</v>
      </c>
      <c r="AM261" s="5"/>
      <c r="AN261" s="5"/>
      <c r="AO261" s="5"/>
      <c r="AP261" s="5"/>
      <c r="AQ261" s="5"/>
      <c r="AR261" s="5"/>
      <c r="AS261" s="5"/>
      <c r="AT261" s="5"/>
      <c r="AU261" s="6" t="s">
        <v>2317</v>
      </c>
      <c r="AV261" s="6" t="s">
        <v>2784</v>
      </c>
      <c r="AW261" s="6" t="s">
        <v>2784</v>
      </c>
      <c r="AX261" s="6" t="s">
        <v>2284</v>
      </c>
      <c r="AY261" s="6" t="s">
        <v>2285</v>
      </c>
      <c r="AZ261" s="6"/>
      <c r="BA261" s="6"/>
      <c r="BB261" s="6"/>
      <c r="BC261" s="6" t="s">
        <v>127</v>
      </c>
      <c r="BD261" s="6" t="s">
        <v>127</v>
      </c>
      <c r="BE261" s="6" t="s">
        <v>1477</v>
      </c>
      <c r="BF261" s="6" t="s">
        <v>288</v>
      </c>
      <c r="BG261" s="6" t="s">
        <v>4461</v>
      </c>
      <c r="BH261" s="6" t="s">
        <v>4462</v>
      </c>
    </row>
    <row r="262" spans="1:60" ht="32" customHeight="1" x14ac:dyDescent="0.35">
      <c r="A262" s="13" t="s">
        <v>4463</v>
      </c>
      <c r="B262" s="6" t="s">
        <v>3901</v>
      </c>
      <c r="C262" s="5" t="s">
        <v>1652</v>
      </c>
      <c r="D262" s="5" t="s">
        <v>2197</v>
      </c>
      <c r="E262" s="5" t="s">
        <v>4464</v>
      </c>
      <c r="F262" s="5" t="s">
        <v>2911</v>
      </c>
      <c r="G262" s="5" t="s">
        <v>3734</v>
      </c>
      <c r="H262" s="5" t="s">
        <v>4465</v>
      </c>
      <c r="I262" s="5" t="s">
        <v>4466</v>
      </c>
      <c r="J262" s="17" t="s">
        <v>162</v>
      </c>
      <c r="K262" s="17" t="s">
        <v>1477</v>
      </c>
      <c r="L262" s="5" t="s">
        <v>4467</v>
      </c>
      <c r="M262" s="6" t="s">
        <v>1493</v>
      </c>
      <c r="N262" s="6" t="s">
        <v>2170</v>
      </c>
      <c r="O262" s="6" t="s">
        <v>162</v>
      </c>
      <c r="P262" s="5" t="s">
        <v>2272</v>
      </c>
      <c r="Q262" s="18" t="s">
        <v>1482</v>
      </c>
      <c r="R262" s="5" t="s">
        <v>2860</v>
      </c>
      <c r="S262" s="6" t="s">
        <v>2861</v>
      </c>
      <c r="T262" s="5" t="s">
        <v>2862</v>
      </c>
      <c r="U262" s="6"/>
      <c r="V262" s="6" t="s">
        <v>2347</v>
      </c>
      <c r="W262" s="6" t="s">
        <v>1697</v>
      </c>
      <c r="X262" s="5" t="s">
        <v>228</v>
      </c>
      <c r="Y262" s="5" t="s">
        <v>2170</v>
      </c>
      <c r="Z262" s="5" t="str">
        <f t="shared" si="8"/>
        <v>Medium</v>
      </c>
      <c r="AA262" s="5" t="s">
        <v>1319</v>
      </c>
      <c r="AB262" s="6" t="s">
        <v>1355</v>
      </c>
      <c r="AC262" s="6" t="s">
        <v>135</v>
      </c>
      <c r="AD262" s="5" t="s">
        <v>2278</v>
      </c>
      <c r="AE262" s="5" t="s">
        <v>1720</v>
      </c>
      <c r="AF262" s="5" t="s">
        <v>1720</v>
      </c>
      <c r="AG262" s="5" t="s">
        <v>1720</v>
      </c>
      <c r="AH262" s="5" t="s">
        <v>1720</v>
      </c>
      <c r="AI262" s="6" t="str">
        <f t="shared" si="9"/>
        <v>No</v>
      </c>
      <c r="AJ262" s="6" t="s">
        <v>2298</v>
      </c>
      <c r="AK262" s="6" t="s">
        <v>162</v>
      </c>
      <c r="AL262" s="6">
        <f>MATCH(AA262,{"Low","Medium","High"},0)*MATCH(AB262,{"Low","Medium","High"},0)*INDEX({3,2,2,1,1},MATCH(X262,{"Core","Vertical extension","Differentiator","Future","Adjacent"},0))</f>
        <v>6</v>
      </c>
      <c r="AM262" s="5"/>
      <c r="AN262" s="5"/>
      <c r="AO262" s="5"/>
      <c r="AP262" s="5"/>
      <c r="AQ262" s="5"/>
      <c r="AR262" s="5"/>
      <c r="AS262" s="5"/>
      <c r="AT262" s="5"/>
      <c r="AU262" s="6" t="s">
        <v>2317</v>
      </c>
      <c r="AV262" s="6" t="s">
        <v>2784</v>
      </c>
      <c r="AW262" s="6" t="s">
        <v>2784</v>
      </c>
      <c r="AX262" s="6" t="s">
        <v>2284</v>
      </c>
      <c r="AY262" s="6" t="s">
        <v>2285</v>
      </c>
      <c r="AZ262" s="6"/>
      <c r="BA262" s="6" t="s">
        <v>2863</v>
      </c>
      <c r="BB262" s="6" t="s">
        <v>2864</v>
      </c>
      <c r="BC262" s="6" t="s">
        <v>127</v>
      </c>
      <c r="BD262" s="6" t="s">
        <v>127</v>
      </c>
      <c r="BE262" s="6"/>
      <c r="BF262" s="6"/>
      <c r="BG262" s="6"/>
      <c r="BH262" s="6"/>
    </row>
    <row r="263" spans="1:60" ht="32" customHeight="1" x14ac:dyDescent="0.35">
      <c r="A263" s="13" t="s">
        <v>4468</v>
      </c>
      <c r="B263" s="6" t="s">
        <v>3901</v>
      </c>
      <c r="C263" s="5" t="s">
        <v>1652</v>
      </c>
      <c r="D263" s="5" t="s">
        <v>2197</v>
      </c>
      <c r="E263" s="5" t="s">
        <v>4469</v>
      </c>
      <c r="F263" s="5" t="s">
        <v>4470</v>
      </c>
      <c r="G263" s="5" t="s">
        <v>3734</v>
      </c>
      <c r="H263" s="5" t="s">
        <v>4471</v>
      </c>
      <c r="I263" s="5" t="s">
        <v>4472</v>
      </c>
      <c r="J263" s="17" t="s">
        <v>162</v>
      </c>
      <c r="K263" s="17" t="s">
        <v>1477</v>
      </c>
      <c r="L263" s="5" t="s">
        <v>4473</v>
      </c>
      <c r="M263" s="6" t="s">
        <v>1493</v>
      </c>
      <c r="N263" s="6" t="s">
        <v>2170</v>
      </c>
      <c r="O263" s="6" t="s">
        <v>162</v>
      </c>
      <c r="P263" s="5" t="s">
        <v>2272</v>
      </c>
      <c r="Q263" s="18" t="s">
        <v>1482</v>
      </c>
      <c r="R263" s="5" t="s">
        <v>2860</v>
      </c>
      <c r="S263" s="6" t="s">
        <v>2861</v>
      </c>
      <c r="T263" s="5" t="s">
        <v>2862</v>
      </c>
      <c r="U263" s="6"/>
      <c r="V263" s="6" t="s">
        <v>2347</v>
      </c>
      <c r="W263" s="6" t="s">
        <v>1697</v>
      </c>
      <c r="X263" s="5" t="s">
        <v>228</v>
      </c>
      <c r="Y263" s="5" t="s">
        <v>2170</v>
      </c>
      <c r="Z263" s="5" t="str">
        <f t="shared" si="8"/>
        <v>Medium</v>
      </c>
      <c r="AA263" s="5" t="s">
        <v>1319</v>
      </c>
      <c r="AB263" s="6" t="s">
        <v>1355</v>
      </c>
      <c r="AC263" s="6" t="s">
        <v>135</v>
      </c>
      <c r="AD263" s="5" t="s">
        <v>2278</v>
      </c>
      <c r="AE263" s="5" t="s">
        <v>1720</v>
      </c>
      <c r="AF263" s="5" t="s">
        <v>1720</v>
      </c>
      <c r="AG263" s="5" t="s">
        <v>1720</v>
      </c>
      <c r="AH263" s="5" t="s">
        <v>1720</v>
      </c>
      <c r="AI263" s="6" t="str">
        <f t="shared" si="9"/>
        <v>No</v>
      </c>
      <c r="AJ263" s="6" t="s">
        <v>2298</v>
      </c>
      <c r="AK263" s="6" t="s">
        <v>162</v>
      </c>
      <c r="AL263" s="6">
        <f>MATCH(AA263,{"Low","Medium","High"},0)*MATCH(AB263,{"Low","Medium","High"},0)*INDEX({3,2,2,1,1},MATCH(X263,{"Core","Vertical extension","Differentiator","Future","Adjacent"},0))</f>
        <v>6</v>
      </c>
      <c r="AM263" s="5"/>
      <c r="AN263" s="5"/>
      <c r="AO263" s="5"/>
      <c r="AP263" s="5"/>
      <c r="AQ263" s="5"/>
      <c r="AR263" s="5"/>
      <c r="AS263" s="5"/>
      <c r="AT263" s="5"/>
      <c r="AU263" s="6" t="s">
        <v>2317</v>
      </c>
      <c r="AV263" s="6" t="s">
        <v>2784</v>
      </c>
      <c r="AW263" s="6" t="s">
        <v>2784</v>
      </c>
      <c r="AX263" s="6" t="s">
        <v>2284</v>
      </c>
      <c r="AY263" s="6" t="s">
        <v>2285</v>
      </c>
      <c r="AZ263" s="6"/>
      <c r="BA263" s="6" t="s">
        <v>2863</v>
      </c>
      <c r="BB263" s="6" t="s">
        <v>2864</v>
      </c>
      <c r="BC263" s="6" t="s">
        <v>127</v>
      </c>
      <c r="BD263" s="6" t="s">
        <v>127</v>
      </c>
      <c r="BE263" s="6"/>
      <c r="BF263" s="6"/>
      <c r="BG263" s="6"/>
      <c r="BH263" s="6"/>
    </row>
    <row r="264" spans="1:60" ht="32" customHeight="1" x14ac:dyDescent="0.35">
      <c r="A264" s="13" t="s">
        <v>4474</v>
      </c>
      <c r="B264" s="6" t="s">
        <v>3901</v>
      </c>
      <c r="C264" s="5" t="s">
        <v>1652</v>
      </c>
      <c r="D264" s="5" t="s">
        <v>2197</v>
      </c>
      <c r="E264" s="5" t="s">
        <v>4475</v>
      </c>
      <c r="F264" s="5" t="s">
        <v>4126</v>
      </c>
      <c r="G264" s="5" t="s">
        <v>4476</v>
      </c>
      <c r="H264" s="5" t="s">
        <v>4477</v>
      </c>
      <c r="I264" s="5" t="s">
        <v>4478</v>
      </c>
      <c r="J264" s="17" t="s">
        <v>162</v>
      </c>
      <c r="K264" s="17" t="s">
        <v>1477</v>
      </c>
      <c r="L264" s="5" t="s">
        <v>4479</v>
      </c>
      <c r="M264" s="6" t="s">
        <v>1493</v>
      </c>
      <c r="N264" s="6" t="s">
        <v>2170</v>
      </c>
      <c r="O264" s="6" t="s">
        <v>162</v>
      </c>
      <c r="P264" s="5" t="s">
        <v>2272</v>
      </c>
      <c r="Q264" s="17" t="s">
        <v>2273</v>
      </c>
      <c r="R264" s="5" t="s">
        <v>4480</v>
      </c>
      <c r="S264" s="6" t="s">
        <v>2861</v>
      </c>
      <c r="T264" s="5" t="s">
        <v>2862</v>
      </c>
      <c r="U264" s="6"/>
      <c r="V264" s="6" t="s">
        <v>2347</v>
      </c>
      <c r="W264" s="6" t="s">
        <v>1697</v>
      </c>
      <c r="X264" s="5" t="s">
        <v>228</v>
      </c>
      <c r="Y264" s="5" t="s">
        <v>2170</v>
      </c>
      <c r="Z264" s="5" t="str">
        <f t="shared" si="8"/>
        <v>Medium</v>
      </c>
      <c r="AA264" s="5" t="s">
        <v>1319</v>
      </c>
      <c r="AB264" s="6" t="s">
        <v>1355</v>
      </c>
      <c r="AC264" s="6" t="s">
        <v>135</v>
      </c>
      <c r="AD264" s="5" t="s">
        <v>2278</v>
      </c>
      <c r="AE264" s="5" t="s">
        <v>1720</v>
      </c>
      <c r="AF264" s="5" t="s">
        <v>1720</v>
      </c>
      <c r="AG264" s="5" t="s">
        <v>1720</v>
      </c>
      <c r="AH264" s="5" t="s">
        <v>1720</v>
      </c>
      <c r="AI264" s="6" t="str">
        <f t="shared" si="9"/>
        <v>No</v>
      </c>
      <c r="AJ264" s="6" t="s">
        <v>2298</v>
      </c>
      <c r="AK264" s="6" t="s">
        <v>162</v>
      </c>
      <c r="AL264" s="6">
        <f>MATCH(AA264,{"Low","Medium","High"},0)*MATCH(AB264,{"Low","Medium","High"},0)*INDEX({3,2,2,1,1},MATCH(X264,{"Core","Vertical extension","Differentiator","Future","Adjacent"},0))</f>
        <v>6</v>
      </c>
      <c r="AM264" s="5"/>
      <c r="AN264" s="5"/>
      <c r="AO264" s="5"/>
      <c r="AP264" s="5"/>
      <c r="AQ264" s="5"/>
      <c r="AR264" s="5"/>
      <c r="AS264" s="5"/>
      <c r="AT264" s="5"/>
      <c r="AU264" s="6" t="s">
        <v>2317</v>
      </c>
      <c r="AV264" s="6" t="s">
        <v>3968</v>
      </c>
      <c r="AW264" s="6" t="s">
        <v>3968</v>
      </c>
      <c r="AX264" s="6" t="s">
        <v>2284</v>
      </c>
      <c r="AY264" s="6" t="s">
        <v>2285</v>
      </c>
      <c r="AZ264" s="6"/>
      <c r="BA264" s="6" t="s">
        <v>2473</v>
      </c>
      <c r="BB264" s="6" t="s">
        <v>2474</v>
      </c>
      <c r="BC264" s="6" t="s">
        <v>127</v>
      </c>
      <c r="BD264" s="6" t="s">
        <v>127</v>
      </c>
      <c r="BE264" s="6" t="s">
        <v>1477</v>
      </c>
      <c r="BF264" s="6" t="s">
        <v>2286</v>
      </c>
      <c r="BG264" s="6" t="s">
        <v>4481</v>
      </c>
      <c r="BH264" s="6" t="s">
        <v>4482</v>
      </c>
    </row>
    <row r="265" spans="1:60" ht="32" customHeight="1" x14ac:dyDescent="0.35">
      <c r="A265" s="13" t="s">
        <v>4483</v>
      </c>
      <c r="B265" s="6" t="s">
        <v>3901</v>
      </c>
      <c r="C265" s="5" t="s">
        <v>1652</v>
      </c>
      <c r="D265" s="5" t="s">
        <v>2197</v>
      </c>
      <c r="E265" s="5" t="s">
        <v>4484</v>
      </c>
      <c r="F265" s="5" t="s">
        <v>4126</v>
      </c>
      <c r="G265" s="5" t="s">
        <v>4439</v>
      </c>
      <c r="H265" s="5" t="s">
        <v>4485</v>
      </c>
      <c r="I265" s="5" t="s">
        <v>4486</v>
      </c>
      <c r="J265" s="17" t="s">
        <v>162</v>
      </c>
      <c r="K265" s="17" t="s">
        <v>95</v>
      </c>
      <c r="L265" s="5" t="s">
        <v>4487</v>
      </c>
      <c r="M265" s="6" t="s">
        <v>1493</v>
      </c>
      <c r="N265" s="6" t="s">
        <v>2170</v>
      </c>
      <c r="O265" s="6" t="s">
        <v>162</v>
      </c>
      <c r="P265" s="5" t="s">
        <v>2272</v>
      </c>
      <c r="Q265" s="17" t="s">
        <v>95</v>
      </c>
      <c r="R265" s="5" t="s">
        <v>4488</v>
      </c>
      <c r="S265" s="6" t="s">
        <v>2861</v>
      </c>
      <c r="T265" s="5" t="s">
        <v>2862</v>
      </c>
      <c r="U265" s="6"/>
      <c r="V265" s="6" t="s">
        <v>2347</v>
      </c>
      <c r="W265" s="6" t="s">
        <v>1697</v>
      </c>
      <c r="X265" s="5" t="s">
        <v>228</v>
      </c>
      <c r="Y265" s="5" t="s">
        <v>2170</v>
      </c>
      <c r="Z265" s="5" t="str">
        <f t="shared" si="8"/>
        <v>Medium</v>
      </c>
      <c r="AA265" s="5" t="s">
        <v>1319</v>
      </c>
      <c r="AB265" s="6" t="s">
        <v>1355</v>
      </c>
      <c r="AC265" s="6" t="s">
        <v>135</v>
      </c>
      <c r="AD265" s="5" t="s">
        <v>95</v>
      </c>
      <c r="AE265" s="5" t="s">
        <v>1720</v>
      </c>
      <c r="AF265" s="5" t="s">
        <v>1720</v>
      </c>
      <c r="AG265" s="5" t="s">
        <v>1720</v>
      </c>
      <c r="AH265" s="5" t="s">
        <v>1720</v>
      </c>
      <c r="AI265" s="6" t="str">
        <f t="shared" si="9"/>
        <v>No</v>
      </c>
      <c r="AJ265" s="6" t="s">
        <v>229</v>
      </c>
      <c r="AK265" s="6" t="s">
        <v>162</v>
      </c>
      <c r="AL265" s="6">
        <f>MATCH(AA265,{"Low","Medium","High"},0)*MATCH(AB265,{"Low","Medium","High"},0)*INDEX({3,2,2,1,1},MATCH(X265,{"Core","Vertical extension","Differentiator","Future","Adjacent"},0))</f>
        <v>6</v>
      </c>
      <c r="AM265" s="5"/>
      <c r="AN265" s="5"/>
      <c r="AO265" s="5"/>
      <c r="AP265" s="5"/>
      <c r="AQ265" s="5"/>
      <c r="AR265" s="5"/>
      <c r="AS265" s="5"/>
      <c r="AT265" s="5"/>
      <c r="AU265" s="6" t="s">
        <v>2317</v>
      </c>
      <c r="AV265" s="6" t="s">
        <v>3968</v>
      </c>
      <c r="AW265" s="6" t="s">
        <v>3968</v>
      </c>
      <c r="AX265" s="6" t="s">
        <v>2284</v>
      </c>
      <c r="AY265" s="6" t="s">
        <v>2285</v>
      </c>
      <c r="AZ265" s="6"/>
      <c r="BA265" s="6" t="s">
        <v>2473</v>
      </c>
      <c r="BB265" s="6" t="s">
        <v>2474</v>
      </c>
      <c r="BC265" s="6" t="s">
        <v>127</v>
      </c>
      <c r="BD265" s="6" t="s">
        <v>127</v>
      </c>
      <c r="BE265" s="6" t="s">
        <v>1477</v>
      </c>
      <c r="BF265" s="6" t="s">
        <v>95</v>
      </c>
      <c r="BG265" s="6" t="s">
        <v>4489</v>
      </c>
      <c r="BH265" s="6" t="s">
        <v>4490</v>
      </c>
    </row>
    <row r="266" spans="1:60" ht="32" customHeight="1" x14ac:dyDescent="0.35">
      <c r="A266" s="13" t="s">
        <v>4491</v>
      </c>
      <c r="B266" s="6" t="s">
        <v>3901</v>
      </c>
      <c r="C266" s="5" t="s">
        <v>1652</v>
      </c>
      <c r="D266" s="5" t="s">
        <v>2197</v>
      </c>
      <c r="E266" s="5" t="s">
        <v>4492</v>
      </c>
      <c r="F266" s="5" t="s">
        <v>4470</v>
      </c>
      <c r="G266" s="5" t="s">
        <v>3036</v>
      </c>
      <c r="H266" s="5" t="s">
        <v>4493</v>
      </c>
      <c r="I266" s="5" t="s">
        <v>4494</v>
      </c>
      <c r="J266" s="17" t="s">
        <v>162</v>
      </c>
      <c r="K266" s="17" t="s">
        <v>1477</v>
      </c>
      <c r="L266" s="5" t="s">
        <v>4495</v>
      </c>
      <c r="M266" s="6" t="s">
        <v>1493</v>
      </c>
      <c r="N266" s="6" t="s">
        <v>2170</v>
      </c>
      <c r="O266" s="6" t="s">
        <v>162</v>
      </c>
      <c r="P266" s="5" t="s">
        <v>2272</v>
      </c>
      <c r="Q266" s="18" t="s">
        <v>1482</v>
      </c>
      <c r="R266" s="5" t="s">
        <v>2860</v>
      </c>
      <c r="S266" s="6" t="s">
        <v>2861</v>
      </c>
      <c r="T266" s="5" t="s">
        <v>2862</v>
      </c>
      <c r="U266" s="6"/>
      <c r="V266" s="6" t="s">
        <v>2347</v>
      </c>
      <c r="W266" s="6" t="s">
        <v>1697</v>
      </c>
      <c r="X266" s="5" t="s">
        <v>228</v>
      </c>
      <c r="Y266" s="5" t="s">
        <v>2170</v>
      </c>
      <c r="Z266" s="5" t="str">
        <f t="shared" si="8"/>
        <v>Medium</v>
      </c>
      <c r="AA266" s="5" t="s">
        <v>1319</v>
      </c>
      <c r="AB266" s="6" t="s">
        <v>1355</v>
      </c>
      <c r="AC266" s="6" t="s">
        <v>135</v>
      </c>
      <c r="AD266" s="5" t="s">
        <v>2278</v>
      </c>
      <c r="AE266" s="5" t="s">
        <v>1720</v>
      </c>
      <c r="AF266" s="5" t="s">
        <v>1720</v>
      </c>
      <c r="AG266" s="5" t="s">
        <v>1720</v>
      </c>
      <c r="AH266" s="5" t="s">
        <v>1720</v>
      </c>
      <c r="AI266" s="6" t="str">
        <f t="shared" si="9"/>
        <v>No</v>
      </c>
      <c r="AJ266" s="6" t="s">
        <v>2298</v>
      </c>
      <c r="AK266" s="6" t="s">
        <v>162</v>
      </c>
      <c r="AL266" s="6">
        <f>MATCH(AA266,{"Low","Medium","High"},0)*MATCH(AB266,{"Low","Medium","High"},0)*INDEX({3,2,2,1,1},MATCH(X266,{"Core","Vertical extension","Differentiator","Future","Adjacent"},0))</f>
        <v>6</v>
      </c>
      <c r="AM266" s="5"/>
      <c r="AN266" s="5"/>
      <c r="AO266" s="5"/>
      <c r="AP266" s="5"/>
      <c r="AQ266" s="5"/>
      <c r="AR266" s="5"/>
      <c r="AS266" s="5"/>
      <c r="AT266" s="5"/>
      <c r="AU266" s="6" t="s">
        <v>2317</v>
      </c>
      <c r="AV266" s="6" t="s">
        <v>2784</v>
      </c>
      <c r="AW266" s="6" t="s">
        <v>2784</v>
      </c>
      <c r="AX266" s="6" t="s">
        <v>2284</v>
      </c>
      <c r="AY266" s="6" t="s">
        <v>2285</v>
      </c>
      <c r="AZ266" s="6"/>
      <c r="BA266" s="6" t="s">
        <v>2863</v>
      </c>
      <c r="BB266" s="6" t="s">
        <v>2864</v>
      </c>
      <c r="BC266" s="6" t="s">
        <v>127</v>
      </c>
      <c r="BD266" s="6" t="s">
        <v>127</v>
      </c>
      <c r="BE266" s="6"/>
      <c r="BF266" s="6"/>
      <c r="BG266" s="6"/>
      <c r="BH266" s="6"/>
    </row>
    <row r="267" spans="1:60" ht="32" customHeight="1" x14ac:dyDescent="0.35">
      <c r="A267" s="13" t="s">
        <v>4496</v>
      </c>
      <c r="B267" s="6" t="s">
        <v>3901</v>
      </c>
      <c r="C267" s="5" t="s">
        <v>1652</v>
      </c>
      <c r="D267" s="5" t="s">
        <v>2197</v>
      </c>
      <c r="E267" s="5" t="s">
        <v>4497</v>
      </c>
      <c r="F267" s="5" t="s">
        <v>4470</v>
      </c>
      <c r="G267" s="5" t="s">
        <v>4498</v>
      </c>
      <c r="H267" s="5" t="s">
        <v>4499</v>
      </c>
      <c r="I267" s="5" t="s">
        <v>4500</v>
      </c>
      <c r="J267" s="17" t="s">
        <v>162</v>
      </c>
      <c r="K267" s="17" t="s">
        <v>163</v>
      </c>
      <c r="L267" s="5" t="s">
        <v>4501</v>
      </c>
      <c r="M267" s="6" t="s">
        <v>1493</v>
      </c>
      <c r="N267" s="6" t="s">
        <v>2170</v>
      </c>
      <c r="O267" s="6" t="s">
        <v>162</v>
      </c>
      <c r="P267" s="5" t="s">
        <v>2272</v>
      </c>
      <c r="Q267" s="17" t="s">
        <v>163</v>
      </c>
      <c r="R267" s="5" t="s">
        <v>4502</v>
      </c>
      <c r="S267" s="6" t="s">
        <v>2861</v>
      </c>
      <c r="T267" s="5" t="s">
        <v>2862</v>
      </c>
      <c r="U267" s="6"/>
      <c r="V267" s="6" t="s">
        <v>2347</v>
      </c>
      <c r="W267" s="6" t="s">
        <v>1697</v>
      </c>
      <c r="X267" s="5" t="s">
        <v>228</v>
      </c>
      <c r="Y267" s="5" t="s">
        <v>2170</v>
      </c>
      <c r="Z267" s="5" t="str">
        <f t="shared" si="8"/>
        <v>Medium</v>
      </c>
      <c r="AA267" s="5" t="s">
        <v>1319</v>
      </c>
      <c r="AB267" s="6" t="s">
        <v>1355</v>
      </c>
      <c r="AC267" s="6" t="s">
        <v>135</v>
      </c>
      <c r="AD267" s="5" t="s">
        <v>1805</v>
      </c>
      <c r="AE267" s="5" t="s">
        <v>1720</v>
      </c>
      <c r="AF267" s="5" t="s">
        <v>1720</v>
      </c>
      <c r="AG267" s="5" t="s">
        <v>1720</v>
      </c>
      <c r="AH267" s="5" t="s">
        <v>1720</v>
      </c>
      <c r="AI267" s="6" t="str">
        <f t="shared" si="9"/>
        <v>No</v>
      </c>
      <c r="AJ267" s="6" t="s">
        <v>287</v>
      </c>
      <c r="AK267" s="6" t="s">
        <v>162</v>
      </c>
      <c r="AL267" s="6">
        <f>MATCH(AA267,{"Low","Medium","High"},0)*MATCH(AB267,{"Low","Medium","High"},0)*INDEX({3,2,2,1,1},MATCH(X267,{"Core","Vertical extension","Differentiator","Future","Adjacent"},0))</f>
        <v>6</v>
      </c>
      <c r="AM267" s="5"/>
      <c r="AN267" s="5"/>
      <c r="AO267" s="5"/>
      <c r="AP267" s="5"/>
      <c r="AQ267" s="5"/>
      <c r="AR267" s="5"/>
      <c r="AS267" s="5"/>
      <c r="AT267" s="5"/>
      <c r="AU267" s="6" t="s">
        <v>2317</v>
      </c>
      <c r="AV267" s="6" t="s">
        <v>2784</v>
      </c>
      <c r="AW267" s="6" t="s">
        <v>2784</v>
      </c>
      <c r="AX267" s="6" t="s">
        <v>2284</v>
      </c>
      <c r="AY267" s="6" t="s">
        <v>2285</v>
      </c>
      <c r="AZ267" s="6"/>
      <c r="BA267" s="6"/>
      <c r="BB267" s="6"/>
      <c r="BC267" s="6" t="s">
        <v>127</v>
      </c>
      <c r="BD267" s="6" t="s">
        <v>127</v>
      </c>
      <c r="BE267" s="6" t="s">
        <v>1477</v>
      </c>
      <c r="BF267" s="6" t="s">
        <v>288</v>
      </c>
      <c r="BG267" s="6" t="s">
        <v>4503</v>
      </c>
      <c r="BH267" s="6" t="s">
        <v>4504</v>
      </c>
    </row>
    <row r="268" spans="1:60" ht="32" customHeight="1" x14ac:dyDescent="0.35">
      <c r="A268" s="13" t="s">
        <v>4505</v>
      </c>
      <c r="B268" s="6" t="s">
        <v>3901</v>
      </c>
      <c r="C268" s="5" t="s">
        <v>1652</v>
      </c>
      <c r="D268" s="5" t="s">
        <v>2197</v>
      </c>
      <c r="E268" s="5" t="s">
        <v>4506</v>
      </c>
      <c r="F268" s="5" t="s">
        <v>3036</v>
      </c>
      <c r="G268" s="5" t="s">
        <v>3579</v>
      </c>
      <c r="H268" s="5" t="s">
        <v>4507</v>
      </c>
      <c r="I268" s="5" t="s">
        <v>4508</v>
      </c>
      <c r="J268" s="17" t="s">
        <v>162</v>
      </c>
      <c r="K268" s="17" t="s">
        <v>1477</v>
      </c>
      <c r="L268" s="5" t="s">
        <v>4509</v>
      </c>
      <c r="M268" s="6" t="s">
        <v>1493</v>
      </c>
      <c r="N268" s="6" t="s">
        <v>2170</v>
      </c>
      <c r="O268" s="6" t="s">
        <v>162</v>
      </c>
      <c r="P268" s="5" t="s">
        <v>2369</v>
      </c>
      <c r="Q268" s="18" t="s">
        <v>1482</v>
      </c>
      <c r="R268" s="5" t="s">
        <v>4510</v>
      </c>
      <c r="S268" s="6" t="s">
        <v>2861</v>
      </c>
      <c r="T268" s="5" t="s">
        <v>2862</v>
      </c>
      <c r="U268" s="6"/>
      <c r="V268" s="6" t="s">
        <v>2347</v>
      </c>
      <c r="W268" s="6" t="s">
        <v>1697</v>
      </c>
      <c r="X268" s="5" t="s">
        <v>228</v>
      </c>
      <c r="Y268" s="5" t="s">
        <v>2170</v>
      </c>
      <c r="Z268" s="5" t="str">
        <f t="shared" si="8"/>
        <v>Medium</v>
      </c>
      <c r="AA268" s="5" t="s">
        <v>1319</v>
      </c>
      <c r="AB268" s="6" t="s">
        <v>1355</v>
      </c>
      <c r="AC268" s="6" t="s">
        <v>135</v>
      </c>
      <c r="AD268" s="5" t="s">
        <v>2278</v>
      </c>
      <c r="AE268" s="5" t="s">
        <v>1720</v>
      </c>
      <c r="AF268" s="5" t="s">
        <v>1720</v>
      </c>
      <c r="AG268" s="5" t="s">
        <v>1720</v>
      </c>
      <c r="AH268" s="5" t="s">
        <v>1720</v>
      </c>
      <c r="AI268" s="6" t="str">
        <f t="shared" si="9"/>
        <v>No</v>
      </c>
      <c r="AJ268" s="6" t="s">
        <v>2298</v>
      </c>
      <c r="AK268" s="6" t="s">
        <v>162</v>
      </c>
      <c r="AL268" s="6">
        <f>MATCH(AA268,{"Low","Medium","High"},0)*MATCH(AB268,{"Low","Medium","High"},0)*INDEX({3,2,2,1,1},MATCH(X268,{"Core","Vertical extension","Differentiator","Future","Adjacent"},0))</f>
        <v>6</v>
      </c>
      <c r="AM268" s="5"/>
      <c r="AN268" s="5"/>
      <c r="AO268" s="5"/>
      <c r="AP268" s="5"/>
      <c r="AQ268" s="5"/>
      <c r="AR268" s="5"/>
      <c r="AS268" s="5"/>
      <c r="AT268" s="5"/>
      <c r="AU268" s="6" t="s">
        <v>2317</v>
      </c>
      <c r="AV268" s="6" t="s">
        <v>2794</v>
      </c>
      <c r="AW268" s="6" t="s">
        <v>2794</v>
      </c>
      <c r="AX268" s="6" t="s">
        <v>2374</v>
      </c>
      <c r="AY268" s="6" t="s">
        <v>2285</v>
      </c>
      <c r="AZ268" s="6"/>
      <c r="BA268" s="6" t="s">
        <v>2863</v>
      </c>
      <c r="BB268" s="6" t="s">
        <v>2864</v>
      </c>
      <c r="BC268" s="6" t="s">
        <v>127</v>
      </c>
      <c r="BD268" s="6" t="s">
        <v>127</v>
      </c>
      <c r="BE268" s="6"/>
      <c r="BF268" s="6"/>
      <c r="BG268" s="6"/>
      <c r="BH268" s="6"/>
    </row>
    <row r="269" spans="1:60" ht="32" customHeight="1" x14ac:dyDescent="0.35">
      <c r="A269" s="13" t="s">
        <v>4511</v>
      </c>
      <c r="B269" s="6" t="s">
        <v>3901</v>
      </c>
      <c r="C269" s="5" t="s">
        <v>1652</v>
      </c>
      <c r="D269" s="5" t="s">
        <v>2197</v>
      </c>
      <c r="E269" s="5" t="s">
        <v>4512</v>
      </c>
      <c r="F269" s="5" t="s">
        <v>2189</v>
      </c>
      <c r="G269" s="5" t="s">
        <v>2813</v>
      </c>
      <c r="H269" s="5" t="s">
        <v>4513</v>
      </c>
      <c r="I269" s="5" t="s">
        <v>4514</v>
      </c>
      <c r="J269" s="17" t="s">
        <v>162</v>
      </c>
      <c r="K269" s="17" t="s">
        <v>1477</v>
      </c>
      <c r="L269" s="5" t="s">
        <v>4515</v>
      </c>
      <c r="M269" s="6" t="s">
        <v>1493</v>
      </c>
      <c r="N269" s="6" t="s">
        <v>2170</v>
      </c>
      <c r="O269" s="6" t="s">
        <v>162</v>
      </c>
      <c r="P269" s="5" t="s">
        <v>2272</v>
      </c>
      <c r="Q269" s="17" t="s">
        <v>2273</v>
      </c>
      <c r="R269" s="5" t="s">
        <v>4516</v>
      </c>
      <c r="S269" s="6" t="s">
        <v>2861</v>
      </c>
      <c r="T269" s="5" t="s">
        <v>2862</v>
      </c>
      <c r="U269" s="6"/>
      <c r="V269" s="6" t="s">
        <v>2347</v>
      </c>
      <c r="W269" s="6" t="s">
        <v>1697</v>
      </c>
      <c r="X269" s="5" t="s">
        <v>228</v>
      </c>
      <c r="Y269" s="5" t="s">
        <v>2170</v>
      </c>
      <c r="Z269" s="5" t="str">
        <f t="shared" si="8"/>
        <v>Medium</v>
      </c>
      <c r="AA269" s="5" t="s">
        <v>1319</v>
      </c>
      <c r="AB269" s="6" t="s">
        <v>1355</v>
      </c>
      <c r="AC269" s="6" t="s">
        <v>135</v>
      </c>
      <c r="AD269" s="5" t="s">
        <v>2278</v>
      </c>
      <c r="AE269" s="5" t="s">
        <v>1720</v>
      </c>
      <c r="AF269" s="5" t="s">
        <v>1720</v>
      </c>
      <c r="AG269" s="5" t="s">
        <v>1720</v>
      </c>
      <c r="AH269" s="5" t="s">
        <v>1720</v>
      </c>
      <c r="AI269" s="6" t="str">
        <f t="shared" si="9"/>
        <v>No</v>
      </c>
      <c r="AJ269" s="6" t="s">
        <v>2298</v>
      </c>
      <c r="AK269" s="6" t="s">
        <v>162</v>
      </c>
      <c r="AL269" s="6">
        <f>MATCH(AA269,{"Low","Medium","High"},0)*MATCH(AB269,{"Low","Medium","High"},0)*INDEX({3,2,2,1,1},MATCH(X269,{"Core","Vertical extension","Differentiator","Future","Adjacent"},0))</f>
        <v>6</v>
      </c>
      <c r="AM269" s="5"/>
      <c r="AN269" s="5"/>
      <c r="AO269" s="5"/>
      <c r="AP269" s="5"/>
      <c r="AQ269" s="5"/>
      <c r="AR269" s="5"/>
      <c r="AS269" s="5"/>
      <c r="AT269" s="5"/>
      <c r="AU269" s="6" t="s">
        <v>2317</v>
      </c>
      <c r="AV269" s="6" t="s">
        <v>3968</v>
      </c>
      <c r="AW269" s="6" t="s">
        <v>3968</v>
      </c>
      <c r="AX269" s="6" t="s">
        <v>2284</v>
      </c>
      <c r="AY269" s="6" t="s">
        <v>2285</v>
      </c>
      <c r="AZ269" s="6"/>
      <c r="BA269" s="6"/>
      <c r="BB269" s="6"/>
      <c r="BC269" s="6" t="s">
        <v>127</v>
      </c>
      <c r="BD269" s="6" t="s">
        <v>127</v>
      </c>
      <c r="BE269" s="6" t="s">
        <v>1477</v>
      </c>
      <c r="BF269" s="6" t="s">
        <v>2286</v>
      </c>
      <c r="BG269" s="6" t="s">
        <v>3125</v>
      </c>
      <c r="BH269" s="6" t="s">
        <v>4517</v>
      </c>
    </row>
    <row r="270" spans="1:60" ht="32" customHeight="1" x14ac:dyDescent="0.35">
      <c r="A270" s="13" t="s">
        <v>4518</v>
      </c>
      <c r="B270" s="6" t="s">
        <v>3901</v>
      </c>
      <c r="C270" s="5" t="s">
        <v>1652</v>
      </c>
      <c r="D270" s="5" t="s">
        <v>2197</v>
      </c>
      <c r="E270" s="5" t="s">
        <v>4519</v>
      </c>
      <c r="F270" s="5" t="s">
        <v>2189</v>
      </c>
      <c r="G270" s="5" t="s">
        <v>2813</v>
      </c>
      <c r="H270" s="5" t="s">
        <v>4520</v>
      </c>
      <c r="I270" s="5" t="s">
        <v>4521</v>
      </c>
      <c r="J270" s="17" t="s">
        <v>162</v>
      </c>
      <c r="K270" s="17" t="s">
        <v>1477</v>
      </c>
      <c r="L270" s="5" t="s">
        <v>4522</v>
      </c>
      <c r="M270" s="6" t="s">
        <v>1493</v>
      </c>
      <c r="N270" s="6" t="s">
        <v>2170</v>
      </c>
      <c r="O270" s="6" t="s">
        <v>162</v>
      </c>
      <c r="P270" s="5" t="s">
        <v>2272</v>
      </c>
      <c r="Q270" s="17" t="s">
        <v>2273</v>
      </c>
      <c r="R270" s="5" t="s">
        <v>4523</v>
      </c>
      <c r="S270" s="6" t="s">
        <v>2861</v>
      </c>
      <c r="T270" s="5" t="s">
        <v>2862</v>
      </c>
      <c r="U270" s="6"/>
      <c r="V270" s="6" t="s">
        <v>2347</v>
      </c>
      <c r="W270" s="6" t="s">
        <v>1697</v>
      </c>
      <c r="X270" s="5" t="s">
        <v>228</v>
      </c>
      <c r="Y270" s="5" t="s">
        <v>2170</v>
      </c>
      <c r="Z270" s="5" t="str">
        <f t="shared" si="8"/>
        <v>Medium</v>
      </c>
      <c r="AA270" s="5" t="s">
        <v>1319</v>
      </c>
      <c r="AB270" s="6" t="s">
        <v>1355</v>
      </c>
      <c r="AC270" s="6" t="s">
        <v>135</v>
      </c>
      <c r="AD270" s="5" t="s">
        <v>2278</v>
      </c>
      <c r="AE270" s="5" t="s">
        <v>1720</v>
      </c>
      <c r="AF270" s="5" t="s">
        <v>1720</v>
      </c>
      <c r="AG270" s="5" t="s">
        <v>1720</v>
      </c>
      <c r="AH270" s="5" t="s">
        <v>1720</v>
      </c>
      <c r="AI270" s="6" t="str">
        <f t="shared" si="9"/>
        <v>No</v>
      </c>
      <c r="AJ270" s="6" t="s">
        <v>2298</v>
      </c>
      <c r="AK270" s="6" t="s">
        <v>162</v>
      </c>
      <c r="AL270" s="6">
        <f>MATCH(AA270,{"Low","Medium","High"},0)*MATCH(AB270,{"Low","Medium","High"},0)*INDEX({3,2,2,1,1},MATCH(X270,{"Core","Vertical extension","Differentiator","Future","Adjacent"},0))</f>
        <v>6</v>
      </c>
      <c r="AM270" s="5"/>
      <c r="AN270" s="5"/>
      <c r="AO270" s="5"/>
      <c r="AP270" s="5"/>
      <c r="AQ270" s="5"/>
      <c r="AR270" s="5"/>
      <c r="AS270" s="5"/>
      <c r="AT270" s="5"/>
      <c r="AU270" s="6" t="s">
        <v>2317</v>
      </c>
      <c r="AV270" s="6" t="s">
        <v>3968</v>
      </c>
      <c r="AW270" s="6" t="s">
        <v>3968</v>
      </c>
      <c r="AX270" s="6" t="s">
        <v>2284</v>
      </c>
      <c r="AY270" s="6" t="s">
        <v>2285</v>
      </c>
      <c r="AZ270" s="6"/>
      <c r="BA270" s="6"/>
      <c r="BB270" s="6"/>
      <c r="BC270" s="6" t="s">
        <v>127</v>
      </c>
      <c r="BD270" s="6" t="s">
        <v>127</v>
      </c>
      <c r="BE270" s="6" t="s">
        <v>1477</v>
      </c>
      <c r="BF270" s="6" t="s">
        <v>2286</v>
      </c>
      <c r="BG270" s="6" t="s">
        <v>4524</v>
      </c>
      <c r="BH270" s="6" t="s">
        <v>4525</v>
      </c>
    </row>
    <row r="271" spans="1:60" ht="32" customHeight="1" x14ac:dyDescent="0.35">
      <c r="A271" s="13" t="s">
        <v>4526</v>
      </c>
      <c r="B271" s="6" t="s">
        <v>3901</v>
      </c>
      <c r="C271" s="5" t="s">
        <v>1652</v>
      </c>
      <c r="D271" s="5" t="s">
        <v>2197</v>
      </c>
      <c r="E271" s="5" t="s">
        <v>4527</v>
      </c>
      <c r="F271" s="5" t="s">
        <v>2189</v>
      </c>
      <c r="G271" s="5" t="s">
        <v>2813</v>
      </c>
      <c r="H271" s="5" t="s">
        <v>4528</v>
      </c>
      <c r="I271" s="5" t="s">
        <v>4529</v>
      </c>
      <c r="J271" s="17" t="s">
        <v>162</v>
      </c>
      <c r="K271" s="17" t="s">
        <v>95</v>
      </c>
      <c r="L271" s="5" t="s">
        <v>3047</v>
      </c>
      <c r="M271" s="6" t="s">
        <v>1493</v>
      </c>
      <c r="N271" s="6" t="s">
        <v>2170</v>
      </c>
      <c r="O271" s="6" t="s">
        <v>162</v>
      </c>
      <c r="P271" s="5" t="s">
        <v>2272</v>
      </c>
      <c r="Q271" s="17" t="s">
        <v>95</v>
      </c>
      <c r="R271" s="5" t="s">
        <v>4530</v>
      </c>
      <c r="S271" s="6" t="s">
        <v>2861</v>
      </c>
      <c r="T271" s="5" t="s">
        <v>2862</v>
      </c>
      <c r="U271" s="6"/>
      <c r="V271" s="6" t="s">
        <v>2347</v>
      </c>
      <c r="W271" s="6" t="s">
        <v>1697</v>
      </c>
      <c r="X271" s="5" t="s">
        <v>228</v>
      </c>
      <c r="Y271" s="5" t="s">
        <v>2170</v>
      </c>
      <c r="Z271" s="5" t="str">
        <f t="shared" si="8"/>
        <v>Medium</v>
      </c>
      <c r="AA271" s="5" t="s">
        <v>1319</v>
      </c>
      <c r="AB271" s="6" t="s">
        <v>1355</v>
      </c>
      <c r="AC271" s="6" t="s">
        <v>135</v>
      </c>
      <c r="AD271" s="5" t="s">
        <v>95</v>
      </c>
      <c r="AE271" s="5" t="s">
        <v>1720</v>
      </c>
      <c r="AF271" s="5" t="s">
        <v>1720</v>
      </c>
      <c r="AG271" s="5" t="s">
        <v>1720</v>
      </c>
      <c r="AH271" s="5" t="s">
        <v>1720</v>
      </c>
      <c r="AI271" s="6" t="str">
        <f t="shared" si="9"/>
        <v>No</v>
      </c>
      <c r="AJ271" s="6" t="s">
        <v>229</v>
      </c>
      <c r="AK271" s="6" t="s">
        <v>162</v>
      </c>
      <c r="AL271" s="6">
        <f>MATCH(AA271,{"Low","Medium","High"},0)*MATCH(AB271,{"Low","Medium","High"},0)*INDEX({3,2,2,1,1},MATCH(X271,{"Core","Vertical extension","Differentiator","Future","Adjacent"},0))</f>
        <v>6</v>
      </c>
      <c r="AM271" s="5"/>
      <c r="AN271" s="5"/>
      <c r="AO271" s="5"/>
      <c r="AP271" s="5"/>
      <c r="AQ271" s="5"/>
      <c r="AR271" s="5"/>
      <c r="AS271" s="5"/>
      <c r="AT271" s="5"/>
      <c r="AU271" s="6" t="s">
        <v>2317</v>
      </c>
      <c r="AV271" s="6" t="s">
        <v>3968</v>
      </c>
      <c r="AW271" s="6" t="s">
        <v>3968</v>
      </c>
      <c r="AX271" s="6" t="s">
        <v>2284</v>
      </c>
      <c r="AY271" s="6" t="s">
        <v>2285</v>
      </c>
      <c r="AZ271" s="6"/>
      <c r="BA271" s="6"/>
      <c r="BB271" s="6"/>
      <c r="BC271" s="6" t="s">
        <v>127</v>
      </c>
      <c r="BD271" s="6" t="s">
        <v>127</v>
      </c>
      <c r="BE271" s="6" t="s">
        <v>1477</v>
      </c>
      <c r="BF271" s="6" t="s">
        <v>95</v>
      </c>
      <c r="BG271" s="6" t="s">
        <v>4531</v>
      </c>
      <c r="BH271" s="6" t="s">
        <v>4532</v>
      </c>
    </row>
    <row r="272" spans="1:60" ht="32" customHeight="1" x14ac:dyDescent="0.35">
      <c r="A272" s="13" t="s">
        <v>4533</v>
      </c>
      <c r="B272" s="6" t="s">
        <v>3901</v>
      </c>
      <c r="C272" s="5" t="s">
        <v>1652</v>
      </c>
      <c r="D272" s="5" t="s">
        <v>2197</v>
      </c>
      <c r="E272" s="5" t="s">
        <v>4534</v>
      </c>
      <c r="F272" s="5" t="s">
        <v>2189</v>
      </c>
      <c r="G272" s="5" t="s">
        <v>2813</v>
      </c>
      <c r="H272" s="5" t="s">
        <v>4535</v>
      </c>
      <c r="I272" s="5" t="s">
        <v>4536</v>
      </c>
      <c r="J272" s="17" t="s">
        <v>162</v>
      </c>
      <c r="K272" s="17" t="s">
        <v>95</v>
      </c>
      <c r="L272" s="5" t="s">
        <v>4537</v>
      </c>
      <c r="M272" s="6" t="s">
        <v>1493</v>
      </c>
      <c r="N272" s="6" t="s">
        <v>2170</v>
      </c>
      <c r="O272" s="6" t="s">
        <v>162</v>
      </c>
      <c r="P272" s="5" t="s">
        <v>2272</v>
      </c>
      <c r="Q272" s="17" t="s">
        <v>95</v>
      </c>
      <c r="R272" s="5" t="s">
        <v>4538</v>
      </c>
      <c r="S272" s="6" t="s">
        <v>2861</v>
      </c>
      <c r="T272" s="5" t="s">
        <v>2862</v>
      </c>
      <c r="U272" s="6"/>
      <c r="V272" s="6" t="s">
        <v>2347</v>
      </c>
      <c r="W272" s="6" t="s">
        <v>1697</v>
      </c>
      <c r="X272" s="5" t="s">
        <v>228</v>
      </c>
      <c r="Y272" s="5" t="s">
        <v>2170</v>
      </c>
      <c r="Z272" s="5" t="str">
        <f t="shared" si="8"/>
        <v>Medium</v>
      </c>
      <c r="AA272" s="5" t="s">
        <v>1319</v>
      </c>
      <c r="AB272" s="6" t="s">
        <v>1355</v>
      </c>
      <c r="AC272" s="6" t="s">
        <v>135</v>
      </c>
      <c r="AD272" s="5" t="s">
        <v>95</v>
      </c>
      <c r="AE272" s="5" t="s">
        <v>1720</v>
      </c>
      <c r="AF272" s="5" t="s">
        <v>1720</v>
      </c>
      <c r="AG272" s="5" t="s">
        <v>1720</v>
      </c>
      <c r="AH272" s="5" t="s">
        <v>1720</v>
      </c>
      <c r="AI272" s="6" t="str">
        <f t="shared" si="9"/>
        <v>No</v>
      </c>
      <c r="AJ272" s="6" t="s">
        <v>229</v>
      </c>
      <c r="AK272" s="6" t="s">
        <v>162</v>
      </c>
      <c r="AL272" s="6">
        <f>MATCH(AA272,{"Low","Medium","High"},0)*MATCH(AB272,{"Low","Medium","High"},0)*INDEX({3,2,2,1,1},MATCH(X272,{"Core","Vertical extension","Differentiator","Future","Adjacent"},0))</f>
        <v>6</v>
      </c>
      <c r="AM272" s="5"/>
      <c r="AN272" s="5"/>
      <c r="AO272" s="5"/>
      <c r="AP272" s="5"/>
      <c r="AQ272" s="5"/>
      <c r="AR272" s="5"/>
      <c r="AS272" s="5"/>
      <c r="AT272" s="5"/>
      <c r="AU272" s="6" t="s">
        <v>2317</v>
      </c>
      <c r="AV272" s="6" t="s">
        <v>3968</v>
      </c>
      <c r="AW272" s="6" t="s">
        <v>3968</v>
      </c>
      <c r="AX272" s="6" t="s">
        <v>2284</v>
      </c>
      <c r="AY272" s="6" t="s">
        <v>2285</v>
      </c>
      <c r="AZ272" s="6"/>
      <c r="BA272" s="6"/>
      <c r="BB272" s="6"/>
      <c r="BC272" s="6" t="s">
        <v>127</v>
      </c>
      <c r="BD272" s="6" t="s">
        <v>127</v>
      </c>
      <c r="BE272" s="6" t="s">
        <v>1477</v>
      </c>
      <c r="BF272" s="6" t="s">
        <v>95</v>
      </c>
      <c r="BG272" s="6" t="s">
        <v>4539</v>
      </c>
      <c r="BH272" s="6" t="s">
        <v>4540</v>
      </c>
    </row>
    <row r="273" spans="1:60" ht="32" customHeight="1" x14ac:dyDescent="0.35">
      <c r="A273" s="13" t="s">
        <v>4541</v>
      </c>
      <c r="B273" s="6" t="s">
        <v>3901</v>
      </c>
      <c r="C273" s="5" t="s">
        <v>1652</v>
      </c>
      <c r="D273" s="5" t="s">
        <v>2197</v>
      </c>
      <c r="E273" s="5" t="s">
        <v>4542</v>
      </c>
      <c r="F273" s="5" t="s">
        <v>2189</v>
      </c>
      <c r="G273" s="5" t="s">
        <v>2813</v>
      </c>
      <c r="H273" s="5" t="s">
        <v>4543</v>
      </c>
      <c r="I273" s="5" t="s">
        <v>4544</v>
      </c>
      <c r="J273" s="17" t="s">
        <v>162</v>
      </c>
      <c r="K273" s="17" t="s">
        <v>95</v>
      </c>
      <c r="L273" s="5" t="s">
        <v>4545</v>
      </c>
      <c r="M273" s="6" t="s">
        <v>1493</v>
      </c>
      <c r="N273" s="6" t="s">
        <v>2170</v>
      </c>
      <c r="O273" s="6" t="s">
        <v>162</v>
      </c>
      <c r="P273" s="5" t="s">
        <v>2272</v>
      </c>
      <c r="Q273" s="17" t="s">
        <v>95</v>
      </c>
      <c r="R273" s="5" t="s">
        <v>4546</v>
      </c>
      <c r="S273" s="6" t="s">
        <v>2861</v>
      </c>
      <c r="T273" s="5" t="s">
        <v>2862</v>
      </c>
      <c r="U273" s="6"/>
      <c r="V273" s="6" t="s">
        <v>2347</v>
      </c>
      <c r="W273" s="6" t="s">
        <v>1697</v>
      </c>
      <c r="X273" s="5" t="s">
        <v>228</v>
      </c>
      <c r="Y273" s="5" t="s">
        <v>2170</v>
      </c>
      <c r="Z273" s="5" t="str">
        <f t="shared" si="8"/>
        <v>Medium</v>
      </c>
      <c r="AA273" s="5" t="s">
        <v>1319</v>
      </c>
      <c r="AB273" s="6" t="s">
        <v>1355</v>
      </c>
      <c r="AC273" s="6" t="s">
        <v>135</v>
      </c>
      <c r="AD273" s="5" t="s">
        <v>95</v>
      </c>
      <c r="AE273" s="5" t="s">
        <v>1720</v>
      </c>
      <c r="AF273" s="5" t="s">
        <v>1720</v>
      </c>
      <c r="AG273" s="5" t="s">
        <v>1720</v>
      </c>
      <c r="AH273" s="5" t="s">
        <v>1720</v>
      </c>
      <c r="AI273" s="6" t="str">
        <f t="shared" si="9"/>
        <v>No</v>
      </c>
      <c r="AJ273" s="6" t="s">
        <v>229</v>
      </c>
      <c r="AK273" s="6" t="s">
        <v>162</v>
      </c>
      <c r="AL273" s="6">
        <f>MATCH(AA273,{"Low","Medium","High"},0)*MATCH(AB273,{"Low","Medium","High"},0)*INDEX({3,2,2,1,1},MATCH(X273,{"Core","Vertical extension","Differentiator","Future","Adjacent"},0))</f>
        <v>6</v>
      </c>
      <c r="AM273" s="5"/>
      <c r="AN273" s="5"/>
      <c r="AO273" s="5"/>
      <c r="AP273" s="5"/>
      <c r="AQ273" s="5"/>
      <c r="AR273" s="5"/>
      <c r="AS273" s="5"/>
      <c r="AT273" s="5"/>
      <c r="AU273" s="6" t="s">
        <v>2317</v>
      </c>
      <c r="AV273" s="6" t="s">
        <v>3968</v>
      </c>
      <c r="AW273" s="6" t="s">
        <v>3968</v>
      </c>
      <c r="AX273" s="6" t="s">
        <v>2284</v>
      </c>
      <c r="AY273" s="6" t="s">
        <v>2285</v>
      </c>
      <c r="AZ273" s="6"/>
      <c r="BA273" s="6"/>
      <c r="BB273" s="6"/>
      <c r="BC273" s="6" t="s">
        <v>127</v>
      </c>
      <c r="BD273" s="6" t="s">
        <v>127</v>
      </c>
      <c r="BE273" s="6" t="s">
        <v>1477</v>
      </c>
      <c r="BF273" s="6" t="s">
        <v>95</v>
      </c>
      <c r="BG273" s="6" t="s">
        <v>4547</v>
      </c>
      <c r="BH273" s="6" t="s">
        <v>4548</v>
      </c>
    </row>
    <row r="274" spans="1:60" ht="32" customHeight="1" x14ac:dyDescent="0.35">
      <c r="A274" s="13" t="s">
        <v>4549</v>
      </c>
      <c r="B274" s="6" t="s">
        <v>3901</v>
      </c>
      <c r="C274" s="5" t="s">
        <v>1652</v>
      </c>
      <c r="D274" s="5" t="s">
        <v>2197</v>
      </c>
      <c r="E274" s="5" t="s">
        <v>4550</v>
      </c>
      <c r="F274" s="5" t="s">
        <v>4551</v>
      </c>
      <c r="G274" s="5" t="s">
        <v>4552</v>
      </c>
      <c r="H274" s="5" t="s">
        <v>4553</v>
      </c>
      <c r="I274" s="5" t="s">
        <v>4554</v>
      </c>
      <c r="J274" s="17" t="s">
        <v>162</v>
      </c>
      <c r="K274" s="17" t="s">
        <v>1477</v>
      </c>
      <c r="L274" s="5" t="s">
        <v>4555</v>
      </c>
      <c r="M274" s="6" t="s">
        <v>1493</v>
      </c>
      <c r="N274" s="6" t="s">
        <v>2170</v>
      </c>
      <c r="O274" s="6" t="s">
        <v>162</v>
      </c>
      <c r="P274" s="5" t="s">
        <v>2272</v>
      </c>
      <c r="Q274" s="18" t="s">
        <v>1482</v>
      </c>
      <c r="R274" s="5" t="s">
        <v>2860</v>
      </c>
      <c r="S274" s="6" t="s">
        <v>2861</v>
      </c>
      <c r="T274" s="5" t="s">
        <v>2862</v>
      </c>
      <c r="U274" s="6"/>
      <c r="V274" s="6" t="s">
        <v>2347</v>
      </c>
      <c r="W274" s="6" t="s">
        <v>1697</v>
      </c>
      <c r="X274" s="5" t="s">
        <v>228</v>
      </c>
      <c r="Y274" s="5" t="s">
        <v>2170</v>
      </c>
      <c r="Z274" s="5" t="str">
        <f t="shared" si="8"/>
        <v>Medium</v>
      </c>
      <c r="AA274" s="5" t="s">
        <v>1319</v>
      </c>
      <c r="AB274" s="6" t="s">
        <v>1355</v>
      </c>
      <c r="AC274" s="6" t="s">
        <v>135</v>
      </c>
      <c r="AD274" s="5" t="s">
        <v>2278</v>
      </c>
      <c r="AE274" s="5" t="s">
        <v>1720</v>
      </c>
      <c r="AF274" s="5" t="s">
        <v>1720</v>
      </c>
      <c r="AG274" s="5" t="s">
        <v>1720</v>
      </c>
      <c r="AH274" s="5" t="s">
        <v>1720</v>
      </c>
      <c r="AI274" s="6" t="str">
        <f t="shared" si="9"/>
        <v>No</v>
      </c>
      <c r="AJ274" s="6" t="s">
        <v>2298</v>
      </c>
      <c r="AK274" s="6" t="s">
        <v>162</v>
      </c>
      <c r="AL274" s="6">
        <f>MATCH(AA274,{"Low","Medium","High"},0)*MATCH(AB274,{"Low","Medium","High"},0)*INDEX({3,2,2,1,1},MATCH(X274,{"Core","Vertical extension","Differentiator","Future","Adjacent"},0))</f>
        <v>6</v>
      </c>
      <c r="AM274" s="5"/>
      <c r="AN274" s="5"/>
      <c r="AO274" s="5"/>
      <c r="AP274" s="5"/>
      <c r="AQ274" s="5"/>
      <c r="AR274" s="5"/>
      <c r="AS274" s="5"/>
      <c r="AT274" s="5"/>
      <c r="AU274" s="6" t="s">
        <v>2317</v>
      </c>
      <c r="AV274" s="6" t="s">
        <v>2784</v>
      </c>
      <c r="AW274" s="6" t="s">
        <v>2784</v>
      </c>
      <c r="AX274" s="6" t="s">
        <v>2284</v>
      </c>
      <c r="AY274" s="6" t="s">
        <v>2285</v>
      </c>
      <c r="AZ274" s="6"/>
      <c r="BA274" s="6" t="s">
        <v>2863</v>
      </c>
      <c r="BB274" s="6" t="s">
        <v>2864</v>
      </c>
      <c r="BC274" s="6" t="s">
        <v>127</v>
      </c>
      <c r="BD274" s="6" t="s">
        <v>127</v>
      </c>
      <c r="BE274" s="6"/>
      <c r="BF274" s="6"/>
      <c r="BG274" s="6"/>
      <c r="BH274" s="6"/>
    </row>
    <row r="275" spans="1:60" ht="32" customHeight="1" x14ac:dyDescent="0.35">
      <c r="A275" s="13" t="s">
        <v>4556</v>
      </c>
      <c r="B275" s="6" t="s">
        <v>3901</v>
      </c>
      <c r="C275" s="5" t="s">
        <v>1652</v>
      </c>
      <c r="D275" s="5" t="s">
        <v>2197</v>
      </c>
      <c r="E275" s="5" t="s">
        <v>4557</v>
      </c>
      <c r="F275" s="5" t="s">
        <v>4552</v>
      </c>
      <c r="G275" s="5" t="s">
        <v>4558</v>
      </c>
      <c r="H275" s="5" t="s">
        <v>4559</v>
      </c>
      <c r="I275" s="5" t="s">
        <v>4560</v>
      </c>
      <c r="J275" s="17" t="s">
        <v>162</v>
      </c>
      <c r="K275" s="17" t="s">
        <v>95</v>
      </c>
      <c r="L275" s="5" t="s">
        <v>4561</v>
      </c>
      <c r="M275" s="6" t="s">
        <v>1493</v>
      </c>
      <c r="N275" s="6" t="s">
        <v>2170</v>
      </c>
      <c r="O275" s="6" t="s">
        <v>162</v>
      </c>
      <c r="P275" s="5" t="s">
        <v>2272</v>
      </c>
      <c r="Q275" s="17" t="s">
        <v>95</v>
      </c>
      <c r="R275" s="5" t="s">
        <v>4562</v>
      </c>
      <c r="S275" s="6" t="s">
        <v>2861</v>
      </c>
      <c r="T275" s="5" t="s">
        <v>2862</v>
      </c>
      <c r="U275" s="6"/>
      <c r="V275" s="6" t="s">
        <v>2347</v>
      </c>
      <c r="W275" s="6" t="s">
        <v>1697</v>
      </c>
      <c r="X275" s="5" t="s">
        <v>228</v>
      </c>
      <c r="Y275" s="5" t="s">
        <v>2170</v>
      </c>
      <c r="Z275" s="5" t="str">
        <f t="shared" si="8"/>
        <v>Medium</v>
      </c>
      <c r="AA275" s="5" t="s">
        <v>1319</v>
      </c>
      <c r="AB275" s="6" t="s">
        <v>1355</v>
      </c>
      <c r="AC275" s="6" t="s">
        <v>135</v>
      </c>
      <c r="AD275" s="5" t="s">
        <v>95</v>
      </c>
      <c r="AE275" s="5" t="s">
        <v>1720</v>
      </c>
      <c r="AF275" s="5" t="s">
        <v>1720</v>
      </c>
      <c r="AG275" s="5" t="s">
        <v>1720</v>
      </c>
      <c r="AH275" s="5" t="s">
        <v>1720</v>
      </c>
      <c r="AI275" s="6" t="str">
        <f t="shared" si="9"/>
        <v>No</v>
      </c>
      <c r="AJ275" s="6" t="s">
        <v>229</v>
      </c>
      <c r="AK275" s="6" t="s">
        <v>162</v>
      </c>
      <c r="AL275" s="6">
        <f>MATCH(AA275,{"Low","Medium","High"},0)*MATCH(AB275,{"Low","Medium","High"},0)*INDEX({3,2,2,1,1},MATCH(X275,{"Core","Vertical extension","Differentiator","Future","Adjacent"},0))</f>
        <v>6</v>
      </c>
      <c r="AM275" s="5"/>
      <c r="AN275" s="5"/>
      <c r="AO275" s="5"/>
      <c r="AP275" s="5"/>
      <c r="AQ275" s="5"/>
      <c r="AR275" s="5"/>
      <c r="AS275" s="5"/>
      <c r="AT275" s="5"/>
      <c r="AU275" s="6" t="s">
        <v>2317</v>
      </c>
      <c r="AV275" s="6" t="s">
        <v>2784</v>
      </c>
      <c r="AW275" s="6" t="s">
        <v>2784</v>
      </c>
      <c r="AX275" s="6" t="s">
        <v>2284</v>
      </c>
      <c r="AY275" s="6" t="s">
        <v>2285</v>
      </c>
      <c r="AZ275" s="6"/>
      <c r="BA275" s="6"/>
      <c r="BB275" s="6"/>
      <c r="BC275" s="6" t="s">
        <v>127</v>
      </c>
      <c r="BD275" s="6" t="s">
        <v>127</v>
      </c>
      <c r="BE275" s="6" t="s">
        <v>1477</v>
      </c>
      <c r="BF275" s="6" t="s">
        <v>95</v>
      </c>
      <c r="BG275" s="6" t="s">
        <v>4563</v>
      </c>
      <c r="BH275" s="6" t="s">
        <v>4564</v>
      </c>
    </row>
    <row r="276" spans="1:60" ht="32" customHeight="1" x14ac:dyDescent="0.35">
      <c r="A276" s="13" t="s">
        <v>4565</v>
      </c>
      <c r="B276" s="6" t="s">
        <v>3901</v>
      </c>
      <c r="C276" s="5" t="s">
        <v>1652</v>
      </c>
      <c r="D276" s="5" t="s">
        <v>2197</v>
      </c>
      <c r="E276" s="5" t="s">
        <v>4566</v>
      </c>
      <c r="F276" s="5" t="s">
        <v>4567</v>
      </c>
      <c r="G276" s="5" t="s">
        <v>4568</v>
      </c>
      <c r="H276" s="5" t="s">
        <v>4569</v>
      </c>
      <c r="I276" s="5" t="s">
        <v>4570</v>
      </c>
      <c r="J276" s="17" t="s">
        <v>162</v>
      </c>
      <c r="K276" s="17" t="s">
        <v>1477</v>
      </c>
      <c r="L276" s="5" t="s">
        <v>4571</v>
      </c>
      <c r="M276" s="6" t="s">
        <v>1493</v>
      </c>
      <c r="N276" s="6" t="s">
        <v>2170</v>
      </c>
      <c r="O276" s="6" t="s">
        <v>162</v>
      </c>
      <c r="P276" s="5" t="s">
        <v>2272</v>
      </c>
      <c r="Q276" s="18" t="s">
        <v>1482</v>
      </c>
      <c r="R276" s="5" t="s">
        <v>2860</v>
      </c>
      <c r="S276" s="6" t="s">
        <v>2861</v>
      </c>
      <c r="T276" s="5" t="s">
        <v>2862</v>
      </c>
      <c r="U276" s="6"/>
      <c r="V276" s="6" t="s">
        <v>2347</v>
      </c>
      <c r="W276" s="6" t="s">
        <v>1697</v>
      </c>
      <c r="X276" s="5" t="s">
        <v>228</v>
      </c>
      <c r="Y276" s="5" t="s">
        <v>2170</v>
      </c>
      <c r="Z276" s="5" t="str">
        <f t="shared" si="8"/>
        <v>Medium</v>
      </c>
      <c r="AA276" s="5" t="s">
        <v>1319</v>
      </c>
      <c r="AB276" s="6" t="s">
        <v>1355</v>
      </c>
      <c r="AC276" s="6" t="s">
        <v>135</v>
      </c>
      <c r="AD276" s="5" t="s">
        <v>2278</v>
      </c>
      <c r="AE276" s="5" t="s">
        <v>1720</v>
      </c>
      <c r="AF276" s="5" t="s">
        <v>1720</v>
      </c>
      <c r="AG276" s="5" t="s">
        <v>1720</v>
      </c>
      <c r="AH276" s="5" t="s">
        <v>1720</v>
      </c>
      <c r="AI276" s="6" t="str">
        <f t="shared" si="9"/>
        <v>No</v>
      </c>
      <c r="AJ276" s="6" t="s">
        <v>2298</v>
      </c>
      <c r="AK276" s="6" t="s">
        <v>162</v>
      </c>
      <c r="AL276" s="6">
        <f>MATCH(AA276,{"Low","Medium","High"},0)*MATCH(AB276,{"Low","Medium","High"},0)*INDEX({3,2,2,1,1},MATCH(X276,{"Core","Vertical extension","Differentiator","Future","Adjacent"},0))</f>
        <v>6</v>
      </c>
      <c r="AM276" s="5"/>
      <c r="AN276" s="5"/>
      <c r="AO276" s="5"/>
      <c r="AP276" s="5"/>
      <c r="AQ276" s="5"/>
      <c r="AR276" s="5"/>
      <c r="AS276" s="5"/>
      <c r="AT276" s="5"/>
      <c r="AU276" s="6" t="s">
        <v>2317</v>
      </c>
      <c r="AV276" s="6" t="s">
        <v>2794</v>
      </c>
      <c r="AW276" s="6" t="s">
        <v>2794</v>
      </c>
      <c r="AX276" s="6" t="s">
        <v>2284</v>
      </c>
      <c r="AY276" s="6" t="s">
        <v>2285</v>
      </c>
      <c r="AZ276" s="6"/>
      <c r="BA276" s="6" t="s">
        <v>2863</v>
      </c>
      <c r="BB276" s="6" t="s">
        <v>2864</v>
      </c>
      <c r="BC276" s="6" t="s">
        <v>127</v>
      </c>
      <c r="BD276" s="6" t="s">
        <v>127</v>
      </c>
      <c r="BE276" s="6"/>
      <c r="BF276" s="6"/>
      <c r="BG276" s="6"/>
      <c r="BH276" s="6"/>
    </row>
    <row r="277" spans="1:60" ht="32" customHeight="1" x14ac:dyDescent="0.35">
      <c r="A277" s="13" t="s">
        <v>4572</v>
      </c>
      <c r="B277" s="6" t="s">
        <v>3901</v>
      </c>
      <c r="C277" s="5" t="s">
        <v>1652</v>
      </c>
      <c r="D277" s="5" t="s">
        <v>2197</v>
      </c>
      <c r="E277" s="5" t="s">
        <v>4573</v>
      </c>
      <c r="F277" s="5" t="s">
        <v>2185</v>
      </c>
      <c r="G277" s="5" t="s">
        <v>3173</v>
      </c>
      <c r="H277" s="5" t="s">
        <v>4574</v>
      </c>
      <c r="I277" s="5" t="s">
        <v>4575</v>
      </c>
      <c r="J277" s="17" t="s">
        <v>162</v>
      </c>
      <c r="K277" s="17" t="s">
        <v>163</v>
      </c>
      <c r="L277" s="5" t="s">
        <v>4576</v>
      </c>
      <c r="M277" s="6" t="s">
        <v>1493</v>
      </c>
      <c r="N277" s="6" t="s">
        <v>2170</v>
      </c>
      <c r="O277" s="6" t="s">
        <v>162</v>
      </c>
      <c r="P277" s="5" t="s">
        <v>2272</v>
      </c>
      <c r="Q277" s="17" t="s">
        <v>163</v>
      </c>
      <c r="R277" s="5" t="s">
        <v>4577</v>
      </c>
      <c r="S277" s="6" t="s">
        <v>2861</v>
      </c>
      <c r="T277" s="5" t="s">
        <v>2862</v>
      </c>
      <c r="U277" s="6"/>
      <c r="V277" s="6" t="s">
        <v>2347</v>
      </c>
      <c r="W277" s="6" t="s">
        <v>1697</v>
      </c>
      <c r="X277" s="5" t="s">
        <v>228</v>
      </c>
      <c r="Y277" s="5" t="s">
        <v>2170</v>
      </c>
      <c r="Z277" s="5" t="str">
        <f t="shared" si="8"/>
        <v>Medium</v>
      </c>
      <c r="AA277" s="5" t="s">
        <v>1319</v>
      </c>
      <c r="AB277" s="6" t="s">
        <v>1355</v>
      </c>
      <c r="AC277" s="6" t="s">
        <v>135</v>
      </c>
      <c r="AD277" s="5" t="s">
        <v>1805</v>
      </c>
      <c r="AE277" s="5" t="s">
        <v>1720</v>
      </c>
      <c r="AF277" s="5" t="s">
        <v>1720</v>
      </c>
      <c r="AG277" s="5" t="s">
        <v>1720</v>
      </c>
      <c r="AH277" s="5" t="s">
        <v>1720</v>
      </c>
      <c r="AI277" s="6" t="str">
        <f t="shared" si="9"/>
        <v>No</v>
      </c>
      <c r="AJ277" s="6" t="s">
        <v>287</v>
      </c>
      <c r="AK277" s="6" t="s">
        <v>162</v>
      </c>
      <c r="AL277" s="6">
        <f>MATCH(AA277,{"Low","Medium","High"},0)*MATCH(AB277,{"Low","Medium","High"},0)*INDEX({3,2,2,1,1},MATCH(X277,{"Core","Vertical extension","Differentiator","Future","Adjacent"},0))</f>
        <v>6</v>
      </c>
      <c r="AM277" s="5"/>
      <c r="AN277" s="5"/>
      <c r="AO277" s="5"/>
      <c r="AP277" s="5"/>
      <c r="AQ277" s="5"/>
      <c r="AR277" s="5"/>
      <c r="AS277" s="5"/>
      <c r="AT277" s="5"/>
      <c r="AU277" s="6" t="s">
        <v>2317</v>
      </c>
      <c r="AV277" s="6" t="s">
        <v>2898</v>
      </c>
      <c r="AW277" s="6" t="s">
        <v>2898</v>
      </c>
      <c r="AX277" s="6" t="s">
        <v>2284</v>
      </c>
      <c r="AY277" s="6" t="s">
        <v>2285</v>
      </c>
      <c r="AZ277" s="6"/>
      <c r="BA277" s="6"/>
      <c r="BB277" s="6"/>
      <c r="BC277" s="6" t="s">
        <v>127</v>
      </c>
      <c r="BD277" s="6" t="s">
        <v>127</v>
      </c>
      <c r="BE277" s="6" t="s">
        <v>1477</v>
      </c>
      <c r="BF277" s="6" t="s">
        <v>288</v>
      </c>
      <c r="BG277" s="6" t="s">
        <v>4578</v>
      </c>
      <c r="BH277" s="6" t="s">
        <v>4579</v>
      </c>
    </row>
    <row r="278" spans="1:60" ht="32" customHeight="1" x14ac:dyDescent="0.35">
      <c r="A278" s="13" t="s">
        <v>4580</v>
      </c>
      <c r="B278" s="6" t="s">
        <v>3901</v>
      </c>
      <c r="C278" s="5" t="s">
        <v>1652</v>
      </c>
      <c r="D278" s="5" t="s">
        <v>2197</v>
      </c>
      <c r="E278" s="5" t="s">
        <v>4581</v>
      </c>
      <c r="F278" s="5" t="s">
        <v>2189</v>
      </c>
      <c r="G278" s="5" t="s">
        <v>4582</v>
      </c>
      <c r="H278" s="5" t="s">
        <v>4583</v>
      </c>
      <c r="I278" s="5" t="s">
        <v>4584</v>
      </c>
      <c r="J278" s="17" t="s">
        <v>162</v>
      </c>
      <c r="K278" s="17" t="s">
        <v>1477</v>
      </c>
      <c r="L278" s="5" t="s">
        <v>4585</v>
      </c>
      <c r="M278" s="6" t="s">
        <v>1493</v>
      </c>
      <c r="N278" s="6" t="s">
        <v>2170</v>
      </c>
      <c r="O278" s="6" t="s">
        <v>162</v>
      </c>
      <c r="P278" s="5" t="s">
        <v>2272</v>
      </c>
      <c r="Q278" s="17" t="s">
        <v>2273</v>
      </c>
      <c r="R278" s="5" t="s">
        <v>4586</v>
      </c>
      <c r="S278" s="6" t="s">
        <v>2861</v>
      </c>
      <c r="T278" s="5" t="s">
        <v>2862</v>
      </c>
      <c r="U278" s="6"/>
      <c r="V278" s="6" t="s">
        <v>2347</v>
      </c>
      <c r="W278" s="6" t="s">
        <v>1697</v>
      </c>
      <c r="X278" s="5" t="s">
        <v>228</v>
      </c>
      <c r="Y278" s="5" t="s">
        <v>2170</v>
      </c>
      <c r="Z278" s="5" t="str">
        <f t="shared" si="8"/>
        <v>Medium</v>
      </c>
      <c r="AA278" s="5" t="s">
        <v>1319</v>
      </c>
      <c r="AB278" s="6" t="s">
        <v>1355</v>
      </c>
      <c r="AC278" s="6" t="s">
        <v>135</v>
      </c>
      <c r="AD278" s="5" t="s">
        <v>2278</v>
      </c>
      <c r="AE278" s="5" t="s">
        <v>1720</v>
      </c>
      <c r="AF278" s="5" t="s">
        <v>1720</v>
      </c>
      <c r="AG278" s="5" t="s">
        <v>1720</v>
      </c>
      <c r="AH278" s="5" t="s">
        <v>1720</v>
      </c>
      <c r="AI278" s="6" t="str">
        <f t="shared" si="9"/>
        <v>No</v>
      </c>
      <c r="AJ278" s="6" t="s">
        <v>2298</v>
      </c>
      <c r="AK278" s="6" t="s">
        <v>162</v>
      </c>
      <c r="AL278" s="6">
        <f>MATCH(AA278,{"Low","Medium","High"},0)*MATCH(AB278,{"Low","Medium","High"},0)*INDEX({3,2,2,1,1},MATCH(X278,{"Core","Vertical extension","Differentiator","Future","Adjacent"},0))</f>
        <v>6</v>
      </c>
      <c r="AM278" s="5"/>
      <c r="AN278" s="5"/>
      <c r="AO278" s="5"/>
      <c r="AP278" s="5"/>
      <c r="AQ278" s="5"/>
      <c r="AR278" s="5"/>
      <c r="AS278" s="5"/>
      <c r="AT278" s="5"/>
      <c r="AU278" s="6" t="s">
        <v>2317</v>
      </c>
      <c r="AV278" s="6" t="s">
        <v>3968</v>
      </c>
      <c r="AW278" s="6" t="s">
        <v>3968</v>
      </c>
      <c r="AX278" s="6" t="s">
        <v>2284</v>
      </c>
      <c r="AY278" s="6" t="s">
        <v>2285</v>
      </c>
      <c r="AZ278" s="6"/>
      <c r="BA278" s="6"/>
      <c r="BB278" s="6"/>
      <c r="BC278" s="6" t="s">
        <v>127</v>
      </c>
      <c r="BD278" s="6" t="s">
        <v>127</v>
      </c>
      <c r="BE278" s="6" t="s">
        <v>1477</v>
      </c>
      <c r="BF278" s="6" t="s">
        <v>2286</v>
      </c>
      <c r="BG278" s="6" t="s">
        <v>4587</v>
      </c>
      <c r="BH278" s="6" t="s">
        <v>4588</v>
      </c>
    </row>
    <row r="279" spans="1:60" ht="32" customHeight="1" x14ac:dyDescent="0.35">
      <c r="A279" s="13" t="s">
        <v>4589</v>
      </c>
      <c r="B279" s="6" t="s">
        <v>3901</v>
      </c>
      <c r="C279" s="5" t="s">
        <v>1652</v>
      </c>
      <c r="D279" s="5" t="s">
        <v>2183</v>
      </c>
      <c r="E279" s="5" t="s">
        <v>4590</v>
      </c>
      <c r="F279" s="5" t="s">
        <v>3980</v>
      </c>
      <c r="G279" s="5" t="s">
        <v>3209</v>
      </c>
      <c r="H279" s="5" t="s">
        <v>4591</v>
      </c>
      <c r="I279" s="5" t="s">
        <v>4592</v>
      </c>
      <c r="J279" s="17" t="s">
        <v>162</v>
      </c>
      <c r="K279" s="17" t="s">
        <v>1477</v>
      </c>
      <c r="L279" s="5" t="s">
        <v>4593</v>
      </c>
      <c r="M279" s="6" t="s">
        <v>1493</v>
      </c>
      <c r="N279" s="6" t="s">
        <v>2170</v>
      </c>
      <c r="O279" s="6" t="s">
        <v>162</v>
      </c>
      <c r="P279" s="5" t="s">
        <v>2369</v>
      </c>
      <c r="Q279" s="18" t="s">
        <v>1482</v>
      </c>
      <c r="R279" s="5" t="s">
        <v>4594</v>
      </c>
      <c r="S279" s="6" t="s">
        <v>2438</v>
      </c>
      <c r="T279" s="5" t="s">
        <v>2439</v>
      </c>
      <c r="U279" s="6"/>
      <c r="V279" s="6" t="s">
        <v>2440</v>
      </c>
      <c r="W279" s="6" t="s">
        <v>1699</v>
      </c>
      <c r="X279" s="5" t="s">
        <v>228</v>
      </c>
      <c r="Y279" s="5" t="s">
        <v>2170</v>
      </c>
      <c r="Z279" s="5" t="str">
        <f t="shared" si="8"/>
        <v>Critical</v>
      </c>
      <c r="AA279" s="5" t="s">
        <v>1302</v>
      </c>
      <c r="AB279" s="6" t="s">
        <v>1302</v>
      </c>
      <c r="AC279" s="6" t="s">
        <v>135</v>
      </c>
      <c r="AD279" s="5" t="s">
        <v>2278</v>
      </c>
      <c r="AE279" s="5" t="s">
        <v>1720</v>
      </c>
      <c r="AF279" s="5" t="s">
        <v>1720</v>
      </c>
      <c r="AG279" s="5" t="s">
        <v>1720</v>
      </c>
      <c r="AH279" s="5" t="s">
        <v>1720</v>
      </c>
      <c r="AI279" s="6" t="str">
        <f t="shared" si="9"/>
        <v>No</v>
      </c>
      <c r="AJ279" s="6" t="s">
        <v>2298</v>
      </c>
      <c r="AK279" s="6" t="s">
        <v>162</v>
      </c>
      <c r="AL279" s="6">
        <f>MATCH(AA279,{"Low","Medium","High"},0)*MATCH(AB279,{"Low","Medium","High"},0)*INDEX({3,2,2,1,1},MATCH(X279,{"Core","Vertical extension","Differentiator","Future","Adjacent"},0))</f>
        <v>27</v>
      </c>
      <c r="AM279" s="5"/>
      <c r="AN279" s="5"/>
      <c r="AO279" s="5"/>
      <c r="AP279" s="5"/>
      <c r="AQ279" s="5"/>
      <c r="AR279" s="5"/>
      <c r="AS279" s="5"/>
      <c r="AT279" s="5"/>
      <c r="AU279" s="6" t="s">
        <v>2317</v>
      </c>
      <c r="AV279" s="6" t="s">
        <v>3968</v>
      </c>
      <c r="AW279" s="6" t="s">
        <v>3968</v>
      </c>
      <c r="AX279" s="6" t="s">
        <v>2374</v>
      </c>
      <c r="AY279" s="6" t="s">
        <v>2285</v>
      </c>
      <c r="AZ279" s="6"/>
      <c r="BA279" s="6" t="s">
        <v>3985</v>
      </c>
      <c r="BB279" s="6"/>
      <c r="BC279" s="6" t="s">
        <v>127</v>
      </c>
      <c r="BD279" s="6" t="s">
        <v>127</v>
      </c>
      <c r="BE279" s="6"/>
      <c r="BF279" s="6"/>
      <c r="BG279" s="6"/>
      <c r="BH279" s="6"/>
    </row>
    <row r="280" spans="1:60" ht="32" customHeight="1" x14ac:dyDescent="0.35">
      <c r="A280" s="13" t="s">
        <v>4595</v>
      </c>
      <c r="B280" s="6" t="s">
        <v>3901</v>
      </c>
      <c r="C280" s="5" t="s">
        <v>1652</v>
      </c>
      <c r="D280" s="5" t="s">
        <v>2183</v>
      </c>
      <c r="E280" s="5" t="s">
        <v>4596</v>
      </c>
      <c r="F280" s="5" t="s">
        <v>3980</v>
      </c>
      <c r="G280" s="5" t="s">
        <v>2973</v>
      </c>
      <c r="H280" s="5" t="s">
        <v>4597</v>
      </c>
      <c r="I280" s="5" t="s">
        <v>4598</v>
      </c>
      <c r="J280" s="17" t="s">
        <v>162</v>
      </c>
      <c r="K280" s="17" t="s">
        <v>1477</v>
      </c>
      <c r="L280" s="5" t="s">
        <v>4599</v>
      </c>
      <c r="M280" s="6" t="s">
        <v>1493</v>
      </c>
      <c r="N280" s="6" t="s">
        <v>2170</v>
      </c>
      <c r="O280" s="6" t="s">
        <v>162</v>
      </c>
      <c r="P280" s="5" t="s">
        <v>2272</v>
      </c>
      <c r="Q280" s="17" t="s">
        <v>2273</v>
      </c>
      <c r="R280" s="5" t="s">
        <v>4600</v>
      </c>
      <c r="S280" s="6" t="s">
        <v>2438</v>
      </c>
      <c r="T280" s="5" t="s">
        <v>2439</v>
      </c>
      <c r="U280" s="6"/>
      <c r="V280" s="6" t="s">
        <v>2440</v>
      </c>
      <c r="W280" s="6" t="s">
        <v>1699</v>
      </c>
      <c r="X280" s="5" t="s">
        <v>228</v>
      </c>
      <c r="Y280" s="5" t="s">
        <v>2170</v>
      </c>
      <c r="Z280" s="5" t="str">
        <f t="shared" si="8"/>
        <v>Critical</v>
      </c>
      <c r="AA280" s="5" t="s">
        <v>1302</v>
      </c>
      <c r="AB280" s="6" t="s">
        <v>1302</v>
      </c>
      <c r="AC280" s="6" t="s">
        <v>135</v>
      </c>
      <c r="AD280" s="5" t="s">
        <v>2278</v>
      </c>
      <c r="AE280" s="5" t="s">
        <v>1720</v>
      </c>
      <c r="AF280" s="5" t="s">
        <v>1720</v>
      </c>
      <c r="AG280" s="5" t="s">
        <v>1720</v>
      </c>
      <c r="AH280" s="5" t="s">
        <v>1720</v>
      </c>
      <c r="AI280" s="6" t="str">
        <f t="shared" si="9"/>
        <v>No</v>
      </c>
      <c r="AJ280" s="6" t="s">
        <v>2298</v>
      </c>
      <c r="AK280" s="6" t="s">
        <v>162</v>
      </c>
      <c r="AL280" s="6">
        <f>MATCH(AA280,{"Low","Medium","High"},0)*MATCH(AB280,{"Low","Medium","High"},0)*INDEX({3,2,2,1,1},MATCH(X280,{"Core","Vertical extension","Differentiator","Future","Adjacent"},0))</f>
        <v>27</v>
      </c>
      <c r="AM280" s="5"/>
      <c r="AN280" s="5"/>
      <c r="AO280" s="5"/>
      <c r="AP280" s="5"/>
      <c r="AQ280" s="5"/>
      <c r="AR280" s="5"/>
      <c r="AS280" s="5"/>
      <c r="AT280" s="5"/>
      <c r="AU280" s="6" t="s">
        <v>2317</v>
      </c>
      <c r="AV280" s="6" t="s">
        <v>3968</v>
      </c>
      <c r="AW280" s="6" t="s">
        <v>3968</v>
      </c>
      <c r="AX280" s="6" t="s">
        <v>2284</v>
      </c>
      <c r="AY280" s="6" t="s">
        <v>2285</v>
      </c>
      <c r="AZ280" s="6"/>
      <c r="BA280" s="6"/>
      <c r="BB280" s="6"/>
      <c r="BC280" s="6" t="s">
        <v>127</v>
      </c>
      <c r="BD280" s="6" t="s">
        <v>127</v>
      </c>
      <c r="BE280" s="6" t="s">
        <v>1477</v>
      </c>
      <c r="BF280" s="6" t="s">
        <v>2286</v>
      </c>
      <c r="BG280" s="6" t="s">
        <v>4601</v>
      </c>
      <c r="BH280" s="6" t="s">
        <v>4602</v>
      </c>
    </row>
    <row r="281" spans="1:60" ht="32" customHeight="1" x14ac:dyDescent="0.35">
      <c r="A281" s="13" t="s">
        <v>4603</v>
      </c>
      <c r="B281" s="6" t="s">
        <v>3901</v>
      </c>
      <c r="C281" s="5" t="s">
        <v>1652</v>
      </c>
      <c r="D281" s="5" t="s">
        <v>2183</v>
      </c>
      <c r="E281" s="5" t="s">
        <v>4604</v>
      </c>
      <c r="F281" s="5" t="s">
        <v>2196</v>
      </c>
      <c r="G281" s="5" t="s">
        <v>3209</v>
      </c>
      <c r="H281" s="5" t="s">
        <v>4605</v>
      </c>
      <c r="I281" s="5" t="s">
        <v>4606</v>
      </c>
      <c r="J281" s="17" t="s">
        <v>162</v>
      </c>
      <c r="K281" s="17" t="s">
        <v>1477</v>
      </c>
      <c r="L281" s="5" t="s">
        <v>4607</v>
      </c>
      <c r="M281" s="6" t="s">
        <v>1493</v>
      </c>
      <c r="N281" s="6" t="s">
        <v>2170</v>
      </c>
      <c r="O281" s="6" t="s">
        <v>162</v>
      </c>
      <c r="P281" s="5" t="s">
        <v>2272</v>
      </c>
      <c r="Q281" s="17" t="s">
        <v>2273</v>
      </c>
      <c r="R281" s="5" t="s">
        <v>4608</v>
      </c>
      <c r="S281" s="6" t="s">
        <v>2438</v>
      </c>
      <c r="T281" s="5" t="s">
        <v>2439</v>
      </c>
      <c r="U281" s="6"/>
      <c r="V281" s="6" t="s">
        <v>2440</v>
      </c>
      <c r="W281" s="6" t="s">
        <v>1699</v>
      </c>
      <c r="X281" s="5" t="s">
        <v>228</v>
      </c>
      <c r="Y281" s="5" t="s">
        <v>2170</v>
      </c>
      <c r="Z281" s="5" t="str">
        <f t="shared" si="8"/>
        <v>Critical</v>
      </c>
      <c r="AA281" s="5" t="s">
        <v>1302</v>
      </c>
      <c r="AB281" s="6" t="s">
        <v>1302</v>
      </c>
      <c r="AC281" s="6" t="s">
        <v>135</v>
      </c>
      <c r="AD281" s="5" t="s">
        <v>2278</v>
      </c>
      <c r="AE281" s="5" t="s">
        <v>1720</v>
      </c>
      <c r="AF281" s="5" t="s">
        <v>1720</v>
      </c>
      <c r="AG281" s="5" t="s">
        <v>1720</v>
      </c>
      <c r="AH281" s="5" t="s">
        <v>1720</v>
      </c>
      <c r="AI281" s="6" t="str">
        <f t="shared" si="9"/>
        <v>No</v>
      </c>
      <c r="AJ281" s="6" t="s">
        <v>2298</v>
      </c>
      <c r="AK281" s="6" t="s">
        <v>162</v>
      </c>
      <c r="AL281" s="6">
        <f>MATCH(AA281,{"Low","Medium","High"},0)*MATCH(AB281,{"Low","Medium","High"},0)*INDEX({3,2,2,1,1},MATCH(X281,{"Core","Vertical extension","Differentiator","Future","Adjacent"},0))</f>
        <v>27</v>
      </c>
      <c r="AM281" s="5"/>
      <c r="AN281" s="5"/>
      <c r="AO281" s="5"/>
      <c r="AP281" s="5"/>
      <c r="AQ281" s="5"/>
      <c r="AR281" s="5"/>
      <c r="AS281" s="5"/>
      <c r="AT281" s="5"/>
      <c r="AU281" s="6" t="s">
        <v>2317</v>
      </c>
      <c r="AV281" s="6" t="s">
        <v>2898</v>
      </c>
      <c r="AW281" s="6" t="s">
        <v>2898</v>
      </c>
      <c r="AX281" s="6" t="s">
        <v>2284</v>
      </c>
      <c r="AY281" s="6" t="s">
        <v>2285</v>
      </c>
      <c r="AZ281" s="6"/>
      <c r="BA281" s="6"/>
      <c r="BB281" s="6"/>
      <c r="BC281" s="6" t="s">
        <v>127</v>
      </c>
      <c r="BD281" s="6" t="s">
        <v>127</v>
      </c>
      <c r="BE281" s="6" t="s">
        <v>1477</v>
      </c>
      <c r="BF281" s="6" t="s">
        <v>2286</v>
      </c>
      <c r="BG281" s="6" t="s">
        <v>4609</v>
      </c>
      <c r="BH281" s="6" t="s">
        <v>4610</v>
      </c>
    </row>
    <row r="282" spans="1:60" ht="32" customHeight="1" x14ac:dyDescent="0.35">
      <c r="A282" s="13" t="s">
        <v>4611</v>
      </c>
      <c r="B282" s="6" t="s">
        <v>3901</v>
      </c>
      <c r="C282" s="5" t="s">
        <v>1652</v>
      </c>
      <c r="D282" s="5" t="s">
        <v>2183</v>
      </c>
      <c r="E282" s="5" t="s">
        <v>4612</v>
      </c>
      <c r="F282" s="5" t="s">
        <v>4613</v>
      </c>
      <c r="G282" s="5" t="s">
        <v>3209</v>
      </c>
      <c r="H282" s="5" t="s">
        <v>4614</v>
      </c>
      <c r="I282" s="5" t="s">
        <v>4615</v>
      </c>
      <c r="J282" s="17" t="s">
        <v>162</v>
      </c>
      <c r="K282" s="17" t="s">
        <v>1477</v>
      </c>
      <c r="L282" s="5" t="s">
        <v>4616</v>
      </c>
      <c r="M282" s="6" t="s">
        <v>1493</v>
      </c>
      <c r="N282" s="6" t="s">
        <v>2170</v>
      </c>
      <c r="O282" s="6" t="s">
        <v>162</v>
      </c>
      <c r="P282" s="5" t="s">
        <v>2272</v>
      </c>
      <c r="Q282" s="17" t="s">
        <v>2273</v>
      </c>
      <c r="R282" s="5" t="s">
        <v>4617</v>
      </c>
      <c r="S282" s="6" t="s">
        <v>2438</v>
      </c>
      <c r="T282" s="5" t="s">
        <v>2439</v>
      </c>
      <c r="U282" s="6"/>
      <c r="V282" s="6" t="s">
        <v>2440</v>
      </c>
      <c r="W282" s="6" t="s">
        <v>1699</v>
      </c>
      <c r="X282" s="5" t="s">
        <v>228</v>
      </c>
      <c r="Y282" s="5" t="s">
        <v>2170</v>
      </c>
      <c r="Z282" s="5" t="str">
        <f t="shared" si="8"/>
        <v>Critical</v>
      </c>
      <c r="AA282" s="5" t="s">
        <v>1302</v>
      </c>
      <c r="AB282" s="6" t="s">
        <v>1302</v>
      </c>
      <c r="AC282" s="6" t="s">
        <v>135</v>
      </c>
      <c r="AD282" s="5" t="s">
        <v>2278</v>
      </c>
      <c r="AE282" s="5" t="s">
        <v>1720</v>
      </c>
      <c r="AF282" s="5" t="s">
        <v>1720</v>
      </c>
      <c r="AG282" s="5" t="s">
        <v>1720</v>
      </c>
      <c r="AH282" s="5" t="s">
        <v>1720</v>
      </c>
      <c r="AI282" s="6" t="str">
        <f t="shared" si="9"/>
        <v>No</v>
      </c>
      <c r="AJ282" s="6" t="s">
        <v>2298</v>
      </c>
      <c r="AK282" s="6" t="s">
        <v>162</v>
      </c>
      <c r="AL282" s="6">
        <f>MATCH(AA282,{"Low","Medium","High"},0)*MATCH(AB282,{"Low","Medium","High"},0)*INDEX({3,2,2,1,1},MATCH(X282,{"Core","Vertical extension","Differentiator","Future","Adjacent"},0))</f>
        <v>27</v>
      </c>
      <c r="AM282" s="5"/>
      <c r="AN282" s="5"/>
      <c r="AO282" s="5"/>
      <c r="AP282" s="5"/>
      <c r="AQ282" s="5"/>
      <c r="AR282" s="5"/>
      <c r="AS282" s="5"/>
      <c r="AT282" s="5"/>
      <c r="AU282" s="6" t="s">
        <v>2317</v>
      </c>
      <c r="AV282" s="6" t="s">
        <v>3968</v>
      </c>
      <c r="AW282" s="6" t="s">
        <v>3968</v>
      </c>
      <c r="AX282" s="6" t="s">
        <v>2284</v>
      </c>
      <c r="AY282" s="6" t="s">
        <v>2285</v>
      </c>
      <c r="AZ282" s="6"/>
      <c r="BA282" s="6"/>
      <c r="BB282" s="6"/>
      <c r="BC282" s="6" t="s">
        <v>127</v>
      </c>
      <c r="BD282" s="6" t="s">
        <v>127</v>
      </c>
      <c r="BE282" s="6" t="s">
        <v>1477</v>
      </c>
      <c r="BF282" s="6" t="s">
        <v>2286</v>
      </c>
      <c r="BG282" s="6" t="s">
        <v>4618</v>
      </c>
      <c r="BH282" s="6" t="s">
        <v>4619</v>
      </c>
    </row>
    <row r="283" spans="1:60" ht="32" customHeight="1" x14ac:dyDescent="0.35">
      <c r="A283" s="13" t="s">
        <v>4620</v>
      </c>
      <c r="B283" s="6" t="s">
        <v>3901</v>
      </c>
      <c r="C283" s="5" t="s">
        <v>1652</v>
      </c>
      <c r="D283" s="5" t="s">
        <v>2183</v>
      </c>
      <c r="E283" s="5" t="s">
        <v>4621</v>
      </c>
      <c r="F283" s="5" t="s">
        <v>4613</v>
      </c>
      <c r="G283" s="5" t="s">
        <v>2973</v>
      </c>
      <c r="H283" s="5" t="s">
        <v>4622</v>
      </c>
      <c r="I283" s="5" t="s">
        <v>4623</v>
      </c>
      <c r="J283" s="17" t="s">
        <v>162</v>
      </c>
      <c r="K283" s="17" t="s">
        <v>1477</v>
      </c>
      <c r="L283" s="5" t="s">
        <v>4624</v>
      </c>
      <c r="M283" s="6" t="s">
        <v>1493</v>
      </c>
      <c r="N283" s="6" t="s">
        <v>2170</v>
      </c>
      <c r="O283" s="6" t="s">
        <v>162</v>
      </c>
      <c r="P283" s="5" t="s">
        <v>2272</v>
      </c>
      <c r="Q283" s="17" t="s">
        <v>2273</v>
      </c>
      <c r="R283" s="5" t="s">
        <v>4625</v>
      </c>
      <c r="S283" s="6" t="s">
        <v>2438</v>
      </c>
      <c r="T283" s="5" t="s">
        <v>2439</v>
      </c>
      <c r="U283" s="6"/>
      <c r="V283" s="6" t="s">
        <v>2440</v>
      </c>
      <c r="W283" s="6" t="s">
        <v>1699</v>
      </c>
      <c r="X283" s="5" t="s">
        <v>228</v>
      </c>
      <c r="Y283" s="5" t="s">
        <v>2170</v>
      </c>
      <c r="Z283" s="5" t="str">
        <f t="shared" si="8"/>
        <v>Critical</v>
      </c>
      <c r="AA283" s="5" t="s">
        <v>1302</v>
      </c>
      <c r="AB283" s="6" t="s">
        <v>1302</v>
      </c>
      <c r="AC283" s="6" t="s">
        <v>135</v>
      </c>
      <c r="AD283" s="5" t="s">
        <v>2278</v>
      </c>
      <c r="AE283" s="5" t="s">
        <v>1720</v>
      </c>
      <c r="AF283" s="5" t="s">
        <v>1720</v>
      </c>
      <c r="AG283" s="5" t="s">
        <v>1720</v>
      </c>
      <c r="AH283" s="5" t="s">
        <v>1720</v>
      </c>
      <c r="AI283" s="6" t="str">
        <f t="shared" si="9"/>
        <v>No</v>
      </c>
      <c r="AJ283" s="6" t="s">
        <v>2298</v>
      </c>
      <c r="AK283" s="6" t="s">
        <v>162</v>
      </c>
      <c r="AL283" s="6">
        <f>MATCH(AA283,{"Low","Medium","High"},0)*MATCH(AB283,{"Low","Medium","High"},0)*INDEX({3,2,2,1,1},MATCH(X283,{"Core","Vertical extension","Differentiator","Future","Adjacent"},0))</f>
        <v>27</v>
      </c>
      <c r="AM283" s="5"/>
      <c r="AN283" s="5"/>
      <c r="AO283" s="5"/>
      <c r="AP283" s="5"/>
      <c r="AQ283" s="5"/>
      <c r="AR283" s="5"/>
      <c r="AS283" s="5"/>
      <c r="AT283" s="5"/>
      <c r="AU283" s="6" t="s">
        <v>2317</v>
      </c>
      <c r="AV283" s="6" t="s">
        <v>3968</v>
      </c>
      <c r="AW283" s="6" t="s">
        <v>3968</v>
      </c>
      <c r="AX283" s="6" t="s">
        <v>2284</v>
      </c>
      <c r="AY283" s="6" t="s">
        <v>2285</v>
      </c>
      <c r="AZ283" s="6"/>
      <c r="BA283" s="6"/>
      <c r="BB283" s="6"/>
      <c r="BC283" s="6" t="s">
        <v>127</v>
      </c>
      <c r="BD283" s="6" t="s">
        <v>127</v>
      </c>
      <c r="BE283" s="6" t="s">
        <v>1477</v>
      </c>
      <c r="BF283" s="6" t="s">
        <v>2286</v>
      </c>
      <c r="BG283" s="6" t="s">
        <v>4626</v>
      </c>
      <c r="BH283" s="6" t="s">
        <v>4627</v>
      </c>
    </row>
    <row r="284" spans="1:60" ht="32" customHeight="1" x14ac:dyDescent="0.35">
      <c r="A284" s="13" t="s">
        <v>4628</v>
      </c>
      <c r="B284" s="6" t="s">
        <v>3901</v>
      </c>
      <c r="C284" s="5" t="s">
        <v>1652</v>
      </c>
      <c r="D284" s="5" t="s">
        <v>2183</v>
      </c>
      <c r="E284" s="5" t="s">
        <v>4629</v>
      </c>
      <c r="F284" s="5" t="s">
        <v>3980</v>
      </c>
      <c r="G284" s="5" t="s">
        <v>3209</v>
      </c>
      <c r="H284" s="5" t="s">
        <v>4630</v>
      </c>
      <c r="I284" s="5" t="s">
        <v>4631</v>
      </c>
      <c r="J284" s="17" t="s">
        <v>162</v>
      </c>
      <c r="K284" s="17" t="s">
        <v>1477</v>
      </c>
      <c r="L284" s="5" t="s">
        <v>4632</v>
      </c>
      <c r="M284" s="6" t="s">
        <v>1493</v>
      </c>
      <c r="N284" s="6" t="s">
        <v>2170</v>
      </c>
      <c r="O284" s="6" t="s">
        <v>162</v>
      </c>
      <c r="P284" s="5" t="s">
        <v>2272</v>
      </c>
      <c r="Q284" s="17" t="s">
        <v>2273</v>
      </c>
      <c r="R284" s="5" t="s">
        <v>4633</v>
      </c>
      <c r="S284" s="6" t="s">
        <v>2438</v>
      </c>
      <c r="T284" s="5" t="s">
        <v>2439</v>
      </c>
      <c r="U284" s="6"/>
      <c r="V284" s="6" t="s">
        <v>2440</v>
      </c>
      <c r="W284" s="6" t="s">
        <v>1699</v>
      </c>
      <c r="X284" s="5" t="s">
        <v>228</v>
      </c>
      <c r="Y284" s="5" t="s">
        <v>2170</v>
      </c>
      <c r="Z284" s="5" t="str">
        <f t="shared" si="8"/>
        <v>Critical</v>
      </c>
      <c r="AA284" s="5" t="s">
        <v>1302</v>
      </c>
      <c r="AB284" s="6" t="s">
        <v>1302</v>
      </c>
      <c r="AC284" s="6" t="s">
        <v>135</v>
      </c>
      <c r="AD284" s="5" t="s">
        <v>2278</v>
      </c>
      <c r="AE284" s="5" t="s">
        <v>1720</v>
      </c>
      <c r="AF284" s="5" t="s">
        <v>1720</v>
      </c>
      <c r="AG284" s="5" t="s">
        <v>1720</v>
      </c>
      <c r="AH284" s="5" t="s">
        <v>1720</v>
      </c>
      <c r="AI284" s="6" t="str">
        <f t="shared" si="9"/>
        <v>No</v>
      </c>
      <c r="AJ284" s="6" t="s">
        <v>2298</v>
      </c>
      <c r="AK284" s="6" t="s">
        <v>162</v>
      </c>
      <c r="AL284" s="6">
        <f>MATCH(AA284,{"Low","Medium","High"},0)*MATCH(AB284,{"Low","Medium","High"},0)*INDEX({3,2,2,1,1},MATCH(X284,{"Core","Vertical extension","Differentiator","Future","Adjacent"},0))</f>
        <v>27</v>
      </c>
      <c r="AM284" s="5"/>
      <c r="AN284" s="5"/>
      <c r="AO284" s="5"/>
      <c r="AP284" s="5"/>
      <c r="AQ284" s="5"/>
      <c r="AR284" s="5"/>
      <c r="AS284" s="5"/>
      <c r="AT284" s="5"/>
      <c r="AU284" s="6" t="s">
        <v>2317</v>
      </c>
      <c r="AV284" s="6" t="s">
        <v>3968</v>
      </c>
      <c r="AW284" s="6" t="s">
        <v>3968</v>
      </c>
      <c r="AX284" s="6" t="s">
        <v>2284</v>
      </c>
      <c r="AY284" s="6" t="s">
        <v>2285</v>
      </c>
      <c r="AZ284" s="6"/>
      <c r="BA284" s="6"/>
      <c r="BB284" s="6"/>
      <c r="BC284" s="6" t="s">
        <v>127</v>
      </c>
      <c r="BD284" s="6" t="s">
        <v>127</v>
      </c>
      <c r="BE284" s="6" t="s">
        <v>1477</v>
      </c>
      <c r="BF284" s="6" t="s">
        <v>2286</v>
      </c>
      <c r="BG284" s="6" t="s">
        <v>4634</v>
      </c>
      <c r="BH284" s="6" t="s">
        <v>4635</v>
      </c>
    </row>
    <row r="285" spans="1:60" ht="32" customHeight="1" x14ac:dyDescent="0.35">
      <c r="A285" s="13" t="s">
        <v>4636</v>
      </c>
      <c r="B285" s="6" t="s">
        <v>3901</v>
      </c>
      <c r="C285" s="5" t="s">
        <v>1652</v>
      </c>
      <c r="D285" s="5" t="s">
        <v>2183</v>
      </c>
      <c r="E285" s="5" t="s">
        <v>4637</v>
      </c>
      <c r="F285" s="5" t="s">
        <v>3980</v>
      </c>
      <c r="G285" s="5" t="s">
        <v>3209</v>
      </c>
      <c r="H285" s="5" t="s">
        <v>4638</v>
      </c>
      <c r="I285" s="5" t="s">
        <v>4639</v>
      </c>
      <c r="J285" s="17" t="s">
        <v>162</v>
      </c>
      <c r="K285" s="17" t="s">
        <v>1477</v>
      </c>
      <c r="L285" s="5" t="s">
        <v>4640</v>
      </c>
      <c r="M285" s="6" t="s">
        <v>1493</v>
      </c>
      <c r="N285" s="6" t="s">
        <v>2170</v>
      </c>
      <c r="O285" s="6" t="s">
        <v>162</v>
      </c>
      <c r="P285" s="5" t="s">
        <v>2272</v>
      </c>
      <c r="Q285" s="17" t="s">
        <v>2273</v>
      </c>
      <c r="R285" s="5" t="s">
        <v>4641</v>
      </c>
      <c r="S285" s="6" t="s">
        <v>2438</v>
      </c>
      <c r="T285" s="5" t="s">
        <v>2439</v>
      </c>
      <c r="U285" s="6"/>
      <c r="V285" s="6" t="s">
        <v>2440</v>
      </c>
      <c r="W285" s="6" t="s">
        <v>1699</v>
      </c>
      <c r="X285" s="5" t="s">
        <v>228</v>
      </c>
      <c r="Y285" s="5" t="s">
        <v>2170</v>
      </c>
      <c r="Z285" s="5" t="str">
        <f t="shared" si="8"/>
        <v>Critical</v>
      </c>
      <c r="AA285" s="5" t="s">
        <v>1302</v>
      </c>
      <c r="AB285" s="6" t="s">
        <v>1302</v>
      </c>
      <c r="AC285" s="6" t="s">
        <v>135</v>
      </c>
      <c r="AD285" s="5" t="s">
        <v>2278</v>
      </c>
      <c r="AE285" s="5" t="s">
        <v>1720</v>
      </c>
      <c r="AF285" s="5" t="s">
        <v>1720</v>
      </c>
      <c r="AG285" s="5" t="s">
        <v>1720</v>
      </c>
      <c r="AH285" s="5" t="s">
        <v>1720</v>
      </c>
      <c r="AI285" s="6" t="str">
        <f t="shared" si="9"/>
        <v>No</v>
      </c>
      <c r="AJ285" s="6" t="s">
        <v>2298</v>
      </c>
      <c r="AK285" s="6" t="s">
        <v>162</v>
      </c>
      <c r="AL285" s="6">
        <f>MATCH(AA285,{"Low","Medium","High"},0)*MATCH(AB285,{"Low","Medium","High"},0)*INDEX({3,2,2,1,1},MATCH(X285,{"Core","Vertical extension","Differentiator","Future","Adjacent"},0))</f>
        <v>27</v>
      </c>
      <c r="AM285" s="5"/>
      <c r="AN285" s="5"/>
      <c r="AO285" s="5"/>
      <c r="AP285" s="5"/>
      <c r="AQ285" s="5"/>
      <c r="AR285" s="5"/>
      <c r="AS285" s="5"/>
      <c r="AT285" s="5"/>
      <c r="AU285" s="6" t="s">
        <v>2317</v>
      </c>
      <c r="AV285" s="6" t="s">
        <v>3968</v>
      </c>
      <c r="AW285" s="6" t="s">
        <v>3968</v>
      </c>
      <c r="AX285" s="6" t="s">
        <v>2284</v>
      </c>
      <c r="AY285" s="6" t="s">
        <v>2285</v>
      </c>
      <c r="AZ285" s="6"/>
      <c r="BA285" s="6"/>
      <c r="BB285" s="6"/>
      <c r="BC285" s="6" t="s">
        <v>127</v>
      </c>
      <c r="BD285" s="6" t="s">
        <v>127</v>
      </c>
      <c r="BE285" s="6" t="s">
        <v>1477</v>
      </c>
      <c r="BF285" s="6" t="s">
        <v>2286</v>
      </c>
      <c r="BG285" s="6" t="s">
        <v>4634</v>
      </c>
      <c r="BH285" s="6" t="s">
        <v>4642</v>
      </c>
    </row>
    <row r="286" spans="1:60" ht="32" customHeight="1" x14ac:dyDescent="0.35">
      <c r="A286" s="13" t="s">
        <v>4643</v>
      </c>
      <c r="B286" s="6" t="s">
        <v>3901</v>
      </c>
      <c r="C286" s="5" t="s">
        <v>1652</v>
      </c>
      <c r="D286" s="5" t="s">
        <v>2183</v>
      </c>
      <c r="E286" s="5" t="s">
        <v>4644</v>
      </c>
      <c r="F286" s="5" t="s">
        <v>4645</v>
      </c>
      <c r="G286" s="5" t="s">
        <v>2973</v>
      </c>
      <c r="H286" s="5" t="s">
        <v>4646</v>
      </c>
      <c r="I286" s="5" t="s">
        <v>4647</v>
      </c>
      <c r="J286" s="17" t="s">
        <v>162</v>
      </c>
      <c r="K286" s="17" t="s">
        <v>1477</v>
      </c>
      <c r="L286" s="5" t="s">
        <v>4648</v>
      </c>
      <c r="M286" s="6" t="s">
        <v>1493</v>
      </c>
      <c r="N286" s="6" t="s">
        <v>2170</v>
      </c>
      <c r="O286" s="6" t="s">
        <v>162</v>
      </c>
      <c r="P286" s="5" t="s">
        <v>2272</v>
      </c>
      <c r="Q286" s="17" t="s">
        <v>2273</v>
      </c>
      <c r="R286" s="5" t="s">
        <v>4649</v>
      </c>
      <c r="S286" s="6" t="s">
        <v>2438</v>
      </c>
      <c r="T286" s="5" t="s">
        <v>2439</v>
      </c>
      <c r="U286" s="6"/>
      <c r="V286" s="6" t="s">
        <v>2440</v>
      </c>
      <c r="W286" s="6" t="s">
        <v>1699</v>
      </c>
      <c r="X286" s="5" t="s">
        <v>228</v>
      </c>
      <c r="Y286" s="5" t="s">
        <v>2170</v>
      </c>
      <c r="Z286" s="5" t="str">
        <f t="shared" si="8"/>
        <v>Critical</v>
      </c>
      <c r="AA286" s="5" t="s">
        <v>1302</v>
      </c>
      <c r="AB286" s="6" t="s">
        <v>1302</v>
      </c>
      <c r="AC286" s="6" t="s">
        <v>135</v>
      </c>
      <c r="AD286" s="5" t="s">
        <v>2278</v>
      </c>
      <c r="AE286" s="5" t="s">
        <v>1720</v>
      </c>
      <c r="AF286" s="5" t="s">
        <v>1720</v>
      </c>
      <c r="AG286" s="5" t="s">
        <v>1720</v>
      </c>
      <c r="AH286" s="5" t="s">
        <v>1720</v>
      </c>
      <c r="AI286" s="6" t="str">
        <f t="shared" si="9"/>
        <v>No</v>
      </c>
      <c r="AJ286" s="6" t="s">
        <v>2298</v>
      </c>
      <c r="AK286" s="6" t="s">
        <v>162</v>
      </c>
      <c r="AL286" s="6">
        <f>MATCH(AA286,{"Low","Medium","High"},0)*MATCH(AB286,{"Low","Medium","High"},0)*INDEX({3,2,2,1,1},MATCH(X286,{"Core","Vertical extension","Differentiator","Future","Adjacent"},0))</f>
        <v>27</v>
      </c>
      <c r="AM286" s="5"/>
      <c r="AN286" s="5"/>
      <c r="AO286" s="5"/>
      <c r="AP286" s="5"/>
      <c r="AQ286" s="5"/>
      <c r="AR286" s="5"/>
      <c r="AS286" s="5"/>
      <c r="AT286" s="5"/>
      <c r="AU286" s="6" t="s">
        <v>2317</v>
      </c>
      <c r="AV286" s="6" t="s">
        <v>3968</v>
      </c>
      <c r="AW286" s="6" t="s">
        <v>3968</v>
      </c>
      <c r="AX286" s="6" t="s">
        <v>2284</v>
      </c>
      <c r="AY286" s="6" t="s">
        <v>2285</v>
      </c>
      <c r="AZ286" s="6"/>
      <c r="BA286" s="6"/>
      <c r="BB286" s="6"/>
      <c r="BC286" s="6" t="s">
        <v>127</v>
      </c>
      <c r="BD286" s="6" t="s">
        <v>127</v>
      </c>
      <c r="BE286" s="6" t="s">
        <v>1477</v>
      </c>
      <c r="BF286" s="6" t="s">
        <v>2286</v>
      </c>
      <c r="BG286" s="6" t="s">
        <v>4650</v>
      </c>
      <c r="BH286" s="6" t="s">
        <v>4651</v>
      </c>
    </row>
    <row r="287" spans="1:60" ht="32" customHeight="1" x14ac:dyDescent="0.35">
      <c r="A287" s="13" t="s">
        <v>4652</v>
      </c>
      <c r="B287" s="6" t="s">
        <v>3901</v>
      </c>
      <c r="C287" s="5" t="s">
        <v>1652</v>
      </c>
      <c r="D287" s="5" t="s">
        <v>2183</v>
      </c>
      <c r="E287" s="5" t="s">
        <v>4653</v>
      </c>
      <c r="F287" s="5" t="s">
        <v>4645</v>
      </c>
      <c r="G287" s="5" t="s">
        <v>2973</v>
      </c>
      <c r="H287" s="5" t="s">
        <v>4654</v>
      </c>
      <c r="I287" s="5" t="s">
        <v>4655</v>
      </c>
      <c r="J287" s="17" t="s">
        <v>162</v>
      </c>
      <c r="K287" s="17" t="s">
        <v>1477</v>
      </c>
      <c r="L287" s="5" t="s">
        <v>4656</v>
      </c>
      <c r="M287" s="6" t="s">
        <v>1493</v>
      </c>
      <c r="N287" s="6" t="s">
        <v>2170</v>
      </c>
      <c r="O287" s="6" t="s">
        <v>162</v>
      </c>
      <c r="P287" s="5" t="s">
        <v>2272</v>
      </c>
      <c r="Q287" s="18" t="s">
        <v>1482</v>
      </c>
      <c r="R287" s="5" t="s">
        <v>2294</v>
      </c>
      <c r="S287" s="6" t="s">
        <v>2438</v>
      </c>
      <c r="T287" s="5" t="s">
        <v>2439</v>
      </c>
      <c r="U287" s="6"/>
      <c r="V287" s="6" t="s">
        <v>2440</v>
      </c>
      <c r="W287" s="6" t="s">
        <v>1699</v>
      </c>
      <c r="X287" s="5" t="s">
        <v>228</v>
      </c>
      <c r="Y287" s="5" t="s">
        <v>2170</v>
      </c>
      <c r="Z287" s="5" t="str">
        <f t="shared" si="8"/>
        <v>Critical</v>
      </c>
      <c r="AA287" s="5" t="s">
        <v>1302</v>
      </c>
      <c r="AB287" s="6" t="s">
        <v>1302</v>
      </c>
      <c r="AC287" s="6" t="s">
        <v>135</v>
      </c>
      <c r="AD287" s="5" t="s">
        <v>2278</v>
      </c>
      <c r="AE287" s="5" t="s">
        <v>1720</v>
      </c>
      <c r="AF287" s="5" t="s">
        <v>1720</v>
      </c>
      <c r="AG287" s="5" t="s">
        <v>1720</v>
      </c>
      <c r="AH287" s="5" t="s">
        <v>1720</v>
      </c>
      <c r="AI287" s="6" t="str">
        <f t="shared" si="9"/>
        <v>No</v>
      </c>
      <c r="AJ287" s="6" t="s">
        <v>2298</v>
      </c>
      <c r="AK287" s="6" t="s">
        <v>162</v>
      </c>
      <c r="AL287" s="6">
        <f>MATCH(AA287,{"Low","Medium","High"},0)*MATCH(AB287,{"Low","Medium","High"},0)*INDEX({3,2,2,1,1},MATCH(X287,{"Core","Vertical extension","Differentiator","Future","Adjacent"},0))</f>
        <v>27</v>
      </c>
      <c r="AM287" s="5"/>
      <c r="AN287" s="5"/>
      <c r="AO287" s="5"/>
      <c r="AP287" s="5"/>
      <c r="AQ287" s="5"/>
      <c r="AR287" s="5"/>
      <c r="AS287" s="5"/>
      <c r="AT287" s="5"/>
      <c r="AU287" s="6" t="s">
        <v>2317</v>
      </c>
      <c r="AV287" s="6" t="s">
        <v>3968</v>
      </c>
      <c r="AW287" s="6" t="s">
        <v>3968</v>
      </c>
      <c r="AX287" s="6" t="s">
        <v>2284</v>
      </c>
      <c r="AY287" s="6" t="s">
        <v>2285</v>
      </c>
      <c r="AZ287" s="6"/>
      <c r="BA287" s="6" t="s">
        <v>2299</v>
      </c>
      <c r="BB287" s="6" t="s">
        <v>2300</v>
      </c>
      <c r="BC287" s="6" t="s">
        <v>127</v>
      </c>
      <c r="BD287" s="6" t="s">
        <v>127</v>
      </c>
      <c r="BE287" s="6"/>
      <c r="BF287" s="6"/>
      <c r="BG287" s="6"/>
      <c r="BH287" s="6"/>
    </row>
    <row r="288" spans="1:60" ht="32" customHeight="1" x14ac:dyDescent="0.35">
      <c r="A288" s="13" t="s">
        <v>4657</v>
      </c>
      <c r="B288" s="6" t="s">
        <v>3901</v>
      </c>
      <c r="C288" s="5" t="s">
        <v>1652</v>
      </c>
      <c r="D288" s="5" t="s">
        <v>2183</v>
      </c>
      <c r="E288" s="5" t="s">
        <v>4658</v>
      </c>
      <c r="F288" s="5" t="s">
        <v>3980</v>
      </c>
      <c r="G288" s="5" t="s">
        <v>2973</v>
      </c>
      <c r="H288" s="5" t="s">
        <v>4659</v>
      </c>
      <c r="I288" s="5" t="s">
        <v>4660</v>
      </c>
      <c r="J288" s="17" t="s">
        <v>162</v>
      </c>
      <c r="K288" s="17" t="s">
        <v>1477</v>
      </c>
      <c r="L288" s="5" t="s">
        <v>4661</v>
      </c>
      <c r="M288" s="6" t="s">
        <v>1493</v>
      </c>
      <c r="N288" s="6" t="s">
        <v>2170</v>
      </c>
      <c r="O288" s="6" t="s">
        <v>162</v>
      </c>
      <c r="P288" s="5" t="s">
        <v>2369</v>
      </c>
      <c r="Q288" s="17" t="s">
        <v>2273</v>
      </c>
      <c r="R288" s="5" t="s">
        <v>4662</v>
      </c>
      <c r="S288" s="6" t="s">
        <v>2438</v>
      </c>
      <c r="T288" s="5" t="s">
        <v>2439</v>
      </c>
      <c r="U288" s="6"/>
      <c r="V288" s="6" t="s">
        <v>2440</v>
      </c>
      <c r="W288" s="6" t="s">
        <v>1699</v>
      </c>
      <c r="X288" s="5" t="s">
        <v>228</v>
      </c>
      <c r="Y288" s="5" t="s">
        <v>2170</v>
      </c>
      <c r="Z288" s="5" t="str">
        <f t="shared" si="8"/>
        <v>Critical</v>
      </c>
      <c r="AA288" s="5" t="s">
        <v>1302</v>
      </c>
      <c r="AB288" s="6" t="s">
        <v>1302</v>
      </c>
      <c r="AC288" s="6" t="s">
        <v>135</v>
      </c>
      <c r="AD288" s="5" t="s">
        <v>2278</v>
      </c>
      <c r="AE288" s="5" t="s">
        <v>1720</v>
      </c>
      <c r="AF288" s="5" t="s">
        <v>1720</v>
      </c>
      <c r="AG288" s="5" t="s">
        <v>1720</v>
      </c>
      <c r="AH288" s="5" t="s">
        <v>1720</v>
      </c>
      <c r="AI288" s="6" t="str">
        <f t="shared" si="9"/>
        <v>No</v>
      </c>
      <c r="AJ288" s="6" t="s">
        <v>2298</v>
      </c>
      <c r="AK288" s="6" t="s">
        <v>162</v>
      </c>
      <c r="AL288" s="6">
        <f>MATCH(AA288,{"Low","Medium","High"},0)*MATCH(AB288,{"Low","Medium","High"},0)*INDEX({3,2,2,1,1},MATCH(X288,{"Core","Vertical extension","Differentiator","Future","Adjacent"},0))</f>
        <v>27</v>
      </c>
      <c r="AM288" s="5"/>
      <c r="AN288" s="5"/>
      <c r="AO288" s="5"/>
      <c r="AP288" s="5"/>
      <c r="AQ288" s="5"/>
      <c r="AR288" s="5"/>
      <c r="AS288" s="5"/>
      <c r="AT288" s="5"/>
      <c r="AU288" s="6" t="s">
        <v>2317</v>
      </c>
      <c r="AV288" s="6" t="s">
        <v>3968</v>
      </c>
      <c r="AW288" s="6" t="s">
        <v>3968</v>
      </c>
      <c r="AX288" s="6" t="s">
        <v>2374</v>
      </c>
      <c r="AY288" s="6" t="s">
        <v>2285</v>
      </c>
      <c r="AZ288" s="6"/>
      <c r="BA288" s="6"/>
      <c r="BB288" s="6"/>
      <c r="BC288" s="6" t="s">
        <v>127</v>
      </c>
      <c r="BD288" s="6" t="s">
        <v>127</v>
      </c>
      <c r="BE288" s="6" t="s">
        <v>1477</v>
      </c>
      <c r="BF288" s="6" t="s">
        <v>2286</v>
      </c>
      <c r="BG288" s="6" t="s">
        <v>2441</v>
      </c>
      <c r="BH288" s="6" t="s">
        <v>4663</v>
      </c>
    </row>
    <row r="289" spans="1:60" ht="32" customHeight="1" x14ac:dyDescent="0.35">
      <c r="A289" s="13" t="s">
        <v>4664</v>
      </c>
      <c r="B289" s="6" t="s">
        <v>3901</v>
      </c>
      <c r="C289" s="5" t="s">
        <v>1652</v>
      </c>
      <c r="D289" s="5" t="s">
        <v>2183</v>
      </c>
      <c r="E289" s="5" t="s">
        <v>4665</v>
      </c>
      <c r="F289" s="5" t="s">
        <v>3980</v>
      </c>
      <c r="G289" s="5" t="s">
        <v>2973</v>
      </c>
      <c r="H289" s="5" t="s">
        <v>4666</v>
      </c>
      <c r="I289" s="5" t="s">
        <v>4667</v>
      </c>
      <c r="J289" s="17" t="s">
        <v>162</v>
      </c>
      <c r="K289" s="17" t="s">
        <v>1477</v>
      </c>
      <c r="L289" s="5" t="s">
        <v>4668</v>
      </c>
      <c r="M289" s="6" t="s">
        <v>1493</v>
      </c>
      <c r="N289" s="6" t="s">
        <v>2170</v>
      </c>
      <c r="O289" s="6" t="s">
        <v>162</v>
      </c>
      <c r="P289" s="5" t="s">
        <v>2272</v>
      </c>
      <c r="Q289" s="17" t="s">
        <v>2273</v>
      </c>
      <c r="R289" s="5" t="s">
        <v>4669</v>
      </c>
      <c r="S289" s="6" t="s">
        <v>2438</v>
      </c>
      <c r="T289" s="5" t="s">
        <v>2439</v>
      </c>
      <c r="U289" s="6"/>
      <c r="V289" s="6" t="s">
        <v>2440</v>
      </c>
      <c r="W289" s="6" t="s">
        <v>1699</v>
      </c>
      <c r="X289" s="5" t="s">
        <v>228</v>
      </c>
      <c r="Y289" s="5" t="s">
        <v>2170</v>
      </c>
      <c r="Z289" s="5" t="str">
        <f t="shared" si="8"/>
        <v>Critical</v>
      </c>
      <c r="AA289" s="5" t="s">
        <v>1302</v>
      </c>
      <c r="AB289" s="6" t="s">
        <v>1302</v>
      </c>
      <c r="AC289" s="6" t="s">
        <v>135</v>
      </c>
      <c r="AD289" s="5" t="s">
        <v>2278</v>
      </c>
      <c r="AE289" s="5" t="s">
        <v>1720</v>
      </c>
      <c r="AF289" s="5" t="s">
        <v>1720</v>
      </c>
      <c r="AG289" s="5" t="s">
        <v>1720</v>
      </c>
      <c r="AH289" s="5" t="s">
        <v>1720</v>
      </c>
      <c r="AI289" s="6" t="str">
        <f t="shared" si="9"/>
        <v>No</v>
      </c>
      <c r="AJ289" s="6" t="s">
        <v>2298</v>
      </c>
      <c r="AK289" s="6" t="s">
        <v>162</v>
      </c>
      <c r="AL289" s="6">
        <f>MATCH(AA289,{"Low","Medium","High"},0)*MATCH(AB289,{"Low","Medium","High"},0)*INDEX({3,2,2,1,1},MATCH(X289,{"Core","Vertical extension","Differentiator","Future","Adjacent"},0))</f>
        <v>27</v>
      </c>
      <c r="AM289" s="5"/>
      <c r="AN289" s="5"/>
      <c r="AO289" s="5"/>
      <c r="AP289" s="5"/>
      <c r="AQ289" s="5"/>
      <c r="AR289" s="5"/>
      <c r="AS289" s="5"/>
      <c r="AT289" s="5"/>
      <c r="AU289" s="6" t="s">
        <v>2317</v>
      </c>
      <c r="AV289" s="6" t="s">
        <v>3968</v>
      </c>
      <c r="AW289" s="6" t="s">
        <v>3968</v>
      </c>
      <c r="AX289" s="6" t="s">
        <v>2284</v>
      </c>
      <c r="AY289" s="6" t="s">
        <v>2285</v>
      </c>
      <c r="AZ289" s="6"/>
      <c r="BA289" s="6"/>
      <c r="BB289" s="6"/>
      <c r="BC289" s="6" t="s">
        <v>127</v>
      </c>
      <c r="BD289" s="6" t="s">
        <v>127</v>
      </c>
      <c r="BE289" s="6" t="s">
        <v>1477</v>
      </c>
      <c r="BF289" s="6" t="s">
        <v>2286</v>
      </c>
      <c r="BG289" s="6" t="s">
        <v>4670</v>
      </c>
      <c r="BH289" s="6" t="s">
        <v>4671</v>
      </c>
    </row>
    <row r="290" spans="1:60" ht="32" customHeight="1" x14ac:dyDescent="0.35">
      <c r="A290" s="13" t="s">
        <v>4672</v>
      </c>
      <c r="B290" s="6" t="s">
        <v>3901</v>
      </c>
      <c r="C290" s="5" t="s">
        <v>1652</v>
      </c>
      <c r="D290" s="5" t="s">
        <v>2183</v>
      </c>
      <c r="E290" s="5" t="s">
        <v>4673</v>
      </c>
      <c r="F290" s="5" t="s">
        <v>3980</v>
      </c>
      <c r="G290" s="5" t="s">
        <v>2973</v>
      </c>
      <c r="H290" s="5" t="s">
        <v>4674</v>
      </c>
      <c r="I290" s="5" t="s">
        <v>4675</v>
      </c>
      <c r="J290" s="17" t="s">
        <v>162</v>
      </c>
      <c r="K290" s="17" t="s">
        <v>1477</v>
      </c>
      <c r="L290" s="5" t="s">
        <v>4676</v>
      </c>
      <c r="M290" s="6" t="s">
        <v>1493</v>
      </c>
      <c r="N290" s="6" t="s">
        <v>2170</v>
      </c>
      <c r="O290" s="6" t="s">
        <v>162</v>
      </c>
      <c r="P290" s="5" t="s">
        <v>2272</v>
      </c>
      <c r="Q290" s="18" t="s">
        <v>1482</v>
      </c>
      <c r="R290" s="5" t="s">
        <v>4057</v>
      </c>
      <c r="S290" s="6" t="s">
        <v>2438</v>
      </c>
      <c r="T290" s="5" t="s">
        <v>2439</v>
      </c>
      <c r="U290" s="6"/>
      <c r="V290" s="6" t="s">
        <v>2440</v>
      </c>
      <c r="W290" s="6" t="s">
        <v>1699</v>
      </c>
      <c r="X290" s="5" t="s">
        <v>228</v>
      </c>
      <c r="Y290" s="5" t="s">
        <v>2170</v>
      </c>
      <c r="Z290" s="5" t="str">
        <f t="shared" si="8"/>
        <v>Critical</v>
      </c>
      <c r="AA290" s="5" t="s">
        <v>1302</v>
      </c>
      <c r="AB290" s="6" t="s">
        <v>1302</v>
      </c>
      <c r="AC290" s="6" t="s">
        <v>135</v>
      </c>
      <c r="AD290" s="5" t="s">
        <v>2278</v>
      </c>
      <c r="AE290" s="5" t="s">
        <v>1720</v>
      </c>
      <c r="AF290" s="5" t="s">
        <v>1720</v>
      </c>
      <c r="AG290" s="5" t="s">
        <v>1720</v>
      </c>
      <c r="AH290" s="5" t="s">
        <v>1720</v>
      </c>
      <c r="AI290" s="6" t="str">
        <f t="shared" si="9"/>
        <v>No</v>
      </c>
      <c r="AJ290" s="6" t="s">
        <v>2298</v>
      </c>
      <c r="AK290" s="6" t="s">
        <v>162</v>
      </c>
      <c r="AL290" s="6">
        <f>MATCH(AA290,{"Low","Medium","High"},0)*MATCH(AB290,{"Low","Medium","High"},0)*INDEX({3,2,2,1,1},MATCH(X290,{"Core","Vertical extension","Differentiator","Future","Adjacent"},0))</f>
        <v>27</v>
      </c>
      <c r="AM290" s="5"/>
      <c r="AN290" s="5"/>
      <c r="AO290" s="5"/>
      <c r="AP290" s="5"/>
      <c r="AQ290" s="5"/>
      <c r="AR290" s="5"/>
      <c r="AS290" s="5"/>
      <c r="AT290" s="5"/>
      <c r="AU290" s="6" t="s">
        <v>2317</v>
      </c>
      <c r="AV290" s="6" t="s">
        <v>3968</v>
      </c>
      <c r="AW290" s="6" t="s">
        <v>3968</v>
      </c>
      <c r="AX290" s="6" t="s">
        <v>2284</v>
      </c>
      <c r="AY290" s="6" t="s">
        <v>2285</v>
      </c>
      <c r="AZ290" s="6" t="s">
        <v>4677</v>
      </c>
      <c r="BA290" s="6" t="s">
        <v>4678</v>
      </c>
      <c r="BB290" s="6" t="s">
        <v>4059</v>
      </c>
      <c r="BC290" s="6" t="s">
        <v>127</v>
      </c>
      <c r="BD290" s="6" t="s">
        <v>127</v>
      </c>
      <c r="BE290" s="6"/>
      <c r="BF290" s="6"/>
      <c r="BG290" s="6"/>
      <c r="BH290" s="6"/>
    </row>
    <row r="291" spans="1:60" ht="32" customHeight="1" x14ac:dyDescent="0.35">
      <c r="A291" s="13" t="s">
        <v>4679</v>
      </c>
      <c r="B291" s="6" t="s">
        <v>3901</v>
      </c>
      <c r="C291" s="5" t="s">
        <v>1652</v>
      </c>
      <c r="D291" s="5" t="s">
        <v>2183</v>
      </c>
      <c r="E291" s="5" t="s">
        <v>4680</v>
      </c>
      <c r="F291" s="5" t="s">
        <v>3980</v>
      </c>
      <c r="G291" s="5" t="s">
        <v>2973</v>
      </c>
      <c r="H291" s="5" t="s">
        <v>4681</v>
      </c>
      <c r="I291" s="5" t="s">
        <v>4682</v>
      </c>
      <c r="J291" s="17" t="s">
        <v>162</v>
      </c>
      <c r="K291" s="17" t="s">
        <v>1477</v>
      </c>
      <c r="L291" s="5" t="s">
        <v>4683</v>
      </c>
      <c r="M291" s="6" t="s">
        <v>1493</v>
      </c>
      <c r="N291" s="6" t="s">
        <v>2170</v>
      </c>
      <c r="O291" s="6" t="s">
        <v>162</v>
      </c>
      <c r="P291" s="5" t="s">
        <v>2272</v>
      </c>
      <c r="Q291" s="18" t="s">
        <v>1482</v>
      </c>
      <c r="R291" s="5" t="s">
        <v>4684</v>
      </c>
      <c r="S291" s="6" t="s">
        <v>2438</v>
      </c>
      <c r="T291" s="5" t="s">
        <v>2439</v>
      </c>
      <c r="U291" s="6"/>
      <c r="V291" s="6" t="s">
        <v>2440</v>
      </c>
      <c r="W291" s="6" t="s">
        <v>1699</v>
      </c>
      <c r="X291" s="5" t="s">
        <v>228</v>
      </c>
      <c r="Y291" s="5" t="s">
        <v>2170</v>
      </c>
      <c r="Z291" s="5" t="str">
        <f t="shared" si="8"/>
        <v>Critical</v>
      </c>
      <c r="AA291" s="5" t="s">
        <v>1302</v>
      </c>
      <c r="AB291" s="6" t="s">
        <v>1302</v>
      </c>
      <c r="AC291" s="6" t="s">
        <v>135</v>
      </c>
      <c r="AD291" s="5" t="s">
        <v>2278</v>
      </c>
      <c r="AE291" s="5" t="s">
        <v>1720</v>
      </c>
      <c r="AF291" s="5" t="s">
        <v>1720</v>
      </c>
      <c r="AG291" s="5" t="s">
        <v>1720</v>
      </c>
      <c r="AH291" s="5" t="s">
        <v>1720</v>
      </c>
      <c r="AI291" s="6" t="str">
        <f t="shared" si="9"/>
        <v>No</v>
      </c>
      <c r="AJ291" s="6" t="s">
        <v>2298</v>
      </c>
      <c r="AK291" s="6" t="s">
        <v>162</v>
      </c>
      <c r="AL291" s="6">
        <f>MATCH(AA291,{"Low","Medium","High"},0)*MATCH(AB291,{"Low","Medium","High"},0)*INDEX({3,2,2,1,1},MATCH(X291,{"Core","Vertical extension","Differentiator","Future","Adjacent"},0))</f>
        <v>27</v>
      </c>
      <c r="AM291" s="5"/>
      <c r="AN291" s="5"/>
      <c r="AO291" s="5"/>
      <c r="AP291" s="5"/>
      <c r="AQ291" s="5"/>
      <c r="AR291" s="5"/>
      <c r="AS291" s="5"/>
      <c r="AT291" s="5"/>
      <c r="AU291" s="6" t="s">
        <v>2317</v>
      </c>
      <c r="AV291" s="6" t="s">
        <v>3968</v>
      </c>
      <c r="AW291" s="6" t="s">
        <v>3968</v>
      </c>
      <c r="AX291" s="6" t="s">
        <v>2284</v>
      </c>
      <c r="AY291" s="6" t="s">
        <v>2285</v>
      </c>
      <c r="AZ291" s="6" t="s">
        <v>4685</v>
      </c>
      <c r="BA291" s="6" t="s">
        <v>4686</v>
      </c>
      <c r="BB291" s="6" t="s">
        <v>4687</v>
      </c>
      <c r="BC291" s="6" t="s">
        <v>127</v>
      </c>
      <c r="BD291" s="6" t="s">
        <v>127</v>
      </c>
      <c r="BE291" s="6"/>
      <c r="BF291" s="6"/>
      <c r="BG291" s="6"/>
      <c r="BH291" s="6"/>
    </row>
    <row r="292" spans="1:60" ht="32" customHeight="1" x14ac:dyDescent="0.35">
      <c r="A292" s="13" t="s">
        <v>4688</v>
      </c>
      <c r="B292" s="6" t="s">
        <v>3901</v>
      </c>
      <c r="C292" s="5" t="s">
        <v>1652</v>
      </c>
      <c r="D292" s="5" t="s">
        <v>2183</v>
      </c>
      <c r="E292" s="5" t="s">
        <v>4689</v>
      </c>
      <c r="F292" s="5" t="s">
        <v>2973</v>
      </c>
      <c r="G292" s="5" t="s">
        <v>2974</v>
      </c>
      <c r="H292" s="5" t="s">
        <v>4690</v>
      </c>
      <c r="I292" s="5" t="s">
        <v>4691</v>
      </c>
      <c r="J292" s="17" t="s">
        <v>162</v>
      </c>
      <c r="K292" s="17" t="s">
        <v>1477</v>
      </c>
      <c r="L292" s="5" t="s">
        <v>4692</v>
      </c>
      <c r="M292" s="6" t="s">
        <v>1493</v>
      </c>
      <c r="N292" s="6" t="s">
        <v>2170</v>
      </c>
      <c r="O292" s="6" t="s">
        <v>162</v>
      </c>
      <c r="P292" s="5" t="s">
        <v>2272</v>
      </c>
      <c r="Q292" s="17" t="s">
        <v>2273</v>
      </c>
      <c r="R292" s="5" t="s">
        <v>4693</v>
      </c>
      <c r="S292" s="6" t="s">
        <v>2438</v>
      </c>
      <c r="T292" s="5" t="s">
        <v>2439</v>
      </c>
      <c r="U292" s="6"/>
      <c r="V292" s="6" t="s">
        <v>2440</v>
      </c>
      <c r="W292" s="6" t="s">
        <v>1699</v>
      </c>
      <c r="X292" s="5" t="s">
        <v>228</v>
      </c>
      <c r="Y292" s="5" t="s">
        <v>2170</v>
      </c>
      <c r="Z292" s="5" t="str">
        <f t="shared" si="8"/>
        <v>Critical</v>
      </c>
      <c r="AA292" s="5" t="s">
        <v>1302</v>
      </c>
      <c r="AB292" s="6" t="s">
        <v>1302</v>
      </c>
      <c r="AC292" s="6" t="s">
        <v>135</v>
      </c>
      <c r="AD292" s="5" t="s">
        <v>2278</v>
      </c>
      <c r="AE292" s="5" t="s">
        <v>1720</v>
      </c>
      <c r="AF292" s="5" t="s">
        <v>1720</v>
      </c>
      <c r="AG292" s="5" t="s">
        <v>1720</v>
      </c>
      <c r="AH292" s="5" t="s">
        <v>1720</v>
      </c>
      <c r="AI292" s="6" t="str">
        <f t="shared" si="9"/>
        <v>No</v>
      </c>
      <c r="AJ292" s="6" t="s">
        <v>2298</v>
      </c>
      <c r="AK292" s="6" t="s">
        <v>162</v>
      </c>
      <c r="AL292" s="6">
        <f>MATCH(AA292,{"Low","Medium","High"},0)*MATCH(AB292,{"Low","Medium","High"},0)*INDEX({3,2,2,1,1},MATCH(X292,{"Core","Vertical extension","Differentiator","Future","Adjacent"},0))</f>
        <v>27</v>
      </c>
      <c r="AM292" s="5"/>
      <c r="AN292" s="5"/>
      <c r="AO292" s="5"/>
      <c r="AP292" s="5"/>
      <c r="AQ292" s="5"/>
      <c r="AR292" s="5"/>
      <c r="AS292" s="5"/>
      <c r="AT292" s="5"/>
      <c r="AU292" s="6" t="s">
        <v>2317</v>
      </c>
      <c r="AV292" s="6" t="s">
        <v>76</v>
      </c>
      <c r="AW292" s="6" t="s">
        <v>76</v>
      </c>
      <c r="AX292" s="6" t="s">
        <v>2284</v>
      </c>
      <c r="AY292" s="6" t="s">
        <v>2285</v>
      </c>
      <c r="AZ292" s="6"/>
      <c r="BA292" s="6"/>
      <c r="BB292" s="6"/>
      <c r="BC292" s="6" t="s">
        <v>127</v>
      </c>
      <c r="BD292" s="6" t="s">
        <v>127</v>
      </c>
      <c r="BE292" s="6" t="s">
        <v>1477</v>
      </c>
      <c r="BF292" s="6" t="s">
        <v>2286</v>
      </c>
      <c r="BG292" s="6" t="s">
        <v>4694</v>
      </c>
      <c r="BH292" s="6" t="s">
        <v>4695</v>
      </c>
    </row>
    <row r="293" spans="1:60" ht="32" customHeight="1" x14ac:dyDescent="0.35">
      <c r="A293" s="13" t="s">
        <v>4696</v>
      </c>
      <c r="B293" s="6" t="s">
        <v>3901</v>
      </c>
      <c r="C293" s="5" t="s">
        <v>1652</v>
      </c>
      <c r="D293" s="5" t="s">
        <v>2183</v>
      </c>
      <c r="E293" s="5" t="s">
        <v>4697</v>
      </c>
      <c r="F293" s="5" t="s">
        <v>2973</v>
      </c>
      <c r="G293" s="5" t="s">
        <v>4698</v>
      </c>
      <c r="H293" s="5" t="s">
        <v>4699</v>
      </c>
      <c r="I293" s="5" t="s">
        <v>4700</v>
      </c>
      <c r="J293" s="17" t="s">
        <v>162</v>
      </c>
      <c r="K293" s="17" t="s">
        <v>1477</v>
      </c>
      <c r="L293" s="5" t="s">
        <v>4701</v>
      </c>
      <c r="M293" s="6" t="s">
        <v>1493</v>
      </c>
      <c r="N293" s="6" t="s">
        <v>2170</v>
      </c>
      <c r="O293" s="6" t="s">
        <v>162</v>
      </c>
      <c r="P293" s="5" t="s">
        <v>2272</v>
      </c>
      <c r="Q293" s="17" t="s">
        <v>2273</v>
      </c>
      <c r="R293" s="5" t="s">
        <v>4702</v>
      </c>
      <c r="S293" s="6" t="s">
        <v>2438</v>
      </c>
      <c r="T293" s="5" t="s">
        <v>2439</v>
      </c>
      <c r="U293" s="6"/>
      <c r="V293" s="6" t="s">
        <v>2440</v>
      </c>
      <c r="W293" s="6" t="s">
        <v>1699</v>
      </c>
      <c r="X293" s="5" t="s">
        <v>228</v>
      </c>
      <c r="Y293" s="5" t="s">
        <v>2170</v>
      </c>
      <c r="Z293" s="5" t="str">
        <f t="shared" si="8"/>
        <v>Critical</v>
      </c>
      <c r="AA293" s="5" t="s">
        <v>1302</v>
      </c>
      <c r="AB293" s="6" t="s">
        <v>1302</v>
      </c>
      <c r="AC293" s="6" t="s">
        <v>135</v>
      </c>
      <c r="AD293" s="5" t="s">
        <v>2278</v>
      </c>
      <c r="AE293" s="5" t="s">
        <v>1720</v>
      </c>
      <c r="AF293" s="5" t="s">
        <v>1720</v>
      </c>
      <c r="AG293" s="5" t="s">
        <v>1720</v>
      </c>
      <c r="AH293" s="5" t="s">
        <v>1720</v>
      </c>
      <c r="AI293" s="6" t="str">
        <f t="shared" si="9"/>
        <v>No</v>
      </c>
      <c r="AJ293" s="6" t="s">
        <v>2298</v>
      </c>
      <c r="AK293" s="6" t="s">
        <v>162</v>
      </c>
      <c r="AL293" s="6">
        <f>MATCH(AA293,{"Low","Medium","High"},0)*MATCH(AB293,{"Low","Medium","High"},0)*INDEX({3,2,2,1,1},MATCH(X293,{"Core","Vertical extension","Differentiator","Future","Adjacent"},0))</f>
        <v>27</v>
      </c>
      <c r="AM293" s="5"/>
      <c r="AN293" s="5"/>
      <c r="AO293" s="5"/>
      <c r="AP293" s="5"/>
      <c r="AQ293" s="5"/>
      <c r="AR293" s="5"/>
      <c r="AS293" s="5"/>
      <c r="AT293" s="5"/>
      <c r="AU293" s="6" t="s">
        <v>2317</v>
      </c>
      <c r="AV293" s="6" t="s">
        <v>76</v>
      </c>
      <c r="AW293" s="6" t="s">
        <v>76</v>
      </c>
      <c r="AX293" s="6" t="s">
        <v>2284</v>
      </c>
      <c r="AY293" s="6" t="s">
        <v>2285</v>
      </c>
      <c r="AZ293" s="6"/>
      <c r="BA293" s="6"/>
      <c r="BB293" s="6"/>
      <c r="BC293" s="6" t="s">
        <v>127</v>
      </c>
      <c r="BD293" s="6" t="s">
        <v>127</v>
      </c>
      <c r="BE293" s="6" t="s">
        <v>1477</v>
      </c>
      <c r="BF293" s="6" t="s">
        <v>2286</v>
      </c>
      <c r="BG293" s="6" t="s">
        <v>4703</v>
      </c>
      <c r="BH293" s="6" t="s">
        <v>4704</v>
      </c>
    </row>
    <row r="294" spans="1:60" ht="32" customHeight="1" x14ac:dyDescent="0.35">
      <c r="A294" s="13" t="s">
        <v>4705</v>
      </c>
      <c r="B294" s="6" t="s">
        <v>3901</v>
      </c>
      <c r="C294" s="5" t="s">
        <v>1652</v>
      </c>
      <c r="D294" s="5" t="s">
        <v>2183</v>
      </c>
      <c r="E294" s="5" t="s">
        <v>4706</v>
      </c>
      <c r="F294" s="5" t="s">
        <v>2973</v>
      </c>
      <c r="G294" s="5" t="s">
        <v>4698</v>
      </c>
      <c r="H294" s="5" t="s">
        <v>4707</v>
      </c>
      <c r="I294" s="5" t="s">
        <v>4708</v>
      </c>
      <c r="J294" s="17" t="s">
        <v>162</v>
      </c>
      <c r="K294" s="17" t="s">
        <v>1477</v>
      </c>
      <c r="L294" s="5" t="s">
        <v>4709</v>
      </c>
      <c r="M294" s="6" t="s">
        <v>1493</v>
      </c>
      <c r="N294" s="6" t="s">
        <v>2170</v>
      </c>
      <c r="O294" s="6" t="s">
        <v>162</v>
      </c>
      <c r="P294" s="5" t="s">
        <v>2272</v>
      </c>
      <c r="Q294" s="17" t="s">
        <v>2273</v>
      </c>
      <c r="R294" s="5" t="s">
        <v>4710</v>
      </c>
      <c r="S294" s="6" t="s">
        <v>2438</v>
      </c>
      <c r="T294" s="5" t="s">
        <v>2439</v>
      </c>
      <c r="U294" s="6"/>
      <c r="V294" s="6" t="s">
        <v>2440</v>
      </c>
      <c r="W294" s="6" t="s">
        <v>1699</v>
      </c>
      <c r="X294" s="5" t="s">
        <v>228</v>
      </c>
      <c r="Y294" s="5" t="s">
        <v>2170</v>
      </c>
      <c r="Z294" s="5" t="str">
        <f t="shared" si="8"/>
        <v>Critical</v>
      </c>
      <c r="AA294" s="5" t="s">
        <v>1302</v>
      </c>
      <c r="AB294" s="6" t="s">
        <v>1302</v>
      </c>
      <c r="AC294" s="6" t="s">
        <v>135</v>
      </c>
      <c r="AD294" s="5" t="s">
        <v>2278</v>
      </c>
      <c r="AE294" s="5" t="s">
        <v>1720</v>
      </c>
      <c r="AF294" s="5" t="s">
        <v>1720</v>
      </c>
      <c r="AG294" s="5" t="s">
        <v>1720</v>
      </c>
      <c r="AH294" s="5" t="s">
        <v>1720</v>
      </c>
      <c r="AI294" s="6" t="str">
        <f t="shared" si="9"/>
        <v>No</v>
      </c>
      <c r="AJ294" s="6" t="s">
        <v>2298</v>
      </c>
      <c r="AK294" s="6" t="s">
        <v>162</v>
      </c>
      <c r="AL294" s="6">
        <f>MATCH(AA294,{"Low","Medium","High"},0)*MATCH(AB294,{"Low","Medium","High"},0)*INDEX({3,2,2,1,1},MATCH(X294,{"Core","Vertical extension","Differentiator","Future","Adjacent"},0))</f>
        <v>27</v>
      </c>
      <c r="AM294" s="5"/>
      <c r="AN294" s="5"/>
      <c r="AO294" s="5"/>
      <c r="AP294" s="5"/>
      <c r="AQ294" s="5"/>
      <c r="AR294" s="5"/>
      <c r="AS294" s="5"/>
      <c r="AT294" s="5"/>
      <c r="AU294" s="6" t="s">
        <v>2317</v>
      </c>
      <c r="AV294" s="6" t="s">
        <v>76</v>
      </c>
      <c r="AW294" s="6" t="s">
        <v>76</v>
      </c>
      <c r="AX294" s="6" t="s">
        <v>2284</v>
      </c>
      <c r="AY294" s="6" t="s">
        <v>2285</v>
      </c>
      <c r="AZ294" s="6"/>
      <c r="BA294" s="6"/>
      <c r="BB294" s="6"/>
      <c r="BC294" s="6" t="s">
        <v>127</v>
      </c>
      <c r="BD294" s="6" t="s">
        <v>127</v>
      </c>
      <c r="BE294" s="6" t="s">
        <v>1477</v>
      </c>
      <c r="BF294" s="6" t="s">
        <v>2286</v>
      </c>
      <c r="BG294" s="6" t="s">
        <v>4711</v>
      </c>
      <c r="BH294" s="6" t="s">
        <v>4712</v>
      </c>
    </row>
    <row r="295" spans="1:60" ht="32" customHeight="1" x14ac:dyDescent="0.35">
      <c r="A295" s="13" t="s">
        <v>4713</v>
      </c>
      <c r="B295" s="6" t="s">
        <v>3901</v>
      </c>
      <c r="C295" s="5" t="s">
        <v>1652</v>
      </c>
      <c r="D295" s="5" t="s">
        <v>2183</v>
      </c>
      <c r="E295" s="5" t="s">
        <v>4714</v>
      </c>
      <c r="F295" s="5" t="s">
        <v>2973</v>
      </c>
      <c r="G295" s="5" t="s">
        <v>2507</v>
      </c>
      <c r="H295" s="5" t="s">
        <v>4715</v>
      </c>
      <c r="I295" s="5" t="s">
        <v>4716</v>
      </c>
      <c r="J295" s="17" t="s">
        <v>162</v>
      </c>
      <c r="K295" s="17" t="s">
        <v>95</v>
      </c>
      <c r="L295" s="5" t="s">
        <v>4717</v>
      </c>
      <c r="M295" s="6" t="s">
        <v>1493</v>
      </c>
      <c r="N295" s="6" t="s">
        <v>2170</v>
      </c>
      <c r="O295" s="6" t="s">
        <v>162</v>
      </c>
      <c r="P295" s="5" t="s">
        <v>2272</v>
      </c>
      <c r="Q295" s="17" t="s">
        <v>95</v>
      </c>
      <c r="R295" s="5" t="s">
        <v>4718</v>
      </c>
      <c r="S295" s="6" t="s">
        <v>2438</v>
      </c>
      <c r="T295" s="5" t="s">
        <v>2439</v>
      </c>
      <c r="U295" s="6"/>
      <c r="V295" s="6" t="s">
        <v>2440</v>
      </c>
      <c r="W295" s="6" t="s">
        <v>1699</v>
      </c>
      <c r="X295" s="5" t="s">
        <v>228</v>
      </c>
      <c r="Y295" s="5" t="s">
        <v>2170</v>
      </c>
      <c r="Z295" s="5" t="str">
        <f t="shared" si="8"/>
        <v>Critical</v>
      </c>
      <c r="AA295" s="5" t="s">
        <v>1302</v>
      </c>
      <c r="AB295" s="6" t="s">
        <v>1302</v>
      </c>
      <c r="AC295" s="6" t="s">
        <v>135</v>
      </c>
      <c r="AD295" s="5" t="s">
        <v>95</v>
      </c>
      <c r="AE295" s="5" t="s">
        <v>1720</v>
      </c>
      <c r="AF295" s="5" t="s">
        <v>1720</v>
      </c>
      <c r="AG295" s="5" t="s">
        <v>1720</v>
      </c>
      <c r="AH295" s="5" t="s">
        <v>1720</v>
      </c>
      <c r="AI295" s="6" t="str">
        <f t="shared" si="9"/>
        <v>No</v>
      </c>
      <c r="AJ295" s="6" t="s">
        <v>229</v>
      </c>
      <c r="AK295" s="6" t="s">
        <v>162</v>
      </c>
      <c r="AL295" s="6">
        <f>MATCH(AA295,{"Low","Medium","High"},0)*MATCH(AB295,{"Low","Medium","High"},0)*INDEX({3,2,2,1,1},MATCH(X295,{"Core","Vertical extension","Differentiator","Future","Adjacent"},0))</f>
        <v>27</v>
      </c>
      <c r="AM295" s="5"/>
      <c r="AN295" s="5"/>
      <c r="AO295" s="5"/>
      <c r="AP295" s="5"/>
      <c r="AQ295" s="5"/>
      <c r="AR295" s="5"/>
      <c r="AS295" s="5"/>
      <c r="AT295" s="5"/>
      <c r="AU295" s="6" t="s">
        <v>2317</v>
      </c>
      <c r="AV295" s="6" t="s">
        <v>76</v>
      </c>
      <c r="AW295" s="6" t="s">
        <v>76</v>
      </c>
      <c r="AX295" s="6" t="s">
        <v>2284</v>
      </c>
      <c r="AY295" s="6" t="s">
        <v>2285</v>
      </c>
      <c r="AZ295" s="6"/>
      <c r="BA295" s="6"/>
      <c r="BB295" s="6"/>
      <c r="BC295" s="6" t="s">
        <v>127</v>
      </c>
      <c r="BD295" s="6" t="s">
        <v>127</v>
      </c>
      <c r="BE295" s="6" t="s">
        <v>1477</v>
      </c>
      <c r="BF295" s="6" t="s">
        <v>95</v>
      </c>
      <c r="BG295" s="6" t="s">
        <v>4719</v>
      </c>
      <c r="BH295" s="6" t="s">
        <v>4720</v>
      </c>
    </row>
    <row r="296" spans="1:60" ht="32" customHeight="1" x14ac:dyDescent="0.35">
      <c r="A296" s="13" t="s">
        <v>4721</v>
      </c>
      <c r="B296" s="6" t="s">
        <v>3901</v>
      </c>
      <c r="C296" s="5" t="s">
        <v>1652</v>
      </c>
      <c r="D296" s="5" t="s">
        <v>2183</v>
      </c>
      <c r="E296" s="5" t="s">
        <v>4722</v>
      </c>
      <c r="F296" s="5" t="s">
        <v>3980</v>
      </c>
      <c r="G296" s="5" t="s">
        <v>2973</v>
      </c>
      <c r="H296" s="5" t="s">
        <v>4723</v>
      </c>
      <c r="I296" s="5" t="s">
        <v>4724</v>
      </c>
      <c r="J296" s="17" t="s">
        <v>162</v>
      </c>
      <c r="K296" s="17" t="s">
        <v>1477</v>
      </c>
      <c r="L296" s="5" t="s">
        <v>4725</v>
      </c>
      <c r="M296" s="6" t="s">
        <v>1493</v>
      </c>
      <c r="N296" s="6" t="s">
        <v>2170</v>
      </c>
      <c r="O296" s="6" t="s">
        <v>162</v>
      </c>
      <c r="P296" s="5" t="s">
        <v>2272</v>
      </c>
      <c r="Q296" s="17" t="s">
        <v>2273</v>
      </c>
      <c r="R296" s="5" t="s">
        <v>4726</v>
      </c>
      <c r="S296" s="6" t="s">
        <v>2438</v>
      </c>
      <c r="T296" s="5" t="s">
        <v>2439</v>
      </c>
      <c r="U296" s="6"/>
      <c r="V296" s="6" t="s">
        <v>2440</v>
      </c>
      <c r="W296" s="6" t="s">
        <v>1699</v>
      </c>
      <c r="X296" s="5" t="s">
        <v>228</v>
      </c>
      <c r="Y296" s="5" t="s">
        <v>2170</v>
      </c>
      <c r="Z296" s="5" t="str">
        <f t="shared" si="8"/>
        <v>Critical</v>
      </c>
      <c r="AA296" s="5" t="s">
        <v>1302</v>
      </c>
      <c r="AB296" s="6" t="s">
        <v>1302</v>
      </c>
      <c r="AC296" s="6" t="s">
        <v>135</v>
      </c>
      <c r="AD296" s="5" t="s">
        <v>2278</v>
      </c>
      <c r="AE296" s="5" t="s">
        <v>1720</v>
      </c>
      <c r="AF296" s="5" t="s">
        <v>1720</v>
      </c>
      <c r="AG296" s="5" t="s">
        <v>1720</v>
      </c>
      <c r="AH296" s="5" t="s">
        <v>1720</v>
      </c>
      <c r="AI296" s="6" t="str">
        <f t="shared" si="9"/>
        <v>No</v>
      </c>
      <c r="AJ296" s="6" t="s">
        <v>2298</v>
      </c>
      <c r="AK296" s="6" t="s">
        <v>162</v>
      </c>
      <c r="AL296" s="6">
        <f>MATCH(AA296,{"Low","Medium","High"},0)*MATCH(AB296,{"Low","Medium","High"},0)*INDEX({3,2,2,1,1},MATCH(X296,{"Core","Vertical extension","Differentiator","Future","Adjacent"},0))</f>
        <v>27</v>
      </c>
      <c r="AM296" s="5"/>
      <c r="AN296" s="5"/>
      <c r="AO296" s="5"/>
      <c r="AP296" s="5"/>
      <c r="AQ296" s="5"/>
      <c r="AR296" s="5"/>
      <c r="AS296" s="5"/>
      <c r="AT296" s="5"/>
      <c r="AU296" s="6" t="s">
        <v>2317</v>
      </c>
      <c r="AV296" s="6" t="s">
        <v>3968</v>
      </c>
      <c r="AW296" s="6" t="s">
        <v>3968</v>
      </c>
      <c r="AX296" s="6" t="s">
        <v>2284</v>
      </c>
      <c r="AY296" s="6" t="s">
        <v>2285</v>
      </c>
      <c r="AZ296" s="6"/>
      <c r="BA296" s="6"/>
      <c r="BB296" s="6"/>
      <c r="BC296" s="6" t="s">
        <v>127</v>
      </c>
      <c r="BD296" s="6" t="s">
        <v>127</v>
      </c>
      <c r="BE296" s="6" t="s">
        <v>1477</v>
      </c>
      <c r="BF296" s="6" t="s">
        <v>2286</v>
      </c>
      <c r="BG296" s="6" t="s">
        <v>4727</v>
      </c>
      <c r="BH296" s="6" t="s">
        <v>4728</v>
      </c>
    </row>
    <row r="297" spans="1:60" ht="32" customHeight="1" x14ac:dyDescent="0.35">
      <c r="A297" s="13" t="s">
        <v>4729</v>
      </c>
      <c r="B297" s="6" t="s">
        <v>3901</v>
      </c>
      <c r="C297" s="5" t="s">
        <v>1652</v>
      </c>
      <c r="D297" s="5" t="s">
        <v>2183</v>
      </c>
      <c r="E297" s="5" t="s">
        <v>4730</v>
      </c>
      <c r="F297" s="5" t="s">
        <v>3980</v>
      </c>
      <c r="G297" s="5" t="s">
        <v>2973</v>
      </c>
      <c r="H297" s="5" t="s">
        <v>4731</v>
      </c>
      <c r="I297" s="5" t="s">
        <v>4732</v>
      </c>
      <c r="J297" s="17" t="s">
        <v>162</v>
      </c>
      <c r="K297" s="17" t="s">
        <v>1477</v>
      </c>
      <c r="L297" s="5" t="s">
        <v>4733</v>
      </c>
      <c r="M297" s="6" t="s">
        <v>1493</v>
      </c>
      <c r="N297" s="6" t="s">
        <v>2170</v>
      </c>
      <c r="O297" s="6" t="s">
        <v>162</v>
      </c>
      <c r="P297" s="5" t="s">
        <v>2272</v>
      </c>
      <c r="Q297" s="17" t="s">
        <v>2273</v>
      </c>
      <c r="R297" s="5" t="s">
        <v>4734</v>
      </c>
      <c r="S297" s="6" t="s">
        <v>2438</v>
      </c>
      <c r="T297" s="5" t="s">
        <v>2439</v>
      </c>
      <c r="U297" s="6"/>
      <c r="V297" s="6" t="s">
        <v>2440</v>
      </c>
      <c r="W297" s="6" t="s">
        <v>1699</v>
      </c>
      <c r="X297" s="5" t="s">
        <v>228</v>
      </c>
      <c r="Y297" s="5" t="s">
        <v>2170</v>
      </c>
      <c r="Z297" s="5" t="str">
        <f t="shared" si="8"/>
        <v>Critical</v>
      </c>
      <c r="AA297" s="5" t="s">
        <v>1302</v>
      </c>
      <c r="AB297" s="6" t="s">
        <v>1302</v>
      </c>
      <c r="AC297" s="6" t="s">
        <v>135</v>
      </c>
      <c r="AD297" s="5" t="s">
        <v>2278</v>
      </c>
      <c r="AE297" s="5" t="s">
        <v>1720</v>
      </c>
      <c r="AF297" s="5" t="s">
        <v>1720</v>
      </c>
      <c r="AG297" s="5" t="s">
        <v>1720</v>
      </c>
      <c r="AH297" s="5" t="s">
        <v>1720</v>
      </c>
      <c r="AI297" s="6" t="str">
        <f t="shared" si="9"/>
        <v>No</v>
      </c>
      <c r="AJ297" s="6" t="s">
        <v>2298</v>
      </c>
      <c r="AK297" s="6" t="s">
        <v>162</v>
      </c>
      <c r="AL297" s="6">
        <f>MATCH(AA297,{"Low","Medium","High"},0)*MATCH(AB297,{"Low","Medium","High"},0)*INDEX({3,2,2,1,1},MATCH(X297,{"Core","Vertical extension","Differentiator","Future","Adjacent"},0))</f>
        <v>27</v>
      </c>
      <c r="AM297" s="5"/>
      <c r="AN297" s="5"/>
      <c r="AO297" s="5"/>
      <c r="AP297" s="5"/>
      <c r="AQ297" s="5"/>
      <c r="AR297" s="5"/>
      <c r="AS297" s="5"/>
      <c r="AT297" s="5"/>
      <c r="AU297" s="6" t="s">
        <v>2317</v>
      </c>
      <c r="AV297" s="6" t="s">
        <v>3968</v>
      </c>
      <c r="AW297" s="6" t="s">
        <v>3968</v>
      </c>
      <c r="AX297" s="6" t="s">
        <v>2284</v>
      </c>
      <c r="AY297" s="6" t="s">
        <v>2285</v>
      </c>
      <c r="AZ297" s="6"/>
      <c r="BA297" s="6"/>
      <c r="BB297" s="6"/>
      <c r="BC297" s="6" t="s">
        <v>127</v>
      </c>
      <c r="BD297" s="6" t="s">
        <v>127</v>
      </c>
      <c r="BE297" s="6" t="s">
        <v>1477</v>
      </c>
      <c r="BF297" s="6" t="s">
        <v>2286</v>
      </c>
      <c r="BG297" s="6" t="s">
        <v>4735</v>
      </c>
      <c r="BH297" s="6" t="s">
        <v>4736</v>
      </c>
    </row>
    <row r="298" spans="1:60" ht="32" customHeight="1" x14ac:dyDescent="0.35">
      <c r="A298" s="13" t="s">
        <v>4737</v>
      </c>
      <c r="B298" s="6" t="s">
        <v>3901</v>
      </c>
      <c r="C298" s="5" t="s">
        <v>1652</v>
      </c>
      <c r="D298" s="5" t="s">
        <v>2183</v>
      </c>
      <c r="E298" s="5" t="s">
        <v>4738</v>
      </c>
      <c r="F298" s="5" t="s">
        <v>2973</v>
      </c>
      <c r="G298" s="5" t="s">
        <v>4143</v>
      </c>
      <c r="H298" s="5" t="s">
        <v>4739</v>
      </c>
      <c r="I298" s="5" t="s">
        <v>4740</v>
      </c>
      <c r="J298" s="17" t="s">
        <v>162</v>
      </c>
      <c r="K298" s="17" t="s">
        <v>1477</v>
      </c>
      <c r="L298" s="5" t="s">
        <v>4741</v>
      </c>
      <c r="M298" s="6" t="s">
        <v>1493</v>
      </c>
      <c r="N298" s="6" t="s">
        <v>2170</v>
      </c>
      <c r="O298" s="6" t="s">
        <v>162</v>
      </c>
      <c r="P298" s="5" t="s">
        <v>2272</v>
      </c>
      <c r="Q298" s="17" t="s">
        <v>2273</v>
      </c>
      <c r="R298" s="5" t="s">
        <v>4742</v>
      </c>
      <c r="S298" s="6" t="s">
        <v>2438</v>
      </c>
      <c r="T298" s="5" t="s">
        <v>2439</v>
      </c>
      <c r="U298" s="6"/>
      <c r="V298" s="6" t="s">
        <v>2440</v>
      </c>
      <c r="W298" s="6" t="s">
        <v>1699</v>
      </c>
      <c r="X298" s="5" t="s">
        <v>228</v>
      </c>
      <c r="Y298" s="5" t="s">
        <v>2170</v>
      </c>
      <c r="Z298" s="5" t="str">
        <f t="shared" si="8"/>
        <v>Critical</v>
      </c>
      <c r="AA298" s="5" t="s">
        <v>1302</v>
      </c>
      <c r="AB298" s="6" t="s">
        <v>1302</v>
      </c>
      <c r="AC298" s="6" t="s">
        <v>135</v>
      </c>
      <c r="AD298" s="5" t="s">
        <v>2278</v>
      </c>
      <c r="AE298" s="5" t="s">
        <v>1720</v>
      </c>
      <c r="AF298" s="5" t="s">
        <v>1720</v>
      </c>
      <c r="AG298" s="5" t="s">
        <v>1720</v>
      </c>
      <c r="AH298" s="5" t="s">
        <v>1720</v>
      </c>
      <c r="AI298" s="6" t="str">
        <f t="shared" si="9"/>
        <v>No</v>
      </c>
      <c r="AJ298" s="6" t="s">
        <v>2298</v>
      </c>
      <c r="AK298" s="6" t="s">
        <v>162</v>
      </c>
      <c r="AL298" s="6">
        <f>MATCH(AA298,{"Low","Medium","High"},0)*MATCH(AB298,{"Low","Medium","High"},0)*INDEX({3,2,2,1,1},MATCH(X298,{"Core","Vertical extension","Differentiator","Future","Adjacent"},0))</f>
        <v>27</v>
      </c>
      <c r="AM298" s="5"/>
      <c r="AN298" s="5"/>
      <c r="AO298" s="5"/>
      <c r="AP298" s="5"/>
      <c r="AQ298" s="5"/>
      <c r="AR298" s="5"/>
      <c r="AS298" s="5"/>
      <c r="AT298" s="5"/>
      <c r="AU298" s="6" t="s">
        <v>2317</v>
      </c>
      <c r="AV298" s="6" t="s">
        <v>76</v>
      </c>
      <c r="AW298" s="6" t="s">
        <v>76</v>
      </c>
      <c r="AX298" s="6" t="s">
        <v>2284</v>
      </c>
      <c r="AY298" s="6" t="s">
        <v>2285</v>
      </c>
      <c r="AZ298" s="6"/>
      <c r="BA298" s="6"/>
      <c r="BB298" s="6"/>
      <c r="BC298" s="6" t="s">
        <v>127</v>
      </c>
      <c r="BD298" s="6" t="s">
        <v>127</v>
      </c>
      <c r="BE298" s="6" t="s">
        <v>1477</v>
      </c>
      <c r="BF298" s="6" t="s">
        <v>2286</v>
      </c>
      <c r="BG298" s="6" t="s">
        <v>4743</v>
      </c>
      <c r="BH298" s="6" t="s">
        <v>4744</v>
      </c>
    </row>
    <row r="299" spans="1:60" ht="32" customHeight="1" x14ac:dyDescent="0.35">
      <c r="A299" s="13" t="s">
        <v>4745</v>
      </c>
      <c r="B299" s="6" t="s">
        <v>3901</v>
      </c>
      <c r="C299" s="5" t="s">
        <v>1652</v>
      </c>
      <c r="D299" s="5" t="s">
        <v>2183</v>
      </c>
      <c r="E299" s="5" t="s">
        <v>4746</v>
      </c>
      <c r="F299" s="5" t="s">
        <v>2973</v>
      </c>
      <c r="G299" s="5" t="s">
        <v>2507</v>
      </c>
      <c r="H299" s="5" t="s">
        <v>4747</v>
      </c>
      <c r="I299" s="5" t="s">
        <v>4748</v>
      </c>
      <c r="J299" s="17" t="s">
        <v>162</v>
      </c>
      <c r="K299" s="17" t="s">
        <v>1477</v>
      </c>
      <c r="L299" s="5" t="s">
        <v>4749</v>
      </c>
      <c r="M299" s="6" t="s">
        <v>1493</v>
      </c>
      <c r="N299" s="6" t="s">
        <v>2170</v>
      </c>
      <c r="O299" s="6" t="s">
        <v>162</v>
      </c>
      <c r="P299" s="5" t="s">
        <v>2272</v>
      </c>
      <c r="Q299" s="17" t="s">
        <v>2273</v>
      </c>
      <c r="R299" s="5" t="s">
        <v>4750</v>
      </c>
      <c r="S299" s="6" t="s">
        <v>2438</v>
      </c>
      <c r="T299" s="5" t="s">
        <v>2439</v>
      </c>
      <c r="U299" s="6"/>
      <c r="V299" s="6" t="s">
        <v>2440</v>
      </c>
      <c r="W299" s="6" t="s">
        <v>1699</v>
      </c>
      <c r="X299" s="5" t="s">
        <v>228</v>
      </c>
      <c r="Y299" s="5" t="s">
        <v>2170</v>
      </c>
      <c r="Z299" s="5" t="str">
        <f t="shared" si="8"/>
        <v>Critical</v>
      </c>
      <c r="AA299" s="5" t="s">
        <v>1302</v>
      </c>
      <c r="AB299" s="6" t="s">
        <v>1302</v>
      </c>
      <c r="AC299" s="6" t="s">
        <v>135</v>
      </c>
      <c r="AD299" s="5" t="s">
        <v>2278</v>
      </c>
      <c r="AE299" s="5" t="s">
        <v>1720</v>
      </c>
      <c r="AF299" s="5" t="s">
        <v>1720</v>
      </c>
      <c r="AG299" s="5" t="s">
        <v>1720</v>
      </c>
      <c r="AH299" s="5" t="s">
        <v>1720</v>
      </c>
      <c r="AI299" s="6" t="str">
        <f t="shared" si="9"/>
        <v>No</v>
      </c>
      <c r="AJ299" s="6" t="s">
        <v>2298</v>
      </c>
      <c r="AK299" s="6" t="s">
        <v>162</v>
      </c>
      <c r="AL299" s="6">
        <f>MATCH(AA299,{"Low","Medium","High"},0)*MATCH(AB299,{"Low","Medium","High"},0)*INDEX({3,2,2,1,1},MATCH(X299,{"Core","Vertical extension","Differentiator","Future","Adjacent"},0))</f>
        <v>27</v>
      </c>
      <c r="AM299" s="5"/>
      <c r="AN299" s="5"/>
      <c r="AO299" s="5"/>
      <c r="AP299" s="5"/>
      <c r="AQ299" s="5"/>
      <c r="AR299" s="5"/>
      <c r="AS299" s="5"/>
      <c r="AT299" s="5"/>
      <c r="AU299" s="6" t="s">
        <v>2317</v>
      </c>
      <c r="AV299" s="6" t="s">
        <v>76</v>
      </c>
      <c r="AW299" s="6" t="s">
        <v>76</v>
      </c>
      <c r="AX299" s="6" t="s">
        <v>2284</v>
      </c>
      <c r="AY299" s="6" t="s">
        <v>2285</v>
      </c>
      <c r="AZ299" s="6"/>
      <c r="BA299" s="6"/>
      <c r="BB299" s="6"/>
      <c r="BC299" s="6" t="s">
        <v>127</v>
      </c>
      <c r="BD299" s="6" t="s">
        <v>127</v>
      </c>
      <c r="BE299" s="6" t="s">
        <v>1477</v>
      </c>
      <c r="BF299" s="6" t="s">
        <v>2286</v>
      </c>
      <c r="BG299" s="6" t="s">
        <v>4694</v>
      </c>
      <c r="BH299" s="6" t="s">
        <v>4751</v>
      </c>
    </row>
    <row r="300" spans="1:60" ht="32" customHeight="1" x14ac:dyDescent="0.35">
      <c r="A300" s="13" t="s">
        <v>1649</v>
      </c>
      <c r="B300" s="6" t="s">
        <v>3901</v>
      </c>
      <c r="C300" s="5" t="s">
        <v>1652</v>
      </c>
      <c r="D300" s="5" t="s">
        <v>2183</v>
      </c>
      <c r="E300" s="5" t="s">
        <v>1651</v>
      </c>
      <c r="F300" s="5" t="s">
        <v>4752</v>
      </c>
      <c r="G300" s="5" t="s">
        <v>2973</v>
      </c>
      <c r="H300" s="5" t="s">
        <v>4753</v>
      </c>
      <c r="I300" s="5" t="s">
        <v>4754</v>
      </c>
      <c r="J300" s="17" t="s">
        <v>162</v>
      </c>
      <c r="K300" s="17" t="s">
        <v>1477</v>
      </c>
      <c r="L300" s="5" t="s">
        <v>4755</v>
      </c>
      <c r="M300" s="6" t="s">
        <v>1493</v>
      </c>
      <c r="N300" s="6" t="s">
        <v>2170</v>
      </c>
      <c r="O300" s="6" t="s">
        <v>162</v>
      </c>
      <c r="P300" s="5" t="s">
        <v>2272</v>
      </c>
      <c r="Q300" s="18" t="s">
        <v>1482</v>
      </c>
      <c r="R300" s="5" t="s">
        <v>3297</v>
      </c>
      <c r="S300" s="6" t="s">
        <v>2438</v>
      </c>
      <c r="T300" s="5" t="s">
        <v>2439</v>
      </c>
      <c r="U300" s="6"/>
      <c r="V300" s="6" t="s">
        <v>2440</v>
      </c>
      <c r="W300" s="6" t="s">
        <v>1699</v>
      </c>
      <c r="X300" s="5" t="s">
        <v>228</v>
      </c>
      <c r="Y300" s="5" t="s">
        <v>2170</v>
      </c>
      <c r="Z300" s="5" t="str">
        <f t="shared" si="8"/>
        <v>Critical</v>
      </c>
      <c r="AA300" s="5" t="s">
        <v>1302</v>
      </c>
      <c r="AB300" s="6" t="s">
        <v>1302</v>
      </c>
      <c r="AC300" s="6" t="s">
        <v>135</v>
      </c>
      <c r="AD300" s="5" t="s">
        <v>2278</v>
      </c>
      <c r="AE300" s="5" t="s">
        <v>1720</v>
      </c>
      <c r="AF300" s="5" t="s">
        <v>1720</v>
      </c>
      <c r="AG300" s="5" t="s">
        <v>1720</v>
      </c>
      <c r="AH300" s="5" t="s">
        <v>1720</v>
      </c>
      <c r="AI300" s="6" t="str">
        <f t="shared" si="9"/>
        <v>No</v>
      </c>
      <c r="AJ300" s="6" t="s">
        <v>2298</v>
      </c>
      <c r="AK300" s="6" t="s">
        <v>162</v>
      </c>
      <c r="AL300" s="6">
        <f>MATCH(AA300,{"Low","Medium","High"},0)*MATCH(AB300,{"Low","Medium","High"},0)*INDEX({3,2,2,1,1},MATCH(X300,{"Core","Vertical extension","Differentiator","Future","Adjacent"},0))</f>
        <v>27</v>
      </c>
      <c r="AM300" s="5"/>
      <c r="AN300" s="5"/>
      <c r="AO300" s="5"/>
      <c r="AP300" s="5"/>
      <c r="AQ300" s="5"/>
      <c r="AR300" s="5"/>
      <c r="AS300" s="5"/>
      <c r="AT300" s="5"/>
      <c r="AU300" s="6" t="s">
        <v>2317</v>
      </c>
      <c r="AV300" s="6" t="s">
        <v>3968</v>
      </c>
      <c r="AW300" s="6" t="s">
        <v>3968</v>
      </c>
      <c r="AX300" s="6" t="s">
        <v>2284</v>
      </c>
      <c r="AY300" s="6" t="s">
        <v>2285</v>
      </c>
      <c r="AZ300" s="6" t="s">
        <v>4756</v>
      </c>
      <c r="BA300" s="6"/>
      <c r="BB300" s="6"/>
      <c r="BC300" s="6" t="s">
        <v>127</v>
      </c>
      <c r="BD300" s="6" t="s">
        <v>127</v>
      </c>
      <c r="BE300" s="6"/>
      <c r="BF300" s="6"/>
      <c r="BG300" s="6"/>
      <c r="BH300" s="6"/>
    </row>
    <row r="301" spans="1:60" ht="32" customHeight="1" x14ac:dyDescent="0.35">
      <c r="A301" s="13" t="s">
        <v>4757</v>
      </c>
      <c r="B301" s="6" t="s">
        <v>3901</v>
      </c>
      <c r="C301" s="5" t="s">
        <v>1652</v>
      </c>
      <c r="D301" s="5" t="s">
        <v>2183</v>
      </c>
      <c r="E301" s="5" t="s">
        <v>4758</v>
      </c>
      <c r="F301" s="5" t="s">
        <v>4759</v>
      </c>
      <c r="G301" s="5" t="s">
        <v>1669</v>
      </c>
      <c r="H301" s="5" t="s">
        <v>4760</v>
      </c>
      <c r="I301" s="5" t="s">
        <v>4761</v>
      </c>
      <c r="J301" s="17" t="s">
        <v>162</v>
      </c>
      <c r="K301" s="17" t="s">
        <v>1477</v>
      </c>
      <c r="L301" s="5" t="s">
        <v>4762</v>
      </c>
      <c r="M301" s="6" t="s">
        <v>1493</v>
      </c>
      <c r="N301" s="6" t="s">
        <v>2170</v>
      </c>
      <c r="O301" s="6" t="s">
        <v>162</v>
      </c>
      <c r="P301" s="5" t="s">
        <v>2272</v>
      </c>
      <c r="Q301" s="17" t="s">
        <v>2273</v>
      </c>
      <c r="R301" s="5" t="s">
        <v>4763</v>
      </c>
      <c r="S301" s="6" t="s">
        <v>2438</v>
      </c>
      <c r="T301" s="5" t="s">
        <v>2439</v>
      </c>
      <c r="U301" s="6"/>
      <c r="V301" s="6" t="s">
        <v>2440</v>
      </c>
      <c r="W301" s="6" t="s">
        <v>1699</v>
      </c>
      <c r="X301" s="5" t="s">
        <v>228</v>
      </c>
      <c r="Y301" s="5" t="s">
        <v>2170</v>
      </c>
      <c r="Z301" s="5" t="str">
        <f t="shared" si="8"/>
        <v>Critical</v>
      </c>
      <c r="AA301" s="5" t="s">
        <v>1302</v>
      </c>
      <c r="AB301" s="6" t="s">
        <v>1302</v>
      </c>
      <c r="AC301" s="6" t="s">
        <v>135</v>
      </c>
      <c r="AD301" s="5" t="s">
        <v>2278</v>
      </c>
      <c r="AE301" s="5" t="s">
        <v>1720</v>
      </c>
      <c r="AF301" s="5" t="s">
        <v>1720</v>
      </c>
      <c r="AG301" s="5" t="s">
        <v>1720</v>
      </c>
      <c r="AH301" s="5" t="s">
        <v>1720</v>
      </c>
      <c r="AI301" s="6" t="str">
        <f t="shared" si="9"/>
        <v>No</v>
      </c>
      <c r="AJ301" s="6" t="s">
        <v>2298</v>
      </c>
      <c r="AK301" s="6" t="s">
        <v>162</v>
      </c>
      <c r="AL301" s="6">
        <f>MATCH(AA301,{"Low","Medium","High"},0)*MATCH(AB301,{"Low","Medium","High"},0)*INDEX({3,2,2,1,1},MATCH(X301,{"Core","Vertical extension","Differentiator","Future","Adjacent"},0))</f>
        <v>27</v>
      </c>
      <c r="AM301" s="5"/>
      <c r="AN301" s="5"/>
      <c r="AO301" s="5"/>
      <c r="AP301" s="5"/>
      <c r="AQ301" s="5"/>
      <c r="AR301" s="5"/>
      <c r="AS301" s="5"/>
      <c r="AT301" s="5"/>
      <c r="AU301" s="6" t="s">
        <v>2317</v>
      </c>
      <c r="AV301" s="6" t="s">
        <v>3968</v>
      </c>
      <c r="AW301" s="6" t="s">
        <v>3968</v>
      </c>
      <c r="AX301" s="6" t="s">
        <v>2284</v>
      </c>
      <c r="AY301" s="6" t="s">
        <v>2285</v>
      </c>
      <c r="AZ301" s="6"/>
      <c r="BA301" s="6"/>
      <c r="BB301" s="6"/>
      <c r="BC301" s="6" t="s">
        <v>127</v>
      </c>
      <c r="BD301" s="6" t="s">
        <v>127</v>
      </c>
      <c r="BE301" s="6" t="s">
        <v>1477</v>
      </c>
      <c r="BF301" s="6" t="s">
        <v>2286</v>
      </c>
      <c r="BG301" s="6" t="s">
        <v>4764</v>
      </c>
      <c r="BH301" s="6" t="s">
        <v>4765</v>
      </c>
    </row>
    <row r="302" spans="1:60" ht="32" customHeight="1" x14ac:dyDescent="0.35">
      <c r="A302" s="13" t="s">
        <v>4766</v>
      </c>
      <c r="B302" s="6" t="s">
        <v>3901</v>
      </c>
      <c r="C302" s="5" t="s">
        <v>1652</v>
      </c>
      <c r="D302" s="5" t="s">
        <v>2183</v>
      </c>
      <c r="E302" s="5" t="s">
        <v>4767</v>
      </c>
      <c r="F302" s="5" t="s">
        <v>4030</v>
      </c>
      <c r="G302" s="5" t="s">
        <v>4768</v>
      </c>
      <c r="H302" s="5" t="s">
        <v>4769</v>
      </c>
      <c r="I302" s="5" t="s">
        <v>4770</v>
      </c>
      <c r="J302" s="17" t="s">
        <v>162</v>
      </c>
      <c r="K302" s="17" t="s">
        <v>1477</v>
      </c>
      <c r="L302" s="5" t="s">
        <v>4771</v>
      </c>
      <c r="M302" s="6" t="s">
        <v>1493</v>
      </c>
      <c r="N302" s="6" t="s">
        <v>2170</v>
      </c>
      <c r="O302" s="6" t="s">
        <v>162</v>
      </c>
      <c r="P302" s="5" t="s">
        <v>2369</v>
      </c>
      <c r="Q302" s="17" t="s">
        <v>2273</v>
      </c>
      <c r="R302" s="5" t="s">
        <v>4772</v>
      </c>
      <c r="S302" s="6" t="s">
        <v>2438</v>
      </c>
      <c r="T302" s="5" t="s">
        <v>2439</v>
      </c>
      <c r="U302" s="6"/>
      <c r="V302" s="6" t="s">
        <v>2440</v>
      </c>
      <c r="W302" s="6" t="s">
        <v>1699</v>
      </c>
      <c r="X302" s="5" t="s">
        <v>228</v>
      </c>
      <c r="Y302" s="5" t="s">
        <v>2170</v>
      </c>
      <c r="Z302" s="5" t="str">
        <f t="shared" si="8"/>
        <v>Critical</v>
      </c>
      <c r="AA302" s="5" t="s">
        <v>1302</v>
      </c>
      <c r="AB302" s="6" t="s">
        <v>1302</v>
      </c>
      <c r="AC302" s="6" t="s">
        <v>135</v>
      </c>
      <c r="AD302" s="5" t="s">
        <v>2278</v>
      </c>
      <c r="AE302" s="5" t="s">
        <v>1720</v>
      </c>
      <c r="AF302" s="5" t="s">
        <v>1720</v>
      </c>
      <c r="AG302" s="5" t="s">
        <v>1720</v>
      </c>
      <c r="AH302" s="5" t="s">
        <v>1720</v>
      </c>
      <c r="AI302" s="6" t="str">
        <f t="shared" si="9"/>
        <v>No</v>
      </c>
      <c r="AJ302" s="6" t="s">
        <v>2298</v>
      </c>
      <c r="AK302" s="6" t="s">
        <v>162</v>
      </c>
      <c r="AL302" s="6">
        <f>MATCH(AA302,{"Low","Medium","High"},0)*MATCH(AB302,{"Low","Medium","High"},0)*INDEX({3,2,2,1,1},MATCH(X302,{"Core","Vertical extension","Differentiator","Future","Adjacent"},0))</f>
        <v>27</v>
      </c>
      <c r="AM302" s="5"/>
      <c r="AN302" s="5"/>
      <c r="AO302" s="5"/>
      <c r="AP302" s="5"/>
      <c r="AQ302" s="5"/>
      <c r="AR302" s="5"/>
      <c r="AS302" s="5"/>
      <c r="AT302" s="5"/>
      <c r="AU302" s="6" t="s">
        <v>2317</v>
      </c>
      <c r="AV302" s="6" t="s">
        <v>3968</v>
      </c>
      <c r="AW302" s="6" t="s">
        <v>3968</v>
      </c>
      <c r="AX302" s="6" t="s">
        <v>2374</v>
      </c>
      <c r="AY302" s="6" t="s">
        <v>2285</v>
      </c>
      <c r="AZ302" s="6"/>
      <c r="BA302" s="6"/>
      <c r="BB302" s="6"/>
      <c r="BC302" s="6" t="s">
        <v>127</v>
      </c>
      <c r="BD302" s="6" t="s">
        <v>127</v>
      </c>
      <c r="BE302" s="6" t="s">
        <v>1477</v>
      </c>
      <c r="BF302" s="6" t="s">
        <v>2286</v>
      </c>
      <c r="BG302" s="6" t="s">
        <v>4773</v>
      </c>
      <c r="BH302" s="6" t="s">
        <v>4774</v>
      </c>
    </row>
    <row r="303" spans="1:60" ht="32" customHeight="1" x14ac:dyDescent="0.35">
      <c r="A303" s="13" t="s">
        <v>4775</v>
      </c>
      <c r="B303" s="6" t="s">
        <v>3901</v>
      </c>
      <c r="C303" s="5" t="s">
        <v>1652</v>
      </c>
      <c r="D303" s="5" t="s">
        <v>2183</v>
      </c>
      <c r="E303" s="5" t="s">
        <v>4776</v>
      </c>
      <c r="F303" s="5" t="s">
        <v>2189</v>
      </c>
      <c r="G303" s="5" t="s">
        <v>4768</v>
      </c>
      <c r="H303" s="5" t="s">
        <v>4777</v>
      </c>
      <c r="I303" s="5" t="s">
        <v>4778</v>
      </c>
      <c r="J303" s="17" t="s">
        <v>162</v>
      </c>
      <c r="K303" s="17" t="s">
        <v>1477</v>
      </c>
      <c r="L303" s="5" t="s">
        <v>4779</v>
      </c>
      <c r="M303" s="6" t="s">
        <v>1493</v>
      </c>
      <c r="N303" s="6" t="s">
        <v>2170</v>
      </c>
      <c r="O303" s="6" t="s">
        <v>162</v>
      </c>
      <c r="P303" s="5" t="s">
        <v>2272</v>
      </c>
      <c r="Q303" s="17" t="s">
        <v>2273</v>
      </c>
      <c r="R303" s="5" t="s">
        <v>4780</v>
      </c>
      <c r="S303" s="6" t="s">
        <v>2438</v>
      </c>
      <c r="T303" s="5" t="s">
        <v>2439</v>
      </c>
      <c r="U303" s="6"/>
      <c r="V303" s="6" t="s">
        <v>2440</v>
      </c>
      <c r="W303" s="6" t="s">
        <v>1699</v>
      </c>
      <c r="X303" s="5" t="s">
        <v>228</v>
      </c>
      <c r="Y303" s="5" t="s">
        <v>2170</v>
      </c>
      <c r="Z303" s="5" t="str">
        <f t="shared" si="8"/>
        <v>Critical</v>
      </c>
      <c r="AA303" s="5" t="s">
        <v>1302</v>
      </c>
      <c r="AB303" s="6" t="s">
        <v>1302</v>
      </c>
      <c r="AC303" s="6" t="s">
        <v>135</v>
      </c>
      <c r="AD303" s="5" t="s">
        <v>2278</v>
      </c>
      <c r="AE303" s="5" t="s">
        <v>1720</v>
      </c>
      <c r="AF303" s="5" t="s">
        <v>1720</v>
      </c>
      <c r="AG303" s="5" t="s">
        <v>1720</v>
      </c>
      <c r="AH303" s="5" t="s">
        <v>1720</v>
      </c>
      <c r="AI303" s="6" t="str">
        <f t="shared" si="9"/>
        <v>No</v>
      </c>
      <c r="AJ303" s="6" t="s">
        <v>2298</v>
      </c>
      <c r="AK303" s="6" t="s">
        <v>162</v>
      </c>
      <c r="AL303" s="6">
        <f>MATCH(AA303,{"Low","Medium","High"},0)*MATCH(AB303,{"Low","Medium","High"},0)*INDEX({3,2,2,1,1},MATCH(X303,{"Core","Vertical extension","Differentiator","Future","Adjacent"},0))</f>
        <v>27</v>
      </c>
      <c r="AM303" s="5"/>
      <c r="AN303" s="5"/>
      <c r="AO303" s="5"/>
      <c r="AP303" s="5"/>
      <c r="AQ303" s="5"/>
      <c r="AR303" s="5"/>
      <c r="AS303" s="5"/>
      <c r="AT303" s="5"/>
      <c r="AU303" s="6" t="s">
        <v>2317</v>
      </c>
      <c r="AV303" s="6" t="s">
        <v>3968</v>
      </c>
      <c r="AW303" s="6" t="s">
        <v>3968</v>
      </c>
      <c r="AX303" s="6" t="s">
        <v>2284</v>
      </c>
      <c r="AY303" s="6" t="s">
        <v>2285</v>
      </c>
      <c r="AZ303" s="6"/>
      <c r="BA303" s="6"/>
      <c r="BB303" s="6"/>
      <c r="BC303" s="6" t="s">
        <v>127</v>
      </c>
      <c r="BD303" s="6" t="s">
        <v>127</v>
      </c>
      <c r="BE303" s="6" t="s">
        <v>1477</v>
      </c>
      <c r="BF303" s="6" t="s">
        <v>2286</v>
      </c>
      <c r="BG303" s="6" t="s">
        <v>4781</v>
      </c>
      <c r="BH303" s="6" t="s">
        <v>4782</v>
      </c>
    </row>
    <row r="304" spans="1:60" ht="32" customHeight="1" x14ac:dyDescent="0.35">
      <c r="A304" s="13" t="s">
        <v>4783</v>
      </c>
      <c r="B304" s="6" t="s">
        <v>3901</v>
      </c>
      <c r="C304" s="5" t="s">
        <v>1652</v>
      </c>
      <c r="D304" s="5" t="s">
        <v>2183</v>
      </c>
      <c r="E304" s="5" t="s">
        <v>4784</v>
      </c>
      <c r="F304" s="5" t="s">
        <v>2185</v>
      </c>
      <c r="G304" s="5" t="s">
        <v>3867</v>
      </c>
      <c r="H304" s="5" t="s">
        <v>4785</v>
      </c>
      <c r="I304" s="5" t="s">
        <v>4786</v>
      </c>
      <c r="J304" s="17" t="s">
        <v>162</v>
      </c>
      <c r="K304" s="17" t="s">
        <v>95</v>
      </c>
      <c r="L304" s="5" t="s">
        <v>4787</v>
      </c>
      <c r="M304" s="6" t="s">
        <v>1493</v>
      </c>
      <c r="N304" s="6" t="s">
        <v>2170</v>
      </c>
      <c r="O304" s="6" t="s">
        <v>162</v>
      </c>
      <c r="P304" s="5" t="s">
        <v>2272</v>
      </c>
      <c r="Q304" s="17" t="s">
        <v>95</v>
      </c>
      <c r="R304" s="5" t="s">
        <v>4788</v>
      </c>
      <c r="S304" s="6" t="s">
        <v>2438</v>
      </c>
      <c r="T304" s="5" t="s">
        <v>2439</v>
      </c>
      <c r="U304" s="6"/>
      <c r="V304" s="6" t="s">
        <v>2440</v>
      </c>
      <c r="W304" s="6" t="s">
        <v>1699</v>
      </c>
      <c r="X304" s="5" t="s">
        <v>228</v>
      </c>
      <c r="Y304" s="5" t="s">
        <v>2170</v>
      </c>
      <c r="Z304" s="5" t="str">
        <f t="shared" si="8"/>
        <v>Critical</v>
      </c>
      <c r="AA304" s="5" t="s">
        <v>1302</v>
      </c>
      <c r="AB304" s="6" t="s">
        <v>1302</v>
      </c>
      <c r="AC304" s="6" t="s">
        <v>135</v>
      </c>
      <c r="AD304" s="5" t="s">
        <v>95</v>
      </c>
      <c r="AE304" s="5" t="s">
        <v>1720</v>
      </c>
      <c r="AF304" s="5" t="s">
        <v>1720</v>
      </c>
      <c r="AG304" s="5" t="s">
        <v>1720</v>
      </c>
      <c r="AH304" s="5" t="s">
        <v>1720</v>
      </c>
      <c r="AI304" s="6" t="str">
        <f t="shared" si="9"/>
        <v>No</v>
      </c>
      <c r="AJ304" s="6" t="s">
        <v>229</v>
      </c>
      <c r="AK304" s="6" t="s">
        <v>162</v>
      </c>
      <c r="AL304" s="6">
        <f>MATCH(AA304,{"Low","Medium","High"},0)*MATCH(AB304,{"Low","Medium","High"},0)*INDEX({3,2,2,1,1},MATCH(X304,{"Core","Vertical extension","Differentiator","Future","Adjacent"},0))</f>
        <v>27</v>
      </c>
      <c r="AM304" s="5"/>
      <c r="AN304" s="5"/>
      <c r="AO304" s="5"/>
      <c r="AP304" s="5"/>
      <c r="AQ304" s="5"/>
      <c r="AR304" s="5"/>
      <c r="AS304" s="5"/>
      <c r="AT304" s="5"/>
      <c r="AU304" s="6" t="s">
        <v>2317</v>
      </c>
      <c r="AV304" s="6" t="s">
        <v>2898</v>
      </c>
      <c r="AW304" s="6" t="s">
        <v>2898</v>
      </c>
      <c r="AX304" s="6" t="s">
        <v>2284</v>
      </c>
      <c r="AY304" s="6" t="s">
        <v>2285</v>
      </c>
      <c r="AZ304" s="6"/>
      <c r="BA304" s="6"/>
      <c r="BB304" s="6"/>
      <c r="BC304" s="6" t="s">
        <v>127</v>
      </c>
      <c r="BD304" s="6" t="s">
        <v>127</v>
      </c>
      <c r="BE304" s="6" t="s">
        <v>1477</v>
      </c>
      <c r="BF304" s="6" t="s">
        <v>95</v>
      </c>
      <c r="BG304" s="6" t="s">
        <v>4789</v>
      </c>
      <c r="BH304" s="6" t="s">
        <v>4790</v>
      </c>
    </row>
    <row r="305" spans="1:60" ht="32" customHeight="1" x14ac:dyDescent="0.35">
      <c r="A305" s="13" t="s">
        <v>4791</v>
      </c>
      <c r="B305" s="6" t="s">
        <v>3901</v>
      </c>
      <c r="C305" s="5" t="s">
        <v>1652</v>
      </c>
      <c r="D305" s="5" t="s">
        <v>2183</v>
      </c>
      <c r="E305" s="5" t="s">
        <v>4792</v>
      </c>
      <c r="F305" s="5" t="s">
        <v>2973</v>
      </c>
      <c r="G305" s="5" t="s">
        <v>3867</v>
      </c>
      <c r="H305" s="5" t="s">
        <v>4793</v>
      </c>
      <c r="I305" s="5" t="s">
        <v>4794</v>
      </c>
      <c r="J305" s="17" t="s">
        <v>162</v>
      </c>
      <c r="K305" s="17" t="s">
        <v>95</v>
      </c>
      <c r="L305" s="5" t="s">
        <v>4795</v>
      </c>
      <c r="M305" s="6" t="s">
        <v>1493</v>
      </c>
      <c r="N305" s="6" t="s">
        <v>2170</v>
      </c>
      <c r="O305" s="6" t="s">
        <v>162</v>
      </c>
      <c r="P305" s="5" t="s">
        <v>2272</v>
      </c>
      <c r="Q305" s="17" t="s">
        <v>95</v>
      </c>
      <c r="R305" s="5" t="s">
        <v>4796</v>
      </c>
      <c r="S305" s="6" t="s">
        <v>2438</v>
      </c>
      <c r="T305" s="5" t="s">
        <v>2439</v>
      </c>
      <c r="U305" s="6"/>
      <c r="V305" s="6" t="s">
        <v>2440</v>
      </c>
      <c r="W305" s="6" t="s">
        <v>1699</v>
      </c>
      <c r="X305" s="5" t="s">
        <v>228</v>
      </c>
      <c r="Y305" s="5" t="s">
        <v>2170</v>
      </c>
      <c r="Z305" s="5" t="str">
        <f t="shared" si="8"/>
        <v>Critical</v>
      </c>
      <c r="AA305" s="5" t="s">
        <v>1302</v>
      </c>
      <c r="AB305" s="6" t="s">
        <v>1302</v>
      </c>
      <c r="AC305" s="6" t="s">
        <v>135</v>
      </c>
      <c r="AD305" s="5" t="s">
        <v>95</v>
      </c>
      <c r="AE305" s="5" t="s">
        <v>1720</v>
      </c>
      <c r="AF305" s="5" t="s">
        <v>1720</v>
      </c>
      <c r="AG305" s="5" t="s">
        <v>1720</v>
      </c>
      <c r="AH305" s="5" t="s">
        <v>1720</v>
      </c>
      <c r="AI305" s="6" t="str">
        <f t="shared" si="9"/>
        <v>No</v>
      </c>
      <c r="AJ305" s="6" t="s">
        <v>229</v>
      </c>
      <c r="AK305" s="6" t="s">
        <v>162</v>
      </c>
      <c r="AL305" s="6">
        <f>MATCH(AA305,{"Low","Medium","High"},0)*MATCH(AB305,{"Low","Medium","High"},0)*INDEX({3,2,2,1,1},MATCH(X305,{"Core","Vertical extension","Differentiator","Future","Adjacent"},0))</f>
        <v>27</v>
      </c>
      <c r="AM305" s="5"/>
      <c r="AN305" s="5"/>
      <c r="AO305" s="5"/>
      <c r="AP305" s="5"/>
      <c r="AQ305" s="5"/>
      <c r="AR305" s="5"/>
      <c r="AS305" s="5"/>
      <c r="AT305" s="5"/>
      <c r="AU305" s="6" t="s">
        <v>2317</v>
      </c>
      <c r="AV305" s="6" t="s">
        <v>76</v>
      </c>
      <c r="AW305" s="6" t="s">
        <v>76</v>
      </c>
      <c r="AX305" s="6" t="s">
        <v>2284</v>
      </c>
      <c r="AY305" s="6" t="s">
        <v>2285</v>
      </c>
      <c r="AZ305" s="6"/>
      <c r="BA305" s="6"/>
      <c r="BB305" s="6"/>
      <c r="BC305" s="6" t="s">
        <v>127</v>
      </c>
      <c r="BD305" s="6" t="s">
        <v>127</v>
      </c>
      <c r="BE305" s="6" t="s">
        <v>1477</v>
      </c>
      <c r="BF305" s="6" t="s">
        <v>95</v>
      </c>
      <c r="BG305" s="6" t="s">
        <v>4797</v>
      </c>
      <c r="BH305" s="6" t="s">
        <v>4798</v>
      </c>
    </row>
    <row r="306" spans="1:60" ht="32" customHeight="1" x14ac:dyDescent="0.35">
      <c r="A306" s="13" t="s">
        <v>4799</v>
      </c>
      <c r="B306" s="6" t="s">
        <v>3901</v>
      </c>
      <c r="C306" s="5" t="s">
        <v>1652</v>
      </c>
      <c r="D306" s="5" t="s">
        <v>2183</v>
      </c>
      <c r="E306" s="5" t="s">
        <v>4800</v>
      </c>
      <c r="F306" s="5" t="s">
        <v>2973</v>
      </c>
      <c r="G306" s="5" t="s">
        <v>4801</v>
      </c>
      <c r="H306" s="5" t="s">
        <v>4802</v>
      </c>
      <c r="I306" s="5" t="s">
        <v>4803</v>
      </c>
      <c r="J306" s="17" t="s">
        <v>162</v>
      </c>
      <c r="K306" s="17" t="s">
        <v>95</v>
      </c>
      <c r="L306" s="5" t="s">
        <v>4804</v>
      </c>
      <c r="M306" s="6" t="s">
        <v>1493</v>
      </c>
      <c r="N306" s="6" t="s">
        <v>2170</v>
      </c>
      <c r="O306" s="6" t="s">
        <v>162</v>
      </c>
      <c r="P306" s="5" t="s">
        <v>2272</v>
      </c>
      <c r="Q306" s="17" t="s">
        <v>95</v>
      </c>
      <c r="R306" s="5" t="s">
        <v>4805</v>
      </c>
      <c r="S306" s="6" t="s">
        <v>2438</v>
      </c>
      <c r="T306" s="5" t="s">
        <v>2439</v>
      </c>
      <c r="U306" s="6"/>
      <c r="V306" s="6" t="s">
        <v>2440</v>
      </c>
      <c r="W306" s="6" t="s">
        <v>1699</v>
      </c>
      <c r="X306" s="5" t="s">
        <v>228</v>
      </c>
      <c r="Y306" s="5" t="s">
        <v>2170</v>
      </c>
      <c r="Z306" s="5" t="str">
        <f t="shared" si="8"/>
        <v>Critical</v>
      </c>
      <c r="AA306" s="5" t="s">
        <v>1302</v>
      </c>
      <c r="AB306" s="6" t="s">
        <v>1302</v>
      </c>
      <c r="AC306" s="6" t="s">
        <v>135</v>
      </c>
      <c r="AD306" s="5" t="s">
        <v>95</v>
      </c>
      <c r="AE306" s="5" t="s">
        <v>1720</v>
      </c>
      <c r="AF306" s="5" t="s">
        <v>1720</v>
      </c>
      <c r="AG306" s="5" t="s">
        <v>1720</v>
      </c>
      <c r="AH306" s="5" t="s">
        <v>1720</v>
      </c>
      <c r="AI306" s="6" t="str">
        <f t="shared" si="9"/>
        <v>No</v>
      </c>
      <c r="AJ306" s="6" t="s">
        <v>229</v>
      </c>
      <c r="AK306" s="6" t="s">
        <v>162</v>
      </c>
      <c r="AL306" s="6">
        <f>MATCH(AA306,{"Low","Medium","High"},0)*MATCH(AB306,{"Low","Medium","High"},0)*INDEX({3,2,2,1,1},MATCH(X306,{"Core","Vertical extension","Differentiator","Future","Adjacent"},0))</f>
        <v>27</v>
      </c>
      <c r="AM306" s="5"/>
      <c r="AN306" s="5"/>
      <c r="AO306" s="5"/>
      <c r="AP306" s="5"/>
      <c r="AQ306" s="5"/>
      <c r="AR306" s="5"/>
      <c r="AS306" s="5"/>
      <c r="AT306" s="5"/>
      <c r="AU306" s="6" t="s">
        <v>2317</v>
      </c>
      <c r="AV306" s="6" t="s">
        <v>76</v>
      </c>
      <c r="AW306" s="6" t="s">
        <v>76</v>
      </c>
      <c r="AX306" s="6" t="s">
        <v>2284</v>
      </c>
      <c r="AY306" s="6" t="s">
        <v>2285</v>
      </c>
      <c r="AZ306" s="6"/>
      <c r="BA306" s="6"/>
      <c r="BB306" s="6"/>
      <c r="BC306" s="6" t="s">
        <v>127</v>
      </c>
      <c r="BD306" s="6" t="s">
        <v>127</v>
      </c>
      <c r="BE306" s="6" t="s">
        <v>1477</v>
      </c>
      <c r="BF306" s="6" t="s">
        <v>95</v>
      </c>
      <c r="BG306" s="6" t="s">
        <v>4806</v>
      </c>
      <c r="BH306" s="6" t="s">
        <v>4807</v>
      </c>
    </row>
    <row r="307" spans="1:60" ht="32" customHeight="1" x14ac:dyDescent="0.35">
      <c r="A307" s="13" t="s">
        <v>4808</v>
      </c>
      <c r="B307" s="6" t="s">
        <v>3901</v>
      </c>
      <c r="C307" s="5" t="s">
        <v>1652</v>
      </c>
      <c r="D307" s="5" t="s">
        <v>2183</v>
      </c>
      <c r="E307" s="5" t="s">
        <v>4809</v>
      </c>
      <c r="F307" s="5" t="s">
        <v>2973</v>
      </c>
      <c r="G307" s="5" t="s">
        <v>2974</v>
      </c>
      <c r="H307" s="5" t="s">
        <v>4810</v>
      </c>
      <c r="I307" s="5" t="s">
        <v>4811</v>
      </c>
      <c r="J307" s="17" t="s">
        <v>162</v>
      </c>
      <c r="K307" s="17" t="s">
        <v>95</v>
      </c>
      <c r="L307" s="5" t="s">
        <v>4812</v>
      </c>
      <c r="M307" s="6" t="s">
        <v>1493</v>
      </c>
      <c r="N307" s="6" t="s">
        <v>2170</v>
      </c>
      <c r="O307" s="6" t="s">
        <v>162</v>
      </c>
      <c r="P307" s="5" t="s">
        <v>2272</v>
      </c>
      <c r="Q307" s="17" t="s">
        <v>95</v>
      </c>
      <c r="R307" s="5" t="s">
        <v>4813</v>
      </c>
      <c r="S307" s="6" t="s">
        <v>2438</v>
      </c>
      <c r="T307" s="5" t="s">
        <v>2439</v>
      </c>
      <c r="U307" s="6"/>
      <c r="V307" s="6" t="s">
        <v>2440</v>
      </c>
      <c r="W307" s="6" t="s">
        <v>1699</v>
      </c>
      <c r="X307" s="5" t="s">
        <v>228</v>
      </c>
      <c r="Y307" s="5" t="s">
        <v>2170</v>
      </c>
      <c r="Z307" s="5" t="str">
        <f t="shared" si="8"/>
        <v>Critical</v>
      </c>
      <c r="AA307" s="5" t="s">
        <v>1302</v>
      </c>
      <c r="AB307" s="6" t="s">
        <v>1302</v>
      </c>
      <c r="AC307" s="6" t="s">
        <v>135</v>
      </c>
      <c r="AD307" s="5" t="s">
        <v>95</v>
      </c>
      <c r="AE307" s="5" t="s">
        <v>1720</v>
      </c>
      <c r="AF307" s="5" t="s">
        <v>1720</v>
      </c>
      <c r="AG307" s="5" t="s">
        <v>1720</v>
      </c>
      <c r="AH307" s="5" t="s">
        <v>1720</v>
      </c>
      <c r="AI307" s="6" t="str">
        <f t="shared" si="9"/>
        <v>No</v>
      </c>
      <c r="AJ307" s="6" t="s">
        <v>229</v>
      </c>
      <c r="AK307" s="6" t="s">
        <v>162</v>
      </c>
      <c r="AL307" s="6">
        <f>MATCH(AA307,{"Low","Medium","High"},0)*MATCH(AB307,{"Low","Medium","High"},0)*INDEX({3,2,2,1,1},MATCH(X307,{"Core","Vertical extension","Differentiator","Future","Adjacent"},0))</f>
        <v>27</v>
      </c>
      <c r="AM307" s="5"/>
      <c r="AN307" s="5"/>
      <c r="AO307" s="5"/>
      <c r="AP307" s="5"/>
      <c r="AQ307" s="5"/>
      <c r="AR307" s="5"/>
      <c r="AS307" s="5"/>
      <c r="AT307" s="5"/>
      <c r="AU307" s="6" t="s">
        <v>2317</v>
      </c>
      <c r="AV307" s="6" t="s">
        <v>76</v>
      </c>
      <c r="AW307" s="6" t="s">
        <v>76</v>
      </c>
      <c r="AX307" s="6" t="s">
        <v>2284</v>
      </c>
      <c r="AY307" s="6" t="s">
        <v>2285</v>
      </c>
      <c r="AZ307" s="6"/>
      <c r="BA307" s="6"/>
      <c r="BB307" s="6"/>
      <c r="BC307" s="6" t="s">
        <v>127</v>
      </c>
      <c r="BD307" s="6" t="s">
        <v>127</v>
      </c>
      <c r="BE307" s="6" t="s">
        <v>1477</v>
      </c>
      <c r="BF307" s="6" t="s">
        <v>95</v>
      </c>
      <c r="BG307" s="6" t="s">
        <v>4814</v>
      </c>
      <c r="BH307" s="6" t="s">
        <v>4815</v>
      </c>
    </row>
    <row r="308" spans="1:60" ht="32" customHeight="1" x14ac:dyDescent="0.35">
      <c r="A308" s="13" t="s">
        <v>4816</v>
      </c>
      <c r="B308" s="6" t="s">
        <v>3901</v>
      </c>
      <c r="C308" s="5" t="s">
        <v>1652</v>
      </c>
      <c r="D308" s="5" t="s">
        <v>2192</v>
      </c>
      <c r="E308" s="5" t="s">
        <v>4817</v>
      </c>
      <c r="F308" s="5" t="s">
        <v>4012</v>
      </c>
      <c r="G308" s="5" t="s">
        <v>2396</v>
      </c>
      <c r="H308" s="5" t="s">
        <v>4818</v>
      </c>
      <c r="I308" s="5" t="s">
        <v>4819</v>
      </c>
      <c r="J308" s="17" t="s">
        <v>162</v>
      </c>
      <c r="K308" s="17" t="s">
        <v>1477</v>
      </c>
      <c r="L308" s="5" t="s">
        <v>4820</v>
      </c>
      <c r="M308" s="6" t="s">
        <v>1493</v>
      </c>
      <c r="N308" s="6" t="s">
        <v>2170</v>
      </c>
      <c r="O308" s="6" t="s">
        <v>162</v>
      </c>
      <c r="P308" s="5" t="s">
        <v>2272</v>
      </c>
      <c r="Q308" s="17" t="s">
        <v>2273</v>
      </c>
      <c r="R308" s="5" t="s">
        <v>4821</v>
      </c>
      <c r="S308" s="6" t="s">
        <v>2371</v>
      </c>
      <c r="T308" s="5" t="s">
        <v>2372</v>
      </c>
      <c r="U308" s="6"/>
      <c r="V308" s="6" t="s">
        <v>2373</v>
      </c>
      <c r="W308" s="6" t="s">
        <v>1699</v>
      </c>
      <c r="X308" s="5" t="s">
        <v>228</v>
      </c>
      <c r="Y308" s="5" t="s">
        <v>2170</v>
      </c>
      <c r="Z308" s="5" t="str">
        <f t="shared" si="8"/>
        <v>Critical</v>
      </c>
      <c r="AA308" s="5" t="s">
        <v>1302</v>
      </c>
      <c r="AB308" s="6" t="s">
        <v>1319</v>
      </c>
      <c r="AC308" s="6" t="s">
        <v>135</v>
      </c>
      <c r="AD308" s="5" t="s">
        <v>2278</v>
      </c>
      <c r="AE308" s="5" t="s">
        <v>1720</v>
      </c>
      <c r="AF308" s="5" t="s">
        <v>1720</v>
      </c>
      <c r="AG308" s="5" t="s">
        <v>1720</v>
      </c>
      <c r="AH308" s="5" t="s">
        <v>1720</v>
      </c>
      <c r="AI308" s="6" t="str">
        <f t="shared" si="9"/>
        <v>No</v>
      </c>
      <c r="AJ308" s="6" t="s">
        <v>2298</v>
      </c>
      <c r="AK308" s="6" t="s">
        <v>162</v>
      </c>
      <c r="AL308" s="6">
        <f>MATCH(AA308,{"Low","Medium","High"},0)*MATCH(AB308,{"Low","Medium","High"},0)*INDEX({3,2,2,1,1},MATCH(X308,{"Core","Vertical extension","Differentiator","Future","Adjacent"},0))</f>
        <v>18</v>
      </c>
      <c r="AM308" s="5"/>
      <c r="AN308" s="5"/>
      <c r="AO308" s="5"/>
      <c r="AP308" s="5"/>
      <c r="AQ308" s="5"/>
      <c r="AR308" s="5"/>
      <c r="AS308" s="5"/>
      <c r="AT308" s="5"/>
      <c r="AU308" s="6" t="s">
        <v>2317</v>
      </c>
      <c r="AV308" s="6" t="s">
        <v>2283</v>
      </c>
      <c r="AW308" s="6" t="s">
        <v>2283</v>
      </c>
      <c r="AX308" s="6" t="s">
        <v>2284</v>
      </c>
      <c r="AY308" s="6" t="s">
        <v>2285</v>
      </c>
      <c r="AZ308" s="6"/>
      <c r="BA308" s="6"/>
      <c r="BB308" s="6"/>
      <c r="BC308" s="6" t="s">
        <v>127</v>
      </c>
      <c r="BD308" s="6" t="s">
        <v>127</v>
      </c>
      <c r="BE308" s="6" t="s">
        <v>1477</v>
      </c>
      <c r="BF308" s="6" t="s">
        <v>2286</v>
      </c>
      <c r="BG308" s="6" t="s">
        <v>4822</v>
      </c>
      <c r="BH308" s="6" t="s">
        <v>4823</v>
      </c>
    </row>
    <row r="309" spans="1:60" ht="32" customHeight="1" x14ac:dyDescent="0.35">
      <c r="A309" s="13" t="s">
        <v>4824</v>
      </c>
      <c r="B309" s="6" t="s">
        <v>3901</v>
      </c>
      <c r="C309" s="5" t="s">
        <v>1652</v>
      </c>
      <c r="D309" s="5" t="s">
        <v>2192</v>
      </c>
      <c r="E309" s="5" t="s">
        <v>4825</v>
      </c>
      <c r="F309" s="5" t="s">
        <v>3973</v>
      </c>
      <c r="G309" s="5" t="s">
        <v>2973</v>
      </c>
      <c r="H309" s="5" t="s">
        <v>4826</v>
      </c>
      <c r="I309" s="5" t="s">
        <v>4827</v>
      </c>
      <c r="J309" s="17" t="s">
        <v>162</v>
      </c>
      <c r="K309" s="17" t="s">
        <v>1477</v>
      </c>
      <c r="L309" s="5" t="s">
        <v>4828</v>
      </c>
      <c r="M309" s="6" t="s">
        <v>1493</v>
      </c>
      <c r="N309" s="6" t="s">
        <v>2170</v>
      </c>
      <c r="O309" s="6" t="s">
        <v>162</v>
      </c>
      <c r="P309" s="5" t="s">
        <v>2369</v>
      </c>
      <c r="Q309" s="17" t="s">
        <v>2273</v>
      </c>
      <c r="R309" s="5" t="s">
        <v>4829</v>
      </c>
      <c r="S309" s="6" t="s">
        <v>2371</v>
      </c>
      <c r="T309" s="5" t="s">
        <v>2372</v>
      </c>
      <c r="U309" s="6"/>
      <c r="V309" s="6" t="s">
        <v>2373</v>
      </c>
      <c r="W309" s="6" t="s">
        <v>1699</v>
      </c>
      <c r="X309" s="5" t="s">
        <v>228</v>
      </c>
      <c r="Y309" s="5" t="s">
        <v>2170</v>
      </c>
      <c r="Z309" s="5" t="str">
        <f t="shared" si="8"/>
        <v>Critical</v>
      </c>
      <c r="AA309" s="5" t="s">
        <v>1302</v>
      </c>
      <c r="AB309" s="6" t="s">
        <v>1319</v>
      </c>
      <c r="AC309" s="6" t="s">
        <v>135</v>
      </c>
      <c r="AD309" s="5" t="s">
        <v>2278</v>
      </c>
      <c r="AE309" s="5" t="s">
        <v>1720</v>
      </c>
      <c r="AF309" s="5" t="s">
        <v>1720</v>
      </c>
      <c r="AG309" s="5" t="s">
        <v>1720</v>
      </c>
      <c r="AH309" s="5" t="s">
        <v>1720</v>
      </c>
      <c r="AI309" s="6" t="str">
        <f t="shared" si="9"/>
        <v>No</v>
      </c>
      <c r="AJ309" s="6" t="s">
        <v>2298</v>
      </c>
      <c r="AK309" s="6" t="s">
        <v>162</v>
      </c>
      <c r="AL309" s="6">
        <f>MATCH(AA309,{"Low","Medium","High"},0)*MATCH(AB309,{"Low","Medium","High"},0)*INDEX({3,2,2,1,1},MATCH(X309,{"Core","Vertical extension","Differentiator","Future","Adjacent"},0))</f>
        <v>18</v>
      </c>
      <c r="AM309" s="5"/>
      <c r="AN309" s="5"/>
      <c r="AO309" s="5"/>
      <c r="AP309" s="5"/>
      <c r="AQ309" s="5"/>
      <c r="AR309" s="5"/>
      <c r="AS309" s="5"/>
      <c r="AT309" s="5"/>
      <c r="AU309" s="6" t="s">
        <v>2317</v>
      </c>
      <c r="AV309" s="6" t="s">
        <v>3968</v>
      </c>
      <c r="AW309" s="6" t="s">
        <v>3968</v>
      </c>
      <c r="AX309" s="6" t="s">
        <v>2374</v>
      </c>
      <c r="AY309" s="6" t="s">
        <v>2285</v>
      </c>
      <c r="AZ309" s="6"/>
      <c r="BA309" s="6"/>
      <c r="BB309" s="6"/>
      <c r="BC309" s="6" t="s">
        <v>127</v>
      </c>
      <c r="BD309" s="6" t="s">
        <v>127</v>
      </c>
      <c r="BE309" s="6" t="s">
        <v>1477</v>
      </c>
      <c r="BF309" s="6" t="s">
        <v>2286</v>
      </c>
      <c r="BG309" s="6" t="s">
        <v>4830</v>
      </c>
      <c r="BH309" s="6" t="s">
        <v>4831</v>
      </c>
    </row>
    <row r="310" spans="1:60" ht="32" customHeight="1" x14ac:dyDescent="0.35">
      <c r="A310" s="13" t="s">
        <v>4832</v>
      </c>
      <c r="B310" s="6" t="s">
        <v>3901</v>
      </c>
      <c r="C310" s="5" t="s">
        <v>1652</v>
      </c>
      <c r="D310" s="5" t="s">
        <v>2192</v>
      </c>
      <c r="E310" s="5" t="s">
        <v>4833</v>
      </c>
      <c r="F310" s="5" t="s">
        <v>4071</v>
      </c>
      <c r="G310" s="5" t="s">
        <v>2396</v>
      </c>
      <c r="H310" s="5" t="s">
        <v>4834</v>
      </c>
      <c r="I310" s="5" t="s">
        <v>4835</v>
      </c>
      <c r="J310" s="17" t="s">
        <v>162</v>
      </c>
      <c r="K310" s="17" t="s">
        <v>1477</v>
      </c>
      <c r="L310" s="5" t="s">
        <v>4836</v>
      </c>
      <c r="M310" s="6" t="s">
        <v>1493</v>
      </c>
      <c r="N310" s="6" t="s">
        <v>2170</v>
      </c>
      <c r="O310" s="6" t="s">
        <v>162</v>
      </c>
      <c r="P310" s="5" t="s">
        <v>2272</v>
      </c>
      <c r="Q310" s="17" t="s">
        <v>2273</v>
      </c>
      <c r="R310" s="5" t="s">
        <v>4837</v>
      </c>
      <c r="S310" s="6" t="s">
        <v>2371</v>
      </c>
      <c r="T310" s="5" t="s">
        <v>2372</v>
      </c>
      <c r="U310" s="6"/>
      <c r="V310" s="6" t="s">
        <v>2373</v>
      </c>
      <c r="W310" s="6" t="s">
        <v>1699</v>
      </c>
      <c r="X310" s="5" t="s">
        <v>228</v>
      </c>
      <c r="Y310" s="5" t="s">
        <v>2170</v>
      </c>
      <c r="Z310" s="5" t="str">
        <f t="shared" si="8"/>
        <v>Critical</v>
      </c>
      <c r="AA310" s="5" t="s">
        <v>1302</v>
      </c>
      <c r="AB310" s="6" t="s">
        <v>1319</v>
      </c>
      <c r="AC310" s="6" t="s">
        <v>135</v>
      </c>
      <c r="AD310" s="5" t="s">
        <v>2278</v>
      </c>
      <c r="AE310" s="5" t="s">
        <v>1720</v>
      </c>
      <c r="AF310" s="5" t="s">
        <v>1720</v>
      </c>
      <c r="AG310" s="5" t="s">
        <v>1720</v>
      </c>
      <c r="AH310" s="5" t="s">
        <v>1720</v>
      </c>
      <c r="AI310" s="6" t="str">
        <f t="shared" si="9"/>
        <v>No</v>
      </c>
      <c r="AJ310" s="6" t="s">
        <v>2298</v>
      </c>
      <c r="AK310" s="6" t="s">
        <v>162</v>
      </c>
      <c r="AL310" s="6">
        <f>MATCH(AA310,{"Low","Medium","High"},0)*MATCH(AB310,{"Low","Medium","High"},0)*INDEX({3,2,2,1,1},MATCH(X310,{"Core","Vertical extension","Differentiator","Future","Adjacent"},0))</f>
        <v>18</v>
      </c>
      <c r="AM310" s="5"/>
      <c r="AN310" s="5"/>
      <c r="AO310" s="5"/>
      <c r="AP310" s="5"/>
      <c r="AQ310" s="5"/>
      <c r="AR310" s="5"/>
      <c r="AS310" s="5"/>
      <c r="AT310" s="5"/>
      <c r="AU310" s="6" t="s">
        <v>2317</v>
      </c>
      <c r="AV310" s="6" t="s">
        <v>76</v>
      </c>
      <c r="AW310" s="6" t="s">
        <v>76</v>
      </c>
      <c r="AX310" s="6" t="s">
        <v>2284</v>
      </c>
      <c r="AY310" s="6" t="s">
        <v>2285</v>
      </c>
      <c r="AZ310" s="6"/>
      <c r="BA310" s="6"/>
      <c r="BB310" s="6"/>
      <c r="BC310" s="6" t="s">
        <v>127</v>
      </c>
      <c r="BD310" s="6" t="s">
        <v>127</v>
      </c>
      <c r="BE310" s="6" t="s">
        <v>1477</v>
      </c>
      <c r="BF310" s="6" t="s">
        <v>2286</v>
      </c>
      <c r="BG310" s="6" t="s">
        <v>4838</v>
      </c>
      <c r="BH310" s="6" t="s">
        <v>4839</v>
      </c>
    </row>
    <row r="311" spans="1:60" ht="32" customHeight="1" x14ac:dyDescent="0.35">
      <c r="A311" s="13" t="s">
        <v>4840</v>
      </c>
      <c r="B311" s="6" t="s">
        <v>3901</v>
      </c>
      <c r="C311" s="5" t="s">
        <v>1652</v>
      </c>
      <c r="D311" s="5" t="s">
        <v>2192</v>
      </c>
      <c r="E311" s="5" t="s">
        <v>4841</v>
      </c>
      <c r="F311" s="5" t="s">
        <v>4071</v>
      </c>
      <c r="G311" s="5" t="s">
        <v>2396</v>
      </c>
      <c r="H311" s="5" t="s">
        <v>4842</v>
      </c>
      <c r="I311" s="5" t="s">
        <v>4843</v>
      </c>
      <c r="J311" s="17" t="s">
        <v>162</v>
      </c>
      <c r="K311" s="17" t="s">
        <v>1477</v>
      </c>
      <c r="L311" s="5" t="s">
        <v>4844</v>
      </c>
      <c r="M311" s="6" t="s">
        <v>1493</v>
      </c>
      <c r="N311" s="6" t="s">
        <v>2170</v>
      </c>
      <c r="O311" s="6" t="s">
        <v>162</v>
      </c>
      <c r="P311" s="5" t="s">
        <v>2272</v>
      </c>
      <c r="Q311" s="18" t="s">
        <v>1482</v>
      </c>
      <c r="R311" s="5" t="s">
        <v>4007</v>
      </c>
      <c r="S311" s="6" t="s">
        <v>2371</v>
      </c>
      <c r="T311" s="5" t="s">
        <v>2372</v>
      </c>
      <c r="U311" s="6"/>
      <c r="V311" s="6" t="s">
        <v>2373</v>
      </c>
      <c r="W311" s="6" t="s">
        <v>1699</v>
      </c>
      <c r="X311" s="5" t="s">
        <v>228</v>
      </c>
      <c r="Y311" s="5" t="s">
        <v>2170</v>
      </c>
      <c r="Z311" s="5" t="str">
        <f t="shared" si="8"/>
        <v>Critical</v>
      </c>
      <c r="AA311" s="5" t="s">
        <v>1302</v>
      </c>
      <c r="AB311" s="6" t="s">
        <v>1319</v>
      </c>
      <c r="AC311" s="6" t="s">
        <v>135</v>
      </c>
      <c r="AD311" s="5" t="s">
        <v>2278</v>
      </c>
      <c r="AE311" s="5" t="s">
        <v>1720</v>
      </c>
      <c r="AF311" s="5" t="s">
        <v>1720</v>
      </c>
      <c r="AG311" s="5" t="s">
        <v>1720</v>
      </c>
      <c r="AH311" s="5" t="s">
        <v>1720</v>
      </c>
      <c r="AI311" s="6" t="str">
        <f t="shared" si="9"/>
        <v>No</v>
      </c>
      <c r="AJ311" s="6" t="s">
        <v>2298</v>
      </c>
      <c r="AK311" s="6" t="s">
        <v>162</v>
      </c>
      <c r="AL311" s="6">
        <f>MATCH(AA311,{"Low","Medium","High"},0)*MATCH(AB311,{"Low","Medium","High"},0)*INDEX({3,2,2,1,1},MATCH(X311,{"Core","Vertical extension","Differentiator","Future","Adjacent"},0))</f>
        <v>18</v>
      </c>
      <c r="AM311" s="5"/>
      <c r="AN311" s="5"/>
      <c r="AO311" s="5"/>
      <c r="AP311" s="5"/>
      <c r="AQ311" s="5"/>
      <c r="AR311" s="5"/>
      <c r="AS311" s="5"/>
      <c r="AT311" s="5"/>
      <c r="AU311" s="6" t="s">
        <v>2317</v>
      </c>
      <c r="AV311" s="6" t="s">
        <v>76</v>
      </c>
      <c r="AW311" s="6" t="s">
        <v>76</v>
      </c>
      <c r="AX311" s="6" t="s">
        <v>2284</v>
      </c>
      <c r="AY311" s="6" t="s">
        <v>2285</v>
      </c>
      <c r="AZ311" s="6"/>
      <c r="BA311" s="6" t="s">
        <v>4008</v>
      </c>
      <c r="BB311" s="6" t="s">
        <v>4009</v>
      </c>
      <c r="BC311" s="6" t="s">
        <v>127</v>
      </c>
      <c r="BD311" s="6" t="s">
        <v>127</v>
      </c>
      <c r="BE311" s="6"/>
      <c r="BF311" s="6"/>
      <c r="BG311" s="6"/>
      <c r="BH311" s="6"/>
    </row>
    <row r="312" spans="1:60" ht="32" customHeight="1" x14ac:dyDescent="0.35">
      <c r="A312" s="13" t="s">
        <v>4845</v>
      </c>
      <c r="B312" s="6" t="s">
        <v>3901</v>
      </c>
      <c r="C312" s="5" t="s">
        <v>1652</v>
      </c>
      <c r="D312" s="5" t="s">
        <v>2192</v>
      </c>
      <c r="E312" s="5" t="s">
        <v>4846</v>
      </c>
      <c r="F312" s="5" t="s">
        <v>4071</v>
      </c>
      <c r="G312" s="5" t="s">
        <v>2396</v>
      </c>
      <c r="H312" s="5" t="s">
        <v>4847</v>
      </c>
      <c r="I312" s="5" t="s">
        <v>4848</v>
      </c>
      <c r="J312" s="17" t="s">
        <v>162</v>
      </c>
      <c r="K312" s="17" t="s">
        <v>1477</v>
      </c>
      <c r="L312" s="5" t="s">
        <v>4849</v>
      </c>
      <c r="M312" s="6" t="s">
        <v>1493</v>
      </c>
      <c r="N312" s="6" t="s">
        <v>2170</v>
      </c>
      <c r="O312" s="6" t="s">
        <v>162</v>
      </c>
      <c r="P312" s="5" t="s">
        <v>2272</v>
      </c>
      <c r="Q312" s="17" t="s">
        <v>2273</v>
      </c>
      <c r="R312" s="5" t="s">
        <v>4850</v>
      </c>
      <c r="S312" s="6" t="s">
        <v>2371</v>
      </c>
      <c r="T312" s="5" t="s">
        <v>2372</v>
      </c>
      <c r="U312" s="6"/>
      <c r="V312" s="6" t="s">
        <v>2373</v>
      </c>
      <c r="W312" s="6" t="s">
        <v>1699</v>
      </c>
      <c r="X312" s="5" t="s">
        <v>228</v>
      </c>
      <c r="Y312" s="5" t="s">
        <v>2170</v>
      </c>
      <c r="Z312" s="5" t="str">
        <f t="shared" si="8"/>
        <v>Critical</v>
      </c>
      <c r="AA312" s="5" t="s">
        <v>1302</v>
      </c>
      <c r="AB312" s="6" t="s">
        <v>1319</v>
      </c>
      <c r="AC312" s="6" t="s">
        <v>135</v>
      </c>
      <c r="AD312" s="5" t="s">
        <v>2278</v>
      </c>
      <c r="AE312" s="5" t="s">
        <v>1720</v>
      </c>
      <c r="AF312" s="5" t="s">
        <v>1720</v>
      </c>
      <c r="AG312" s="5" t="s">
        <v>1720</v>
      </c>
      <c r="AH312" s="5" t="s">
        <v>1720</v>
      </c>
      <c r="AI312" s="6" t="str">
        <f t="shared" si="9"/>
        <v>No</v>
      </c>
      <c r="AJ312" s="6" t="s">
        <v>2298</v>
      </c>
      <c r="AK312" s="6" t="s">
        <v>162</v>
      </c>
      <c r="AL312" s="6">
        <f>MATCH(AA312,{"Low","Medium","High"},0)*MATCH(AB312,{"Low","Medium","High"},0)*INDEX({3,2,2,1,1},MATCH(X312,{"Core","Vertical extension","Differentiator","Future","Adjacent"},0))</f>
        <v>18</v>
      </c>
      <c r="AM312" s="5"/>
      <c r="AN312" s="5"/>
      <c r="AO312" s="5"/>
      <c r="AP312" s="5"/>
      <c r="AQ312" s="5"/>
      <c r="AR312" s="5"/>
      <c r="AS312" s="5"/>
      <c r="AT312" s="5"/>
      <c r="AU312" s="6" t="s">
        <v>2317</v>
      </c>
      <c r="AV312" s="6" t="s">
        <v>76</v>
      </c>
      <c r="AW312" s="6" t="s">
        <v>76</v>
      </c>
      <c r="AX312" s="6" t="s">
        <v>2284</v>
      </c>
      <c r="AY312" s="6" t="s">
        <v>2285</v>
      </c>
      <c r="AZ312" s="6"/>
      <c r="BA312" s="6"/>
      <c r="BB312" s="6"/>
      <c r="BC312" s="6" t="s">
        <v>127</v>
      </c>
      <c r="BD312" s="6" t="s">
        <v>127</v>
      </c>
      <c r="BE312" s="6" t="s">
        <v>1477</v>
      </c>
      <c r="BF312" s="6" t="s">
        <v>2286</v>
      </c>
      <c r="BG312" s="6" t="s">
        <v>4838</v>
      </c>
      <c r="BH312" s="6" t="s">
        <v>4851</v>
      </c>
    </row>
    <row r="313" spans="1:60" ht="32" customHeight="1" x14ac:dyDescent="0.35">
      <c r="A313" s="13" t="s">
        <v>4852</v>
      </c>
      <c r="B313" s="6" t="s">
        <v>3901</v>
      </c>
      <c r="C313" s="5" t="s">
        <v>1652</v>
      </c>
      <c r="D313" s="5" t="s">
        <v>2192</v>
      </c>
      <c r="E313" s="5" t="s">
        <v>4853</v>
      </c>
      <c r="F313" s="5" t="s">
        <v>2973</v>
      </c>
      <c r="G313" s="5" t="s">
        <v>2396</v>
      </c>
      <c r="H313" s="5" t="s">
        <v>4854</v>
      </c>
      <c r="I313" s="5" t="s">
        <v>4855</v>
      </c>
      <c r="J313" s="17" t="s">
        <v>162</v>
      </c>
      <c r="K313" s="17" t="s">
        <v>1477</v>
      </c>
      <c r="L313" s="5" t="s">
        <v>4856</v>
      </c>
      <c r="M313" s="6" t="s">
        <v>1493</v>
      </c>
      <c r="N313" s="6" t="s">
        <v>2170</v>
      </c>
      <c r="O313" s="6" t="s">
        <v>162</v>
      </c>
      <c r="P313" s="5" t="s">
        <v>2272</v>
      </c>
      <c r="Q313" s="17" t="s">
        <v>2273</v>
      </c>
      <c r="R313" s="5" t="s">
        <v>4857</v>
      </c>
      <c r="S313" s="6" t="s">
        <v>2371</v>
      </c>
      <c r="T313" s="5" t="s">
        <v>2372</v>
      </c>
      <c r="U313" s="6"/>
      <c r="V313" s="6" t="s">
        <v>2373</v>
      </c>
      <c r="W313" s="6" t="s">
        <v>1699</v>
      </c>
      <c r="X313" s="5" t="s">
        <v>228</v>
      </c>
      <c r="Y313" s="5" t="s">
        <v>2170</v>
      </c>
      <c r="Z313" s="5" t="str">
        <f t="shared" si="8"/>
        <v>Critical</v>
      </c>
      <c r="AA313" s="5" t="s">
        <v>1302</v>
      </c>
      <c r="AB313" s="6" t="s">
        <v>1319</v>
      </c>
      <c r="AC313" s="6" t="s">
        <v>135</v>
      </c>
      <c r="AD313" s="5" t="s">
        <v>2278</v>
      </c>
      <c r="AE313" s="5" t="s">
        <v>1720</v>
      </c>
      <c r="AF313" s="5" t="s">
        <v>1720</v>
      </c>
      <c r="AG313" s="5" t="s">
        <v>1720</v>
      </c>
      <c r="AH313" s="5" t="s">
        <v>1720</v>
      </c>
      <c r="AI313" s="6" t="str">
        <f t="shared" si="9"/>
        <v>No</v>
      </c>
      <c r="AJ313" s="6" t="s">
        <v>2298</v>
      </c>
      <c r="AK313" s="6" t="s">
        <v>162</v>
      </c>
      <c r="AL313" s="6">
        <f>MATCH(AA313,{"Low","Medium","High"},0)*MATCH(AB313,{"Low","Medium","High"},0)*INDEX({3,2,2,1,1},MATCH(X313,{"Core","Vertical extension","Differentiator","Future","Adjacent"},0))</f>
        <v>18</v>
      </c>
      <c r="AM313" s="5"/>
      <c r="AN313" s="5"/>
      <c r="AO313" s="5"/>
      <c r="AP313" s="5"/>
      <c r="AQ313" s="5"/>
      <c r="AR313" s="5"/>
      <c r="AS313" s="5"/>
      <c r="AT313" s="5"/>
      <c r="AU313" s="6" t="s">
        <v>2317</v>
      </c>
      <c r="AV313" s="6" t="s">
        <v>76</v>
      </c>
      <c r="AW313" s="6" t="s">
        <v>76</v>
      </c>
      <c r="AX313" s="6" t="s">
        <v>2284</v>
      </c>
      <c r="AY313" s="6" t="s">
        <v>2285</v>
      </c>
      <c r="AZ313" s="6"/>
      <c r="BA313" s="6" t="s">
        <v>4008</v>
      </c>
      <c r="BB313" s="6" t="s">
        <v>4009</v>
      </c>
      <c r="BC313" s="6" t="s">
        <v>127</v>
      </c>
      <c r="BD313" s="6" t="s">
        <v>127</v>
      </c>
      <c r="BE313" s="6" t="s">
        <v>1477</v>
      </c>
      <c r="BF313" s="6" t="s">
        <v>2286</v>
      </c>
      <c r="BG313" s="6" t="s">
        <v>4858</v>
      </c>
      <c r="BH313" s="6" t="s">
        <v>4859</v>
      </c>
    </row>
    <row r="314" spans="1:60" ht="32" customHeight="1" x14ac:dyDescent="0.35">
      <c r="A314" s="13" t="s">
        <v>4860</v>
      </c>
      <c r="B314" s="6" t="s">
        <v>3901</v>
      </c>
      <c r="C314" s="5" t="s">
        <v>1652</v>
      </c>
      <c r="D314" s="5" t="s">
        <v>2192</v>
      </c>
      <c r="E314" s="5" t="s">
        <v>4861</v>
      </c>
      <c r="F314" s="5" t="s">
        <v>4862</v>
      </c>
      <c r="G314" s="5" t="s">
        <v>3209</v>
      </c>
      <c r="H314" s="5" t="s">
        <v>4863</v>
      </c>
      <c r="I314" s="5" t="s">
        <v>4864</v>
      </c>
      <c r="J314" s="17" t="s">
        <v>162</v>
      </c>
      <c r="K314" s="17" t="s">
        <v>1477</v>
      </c>
      <c r="L314" s="5" t="s">
        <v>4865</v>
      </c>
      <c r="M314" s="6" t="s">
        <v>1493</v>
      </c>
      <c r="N314" s="6" t="s">
        <v>2170</v>
      </c>
      <c r="O314" s="6" t="s">
        <v>162</v>
      </c>
      <c r="P314" s="5" t="s">
        <v>2272</v>
      </c>
      <c r="Q314" s="17" t="s">
        <v>2273</v>
      </c>
      <c r="R314" s="5" t="s">
        <v>4866</v>
      </c>
      <c r="S314" s="6" t="s">
        <v>2371</v>
      </c>
      <c r="T314" s="5" t="s">
        <v>2372</v>
      </c>
      <c r="U314" s="6"/>
      <c r="V314" s="6" t="s">
        <v>2373</v>
      </c>
      <c r="W314" s="6" t="s">
        <v>1699</v>
      </c>
      <c r="X314" s="5" t="s">
        <v>228</v>
      </c>
      <c r="Y314" s="5" t="s">
        <v>2170</v>
      </c>
      <c r="Z314" s="5" t="str">
        <f t="shared" si="8"/>
        <v>Critical</v>
      </c>
      <c r="AA314" s="5" t="s">
        <v>1302</v>
      </c>
      <c r="AB314" s="6" t="s">
        <v>1319</v>
      </c>
      <c r="AC314" s="6" t="s">
        <v>135</v>
      </c>
      <c r="AD314" s="5" t="s">
        <v>2278</v>
      </c>
      <c r="AE314" s="5" t="s">
        <v>1720</v>
      </c>
      <c r="AF314" s="5" t="s">
        <v>1720</v>
      </c>
      <c r="AG314" s="5" t="s">
        <v>1720</v>
      </c>
      <c r="AH314" s="5" t="s">
        <v>1720</v>
      </c>
      <c r="AI314" s="6" t="str">
        <f t="shared" si="9"/>
        <v>No</v>
      </c>
      <c r="AJ314" s="6" t="s">
        <v>2298</v>
      </c>
      <c r="AK314" s="6" t="s">
        <v>162</v>
      </c>
      <c r="AL314" s="6">
        <f>MATCH(AA314,{"Low","Medium","High"},0)*MATCH(AB314,{"Low","Medium","High"},0)*INDEX({3,2,2,1,1},MATCH(X314,{"Core","Vertical extension","Differentiator","Future","Adjacent"},0))</f>
        <v>18</v>
      </c>
      <c r="AM314" s="5"/>
      <c r="AN314" s="5"/>
      <c r="AO314" s="5"/>
      <c r="AP314" s="5"/>
      <c r="AQ314" s="5"/>
      <c r="AR314" s="5"/>
      <c r="AS314" s="5"/>
      <c r="AT314" s="5"/>
      <c r="AU314" s="6" t="s">
        <v>2317</v>
      </c>
      <c r="AV314" s="6" t="s">
        <v>3968</v>
      </c>
      <c r="AW314" s="6" t="s">
        <v>3968</v>
      </c>
      <c r="AX314" s="6" t="s">
        <v>2284</v>
      </c>
      <c r="AY314" s="6" t="s">
        <v>2285</v>
      </c>
      <c r="AZ314" s="6"/>
      <c r="BA314" s="6" t="s">
        <v>2299</v>
      </c>
      <c r="BB314" s="6" t="s">
        <v>2300</v>
      </c>
      <c r="BC314" s="6" t="s">
        <v>127</v>
      </c>
      <c r="BD314" s="6" t="s">
        <v>127</v>
      </c>
      <c r="BE314" s="6" t="s">
        <v>1477</v>
      </c>
      <c r="BF314" s="6" t="s">
        <v>2286</v>
      </c>
      <c r="BG314" s="6" t="s">
        <v>4867</v>
      </c>
      <c r="BH314" s="6" t="s">
        <v>4868</v>
      </c>
    </row>
    <row r="315" spans="1:60" ht="32" customHeight="1" x14ac:dyDescent="0.35">
      <c r="A315" s="13" t="s">
        <v>4869</v>
      </c>
      <c r="B315" s="6" t="s">
        <v>3901</v>
      </c>
      <c r="C315" s="5" t="s">
        <v>1652</v>
      </c>
      <c r="D315" s="5" t="s">
        <v>2192</v>
      </c>
      <c r="E315" s="5" t="s">
        <v>4870</v>
      </c>
      <c r="F315" s="5" t="s">
        <v>4021</v>
      </c>
      <c r="G315" s="5" t="s">
        <v>3336</v>
      </c>
      <c r="H315" s="5" t="s">
        <v>4871</v>
      </c>
      <c r="I315" s="5" t="s">
        <v>4872</v>
      </c>
      <c r="J315" s="17" t="s">
        <v>162</v>
      </c>
      <c r="K315" s="17" t="s">
        <v>1477</v>
      </c>
      <c r="L315" s="5" t="s">
        <v>4873</v>
      </c>
      <c r="M315" s="6" t="s">
        <v>1493</v>
      </c>
      <c r="N315" s="6" t="s">
        <v>2170</v>
      </c>
      <c r="O315" s="6" t="s">
        <v>162</v>
      </c>
      <c r="P315" s="5" t="s">
        <v>2272</v>
      </c>
      <c r="Q315" s="17" t="s">
        <v>2273</v>
      </c>
      <c r="R315" s="5" t="s">
        <v>4874</v>
      </c>
      <c r="S315" s="6" t="s">
        <v>2371</v>
      </c>
      <c r="T315" s="5" t="s">
        <v>2372</v>
      </c>
      <c r="U315" s="6"/>
      <c r="V315" s="6" t="s">
        <v>2373</v>
      </c>
      <c r="W315" s="6" t="s">
        <v>1699</v>
      </c>
      <c r="X315" s="5" t="s">
        <v>228</v>
      </c>
      <c r="Y315" s="5" t="s">
        <v>2170</v>
      </c>
      <c r="Z315" s="5" t="str">
        <f t="shared" si="8"/>
        <v>Critical</v>
      </c>
      <c r="AA315" s="5" t="s">
        <v>1302</v>
      </c>
      <c r="AB315" s="6" t="s">
        <v>1319</v>
      </c>
      <c r="AC315" s="6" t="s">
        <v>135</v>
      </c>
      <c r="AD315" s="5" t="s">
        <v>2278</v>
      </c>
      <c r="AE315" s="5" t="s">
        <v>1720</v>
      </c>
      <c r="AF315" s="5" t="s">
        <v>1720</v>
      </c>
      <c r="AG315" s="5" t="s">
        <v>1720</v>
      </c>
      <c r="AH315" s="5" t="s">
        <v>1720</v>
      </c>
      <c r="AI315" s="6" t="str">
        <f t="shared" si="9"/>
        <v>No</v>
      </c>
      <c r="AJ315" s="6" t="s">
        <v>2298</v>
      </c>
      <c r="AK315" s="6" t="s">
        <v>162</v>
      </c>
      <c r="AL315" s="6">
        <f>MATCH(AA315,{"Low","Medium","High"},0)*MATCH(AB315,{"Low","Medium","High"},0)*INDEX({3,2,2,1,1},MATCH(X315,{"Core","Vertical extension","Differentiator","Future","Adjacent"},0))</f>
        <v>18</v>
      </c>
      <c r="AM315" s="5"/>
      <c r="AN315" s="5"/>
      <c r="AO315" s="5"/>
      <c r="AP315" s="5"/>
      <c r="AQ315" s="5"/>
      <c r="AR315" s="5"/>
      <c r="AS315" s="5"/>
      <c r="AT315" s="5"/>
      <c r="AU315" s="6" t="s">
        <v>2317</v>
      </c>
      <c r="AV315" s="6" t="s">
        <v>3968</v>
      </c>
      <c r="AW315" s="6" t="s">
        <v>3968</v>
      </c>
      <c r="AX315" s="6" t="s">
        <v>2284</v>
      </c>
      <c r="AY315" s="6" t="s">
        <v>2285</v>
      </c>
      <c r="AZ315" s="6"/>
      <c r="BA315" s="6"/>
      <c r="BB315" s="6"/>
      <c r="BC315" s="6" t="s">
        <v>127</v>
      </c>
      <c r="BD315" s="6" t="s">
        <v>127</v>
      </c>
      <c r="BE315" s="6" t="s">
        <v>1477</v>
      </c>
      <c r="BF315" s="6" t="s">
        <v>2286</v>
      </c>
      <c r="BG315" s="6" t="s">
        <v>4875</v>
      </c>
      <c r="BH315" s="6" t="s">
        <v>4876</v>
      </c>
    </row>
    <row r="316" spans="1:60" ht="32" customHeight="1" x14ac:dyDescent="0.35">
      <c r="A316" s="13" t="s">
        <v>4877</v>
      </c>
      <c r="B316" s="6" t="s">
        <v>3901</v>
      </c>
      <c r="C316" s="5" t="s">
        <v>1652</v>
      </c>
      <c r="D316" s="5" t="s">
        <v>2192</v>
      </c>
      <c r="E316" s="5" t="s">
        <v>4878</v>
      </c>
      <c r="F316" s="5" t="s">
        <v>4879</v>
      </c>
      <c r="G316" s="5" t="s">
        <v>4880</v>
      </c>
      <c r="H316" s="5" t="s">
        <v>4881</v>
      </c>
      <c r="I316" s="5" t="s">
        <v>4882</v>
      </c>
      <c r="J316" s="16" t="s">
        <v>94</v>
      </c>
      <c r="K316" s="17" t="s">
        <v>1477</v>
      </c>
      <c r="L316" s="5" t="s">
        <v>4883</v>
      </c>
      <c r="M316" s="6" t="s">
        <v>1493</v>
      </c>
      <c r="N316" s="6" t="s">
        <v>2170</v>
      </c>
      <c r="O316" s="6" t="s">
        <v>94</v>
      </c>
      <c r="P316" s="5" t="s">
        <v>2272</v>
      </c>
      <c r="Q316" s="17" t="s">
        <v>2273</v>
      </c>
      <c r="R316" s="5" t="s">
        <v>4884</v>
      </c>
      <c r="S316" s="6" t="s">
        <v>2371</v>
      </c>
      <c r="T316" s="5" t="s">
        <v>2372</v>
      </c>
      <c r="U316" s="6"/>
      <c r="V316" s="6" t="s">
        <v>2373</v>
      </c>
      <c r="W316" s="6" t="s">
        <v>1699</v>
      </c>
      <c r="X316" s="5" t="s">
        <v>228</v>
      </c>
      <c r="Y316" s="5" t="s">
        <v>2170</v>
      </c>
      <c r="Z316" s="5" t="str">
        <f t="shared" si="8"/>
        <v>Critical</v>
      </c>
      <c r="AA316" s="5" t="s">
        <v>1302</v>
      </c>
      <c r="AB316" s="6" t="s">
        <v>1319</v>
      </c>
      <c r="AC316" s="6" t="s">
        <v>99</v>
      </c>
      <c r="AD316" s="5" t="s">
        <v>2278</v>
      </c>
      <c r="AE316" s="5" t="s">
        <v>1720</v>
      </c>
      <c r="AF316" s="5" t="s">
        <v>1720</v>
      </c>
      <c r="AG316" s="5" t="s">
        <v>1720</v>
      </c>
      <c r="AH316" s="5" t="s">
        <v>1720</v>
      </c>
      <c r="AI316" s="6" t="str">
        <f t="shared" si="9"/>
        <v>No</v>
      </c>
      <c r="AJ316" s="6" t="s">
        <v>2298</v>
      </c>
      <c r="AK316" s="6" t="s">
        <v>94</v>
      </c>
      <c r="AL316" s="6">
        <f>MATCH(AA316,{"Low","Medium","High"},0)*MATCH(AB316,{"Low","Medium","High"},0)*INDEX({3,2,2,1,1},MATCH(X316,{"Core","Vertical extension","Differentiator","Future","Adjacent"},0))</f>
        <v>18</v>
      </c>
      <c r="AM316" s="5"/>
      <c r="AN316" s="5"/>
      <c r="AO316" s="5"/>
      <c r="AP316" s="5"/>
      <c r="AQ316" s="5"/>
      <c r="AR316" s="5" t="s">
        <v>4885</v>
      </c>
      <c r="AS316" s="5" t="s">
        <v>1462</v>
      </c>
      <c r="AT316" s="5" t="s">
        <v>2281</v>
      </c>
      <c r="AU316" s="6" t="s">
        <v>95</v>
      </c>
      <c r="AV316" s="6" t="s">
        <v>3968</v>
      </c>
      <c r="AW316" s="6" t="s">
        <v>3968</v>
      </c>
      <c r="AX316" s="6" t="s">
        <v>2284</v>
      </c>
      <c r="AY316" s="6" t="s">
        <v>2285</v>
      </c>
      <c r="AZ316" s="6"/>
      <c r="BA316" s="6"/>
      <c r="BB316" s="6"/>
      <c r="BC316" s="6" t="s">
        <v>127</v>
      </c>
      <c r="BD316" s="6" t="s">
        <v>127</v>
      </c>
      <c r="BE316" s="6" t="s">
        <v>1477</v>
      </c>
      <c r="BF316" s="6" t="s">
        <v>2286</v>
      </c>
      <c r="BG316" s="6" t="s">
        <v>4886</v>
      </c>
      <c r="BH316" s="6" t="s">
        <v>4887</v>
      </c>
    </row>
    <row r="317" spans="1:60" ht="32" customHeight="1" x14ac:dyDescent="0.35">
      <c r="A317" s="13" t="s">
        <v>4888</v>
      </c>
      <c r="B317" s="6" t="s">
        <v>3901</v>
      </c>
      <c r="C317" s="5" t="s">
        <v>1652</v>
      </c>
      <c r="D317" s="5" t="s">
        <v>2192</v>
      </c>
      <c r="E317" s="5" t="s">
        <v>4889</v>
      </c>
      <c r="F317" s="5" t="s">
        <v>2807</v>
      </c>
      <c r="G317" s="5" t="s">
        <v>2396</v>
      </c>
      <c r="H317" s="5" t="s">
        <v>4890</v>
      </c>
      <c r="I317" s="5" t="s">
        <v>4891</v>
      </c>
      <c r="J317" s="17" t="s">
        <v>162</v>
      </c>
      <c r="K317" s="17" t="s">
        <v>1477</v>
      </c>
      <c r="L317" s="5" t="s">
        <v>4892</v>
      </c>
      <c r="M317" s="6" t="s">
        <v>1493</v>
      </c>
      <c r="N317" s="6" t="s">
        <v>2170</v>
      </c>
      <c r="O317" s="6" t="s">
        <v>162</v>
      </c>
      <c r="P317" s="5" t="s">
        <v>2272</v>
      </c>
      <c r="Q317" s="18" t="s">
        <v>1482</v>
      </c>
      <c r="R317" s="5" t="s">
        <v>2400</v>
      </c>
      <c r="S317" s="6" t="s">
        <v>2371</v>
      </c>
      <c r="T317" s="5" t="s">
        <v>2372</v>
      </c>
      <c r="U317" s="6"/>
      <c r="V317" s="6" t="s">
        <v>2373</v>
      </c>
      <c r="W317" s="6" t="s">
        <v>1699</v>
      </c>
      <c r="X317" s="5" t="s">
        <v>228</v>
      </c>
      <c r="Y317" s="5" t="s">
        <v>2170</v>
      </c>
      <c r="Z317" s="5" t="str">
        <f t="shared" si="8"/>
        <v>Critical</v>
      </c>
      <c r="AA317" s="5" t="s">
        <v>1302</v>
      </c>
      <c r="AB317" s="6" t="s">
        <v>1319</v>
      </c>
      <c r="AC317" s="6" t="s">
        <v>135</v>
      </c>
      <c r="AD317" s="5" t="s">
        <v>2278</v>
      </c>
      <c r="AE317" s="5" t="s">
        <v>1720</v>
      </c>
      <c r="AF317" s="5" t="s">
        <v>1720</v>
      </c>
      <c r="AG317" s="5" t="s">
        <v>1720</v>
      </c>
      <c r="AH317" s="5" t="s">
        <v>1720</v>
      </c>
      <c r="AI317" s="6" t="str">
        <f t="shared" si="9"/>
        <v>No</v>
      </c>
      <c r="AJ317" s="6" t="s">
        <v>2298</v>
      </c>
      <c r="AK317" s="6" t="s">
        <v>162</v>
      </c>
      <c r="AL317" s="6">
        <f>MATCH(AA317,{"Low","Medium","High"},0)*MATCH(AB317,{"Low","Medium","High"},0)*INDEX({3,2,2,1,1},MATCH(X317,{"Core","Vertical extension","Differentiator","Future","Adjacent"},0))</f>
        <v>18</v>
      </c>
      <c r="AM317" s="5"/>
      <c r="AN317" s="5"/>
      <c r="AO317" s="5"/>
      <c r="AP317" s="5"/>
      <c r="AQ317" s="5"/>
      <c r="AR317" s="5"/>
      <c r="AS317" s="5"/>
      <c r="AT317" s="5"/>
      <c r="AU317" s="6" t="s">
        <v>2317</v>
      </c>
      <c r="AV317" s="6" t="s">
        <v>2813</v>
      </c>
      <c r="AW317" s="6" t="s">
        <v>2813</v>
      </c>
      <c r="AX317" s="6" t="s">
        <v>2284</v>
      </c>
      <c r="AY317" s="6" t="s">
        <v>2285</v>
      </c>
      <c r="AZ317" s="6"/>
      <c r="BA317" s="6"/>
      <c r="BB317" s="6"/>
      <c r="BC317" s="6" t="s">
        <v>127</v>
      </c>
      <c r="BD317" s="6" t="s">
        <v>127</v>
      </c>
      <c r="BE317" s="6"/>
      <c r="BF317" s="6"/>
      <c r="BG317" s="6"/>
      <c r="BH317" s="6"/>
    </row>
    <row r="318" spans="1:60" ht="32" customHeight="1" x14ac:dyDescent="0.35">
      <c r="A318" s="13" t="s">
        <v>4893</v>
      </c>
      <c r="B318" s="6" t="s">
        <v>3901</v>
      </c>
      <c r="C318" s="5" t="s">
        <v>1652</v>
      </c>
      <c r="D318" s="5" t="s">
        <v>2192</v>
      </c>
      <c r="E318" s="5" t="s">
        <v>4894</v>
      </c>
      <c r="F318" s="5" t="s">
        <v>2973</v>
      </c>
      <c r="G318" s="5" t="s">
        <v>2396</v>
      </c>
      <c r="H318" s="5" t="s">
        <v>4895</v>
      </c>
      <c r="I318" s="5" t="s">
        <v>4896</v>
      </c>
      <c r="J318" s="17" t="s">
        <v>162</v>
      </c>
      <c r="K318" s="17" t="s">
        <v>1477</v>
      </c>
      <c r="L318" s="5" t="s">
        <v>4897</v>
      </c>
      <c r="M318" s="6" t="s">
        <v>1493</v>
      </c>
      <c r="N318" s="6" t="s">
        <v>2170</v>
      </c>
      <c r="O318" s="6" t="s">
        <v>162</v>
      </c>
      <c r="P318" s="5" t="s">
        <v>2272</v>
      </c>
      <c r="Q318" s="17" t="s">
        <v>2273</v>
      </c>
      <c r="R318" s="5" t="s">
        <v>4898</v>
      </c>
      <c r="S318" s="6" t="s">
        <v>2371</v>
      </c>
      <c r="T318" s="5" t="s">
        <v>2372</v>
      </c>
      <c r="U318" s="6"/>
      <c r="V318" s="6" t="s">
        <v>2373</v>
      </c>
      <c r="W318" s="6" t="s">
        <v>1699</v>
      </c>
      <c r="X318" s="5" t="s">
        <v>228</v>
      </c>
      <c r="Y318" s="5" t="s">
        <v>2170</v>
      </c>
      <c r="Z318" s="5" t="str">
        <f t="shared" si="8"/>
        <v>Critical</v>
      </c>
      <c r="AA318" s="5" t="s">
        <v>1302</v>
      </c>
      <c r="AB318" s="6" t="s">
        <v>1319</v>
      </c>
      <c r="AC318" s="6" t="s">
        <v>135</v>
      </c>
      <c r="AD318" s="5" t="s">
        <v>2278</v>
      </c>
      <c r="AE318" s="5" t="s">
        <v>1720</v>
      </c>
      <c r="AF318" s="5" t="s">
        <v>1720</v>
      </c>
      <c r="AG318" s="5" t="s">
        <v>1720</v>
      </c>
      <c r="AH318" s="5" t="s">
        <v>1720</v>
      </c>
      <c r="AI318" s="6" t="str">
        <f t="shared" si="9"/>
        <v>No</v>
      </c>
      <c r="AJ318" s="6" t="s">
        <v>2298</v>
      </c>
      <c r="AK318" s="6" t="s">
        <v>162</v>
      </c>
      <c r="AL318" s="6">
        <f>MATCH(AA318,{"Low","Medium","High"},0)*MATCH(AB318,{"Low","Medium","High"},0)*INDEX({3,2,2,1,1},MATCH(X318,{"Core","Vertical extension","Differentiator","Future","Adjacent"},0))</f>
        <v>18</v>
      </c>
      <c r="AM318" s="5"/>
      <c r="AN318" s="5"/>
      <c r="AO318" s="5"/>
      <c r="AP318" s="5"/>
      <c r="AQ318" s="5"/>
      <c r="AR318" s="5"/>
      <c r="AS318" s="5"/>
      <c r="AT318" s="5"/>
      <c r="AU318" s="6" t="s">
        <v>2317</v>
      </c>
      <c r="AV318" s="6" t="s">
        <v>76</v>
      </c>
      <c r="AW318" s="6" t="s">
        <v>76</v>
      </c>
      <c r="AX318" s="6" t="s">
        <v>2284</v>
      </c>
      <c r="AY318" s="6" t="s">
        <v>2285</v>
      </c>
      <c r="AZ318" s="6"/>
      <c r="BA318" s="6"/>
      <c r="BB318" s="6"/>
      <c r="BC318" s="6" t="s">
        <v>127</v>
      </c>
      <c r="BD318" s="6" t="s">
        <v>127</v>
      </c>
      <c r="BE318" s="6" t="s">
        <v>1477</v>
      </c>
      <c r="BF318" s="6" t="s">
        <v>2286</v>
      </c>
      <c r="BG318" s="6" t="s">
        <v>4899</v>
      </c>
      <c r="BH318" s="6" t="s">
        <v>4900</v>
      </c>
    </row>
    <row r="319" spans="1:60" ht="32" customHeight="1" x14ac:dyDescent="0.35">
      <c r="A319" s="13" t="s">
        <v>4901</v>
      </c>
      <c r="B319" s="6" t="s">
        <v>3901</v>
      </c>
      <c r="C319" s="5" t="s">
        <v>1652</v>
      </c>
      <c r="D319" s="5" t="s">
        <v>2192</v>
      </c>
      <c r="E319" s="5" t="s">
        <v>4902</v>
      </c>
      <c r="F319" s="5" t="s">
        <v>2973</v>
      </c>
      <c r="G319" s="5" t="s">
        <v>2396</v>
      </c>
      <c r="H319" s="5" t="s">
        <v>4903</v>
      </c>
      <c r="I319" s="5" t="s">
        <v>4904</v>
      </c>
      <c r="J319" s="17" t="s">
        <v>162</v>
      </c>
      <c r="K319" s="17" t="s">
        <v>1477</v>
      </c>
      <c r="L319" s="5" t="s">
        <v>4905</v>
      </c>
      <c r="M319" s="6" t="s">
        <v>1493</v>
      </c>
      <c r="N319" s="6" t="s">
        <v>2170</v>
      </c>
      <c r="O319" s="6" t="s">
        <v>162</v>
      </c>
      <c r="P319" s="5" t="s">
        <v>2272</v>
      </c>
      <c r="Q319" s="17" t="s">
        <v>2273</v>
      </c>
      <c r="R319" s="5" t="s">
        <v>4906</v>
      </c>
      <c r="S319" s="6" t="s">
        <v>2371</v>
      </c>
      <c r="T319" s="5" t="s">
        <v>2372</v>
      </c>
      <c r="U319" s="6"/>
      <c r="V319" s="6" t="s">
        <v>2373</v>
      </c>
      <c r="W319" s="6" t="s">
        <v>1699</v>
      </c>
      <c r="X319" s="5" t="s">
        <v>228</v>
      </c>
      <c r="Y319" s="5" t="s">
        <v>2170</v>
      </c>
      <c r="Z319" s="5" t="str">
        <f t="shared" si="8"/>
        <v>Critical</v>
      </c>
      <c r="AA319" s="5" t="s">
        <v>1302</v>
      </c>
      <c r="AB319" s="6" t="s">
        <v>1319</v>
      </c>
      <c r="AC319" s="6" t="s">
        <v>135</v>
      </c>
      <c r="AD319" s="5" t="s">
        <v>2278</v>
      </c>
      <c r="AE319" s="5" t="s">
        <v>1720</v>
      </c>
      <c r="AF319" s="5" t="s">
        <v>1720</v>
      </c>
      <c r="AG319" s="5" t="s">
        <v>1720</v>
      </c>
      <c r="AH319" s="5" t="s">
        <v>1720</v>
      </c>
      <c r="AI319" s="6" t="str">
        <f t="shared" si="9"/>
        <v>No</v>
      </c>
      <c r="AJ319" s="6" t="s">
        <v>2298</v>
      </c>
      <c r="AK319" s="6" t="s">
        <v>162</v>
      </c>
      <c r="AL319" s="6">
        <f>MATCH(AA319,{"Low","Medium","High"},0)*MATCH(AB319,{"Low","Medium","High"},0)*INDEX({3,2,2,1,1},MATCH(X319,{"Core","Vertical extension","Differentiator","Future","Adjacent"},0))</f>
        <v>18</v>
      </c>
      <c r="AM319" s="5"/>
      <c r="AN319" s="5"/>
      <c r="AO319" s="5"/>
      <c r="AP319" s="5"/>
      <c r="AQ319" s="5"/>
      <c r="AR319" s="5"/>
      <c r="AS319" s="5"/>
      <c r="AT319" s="5"/>
      <c r="AU319" s="6" t="s">
        <v>2317</v>
      </c>
      <c r="AV319" s="6" t="s">
        <v>76</v>
      </c>
      <c r="AW319" s="6" t="s">
        <v>76</v>
      </c>
      <c r="AX319" s="6" t="s">
        <v>2284</v>
      </c>
      <c r="AY319" s="6" t="s">
        <v>2285</v>
      </c>
      <c r="AZ319" s="6"/>
      <c r="BA319" s="6"/>
      <c r="BB319" s="6"/>
      <c r="BC319" s="6" t="s">
        <v>127</v>
      </c>
      <c r="BD319" s="6" t="s">
        <v>127</v>
      </c>
      <c r="BE319" s="6" t="s">
        <v>1477</v>
      </c>
      <c r="BF319" s="6" t="s">
        <v>2286</v>
      </c>
      <c r="BG319" s="6" t="s">
        <v>4907</v>
      </c>
      <c r="BH319" s="6" t="s">
        <v>4908</v>
      </c>
    </row>
    <row r="320" spans="1:60" ht="32" customHeight="1" x14ac:dyDescent="0.35">
      <c r="A320" s="13" t="s">
        <v>4909</v>
      </c>
      <c r="B320" s="6" t="s">
        <v>3901</v>
      </c>
      <c r="C320" s="5" t="s">
        <v>1652</v>
      </c>
      <c r="D320" s="5" t="s">
        <v>2192</v>
      </c>
      <c r="E320" s="5" t="s">
        <v>4910</v>
      </c>
      <c r="F320" s="5" t="s">
        <v>4071</v>
      </c>
      <c r="G320" s="5" t="s">
        <v>2396</v>
      </c>
      <c r="H320" s="5" t="s">
        <v>4911</v>
      </c>
      <c r="I320" s="5" t="s">
        <v>4912</v>
      </c>
      <c r="J320" s="17" t="s">
        <v>162</v>
      </c>
      <c r="K320" s="17" t="s">
        <v>95</v>
      </c>
      <c r="L320" s="5" t="s">
        <v>4074</v>
      </c>
      <c r="M320" s="6" t="s">
        <v>1493</v>
      </c>
      <c r="N320" s="6" t="s">
        <v>2170</v>
      </c>
      <c r="O320" s="6" t="s">
        <v>162</v>
      </c>
      <c r="P320" s="5" t="s">
        <v>2272</v>
      </c>
      <c r="Q320" s="17" t="s">
        <v>95</v>
      </c>
      <c r="R320" s="5" t="s">
        <v>4913</v>
      </c>
      <c r="S320" s="6" t="s">
        <v>2371</v>
      </c>
      <c r="T320" s="5" t="s">
        <v>2372</v>
      </c>
      <c r="U320" s="6"/>
      <c r="V320" s="6" t="s">
        <v>2373</v>
      </c>
      <c r="W320" s="6" t="s">
        <v>1699</v>
      </c>
      <c r="X320" s="5" t="s">
        <v>228</v>
      </c>
      <c r="Y320" s="5" t="s">
        <v>2170</v>
      </c>
      <c r="Z320" s="5" t="str">
        <f t="shared" si="8"/>
        <v>Critical</v>
      </c>
      <c r="AA320" s="5" t="s">
        <v>1302</v>
      </c>
      <c r="AB320" s="6" t="s">
        <v>1319</v>
      </c>
      <c r="AC320" s="6" t="s">
        <v>135</v>
      </c>
      <c r="AD320" s="5" t="s">
        <v>95</v>
      </c>
      <c r="AE320" s="5" t="s">
        <v>1720</v>
      </c>
      <c r="AF320" s="5" t="s">
        <v>1720</v>
      </c>
      <c r="AG320" s="5" t="s">
        <v>1720</v>
      </c>
      <c r="AH320" s="5" t="s">
        <v>1720</v>
      </c>
      <c r="AI320" s="6" t="str">
        <f t="shared" si="9"/>
        <v>No</v>
      </c>
      <c r="AJ320" s="6" t="s">
        <v>229</v>
      </c>
      <c r="AK320" s="6" t="s">
        <v>162</v>
      </c>
      <c r="AL320" s="6">
        <f>MATCH(AA320,{"Low","Medium","High"},0)*MATCH(AB320,{"Low","Medium","High"},0)*INDEX({3,2,2,1,1},MATCH(X320,{"Core","Vertical extension","Differentiator","Future","Adjacent"},0))</f>
        <v>18</v>
      </c>
      <c r="AM320" s="5"/>
      <c r="AN320" s="5"/>
      <c r="AO320" s="5"/>
      <c r="AP320" s="5"/>
      <c r="AQ320" s="5"/>
      <c r="AR320" s="5"/>
      <c r="AS320" s="5"/>
      <c r="AT320" s="5"/>
      <c r="AU320" s="6" t="s">
        <v>2317</v>
      </c>
      <c r="AV320" s="6" t="s">
        <v>76</v>
      </c>
      <c r="AW320" s="6" t="s">
        <v>76</v>
      </c>
      <c r="AX320" s="6" t="s">
        <v>2284</v>
      </c>
      <c r="AY320" s="6" t="s">
        <v>2285</v>
      </c>
      <c r="AZ320" s="6"/>
      <c r="BA320" s="6"/>
      <c r="BB320" s="6"/>
      <c r="BC320" s="6" t="s">
        <v>127</v>
      </c>
      <c r="BD320" s="6" t="s">
        <v>127</v>
      </c>
      <c r="BE320" s="6" t="s">
        <v>1477</v>
      </c>
      <c r="BF320" s="6" t="s">
        <v>95</v>
      </c>
      <c r="BG320" s="6" t="s">
        <v>4914</v>
      </c>
      <c r="BH320" s="6" t="s">
        <v>4915</v>
      </c>
    </row>
    <row r="321" spans="1:60" ht="32" customHeight="1" x14ac:dyDescent="0.35">
      <c r="A321" s="13" t="s">
        <v>4916</v>
      </c>
      <c r="B321" s="6" t="s">
        <v>3901</v>
      </c>
      <c r="C321" s="5" t="s">
        <v>1652</v>
      </c>
      <c r="D321" s="5" t="s">
        <v>2192</v>
      </c>
      <c r="E321" s="5" t="s">
        <v>4917</v>
      </c>
      <c r="F321" s="5" t="s">
        <v>2973</v>
      </c>
      <c r="G321" s="5" t="s">
        <v>4918</v>
      </c>
      <c r="H321" s="5" t="s">
        <v>4919</v>
      </c>
      <c r="I321" s="5" t="s">
        <v>4920</v>
      </c>
      <c r="J321" s="17" t="s">
        <v>162</v>
      </c>
      <c r="K321" s="17" t="s">
        <v>1477</v>
      </c>
      <c r="L321" s="5" t="s">
        <v>4921</v>
      </c>
      <c r="M321" s="6" t="s">
        <v>1493</v>
      </c>
      <c r="N321" s="6" t="s">
        <v>2170</v>
      </c>
      <c r="O321" s="6" t="s">
        <v>162</v>
      </c>
      <c r="P321" s="5" t="s">
        <v>2272</v>
      </c>
      <c r="Q321" s="17" t="s">
        <v>2273</v>
      </c>
      <c r="R321" s="5" t="s">
        <v>4922</v>
      </c>
      <c r="S321" s="6" t="s">
        <v>2371</v>
      </c>
      <c r="T321" s="5" t="s">
        <v>2372</v>
      </c>
      <c r="U321" s="6"/>
      <c r="V321" s="6" t="s">
        <v>2373</v>
      </c>
      <c r="W321" s="6" t="s">
        <v>1699</v>
      </c>
      <c r="X321" s="5" t="s">
        <v>228</v>
      </c>
      <c r="Y321" s="5" t="s">
        <v>2170</v>
      </c>
      <c r="Z321" s="5" t="str">
        <f t="shared" si="8"/>
        <v>Critical</v>
      </c>
      <c r="AA321" s="5" t="s">
        <v>1302</v>
      </c>
      <c r="AB321" s="6" t="s">
        <v>1319</v>
      </c>
      <c r="AC321" s="6" t="s">
        <v>135</v>
      </c>
      <c r="AD321" s="5" t="s">
        <v>2278</v>
      </c>
      <c r="AE321" s="5" t="s">
        <v>1720</v>
      </c>
      <c r="AF321" s="5" t="s">
        <v>1720</v>
      </c>
      <c r="AG321" s="5" t="s">
        <v>1720</v>
      </c>
      <c r="AH321" s="5" t="s">
        <v>1720</v>
      </c>
      <c r="AI321" s="6" t="str">
        <f t="shared" si="9"/>
        <v>No</v>
      </c>
      <c r="AJ321" s="6" t="s">
        <v>2298</v>
      </c>
      <c r="AK321" s="6" t="s">
        <v>162</v>
      </c>
      <c r="AL321" s="6">
        <f>MATCH(AA321,{"Low","Medium","High"},0)*MATCH(AB321,{"Low","Medium","High"},0)*INDEX({3,2,2,1,1},MATCH(X321,{"Core","Vertical extension","Differentiator","Future","Adjacent"},0))</f>
        <v>18</v>
      </c>
      <c r="AM321" s="5"/>
      <c r="AN321" s="5"/>
      <c r="AO321" s="5"/>
      <c r="AP321" s="5"/>
      <c r="AQ321" s="5"/>
      <c r="AR321" s="5"/>
      <c r="AS321" s="5"/>
      <c r="AT321" s="5"/>
      <c r="AU321" s="6" t="s">
        <v>2317</v>
      </c>
      <c r="AV321" s="6" t="s">
        <v>76</v>
      </c>
      <c r="AW321" s="6" t="s">
        <v>76</v>
      </c>
      <c r="AX321" s="6" t="s">
        <v>2284</v>
      </c>
      <c r="AY321" s="6" t="s">
        <v>2285</v>
      </c>
      <c r="AZ321" s="6"/>
      <c r="BA321" s="6"/>
      <c r="BB321" s="6"/>
      <c r="BC321" s="6" t="s">
        <v>127</v>
      </c>
      <c r="BD321" s="6" t="s">
        <v>127</v>
      </c>
      <c r="BE321" s="6" t="s">
        <v>1477</v>
      </c>
      <c r="BF321" s="6" t="s">
        <v>2286</v>
      </c>
      <c r="BG321" s="6" t="s">
        <v>4923</v>
      </c>
      <c r="BH321" s="6" t="s">
        <v>4924</v>
      </c>
    </row>
    <row r="322" spans="1:60" ht="32" customHeight="1" x14ac:dyDescent="0.35">
      <c r="A322" s="13" t="s">
        <v>4925</v>
      </c>
      <c r="B322" s="6" t="s">
        <v>3901</v>
      </c>
      <c r="C322" s="5" t="s">
        <v>1652</v>
      </c>
      <c r="D322" s="5" t="s">
        <v>2192</v>
      </c>
      <c r="E322" s="5" t="s">
        <v>4926</v>
      </c>
      <c r="F322" s="5" t="s">
        <v>2189</v>
      </c>
      <c r="G322" s="5" t="s">
        <v>2813</v>
      </c>
      <c r="H322" s="5" t="s">
        <v>4927</v>
      </c>
      <c r="I322" s="5" t="s">
        <v>4928</v>
      </c>
      <c r="J322" s="17" t="s">
        <v>162</v>
      </c>
      <c r="K322" s="17" t="s">
        <v>1477</v>
      </c>
      <c r="L322" s="5" t="s">
        <v>4929</v>
      </c>
      <c r="M322" s="6" t="s">
        <v>1493</v>
      </c>
      <c r="N322" s="6" t="s">
        <v>2170</v>
      </c>
      <c r="O322" s="6" t="s">
        <v>162</v>
      </c>
      <c r="P322" s="5" t="s">
        <v>2272</v>
      </c>
      <c r="Q322" s="17" t="s">
        <v>2273</v>
      </c>
      <c r="R322" s="5" t="s">
        <v>4930</v>
      </c>
      <c r="S322" s="6" t="s">
        <v>2371</v>
      </c>
      <c r="T322" s="5" t="s">
        <v>2372</v>
      </c>
      <c r="U322" s="6"/>
      <c r="V322" s="6" t="s">
        <v>2373</v>
      </c>
      <c r="W322" s="6" t="s">
        <v>1699</v>
      </c>
      <c r="X322" s="5" t="s">
        <v>228</v>
      </c>
      <c r="Y322" s="5" t="s">
        <v>2170</v>
      </c>
      <c r="Z322" s="5" t="str">
        <f t="shared" ref="Z322:Z385" si="10">IF(AL322&gt;=18,"Critical",IF(AL322&gt;=9,"High",IF(AL322&gt;=4,"Medium","Low")))</f>
        <v>Critical</v>
      </c>
      <c r="AA322" s="5" t="s">
        <v>1302</v>
      </c>
      <c r="AB322" s="6" t="s">
        <v>1319</v>
      </c>
      <c r="AC322" s="6" t="s">
        <v>135</v>
      </c>
      <c r="AD322" s="5" t="s">
        <v>2278</v>
      </c>
      <c r="AE322" s="5" t="s">
        <v>1720</v>
      </c>
      <c r="AF322" s="5" t="s">
        <v>1720</v>
      </c>
      <c r="AG322" s="5" t="s">
        <v>1720</v>
      </c>
      <c r="AH322" s="5" t="s">
        <v>1720</v>
      </c>
      <c r="AI322" s="6" t="str">
        <f t="shared" ref="AI322:AI385" si="11">IF(AND(AU322="Pass",AE322&lt;&gt;"Not verified",AF322&lt;&gt;"Not verified",AG322&lt;&gt;"Not verified",AH322&lt;&gt;"Not verified",BC322="Yes",BD322="Yes"),"Yes","No")</f>
        <v>No</v>
      </c>
      <c r="AJ322" s="6" t="s">
        <v>2298</v>
      </c>
      <c r="AK322" s="6" t="s">
        <v>162</v>
      </c>
      <c r="AL322" s="6">
        <f>MATCH(AA322,{"Low","Medium","High"},0)*MATCH(AB322,{"Low","Medium","High"},0)*INDEX({3,2,2,1,1},MATCH(X322,{"Core","Vertical extension","Differentiator","Future","Adjacent"},0))</f>
        <v>18</v>
      </c>
      <c r="AM322" s="5"/>
      <c r="AN322" s="5"/>
      <c r="AO322" s="5"/>
      <c r="AP322" s="5"/>
      <c r="AQ322" s="5"/>
      <c r="AR322" s="5"/>
      <c r="AS322" s="5"/>
      <c r="AT322" s="5"/>
      <c r="AU322" s="6" t="s">
        <v>2317</v>
      </c>
      <c r="AV322" s="6" t="s">
        <v>3968</v>
      </c>
      <c r="AW322" s="6" t="s">
        <v>3968</v>
      </c>
      <c r="AX322" s="6" t="s">
        <v>2284</v>
      </c>
      <c r="AY322" s="6" t="s">
        <v>2285</v>
      </c>
      <c r="AZ322" s="6"/>
      <c r="BA322" s="6"/>
      <c r="BB322" s="6"/>
      <c r="BC322" s="6" t="s">
        <v>127</v>
      </c>
      <c r="BD322" s="6" t="s">
        <v>127</v>
      </c>
      <c r="BE322" s="6" t="s">
        <v>1477</v>
      </c>
      <c r="BF322" s="6" t="s">
        <v>2286</v>
      </c>
      <c r="BG322" s="6" t="s">
        <v>4931</v>
      </c>
      <c r="BH322" s="6" t="s">
        <v>4932</v>
      </c>
    </row>
    <row r="323" spans="1:60" ht="32" customHeight="1" x14ac:dyDescent="0.35">
      <c r="A323" s="13" t="s">
        <v>4933</v>
      </c>
      <c r="B323" s="6" t="s">
        <v>3901</v>
      </c>
      <c r="C323" s="5" t="s">
        <v>1652</v>
      </c>
      <c r="D323" s="5" t="s">
        <v>2192</v>
      </c>
      <c r="E323" s="5" t="s">
        <v>4934</v>
      </c>
      <c r="F323" s="5" t="s">
        <v>2973</v>
      </c>
      <c r="G323" s="5" t="s">
        <v>4935</v>
      </c>
      <c r="H323" s="5" t="s">
        <v>4936</v>
      </c>
      <c r="I323" s="5" t="s">
        <v>4937</v>
      </c>
      <c r="J323" s="17" t="s">
        <v>162</v>
      </c>
      <c r="K323" s="17" t="s">
        <v>163</v>
      </c>
      <c r="L323" s="5" t="s">
        <v>4938</v>
      </c>
      <c r="M323" s="6" t="s">
        <v>1493</v>
      </c>
      <c r="N323" s="6" t="s">
        <v>2170</v>
      </c>
      <c r="O323" s="6" t="s">
        <v>162</v>
      </c>
      <c r="P323" s="5" t="s">
        <v>2272</v>
      </c>
      <c r="Q323" s="17" t="s">
        <v>163</v>
      </c>
      <c r="R323" s="5" t="s">
        <v>4939</v>
      </c>
      <c r="S323" s="6" t="s">
        <v>2371</v>
      </c>
      <c r="T323" s="5" t="s">
        <v>2372</v>
      </c>
      <c r="U323" s="6"/>
      <c r="V323" s="6" t="s">
        <v>2373</v>
      </c>
      <c r="W323" s="6" t="s">
        <v>1699</v>
      </c>
      <c r="X323" s="5" t="s">
        <v>228</v>
      </c>
      <c r="Y323" s="5" t="s">
        <v>2170</v>
      </c>
      <c r="Z323" s="5" t="str">
        <f t="shared" si="10"/>
        <v>Critical</v>
      </c>
      <c r="AA323" s="5" t="s">
        <v>1302</v>
      </c>
      <c r="AB323" s="6" t="s">
        <v>1319</v>
      </c>
      <c r="AC323" s="6" t="s">
        <v>135</v>
      </c>
      <c r="AD323" s="5" t="s">
        <v>1805</v>
      </c>
      <c r="AE323" s="5" t="s">
        <v>1720</v>
      </c>
      <c r="AF323" s="5" t="s">
        <v>1720</v>
      </c>
      <c r="AG323" s="5" t="s">
        <v>1720</v>
      </c>
      <c r="AH323" s="5" t="s">
        <v>1720</v>
      </c>
      <c r="AI323" s="6" t="str">
        <f t="shared" si="11"/>
        <v>No</v>
      </c>
      <c r="AJ323" s="6" t="s">
        <v>287</v>
      </c>
      <c r="AK323" s="6" t="s">
        <v>162</v>
      </c>
      <c r="AL323" s="6">
        <f>MATCH(AA323,{"Low","Medium","High"},0)*MATCH(AB323,{"Low","Medium","High"},0)*INDEX({3,2,2,1,1},MATCH(X323,{"Core","Vertical extension","Differentiator","Future","Adjacent"},0))</f>
        <v>18</v>
      </c>
      <c r="AM323" s="5"/>
      <c r="AN323" s="5"/>
      <c r="AO323" s="5"/>
      <c r="AP323" s="5"/>
      <c r="AQ323" s="5"/>
      <c r="AR323" s="5"/>
      <c r="AS323" s="5"/>
      <c r="AT323" s="5"/>
      <c r="AU323" s="6" t="s">
        <v>2317</v>
      </c>
      <c r="AV323" s="6" t="s">
        <v>76</v>
      </c>
      <c r="AW323" s="6" t="s">
        <v>76</v>
      </c>
      <c r="AX323" s="6" t="s">
        <v>2284</v>
      </c>
      <c r="AY323" s="6" t="s">
        <v>2285</v>
      </c>
      <c r="AZ323" s="6"/>
      <c r="BA323" s="6"/>
      <c r="BB323" s="6"/>
      <c r="BC323" s="6" t="s">
        <v>127</v>
      </c>
      <c r="BD323" s="6" t="s">
        <v>127</v>
      </c>
      <c r="BE323" s="6" t="s">
        <v>1477</v>
      </c>
      <c r="BF323" s="6" t="s">
        <v>288</v>
      </c>
      <c r="BG323" s="6" t="s">
        <v>4940</v>
      </c>
      <c r="BH323" s="6" t="s">
        <v>4941</v>
      </c>
    </row>
    <row r="324" spans="1:60" ht="32" customHeight="1" x14ac:dyDescent="0.35">
      <c r="A324" s="13" t="s">
        <v>4942</v>
      </c>
      <c r="B324" s="6" t="s">
        <v>3901</v>
      </c>
      <c r="C324" s="5" t="s">
        <v>1652</v>
      </c>
      <c r="D324" s="5" t="s">
        <v>2192</v>
      </c>
      <c r="E324" s="5" t="s">
        <v>4943</v>
      </c>
      <c r="F324" s="5" t="s">
        <v>3973</v>
      </c>
      <c r="G324" s="5" t="s">
        <v>1669</v>
      </c>
      <c r="H324" s="5" t="s">
        <v>4944</v>
      </c>
      <c r="I324" s="5" t="s">
        <v>4945</v>
      </c>
      <c r="J324" s="17" t="s">
        <v>162</v>
      </c>
      <c r="K324" s="17" t="s">
        <v>1477</v>
      </c>
      <c r="L324" s="5" t="s">
        <v>4946</v>
      </c>
      <c r="M324" s="6" t="s">
        <v>1493</v>
      </c>
      <c r="N324" s="6" t="s">
        <v>2170</v>
      </c>
      <c r="O324" s="6" t="s">
        <v>162</v>
      </c>
      <c r="P324" s="5" t="s">
        <v>2369</v>
      </c>
      <c r="Q324" s="18" t="s">
        <v>1482</v>
      </c>
      <c r="R324" s="5" t="s">
        <v>4196</v>
      </c>
      <c r="S324" s="6" t="s">
        <v>2371</v>
      </c>
      <c r="T324" s="5" t="s">
        <v>2372</v>
      </c>
      <c r="U324" s="6"/>
      <c r="V324" s="6" t="s">
        <v>2373</v>
      </c>
      <c r="W324" s="6" t="s">
        <v>1699</v>
      </c>
      <c r="X324" s="5" t="s">
        <v>228</v>
      </c>
      <c r="Y324" s="5" t="s">
        <v>2170</v>
      </c>
      <c r="Z324" s="5" t="str">
        <f t="shared" si="10"/>
        <v>Critical</v>
      </c>
      <c r="AA324" s="5" t="s">
        <v>1302</v>
      </c>
      <c r="AB324" s="6" t="s">
        <v>1319</v>
      </c>
      <c r="AC324" s="6" t="s">
        <v>135</v>
      </c>
      <c r="AD324" s="5" t="s">
        <v>2278</v>
      </c>
      <c r="AE324" s="5" t="s">
        <v>1720</v>
      </c>
      <c r="AF324" s="5" t="s">
        <v>1720</v>
      </c>
      <c r="AG324" s="5" t="s">
        <v>1720</v>
      </c>
      <c r="AH324" s="5" t="s">
        <v>1720</v>
      </c>
      <c r="AI324" s="6" t="str">
        <f t="shared" si="11"/>
        <v>No</v>
      </c>
      <c r="AJ324" s="6" t="s">
        <v>2298</v>
      </c>
      <c r="AK324" s="6" t="s">
        <v>162</v>
      </c>
      <c r="AL324" s="6">
        <f>MATCH(AA324,{"Low","Medium","High"},0)*MATCH(AB324,{"Low","Medium","High"},0)*INDEX({3,2,2,1,1},MATCH(X324,{"Core","Vertical extension","Differentiator","Future","Adjacent"},0))</f>
        <v>18</v>
      </c>
      <c r="AM324" s="5"/>
      <c r="AN324" s="5"/>
      <c r="AO324" s="5"/>
      <c r="AP324" s="5"/>
      <c r="AQ324" s="5"/>
      <c r="AR324" s="5"/>
      <c r="AS324" s="5"/>
      <c r="AT324" s="5"/>
      <c r="AU324" s="6" t="s">
        <v>2317</v>
      </c>
      <c r="AV324" s="6" t="s">
        <v>3968</v>
      </c>
      <c r="AW324" s="6" t="s">
        <v>3968</v>
      </c>
      <c r="AX324" s="6" t="s">
        <v>2374</v>
      </c>
      <c r="AY324" s="6" t="s">
        <v>2285</v>
      </c>
      <c r="AZ324" s="6"/>
      <c r="BA324" s="6" t="s">
        <v>3550</v>
      </c>
      <c r="BB324" s="6" t="s">
        <v>3551</v>
      </c>
      <c r="BC324" s="6" t="s">
        <v>127</v>
      </c>
      <c r="BD324" s="6" t="s">
        <v>127</v>
      </c>
      <c r="BE324" s="6"/>
      <c r="BF324" s="6"/>
      <c r="BG324" s="6"/>
      <c r="BH324" s="6"/>
    </row>
    <row r="325" spans="1:60" ht="32" customHeight="1" x14ac:dyDescent="0.35">
      <c r="A325" s="13" t="s">
        <v>4947</v>
      </c>
      <c r="B325" s="6" t="s">
        <v>3901</v>
      </c>
      <c r="C325" s="5" t="s">
        <v>1652</v>
      </c>
      <c r="D325" s="5" t="s">
        <v>2192</v>
      </c>
      <c r="E325" s="5" t="s">
        <v>4948</v>
      </c>
      <c r="F325" s="5" t="s">
        <v>2973</v>
      </c>
      <c r="G325" s="5" t="s">
        <v>2507</v>
      </c>
      <c r="H325" s="5" t="s">
        <v>4949</v>
      </c>
      <c r="I325" s="5" t="s">
        <v>4950</v>
      </c>
      <c r="J325" s="17" t="s">
        <v>162</v>
      </c>
      <c r="K325" s="17" t="s">
        <v>95</v>
      </c>
      <c r="L325" s="5" t="s">
        <v>4951</v>
      </c>
      <c r="M325" s="6" t="s">
        <v>1493</v>
      </c>
      <c r="N325" s="6" t="s">
        <v>2170</v>
      </c>
      <c r="O325" s="6" t="s">
        <v>162</v>
      </c>
      <c r="P325" s="5" t="s">
        <v>2272</v>
      </c>
      <c r="Q325" s="17" t="s">
        <v>95</v>
      </c>
      <c r="R325" s="5" t="s">
        <v>4952</v>
      </c>
      <c r="S325" s="6" t="s">
        <v>2371</v>
      </c>
      <c r="T325" s="5" t="s">
        <v>2372</v>
      </c>
      <c r="U325" s="6"/>
      <c r="V325" s="6" t="s">
        <v>2373</v>
      </c>
      <c r="W325" s="6" t="s">
        <v>1699</v>
      </c>
      <c r="X325" s="5" t="s">
        <v>228</v>
      </c>
      <c r="Y325" s="5" t="s">
        <v>2170</v>
      </c>
      <c r="Z325" s="5" t="str">
        <f t="shared" si="10"/>
        <v>Critical</v>
      </c>
      <c r="AA325" s="5" t="s">
        <v>1302</v>
      </c>
      <c r="AB325" s="6" t="s">
        <v>1319</v>
      </c>
      <c r="AC325" s="6" t="s">
        <v>135</v>
      </c>
      <c r="AD325" s="5" t="s">
        <v>95</v>
      </c>
      <c r="AE325" s="5" t="s">
        <v>1720</v>
      </c>
      <c r="AF325" s="5" t="s">
        <v>1720</v>
      </c>
      <c r="AG325" s="5" t="s">
        <v>1720</v>
      </c>
      <c r="AH325" s="5" t="s">
        <v>1720</v>
      </c>
      <c r="AI325" s="6" t="str">
        <f t="shared" si="11"/>
        <v>No</v>
      </c>
      <c r="AJ325" s="6" t="s">
        <v>229</v>
      </c>
      <c r="AK325" s="6" t="s">
        <v>162</v>
      </c>
      <c r="AL325" s="6">
        <f>MATCH(AA325,{"Low","Medium","High"},0)*MATCH(AB325,{"Low","Medium","High"},0)*INDEX({3,2,2,1,1},MATCH(X325,{"Core","Vertical extension","Differentiator","Future","Adjacent"},0))</f>
        <v>18</v>
      </c>
      <c r="AM325" s="5"/>
      <c r="AN325" s="5"/>
      <c r="AO325" s="5"/>
      <c r="AP325" s="5"/>
      <c r="AQ325" s="5"/>
      <c r="AR325" s="5"/>
      <c r="AS325" s="5"/>
      <c r="AT325" s="5"/>
      <c r="AU325" s="6" t="s">
        <v>2317</v>
      </c>
      <c r="AV325" s="6" t="s">
        <v>76</v>
      </c>
      <c r="AW325" s="6" t="s">
        <v>76</v>
      </c>
      <c r="AX325" s="6" t="s">
        <v>2284</v>
      </c>
      <c r="AY325" s="6" t="s">
        <v>2285</v>
      </c>
      <c r="AZ325" s="6"/>
      <c r="BA325" s="6"/>
      <c r="BB325" s="6"/>
      <c r="BC325" s="6" t="s">
        <v>127</v>
      </c>
      <c r="BD325" s="6" t="s">
        <v>127</v>
      </c>
      <c r="BE325" s="6" t="s">
        <v>1477</v>
      </c>
      <c r="BF325" s="6" t="s">
        <v>95</v>
      </c>
      <c r="BG325" s="6" t="s">
        <v>4953</v>
      </c>
      <c r="BH325" s="6" t="s">
        <v>4954</v>
      </c>
    </row>
    <row r="326" spans="1:60" ht="32" customHeight="1" x14ac:dyDescent="0.35">
      <c r="A326" s="13" t="s">
        <v>4955</v>
      </c>
      <c r="B326" s="6" t="s">
        <v>3901</v>
      </c>
      <c r="C326" s="5" t="s">
        <v>1652</v>
      </c>
      <c r="D326" s="5" t="s">
        <v>2192</v>
      </c>
      <c r="E326" s="5" t="s">
        <v>4956</v>
      </c>
      <c r="F326" s="5" t="s">
        <v>2828</v>
      </c>
      <c r="G326" s="5" t="s">
        <v>2507</v>
      </c>
      <c r="H326" s="5" t="s">
        <v>4957</v>
      </c>
      <c r="I326" s="5" t="s">
        <v>4958</v>
      </c>
      <c r="J326" s="17" t="s">
        <v>162</v>
      </c>
      <c r="K326" s="17" t="s">
        <v>1477</v>
      </c>
      <c r="L326" s="5" t="s">
        <v>4959</v>
      </c>
      <c r="M326" s="6" t="s">
        <v>1493</v>
      </c>
      <c r="N326" s="6" t="s">
        <v>2170</v>
      </c>
      <c r="O326" s="6" t="s">
        <v>162</v>
      </c>
      <c r="P326" s="5" t="s">
        <v>2272</v>
      </c>
      <c r="Q326" s="17" t="s">
        <v>2273</v>
      </c>
      <c r="R326" s="5" t="s">
        <v>4960</v>
      </c>
      <c r="S326" s="6" t="s">
        <v>2371</v>
      </c>
      <c r="T326" s="5" t="s">
        <v>2372</v>
      </c>
      <c r="U326" s="6"/>
      <c r="V326" s="6" t="s">
        <v>2373</v>
      </c>
      <c r="W326" s="6" t="s">
        <v>1699</v>
      </c>
      <c r="X326" s="5" t="s">
        <v>228</v>
      </c>
      <c r="Y326" s="5" t="s">
        <v>2170</v>
      </c>
      <c r="Z326" s="5" t="str">
        <f t="shared" si="10"/>
        <v>Critical</v>
      </c>
      <c r="AA326" s="5" t="s">
        <v>1302</v>
      </c>
      <c r="AB326" s="6" t="s">
        <v>1319</v>
      </c>
      <c r="AC326" s="6" t="s">
        <v>135</v>
      </c>
      <c r="AD326" s="5" t="s">
        <v>2278</v>
      </c>
      <c r="AE326" s="5" t="s">
        <v>1720</v>
      </c>
      <c r="AF326" s="5" t="s">
        <v>1720</v>
      </c>
      <c r="AG326" s="5" t="s">
        <v>1720</v>
      </c>
      <c r="AH326" s="5" t="s">
        <v>1720</v>
      </c>
      <c r="AI326" s="6" t="str">
        <f t="shared" si="11"/>
        <v>No</v>
      </c>
      <c r="AJ326" s="6" t="s">
        <v>2298</v>
      </c>
      <c r="AK326" s="6" t="s">
        <v>162</v>
      </c>
      <c r="AL326" s="6">
        <f>MATCH(AA326,{"Low","Medium","High"},0)*MATCH(AB326,{"Low","Medium","High"},0)*INDEX({3,2,2,1,1},MATCH(X326,{"Core","Vertical extension","Differentiator","Future","Adjacent"},0))</f>
        <v>18</v>
      </c>
      <c r="AM326" s="5"/>
      <c r="AN326" s="5"/>
      <c r="AO326" s="5"/>
      <c r="AP326" s="5"/>
      <c r="AQ326" s="5"/>
      <c r="AR326" s="5"/>
      <c r="AS326" s="5"/>
      <c r="AT326" s="5"/>
      <c r="AU326" s="6" t="s">
        <v>2317</v>
      </c>
      <c r="AV326" s="6" t="s">
        <v>76</v>
      </c>
      <c r="AW326" s="6" t="s">
        <v>76</v>
      </c>
      <c r="AX326" s="6" t="s">
        <v>2284</v>
      </c>
      <c r="AY326" s="6" t="s">
        <v>2285</v>
      </c>
      <c r="AZ326" s="6"/>
      <c r="BA326" s="6"/>
      <c r="BB326" s="6"/>
      <c r="BC326" s="6" t="s">
        <v>127</v>
      </c>
      <c r="BD326" s="6" t="s">
        <v>127</v>
      </c>
      <c r="BE326" s="6" t="s">
        <v>1477</v>
      </c>
      <c r="BF326" s="6" t="s">
        <v>2286</v>
      </c>
      <c r="BG326" s="6" t="s">
        <v>4838</v>
      </c>
      <c r="BH326" s="6" t="s">
        <v>4961</v>
      </c>
    </row>
    <row r="327" spans="1:60" ht="32" customHeight="1" x14ac:dyDescent="0.35">
      <c r="A327" s="13" t="s">
        <v>4962</v>
      </c>
      <c r="B327" s="6" t="s">
        <v>3901</v>
      </c>
      <c r="C327" s="5" t="s">
        <v>1652</v>
      </c>
      <c r="D327" s="5" t="s">
        <v>2192</v>
      </c>
      <c r="E327" s="5" t="s">
        <v>4963</v>
      </c>
      <c r="F327" s="5" t="s">
        <v>2973</v>
      </c>
      <c r="G327" s="5" t="s">
        <v>2507</v>
      </c>
      <c r="H327" s="5" t="s">
        <v>4964</v>
      </c>
      <c r="I327" s="5" t="s">
        <v>4965</v>
      </c>
      <c r="J327" s="17" t="s">
        <v>162</v>
      </c>
      <c r="K327" s="17" t="s">
        <v>1477</v>
      </c>
      <c r="L327" s="5" t="s">
        <v>4966</v>
      </c>
      <c r="M327" s="6" t="s">
        <v>1493</v>
      </c>
      <c r="N327" s="6" t="s">
        <v>2170</v>
      </c>
      <c r="O327" s="6" t="s">
        <v>162</v>
      </c>
      <c r="P327" s="5" t="s">
        <v>2272</v>
      </c>
      <c r="Q327" s="18" t="s">
        <v>1482</v>
      </c>
      <c r="R327" s="5" t="s">
        <v>4007</v>
      </c>
      <c r="S327" s="6" t="s">
        <v>2371</v>
      </c>
      <c r="T327" s="5" t="s">
        <v>2372</v>
      </c>
      <c r="U327" s="6"/>
      <c r="V327" s="6" t="s">
        <v>2373</v>
      </c>
      <c r="W327" s="6" t="s">
        <v>1699</v>
      </c>
      <c r="X327" s="5" t="s">
        <v>228</v>
      </c>
      <c r="Y327" s="5" t="s">
        <v>2170</v>
      </c>
      <c r="Z327" s="5" t="str">
        <f t="shared" si="10"/>
        <v>Critical</v>
      </c>
      <c r="AA327" s="5" t="s">
        <v>1302</v>
      </c>
      <c r="AB327" s="6" t="s">
        <v>1319</v>
      </c>
      <c r="AC327" s="6" t="s">
        <v>135</v>
      </c>
      <c r="AD327" s="5" t="s">
        <v>2278</v>
      </c>
      <c r="AE327" s="5" t="s">
        <v>1720</v>
      </c>
      <c r="AF327" s="5" t="s">
        <v>1720</v>
      </c>
      <c r="AG327" s="5" t="s">
        <v>1720</v>
      </c>
      <c r="AH327" s="5" t="s">
        <v>1720</v>
      </c>
      <c r="AI327" s="6" t="str">
        <f t="shared" si="11"/>
        <v>No</v>
      </c>
      <c r="AJ327" s="6" t="s">
        <v>2298</v>
      </c>
      <c r="AK327" s="6" t="s">
        <v>162</v>
      </c>
      <c r="AL327" s="6">
        <f>MATCH(AA327,{"Low","Medium","High"},0)*MATCH(AB327,{"Low","Medium","High"},0)*INDEX({3,2,2,1,1},MATCH(X327,{"Core","Vertical extension","Differentiator","Future","Adjacent"},0))</f>
        <v>18</v>
      </c>
      <c r="AM327" s="5"/>
      <c r="AN327" s="5"/>
      <c r="AO327" s="5"/>
      <c r="AP327" s="5"/>
      <c r="AQ327" s="5"/>
      <c r="AR327" s="5"/>
      <c r="AS327" s="5"/>
      <c r="AT327" s="5"/>
      <c r="AU327" s="6" t="s">
        <v>2317</v>
      </c>
      <c r="AV327" s="6" t="s">
        <v>76</v>
      </c>
      <c r="AW327" s="6" t="s">
        <v>76</v>
      </c>
      <c r="AX327" s="6" t="s">
        <v>2284</v>
      </c>
      <c r="AY327" s="6" t="s">
        <v>2285</v>
      </c>
      <c r="AZ327" s="6"/>
      <c r="BA327" s="6" t="s">
        <v>4008</v>
      </c>
      <c r="BB327" s="6" t="s">
        <v>4009</v>
      </c>
      <c r="BC327" s="6" t="s">
        <v>127</v>
      </c>
      <c r="BD327" s="6" t="s">
        <v>127</v>
      </c>
      <c r="BE327" s="6"/>
      <c r="BF327" s="6"/>
      <c r="BG327" s="6"/>
      <c r="BH327" s="6"/>
    </row>
    <row r="328" spans="1:60" ht="32" customHeight="1" x14ac:dyDescent="0.35">
      <c r="A328" s="13" t="s">
        <v>4967</v>
      </c>
      <c r="B328" s="6" t="s">
        <v>3901</v>
      </c>
      <c r="C328" s="5" t="s">
        <v>1652</v>
      </c>
      <c r="D328" s="5" t="s">
        <v>2192</v>
      </c>
      <c r="E328" s="5" t="s">
        <v>4968</v>
      </c>
      <c r="F328" s="5" t="s">
        <v>2828</v>
      </c>
      <c r="G328" s="5" t="s">
        <v>2507</v>
      </c>
      <c r="H328" s="5" t="s">
        <v>4969</v>
      </c>
      <c r="I328" s="5" t="s">
        <v>4970</v>
      </c>
      <c r="J328" s="17" t="s">
        <v>162</v>
      </c>
      <c r="K328" s="17" t="s">
        <v>1477</v>
      </c>
      <c r="L328" s="5" t="s">
        <v>4971</v>
      </c>
      <c r="M328" s="6" t="s">
        <v>1493</v>
      </c>
      <c r="N328" s="6" t="s">
        <v>2170</v>
      </c>
      <c r="O328" s="6" t="s">
        <v>162</v>
      </c>
      <c r="P328" s="5" t="s">
        <v>2272</v>
      </c>
      <c r="Q328" s="17" t="s">
        <v>2273</v>
      </c>
      <c r="R328" s="5" t="s">
        <v>4972</v>
      </c>
      <c r="S328" s="6" t="s">
        <v>2371</v>
      </c>
      <c r="T328" s="5" t="s">
        <v>2372</v>
      </c>
      <c r="U328" s="6"/>
      <c r="V328" s="6" t="s">
        <v>2373</v>
      </c>
      <c r="W328" s="6" t="s">
        <v>1699</v>
      </c>
      <c r="X328" s="5" t="s">
        <v>228</v>
      </c>
      <c r="Y328" s="5" t="s">
        <v>2170</v>
      </c>
      <c r="Z328" s="5" t="str">
        <f t="shared" si="10"/>
        <v>Critical</v>
      </c>
      <c r="AA328" s="5" t="s">
        <v>1302</v>
      </c>
      <c r="AB328" s="6" t="s">
        <v>1319</v>
      </c>
      <c r="AC328" s="6" t="s">
        <v>135</v>
      </c>
      <c r="AD328" s="5" t="s">
        <v>2278</v>
      </c>
      <c r="AE328" s="5" t="s">
        <v>1720</v>
      </c>
      <c r="AF328" s="5" t="s">
        <v>1720</v>
      </c>
      <c r="AG328" s="5" t="s">
        <v>1720</v>
      </c>
      <c r="AH328" s="5" t="s">
        <v>1720</v>
      </c>
      <c r="AI328" s="6" t="str">
        <f t="shared" si="11"/>
        <v>No</v>
      </c>
      <c r="AJ328" s="6" t="s">
        <v>2298</v>
      </c>
      <c r="AK328" s="6" t="s">
        <v>162</v>
      </c>
      <c r="AL328" s="6">
        <f>MATCH(AA328,{"Low","Medium","High"},0)*MATCH(AB328,{"Low","Medium","High"},0)*INDEX({3,2,2,1,1},MATCH(X328,{"Core","Vertical extension","Differentiator","Future","Adjacent"},0))</f>
        <v>18</v>
      </c>
      <c r="AM328" s="5"/>
      <c r="AN328" s="5"/>
      <c r="AO328" s="5"/>
      <c r="AP328" s="5"/>
      <c r="AQ328" s="5"/>
      <c r="AR328" s="5"/>
      <c r="AS328" s="5"/>
      <c r="AT328" s="5"/>
      <c r="AU328" s="6" t="s">
        <v>2317</v>
      </c>
      <c r="AV328" s="6" t="s">
        <v>76</v>
      </c>
      <c r="AW328" s="6" t="s">
        <v>76</v>
      </c>
      <c r="AX328" s="6" t="s">
        <v>2284</v>
      </c>
      <c r="AY328" s="6" t="s">
        <v>2285</v>
      </c>
      <c r="AZ328" s="6"/>
      <c r="BA328" s="6"/>
      <c r="BB328" s="6"/>
      <c r="BC328" s="6" t="s">
        <v>127</v>
      </c>
      <c r="BD328" s="6" t="s">
        <v>127</v>
      </c>
      <c r="BE328" s="6" t="s">
        <v>1477</v>
      </c>
      <c r="BF328" s="6" t="s">
        <v>2286</v>
      </c>
      <c r="BG328" s="6" t="s">
        <v>4838</v>
      </c>
      <c r="BH328" s="6" t="s">
        <v>4973</v>
      </c>
    </row>
    <row r="329" spans="1:60" ht="32" customHeight="1" x14ac:dyDescent="0.35">
      <c r="A329" s="13" t="s">
        <v>4974</v>
      </c>
      <c r="B329" s="6" t="s">
        <v>3901</v>
      </c>
      <c r="C329" s="5" t="s">
        <v>1652</v>
      </c>
      <c r="D329" s="5" t="s">
        <v>2192</v>
      </c>
      <c r="E329" s="5" t="s">
        <v>4975</v>
      </c>
      <c r="F329" s="5" t="s">
        <v>2973</v>
      </c>
      <c r="G329" s="5" t="s">
        <v>2507</v>
      </c>
      <c r="H329" s="5" t="s">
        <v>4976</v>
      </c>
      <c r="I329" s="5" t="s">
        <v>4977</v>
      </c>
      <c r="J329" s="17" t="s">
        <v>162</v>
      </c>
      <c r="K329" s="17" t="s">
        <v>1477</v>
      </c>
      <c r="L329" s="5" t="s">
        <v>4978</v>
      </c>
      <c r="M329" s="6" t="s">
        <v>1493</v>
      </c>
      <c r="N329" s="6" t="s">
        <v>2170</v>
      </c>
      <c r="O329" s="6" t="s">
        <v>162</v>
      </c>
      <c r="P329" s="5" t="s">
        <v>2272</v>
      </c>
      <c r="Q329" s="17" t="s">
        <v>2273</v>
      </c>
      <c r="R329" s="5" t="s">
        <v>4979</v>
      </c>
      <c r="S329" s="6" t="s">
        <v>2371</v>
      </c>
      <c r="T329" s="5" t="s">
        <v>2372</v>
      </c>
      <c r="U329" s="6"/>
      <c r="V329" s="6" t="s">
        <v>2373</v>
      </c>
      <c r="W329" s="6" t="s">
        <v>1699</v>
      </c>
      <c r="X329" s="5" t="s">
        <v>228</v>
      </c>
      <c r="Y329" s="5" t="s">
        <v>2170</v>
      </c>
      <c r="Z329" s="5" t="str">
        <f t="shared" si="10"/>
        <v>Critical</v>
      </c>
      <c r="AA329" s="5" t="s">
        <v>1302</v>
      </c>
      <c r="AB329" s="6" t="s">
        <v>1319</v>
      </c>
      <c r="AC329" s="6" t="s">
        <v>135</v>
      </c>
      <c r="AD329" s="5" t="s">
        <v>2278</v>
      </c>
      <c r="AE329" s="5" t="s">
        <v>1720</v>
      </c>
      <c r="AF329" s="5" t="s">
        <v>1720</v>
      </c>
      <c r="AG329" s="5" t="s">
        <v>1720</v>
      </c>
      <c r="AH329" s="5" t="s">
        <v>1720</v>
      </c>
      <c r="AI329" s="6" t="str">
        <f t="shared" si="11"/>
        <v>No</v>
      </c>
      <c r="AJ329" s="6" t="s">
        <v>2298</v>
      </c>
      <c r="AK329" s="6" t="s">
        <v>162</v>
      </c>
      <c r="AL329" s="6">
        <f>MATCH(AA329,{"Low","Medium","High"},0)*MATCH(AB329,{"Low","Medium","High"},0)*INDEX({3,2,2,1,1},MATCH(X329,{"Core","Vertical extension","Differentiator","Future","Adjacent"},0))</f>
        <v>18</v>
      </c>
      <c r="AM329" s="5"/>
      <c r="AN329" s="5"/>
      <c r="AO329" s="5"/>
      <c r="AP329" s="5"/>
      <c r="AQ329" s="5"/>
      <c r="AR329" s="5"/>
      <c r="AS329" s="5"/>
      <c r="AT329" s="5"/>
      <c r="AU329" s="6" t="s">
        <v>2317</v>
      </c>
      <c r="AV329" s="6" t="s">
        <v>76</v>
      </c>
      <c r="AW329" s="6" t="s">
        <v>76</v>
      </c>
      <c r="AX329" s="6" t="s">
        <v>2284</v>
      </c>
      <c r="AY329" s="6" t="s">
        <v>2285</v>
      </c>
      <c r="AZ329" s="6"/>
      <c r="BA329" s="6"/>
      <c r="BB329" s="6"/>
      <c r="BC329" s="6" t="s">
        <v>127</v>
      </c>
      <c r="BD329" s="6" t="s">
        <v>127</v>
      </c>
      <c r="BE329" s="6" t="s">
        <v>1477</v>
      </c>
      <c r="BF329" s="6" t="s">
        <v>2286</v>
      </c>
      <c r="BG329" s="6" t="s">
        <v>4838</v>
      </c>
      <c r="BH329" s="6" t="s">
        <v>4980</v>
      </c>
    </row>
    <row r="330" spans="1:60" ht="32" customHeight="1" x14ac:dyDescent="0.35">
      <c r="A330" s="13" t="s">
        <v>4981</v>
      </c>
      <c r="B330" s="6" t="s">
        <v>3901</v>
      </c>
      <c r="C330" s="5" t="s">
        <v>1652</v>
      </c>
      <c r="D330" s="5" t="s">
        <v>2192</v>
      </c>
      <c r="E330" s="5" t="s">
        <v>4982</v>
      </c>
      <c r="F330" s="5" t="s">
        <v>2973</v>
      </c>
      <c r="G330" s="5" t="s">
        <v>2507</v>
      </c>
      <c r="H330" s="5" t="s">
        <v>4983</v>
      </c>
      <c r="I330" s="5" t="s">
        <v>4984</v>
      </c>
      <c r="J330" s="17" t="s">
        <v>162</v>
      </c>
      <c r="K330" s="17" t="s">
        <v>1477</v>
      </c>
      <c r="L330" s="5" t="s">
        <v>4985</v>
      </c>
      <c r="M330" s="6" t="s">
        <v>1493</v>
      </c>
      <c r="N330" s="6" t="s">
        <v>2170</v>
      </c>
      <c r="O330" s="6" t="s">
        <v>162</v>
      </c>
      <c r="P330" s="5" t="s">
        <v>2272</v>
      </c>
      <c r="Q330" s="18" t="s">
        <v>1482</v>
      </c>
      <c r="R330" s="5" t="s">
        <v>3773</v>
      </c>
      <c r="S330" s="6" t="s">
        <v>2371</v>
      </c>
      <c r="T330" s="5" t="s">
        <v>2372</v>
      </c>
      <c r="U330" s="6"/>
      <c r="V330" s="6" t="s">
        <v>2373</v>
      </c>
      <c r="W330" s="6" t="s">
        <v>1699</v>
      </c>
      <c r="X330" s="5" t="s">
        <v>228</v>
      </c>
      <c r="Y330" s="5" t="s">
        <v>2170</v>
      </c>
      <c r="Z330" s="5" t="str">
        <f t="shared" si="10"/>
        <v>Critical</v>
      </c>
      <c r="AA330" s="5" t="s">
        <v>1302</v>
      </c>
      <c r="AB330" s="6" t="s">
        <v>1319</v>
      </c>
      <c r="AC330" s="6" t="s">
        <v>135</v>
      </c>
      <c r="AD330" s="5" t="s">
        <v>2278</v>
      </c>
      <c r="AE330" s="5" t="s">
        <v>1720</v>
      </c>
      <c r="AF330" s="5" t="s">
        <v>1720</v>
      </c>
      <c r="AG330" s="5" t="s">
        <v>1720</v>
      </c>
      <c r="AH330" s="5" t="s">
        <v>1720</v>
      </c>
      <c r="AI330" s="6" t="str">
        <f t="shared" si="11"/>
        <v>No</v>
      </c>
      <c r="AJ330" s="6" t="s">
        <v>2298</v>
      </c>
      <c r="AK330" s="6" t="s">
        <v>162</v>
      </c>
      <c r="AL330" s="6">
        <f>MATCH(AA330,{"Low","Medium","High"},0)*MATCH(AB330,{"Low","Medium","High"},0)*INDEX({3,2,2,1,1},MATCH(X330,{"Core","Vertical extension","Differentiator","Future","Adjacent"},0))</f>
        <v>18</v>
      </c>
      <c r="AM330" s="5"/>
      <c r="AN330" s="5"/>
      <c r="AO330" s="5"/>
      <c r="AP330" s="5"/>
      <c r="AQ330" s="5"/>
      <c r="AR330" s="5"/>
      <c r="AS330" s="5"/>
      <c r="AT330" s="5"/>
      <c r="AU330" s="6" t="s">
        <v>2317</v>
      </c>
      <c r="AV330" s="6" t="s">
        <v>76</v>
      </c>
      <c r="AW330" s="6" t="s">
        <v>76</v>
      </c>
      <c r="AX330" s="6" t="s">
        <v>2284</v>
      </c>
      <c r="AY330" s="6" t="s">
        <v>2285</v>
      </c>
      <c r="AZ330" s="6"/>
      <c r="BA330" s="6" t="s">
        <v>4986</v>
      </c>
      <c r="BB330" s="6" t="s">
        <v>2574</v>
      </c>
      <c r="BC330" s="6" t="s">
        <v>127</v>
      </c>
      <c r="BD330" s="6" t="s">
        <v>127</v>
      </c>
      <c r="BE330" s="6"/>
      <c r="BF330" s="6"/>
      <c r="BG330" s="6"/>
      <c r="BH330" s="6"/>
    </row>
    <row r="331" spans="1:60" ht="32" customHeight="1" x14ac:dyDescent="0.35">
      <c r="A331" s="13" t="s">
        <v>4987</v>
      </c>
      <c r="B331" s="6" t="s">
        <v>3901</v>
      </c>
      <c r="C331" s="5" t="s">
        <v>1652</v>
      </c>
      <c r="D331" s="5" t="s">
        <v>2192</v>
      </c>
      <c r="E331" s="5" t="s">
        <v>4988</v>
      </c>
      <c r="F331" s="5" t="s">
        <v>2973</v>
      </c>
      <c r="G331" s="5" t="s">
        <v>2507</v>
      </c>
      <c r="H331" s="5" t="s">
        <v>4989</v>
      </c>
      <c r="I331" s="5" t="s">
        <v>4990</v>
      </c>
      <c r="J331" s="17" t="s">
        <v>162</v>
      </c>
      <c r="K331" s="17" t="s">
        <v>1477</v>
      </c>
      <c r="L331" s="5" t="s">
        <v>4991</v>
      </c>
      <c r="M331" s="6" t="s">
        <v>1493</v>
      </c>
      <c r="N331" s="6" t="s">
        <v>2170</v>
      </c>
      <c r="O331" s="6" t="s">
        <v>162</v>
      </c>
      <c r="P331" s="5" t="s">
        <v>2272</v>
      </c>
      <c r="Q331" s="18" t="s">
        <v>1482</v>
      </c>
      <c r="R331" s="5" t="s">
        <v>4227</v>
      </c>
      <c r="S331" s="6" t="s">
        <v>2371</v>
      </c>
      <c r="T331" s="5" t="s">
        <v>2372</v>
      </c>
      <c r="U331" s="6"/>
      <c r="V331" s="6" t="s">
        <v>2373</v>
      </c>
      <c r="W331" s="6" t="s">
        <v>1699</v>
      </c>
      <c r="X331" s="5" t="s">
        <v>228</v>
      </c>
      <c r="Y331" s="5" t="s">
        <v>2170</v>
      </c>
      <c r="Z331" s="5" t="str">
        <f t="shared" si="10"/>
        <v>Critical</v>
      </c>
      <c r="AA331" s="5" t="s">
        <v>1302</v>
      </c>
      <c r="AB331" s="6" t="s">
        <v>1319</v>
      </c>
      <c r="AC331" s="6" t="s">
        <v>135</v>
      </c>
      <c r="AD331" s="5" t="s">
        <v>2278</v>
      </c>
      <c r="AE331" s="5" t="s">
        <v>1720</v>
      </c>
      <c r="AF331" s="5" t="s">
        <v>1720</v>
      </c>
      <c r="AG331" s="5" t="s">
        <v>1720</v>
      </c>
      <c r="AH331" s="5" t="s">
        <v>1720</v>
      </c>
      <c r="AI331" s="6" t="str">
        <f t="shared" si="11"/>
        <v>No</v>
      </c>
      <c r="AJ331" s="6" t="s">
        <v>2298</v>
      </c>
      <c r="AK331" s="6" t="s">
        <v>162</v>
      </c>
      <c r="AL331" s="6">
        <f>MATCH(AA331,{"Low","Medium","High"},0)*MATCH(AB331,{"Low","Medium","High"},0)*INDEX({3,2,2,1,1},MATCH(X331,{"Core","Vertical extension","Differentiator","Future","Adjacent"},0))</f>
        <v>18</v>
      </c>
      <c r="AM331" s="5"/>
      <c r="AN331" s="5"/>
      <c r="AO331" s="5"/>
      <c r="AP331" s="5"/>
      <c r="AQ331" s="5"/>
      <c r="AR331" s="5"/>
      <c r="AS331" s="5"/>
      <c r="AT331" s="5"/>
      <c r="AU331" s="6" t="s">
        <v>2317</v>
      </c>
      <c r="AV331" s="6" t="s">
        <v>76</v>
      </c>
      <c r="AW331" s="6" t="s">
        <v>76</v>
      </c>
      <c r="AX331" s="6" t="s">
        <v>2284</v>
      </c>
      <c r="AY331" s="6" t="s">
        <v>2285</v>
      </c>
      <c r="AZ331" s="6"/>
      <c r="BA331" s="6" t="s">
        <v>4228</v>
      </c>
      <c r="BB331" s="6" t="s">
        <v>4229</v>
      </c>
      <c r="BC331" s="6" t="s">
        <v>127</v>
      </c>
      <c r="BD331" s="6" t="s">
        <v>127</v>
      </c>
      <c r="BE331" s="6"/>
      <c r="BF331" s="6"/>
      <c r="BG331" s="6"/>
      <c r="BH331" s="6"/>
    </row>
    <row r="332" spans="1:60" ht="32" customHeight="1" x14ac:dyDescent="0.35">
      <c r="A332" s="13" t="s">
        <v>4992</v>
      </c>
      <c r="B332" s="6" t="s">
        <v>3901</v>
      </c>
      <c r="C332" s="5" t="s">
        <v>1652</v>
      </c>
      <c r="D332" s="5" t="s">
        <v>2192</v>
      </c>
      <c r="E332" s="5" t="s">
        <v>4993</v>
      </c>
      <c r="F332" s="5" t="s">
        <v>2973</v>
      </c>
      <c r="G332" s="5" t="s">
        <v>4994</v>
      </c>
      <c r="H332" s="5" t="s">
        <v>4995</v>
      </c>
      <c r="I332" s="5" t="s">
        <v>4996</v>
      </c>
      <c r="J332" s="17" t="s">
        <v>162</v>
      </c>
      <c r="K332" s="17" t="s">
        <v>1477</v>
      </c>
      <c r="L332" s="5" t="s">
        <v>4997</v>
      </c>
      <c r="M332" s="6" t="s">
        <v>1493</v>
      </c>
      <c r="N332" s="6" t="s">
        <v>2170</v>
      </c>
      <c r="O332" s="6" t="s">
        <v>162</v>
      </c>
      <c r="P332" s="5" t="s">
        <v>2272</v>
      </c>
      <c r="Q332" s="17" t="s">
        <v>2273</v>
      </c>
      <c r="R332" s="5" t="s">
        <v>4998</v>
      </c>
      <c r="S332" s="6" t="s">
        <v>2371</v>
      </c>
      <c r="T332" s="5" t="s">
        <v>2372</v>
      </c>
      <c r="U332" s="6"/>
      <c r="V332" s="6" t="s">
        <v>2373</v>
      </c>
      <c r="W332" s="6" t="s">
        <v>1699</v>
      </c>
      <c r="X332" s="5" t="s">
        <v>228</v>
      </c>
      <c r="Y332" s="5" t="s">
        <v>2170</v>
      </c>
      <c r="Z332" s="5" t="str">
        <f t="shared" si="10"/>
        <v>Critical</v>
      </c>
      <c r="AA332" s="5" t="s">
        <v>1302</v>
      </c>
      <c r="AB332" s="6" t="s">
        <v>1319</v>
      </c>
      <c r="AC332" s="6" t="s">
        <v>135</v>
      </c>
      <c r="AD332" s="5" t="s">
        <v>2278</v>
      </c>
      <c r="AE332" s="5" t="s">
        <v>1720</v>
      </c>
      <c r="AF332" s="5" t="s">
        <v>1720</v>
      </c>
      <c r="AG332" s="5" t="s">
        <v>1720</v>
      </c>
      <c r="AH332" s="5" t="s">
        <v>1720</v>
      </c>
      <c r="AI332" s="6" t="str">
        <f t="shared" si="11"/>
        <v>No</v>
      </c>
      <c r="AJ332" s="6" t="s">
        <v>2298</v>
      </c>
      <c r="AK332" s="6" t="s">
        <v>162</v>
      </c>
      <c r="AL332" s="6">
        <f>MATCH(AA332,{"Low","Medium","High"},0)*MATCH(AB332,{"Low","Medium","High"},0)*INDEX({3,2,2,1,1},MATCH(X332,{"Core","Vertical extension","Differentiator","Future","Adjacent"},0))</f>
        <v>18</v>
      </c>
      <c r="AM332" s="5"/>
      <c r="AN332" s="5"/>
      <c r="AO332" s="5"/>
      <c r="AP332" s="5"/>
      <c r="AQ332" s="5"/>
      <c r="AR332" s="5"/>
      <c r="AS332" s="5"/>
      <c r="AT332" s="5"/>
      <c r="AU332" s="6" t="s">
        <v>2317</v>
      </c>
      <c r="AV332" s="6" t="s">
        <v>76</v>
      </c>
      <c r="AW332" s="6" t="s">
        <v>76</v>
      </c>
      <c r="AX332" s="6" t="s">
        <v>2284</v>
      </c>
      <c r="AY332" s="6" t="s">
        <v>2285</v>
      </c>
      <c r="AZ332" s="6"/>
      <c r="BA332" s="6"/>
      <c r="BB332" s="6"/>
      <c r="BC332" s="6" t="s">
        <v>127</v>
      </c>
      <c r="BD332" s="6" t="s">
        <v>127</v>
      </c>
      <c r="BE332" s="6" t="s">
        <v>1477</v>
      </c>
      <c r="BF332" s="6" t="s">
        <v>2286</v>
      </c>
      <c r="BG332" s="6" t="s">
        <v>4999</v>
      </c>
      <c r="BH332" s="6" t="s">
        <v>5000</v>
      </c>
    </row>
    <row r="333" spans="1:60" ht="32" customHeight="1" x14ac:dyDescent="0.35">
      <c r="A333" s="13" t="s">
        <v>5001</v>
      </c>
      <c r="B333" s="6" t="s">
        <v>3901</v>
      </c>
      <c r="C333" s="5" t="s">
        <v>1652</v>
      </c>
      <c r="D333" s="5" t="s">
        <v>2192</v>
      </c>
      <c r="E333" s="5" t="s">
        <v>5002</v>
      </c>
      <c r="F333" s="5" t="s">
        <v>4021</v>
      </c>
      <c r="G333" s="5" t="s">
        <v>3545</v>
      </c>
      <c r="H333" s="5" t="s">
        <v>5003</v>
      </c>
      <c r="I333" s="5" t="s">
        <v>5004</v>
      </c>
      <c r="J333" s="17" t="s">
        <v>162</v>
      </c>
      <c r="K333" s="17" t="s">
        <v>1477</v>
      </c>
      <c r="L333" s="5" t="s">
        <v>5005</v>
      </c>
      <c r="M333" s="6" t="s">
        <v>1493</v>
      </c>
      <c r="N333" s="6" t="s">
        <v>2170</v>
      </c>
      <c r="O333" s="6" t="s">
        <v>162</v>
      </c>
      <c r="P333" s="5" t="s">
        <v>2272</v>
      </c>
      <c r="Q333" s="17" t="s">
        <v>2273</v>
      </c>
      <c r="R333" s="5" t="s">
        <v>5006</v>
      </c>
      <c r="S333" s="6" t="s">
        <v>2371</v>
      </c>
      <c r="T333" s="5" t="s">
        <v>2372</v>
      </c>
      <c r="U333" s="6"/>
      <c r="V333" s="6" t="s">
        <v>2373</v>
      </c>
      <c r="W333" s="6" t="s">
        <v>1699</v>
      </c>
      <c r="X333" s="5" t="s">
        <v>228</v>
      </c>
      <c r="Y333" s="5" t="s">
        <v>2170</v>
      </c>
      <c r="Z333" s="5" t="str">
        <f t="shared" si="10"/>
        <v>Critical</v>
      </c>
      <c r="AA333" s="5" t="s">
        <v>1302</v>
      </c>
      <c r="AB333" s="6" t="s">
        <v>1319</v>
      </c>
      <c r="AC333" s="6" t="s">
        <v>135</v>
      </c>
      <c r="AD333" s="5" t="s">
        <v>2278</v>
      </c>
      <c r="AE333" s="5" t="s">
        <v>1720</v>
      </c>
      <c r="AF333" s="5" t="s">
        <v>1720</v>
      </c>
      <c r="AG333" s="5" t="s">
        <v>1720</v>
      </c>
      <c r="AH333" s="5" t="s">
        <v>1720</v>
      </c>
      <c r="AI333" s="6" t="str">
        <f t="shared" si="11"/>
        <v>No</v>
      </c>
      <c r="AJ333" s="6" t="s">
        <v>2298</v>
      </c>
      <c r="AK333" s="6" t="s">
        <v>162</v>
      </c>
      <c r="AL333" s="6">
        <f>MATCH(AA333,{"Low","Medium","High"},0)*MATCH(AB333,{"Low","Medium","High"},0)*INDEX({3,2,2,1,1},MATCH(X333,{"Core","Vertical extension","Differentiator","Future","Adjacent"},0))</f>
        <v>18</v>
      </c>
      <c r="AM333" s="5"/>
      <c r="AN333" s="5"/>
      <c r="AO333" s="5"/>
      <c r="AP333" s="5"/>
      <c r="AQ333" s="5"/>
      <c r="AR333" s="5"/>
      <c r="AS333" s="5"/>
      <c r="AT333" s="5"/>
      <c r="AU333" s="6" t="s">
        <v>2317</v>
      </c>
      <c r="AV333" s="6" t="s">
        <v>3968</v>
      </c>
      <c r="AW333" s="6" t="s">
        <v>3968</v>
      </c>
      <c r="AX333" s="6" t="s">
        <v>2284</v>
      </c>
      <c r="AY333" s="6" t="s">
        <v>2285</v>
      </c>
      <c r="AZ333" s="6"/>
      <c r="BA333" s="6"/>
      <c r="BB333" s="6"/>
      <c r="BC333" s="6" t="s">
        <v>127</v>
      </c>
      <c r="BD333" s="6" t="s">
        <v>127</v>
      </c>
      <c r="BE333" s="6" t="s">
        <v>1477</v>
      </c>
      <c r="BF333" s="6" t="s">
        <v>2286</v>
      </c>
      <c r="BG333" s="6" t="s">
        <v>5007</v>
      </c>
      <c r="BH333" s="6" t="s">
        <v>5008</v>
      </c>
    </row>
    <row r="334" spans="1:60" ht="32" customHeight="1" x14ac:dyDescent="0.35">
      <c r="A334" s="13" t="s">
        <v>5009</v>
      </c>
      <c r="B334" s="6" t="s">
        <v>3901</v>
      </c>
      <c r="C334" s="5" t="s">
        <v>1652</v>
      </c>
      <c r="D334" s="5" t="s">
        <v>2192</v>
      </c>
      <c r="E334" s="5" t="s">
        <v>5010</v>
      </c>
      <c r="F334" s="5" t="s">
        <v>2973</v>
      </c>
      <c r="G334" s="5" t="s">
        <v>2813</v>
      </c>
      <c r="H334" s="5" t="s">
        <v>5011</v>
      </c>
      <c r="I334" s="5" t="s">
        <v>5012</v>
      </c>
      <c r="J334" s="17" t="s">
        <v>162</v>
      </c>
      <c r="K334" s="17" t="s">
        <v>95</v>
      </c>
      <c r="L334" s="5" t="s">
        <v>5013</v>
      </c>
      <c r="M334" s="6" t="s">
        <v>1493</v>
      </c>
      <c r="N334" s="6" t="s">
        <v>2170</v>
      </c>
      <c r="O334" s="6" t="s">
        <v>162</v>
      </c>
      <c r="P334" s="5" t="s">
        <v>2272</v>
      </c>
      <c r="Q334" s="17" t="s">
        <v>95</v>
      </c>
      <c r="R334" s="5" t="s">
        <v>5014</v>
      </c>
      <c r="S334" s="6" t="s">
        <v>2371</v>
      </c>
      <c r="T334" s="5" t="s">
        <v>2372</v>
      </c>
      <c r="U334" s="6"/>
      <c r="V334" s="6" t="s">
        <v>2373</v>
      </c>
      <c r="W334" s="6" t="s">
        <v>1699</v>
      </c>
      <c r="X334" s="5" t="s">
        <v>228</v>
      </c>
      <c r="Y334" s="5" t="s">
        <v>2170</v>
      </c>
      <c r="Z334" s="5" t="str">
        <f t="shared" si="10"/>
        <v>Critical</v>
      </c>
      <c r="AA334" s="5" t="s">
        <v>1302</v>
      </c>
      <c r="AB334" s="6" t="s">
        <v>1319</v>
      </c>
      <c r="AC334" s="6" t="s">
        <v>135</v>
      </c>
      <c r="AD334" s="5" t="s">
        <v>95</v>
      </c>
      <c r="AE334" s="5" t="s">
        <v>1720</v>
      </c>
      <c r="AF334" s="5" t="s">
        <v>1720</v>
      </c>
      <c r="AG334" s="5" t="s">
        <v>1720</v>
      </c>
      <c r="AH334" s="5" t="s">
        <v>1720</v>
      </c>
      <c r="AI334" s="6" t="str">
        <f t="shared" si="11"/>
        <v>No</v>
      </c>
      <c r="AJ334" s="6" t="s">
        <v>229</v>
      </c>
      <c r="AK334" s="6" t="s">
        <v>162</v>
      </c>
      <c r="AL334" s="6">
        <f>MATCH(AA334,{"Low","Medium","High"},0)*MATCH(AB334,{"Low","Medium","High"},0)*INDEX({3,2,2,1,1},MATCH(X334,{"Core","Vertical extension","Differentiator","Future","Adjacent"},0))</f>
        <v>18</v>
      </c>
      <c r="AM334" s="5"/>
      <c r="AN334" s="5"/>
      <c r="AO334" s="5"/>
      <c r="AP334" s="5"/>
      <c r="AQ334" s="5"/>
      <c r="AR334" s="5"/>
      <c r="AS334" s="5"/>
      <c r="AT334" s="5"/>
      <c r="AU334" s="6" t="s">
        <v>2317</v>
      </c>
      <c r="AV334" s="6" t="s">
        <v>76</v>
      </c>
      <c r="AW334" s="6" t="s">
        <v>76</v>
      </c>
      <c r="AX334" s="6" t="s">
        <v>2284</v>
      </c>
      <c r="AY334" s="6" t="s">
        <v>2285</v>
      </c>
      <c r="AZ334" s="6"/>
      <c r="BA334" s="6"/>
      <c r="BB334" s="6"/>
      <c r="BC334" s="6" t="s">
        <v>127</v>
      </c>
      <c r="BD334" s="6" t="s">
        <v>127</v>
      </c>
      <c r="BE334" s="6" t="s">
        <v>1477</v>
      </c>
      <c r="BF334" s="6" t="s">
        <v>95</v>
      </c>
      <c r="BG334" s="6" t="s">
        <v>5015</v>
      </c>
      <c r="BH334" s="6" t="s">
        <v>5016</v>
      </c>
    </row>
    <row r="335" spans="1:60" ht="32" customHeight="1" x14ac:dyDescent="0.35">
      <c r="A335" s="13" t="s">
        <v>5017</v>
      </c>
      <c r="B335" s="6" t="s">
        <v>3901</v>
      </c>
      <c r="C335" s="5" t="s">
        <v>1652</v>
      </c>
      <c r="D335" s="5" t="s">
        <v>2192</v>
      </c>
      <c r="E335" s="5" t="s">
        <v>5018</v>
      </c>
      <c r="F335" s="5" t="s">
        <v>2189</v>
      </c>
      <c r="G335" s="5" t="s">
        <v>2813</v>
      </c>
      <c r="H335" s="5" t="s">
        <v>5019</v>
      </c>
      <c r="I335" s="5" t="s">
        <v>5020</v>
      </c>
      <c r="J335" s="17" t="s">
        <v>162</v>
      </c>
      <c r="K335" s="17" t="s">
        <v>1477</v>
      </c>
      <c r="L335" s="5" t="s">
        <v>5021</v>
      </c>
      <c r="M335" s="6" t="s">
        <v>1493</v>
      </c>
      <c r="N335" s="6" t="s">
        <v>2170</v>
      </c>
      <c r="O335" s="6" t="s">
        <v>162</v>
      </c>
      <c r="P335" s="5" t="s">
        <v>2272</v>
      </c>
      <c r="Q335" s="17" t="s">
        <v>2273</v>
      </c>
      <c r="R335" s="5" t="s">
        <v>5022</v>
      </c>
      <c r="S335" s="6" t="s">
        <v>2371</v>
      </c>
      <c r="T335" s="5" t="s">
        <v>2372</v>
      </c>
      <c r="U335" s="6"/>
      <c r="V335" s="6" t="s">
        <v>2373</v>
      </c>
      <c r="W335" s="6" t="s">
        <v>1699</v>
      </c>
      <c r="X335" s="5" t="s">
        <v>228</v>
      </c>
      <c r="Y335" s="5" t="s">
        <v>2170</v>
      </c>
      <c r="Z335" s="5" t="str">
        <f t="shared" si="10"/>
        <v>Critical</v>
      </c>
      <c r="AA335" s="5" t="s">
        <v>1302</v>
      </c>
      <c r="AB335" s="6" t="s">
        <v>1319</v>
      </c>
      <c r="AC335" s="6" t="s">
        <v>135</v>
      </c>
      <c r="AD335" s="5" t="s">
        <v>2278</v>
      </c>
      <c r="AE335" s="5" t="s">
        <v>1720</v>
      </c>
      <c r="AF335" s="5" t="s">
        <v>1720</v>
      </c>
      <c r="AG335" s="5" t="s">
        <v>1720</v>
      </c>
      <c r="AH335" s="5" t="s">
        <v>1720</v>
      </c>
      <c r="AI335" s="6" t="str">
        <f t="shared" si="11"/>
        <v>No</v>
      </c>
      <c r="AJ335" s="6" t="s">
        <v>2298</v>
      </c>
      <c r="AK335" s="6" t="s">
        <v>162</v>
      </c>
      <c r="AL335" s="6">
        <f>MATCH(AA335,{"Low","Medium","High"},0)*MATCH(AB335,{"Low","Medium","High"},0)*INDEX({3,2,2,1,1},MATCH(X335,{"Core","Vertical extension","Differentiator","Future","Adjacent"},0))</f>
        <v>18</v>
      </c>
      <c r="AM335" s="5"/>
      <c r="AN335" s="5"/>
      <c r="AO335" s="5"/>
      <c r="AP335" s="5"/>
      <c r="AQ335" s="5"/>
      <c r="AR335" s="5"/>
      <c r="AS335" s="5"/>
      <c r="AT335" s="5"/>
      <c r="AU335" s="6" t="s">
        <v>2317</v>
      </c>
      <c r="AV335" s="6" t="s">
        <v>3968</v>
      </c>
      <c r="AW335" s="6" t="s">
        <v>3968</v>
      </c>
      <c r="AX335" s="6" t="s">
        <v>2284</v>
      </c>
      <c r="AY335" s="6" t="s">
        <v>2285</v>
      </c>
      <c r="AZ335" s="6"/>
      <c r="BA335" s="6"/>
      <c r="BB335" s="6"/>
      <c r="BC335" s="6" t="s">
        <v>127</v>
      </c>
      <c r="BD335" s="6" t="s">
        <v>127</v>
      </c>
      <c r="BE335" s="6" t="s">
        <v>1477</v>
      </c>
      <c r="BF335" s="6" t="s">
        <v>2286</v>
      </c>
      <c r="BG335" s="6" t="s">
        <v>5023</v>
      </c>
      <c r="BH335" s="6" t="s">
        <v>5024</v>
      </c>
    </row>
    <row r="336" spans="1:60" ht="32" customHeight="1" x14ac:dyDescent="0.35">
      <c r="A336" s="13" t="s">
        <v>5025</v>
      </c>
      <c r="B336" s="6" t="s">
        <v>3901</v>
      </c>
      <c r="C336" s="5" t="s">
        <v>1652</v>
      </c>
      <c r="D336" s="5" t="s">
        <v>2192</v>
      </c>
      <c r="E336" s="5" t="s">
        <v>5026</v>
      </c>
      <c r="F336" s="5" t="s">
        <v>2973</v>
      </c>
      <c r="G336" s="5" t="s">
        <v>5027</v>
      </c>
      <c r="H336" s="5" t="s">
        <v>5028</v>
      </c>
      <c r="I336" s="5" t="s">
        <v>5029</v>
      </c>
      <c r="J336" s="17" t="s">
        <v>162</v>
      </c>
      <c r="K336" s="17" t="s">
        <v>163</v>
      </c>
      <c r="L336" s="5" t="s">
        <v>5030</v>
      </c>
      <c r="M336" s="6" t="s">
        <v>1493</v>
      </c>
      <c r="N336" s="6" t="s">
        <v>2170</v>
      </c>
      <c r="O336" s="6" t="s">
        <v>162</v>
      </c>
      <c r="P336" s="5" t="s">
        <v>2272</v>
      </c>
      <c r="Q336" s="17" t="s">
        <v>163</v>
      </c>
      <c r="R336" s="5" t="s">
        <v>5031</v>
      </c>
      <c r="S336" s="6" t="s">
        <v>2371</v>
      </c>
      <c r="T336" s="5" t="s">
        <v>2372</v>
      </c>
      <c r="U336" s="6"/>
      <c r="V336" s="6" t="s">
        <v>2373</v>
      </c>
      <c r="W336" s="6" t="s">
        <v>1699</v>
      </c>
      <c r="X336" s="5" t="s">
        <v>228</v>
      </c>
      <c r="Y336" s="5" t="s">
        <v>2170</v>
      </c>
      <c r="Z336" s="5" t="str">
        <f t="shared" si="10"/>
        <v>Critical</v>
      </c>
      <c r="AA336" s="5" t="s">
        <v>1302</v>
      </c>
      <c r="AB336" s="6" t="s">
        <v>1319</v>
      </c>
      <c r="AC336" s="6" t="s">
        <v>135</v>
      </c>
      <c r="AD336" s="5" t="s">
        <v>1805</v>
      </c>
      <c r="AE336" s="5" t="s">
        <v>1720</v>
      </c>
      <c r="AF336" s="5" t="s">
        <v>1720</v>
      </c>
      <c r="AG336" s="5" t="s">
        <v>1720</v>
      </c>
      <c r="AH336" s="5" t="s">
        <v>1720</v>
      </c>
      <c r="AI336" s="6" t="str">
        <f t="shared" si="11"/>
        <v>No</v>
      </c>
      <c r="AJ336" s="6" t="s">
        <v>287</v>
      </c>
      <c r="AK336" s="6" t="s">
        <v>162</v>
      </c>
      <c r="AL336" s="6">
        <f>MATCH(AA336,{"Low","Medium","High"},0)*MATCH(AB336,{"Low","Medium","High"},0)*INDEX({3,2,2,1,1},MATCH(X336,{"Core","Vertical extension","Differentiator","Future","Adjacent"},0))</f>
        <v>18</v>
      </c>
      <c r="AM336" s="5"/>
      <c r="AN336" s="5"/>
      <c r="AO336" s="5"/>
      <c r="AP336" s="5"/>
      <c r="AQ336" s="5"/>
      <c r="AR336" s="5"/>
      <c r="AS336" s="5"/>
      <c r="AT336" s="5"/>
      <c r="AU336" s="6" t="s">
        <v>2317</v>
      </c>
      <c r="AV336" s="6" t="s">
        <v>76</v>
      </c>
      <c r="AW336" s="6" t="s">
        <v>76</v>
      </c>
      <c r="AX336" s="6" t="s">
        <v>2284</v>
      </c>
      <c r="AY336" s="6" t="s">
        <v>2285</v>
      </c>
      <c r="AZ336" s="6"/>
      <c r="BA336" s="6"/>
      <c r="BB336" s="6"/>
      <c r="BC336" s="6" t="s">
        <v>127</v>
      </c>
      <c r="BD336" s="6" t="s">
        <v>127</v>
      </c>
      <c r="BE336" s="6" t="s">
        <v>1477</v>
      </c>
      <c r="BF336" s="6" t="s">
        <v>288</v>
      </c>
      <c r="BG336" s="6" t="s">
        <v>5032</v>
      </c>
      <c r="BH336" s="6" t="s">
        <v>5033</v>
      </c>
    </row>
    <row r="337" spans="1:60" ht="32" customHeight="1" x14ac:dyDescent="0.35">
      <c r="A337" s="13" t="s">
        <v>5034</v>
      </c>
      <c r="B337" s="6" t="s">
        <v>3901</v>
      </c>
      <c r="C337" s="5" t="s">
        <v>1652</v>
      </c>
      <c r="D337" s="5" t="s">
        <v>2192</v>
      </c>
      <c r="E337" s="5" t="s">
        <v>5035</v>
      </c>
      <c r="F337" s="5" t="s">
        <v>2973</v>
      </c>
      <c r="G337" s="5" t="s">
        <v>2983</v>
      </c>
      <c r="H337" s="5" t="s">
        <v>5036</v>
      </c>
      <c r="I337" s="5" t="s">
        <v>5037</v>
      </c>
      <c r="J337" s="17" t="s">
        <v>162</v>
      </c>
      <c r="K337" s="17" t="s">
        <v>1477</v>
      </c>
      <c r="L337" s="5" t="s">
        <v>5038</v>
      </c>
      <c r="M337" s="6" t="s">
        <v>1493</v>
      </c>
      <c r="N337" s="6" t="s">
        <v>2170</v>
      </c>
      <c r="O337" s="6" t="s">
        <v>162</v>
      </c>
      <c r="P337" s="5" t="s">
        <v>2272</v>
      </c>
      <c r="Q337" s="17" t="s">
        <v>2273</v>
      </c>
      <c r="R337" s="5" t="s">
        <v>5039</v>
      </c>
      <c r="S337" s="6" t="s">
        <v>2371</v>
      </c>
      <c r="T337" s="5" t="s">
        <v>2372</v>
      </c>
      <c r="U337" s="6"/>
      <c r="V337" s="6" t="s">
        <v>2373</v>
      </c>
      <c r="W337" s="6" t="s">
        <v>1699</v>
      </c>
      <c r="X337" s="5" t="s">
        <v>228</v>
      </c>
      <c r="Y337" s="5" t="s">
        <v>2170</v>
      </c>
      <c r="Z337" s="5" t="str">
        <f t="shared" si="10"/>
        <v>Critical</v>
      </c>
      <c r="AA337" s="5" t="s">
        <v>1302</v>
      </c>
      <c r="AB337" s="6" t="s">
        <v>1319</v>
      </c>
      <c r="AC337" s="6" t="s">
        <v>135</v>
      </c>
      <c r="AD337" s="5" t="s">
        <v>2278</v>
      </c>
      <c r="AE337" s="5" t="s">
        <v>1720</v>
      </c>
      <c r="AF337" s="5" t="s">
        <v>1720</v>
      </c>
      <c r="AG337" s="5" t="s">
        <v>1720</v>
      </c>
      <c r="AH337" s="5" t="s">
        <v>1720</v>
      </c>
      <c r="AI337" s="6" t="str">
        <f t="shared" si="11"/>
        <v>No</v>
      </c>
      <c r="AJ337" s="6" t="s">
        <v>2298</v>
      </c>
      <c r="AK337" s="6" t="s">
        <v>162</v>
      </c>
      <c r="AL337" s="6">
        <f>MATCH(AA337,{"Low","Medium","High"},0)*MATCH(AB337,{"Low","Medium","High"},0)*INDEX({3,2,2,1,1},MATCH(X337,{"Core","Vertical extension","Differentiator","Future","Adjacent"},0))</f>
        <v>18</v>
      </c>
      <c r="AM337" s="5"/>
      <c r="AN337" s="5"/>
      <c r="AO337" s="5"/>
      <c r="AP337" s="5"/>
      <c r="AQ337" s="5"/>
      <c r="AR337" s="5"/>
      <c r="AS337" s="5"/>
      <c r="AT337" s="5"/>
      <c r="AU337" s="6" t="s">
        <v>2317</v>
      </c>
      <c r="AV337" s="6" t="s">
        <v>76</v>
      </c>
      <c r="AW337" s="6" t="s">
        <v>76</v>
      </c>
      <c r="AX337" s="6" t="s">
        <v>2284</v>
      </c>
      <c r="AY337" s="6" t="s">
        <v>2285</v>
      </c>
      <c r="AZ337" s="6"/>
      <c r="BA337" s="6"/>
      <c r="BB337" s="6"/>
      <c r="BC337" s="6" t="s">
        <v>127</v>
      </c>
      <c r="BD337" s="6" t="s">
        <v>127</v>
      </c>
      <c r="BE337" s="6" t="s">
        <v>1477</v>
      </c>
      <c r="BF337" s="6" t="s">
        <v>2286</v>
      </c>
      <c r="BG337" s="6" t="s">
        <v>4838</v>
      </c>
      <c r="BH337" s="6" t="s">
        <v>5040</v>
      </c>
    </row>
    <row r="338" spans="1:60" ht="32" customHeight="1" x14ac:dyDescent="0.35">
      <c r="A338" s="13" t="s">
        <v>5041</v>
      </c>
      <c r="B338" s="6" t="s">
        <v>3901</v>
      </c>
      <c r="C338" s="5" t="s">
        <v>1652</v>
      </c>
      <c r="D338" s="5" t="s">
        <v>2195</v>
      </c>
      <c r="E338" s="5" t="s">
        <v>5042</v>
      </c>
      <c r="F338" s="5" t="s">
        <v>2267</v>
      </c>
      <c r="G338" s="5" t="s">
        <v>2396</v>
      </c>
      <c r="H338" s="5" t="s">
        <v>5043</v>
      </c>
      <c r="I338" s="5" t="s">
        <v>5044</v>
      </c>
      <c r="J338" s="17" t="s">
        <v>162</v>
      </c>
      <c r="K338" s="17" t="s">
        <v>1477</v>
      </c>
      <c r="L338" s="5" t="s">
        <v>5045</v>
      </c>
      <c r="M338" s="6" t="s">
        <v>1493</v>
      </c>
      <c r="N338" s="6" t="s">
        <v>2170</v>
      </c>
      <c r="O338" s="6" t="s">
        <v>162</v>
      </c>
      <c r="P338" s="5" t="s">
        <v>2272</v>
      </c>
      <c r="Q338" s="17" t="s">
        <v>2273</v>
      </c>
      <c r="R338" s="5" t="s">
        <v>5046</v>
      </c>
      <c r="S338" s="6" t="s">
        <v>2295</v>
      </c>
      <c r="T338" s="5" t="s">
        <v>2296</v>
      </c>
      <c r="U338" s="6"/>
      <c r="V338" s="6" t="s">
        <v>2297</v>
      </c>
      <c r="W338" s="6" t="s">
        <v>1697</v>
      </c>
      <c r="X338" s="5" t="s">
        <v>228</v>
      </c>
      <c r="Y338" s="5" t="s">
        <v>2170</v>
      </c>
      <c r="Z338" s="5" t="str">
        <f t="shared" si="10"/>
        <v>High</v>
      </c>
      <c r="AA338" s="5" t="s">
        <v>1302</v>
      </c>
      <c r="AB338" s="6" t="s">
        <v>1355</v>
      </c>
      <c r="AC338" s="6" t="s">
        <v>135</v>
      </c>
      <c r="AD338" s="5" t="s">
        <v>2278</v>
      </c>
      <c r="AE338" s="5" t="s">
        <v>1720</v>
      </c>
      <c r="AF338" s="5" t="s">
        <v>1720</v>
      </c>
      <c r="AG338" s="5" t="s">
        <v>1720</v>
      </c>
      <c r="AH338" s="5" t="s">
        <v>1720</v>
      </c>
      <c r="AI338" s="6" t="str">
        <f t="shared" si="11"/>
        <v>No</v>
      </c>
      <c r="AJ338" s="6" t="s">
        <v>2298</v>
      </c>
      <c r="AK338" s="6" t="s">
        <v>162</v>
      </c>
      <c r="AL338" s="6">
        <f>MATCH(AA338,{"Low","Medium","High"},0)*MATCH(AB338,{"Low","Medium","High"},0)*INDEX({3,2,2,1,1},MATCH(X338,{"Core","Vertical extension","Differentiator","Future","Adjacent"},0))</f>
        <v>9</v>
      </c>
      <c r="AM338" s="5"/>
      <c r="AN338" s="5"/>
      <c r="AO338" s="5"/>
      <c r="AP338" s="5"/>
      <c r="AQ338" s="5"/>
      <c r="AR338" s="5"/>
      <c r="AS338" s="5"/>
      <c r="AT338" s="5"/>
      <c r="AU338" s="6" t="s">
        <v>2317</v>
      </c>
      <c r="AV338" s="6" t="s">
        <v>2283</v>
      </c>
      <c r="AW338" s="6" t="s">
        <v>2283</v>
      </c>
      <c r="AX338" s="6" t="s">
        <v>2284</v>
      </c>
      <c r="AY338" s="6" t="s">
        <v>2285</v>
      </c>
      <c r="AZ338" s="6"/>
      <c r="BA338" s="6"/>
      <c r="BB338" s="6"/>
      <c r="BC338" s="6" t="s">
        <v>127</v>
      </c>
      <c r="BD338" s="6" t="s">
        <v>127</v>
      </c>
      <c r="BE338" s="6" t="s">
        <v>1477</v>
      </c>
      <c r="BF338" s="6" t="s">
        <v>2286</v>
      </c>
      <c r="BG338" s="6" t="s">
        <v>5047</v>
      </c>
      <c r="BH338" s="6" t="s">
        <v>5048</v>
      </c>
    </row>
    <row r="339" spans="1:60" ht="32" customHeight="1" x14ac:dyDescent="0.35">
      <c r="A339" s="13" t="s">
        <v>5049</v>
      </c>
      <c r="B339" s="6" t="s">
        <v>3901</v>
      </c>
      <c r="C339" s="5" t="s">
        <v>1652</v>
      </c>
      <c r="D339" s="5" t="s">
        <v>2195</v>
      </c>
      <c r="E339" s="5" t="s">
        <v>5050</v>
      </c>
      <c r="F339" s="5" t="s">
        <v>2267</v>
      </c>
      <c r="G339" s="5" t="s">
        <v>2396</v>
      </c>
      <c r="H339" s="5" t="s">
        <v>5051</v>
      </c>
      <c r="I339" s="5" t="s">
        <v>5052</v>
      </c>
      <c r="J339" s="17" t="s">
        <v>162</v>
      </c>
      <c r="K339" s="17" t="s">
        <v>1477</v>
      </c>
      <c r="L339" s="5" t="s">
        <v>5053</v>
      </c>
      <c r="M339" s="6" t="s">
        <v>1493</v>
      </c>
      <c r="N339" s="6" t="s">
        <v>2170</v>
      </c>
      <c r="O339" s="6" t="s">
        <v>162</v>
      </c>
      <c r="P339" s="5" t="s">
        <v>2272</v>
      </c>
      <c r="Q339" s="17" t="s">
        <v>2273</v>
      </c>
      <c r="R339" s="5" t="s">
        <v>5054</v>
      </c>
      <c r="S339" s="6" t="s">
        <v>2295</v>
      </c>
      <c r="T339" s="5" t="s">
        <v>2296</v>
      </c>
      <c r="U339" s="6"/>
      <c r="V339" s="6" t="s">
        <v>2297</v>
      </c>
      <c r="W339" s="6" t="s">
        <v>1697</v>
      </c>
      <c r="X339" s="5" t="s">
        <v>228</v>
      </c>
      <c r="Y339" s="5" t="s">
        <v>2170</v>
      </c>
      <c r="Z339" s="5" t="str">
        <f t="shared" si="10"/>
        <v>High</v>
      </c>
      <c r="AA339" s="5" t="s">
        <v>1302</v>
      </c>
      <c r="AB339" s="6" t="s">
        <v>1355</v>
      </c>
      <c r="AC339" s="6" t="s">
        <v>135</v>
      </c>
      <c r="AD339" s="5" t="s">
        <v>2278</v>
      </c>
      <c r="AE339" s="5" t="s">
        <v>1720</v>
      </c>
      <c r="AF339" s="5" t="s">
        <v>1720</v>
      </c>
      <c r="AG339" s="5" t="s">
        <v>1720</v>
      </c>
      <c r="AH339" s="5" t="s">
        <v>1720</v>
      </c>
      <c r="AI339" s="6" t="str">
        <f t="shared" si="11"/>
        <v>No</v>
      </c>
      <c r="AJ339" s="6" t="s">
        <v>2298</v>
      </c>
      <c r="AK339" s="6" t="s">
        <v>162</v>
      </c>
      <c r="AL339" s="6">
        <f>MATCH(AA339,{"Low","Medium","High"},0)*MATCH(AB339,{"Low","Medium","High"},0)*INDEX({3,2,2,1,1},MATCH(X339,{"Core","Vertical extension","Differentiator","Future","Adjacent"},0))</f>
        <v>9</v>
      </c>
      <c r="AM339" s="5"/>
      <c r="AN339" s="5"/>
      <c r="AO339" s="5"/>
      <c r="AP339" s="5"/>
      <c r="AQ339" s="5"/>
      <c r="AR339" s="5"/>
      <c r="AS339" s="5"/>
      <c r="AT339" s="5"/>
      <c r="AU339" s="6" t="s">
        <v>2317</v>
      </c>
      <c r="AV339" s="6" t="s">
        <v>2283</v>
      </c>
      <c r="AW339" s="6" t="s">
        <v>2283</v>
      </c>
      <c r="AX339" s="6" t="s">
        <v>2284</v>
      </c>
      <c r="AY339" s="6" t="s">
        <v>2285</v>
      </c>
      <c r="AZ339" s="6"/>
      <c r="BA339" s="6"/>
      <c r="BB339" s="6"/>
      <c r="BC339" s="6" t="s">
        <v>127</v>
      </c>
      <c r="BD339" s="6" t="s">
        <v>127</v>
      </c>
      <c r="BE339" s="6" t="s">
        <v>1477</v>
      </c>
      <c r="BF339" s="6" t="s">
        <v>2286</v>
      </c>
      <c r="BG339" s="6" t="s">
        <v>5055</v>
      </c>
      <c r="BH339" s="6" t="s">
        <v>5056</v>
      </c>
    </row>
    <row r="340" spans="1:60" ht="32" customHeight="1" x14ac:dyDescent="0.35">
      <c r="A340" s="13" t="s">
        <v>5057</v>
      </c>
      <c r="B340" s="6" t="s">
        <v>3901</v>
      </c>
      <c r="C340" s="5" t="s">
        <v>1652</v>
      </c>
      <c r="D340" s="5" t="s">
        <v>2195</v>
      </c>
      <c r="E340" s="5" t="s">
        <v>5058</v>
      </c>
      <c r="F340" s="5" t="s">
        <v>2828</v>
      </c>
      <c r="G340" s="5" t="s">
        <v>2973</v>
      </c>
      <c r="H340" s="5" t="s">
        <v>5059</v>
      </c>
      <c r="I340" s="5" t="s">
        <v>5060</v>
      </c>
      <c r="J340" s="17" t="s">
        <v>162</v>
      </c>
      <c r="K340" s="17" t="s">
        <v>1477</v>
      </c>
      <c r="L340" s="5" t="s">
        <v>5061</v>
      </c>
      <c r="M340" s="6" t="s">
        <v>1493</v>
      </c>
      <c r="N340" s="6" t="s">
        <v>2170</v>
      </c>
      <c r="O340" s="6" t="s">
        <v>162</v>
      </c>
      <c r="P340" s="5" t="s">
        <v>2272</v>
      </c>
      <c r="Q340" s="17" t="s">
        <v>2273</v>
      </c>
      <c r="R340" s="5" t="s">
        <v>5062</v>
      </c>
      <c r="S340" s="6" t="s">
        <v>2295</v>
      </c>
      <c r="T340" s="5" t="s">
        <v>2296</v>
      </c>
      <c r="U340" s="6"/>
      <c r="V340" s="6" t="s">
        <v>2297</v>
      </c>
      <c r="W340" s="6" t="s">
        <v>1697</v>
      </c>
      <c r="X340" s="5" t="s">
        <v>228</v>
      </c>
      <c r="Y340" s="5" t="s">
        <v>2170</v>
      </c>
      <c r="Z340" s="5" t="str">
        <f t="shared" si="10"/>
        <v>High</v>
      </c>
      <c r="AA340" s="5" t="s">
        <v>1302</v>
      </c>
      <c r="AB340" s="6" t="s">
        <v>1355</v>
      </c>
      <c r="AC340" s="6" t="s">
        <v>135</v>
      </c>
      <c r="AD340" s="5" t="s">
        <v>2278</v>
      </c>
      <c r="AE340" s="5" t="s">
        <v>1720</v>
      </c>
      <c r="AF340" s="5" t="s">
        <v>1720</v>
      </c>
      <c r="AG340" s="5" t="s">
        <v>1720</v>
      </c>
      <c r="AH340" s="5" t="s">
        <v>1720</v>
      </c>
      <c r="AI340" s="6" t="str">
        <f t="shared" si="11"/>
        <v>No</v>
      </c>
      <c r="AJ340" s="6" t="s">
        <v>2298</v>
      </c>
      <c r="AK340" s="6" t="s">
        <v>162</v>
      </c>
      <c r="AL340" s="6">
        <f>MATCH(AA340,{"Low","Medium","High"},0)*MATCH(AB340,{"Low","Medium","High"},0)*INDEX({3,2,2,1,1},MATCH(X340,{"Core","Vertical extension","Differentiator","Future","Adjacent"},0))</f>
        <v>9</v>
      </c>
      <c r="AM340" s="5"/>
      <c r="AN340" s="5"/>
      <c r="AO340" s="5"/>
      <c r="AP340" s="5"/>
      <c r="AQ340" s="5"/>
      <c r="AR340" s="5"/>
      <c r="AS340" s="5"/>
      <c r="AT340" s="5"/>
      <c r="AU340" s="6" t="s">
        <v>2317</v>
      </c>
      <c r="AV340" s="6" t="s">
        <v>76</v>
      </c>
      <c r="AW340" s="6" t="s">
        <v>76</v>
      </c>
      <c r="AX340" s="6" t="s">
        <v>2284</v>
      </c>
      <c r="AY340" s="6" t="s">
        <v>2285</v>
      </c>
      <c r="AZ340" s="6"/>
      <c r="BA340" s="6"/>
      <c r="BB340" s="6"/>
      <c r="BC340" s="6" t="s">
        <v>127</v>
      </c>
      <c r="BD340" s="6" t="s">
        <v>127</v>
      </c>
      <c r="BE340" s="6" t="s">
        <v>1477</v>
      </c>
      <c r="BF340" s="6" t="s">
        <v>2286</v>
      </c>
      <c r="BG340" s="6" t="s">
        <v>5063</v>
      </c>
      <c r="BH340" s="6" t="s">
        <v>5064</v>
      </c>
    </row>
    <row r="341" spans="1:60" ht="32" customHeight="1" x14ac:dyDescent="0.35">
      <c r="A341" s="13" t="s">
        <v>5065</v>
      </c>
      <c r="B341" s="6" t="s">
        <v>3901</v>
      </c>
      <c r="C341" s="5" t="s">
        <v>1652</v>
      </c>
      <c r="D341" s="5" t="s">
        <v>2195</v>
      </c>
      <c r="E341" s="5" t="s">
        <v>5066</v>
      </c>
      <c r="F341" s="5" t="s">
        <v>2828</v>
      </c>
      <c r="G341" s="5" t="s">
        <v>2396</v>
      </c>
      <c r="H341" s="5" t="s">
        <v>5067</v>
      </c>
      <c r="I341" s="5" t="s">
        <v>5068</v>
      </c>
      <c r="J341" s="17" t="s">
        <v>162</v>
      </c>
      <c r="K341" s="17" t="s">
        <v>1477</v>
      </c>
      <c r="L341" s="5" t="s">
        <v>5069</v>
      </c>
      <c r="M341" s="6" t="s">
        <v>1493</v>
      </c>
      <c r="N341" s="6" t="s">
        <v>2170</v>
      </c>
      <c r="O341" s="6" t="s">
        <v>162</v>
      </c>
      <c r="P341" s="5" t="s">
        <v>2272</v>
      </c>
      <c r="Q341" s="17" t="s">
        <v>2273</v>
      </c>
      <c r="R341" s="5" t="s">
        <v>5070</v>
      </c>
      <c r="S341" s="6" t="s">
        <v>2295</v>
      </c>
      <c r="T341" s="5" t="s">
        <v>2296</v>
      </c>
      <c r="U341" s="6"/>
      <c r="V341" s="6" t="s">
        <v>2297</v>
      </c>
      <c r="W341" s="6" t="s">
        <v>1697</v>
      </c>
      <c r="X341" s="5" t="s">
        <v>228</v>
      </c>
      <c r="Y341" s="5" t="s">
        <v>2170</v>
      </c>
      <c r="Z341" s="5" t="str">
        <f t="shared" si="10"/>
        <v>High</v>
      </c>
      <c r="AA341" s="5" t="s">
        <v>1302</v>
      </c>
      <c r="AB341" s="6" t="s">
        <v>1355</v>
      </c>
      <c r="AC341" s="6" t="s">
        <v>135</v>
      </c>
      <c r="AD341" s="5" t="s">
        <v>2278</v>
      </c>
      <c r="AE341" s="5" t="s">
        <v>1720</v>
      </c>
      <c r="AF341" s="5" t="s">
        <v>1720</v>
      </c>
      <c r="AG341" s="5" t="s">
        <v>1720</v>
      </c>
      <c r="AH341" s="5" t="s">
        <v>1720</v>
      </c>
      <c r="AI341" s="6" t="str">
        <f t="shared" si="11"/>
        <v>No</v>
      </c>
      <c r="AJ341" s="6" t="s">
        <v>2298</v>
      </c>
      <c r="AK341" s="6" t="s">
        <v>162</v>
      </c>
      <c r="AL341" s="6">
        <f>MATCH(AA341,{"Low","Medium","High"},0)*MATCH(AB341,{"Low","Medium","High"},0)*INDEX({3,2,2,1,1},MATCH(X341,{"Core","Vertical extension","Differentiator","Future","Adjacent"},0))</f>
        <v>9</v>
      </c>
      <c r="AM341" s="5"/>
      <c r="AN341" s="5"/>
      <c r="AO341" s="5"/>
      <c r="AP341" s="5"/>
      <c r="AQ341" s="5"/>
      <c r="AR341" s="5"/>
      <c r="AS341" s="5"/>
      <c r="AT341" s="5"/>
      <c r="AU341" s="6" t="s">
        <v>2317</v>
      </c>
      <c r="AV341" s="6" t="s">
        <v>76</v>
      </c>
      <c r="AW341" s="6" t="s">
        <v>76</v>
      </c>
      <c r="AX341" s="6" t="s">
        <v>2284</v>
      </c>
      <c r="AY341" s="6" t="s">
        <v>2285</v>
      </c>
      <c r="AZ341" s="6"/>
      <c r="BA341" s="6"/>
      <c r="BB341" s="6"/>
      <c r="BC341" s="6" t="s">
        <v>127</v>
      </c>
      <c r="BD341" s="6" t="s">
        <v>127</v>
      </c>
      <c r="BE341" s="6" t="s">
        <v>1477</v>
      </c>
      <c r="BF341" s="6" t="s">
        <v>2286</v>
      </c>
      <c r="BG341" s="6" t="s">
        <v>5071</v>
      </c>
      <c r="BH341" s="6" t="s">
        <v>5072</v>
      </c>
    </row>
    <row r="342" spans="1:60" ht="32" customHeight="1" x14ac:dyDescent="0.35">
      <c r="A342" s="13" t="s">
        <v>5073</v>
      </c>
      <c r="B342" s="6" t="s">
        <v>3901</v>
      </c>
      <c r="C342" s="5" t="s">
        <v>1652</v>
      </c>
      <c r="D342" s="5" t="s">
        <v>2195</v>
      </c>
      <c r="E342" s="5" t="s">
        <v>5074</v>
      </c>
      <c r="F342" s="5" t="s">
        <v>2828</v>
      </c>
      <c r="G342" s="5" t="s">
        <v>2507</v>
      </c>
      <c r="H342" s="5" t="s">
        <v>5075</v>
      </c>
      <c r="I342" s="5" t="s">
        <v>5076</v>
      </c>
      <c r="J342" s="17" t="s">
        <v>162</v>
      </c>
      <c r="K342" s="17" t="s">
        <v>1477</v>
      </c>
      <c r="L342" s="5" t="s">
        <v>5077</v>
      </c>
      <c r="M342" s="6" t="s">
        <v>1493</v>
      </c>
      <c r="N342" s="6" t="s">
        <v>2170</v>
      </c>
      <c r="O342" s="6" t="s">
        <v>162</v>
      </c>
      <c r="P342" s="5" t="s">
        <v>2272</v>
      </c>
      <c r="Q342" s="17" t="s">
        <v>2273</v>
      </c>
      <c r="R342" s="5" t="s">
        <v>5078</v>
      </c>
      <c r="S342" s="6" t="s">
        <v>2295</v>
      </c>
      <c r="T342" s="5" t="s">
        <v>2296</v>
      </c>
      <c r="U342" s="6"/>
      <c r="V342" s="6" t="s">
        <v>2297</v>
      </c>
      <c r="W342" s="6" t="s">
        <v>1697</v>
      </c>
      <c r="X342" s="5" t="s">
        <v>228</v>
      </c>
      <c r="Y342" s="5" t="s">
        <v>2170</v>
      </c>
      <c r="Z342" s="5" t="str">
        <f t="shared" si="10"/>
        <v>High</v>
      </c>
      <c r="AA342" s="5" t="s">
        <v>1302</v>
      </c>
      <c r="AB342" s="6" t="s">
        <v>1355</v>
      </c>
      <c r="AC342" s="6" t="s">
        <v>135</v>
      </c>
      <c r="AD342" s="5" t="s">
        <v>2278</v>
      </c>
      <c r="AE342" s="5" t="s">
        <v>1720</v>
      </c>
      <c r="AF342" s="5" t="s">
        <v>1720</v>
      </c>
      <c r="AG342" s="5" t="s">
        <v>1720</v>
      </c>
      <c r="AH342" s="5" t="s">
        <v>1720</v>
      </c>
      <c r="AI342" s="6" t="str">
        <f t="shared" si="11"/>
        <v>No</v>
      </c>
      <c r="AJ342" s="6" t="s">
        <v>2298</v>
      </c>
      <c r="AK342" s="6" t="s">
        <v>162</v>
      </c>
      <c r="AL342" s="6">
        <f>MATCH(AA342,{"Low","Medium","High"},0)*MATCH(AB342,{"Low","Medium","High"},0)*INDEX({3,2,2,1,1},MATCH(X342,{"Core","Vertical extension","Differentiator","Future","Adjacent"},0))</f>
        <v>9</v>
      </c>
      <c r="AM342" s="5"/>
      <c r="AN342" s="5"/>
      <c r="AO342" s="5"/>
      <c r="AP342" s="5"/>
      <c r="AQ342" s="5"/>
      <c r="AR342" s="5"/>
      <c r="AS342" s="5"/>
      <c r="AT342" s="5"/>
      <c r="AU342" s="6" t="s">
        <v>2317</v>
      </c>
      <c r="AV342" s="6" t="s">
        <v>76</v>
      </c>
      <c r="AW342" s="6" t="s">
        <v>76</v>
      </c>
      <c r="AX342" s="6" t="s">
        <v>2284</v>
      </c>
      <c r="AY342" s="6" t="s">
        <v>2285</v>
      </c>
      <c r="AZ342" s="6"/>
      <c r="BA342" s="6"/>
      <c r="BB342" s="6"/>
      <c r="BC342" s="6" t="s">
        <v>127</v>
      </c>
      <c r="BD342" s="6" t="s">
        <v>127</v>
      </c>
      <c r="BE342" s="6" t="s">
        <v>1477</v>
      </c>
      <c r="BF342" s="6" t="s">
        <v>2286</v>
      </c>
      <c r="BG342" s="6" t="s">
        <v>5079</v>
      </c>
      <c r="BH342" s="6" t="s">
        <v>5080</v>
      </c>
    </row>
    <row r="343" spans="1:60" ht="32" customHeight="1" x14ac:dyDescent="0.35">
      <c r="A343" s="13" t="s">
        <v>5081</v>
      </c>
      <c r="B343" s="6" t="s">
        <v>3901</v>
      </c>
      <c r="C343" s="5" t="s">
        <v>1652</v>
      </c>
      <c r="D343" s="5" t="s">
        <v>2195</v>
      </c>
      <c r="E343" s="5" t="s">
        <v>5082</v>
      </c>
      <c r="F343" s="5" t="s">
        <v>2973</v>
      </c>
      <c r="G343" s="5" t="s">
        <v>5083</v>
      </c>
      <c r="H343" s="5" t="s">
        <v>5084</v>
      </c>
      <c r="I343" s="5" t="s">
        <v>5085</v>
      </c>
      <c r="J343" s="17" t="s">
        <v>162</v>
      </c>
      <c r="K343" s="17" t="s">
        <v>95</v>
      </c>
      <c r="L343" s="5" t="s">
        <v>5086</v>
      </c>
      <c r="M343" s="6" t="s">
        <v>1493</v>
      </c>
      <c r="N343" s="6" t="s">
        <v>2170</v>
      </c>
      <c r="O343" s="6" t="s">
        <v>162</v>
      </c>
      <c r="P343" s="5" t="s">
        <v>2272</v>
      </c>
      <c r="Q343" s="17" t="s">
        <v>95</v>
      </c>
      <c r="R343" s="5" t="s">
        <v>5087</v>
      </c>
      <c r="S343" s="6" t="s">
        <v>2295</v>
      </c>
      <c r="T343" s="5" t="s">
        <v>2296</v>
      </c>
      <c r="U343" s="6"/>
      <c r="V343" s="6" t="s">
        <v>2297</v>
      </c>
      <c r="W343" s="6" t="s">
        <v>1697</v>
      </c>
      <c r="X343" s="5" t="s">
        <v>228</v>
      </c>
      <c r="Y343" s="5" t="s">
        <v>2170</v>
      </c>
      <c r="Z343" s="5" t="str">
        <f t="shared" si="10"/>
        <v>High</v>
      </c>
      <c r="AA343" s="5" t="s">
        <v>1302</v>
      </c>
      <c r="AB343" s="6" t="s">
        <v>1355</v>
      </c>
      <c r="AC343" s="6" t="s">
        <v>135</v>
      </c>
      <c r="AD343" s="5" t="s">
        <v>95</v>
      </c>
      <c r="AE343" s="5" t="s">
        <v>1720</v>
      </c>
      <c r="AF343" s="5" t="s">
        <v>1720</v>
      </c>
      <c r="AG343" s="5" t="s">
        <v>1720</v>
      </c>
      <c r="AH343" s="5" t="s">
        <v>1720</v>
      </c>
      <c r="AI343" s="6" t="str">
        <f t="shared" si="11"/>
        <v>No</v>
      </c>
      <c r="AJ343" s="6" t="s">
        <v>229</v>
      </c>
      <c r="AK343" s="6" t="s">
        <v>162</v>
      </c>
      <c r="AL343" s="6">
        <f>MATCH(AA343,{"Low","Medium","High"},0)*MATCH(AB343,{"Low","Medium","High"},0)*INDEX({3,2,2,1,1},MATCH(X343,{"Core","Vertical extension","Differentiator","Future","Adjacent"},0))</f>
        <v>9</v>
      </c>
      <c r="AM343" s="5"/>
      <c r="AN343" s="5"/>
      <c r="AO343" s="5"/>
      <c r="AP343" s="5"/>
      <c r="AQ343" s="5"/>
      <c r="AR343" s="5"/>
      <c r="AS343" s="5"/>
      <c r="AT343" s="5"/>
      <c r="AU343" s="6" t="s">
        <v>2317</v>
      </c>
      <c r="AV343" s="6" t="s">
        <v>76</v>
      </c>
      <c r="AW343" s="6" t="s">
        <v>76</v>
      </c>
      <c r="AX343" s="6" t="s">
        <v>2284</v>
      </c>
      <c r="AY343" s="6" t="s">
        <v>2285</v>
      </c>
      <c r="AZ343" s="6"/>
      <c r="BA343" s="6"/>
      <c r="BB343" s="6"/>
      <c r="BC343" s="6" t="s">
        <v>127</v>
      </c>
      <c r="BD343" s="6" t="s">
        <v>127</v>
      </c>
      <c r="BE343" s="6" t="s">
        <v>1477</v>
      </c>
      <c r="BF343" s="6" t="s">
        <v>95</v>
      </c>
      <c r="BG343" s="6" t="s">
        <v>5088</v>
      </c>
      <c r="BH343" s="6" t="s">
        <v>5089</v>
      </c>
    </row>
    <row r="344" spans="1:60" ht="32" customHeight="1" x14ac:dyDescent="0.35">
      <c r="A344" s="13" t="s">
        <v>5090</v>
      </c>
      <c r="B344" s="6" t="s">
        <v>3901</v>
      </c>
      <c r="C344" s="5" t="s">
        <v>1652</v>
      </c>
      <c r="D344" s="5" t="s">
        <v>2195</v>
      </c>
      <c r="E344" s="5" t="s">
        <v>5091</v>
      </c>
      <c r="F344" s="5" t="s">
        <v>2973</v>
      </c>
      <c r="G344" s="5" t="s">
        <v>2983</v>
      </c>
      <c r="H344" s="5" t="s">
        <v>5092</v>
      </c>
      <c r="I344" s="5" t="s">
        <v>5093</v>
      </c>
      <c r="J344" s="17" t="s">
        <v>162</v>
      </c>
      <c r="K344" s="17" t="s">
        <v>1477</v>
      </c>
      <c r="L344" s="5" t="s">
        <v>5094</v>
      </c>
      <c r="M344" s="6" t="s">
        <v>1493</v>
      </c>
      <c r="N344" s="6" t="s">
        <v>2170</v>
      </c>
      <c r="O344" s="6" t="s">
        <v>162</v>
      </c>
      <c r="P344" s="5" t="s">
        <v>2369</v>
      </c>
      <c r="Q344" s="17" t="s">
        <v>2273</v>
      </c>
      <c r="R344" s="5" t="s">
        <v>5095</v>
      </c>
      <c r="S344" s="6" t="s">
        <v>2295</v>
      </c>
      <c r="T344" s="5" t="s">
        <v>2296</v>
      </c>
      <c r="U344" s="6"/>
      <c r="V344" s="6" t="s">
        <v>2297</v>
      </c>
      <c r="W344" s="6" t="s">
        <v>1697</v>
      </c>
      <c r="X344" s="5" t="s">
        <v>228</v>
      </c>
      <c r="Y344" s="5" t="s">
        <v>2170</v>
      </c>
      <c r="Z344" s="5" t="str">
        <f t="shared" si="10"/>
        <v>High</v>
      </c>
      <c r="AA344" s="5" t="s">
        <v>1302</v>
      </c>
      <c r="AB344" s="6" t="s">
        <v>1355</v>
      </c>
      <c r="AC344" s="6" t="s">
        <v>135</v>
      </c>
      <c r="AD344" s="5" t="s">
        <v>2278</v>
      </c>
      <c r="AE344" s="5" t="s">
        <v>1720</v>
      </c>
      <c r="AF344" s="5" t="s">
        <v>1720</v>
      </c>
      <c r="AG344" s="5" t="s">
        <v>1720</v>
      </c>
      <c r="AH344" s="5" t="s">
        <v>1720</v>
      </c>
      <c r="AI344" s="6" t="str">
        <f t="shared" si="11"/>
        <v>No</v>
      </c>
      <c r="AJ344" s="6" t="s">
        <v>2298</v>
      </c>
      <c r="AK344" s="6" t="s">
        <v>162</v>
      </c>
      <c r="AL344" s="6">
        <f>MATCH(AA344,{"Low","Medium","High"},0)*MATCH(AB344,{"Low","Medium","High"},0)*INDEX({3,2,2,1,1},MATCH(X344,{"Core","Vertical extension","Differentiator","Future","Adjacent"},0))</f>
        <v>9</v>
      </c>
      <c r="AM344" s="5"/>
      <c r="AN344" s="5"/>
      <c r="AO344" s="5"/>
      <c r="AP344" s="5"/>
      <c r="AQ344" s="5"/>
      <c r="AR344" s="5"/>
      <c r="AS344" s="5"/>
      <c r="AT344" s="5"/>
      <c r="AU344" s="6" t="s">
        <v>2317</v>
      </c>
      <c r="AV344" s="6" t="s">
        <v>76</v>
      </c>
      <c r="AW344" s="6" t="s">
        <v>76</v>
      </c>
      <c r="AX344" s="6" t="s">
        <v>2374</v>
      </c>
      <c r="AY344" s="6" t="s">
        <v>2285</v>
      </c>
      <c r="AZ344" s="6"/>
      <c r="BA344" s="6"/>
      <c r="BB344" s="6"/>
      <c r="BC344" s="6" t="s">
        <v>127</v>
      </c>
      <c r="BD344" s="6" t="s">
        <v>127</v>
      </c>
      <c r="BE344" s="6" t="s">
        <v>1477</v>
      </c>
      <c r="BF344" s="6" t="s">
        <v>2286</v>
      </c>
      <c r="BG344" s="6" t="s">
        <v>5096</v>
      </c>
      <c r="BH344" s="6" t="s">
        <v>5097</v>
      </c>
    </row>
    <row r="345" spans="1:60" ht="32" customHeight="1" x14ac:dyDescent="0.35">
      <c r="A345" s="13" t="s">
        <v>5098</v>
      </c>
      <c r="B345" s="6" t="s">
        <v>3901</v>
      </c>
      <c r="C345" s="5" t="s">
        <v>1652</v>
      </c>
      <c r="D345" s="5" t="s">
        <v>2195</v>
      </c>
      <c r="E345" s="5" t="s">
        <v>5099</v>
      </c>
      <c r="F345" s="5" t="s">
        <v>5100</v>
      </c>
      <c r="G345" s="5" t="s">
        <v>3478</v>
      </c>
      <c r="H345" s="5" t="s">
        <v>5101</v>
      </c>
      <c r="I345" s="5" t="s">
        <v>5102</v>
      </c>
      <c r="J345" s="17" t="s">
        <v>162</v>
      </c>
      <c r="K345" s="17" t="s">
        <v>1477</v>
      </c>
      <c r="L345" s="5" t="s">
        <v>5103</v>
      </c>
      <c r="M345" s="6" t="s">
        <v>1493</v>
      </c>
      <c r="N345" s="6" t="s">
        <v>2170</v>
      </c>
      <c r="O345" s="6" t="s">
        <v>162</v>
      </c>
      <c r="P345" s="5" t="s">
        <v>2272</v>
      </c>
      <c r="Q345" s="17" t="s">
        <v>2273</v>
      </c>
      <c r="R345" s="5" t="s">
        <v>5104</v>
      </c>
      <c r="S345" s="6" t="s">
        <v>2295</v>
      </c>
      <c r="T345" s="5" t="s">
        <v>2296</v>
      </c>
      <c r="U345" s="6"/>
      <c r="V345" s="6" t="s">
        <v>2297</v>
      </c>
      <c r="W345" s="6" t="s">
        <v>1697</v>
      </c>
      <c r="X345" s="5" t="s">
        <v>228</v>
      </c>
      <c r="Y345" s="5" t="s">
        <v>2170</v>
      </c>
      <c r="Z345" s="5" t="str">
        <f t="shared" si="10"/>
        <v>High</v>
      </c>
      <c r="AA345" s="5" t="s">
        <v>1302</v>
      </c>
      <c r="AB345" s="6" t="s">
        <v>1355</v>
      </c>
      <c r="AC345" s="6" t="s">
        <v>135</v>
      </c>
      <c r="AD345" s="5" t="s">
        <v>2278</v>
      </c>
      <c r="AE345" s="5" t="s">
        <v>1720</v>
      </c>
      <c r="AF345" s="5" t="s">
        <v>1720</v>
      </c>
      <c r="AG345" s="5" t="s">
        <v>1720</v>
      </c>
      <c r="AH345" s="5" t="s">
        <v>1720</v>
      </c>
      <c r="AI345" s="6" t="str">
        <f t="shared" si="11"/>
        <v>No</v>
      </c>
      <c r="AJ345" s="6" t="s">
        <v>2298</v>
      </c>
      <c r="AK345" s="6" t="s">
        <v>162</v>
      </c>
      <c r="AL345" s="6">
        <f>MATCH(AA345,{"Low","Medium","High"},0)*MATCH(AB345,{"Low","Medium","High"},0)*INDEX({3,2,2,1,1},MATCH(X345,{"Core","Vertical extension","Differentiator","Future","Adjacent"},0))</f>
        <v>9</v>
      </c>
      <c r="AM345" s="5"/>
      <c r="AN345" s="5"/>
      <c r="AO345" s="5"/>
      <c r="AP345" s="5"/>
      <c r="AQ345" s="5"/>
      <c r="AR345" s="5"/>
      <c r="AS345" s="5"/>
      <c r="AT345" s="5"/>
      <c r="AU345" s="6" t="s">
        <v>2317</v>
      </c>
      <c r="AV345" s="6" t="s">
        <v>3968</v>
      </c>
      <c r="AW345" s="6" t="s">
        <v>3968</v>
      </c>
      <c r="AX345" s="6" t="s">
        <v>2284</v>
      </c>
      <c r="AY345" s="6" t="s">
        <v>2285</v>
      </c>
      <c r="AZ345" s="6"/>
      <c r="BA345" s="6"/>
      <c r="BB345" s="6"/>
      <c r="BC345" s="6" t="s">
        <v>127</v>
      </c>
      <c r="BD345" s="6" t="s">
        <v>127</v>
      </c>
      <c r="BE345" s="6" t="s">
        <v>1477</v>
      </c>
      <c r="BF345" s="6" t="s">
        <v>2286</v>
      </c>
      <c r="BG345" s="6" t="s">
        <v>5105</v>
      </c>
      <c r="BH345" s="6" t="s">
        <v>5106</v>
      </c>
    </row>
    <row r="346" spans="1:60" ht="32" customHeight="1" x14ac:dyDescent="0.35">
      <c r="A346" s="13" t="s">
        <v>5107</v>
      </c>
      <c r="B346" s="6" t="s">
        <v>3901</v>
      </c>
      <c r="C346" s="5" t="s">
        <v>1652</v>
      </c>
      <c r="D346" s="5" t="s">
        <v>2195</v>
      </c>
      <c r="E346" s="5" t="s">
        <v>5108</v>
      </c>
      <c r="F346" s="5" t="s">
        <v>4071</v>
      </c>
      <c r="G346" s="5" t="s">
        <v>2396</v>
      </c>
      <c r="H346" s="5" t="s">
        <v>5109</v>
      </c>
      <c r="I346" s="5" t="s">
        <v>5110</v>
      </c>
      <c r="J346" s="17" t="s">
        <v>162</v>
      </c>
      <c r="K346" s="17" t="s">
        <v>1477</v>
      </c>
      <c r="L346" s="5" t="s">
        <v>5111</v>
      </c>
      <c r="M346" s="6" t="s">
        <v>1493</v>
      </c>
      <c r="N346" s="6" t="s">
        <v>2170</v>
      </c>
      <c r="O346" s="6" t="s">
        <v>162</v>
      </c>
      <c r="P346" s="5" t="s">
        <v>2272</v>
      </c>
      <c r="Q346" s="18" t="s">
        <v>1482</v>
      </c>
      <c r="R346" s="5" t="s">
        <v>4007</v>
      </c>
      <c r="S346" s="6" t="s">
        <v>2295</v>
      </c>
      <c r="T346" s="5" t="s">
        <v>2296</v>
      </c>
      <c r="U346" s="6"/>
      <c r="V346" s="6" t="s">
        <v>2297</v>
      </c>
      <c r="W346" s="6" t="s">
        <v>1697</v>
      </c>
      <c r="X346" s="5" t="s">
        <v>228</v>
      </c>
      <c r="Y346" s="5" t="s">
        <v>2170</v>
      </c>
      <c r="Z346" s="5" t="str">
        <f t="shared" si="10"/>
        <v>High</v>
      </c>
      <c r="AA346" s="5" t="s">
        <v>1302</v>
      </c>
      <c r="AB346" s="6" t="s">
        <v>1355</v>
      </c>
      <c r="AC346" s="6" t="s">
        <v>135</v>
      </c>
      <c r="AD346" s="5" t="s">
        <v>2278</v>
      </c>
      <c r="AE346" s="5" t="s">
        <v>1720</v>
      </c>
      <c r="AF346" s="5" t="s">
        <v>1720</v>
      </c>
      <c r="AG346" s="5" t="s">
        <v>1720</v>
      </c>
      <c r="AH346" s="5" t="s">
        <v>1720</v>
      </c>
      <c r="AI346" s="6" t="str">
        <f t="shared" si="11"/>
        <v>No</v>
      </c>
      <c r="AJ346" s="6" t="s">
        <v>2298</v>
      </c>
      <c r="AK346" s="6" t="s">
        <v>162</v>
      </c>
      <c r="AL346" s="6">
        <f>MATCH(AA346,{"Low","Medium","High"},0)*MATCH(AB346,{"Low","Medium","High"},0)*INDEX({3,2,2,1,1},MATCH(X346,{"Core","Vertical extension","Differentiator","Future","Adjacent"},0))</f>
        <v>9</v>
      </c>
      <c r="AM346" s="5"/>
      <c r="AN346" s="5"/>
      <c r="AO346" s="5"/>
      <c r="AP346" s="5"/>
      <c r="AQ346" s="5"/>
      <c r="AR346" s="5"/>
      <c r="AS346" s="5"/>
      <c r="AT346" s="5"/>
      <c r="AU346" s="6" t="s">
        <v>2317</v>
      </c>
      <c r="AV346" s="6" t="s">
        <v>76</v>
      </c>
      <c r="AW346" s="6" t="s">
        <v>76</v>
      </c>
      <c r="AX346" s="6" t="s">
        <v>2284</v>
      </c>
      <c r="AY346" s="6" t="s">
        <v>2285</v>
      </c>
      <c r="AZ346" s="6"/>
      <c r="BA346" s="6" t="s">
        <v>4008</v>
      </c>
      <c r="BB346" s="6" t="s">
        <v>4009</v>
      </c>
      <c r="BC346" s="6" t="s">
        <v>127</v>
      </c>
      <c r="BD346" s="6" t="s">
        <v>127</v>
      </c>
      <c r="BE346" s="6"/>
      <c r="BF346" s="6"/>
      <c r="BG346" s="6"/>
      <c r="BH346" s="6"/>
    </row>
    <row r="347" spans="1:60" ht="32" customHeight="1" x14ac:dyDescent="0.35">
      <c r="A347" s="13" t="s">
        <v>5112</v>
      </c>
      <c r="B347" s="6" t="s">
        <v>3901</v>
      </c>
      <c r="C347" s="5" t="s">
        <v>1652</v>
      </c>
      <c r="D347" s="5" t="s">
        <v>2195</v>
      </c>
      <c r="E347" s="5" t="s">
        <v>5113</v>
      </c>
      <c r="F347" s="5" t="s">
        <v>4071</v>
      </c>
      <c r="G347" s="5" t="s">
        <v>2396</v>
      </c>
      <c r="H347" s="5" t="s">
        <v>5114</v>
      </c>
      <c r="I347" s="5" t="s">
        <v>5115</v>
      </c>
      <c r="J347" s="17" t="s">
        <v>162</v>
      </c>
      <c r="K347" s="17" t="s">
        <v>1477</v>
      </c>
      <c r="L347" s="5" t="s">
        <v>5116</v>
      </c>
      <c r="M347" s="6" t="s">
        <v>1493</v>
      </c>
      <c r="N347" s="6" t="s">
        <v>2170</v>
      </c>
      <c r="O347" s="6" t="s">
        <v>162</v>
      </c>
      <c r="P347" s="5" t="s">
        <v>2272</v>
      </c>
      <c r="Q347" s="17" t="s">
        <v>2273</v>
      </c>
      <c r="R347" s="5" t="s">
        <v>5117</v>
      </c>
      <c r="S347" s="6" t="s">
        <v>2295</v>
      </c>
      <c r="T347" s="5" t="s">
        <v>2296</v>
      </c>
      <c r="U347" s="6"/>
      <c r="V347" s="6" t="s">
        <v>2297</v>
      </c>
      <c r="W347" s="6" t="s">
        <v>1697</v>
      </c>
      <c r="X347" s="5" t="s">
        <v>228</v>
      </c>
      <c r="Y347" s="5" t="s">
        <v>2170</v>
      </c>
      <c r="Z347" s="5" t="str">
        <f t="shared" si="10"/>
        <v>High</v>
      </c>
      <c r="AA347" s="5" t="s">
        <v>1302</v>
      </c>
      <c r="AB347" s="6" t="s">
        <v>1355</v>
      </c>
      <c r="AC347" s="6" t="s">
        <v>135</v>
      </c>
      <c r="AD347" s="5" t="s">
        <v>2278</v>
      </c>
      <c r="AE347" s="5" t="s">
        <v>1720</v>
      </c>
      <c r="AF347" s="5" t="s">
        <v>1720</v>
      </c>
      <c r="AG347" s="5" t="s">
        <v>1720</v>
      </c>
      <c r="AH347" s="5" t="s">
        <v>1720</v>
      </c>
      <c r="AI347" s="6" t="str">
        <f t="shared" si="11"/>
        <v>No</v>
      </c>
      <c r="AJ347" s="6" t="s">
        <v>2298</v>
      </c>
      <c r="AK347" s="6" t="s">
        <v>162</v>
      </c>
      <c r="AL347" s="6">
        <f>MATCH(AA347,{"Low","Medium","High"},0)*MATCH(AB347,{"Low","Medium","High"},0)*INDEX({3,2,2,1,1},MATCH(X347,{"Core","Vertical extension","Differentiator","Future","Adjacent"},0))</f>
        <v>9</v>
      </c>
      <c r="AM347" s="5"/>
      <c r="AN347" s="5"/>
      <c r="AO347" s="5"/>
      <c r="AP347" s="5"/>
      <c r="AQ347" s="5"/>
      <c r="AR347" s="5"/>
      <c r="AS347" s="5"/>
      <c r="AT347" s="5"/>
      <c r="AU347" s="6" t="s">
        <v>2317</v>
      </c>
      <c r="AV347" s="6" t="s">
        <v>76</v>
      </c>
      <c r="AW347" s="6" t="s">
        <v>76</v>
      </c>
      <c r="AX347" s="6" t="s">
        <v>2284</v>
      </c>
      <c r="AY347" s="6" t="s">
        <v>2285</v>
      </c>
      <c r="AZ347" s="6"/>
      <c r="BA347" s="6"/>
      <c r="BB347" s="6"/>
      <c r="BC347" s="6" t="s">
        <v>127</v>
      </c>
      <c r="BD347" s="6" t="s">
        <v>127</v>
      </c>
      <c r="BE347" s="6" t="s">
        <v>1477</v>
      </c>
      <c r="BF347" s="6" t="s">
        <v>2286</v>
      </c>
      <c r="BG347" s="6" t="s">
        <v>5118</v>
      </c>
      <c r="BH347" s="6" t="s">
        <v>5119</v>
      </c>
    </row>
    <row r="348" spans="1:60" ht="32" customHeight="1" x14ac:dyDescent="0.35">
      <c r="A348" s="13" t="s">
        <v>5120</v>
      </c>
      <c r="B348" s="6" t="s">
        <v>3901</v>
      </c>
      <c r="C348" s="5" t="s">
        <v>1652</v>
      </c>
      <c r="D348" s="5" t="s">
        <v>2195</v>
      </c>
      <c r="E348" s="5" t="s">
        <v>5121</v>
      </c>
      <c r="F348" s="5" t="s">
        <v>5122</v>
      </c>
      <c r="G348" s="5" t="s">
        <v>4439</v>
      </c>
      <c r="H348" s="5" t="s">
        <v>5123</v>
      </c>
      <c r="I348" s="5" t="s">
        <v>5124</v>
      </c>
      <c r="J348" s="17" t="s">
        <v>162</v>
      </c>
      <c r="K348" s="17" t="s">
        <v>95</v>
      </c>
      <c r="L348" s="5" t="s">
        <v>5125</v>
      </c>
      <c r="M348" s="6" t="s">
        <v>1493</v>
      </c>
      <c r="N348" s="6" t="s">
        <v>2170</v>
      </c>
      <c r="O348" s="6" t="s">
        <v>162</v>
      </c>
      <c r="P348" s="5" t="s">
        <v>2272</v>
      </c>
      <c r="Q348" s="17" t="s">
        <v>163</v>
      </c>
      <c r="R348" s="5" t="s">
        <v>5126</v>
      </c>
      <c r="S348" s="6" t="s">
        <v>2295</v>
      </c>
      <c r="T348" s="5" t="s">
        <v>2296</v>
      </c>
      <c r="U348" s="6"/>
      <c r="V348" s="6" t="s">
        <v>2297</v>
      </c>
      <c r="W348" s="6" t="s">
        <v>1697</v>
      </c>
      <c r="X348" s="5" t="s">
        <v>228</v>
      </c>
      <c r="Y348" s="5" t="s">
        <v>2170</v>
      </c>
      <c r="Z348" s="5" t="str">
        <f t="shared" si="10"/>
        <v>High</v>
      </c>
      <c r="AA348" s="5" t="s">
        <v>1302</v>
      </c>
      <c r="AB348" s="6" t="s">
        <v>1355</v>
      </c>
      <c r="AC348" s="6" t="s">
        <v>135</v>
      </c>
      <c r="AD348" s="5" t="s">
        <v>1805</v>
      </c>
      <c r="AE348" s="5" t="s">
        <v>1720</v>
      </c>
      <c r="AF348" s="5" t="s">
        <v>1720</v>
      </c>
      <c r="AG348" s="5" t="s">
        <v>1720</v>
      </c>
      <c r="AH348" s="5" t="s">
        <v>1720</v>
      </c>
      <c r="AI348" s="6" t="str">
        <f t="shared" si="11"/>
        <v>No</v>
      </c>
      <c r="AJ348" s="6" t="s">
        <v>229</v>
      </c>
      <c r="AK348" s="6" t="s">
        <v>162</v>
      </c>
      <c r="AL348" s="6">
        <f>MATCH(AA348,{"Low","Medium","High"},0)*MATCH(AB348,{"Low","Medium","High"},0)*INDEX({3,2,2,1,1},MATCH(X348,{"Core","Vertical extension","Differentiator","Future","Adjacent"},0))</f>
        <v>9</v>
      </c>
      <c r="AM348" s="5"/>
      <c r="AN348" s="5"/>
      <c r="AO348" s="5"/>
      <c r="AP348" s="5"/>
      <c r="AQ348" s="5"/>
      <c r="AR348" s="5"/>
      <c r="AS348" s="5"/>
      <c r="AT348" s="5"/>
      <c r="AU348" s="6" t="s">
        <v>2317</v>
      </c>
      <c r="AV348" s="6" t="s">
        <v>2813</v>
      </c>
      <c r="AW348" s="6" t="s">
        <v>2813</v>
      </c>
      <c r="AX348" s="6" t="s">
        <v>2284</v>
      </c>
      <c r="AY348" s="6" t="s">
        <v>2285</v>
      </c>
      <c r="AZ348" s="6"/>
      <c r="BA348" s="6"/>
      <c r="BB348" s="6"/>
      <c r="BC348" s="6" t="s">
        <v>127</v>
      </c>
      <c r="BD348" s="6" t="s">
        <v>127</v>
      </c>
      <c r="BE348" s="6" t="s">
        <v>1477</v>
      </c>
      <c r="BF348" s="6" t="s">
        <v>288</v>
      </c>
      <c r="BG348" s="6" t="s">
        <v>5127</v>
      </c>
      <c r="BH348" s="6" t="s">
        <v>5128</v>
      </c>
    </row>
    <row r="349" spans="1:60" ht="32" customHeight="1" x14ac:dyDescent="0.35">
      <c r="A349" s="13" t="s">
        <v>5129</v>
      </c>
      <c r="B349" s="6" t="s">
        <v>3901</v>
      </c>
      <c r="C349" s="5" t="s">
        <v>1652</v>
      </c>
      <c r="D349" s="5" t="s">
        <v>2195</v>
      </c>
      <c r="E349" s="5" t="s">
        <v>5130</v>
      </c>
      <c r="F349" s="5" t="s">
        <v>5131</v>
      </c>
      <c r="G349" s="5" t="s">
        <v>1822</v>
      </c>
      <c r="H349" s="5" t="s">
        <v>5132</v>
      </c>
      <c r="I349" s="5" t="s">
        <v>5133</v>
      </c>
      <c r="J349" s="17" t="s">
        <v>162</v>
      </c>
      <c r="K349" s="17" t="s">
        <v>163</v>
      </c>
      <c r="L349" s="5" t="s">
        <v>5134</v>
      </c>
      <c r="M349" s="6" t="s">
        <v>1493</v>
      </c>
      <c r="N349" s="6" t="s">
        <v>2170</v>
      </c>
      <c r="O349" s="6" t="s">
        <v>162</v>
      </c>
      <c r="P349" s="5" t="s">
        <v>2272</v>
      </c>
      <c r="Q349" s="17" t="s">
        <v>163</v>
      </c>
      <c r="R349" s="5" t="s">
        <v>5135</v>
      </c>
      <c r="S349" s="6" t="s">
        <v>2295</v>
      </c>
      <c r="T349" s="5" t="s">
        <v>2296</v>
      </c>
      <c r="U349" s="6"/>
      <c r="V349" s="6" t="s">
        <v>2297</v>
      </c>
      <c r="W349" s="6" t="s">
        <v>1697</v>
      </c>
      <c r="X349" s="5" t="s">
        <v>228</v>
      </c>
      <c r="Y349" s="5" t="s">
        <v>2170</v>
      </c>
      <c r="Z349" s="5" t="str">
        <f t="shared" si="10"/>
        <v>High</v>
      </c>
      <c r="AA349" s="5" t="s">
        <v>1302</v>
      </c>
      <c r="AB349" s="6" t="s">
        <v>1355</v>
      </c>
      <c r="AC349" s="6" t="s">
        <v>135</v>
      </c>
      <c r="AD349" s="5" t="s">
        <v>1805</v>
      </c>
      <c r="AE349" s="5" t="s">
        <v>1720</v>
      </c>
      <c r="AF349" s="5" t="s">
        <v>1720</v>
      </c>
      <c r="AG349" s="5" t="s">
        <v>1720</v>
      </c>
      <c r="AH349" s="5" t="s">
        <v>1720</v>
      </c>
      <c r="AI349" s="6" t="str">
        <f t="shared" si="11"/>
        <v>No</v>
      </c>
      <c r="AJ349" s="6" t="s">
        <v>287</v>
      </c>
      <c r="AK349" s="6" t="s">
        <v>162</v>
      </c>
      <c r="AL349" s="6">
        <f>MATCH(AA349,{"Low","Medium","High"},0)*MATCH(AB349,{"Low","Medium","High"},0)*INDEX({3,2,2,1,1},MATCH(X349,{"Core","Vertical extension","Differentiator","Future","Adjacent"},0))</f>
        <v>9</v>
      </c>
      <c r="AM349" s="5"/>
      <c r="AN349" s="5"/>
      <c r="AO349" s="5"/>
      <c r="AP349" s="5"/>
      <c r="AQ349" s="5"/>
      <c r="AR349" s="5"/>
      <c r="AS349" s="5"/>
      <c r="AT349" s="5"/>
      <c r="AU349" s="6" t="s">
        <v>2317</v>
      </c>
      <c r="AV349" s="6" t="s">
        <v>2813</v>
      </c>
      <c r="AW349" s="6" t="s">
        <v>2813</v>
      </c>
      <c r="AX349" s="6" t="s">
        <v>2284</v>
      </c>
      <c r="AY349" s="6" t="s">
        <v>2285</v>
      </c>
      <c r="AZ349" s="6"/>
      <c r="BA349" s="6"/>
      <c r="BB349" s="6"/>
      <c r="BC349" s="6" t="s">
        <v>127</v>
      </c>
      <c r="BD349" s="6" t="s">
        <v>127</v>
      </c>
      <c r="BE349" s="6" t="s">
        <v>1477</v>
      </c>
      <c r="BF349" s="6" t="s">
        <v>288</v>
      </c>
      <c r="BG349" s="6" t="s">
        <v>5136</v>
      </c>
      <c r="BH349" s="6" t="s">
        <v>5137</v>
      </c>
    </row>
    <row r="350" spans="1:60" ht="32" customHeight="1" x14ac:dyDescent="0.35">
      <c r="A350" s="13" t="s">
        <v>5138</v>
      </c>
      <c r="B350" s="6" t="s">
        <v>3901</v>
      </c>
      <c r="C350" s="5" t="s">
        <v>1652</v>
      </c>
      <c r="D350" s="5" t="s">
        <v>2195</v>
      </c>
      <c r="E350" s="5" t="s">
        <v>5139</v>
      </c>
      <c r="F350" s="5" t="s">
        <v>2973</v>
      </c>
      <c r="G350" s="5" t="s">
        <v>5140</v>
      </c>
      <c r="H350" s="5" t="s">
        <v>5141</v>
      </c>
      <c r="I350" s="5" t="s">
        <v>5142</v>
      </c>
      <c r="J350" s="17" t="s">
        <v>162</v>
      </c>
      <c r="K350" s="17" t="s">
        <v>1477</v>
      </c>
      <c r="L350" s="5" t="s">
        <v>5143</v>
      </c>
      <c r="M350" s="6" t="s">
        <v>1493</v>
      </c>
      <c r="N350" s="6" t="s">
        <v>2170</v>
      </c>
      <c r="O350" s="6" t="s">
        <v>162</v>
      </c>
      <c r="P350" s="5" t="s">
        <v>2272</v>
      </c>
      <c r="Q350" s="17" t="s">
        <v>2273</v>
      </c>
      <c r="R350" s="5" t="s">
        <v>5144</v>
      </c>
      <c r="S350" s="6" t="s">
        <v>2295</v>
      </c>
      <c r="T350" s="5" t="s">
        <v>2296</v>
      </c>
      <c r="U350" s="6"/>
      <c r="V350" s="6" t="s">
        <v>2297</v>
      </c>
      <c r="W350" s="6" t="s">
        <v>1697</v>
      </c>
      <c r="X350" s="5" t="s">
        <v>228</v>
      </c>
      <c r="Y350" s="5" t="s">
        <v>2170</v>
      </c>
      <c r="Z350" s="5" t="str">
        <f t="shared" si="10"/>
        <v>High</v>
      </c>
      <c r="AA350" s="5" t="s">
        <v>1302</v>
      </c>
      <c r="AB350" s="6" t="s">
        <v>1355</v>
      </c>
      <c r="AC350" s="6" t="s">
        <v>135</v>
      </c>
      <c r="AD350" s="5" t="s">
        <v>2278</v>
      </c>
      <c r="AE350" s="5" t="s">
        <v>1720</v>
      </c>
      <c r="AF350" s="5" t="s">
        <v>1720</v>
      </c>
      <c r="AG350" s="5" t="s">
        <v>1720</v>
      </c>
      <c r="AH350" s="5" t="s">
        <v>1720</v>
      </c>
      <c r="AI350" s="6" t="str">
        <f t="shared" si="11"/>
        <v>No</v>
      </c>
      <c r="AJ350" s="6" t="s">
        <v>2298</v>
      </c>
      <c r="AK350" s="6" t="s">
        <v>162</v>
      </c>
      <c r="AL350" s="6">
        <f>MATCH(AA350,{"Low","Medium","High"},0)*MATCH(AB350,{"Low","Medium","High"},0)*INDEX({3,2,2,1,1},MATCH(X350,{"Core","Vertical extension","Differentiator","Future","Adjacent"},0))</f>
        <v>9</v>
      </c>
      <c r="AM350" s="5"/>
      <c r="AN350" s="5"/>
      <c r="AO350" s="5"/>
      <c r="AP350" s="5"/>
      <c r="AQ350" s="5"/>
      <c r="AR350" s="5"/>
      <c r="AS350" s="5"/>
      <c r="AT350" s="5"/>
      <c r="AU350" s="6" t="s">
        <v>2317</v>
      </c>
      <c r="AV350" s="6" t="s">
        <v>76</v>
      </c>
      <c r="AW350" s="6" t="s">
        <v>76</v>
      </c>
      <c r="AX350" s="6" t="s">
        <v>2284</v>
      </c>
      <c r="AY350" s="6" t="s">
        <v>2285</v>
      </c>
      <c r="AZ350" s="6"/>
      <c r="BA350" s="6"/>
      <c r="BB350" s="6"/>
      <c r="BC350" s="6" t="s">
        <v>127</v>
      </c>
      <c r="BD350" s="6" t="s">
        <v>127</v>
      </c>
      <c r="BE350" s="6" t="s">
        <v>1477</v>
      </c>
      <c r="BF350" s="6" t="s">
        <v>2286</v>
      </c>
      <c r="BG350" s="6" t="s">
        <v>5145</v>
      </c>
      <c r="BH350" s="6" t="s">
        <v>5146</v>
      </c>
    </row>
    <row r="351" spans="1:60" ht="32" customHeight="1" x14ac:dyDescent="0.35">
      <c r="A351" s="13" t="s">
        <v>5147</v>
      </c>
      <c r="B351" s="6" t="s">
        <v>3901</v>
      </c>
      <c r="C351" s="5" t="s">
        <v>1652</v>
      </c>
      <c r="D351" s="5" t="s">
        <v>2195</v>
      </c>
      <c r="E351" s="5" t="s">
        <v>5148</v>
      </c>
      <c r="F351" s="5" t="s">
        <v>2973</v>
      </c>
      <c r="G351" s="5" t="s">
        <v>2983</v>
      </c>
      <c r="H351" s="5" t="s">
        <v>5149</v>
      </c>
      <c r="I351" s="5" t="s">
        <v>5150</v>
      </c>
      <c r="J351" s="17" t="s">
        <v>162</v>
      </c>
      <c r="K351" s="17" t="s">
        <v>95</v>
      </c>
      <c r="L351" s="5" t="s">
        <v>5151</v>
      </c>
      <c r="M351" s="6" t="s">
        <v>1493</v>
      </c>
      <c r="N351" s="6" t="s">
        <v>2170</v>
      </c>
      <c r="O351" s="6" t="s">
        <v>162</v>
      </c>
      <c r="P351" s="5" t="s">
        <v>2272</v>
      </c>
      <c r="Q351" s="17" t="s">
        <v>95</v>
      </c>
      <c r="R351" s="5" t="s">
        <v>5152</v>
      </c>
      <c r="S351" s="6" t="s">
        <v>2295</v>
      </c>
      <c r="T351" s="5" t="s">
        <v>2296</v>
      </c>
      <c r="U351" s="6"/>
      <c r="V351" s="6" t="s">
        <v>2297</v>
      </c>
      <c r="W351" s="6" t="s">
        <v>1697</v>
      </c>
      <c r="X351" s="5" t="s">
        <v>228</v>
      </c>
      <c r="Y351" s="5" t="s">
        <v>2170</v>
      </c>
      <c r="Z351" s="5" t="str">
        <f t="shared" si="10"/>
        <v>High</v>
      </c>
      <c r="AA351" s="5" t="s">
        <v>1302</v>
      </c>
      <c r="AB351" s="6" t="s">
        <v>1355</v>
      </c>
      <c r="AC351" s="6" t="s">
        <v>135</v>
      </c>
      <c r="AD351" s="5" t="s">
        <v>95</v>
      </c>
      <c r="AE351" s="5" t="s">
        <v>1720</v>
      </c>
      <c r="AF351" s="5" t="s">
        <v>1720</v>
      </c>
      <c r="AG351" s="5" t="s">
        <v>1720</v>
      </c>
      <c r="AH351" s="5" t="s">
        <v>1720</v>
      </c>
      <c r="AI351" s="6" t="str">
        <f t="shared" si="11"/>
        <v>No</v>
      </c>
      <c r="AJ351" s="6" t="s">
        <v>229</v>
      </c>
      <c r="AK351" s="6" t="s">
        <v>162</v>
      </c>
      <c r="AL351" s="6">
        <f>MATCH(AA351,{"Low","Medium","High"},0)*MATCH(AB351,{"Low","Medium","High"},0)*INDEX({3,2,2,1,1},MATCH(X351,{"Core","Vertical extension","Differentiator","Future","Adjacent"},0))</f>
        <v>9</v>
      </c>
      <c r="AM351" s="5"/>
      <c r="AN351" s="5"/>
      <c r="AO351" s="5"/>
      <c r="AP351" s="5"/>
      <c r="AQ351" s="5"/>
      <c r="AR351" s="5"/>
      <c r="AS351" s="5"/>
      <c r="AT351" s="5"/>
      <c r="AU351" s="6" t="s">
        <v>2317</v>
      </c>
      <c r="AV351" s="6" t="s">
        <v>76</v>
      </c>
      <c r="AW351" s="6" t="s">
        <v>76</v>
      </c>
      <c r="AX351" s="6" t="s">
        <v>2284</v>
      </c>
      <c r="AY351" s="6" t="s">
        <v>2285</v>
      </c>
      <c r="AZ351" s="6"/>
      <c r="BA351" s="6"/>
      <c r="BB351" s="6"/>
      <c r="BC351" s="6" t="s">
        <v>127</v>
      </c>
      <c r="BD351" s="6" t="s">
        <v>127</v>
      </c>
      <c r="BE351" s="6" t="s">
        <v>1477</v>
      </c>
      <c r="BF351" s="6" t="s">
        <v>95</v>
      </c>
      <c r="BG351" s="6" t="s">
        <v>5153</v>
      </c>
      <c r="BH351" s="6" t="s">
        <v>5154</v>
      </c>
    </row>
    <row r="352" spans="1:60" ht="32" customHeight="1" x14ac:dyDescent="0.35">
      <c r="A352" s="13" t="s">
        <v>5155</v>
      </c>
      <c r="B352" s="6" t="s">
        <v>3901</v>
      </c>
      <c r="C352" s="5" t="s">
        <v>1652</v>
      </c>
      <c r="D352" s="5" t="s">
        <v>2195</v>
      </c>
      <c r="E352" s="5" t="s">
        <v>5156</v>
      </c>
      <c r="F352" s="5" t="s">
        <v>2189</v>
      </c>
      <c r="G352" s="5" t="s">
        <v>2813</v>
      </c>
      <c r="H352" s="5" t="s">
        <v>5157</v>
      </c>
      <c r="I352" s="5" t="s">
        <v>5158</v>
      </c>
      <c r="J352" s="17" t="s">
        <v>162</v>
      </c>
      <c r="K352" s="17" t="s">
        <v>1477</v>
      </c>
      <c r="L352" s="5" t="s">
        <v>5159</v>
      </c>
      <c r="M352" s="6" t="s">
        <v>1493</v>
      </c>
      <c r="N352" s="6" t="s">
        <v>2170</v>
      </c>
      <c r="O352" s="6" t="s">
        <v>162</v>
      </c>
      <c r="P352" s="5" t="s">
        <v>2272</v>
      </c>
      <c r="Q352" s="17" t="s">
        <v>2273</v>
      </c>
      <c r="R352" s="5" t="s">
        <v>5160</v>
      </c>
      <c r="S352" s="6" t="s">
        <v>2295</v>
      </c>
      <c r="T352" s="5" t="s">
        <v>2296</v>
      </c>
      <c r="U352" s="6"/>
      <c r="V352" s="6" t="s">
        <v>2297</v>
      </c>
      <c r="W352" s="6" t="s">
        <v>1697</v>
      </c>
      <c r="X352" s="5" t="s">
        <v>228</v>
      </c>
      <c r="Y352" s="5" t="s">
        <v>2170</v>
      </c>
      <c r="Z352" s="5" t="str">
        <f t="shared" si="10"/>
        <v>High</v>
      </c>
      <c r="AA352" s="5" t="s">
        <v>1302</v>
      </c>
      <c r="AB352" s="6" t="s">
        <v>1355</v>
      </c>
      <c r="AC352" s="6" t="s">
        <v>135</v>
      </c>
      <c r="AD352" s="5" t="s">
        <v>2278</v>
      </c>
      <c r="AE352" s="5" t="s">
        <v>1720</v>
      </c>
      <c r="AF352" s="5" t="s">
        <v>1720</v>
      </c>
      <c r="AG352" s="5" t="s">
        <v>1720</v>
      </c>
      <c r="AH352" s="5" t="s">
        <v>1720</v>
      </c>
      <c r="AI352" s="6" t="str">
        <f t="shared" si="11"/>
        <v>No</v>
      </c>
      <c r="AJ352" s="6" t="s">
        <v>2298</v>
      </c>
      <c r="AK352" s="6" t="s">
        <v>162</v>
      </c>
      <c r="AL352" s="6">
        <f>MATCH(AA352,{"Low","Medium","High"},0)*MATCH(AB352,{"Low","Medium","High"},0)*INDEX({3,2,2,1,1},MATCH(X352,{"Core","Vertical extension","Differentiator","Future","Adjacent"},0))</f>
        <v>9</v>
      </c>
      <c r="AM352" s="5"/>
      <c r="AN352" s="5"/>
      <c r="AO352" s="5"/>
      <c r="AP352" s="5"/>
      <c r="AQ352" s="5"/>
      <c r="AR352" s="5"/>
      <c r="AS352" s="5"/>
      <c r="AT352" s="5"/>
      <c r="AU352" s="6" t="s">
        <v>2317</v>
      </c>
      <c r="AV352" s="6" t="s">
        <v>3968</v>
      </c>
      <c r="AW352" s="6" t="s">
        <v>3968</v>
      </c>
      <c r="AX352" s="6" t="s">
        <v>2284</v>
      </c>
      <c r="AY352" s="6" t="s">
        <v>2285</v>
      </c>
      <c r="AZ352" s="6"/>
      <c r="BA352" s="6"/>
      <c r="BB352" s="6"/>
      <c r="BC352" s="6" t="s">
        <v>127</v>
      </c>
      <c r="BD352" s="6" t="s">
        <v>127</v>
      </c>
      <c r="BE352" s="6" t="s">
        <v>1477</v>
      </c>
      <c r="BF352" s="6" t="s">
        <v>2286</v>
      </c>
      <c r="BG352" s="6" t="s">
        <v>5161</v>
      </c>
      <c r="BH352" s="6" t="s">
        <v>5162</v>
      </c>
    </row>
    <row r="353" spans="1:60" ht="32" customHeight="1" x14ac:dyDescent="0.35">
      <c r="A353" s="13" t="s">
        <v>5163</v>
      </c>
      <c r="B353" s="6" t="s">
        <v>3901</v>
      </c>
      <c r="C353" s="5" t="s">
        <v>1652</v>
      </c>
      <c r="D353" s="5" t="s">
        <v>2195</v>
      </c>
      <c r="E353" s="5" t="s">
        <v>5164</v>
      </c>
      <c r="F353" s="5" t="s">
        <v>2189</v>
      </c>
      <c r="G353" s="5" t="s">
        <v>2813</v>
      </c>
      <c r="H353" s="5" t="s">
        <v>5165</v>
      </c>
      <c r="I353" s="5" t="s">
        <v>5166</v>
      </c>
      <c r="J353" s="17" t="s">
        <v>162</v>
      </c>
      <c r="K353" s="17" t="s">
        <v>1477</v>
      </c>
      <c r="L353" s="5" t="s">
        <v>5167</v>
      </c>
      <c r="M353" s="6" t="s">
        <v>1493</v>
      </c>
      <c r="N353" s="6" t="s">
        <v>2170</v>
      </c>
      <c r="O353" s="6" t="s">
        <v>162</v>
      </c>
      <c r="P353" s="5" t="s">
        <v>2272</v>
      </c>
      <c r="Q353" s="17" t="s">
        <v>2273</v>
      </c>
      <c r="R353" s="5" t="s">
        <v>5168</v>
      </c>
      <c r="S353" s="6" t="s">
        <v>2295</v>
      </c>
      <c r="T353" s="5" t="s">
        <v>2296</v>
      </c>
      <c r="U353" s="6"/>
      <c r="V353" s="6" t="s">
        <v>2297</v>
      </c>
      <c r="W353" s="6" t="s">
        <v>1697</v>
      </c>
      <c r="X353" s="5" t="s">
        <v>228</v>
      </c>
      <c r="Y353" s="5" t="s">
        <v>2170</v>
      </c>
      <c r="Z353" s="5" t="str">
        <f t="shared" si="10"/>
        <v>High</v>
      </c>
      <c r="AA353" s="5" t="s">
        <v>1302</v>
      </c>
      <c r="AB353" s="6" t="s">
        <v>1355</v>
      </c>
      <c r="AC353" s="6" t="s">
        <v>135</v>
      </c>
      <c r="AD353" s="5" t="s">
        <v>2278</v>
      </c>
      <c r="AE353" s="5" t="s">
        <v>1720</v>
      </c>
      <c r="AF353" s="5" t="s">
        <v>1720</v>
      </c>
      <c r="AG353" s="5" t="s">
        <v>1720</v>
      </c>
      <c r="AH353" s="5" t="s">
        <v>1720</v>
      </c>
      <c r="AI353" s="6" t="str">
        <f t="shared" si="11"/>
        <v>No</v>
      </c>
      <c r="AJ353" s="6" t="s">
        <v>2298</v>
      </c>
      <c r="AK353" s="6" t="s">
        <v>162</v>
      </c>
      <c r="AL353" s="6">
        <f>MATCH(AA353,{"Low","Medium","High"},0)*MATCH(AB353,{"Low","Medium","High"},0)*INDEX({3,2,2,1,1},MATCH(X353,{"Core","Vertical extension","Differentiator","Future","Adjacent"},0))</f>
        <v>9</v>
      </c>
      <c r="AM353" s="5"/>
      <c r="AN353" s="5"/>
      <c r="AO353" s="5"/>
      <c r="AP353" s="5"/>
      <c r="AQ353" s="5"/>
      <c r="AR353" s="5"/>
      <c r="AS353" s="5"/>
      <c r="AT353" s="5"/>
      <c r="AU353" s="6" t="s">
        <v>2317</v>
      </c>
      <c r="AV353" s="6" t="s">
        <v>3968</v>
      </c>
      <c r="AW353" s="6" t="s">
        <v>3968</v>
      </c>
      <c r="AX353" s="6" t="s">
        <v>2284</v>
      </c>
      <c r="AY353" s="6" t="s">
        <v>2285</v>
      </c>
      <c r="AZ353" s="6"/>
      <c r="BA353" s="6"/>
      <c r="BB353" s="6"/>
      <c r="BC353" s="6" t="s">
        <v>127</v>
      </c>
      <c r="BD353" s="6" t="s">
        <v>127</v>
      </c>
      <c r="BE353" s="6" t="s">
        <v>1477</v>
      </c>
      <c r="BF353" s="6" t="s">
        <v>2286</v>
      </c>
      <c r="BG353" s="6" t="s">
        <v>5169</v>
      </c>
      <c r="BH353" s="6" t="s">
        <v>5170</v>
      </c>
    </row>
    <row r="354" spans="1:60" ht="32" customHeight="1" x14ac:dyDescent="0.35">
      <c r="A354" s="13" t="s">
        <v>5171</v>
      </c>
      <c r="B354" s="6" t="s">
        <v>3901</v>
      </c>
      <c r="C354" s="5" t="s">
        <v>1652</v>
      </c>
      <c r="D354" s="5" t="s">
        <v>2200</v>
      </c>
      <c r="E354" s="5" t="s">
        <v>5172</v>
      </c>
      <c r="F354" s="5" t="s">
        <v>5173</v>
      </c>
      <c r="G354" s="5" t="s">
        <v>2396</v>
      </c>
      <c r="H354" s="5" t="s">
        <v>5174</v>
      </c>
      <c r="I354" s="5" t="s">
        <v>5175</v>
      </c>
      <c r="J354" s="17" t="s">
        <v>162</v>
      </c>
      <c r="K354" s="17" t="s">
        <v>1477</v>
      </c>
      <c r="L354" s="5" t="s">
        <v>5176</v>
      </c>
      <c r="M354" s="6" t="s">
        <v>1493</v>
      </c>
      <c r="N354" s="6" t="s">
        <v>2170</v>
      </c>
      <c r="O354" s="6" t="s">
        <v>162</v>
      </c>
      <c r="P354" s="5" t="s">
        <v>2272</v>
      </c>
      <c r="Q354" s="17" t="s">
        <v>2273</v>
      </c>
      <c r="R354" s="5" t="s">
        <v>5177</v>
      </c>
      <c r="S354" s="6" t="s">
        <v>3423</v>
      </c>
      <c r="T354" s="5" t="s">
        <v>3424</v>
      </c>
      <c r="U354" s="6"/>
      <c r="V354" s="6" t="s">
        <v>3425</v>
      </c>
      <c r="W354" s="6" t="s">
        <v>1701</v>
      </c>
      <c r="X354" s="5" t="s">
        <v>228</v>
      </c>
      <c r="Y354" s="5" t="s">
        <v>2170</v>
      </c>
      <c r="Z354" s="5" t="str">
        <f t="shared" si="10"/>
        <v>Medium</v>
      </c>
      <c r="AA354" s="5" t="s">
        <v>1319</v>
      </c>
      <c r="AB354" s="6" t="s">
        <v>1355</v>
      </c>
      <c r="AC354" s="6" t="s">
        <v>32</v>
      </c>
      <c r="AD354" s="5" t="s">
        <v>2278</v>
      </c>
      <c r="AE354" s="5" t="s">
        <v>1720</v>
      </c>
      <c r="AF354" s="5" t="s">
        <v>1720</v>
      </c>
      <c r="AG354" s="5" t="s">
        <v>1720</v>
      </c>
      <c r="AH354" s="5" t="s">
        <v>1720</v>
      </c>
      <c r="AI354" s="6" t="str">
        <f t="shared" si="11"/>
        <v>No</v>
      </c>
      <c r="AJ354" s="6" t="s">
        <v>2298</v>
      </c>
      <c r="AK354" s="6" t="s">
        <v>204</v>
      </c>
      <c r="AL354" s="6">
        <f>MATCH(AA354,{"Low","Medium","High"},0)*MATCH(AB354,{"Low","Medium","High"},0)*INDEX({3,2,2,1,1},MATCH(X354,{"Core","Vertical extension","Differentiator","Future","Adjacent"},0))</f>
        <v>6</v>
      </c>
      <c r="AM354" s="5"/>
      <c r="AN354" s="5"/>
      <c r="AO354" s="5"/>
      <c r="AP354" s="5"/>
      <c r="AQ354" s="5"/>
      <c r="AR354" s="5"/>
      <c r="AS354" s="5"/>
      <c r="AT354" s="5"/>
      <c r="AU354" s="6" t="s">
        <v>2317</v>
      </c>
      <c r="AV354" s="6" t="s">
        <v>2283</v>
      </c>
      <c r="AW354" s="6" t="s">
        <v>2283</v>
      </c>
      <c r="AX354" s="6" t="s">
        <v>2284</v>
      </c>
      <c r="AY354" s="6" t="s">
        <v>2285</v>
      </c>
      <c r="AZ354" s="6"/>
      <c r="BA354" s="6"/>
      <c r="BB354" s="6"/>
      <c r="BC354" s="6" t="s">
        <v>127</v>
      </c>
      <c r="BD354" s="6" t="s">
        <v>127</v>
      </c>
      <c r="BE354" s="6" t="s">
        <v>1477</v>
      </c>
      <c r="BF354" s="6" t="s">
        <v>2286</v>
      </c>
      <c r="BG354" s="6" t="s">
        <v>5178</v>
      </c>
      <c r="BH354" s="6" t="s">
        <v>5179</v>
      </c>
    </row>
    <row r="355" spans="1:60" ht="32" customHeight="1" x14ac:dyDescent="0.35">
      <c r="A355" s="13" t="s">
        <v>5180</v>
      </c>
      <c r="B355" s="6" t="s">
        <v>3901</v>
      </c>
      <c r="C355" s="5" t="s">
        <v>1652</v>
      </c>
      <c r="D355" s="5" t="s">
        <v>2200</v>
      </c>
      <c r="E355" s="5" t="s">
        <v>5181</v>
      </c>
      <c r="F355" s="5" t="s">
        <v>5182</v>
      </c>
      <c r="G355" s="5" t="s">
        <v>2396</v>
      </c>
      <c r="H355" s="5" t="s">
        <v>5183</v>
      </c>
      <c r="I355" s="5" t="s">
        <v>5184</v>
      </c>
      <c r="J355" s="17" t="s">
        <v>162</v>
      </c>
      <c r="K355" s="17" t="s">
        <v>1477</v>
      </c>
      <c r="L355" s="5" t="s">
        <v>5185</v>
      </c>
      <c r="M355" s="6" t="s">
        <v>1493</v>
      </c>
      <c r="N355" s="6" t="s">
        <v>2170</v>
      </c>
      <c r="O355" s="6" t="s">
        <v>162</v>
      </c>
      <c r="P355" s="5" t="s">
        <v>2369</v>
      </c>
      <c r="Q355" s="17" t="s">
        <v>2273</v>
      </c>
      <c r="R355" s="5" t="s">
        <v>5186</v>
      </c>
      <c r="S355" s="6" t="s">
        <v>3423</v>
      </c>
      <c r="T355" s="5" t="s">
        <v>3424</v>
      </c>
      <c r="U355" s="6"/>
      <c r="V355" s="6" t="s">
        <v>3425</v>
      </c>
      <c r="W355" s="6" t="s">
        <v>1701</v>
      </c>
      <c r="X355" s="5" t="s">
        <v>228</v>
      </c>
      <c r="Y355" s="5" t="s">
        <v>2170</v>
      </c>
      <c r="Z355" s="5" t="str">
        <f t="shared" si="10"/>
        <v>Medium</v>
      </c>
      <c r="AA355" s="5" t="s">
        <v>1319</v>
      </c>
      <c r="AB355" s="6" t="s">
        <v>1355</v>
      </c>
      <c r="AC355" s="6" t="s">
        <v>32</v>
      </c>
      <c r="AD355" s="5" t="s">
        <v>2278</v>
      </c>
      <c r="AE355" s="5" t="s">
        <v>1720</v>
      </c>
      <c r="AF355" s="5" t="s">
        <v>1720</v>
      </c>
      <c r="AG355" s="5" t="s">
        <v>1720</v>
      </c>
      <c r="AH355" s="5" t="s">
        <v>1720</v>
      </c>
      <c r="AI355" s="6" t="str">
        <f t="shared" si="11"/>
        <v>No</v>
      </c>
      <c r="AJ355" s="6" t="s">
        <v>2298</v>
      </c>
      <c r="AK355" s="6" t="s">
        <v>204</v>
      </c>
      <c r="AL355" s="6">
        <f>MATCH(AA355,{"Low","Medium","High"},0)*MATCH(AB355,{"Low","Medium","High"},0)*INDEX({3,2,2,1,1},MATCH(X355,{"Core","Vertical extension","Differentiator","Future","Adjacent"},0))</f>
        <v>6</v>
      </c>
      <c r="AM355" s="5"/>
      <c r="AN355" s="5"/>
      <c r="AO355" s="5"/>
      <c r="AP355" s="5"/>
      <c r="AQ355" s="5"/>
      <c r="AR355" s="5"/>
      <c r="AS355" s="5"/>
      <c r="AT355" s="5"/>
      <c r="AU355" s="6" t="s">
        <v>2317</v>
      </c>
      <c r="AV355" s="6" t="s">
        <v>2898</v>
      </c>
      <c r="AW355" s="6" t="s">
        <v>2898</v>
      </c>
      <c r="AX355" s="6" t="s">
        <v>2374</v>
      </c>
      <c r="AY355" s="6" t="s">
        <v>2285</v>
      </c>
      <c r="AZ355" s="6"/>
      <c r="BA355" s="6"/>
      <c r="BB355" s="6"/>
      <c r="BC355" s="6" t="s">
        <v>127</v>
      </c>
      <c r="BD355" s="6" t="s">
        <v>127</v>
      </c>
      <c r="BE355" s="6" t="s">
        <v>1477</v>
      </c>
      <c r="BF355" s="6" t="s">
        <v>2286</v>
      </c>
      <c r="BG355" s="6" t="s">
        <v>5187</v>
      </c>
      <c r="BH355" s="6" t="s">
        <v>5188</v>
      </c>
    </row>
    <row r="356" spans="1:60" ht="32" customHeight="1" x14ac:dyDescent="0.35">
      <c r="A356" s="13" t="s">
        <v>5189</v>
      </c>
      <c r="B356" s="6" t="s">
        <v>3901</v>
      </c>
      <c r="C356" s="5" t="s">
        <v>1652</v>
      </c>
      <c r="D356" s="5" t="s">
        <v>2200</v>
      </c>
      <c r="E356" s="5" t="s">
        <v>5190</v>
      </c>
      <c r="F356" s="5" t="s">
        <v>5191</v>
      </c>
      <c r="G356" s="5" t="s">
        <v>5192</v>
      </c>
      <c r="H356" s="5" t="s">
        <v>5193</v>
      </c>
      <c r="I356" s="5" t="s">
        <v>5194</v>
      </c>
      <c r="J356" s="17" t="s">
        <v>162</v>
      </c>
      <c r="K356" s="17" t="s">
        <v>95</v>
      </c>
      <c r="L356" s="5" t="s">
        <v>5195</v>
      </c>
      <c r="M356" s="6" t="s">
        <v>1493</v>
      </c>
      <c r="N356" s="6" t="s">
        <v>2170</v>
      </c>
      <c r="O356" s="6" t="s">
        <v>162</v>
      </c>
      <c r="P356" s="5" t="s">
        <v>2272</v>
      </c>
      <c r="Q356" s="17" t="s">
        <v>95</v>
      </c>
      <c r="R356" s="5" t="s">
        <v>5196</v>
      </c>
      <c r="S356" s="6" t="s">
        <v>3423</v>
      </c>
      <c r="T356" s="5" t="s">
        <v>3424</v>
      </c>
      <c r="U356" s="6"/>
      <c r="V356" s="6" t="s">
        <v>3425</v>
      </c>
      <c r="W356" s="6" t="s">
        <v>1701</v>
      </c>
      <c r="X356" s="5" t="s">
        <v>228</v>
      </c>
      <c r="Y356" s="5" t="s">
        <v>2170</v>
      </c>
      <c r="Z356" s="5" t="str">
        <f t="shared" si="10"/>
        <v>Medium</v>
      </c>
      <c r="AA356" s="5" t="s">
        <v>1319</v>
      </c>
      <c r="AB356" s="6" t="s">
        <v>1355</v>
      </c>
      <c r="AC356" s="6" t="s">
        <v>32</v>
      </c>
      <c r="AD356" s="5" t="s">
        <v>95</v>
      </c>
      <c r="AE356" s="5" t="s">
        <v>1720</v>
      </c>
      <c r="AF356" s="5" t="s">
        <v>1720</v>
      </c>
      <c r="AG356" s="5" t="s">
        <v>1720</v>
      </c>
      <c r="AH356" s="5" t="s">
        <v>1720</v>
      </c>
      <c r="AI356" s="6" t="str">
        <f t="shared" si="11"/>
        <v>No</v>
      </c>
      <c r="AJ356" s="6" t="s">
        <v>229</v>
      </c>
      <c r="AK356" s="6" t="s">
        <v>204</v>
      </c>
      <c r="AL356" s="6">
        <f>MATCH(AA356,{"Low","Medium","High"},0)*MATCH(AB356,{"Low","Medium","High"},0)*INDEX({3,2,2,1,1},MATCH(X356,{"Core","Vertical extension","Differentiator","Future","Adjacent"},0))</f>
        <v>6</v>
      </c>
      <c r="AM356" s="5"/>
      <c r="AN356" s="5"/>
      <c r="AO356" s="5"/>
      <c r="AP356" s="5"/>
      <c r="AQ356" s="5"/>
      <c r="AR356" s="5"/>
      <c r="AS356" s="5"/>
      <c r="AT356" s="5"/>
      <c r="AU356" s="6" t="s">
        <v>2317</v>
      </c>
      <c r="AV356" s="6" t="s">
        <v>3968</v>
      </c>
      <c r="AW356" s="6" t="s">
        <v>3968</v>
      </c>
      <c r="AX356" s="6" t="s">
        <v>2284</v>
      </c>
      <c r="AY356" s="6" t="s">
        <v>2285</v>
      </c>
      <c r="AZ356" s="6"/>
      <c r="BA356" s="6"/>
      <c r="BB356" s="6"/>
      <c r="BC356" s="6" t="s">
        <v>127</v>
      </c>
      <c r="BD356" s="6" t="s">
        <v>127</v>
      </c>
      <c r="BE356" s="6" t="s">
        <v>1477</v>
      </c>
      <c r="BF356" s="6" t="s">
        <v>95</v>
      </c>
      <c r="BG356" s="6" t="s">
        <v>5197</v>
      </c>
      <c r="BH356" s="6" t="s">
        <v>5198</v>
      </c>
    </row>
    <row r="357" spans="1:60" ht="32" customHeight="1" x14ac:dyDescent="0.35">
      <c r="A357" s="13" t="s">
        <v>5199</v>
      </c>
      <c r="B357" s="6" t="s">
        <v>3901</v>
      </c>
      <c r="C357" s="5" t="s">
        <v>1652</v>
      </c>
      <c r="D357" s="5" t="s">
        <v>2200</v>
      </c>
      <c r="E357" s="5" t="s">
        <v>5200</v>
      </c>
      <c r="F357" s="5" t="s">
        <v>5201</v>
      </c>
      <c r="G357" s="5" t="s">
        <v>5202</v>
      </c>
      <c r="H357" s="5" t="s">
        <v>5203</v>
      </c>
      <c r="I357" s="5" t="s">
        <v>5204</v>
      </c>
      <c r="J357" s="17" t="s">
        <v>162</v>
      </c>
      <c r="K357" s="17" t="s">
        <v>1477</v>
      </c>
      <c r="L357" s="5" t="s">
        <v>5205</v>
      </c>
      <c r="M357" s="6" t="s">
        <v>1493</v>
      </c>
      <c r="N357" s="6" t="s">
        <v>2170</v>
      </c>
      <c r="O357" s="6" t="s">
        <v>162</v>
      </c>
      <c r="P357" s="5" t="s">
        <v>2272</v>
      </c>
      <c r="Q357" s="17" t="s">
        <v>2273</v>
      </c>
      <c r="R357" s="5" t="s">
        <v>5206</v>
      </c>
      <c r="S357" s="6" t="s">
        <v>3423</v>
      </c>
      <c r="T357" s="5" t="s">
        <v>3424</v>
      </c>
      <c r="U357" s="6"/>
      <c r="V357" s="6" t="s">
        <v>3425</v>
      </c>
      <c r="W357" s="6" t="s">
        <v>1701</v>
      </c>
      <c r="X357" s="5" t="s">
        <v>228</v>
      </c>
      <c r="Y357" s="5" t="s">
        <v>2170</v>
      </c>
      <c r="Z357" s="5" t="str">
        <f t="shared" si="10"/>
        <v>Medium</v>
      </c>
      <c r="AA357" s="5" t="s">
        <v>1319</v>
      </c>
      <c r="AB357" s="6" t="s">
        <v>1355</v>
      </c>
      <c r="AC357" s="6" t="s">
        <v>32</v>
      </c>
      <c r="AD357" s="5" t="s">
        <v>2278</v>
      </c>
      <c r="AE357" s="5" t="s">
        <v>1720</v>
      </c>
      <c r="AF357" s="5" t="s">
        <v>1720</v>
      </c>
      <c r="AG357" s="5" t="s">
        <v>1720</v>
      </c>
      <c r="AH357" s="5" t="s">
        <v>1720</v>
      </c>
      <c r="AI357" s="6" t="str">
        <f t="shared" si="11"/>
        <v>No</v>
      </c>
      <c r="AJ357" s="6" t="s">
        <v>2298</v>
      </c>
      <c r="AK357" s="6" t="s">
        <v>204</v>
      </c>
      <c r="AL357" s="6">
        <f>MATCH(AA357,{"Low","Medium","High"},0)*MATCH(AB357,{"Low","Medium","High"},0)*INDEX({3,2,2,1,1},MATCH(X357,{"Core","Vertical extension","Differentiator","Future","Adjacent"},0))</f>
        <v>6</v>
      </c>
      <c r="AM357" s="5"/>
      <c r="AN357" s="5"/>
      <c r="AO357" s="5"/>
      <c r="AP357" s="5"/>
      <c r="AQ357" s="5"/>
      <c r="AR357" s="5"/>
      <c r="AS357" s="5"/>
      <c r="AT357" s="5"/>
      <c r="AU357" s="6" t="s">
        <v>2317</v>
      </c>
      <c r="AV357" s="6" t="s">
        <v>2804</v>
      </c>
      <c r="AW357" s="6" t="s">
        <v>2804</v>
      </c>
      <c r="AX357" s="6" t="s">
        <v>2284</v>
      </c>
      <c r="AY357" s="6" t="s">
        <v>2285</v>
      </c>
      <c r="AZ357" s="6"/>
      <c r="BA357" s="6"/>
      <c r="BB357" s="6"/>
      <c r="BC357" s="6" t="s">
        <v>127</v>
      </c>
      <c r="BD357" s="6" t="s">
        <v>127</v>
      </c>
      <c r="BE357" s="6" t="s">
        <v>1477</v>
      </c>
      <c r="BF357" s="6" t="s">
        <v>2286</v>
      </c>
      <c r="BG357" s="6" t="s">
        <v>5207</v>
      </c>
      <c r="BH357" s="6" t="s">
        <v>5208</v>
      </c>
    </row>
    <row r="358" spans="1:60" ht="32" customHeight="1" x14ac:dyDescent="0.35">
      <c r="A358" s="13" t="s">
        <v>5209</v>
      </c>
      <c r="B358" s="6" t="s">
        <v>3901</v>
      </c>
      <c r="C358" s="5" t="s">
        <v>1652</v>
      </c>
      <c r="D358" s="5" t="s">
        <v>2200</v>
      </c>
      <c r="E358" s="5" t="s">
        <v>5210</v>
      </c>
      <c r="F358" s="5" t="s">
        <v>5201</v>
      </c>
      <c r="G358" s="5" t="s">
        <v>2798</v>
      </c>
      <c r="H358" s="5" t="s">
        <v>5211</v>
      </c>
      <c r="I358" s="5" t="s">
        <v>5212</v>
      </c>
      <c r="J358" s="17" t="s">
        <v>162</v>
      </c>
      <c r="K358" s="17" t="s">
        <v>1477</v>
      </c>
      <c r="L358" s="5" t="s">
        <v>5213</v>
      </c>
      <c r="M358" s="6" t="s">
        <v>1493</v>
      </c>
      <c r="N358" s="6" t="s">
        <v>2170</v>
      </c>
      <c r="O358" s="6" t="s">
        <v>162</v>
      </c>
      <c r="P358" s="5" t="s">
        <v>2272</v>
      </c>
      <c r="Q358" s="17" t="s">
        <v>2273</v>
      </c>
      <c r="R358" s="5" t="s">
        <v>5214</v>
      </c>
      <c r="S358" s="6" t="s">
        <v>3423</v>
      </c>
      <c r="T358" s="5" t="s">
        <v>3424</v>
      </c>
      <c r="U358" s="6"/>
      <c r="V358" s="6" t="s">
        <v>3425</v>
      </c>
      <c r="W358" s="6" t="s">
        <v>1701</v>
      </c>
      <c r="X358" s="5" t="s">
        <v>228</v>
      </c>
      <c r="Y358" s="5" t="s">
        <v>2170</v>
      </c>
      <c r="Z358" s="5" t="str">
        <f t="shared" si="10"/>
        <v>Medium</v>
      </c>
      <c r="AA358" s="5" t="s">
        <v>1319</v>
      </c>
      <c r="AB358" s="6" t="s">
        <v>1355</v>
      </c>
      <c r="AC358" s="6" t="s">
        <v>32</v>
      </c>
      <c r="AD358" s="5" t="s">
        <v>2278</v>
      </c>
      <c r="AE358" s="5" t="s">
        <v>1720</v>
      </c>
      <c r="AF358" s="5" t="s">
        <v>1720</v>
      </c>
      <c r="AG358" s="5" t="s">
        <v>1720</v>
      </c>
      <c r="AH358" s="5" t="s">
        <v>1720</v>
      </c>
      <c r="AI358" s="6" t="str">
        <f t="shared" si="11"/>
        <v>No</v>
      </c>
      <c r="AJ358" s="6" t="s">
        <v>2298</v>
      </c>
      <c r="AK358" s="6" t="s">
        <v>204</v>
      </c>
      <c r="AL358" s="6">
        <f>MATCH(AA358,{"Low","Medium","High"},0)*MATCH(AB358,{"Low","Medium","High"},0)*INDEX({3,2,2,1,1},MATCH(X358,{"Core","Vertical extension","Differentiator","Future","Adjacent"},0))</f>
        <v>6</v>
      </c>
      <c r="AM358" s="5"/>
      <c r="AN358" s="5"/>
      <c r="AO358" s="5"/>
      <c r="AP358" s="5"/>
      <c r="AQ358" s="5"/>
      <c r="AR358" s="5"/>
      <c r="AS358" s="5"/>
      <c r="AT358" s="5"/>
      <c r="AU358" s="6" t="s">
        <v>2317</v>
      </c>
      <c r="AV358" s="6" t="s">
        <v>2804</v>
      </c>
      <c r="AW358" s="6" t="s">
        <v>2804</v>
      </c>
      <c r="AX358" s="6" t="s">
        <v>2284</v>
      </c>
      <c r="AY358" s="6" t="s">
        <v>2285</v>
      </c>
      <c r="AZ358" s="6"/>
      <c r="BA358" s="6"/>
      <c r="BB358" s="6"/>
      <c r="BC358" s="6" t="s">
        <v>127</v>
      </c>
      <c r="BD358" s="6" t="s">
        <v>127</v>
      </c>
      <c r="BE358" s="6" t="s">
        <v>1477</v>
      </c>
      <c r="BF358" s="6" t="s">
        <v>2286</v>
      </c>
      <c r="BG358" s="6" t="s">
        <v>3466</v>
      </c>
      <c r="BH358" s="6" t="s">
        <v>5215</v>
      </c>
    </row>
    <row r="359" spans="1:60" ht="32" customHeight="1" x14ac:dyDescent="0.35">
      <c r="A359" s="13" t="s">
        <v>5216</v>
      </c>
      <c r="B359" s="6" t="s">
        <v>3901</v>
      </c>
      <c r="C359" s="5" t="s">
        <v>1652</v>
      </c>
      <c r="D359" s="5" t="s">
        <v>2200</v>
      </c>
      <c r="E359" s="5" t="s">
        <v>5217</v>
      </c>
      <c r="F359" s="5" t="s">
        <v>5201</v>
      </c>
      <c r="G359" s="5" t="s">
        <v>5202</v>
      </c>
      <c r="H359" s="5" t="s">
        <v>5218</v>
      </c>
      <c r="I359" s="5" t="s">
        <v>5219</v>
      </c>
      <c r="J359" s="17" t="s">
        <v>162</v>
      </c>
      <c r="K359" s="17" t="s">
        <v>95</v>
      </c>
      <c r="L359" s="5" t="s">
        <v>5220</v>
      </c>
      <c r="M359" s="6" t="s">
        <v>1493</v>
      </c>
      <c r="N359" s="6" t="s">
        <v>2170</v>
      </c>
      <c r="O359" s="6" t="s">
        <v>162</v>
      </c>
      <c r="P359" s="5" t="s">
        <v>2272</v>
      </c>
      <c r="Q359" s="17" t="s">
        <v>95</v>
      </c>
      <c r="R359" s="5" t="s">
        <v>5221</v>
      </c>
      <c r="S359" s="6" t="s">
        <v>3423</v>
      </c>
      <c r="T359" s="5" t="s">
        <v>3424</v>
      </c>
      <c r="U359" s="6"/>
      <c r="V359" s="6" t="s">
        <v>3425</v>
      </c>
      <c r="W359" s="6" t="s">
        <v>1701</v>
      </c>
      <c r="X359" s="5" t="s">
        <v>228</v>
      </c>
      <c r="Y359" s="5" t="s">
        <v>2170</v>
      </c>
      <c r="Z359" s="5" t="str">
        <f t="shared" si="10"/>
        <v>Medium</v>
      </c>
      <c r="AA359" s="5" t="s">
        <v>1319</v>
      </c>
      <c r="AB359" s="6" t="s">
        <v>1355</v>
      </c>
      <c r="AC359" s="6" t="s">
        <v>32</v>
      </c>
      <c r="AD359" s="5" t="s">
        <v>95</v>
      </c>
      <c r="AE359" s="5" t="s">
        <v>1720</v>
      </c>
      <c r="AF359" s="5" t="s">
        <v>1720</v>
      </c>
      <c r="AG359" s="5" t="s">
        <v>1720</v>
      </c>
      <c r="AH359" s="5" t="s">
        <v>1720</v>
      </c>
      <c r="AI359" s="6" t="str">
        <f t="shared" si="11"/>
        <v>No</v>
      </c>
      <c r="AJ359" s="6" t="s">
        <v>229</v>
      </c>
      <c r="AK359" s="6" t="s">
        <v>204</v>
      </c>
      <c r="AL359" s="6">
        <f>MATCH(AA359,{"Low","Medium","High"},0)*MATCH(AB359,{"Low","Medium","High"},0)*INDEX({3,2,2,1,1},MATCH(X359,{"Core","Vertical extension","Differentiator","Future","Adjacent"},0))</f>
        <v>6</v>
      </c>
      <c r="AM359" s="5"/>
      <c r="AN359" s="5"/>
      <c r="AO359" s="5"/>
      <c r="AP359" s="5"/>
      <c r="AQ359" s="5"/>
      <c r="AR359" s="5"/>
      <c r="AS359" s="5"/>
      <c r="AT359" s="5"/>
      <c r="AU359" s="6" t="s">
        <v>2317</v>
      </c>
      <c r="AV359" s="6" t="s">
        <v>2804</v>
      </c>
      <c r="AW359" s="6" t="s">
        <v>2804</v>
      </c>
      <c r="AX359" s="6" t="s">
        <v>2284</v>
      </c>
      <c r="AY359" s="6" t="s">
        <v>2285</v>
      </c>
      <c r="AZ359" s="6"/>
      <c r="BA359" s="6"/>
      <c r="BB359" s="6"/>
      <c r="BC359" s="6" t="s">
        <v>127</v>
      </c>
      <c r="BD359" s="6" t="s">
        <v>127</v>
      </c>
      <c r="BE359" s="6" t="s">
        <v>1477</v>
      </c>
      <c r="BF359" s="6" t="s">
        <v>95</v>
      </c>
      <c r="BG359" s="6" t="s">
        <v>5222</v>
      </c>
      <c r="BH359" s="6" t="s">
        <v>5223</v>
      </c>
    </row>
    <row r="360" spans="1:60" ht="32" customHeight="1" x14ac:dyDescent="0.35">
      <c r="A360" s="13" t="s">
        <v>5224</v>
      </c>
      <c r="B360" s="6" t="s">
        <v>3901</v>
      </c>
      <c r="C360" s="5" t="s">
        <v>1652</v>
      </c>
      <c r="D360" s="5" t="s">
        <v>2200</v>
      </c>
      <c r="E360" s="5" t="s">
        <v>5225</v>
      </c>
      <c r="F360" s="5" t="s">
        <v>1679</v>
      </c>
      <c r="G360" s="5" t="s">
        <v>2396</v>
      </c>
      <c r="H360" s="5" t="s">
        <v>5226</v>
      </c>
      <c r="I360" s="5" t="s">
        <v>5227</v>
      </c>
      <c r="J360" s="17" t="s">
        <v>162</v>
      </c>
      <c r="K360" s="17" t="s">
        <v>95</v>
      </c>
      <c r="L360" s="5" t="s">
        <v>3447</v>
      </c>
      <c r="M360" s="6" t="s">
        <v>1493</v>
      </c>
      <c r="N360" s="6" t="s">
        <v>2170</v>
      </c>
      <c r="O360" s="6" t="s">
        <v>162</v>
      </c>
      <c r="P360" s="5" t="s">
        <v>2272</v>
      </c>
      <c r="Q360" s="17" t="s">
        <v>95</v>
      </c>
      <c r="R360" s="5" t="s">
        <v>5228</v>
      </c>
      <c r="S360" s="6" t="s">
        <v>3423</v>
      </c>
      <c r="T360" s="5" t="s">
        <v>3424</v>
      </c>
      <c r="U360" s="6"/>
      <c r="V360" s="6" t="s">
        <v>3425</v>
      </c>
      <c r="W360" s="6" t="s">
        <v>1701</v>
      </c>
      <c r="X360" s="5" t="s">
        <v>228</v>
      </c>
      <c r="Y360" s="5" t="s">
        <v>2170</v>
      </c>
      <c r="Z360" s="5" t="str">
        <f t="shared" si="10"/>
        <v>Medium</v>
      </c>
      <c r="AA360" s="5" t="s">
        <v>1319</v>
      </c>
      <c r="AB360" s="6" t="s">
        <v>1355</v>
      </c>
      <c r="AC360" s="6" t="s">
        <v>32</v>
      </c>
      <c r="AD360" s="5" t="s">
        <v>95</v>
      </c>
      <c r="AE360" s="5" t="s">
        <v>1720</v>
      </c>
      <c r="AF360" s="5" t="s">
        <v>1720</v>
      </c>
      <c r="AG360" s="5" t="s">
        <v>1720</v>
      </c>
      <c r="AH360" s="5" t="s">
        <v>1720</v>
      </c>
      <c r="AI360" s="6" t="str">
        <f t="shared" si="11"/>
        <v>No</v>
      </c>
      <c r="AJ360" s="6" t="s">
        <v>229</v>
      </c>
      <c r="AK360" s="6" t="s">
        <v>204</v>
      </c>
      <c r="AL360" s="6">
        <f>MATCH(AA360,{"Low","Medium","High"},0)*MATCH(AB360,{"Low","Medium","High"},0)*INDEX({3,2,2,1,1},MATCH(X360,{"Core","Vertical extension","Differentiator","Future","Adjacent"},0))</f>
        <v>6</v>
      </c>
      <c r="AM360" s="5"/>
      <c r="AN360" s="5"/>
      <c r="AO360" s="5"/>
      <c r="AP360" s="5"/>
      <c r="AQ360" s="5"/>
      <c r="AR360" s="5"/>
      <c r="AS360" s="5"/>
      <c r="AT360" s="5"/>
      <c r="AU360" s="6" t="s">
        <v>2317</v>
      </c>
      <c r="AV360" s="6" t="s">
        <v>2804</v>
      </c>
      <c r="AW360" s="6" t="s">
        <v>2804</v>
      </c>
      <c r="AX360" s="6" t="s">
        <v>2284</v>
      </c>
      <c r="AY360" s="6" t="s">
        <v>2285</v>
      </c>
      <c r="AZ360" s="6"/>
      <c r="BA360" s="6" t="s">
        <v>2772</v>
      </c>
      <c r="BB360" s="6" t="s">
        <v>2773</v>
      </c>
      <c r="BC360" s="6" t="s">
        <v>127</v>
      </c>
      <c r="BD360" s="6" t="s">
        <v>127</v>
      </c>
      <c r="BE360" s="6" t="s">
        <v>1477</v>
      </c>
      <c r="BF360" s="6" t="s">
        <v>95</v>
      </c>
      <c r="BG360" s="6" t="s">
        <v>5229</v>
      </c>
      <c r="BH360" s="6" t="s">
        <v>5230</v>
      </c>
    </row>
    <row r="361" spans="1:60" ht="32" customHeight="1" x14ac:dyDescent="0.35">
      <c r="A361" s="13" t="s">
        <v>5231</v>
      </c>
      <c r="B361" s="6" t="s">
        <v>3901</v>
      </c>
      <c r="C361" s="5" t="s">
        <v>1652</v>
      </c>
      <c r="D361" s="5" t="s">
        <v>2200</v>
      </c>
      <c r="E361" s="5" t="s">
        <v>5232</v>
      </c>
      <c r="F361" s="5" t="s">
        <v>3209</v>
      </c>
      <c r="G361" s="5" t="s">
        <v>2396</v>
      </c>
      <c r="H361" s="5" t="s">
        <v>5233</v>
      </c>
      <c r="I361" s="5" t="s">
        <v>5234</v>
      </c>
      <c r="J361" s="17" t="s">
        <v>162</v>
      </c>
      <c r="K361" s="17" t="s">
        <v>1477</v>
      </c>
      <c r="L361" s="5" t="s">
        <v>5235</v>
      </c>
      <c r="M361" s="6" t="s">
        <v>1493</v>
      </c>
      <c r="N361" s="6" t="s">
        <v>2170</v>
      </c>
      <c r="O361" s="6" t="s">
        <v>162</v>
      </c>
      <c r="P361" s="5" t="s">
        <v>2272</v>
      </c>
      <c r="Q361" s="18" t="s">
        <v>1482</v>
      </c>
      <c r="R361" s="5" t="s">
        <v>2783</v>
      </c>
      <c r="S361" s="6" t="s">
        <v>3423</v>
      </c>
      <c r="T361" s="5" t="s">
        <v>3424</v>
      </c>
      <c r="U361" s="6"/>
      <c r="V361" s="6" t="s">
        <v>3425</v>
      </c>
      <c r="W361" s="6" t="s">
        <v>1701</v>
      </c>
      <c r="X361" s="5" t="s">
        <v>228</v>
      </c>
      <c r="Y361" s="5" t="s">
        <v>2170</v>
      </c>
      <c r="Z361" s="5" t="str">
        <f t="shared" si="10"/>
        <v>Medium</v>
      </c>
      <c r="AA361" s="5" t="s">
        <v>1319</v>
      </c>
      <c r="AB361" s="6" t="s">
        <v>1355</v>
      </c>
      <c r="AC361" s="6" t="s">
        <v>32</v>
      </c>
      <c r="AD361" s="5" t="s">
        <v>2278</v>
      </c>
      <c r="AE361" s="5" t="s">
        <v>1720</v>
      </c>
      <c r="AF361" s="5" t="s">
        <v>1720</v>
      </c>
      <c r="AG361" s="5" t="s">
        <v>1720</v>
      </c>
      <c r="AH361" s="5" t="s">
        <v>1720</v>
      </c>
      <c r="AI361" s="6" t="str">
        <f t="shared" si="11"/>
        <v>No</v>
      </c>
      <c r="AJ361" s="6" t="s">
        <v>2298</v>
      </c>
      <c r="AK361" s="6" t="s">
        <v>204</v>
      </c>
      <c r="AL361" s="6">
        <f>MATCH(AA361,{"Low","Medium","High"},0)*MATCH(AB361,{"Low","Medium","High"},0)*INDEX({3,2,2,1,1},MATCH(X361,{"Core","Vertical extension","Differentiator","Future","Adjacent"},0))</f>
        <v>6</v>
      </c>
      <c r="AM361" s="5"/>
      <c r="AN361" s="5"/>
      <c r="AO361" s="5"/>
      <c r="AP361" s="5"/>
      <c r="AQ361" s="5"/>
      <c r="AR361" s="5"/>
      <c r="AS361" s="5"/>
      <c r="AT361" s="5"/>
      <c r="AU361" s="6" t="s">
        <v>2317</v>
      </c>
      <c r="AV361" s="6" t="s">
        <v>2283</v>
      </c>
      <c r="AW361" s="6" t="s">
        <v>2283</v>
      </c>
      <c r="AX361" s="6" t="s">
        <v>2284</v>
      </c>
      <c r="AY361" s="6" t="s">
        <v>2285</v>
      </c>
      <c r="AZ361" s="6"/>
      <c r="BA361" s="6" t="s">
        <v>5236</v>
      </c>
      <c r="BB361" s="6" t="s">
        <v>2300</v>
      </c>
      <c r="BC361" s="6" t="s">
        <v>127</v>
      </c>
      <c r="BD361" s="6" t="s">
        <v>127</v>
      </c>
      <c r="BE361" s="6"/>
      <c r="BF361" s="6"/>
      <c r="BG361" s="6"/>
      <c r="BH361" s="6"/>
    </row>
    <row r="362" spans="1:60" ht="32" customHeight="1" x14ac:dyDescent="0.35">
      <c r="A362" s="13" t="s">
        <v>5237</v>
      </c>
      <c r="B362" s="6" t="s">
        <v>3901</v>
      </c>
      <c r="C362" s="5" t="s">
        <v>1652</v>
      </c>
      <c r="D362" s="5" t="s">
        <v>2200</v>
      </c>
      <c r="E362" s="5" t="s">
        <v>5238</v>
      </c>
      <c r="F362" s="5" t="s">
        <v>5239</v>
      </c>
      <c r="G362" s="5" t="s">
        <v>1679</v>
      </c>
      <c r="H362" s="5" t="s">
        <v>5240</v>
      </c>
      <c r="I362" s="5" t="s">
        <v>5241</v>
      </c>
      <c r="J362" s="17" t="s">
        <v>162</v>
      </c>
      <c r="K362" s="17" t="s">
        <v>95</v>
      </c>
      <c r="L362" s="5" t="s">
        <v>5242</v>
      </c>
      <c r="M362" s="6" t="s">
        <v>1493</v>
      </c>
      <c r="N362" s="6" t="s">
        <v>2170</v>
      </c>
      <c r="O362" s="6" t="s">
        <v>162</v>
      </c>
      <c r="P362" s="5" t="s">
        <v>2272</v>
      </c>
      <c r="Q362" s="17" t="s">
        <v>95</v>
      </c>
      <c r="R362" s="5" t="s">
        <v>5243</v>
      </c>
      <c r="S362" s="6" t="s">
        <v>3423</v>
      </c>
      <c r="T362" s="5" t="s">
        <v>3424</v>
      </c>
      <c r="U362" s="6"/>
      <c r="V362" s="6" t="s">
        <v>3425</v>
      </c>
      <c r="W362" s="6" t="s">
        <v>1701</v>
      </c>
      <c r="X362" s="5" t="s">
        <v>228</v>
      </c>
      <c r="Y362" s="5" t="s">
        <v>2170</v>
      </c>
      <c r="Z362" s="5" t="str">
        <f t="shared" si="10"/>
        <v>Medium</v>
      </c>
      <c r="AA362" s="5" t="s">
        <v>1319</v>
      </c>
      <c r="AB362" s="6" t="s">
        <v>1355</v>
      </c>
      <c r="AC362" s="6" t="s">
        <v>32</v>
      </c>
      <c r="AD362" s="5" t="s">
        <v>95</v>
      </c>
      <c r="AE362" s="5" t="s">
        <v>1720</v>
      </c>
      <c r="AF362" s="5" t="s">
        <v>1720</v>
      </c>
      <c r="AG362" s="5" t="s">
        <v>1720</v>
      </c>
      <c r="AH362" s="5" t="s">
        <v>1720</v>
      </c>
      <c r="AI362" s="6" t="str">
        <f t="shared" si="11"/>
        <v>No</v>
      </c>
      <c r="AJ362" s="6" t="s">
        <v>229</v>
      </c>
      <c r="AK362" s="6" t="s">
        <v>204</v>
      </c>
      <c r="AL362" s="6">
        <f>MATCH(AA362,{"Low","Medium","High"},0)*MATCH(AB362,{"Low","Medium","High"},0)*INDEX({3,2,2,1,1},MATCH(X362,{"Core","Vertical extension","Differentiator","Future","Adjacent"},0))</f>
        <v>6</v>
      </c>
      <c r="AM362" s="5"/>
      <c r="AN362" s="5"/>
      <c r="AO362" s="5"/>
      <c r="AP362" s="5"/>
      <c r="AQ362" s="5"/>
      <c r="AR362" s="5"/>
      <c r="AS362" s="5"/>
      <c r="AT362" s="5"/>
      <c r="AU362" s="6" t="s">
        <v>2317</v>
      </c>
      <c r="AV362" s="6" t="s">
        <v>3968</v>
      </c>
      <c r="AW362" s="6" t="s">
        <v>3968</v>
      </c>
      <c r="AX362" s="6" t="s">
        <v>2284</v>
      </c>
      <c r="AY362" s="6" t="s">
        <v>2285</v>
      </c>
      <c r="AZ362" s="6"/>
      <c r="BA362" s="6"/>
      <c r="BB362" s="6"/>
      <c r="BC362" s="6" t="s">
        <v>127</v>
      </c>
      <c r="BD362" s="6" t="s">
        <v>127</v>
      </c>
      <c r="BE362" s="6" t="s">
        <v>1477</v>
      </c>
      <c r="BF362" s="6" t="s">
        <v>95</v>
      </c>
      <c r="BG362" s="6" t="s">
        <v>5244</v>
      </c>
      <c r="BH362" s="6" t="s">
        <v>5245</v>
      </c>
    </row>
    <row r="363" spans="1:60" ht="32" customHeight="1" x14ac:dyDescent="0.35">
      <c r="A363" s="13" t="s">
        <v>5246</v>
      </c>
      <c r="B363" s="6" t="s">
        <v>3901</v>
      </c>
      <c r="C363" s="5" t="s">
        <v>1652</v>
      </c>
      <c r="D363" s="5" t="s">
        <v>2200</v>
      </c>
      <c r="E363" s="5" t="s">
        <v>5247</v>
      </c>
      <c r="F363" s="5" t="s">
        <v>1679</v>
      </c>
      <c r="G363" s="5" t="s">
        <v>2396</v>
      </c>
      <c r="H363" s="5" t="s">
        <v>5248</v>
      </c>
      <c r="I363" s="5" t="s">
        <v>5249</v>
      </c>
      <c r="J363" s="17" t="s">
        <v>162</v>
      </c>
      <c r="K363" s="17" t="s">
        <v>1477</v>
      </c>
      <c r="L363" s="5" t="s">
        <v>5250</v>
      </c>
      <c r="M363" s="6" t="s">
        <v>1493</v>
      </c>
      <c r="N363" s="6" t="s">
        <v>2170</v>
      </c>
      <c r="O363" s="6" t="s">
        <v>162</v>
      </c>
      <c r="P363" s="5" t="s">
        <v>2272</v>
      </c>
      <c r="Q363" s="17" t="s">
        <v>2273</v>
      </c>
      <c r="R363" s="5" t="s">
        <v>5251</v>
      </c>
      <c r="S363" s="6" t="s">
        <v>3423</v>
      </c>
      <c r="T363" s="5" t="s">
        <v>3424</v>
      </c>
      <c r="U363" s="6"/>
      <c r="V363" s="6" t="s">
        <v>3425</v>
      </c>
      <c r="W363" s="6" t="s">
        <v>1701</v>
      </c>
      <c r="X363" s="5" t="s">
        <v>228</v>
      </c>
      <c r="Y363" s="5" t="s">
        <v>2170</v>
      </c>
      <c r="Z363" s="5" t="str">
        <f t="shared" si="10"/>
        <v>Medium</v>
      </c>
      <c r="AA363" s="5" t="s">
        <v>1319</v>
      </c>
      <c r="AB363" s="6" t="s">
        <v>1355</v>
      </c>
      <c r="AC363" s="6" t="s">
        <v>32</v>
      </c>
      <c r="AD363" s="5" t="s">
        <v>2278</v>
      </c>
      <c r="AE363" s="5" t="s">
        <v>1720</v>
      </c>
      <c r="AF363" s="5" t="s">
        <v>1720</v>
      </c>
      <c r="AG363" s="5" t="s">
        <v>1720</v>
      </c>
      <c r="AH363" s="5" t="s">
        <v>1720</v>
      </c>
      <c r="AI363" s="6" t="str">
        <f t="shared" si="11"/>
        <v>No</v>
      </c>
      <c r="AJ363" s="6" t="s">
        <v>2298</v>
      </c>
      <c r="AK363" s="6" t="s">
        <v>204</v>
      </c>
      <c r="AL363" s="6">
        <f>MATCH(AA363,{"Low","Medium","High"},0)*MATCH(AB363,{"Low","Medium","High"},0)*INDEX({3,2,2,1,1},MATCH(X363,{"Core","Vertical extension","Differentiator","Future","Adjacent"},0))</f>
        <v>6</v>
      </c>
      <c r="AM363" s="5"/>
      <c r="AN363" s="5"/>
      <c r="AO363" s="5"/>
      <c r="AP363" s="5"/>
      <c r="AQ363" s="5"/>
      <c r="AR363" s="5"/>
      <c r="AS363" s="5"/>
      <c r="AT363" s="5"/>
      <c r="AU363" s="6" t="s">
        <v>2317</v>
      </c>
      <c r="AV363" s="6" t="s">
        <v>2804</v>
      </c>
      <c r="AW363" s="6" t="s">
        <v>2804</v>
      </c>
      <c r="AX363" s="6" t="s">
        <v>2284</v>
      </c>
      <c r="AY363" s="6" t="s">
        <v>2285</v>
      </c>
      <c r="AZ363" s="6"/>
      <c r="BA363" s="6"/>
      <c r="BB363" s="6"/>
      <c r="BC363" s="6" t="s">
        <v>127</v>
      </c>
      <c r="BD363" s="6" t="s">
        <v>127</v>
      </c>
      <c r="BE363" s="6" t="s">
        <v>1477</v>
      </c>
      <c r="BF363" s="6" t="s">
        <v>2286</v>
      </c>
      <c r="BG363" s="6" t="s">
        <v>3435</v>
      </c>
      <c r="BH363" s="6" t="s">
        <v>5252</v>
      </c>
    </row>
    <row r="364" spans="1:60" ht="32" customHeight="1" x14ac:dyDescent="0.35">
      <c r="A364" s="13" t="s">
        <v>5253</v>
      </c>
      <c r="B364" s="6" t="s">
        <v>3901</v>
      </c>
      <c r="C364" s="5" t="s">
        <v>1652</v>
      </c>
      <c r="D364" s="5" t="s">
        <v>2200</v>
      </c>
      <c r="E364" s="5" t="s">
        <v>5254</v>
      </c>
      <c r="F364" s="5" t="s">
        <v>5255</v>
      </c>
      <c r="G364" s="5" t="s">
        <v>2396</v>
      </c>
      <c r="H364" s="5" t="s">
        <v>5256</v>
      </c>
      <c r="I364" s="5" t="s">
        <v>5257</v>
      </c>
      <c r="J364" s="17" t="s">
        <v>162</v>
      </c>
      <c r="K364" s="17" t="s">
        <v>1477</v>
      </c>
      <c r="L364" s="5" t="s">
        <v>5258</v>
      </c>
      <c r="M364" s="6" t="s">
        <v>1493</v>
      </c>
      <c r="N364" s="6" t="s">
        <v>2170</v>
      </c>
      <c r="O364" s="6" t="s">
        <v>162</v>
      </c>
      <c r="P364" s="5" t="s">
        <v>2272</v>
      </c>
      <c r="Q364" s="17" t="s">
        <v>2273</v>
      </c>
      <c r="R364" s="5" t="s">
        <v>5259</v>
      </c>
      <c r="S364" s="6" t="s">
        <v>3423</v>
      </c>
      <c r="T364" s="5" t="s">
        <v>3424</v>
      </c>
      <c r="U364" s="6"/>
      <c r="V364" s="6" t="s">
        <v>3425</v>
      </c>
      <c r="W364" s="6" t="s">
        <v>1701</v>
      </c>
      <c r="X364" s="5" t="s">
        <v>228</v>
      </c>
      <c r="Y364" s="5" t="s">
        <v>2170</v>
      </c>
      <c r="Z364" s="5" t="str">
        <f t="shared" si="10"/>
        <v>Medium</v>
      </c>
      <c r="AA364" s="5" t="s">
        <v>1319</v>
      </c>
      <c r="AB364" s="6" t="s">
        <v>1355</v>
      </c>
      <c r="AC364" s="6" t="s">
        <v>32</v>
      </c>
      <c r="AD364" s="5" t="s">
        <v>2278</v>
      </c>
      <c r="AE364" s="5" t="s">
        <v>1720</v>
      </c>
      <c r="AF364" s="5" t="s">
        <v>1720</v>
      </c>
      <c r="AG364" s="5" t="s">
        <v>1720</v>
      </c>
      <c r="AH364" s="5" t="s">
        <v>1720</v>
      </c>
      <c r="AI364" s="6" t="str">
        <f t="shared" si="11"/>
        <v>No</v>
      </c>
      <c r="AJ364" s="6" t="s">
        <v>2298</v>
      </c>
      <c r="AK364" s="6" t="s">
        <v>204</v>
      </c>
      <c r="AL364" s="6">
        <f>MATCH(AA364,{"Low","Medium","High"},0)*MATCH(AB364,{"Low","Medium","High"},0)*INDEX({3,2,2,1,1},MATCH(X364,{"Core","Vertical extension","Differentiator","Future","Adjacent"},0))</f>
        <v>6</v>
      </c>
      <c r="AM364" s="5"/>
      <c r="AN364" s="5"/>
      <c r="AO364" s="5"/>
      <c r="AP364" s="5"/>
      <c r="AQ364" s="5"/>
      <c r="AR364" s="5"/>
      <c r="AS364" s="5"/>
      <c r="AT364" s="5"/>
      <c r="AU364" s="6" t="s">
        <v>2317</v>
      </c>
      <c r="AV364" s="6" t="s">
        <v>5260</v>
      </c>
      <c r="AW364" s="6" t="s">
        <v>5260</v>
      </c>
      <c r="AX364" s="6" t="s">
        <v>2284</v>
      </c>
      <c r="AY364" s="6" t="s">
        <v>2285</v>
      </c>
      <c r="AZ364" s="6"/>
      <c r="BA364" s="6"/>
      <c r="BB364" s="6"/>
      <c r="BC364" s="6" t="s">
        <v>127</v>
      </c>
      <c r="BD364" s="6" t="s">
        <v>127</v>
      </c>
      <c r="BE364" s="6" t="s">
        <v>1477</v>
      </c>
      <c r="BF364" s="6" t="s">
        <v>2286</v>
      </c>
      <c r="BG364" s="6" t="s">
        <v>5261</v>
      </c>
      <c r="BH364" s="6" t="s">
        <v>5262</v>
      </c>
    </row>
    <row r="365" spans="1:60" ht="32" customHeight="1" x14ac:dyDescent="0.35">
      <c r="A365" s="13" t="s">
        <v>5263</v>
      </c>
      <c r="B365" s="6" t="s">
        <v>3901</v>
      </c>
      <c r="C365" s="5" t="s">
        <v>1652</v>
      </c>
      <c r="D365" s="5" t="s">
        <v>2200</v>
      </c>
      <c r="E365" s="5" t="s">
        <v>5264</v>
      </c>
      <c r="F365" s="5" t="s">
        <v>5265</v>
      </c>
      <c r="G365" s="5" t="s">
        <v>5266</v>
      </c>
      <c r="H365" s="5" t="s">
        <v>5267</v>
      </c>
      <c r="I365" s="5" t="s">
        <v>5268</v>
      </c>
      <c r="J365" s="17" t="s">
        <v>162</v>
      </c>
      <c r="K365" s="17" t="s">
        <v>95</v>
      </c>
      <c r="L365" s="5" t="s">
        <v>5269</v>
      </c>
      <c r="M365" s="6" t="s">
        <v>1493</v>
      </c>
      <c r="N365" s="6" t="s">
        <v>2170</v>
      </c>
      <c r="O365" s="6" t="s">
        <v>162</v>
      </c>
      <c r="P365" s="5" t="s">
        <v>2272</v>
      </c>
      <c r="Q365" s="17" t="s">
        <v>95</v>
      </c>
      <c r="R365" s="5" t="s">
        <v>5270</v>
      </c>
      <c r="S365" s="6" t="s">
        <v>3423</v>
      </c>
      <c r="T365" s="5" t="s">
        <v>3424</v>
      </c>
      <c r="U365" s="6"/>
      <c r="V365" s="6" t="s">
        <v>3425</v>
      </c>
      <c r="W365" s="6" t="s">
        <v>1701</v>
      </c>
      <c r="X365" s="5" t="s">
        <v>228</v>
      </c>
      <c r="Y365" s="5" t="s">
        <v>2170</v>
      </c>
      <c r="Z365" s="5" t="str">
        <f t="shared" si="10"/>
        <v>Medium</v>
      </c>
      <c r="AA365" s="5" t="s">
        <v>1319</v>
      </c>
      <c r="AB365" s="6" t="s">
        <v>1355</v>
      </c>
      <c r="AC365" s="6" t="s">
        <v>32</v>
      </c>
      <c r="AD365" s="5" t="s">
        <v>95</v>
      </c>
      <c r="AE365" s="5" t="s">
        <v>1720</v>
      </c>
      <c r="AF365" s="5" t="s">
        <v>1720</v>
      </c>
      <c r="AG365" s="5" t="s">
        <v>1720</v>
      </c>
      <c r="AH365" s="5" t="s">
        <v>1720</v>
      </c>
      <c r="AI365" s="6" t="str">
        <f t="shared" si="11"/>
        <v>No</v>
      </c>
      <c r="AJ365" s="6" t="s">
        <v>229</v>
      </c>
      <c r="AK365" s="6" t="s">
        <v>204</v>
      </c>
      <c r="AL365" s="6">
        <f>MATCH(AA365,{"Low","Medium","High"},0)*MATCH(AB365,{"Low","Medium","High"},0)*INDEX({3,2,2,1,1},MATCH(X365,{"Core","Vertical extension","Differentiator","Future","Adjacent"},0))</f>
        <v>6</v>
      </c>
      <c r="AM365" s="5"/>
      <c r="AN365" s="5"/>
      <c r="AO365" s="5"/>
      <c r="AP365" s="5"/>
      <c r="AQ365" s="5"/>
      <c r="AR365" s="5"/>
      <c r="AS365" s="5"/>
      <c r="AT365" s="5"/>
      <c r="AU365" s="6" t="s">
        <v>2317</v>
      </c>
      <c r="AV365" s="6" t="s">
        <v>2804</v>
      </c>
      <c r="AW365" s="6" t="s">
        <v>2804</v>
      </c>
      <c r="AX365" s="6" t="s">
        <v>2284</v>
      </c>
      <c r="AY365" s="6" t="s">
        <v>2285</v>
      </c>
      <c r="AZ365" s="6"/>
      <c r="BA365" s="6"/>
      <c r="BB365" s="6"/>
      <c r="BC365" s="6" t="s">
        <v>127</v>
      </c>
      <c r="BD365" s="6" t="s">
        <v>127</v>
      </c>
      <c r="BE365" s="6" t="s">
        <v>1477</v>
      </c>
      <c r="BF365" s="6" t="s">
        <v>95</v>
      </c>
      <c r="BG365" s="6" t="s">
        <v>5271</v>
      </c>
      <c r="BH365" s="6" t="s">
        <v>5272</v>
      </c>
    </row>
    <row r="366" spans="1:60" ht="32" customHeight="1" x14ac:dyDescent="0.35">
      <c r="A366" s="13" t="s">
        <v>5273</v>
      </c>
      <c r="B366" s="6" t="s">
        <v>3901</v>
      </c>
      <c r="C366" s="5" t="s">
        <v>1652</v>
      </c>
      <c r="D366" s="5" t="s">
        <v>2200</v>
      </c>
      <c r="E366" s="5" t="s">
        <v>5274</v>
      </c>
      <c r="F366" s="5" t="s">
        <v>5275</v>
      </c>
      <c r="G366" s="5" t="s">
        <v>2396</v>
      </c>
      <c r="H366" s="5" t="s">
        <v>5276</v>
      </c>
      <c r="I366" s="5" t="s">
        <v>5277</v>
      </c>
      <c r="J366" s="17" t="s">
        <v>162</v>
      </c>
      <c r="K366" s="17" t="s">
        <v>95</v>
      </c>
      <c r="L366" s="5" t="s">
        <v>5278</v>
      </c>
      <c r="M366" s="6" t="s">
        <v>1493</v>
      </c>
      <c r="N366" s="6" t="s">
        <v>2170</v>
      </c>
      <c r="O366" s="6" t="s">
        <v>162</v>
      </c>
      <c r="P366" s="5" t="s">
        <v>2272</v>
      </c>
      <c r="Q366" s="17" t="s">
        <v>95</v>
      </c>
      <c r="R366" s="5" t="s">
        <v>5279</v>
      </c>
      <c r="S366" s="6" t="s">
        <v>3423</v>
      </c>
      <c r="T366" s="5" t="s">
        <v>3424</v>
      </c>
      <c r="U366" s="6"/>
      <c r="V366" s="6" t="s">
        <v>3425</v>
      </c>
      <c r="W366" s="6" t="s">
        <v>1701</v>
      </c>
      <c r="X366" s="5" t="s">
        <v>228</v>
      </c>
      <c r="Y366" s="5" t="s">
        <v>2170</v>
      </c>
      <c r="Z366" s="5" t="str">
        <f t="shared" si="10"/>
        <v>Medium</v>
      </c>
      <c r="AA366" s="5" t="s">
        <v>1319</v>
      </c>
      <c r="AB366" s="6" t="s">
        <v>1355</v>
      </c>
      <c r="AC366" s="6" t="s">
        <v>32</v>
      </c>
      <c r="AD366" s="5" t="s">
        <v>95</v>
      </c>
      <c r="AE366" s="5" t="s">
        <v>1720</v>
      </c>
      <c r="AF366" s="5" t="s">
        <v>1720</v>
      </c>
      <c r="AG366" s="5" t="s">
        <v>1720</v>
      </c>
      <c r="AH366" s="5" t="s">
        <v>1720</v>
      </c>
      <c r="AI366" s="6" t="str">
        <f t="shared" si="11"/>
        <v>No</v>
      </c>
      <c r="AJ366" s="6" t="s">
        <v>229</v>
      </c>
      <c r="AK366" s="6" t="s">
        <v>204</v>
      </c>
      <c r="AL366" s="6">
        <f>MATCH(AA366,{"Low","Medium","High"},0)*MATCH(AB366,{"Low","Medium","High"},0)*INDEX({3,2,2,1,1},MATCH(X366,{"Core","Vertical extension","Differentiator","Future","Adjacent"},0))</f>
        <v>6</v>
      </c>
      <c r="AM366" s="5"/>
      <c r="AN366" s="5"/>
      <c r="AO366" s="5"/>
      <c r="AP366" s="5"/>
      <c r="AQ366" s="5"/>
      <c r="AR366" s="5"/>
      <c r="AS366" s="5"/>
      <c r="AT366" s="5"/>
      <c r="AU366" s="6" t="s">
        <v>2317</v>
      </c>
      <c r="AV366" s="6" t="s">
        <v>5260</v>
      </c>
      <c r="AW366" s="6" t="s">
        <v>5260</v>
      </c>
      <c r="AX366" s="6" t="s">
        <v>2284</v>
      </c>
      <c r="AY366" s="6" t="s">
        <v>2285</v>
      </c>
      <c r="AZ366" s="6"/>
      <c r="BA366" s="6"/>
      <c r="BB366" s="6"/>
      <c r="BC366" s="6" t="s">
        <v>127</v>
      </c>
      <c r="BD366" s="6" t="s">
        <v>127</v>
      </c>
      <c r="BE366" s="6" t="s">
        <v>1477</v>
      </c>
      <c r="BF366" s="6" t="s">
        <v>95</v>
      </c>
      <c r="BG366" s="6" t="s">
        <v>5280</v>
      </c>
      <c r="BH366" s="6" t="s">
        <v>5281</v>
      </c>
    </row>
    <row r="367" spans="1:60" ht="32" customHeight="1" x14ac:dyDescent="0.35">
      <c r="A367" s="13" t="s">
        <v>5282</v>
      </c>
      <c r="B367" s="6" t="s">
        <v>3901</v>
      </c>
      <c r="C367" s="5" t="s">
        <v>1652</v>
      </c>
      <c r="D367" s="5" t="s">
        <v>2200</v>
      </c>
      <c r="E367" s="5" t="s">
        <v>5283</v>
      </c>
      <c r="F367" s="5" t="s">
        <v>5201</v>
      </c>
      <c r="G367" s="5" t="s">
        <v>5284</v>
      </c>
      <c r="H367" s="5" t="s">
        <v>5285</v>
      </c>
      <c r="I367" s="5" t="s">
        <v>5286</v>
      </c>
      <c r="J367" s="17" t="s">
        <v>162</v>
      </c>
      <c r="K367" s="17" t="s">
        <v>1477</v>
      </c>
      <c r="L367" s="5" t="s">
        <v>5287</v>
      </c>
      <c r="M367" s="6" t="s">
        <v>1493</v>
      </c>
      <c r="N367" s="6" t="s">
        <v>2170</v>
      </c>
      <c r="O367" s="6" t="s">
        <v>162</v>
      </c>
      <c r="P367" s="5" t="s">
        <v>2272</v>
      </c>
      <c r="Q367" s="17" t="s">
        <v>2273</v>
      </c>
      <c r="R367" s="5" t="s">
        <v>5288</v>
      </c>
      <c r="S367" s="6" t="s">
        <v>3423</v>
      </c>
      <c r="T367" s="5" t="s">
        <v>3424</v>
      </c>
      <c r="U367" s="6"/>
      <c r="V367" s="6" t="s">
        <v>3425</v>
      </c>
      <c r="W367" s="6" t="s">
        <v>1701</v>
      </c>
      <c r="X367" s="5" t="s">
        <v>228</v>
      </c>
      <c r="Y367" s="5" t="s">
        <v>2170</v>
      </c>
      <c r="Z367" s="5" t="str">
        <f t="shared" si="10"/>
        <v>Medium</v>
      </c>
      <c r="AA367" s="5" t="s">
        <v>1319</v>
      </c>
      <c r="AB367" s="6" t="s">
        <v>1355</v>
      </c>
      <c r="AC367" s="6" t="s">
        <v>32</v>
      </c>
      <c r="AD367" s="5" t="s">
        <v>2278</v>
      </c>
      <c r="AE367" s="5" t="s">
        <v>1720</v>
      </c>
      <c r="AF367" s="5" t="s">
        <v>1720</v>
      </c>
      <c r="AG367" s="5" t="s">
        <v>1720</v>
      </c>
      <c r="AH367" s="5" t="s">
        <v>1720</v>
      </c>
      <c r="AI367" s="6" t="str">
        <f t="shared" si="11"/>
        <v>No</v>
      </c>
      <c r="AJ367" s="6" t="s">
        <v>2298</v>
      </c>
      <c r="AK367" s="6" t="s">
        <v>204</v>
      </c>
      <c r="AL367" s="6">
        <f>MATCH(AA367,{"Low","Medium","High"},0)*MATCH(AB367,{"Low","Medium","High"},0)*INDEX({3,2,2,1,1},MATCH(X367,{"Core","Vertical extension","Differentiator","Future","Adjacent"},0))</f>
        <v>6</v>
      </c>
      <c r="AM367" s="5"/>
      <c r="AN367" s="5"/>
      <c r="AO367" s="5"/>
      <c r="AP367" s="5"/>
      <c r="AQ367" s="5"/>
      <c r="AR367" s="5"/>
      <c r="AS367" s="5"/>
      <c r="AT367" s="5"/>
      <c r="AU367" s="6" t="s">
        <v>2317</v>
      </c>
      <c r="AV367" s="6" t="s">
        <v>2804</v>
      </c>
      <c r="AW367" s="6" t="s">
        <v>2804</v>
      </c>
      <c r="AX367" s="6" t="s">
        <v>2284</v>
      </c>
      <c r="AY367" s="6" t="s">
        <v>2285</v>
      </c>
      <c r="AZ367" s="6"/>
      <c r="BA367" s="6"/>
      <c r="BB367" s="6"/>
      <c r="BC367" s="6" t="s">
        <v>127</v>
      </c>
      <c r="BD367" s="6" t="s">
        <v>127</v>
      </c>
      <c r="BE367" s="6" t="s">
        <v>1477</v>
      </c>
      <c r="BF367" s="6" t="s">
        <v>2286</v>
      </c>
      <c r="BG367" s="6" t="s">
        <v>5289</v>
      </c>
      <c r="BH367" s="6" t="s">
        <v>5290</v>
      </c>
    </row>
    <row r="368" spans="1:60" ht="32" customHeight="1" x14ac:dyDescent="0.35">
      <c r="A368" s="13" t="s">
        <v>5291</v>
      </c>
      <c r="B368" s="6" t="s">
        <v>3901</v>
      </c>
      <c r="C368" s="5" t="s">
        <v>1652</v>
      </c>
      <c r="D368" s="5" t="s">
        <v>2200</v>
      </c>
      <c r="E368" s="5" t="s">
        <v>5292</v>
      </c>
      <c r="F368" s="5" t="s">
        <v>5293</v>
      </c>
      <c r="G368" s="5" t="s">
        <v>5201</v>
      </c>
      <c r="H368" s="5" t="s">
        <v>5294</v>
      </c>
      <c r="I368" s="5" t="s">
        <v>5295</v>
      </c>
      <c r="J368" s="17" t="s">
        <v>162</v>
      </c>
      <c r="K368" s="17" t="s">
        <v>1477</v>
      </c>
      <c r="L368" s="5" t="s">
        <v>5296</v>
      </c>
      <c r="M368" s="6" t="s">
        <v>1493</v>
      </c>
      <c r="N368" s="6" t="s">
        <v>2170</v>
      </c>
      <c r="O368" s="6" t="s">
        <v>162</v>
      </c>
      <c r="P368" s="5" t="s">
        <v>2272</v>
      </c>
      <c r="Q368" s="17" t="s">
        <v>2273</v>
      </c>
      <c r="R368" s="5" t="s">
        <v>5297</v>
      </c>
      <c r="S368" s="6" t="s">
        <v>3423</v>
      </c>
      <c r="T368" s="5" t="s">
        <v>3424</v>
      </c>
      <c r="U368" s="6"/>
      <c r="V368" s="6" t="s">
        <v>3425</v>
      </c>
      <c r="W368" s="6" t="s">
        <v>1701</v>
      </c>
      <c r="X368" s="5" t="s">
        <v>228</v>
      </c>
      <c r="Y368" s="5" t="s">
        <v>2170</v>
      </c>
      <c r="Z368" s="5" t="str">
        <f t="shared" si="10"/>
        <v>Medium</v>
      </c>
      <c r="AA368" s="5" t="s">
        <v>1319</v>
      </c>
      <c r="AB368" s="6" t="s">
        <v>1355</v>
      </c>
      <c r="AC368" s="6" t="s">
        <v>32</v>
      </c>
      <c r="AD368" s="5" t="s">
        <v>2278</v>
      </c>
      <c r="AE368" s="5" t="s">
        <v>1720</v>
      </c>
      <c r="AF368" s="5" t="s">
        <v>1720</v>
      </c>
      <c r="AG368" s="5" t="s">
        <v>1720</v>
      </c>
      <c r="AH368" s="5" t="s">
        <v>1720</v>
      </c>
      <c r="AI368" s="6" t="str">
        <f t="shared" si="11"/>
        <v>No</v>
      </c>
      <c r="AJ368" s="6" t="s">
        <v>2298</v>
      </c>
      <c r="AK368" s="6" t="s">
        <v>204</v>
      </c>
      <c r="AL368" s="6">
        <f>MATCH(AA368,{"Low","Medium","High"},0)*MATCH(AB368,{"Low","Medium","High"},0)*INDEX({3,2,2,1,1},MATCH(X368,{"Core","Vertical extension","Differentiator","Future","Adjacent"},0))</f>
        <v>6</v>
      </c>
      <c r="AM368" s="5"/>
      <c r="AN368" s="5"/>
      <c r="AO368" s="5"/>
      <c r="AP368" s="5"/>
      <c r="AQ368" s="5"/>
      <c r="AR368" s="5"/>
      <c r="AS368" s="5"/>
      <c r="AT368" s="5"/>
      <c r="AU368" s="6" t="s">
        <v>2317</v>
      </c>
      <c r="AV368" s="6" t="s">
        <v>2804</v>
      </c>
      <c r="AW368" s="6" t="s">
        <v>2804</v>
      </c>
      <c r="AX368" s="6" t="s">
        <v>2284</v>
      </c>
      <c r="AY368" s="6" t="s">
        <v>2285</v>
      </c>
      <c r="AZ368" s="6"/>
      <c r="BA368" s="6"/>
      <c r="BB368" s="6"/>
      <c r="BC368" s="6" t="s">
        <v>127</v>
      </c>
      <c r="BD368" s="6" t="s">
        <v>127</v>
      </c>
      <c r="BE368" s="6" t="s">
        <v>1477</v>
      </c>
      <c r="BF368" s="6" t="s">
        <v>2286</v>
      </c>
      <c r="BG368" s="6" t="s">
        <v>5298</v>
      </c>
      <c r="BH368" s="6" t="s">
        <v>5299</v>
      </c>
    </row>
    <row r="369" spans="1:60" ht="32" customHeight="1" x14ac:dyDescent="0.35">
      <c r="A369" s="13" t="s">
        <v>5300</v>
      </c>
      <c r="B369" s="6" t="s">
        <v>3901</v>
      </c>
      <c r="C369" s="5" t="s">
        <v>1652</v>
      </c>
      <c r="D369" s="5" t="s">
        <v>2200</v>
      </c>
      <c r="E369" s="5" t="s">
        <v>5301</v>
      </c>
      <c r="F369" s="5" t="s">
        <v>5302</v>
      </c>
      <c r="G369" s="5" t="s">
        <v>2396</v>
      </c>
      <c r="H369" s="5" t="s">
        <v>5303</v>
      </c>
      <c r="I369" s="5" t="s">
        <v>5304</v>
      </c>
      <c r="J369" s="17" t="s">
        <v>162</v>
      </c>
      <c r="K369" s="17" t="s">
        <v>95</v>
      </c>
      <c r="L369" s="5" t="s">
        <v>5305</v>
      </c>
      <c r="M369" s="6" t="s">
        <v>1493</v>
      </c>
      <c r="N369" s="6" t="s">
        <v>2170</v>
      </c>
      <c r="O369" s="6" t="s">
        <v>162</v>
      </c>
      <c r="P369" s="5" t="s">
        <v>2272</v>
      </c>
      <c r="Q369" s="17" t="s">
        <v>95</v>
      </c>
      <c r="R369" s="5" t="s">
        <v>5306</v>
      </c>
      <c r="S369" s="6" t="s">
        <v>3423</v>
      </c>
      <c r="T369" s="5" t="s">
        <v>3424</v>
      </c>
      <c r="U369" s="6"/>
      <c r="V369" s="6" t="s">
        <v>3425</v>
      </c>
      <c r="W369" s="6" t="s">
        <v>1701</v>
      </c>
      <c r="X369" s="5" t="s">
        <v>228</v>
      </c>
      <c r="Y369" s="5" t="s">
        <v>2170</v>
      </c>
      <c r="Z369" s="5" t="str">
        <f t="shared" si="10"/>
        <v>Medium</v>
      </c>
      <c r="AA369" s="5" t="s">
        <v>1319</v>
      </c>
      <c r="AB369" s="6" t="s">
        <v>1355</v>
      </c>
      <c r="AC369" s="6" t="s">
        <v>32</v>
      </c>
      <c r="AD369" s="5" t="s">
        <v>95</v>
      </c>
      <c r="AE369" s="5" t="s">
        <v>1720</v>
      </c>
      <c r="AF369" s="5" t="s">
        <v>1720</v>
      </c>
      <c r="AG369" s="5" t="s">
        <v>1720</v>
      </c>
      <c r="AH369" s="5" t="s">
        <v>1720</v>
      </c>
      <c r="AI369" s="6" t="str">
        <f t="shared" si="11"/>
        <v>No</v>
      </c>
      <c r="AJ369" s="6" t="s">
        <v>229</v>
      </c>
      <c r="AK369" s="6" t="s">
        <v>204</v>
      </c>
      <c r="AL369" s="6">
        <f>MATCH(AA369,{"Low","Medium","High"},0)*MATCH(AB369,{"Low","Medium","High"},0)*INDEX({3,2,2,1,1},MATCH(X369,{"Core","Vertical extension","Differentiator","Future","Adjacent"},0))</f>
        <v>6</v>
      </c>
      <c r="AM369" s="5"/>
      <c r="AN369" s="5"/>
      <c r="AO369" s="5"/>
      <c r="AP369" s="5"/>
      <c r="AQ369" s="5"/>
      <c r="AR369" s="5"/>
      <c r="AS369" s="5"/>
      <c r="AT369" s="5"/>
      <c r="AU369" s="6" t="s">
        <v>2317</v>
      </c>
      <c r="AV369" s="6" t="s">
        <v>5307</v>
      </c>
      <c r="AW369" s="6" t="s">
        <v>5307</v>
      </c>
      <c r="AX369" s="6" t="s">
        <v>2284</v>
      </c>
      <c r="AY369" s="6" t="s">
        <v>2285</v>
      </c>
      <c r="AZ369" s="6"/>
      <c r="BA369" s="6"/>
      <c r="BB369" s="6"/>
      <c r="BC369" s="6" t="s">
        <v>127</v>
      </c>
      <c r="BD369" s="6" t="s">
        <v>127</v>
      </c>
      <c r="BE369" s="6" t="s">
        <v>1477</v>
      </c>
      <c r="BF369" s="6" t="s">
        <v>95</v>
      </c>
      <c r="BG369" s="6" t="s">
        <v>5308</v>
      </c>
      <c r="BH369" s="6" t="s">
        <v>5309</v>
      </c>
    </row>
    <row r="370" spans="1:60" ht="32" customHeight="1" x14ac:dyDescent="0.35">
      <c r="A370" s="13" t="s">
        <v>5310</v>
      </c>
      <c r="B370" s="6" t="s">
        <v>3901</v>
      </c>
      <c r="C370" s="5" t="s">
        <v>1652</v>
      </c>
      <c r="D370" s="5" t="s">
        <v>2199</v>
      </c>
      <c r="E370" s="5" t="s">
        <v>5311</v>
      </c>
      <c r="F370" s="5" t="s">
        <v>5312</v>
      </c>
      <c r="G370" s="5" t="s">
        <v>2396</v>
      </c>
      <c r="H370" s="5" t="s">
        <v>5313</v>
      </c>
      <c r="I370" s="5" t="s">
        <v>5314</v>
      </c>
      <c r="J370" s="17" t="s">
        <v>162</v>
      </c>
      <c r="K370" s="17" t="s">
        <v>1477</v>
      </c>
      <c r="L370" s="5" t="s">
        <v>5315</v>
      </c>
      <c r="M370" s="6" t="s">
        <v>1493</v>
      </c>
      <c r="N370" s="6" t="s">
        <v>2170</v>
      </c>
      <c r="O370" s="6" t="s">
        <v>162</v>
      </c>
      <c r="P370" s="5" t="s">
        <v>2272</v>
      </c>
      <c r="Q370" s="17" t="s">
        <v>2273</v>
      </c>
      <c r="R370" s="5" t="s">
        <v>5316</v>
      </c>
      <c r="S370" s="6" t="s">
        <v>2416</v>
      </c>
      <c r="T370" s="5" t="s">
        <v>2417</v>
      </c>
      <c r="U370" s="6"/>
      <c r="V370" s="6" t="s">
        <v>2277</v>
      </c>
      <c r="W370" s="6" t="s">
        <v>1697</v>
      </c>
      <c r="X370" s="5" t="s">
        <v>228</v>
      </c>
      <c r="Y370" s="5" t="s">
        <v>2170</v>
      </c>
      <c r="Z370" s="5" t="str">
        <f t="shared" si="10"/>
        <v>Medium</v>
      </c>
      <c r="AA370" s="5" t="s">
        <v>1319</v>
      </c>
      <c r="AB370" s="6" t="s">
        <v>1355</v>
      </c>
      <c r="AC370" s="6" t="s">
        <v>135</v>
      </c>
      <c r="AD370" s="5" t="s">
        <v>2278</v>
      </c>
      <c r="AE370" s="5" t="s">
        <v>1720</v>
      </c>
      <c r="AF370" s="5" t="s">
        <v>1720</v>
      </c>
      <c r="AG370" s="5" t="s">
        <v>1720</v>
      </c>
      <c r="AH370" s="5" t="s">
        <v>1720</v>
      </c>
      <c r="AI370" s="6" t="str">
        <f t="shared" si="11"/>
        <v>No</v>
      </c>
      <c r="AJ370" s="6" t="s">
        <v>2298</v>
      </c>
      <c r="AK370" s="6" t="s">
        <v>162</v>
      </c>
      <c r="AL370" s="6">
        <f>MATCH(AA370,{"Low","Medium","High"},0)*MATCH(AB370,{"Low","Medium","High"},0)*INDEX({3,2,2,1,1},MATCH(X370,{"Core","Vertical extension","Differentiator","Future","Adjacent"},0))</f>
        <v>6</v>
      </c>
      <c r="AM370" s="5"/>
      <c r="AN370" s="5"/>
      <c r="AO370" s="5"/>
      <c r="AP370" s="5"/>
      <c r="AQ370" s="5"/>
      <c r="AR370" s="5"/>
      <c r="AS370" s="5"/>
      <c r="AT370" s="5"/>
      <c r="AU370" s="6" t="s">
        <v>2317</v>
      </c>
      <c r="AV370" s="6" t="s">
        <v>2804</v>
      </c>
      <c r="AW370" s="6" t="s">
        <v>2804</v>
      </c>
      <c r="AX370" s="6" t="s">
        <v>2284</v>
      </c>
      <c r="AY370" s="6" t="s">
        <v>2285</v>
      </c>
      <c r="AZ370" s="6"/>
      <c r="BA370" s="6" t="s">
        <v>2419</v>
      </c>
      <c r="BB370" s="6" t="s">
        <v>2420</v>
      </c>
      <c r="BC370" s="6" t="s">
        <v>127</v>
      </c>
      <c r="BD370" s="6" t="s">
        <v>127</v>
      </c>
      <c r="BE370" s="6" t="s">
        <v>1477</v>
      </c>
      <c r="BF370" s="6" t="s">
        <v>2286</v>
      </c>
      <c r="BG370" s="6" t="s">
        <v>2421</v>
      </c>
      <c r="BH370" s="6" t="s">
        <v>5317</v>
      </c>
    </row>
    <row r="371" spans="1:60" ht="32" customHeight="1" x14ac:dyDescent="0.35">
      <c r="A371" s="13" t="s">
        <v>5318</v>
      </c>
      <c r="B371" s="6" t="s">
        <v>3901</v>
      </c>
      <c r="C371" s="5" t="s">
        <v>1652</v>
      </c>
      <c r="D371" s="5" t="s">
        <v>2199</v>
      </c>
      <c r="E371" s="5" t="s">
        <v>5319</v>
      </c>
      <c r="F371" s="5" t="s">
        <v>3417</v>
      </c>
      <c r="G371" s="5" t="s">
        <v>5320</v>
      </c>
      <c r="H371" s="5" t="s">
        <v>5321</v>
      </c>
      <c r="I371" s="5" t="s">
        <v>5322</v>
      </c>
      <c r="J371" s="17" t="s">
        <v>162</v>
      </c>
      <c r="K371" s="17" t="s">
        <v>163</v>
      </c>
      <c r="L371" s="5" t="s">
        <v>5323</v>
      </c>
      <c r="M371" s="6" t="s">
        <v>1493</v>
      </c>
      <c r="N371" s="6" t="s">
        <v>2170</v>
      </c>
      <c r="O371" s="6" t="s">
        <v>162</v>
      </c>
      <c r="P371" s="5" t="s">
        <v>2272</v>
      </c>
      <c r="Q371" s="17" t="s">
        <v>163</v>
      </c>
      <c r="R371" s="5" t="s">
        <v>5324</v>
      </c>
      <c r="S371" s="6" t="s">
        <v>2416</v>
      </c>
      <c r="T371" s="5" t="s">
        <v>2417</v>
      </c>
      <c r="U371" s="6"/>
      <c r="V371" s="6" t="s">
        <v>2277</v>
      </c>
      <c r="W371" s="6" t="s">
        <v>1697</v>
      </c>
      <c r="X371" s="5" t="s">
        <v>228</v>
      </c>
      <c r="Y371" s="5" t="s">
        <v>2170</v>
      </c>
      <c r="Z371" s="5" t="str">
        <f t="shared" si="10"/>
        <v>Medium</v>
      </c>
      <c r="AA371" s="5" t="s">
        <v>1319</v>
      </c>
      <c r="AB371" s="6" t="s">
        <v>1355</v>
      </c>
      <c r="AC371" s="6" t="s">
        <v>135</v>
      </c>
      <c r="AD371" s="5" t="s">
        <v>1805</v>
      </c>
      <c r="AE371" s="5" t="s">
        <v>1720</v>
      </c>
      <c r="AF371" s="5" t="s">
        <v>1720</v>
      </c>
      <c r="AG371" s="5" t="s">
        <v>1720</v>
      </c>
      <c r="AH371" s="5" t="s">
        <v>1720</v>
      </c>
      <c r="AI371" s="6" t="str">
        <f t="shared" si="11"/>
        <v>No</v>
      </c>
      <c r="AJ371" s="6" t="s">
        <v>287</v>
      </c>
      <c r="AK371" s="6" t="s">
        <v>162</v>
      </c>
      <c r="AL371" s="6">
        <f>MATCH(AA371,{"Low","Medium","High"},0)*MATCH(AB371,{"Low","Medium","High"},0)*INDEX({3,2,2,1,1},MATCH(X371,{"Core","Vertical extension","Differentiator","Future","Adjacent"},0))</f>
        <v>6</v>
      </c>
      <c r="AM371" s="5"/>
      <c r="AN371" s="5"/>
      <c r="AO371" s="5"/>
      <c r="AP371" s="5"/>
      <c r="AQ371" s="5"/>
      <c r="AR371" s="5"/>
      <c r="AS371" s="5"/>
      <c r="AT371" s="5"/>
      <c r="AU371" s="6" t="s">
        <v>2317</v>
      </c>
      <c r="AV371" s="6" t="s">
        <v>2804</v>
      </c>
      <c r="AW371" s="6" t="s">
        <v>2804</v>
      </c>
      <c r="AX371" s="6" t="s">
        <v>2284</v>
      </c>
      <c r="AY371" s="6" t="s">
        <v>2285</v>
      </c>
      <c r="AZ371" s="6"/>
      <c r="BA371" s="6"/>
      <c r="BB371" s="6"/>
      <c r="BC371" s="6" t="s">
        <v>127</v>
      </c>
      <c r="BD371" s="6" t="s">
        <v>127</v>
      </c>
      <c r="BE371" s="6" t="s">
        <v>1477</v>
      </c>
      <c r="BF371" s="6" t="s">
        <v>288</v>
      </c>
      <c r="BG371" s="6" t="s">
        <v>5325</v>
      </c>
      <c r="BH371" s="6" t="s">
        <v>5326</v>
      </c>
    </row>
    <row r="372" spans="1:60" ht="32" customHeight="1" x14ac:dyDescent="0.35">
      <c r="A372" s="13" t="s">
        <v>5327</v>
      </c>
      <c r="B372" s="6" t="s">
        <v>3901</v>
      </c>
      <c r="C372" s="5" t="s">
        <v>1652</v>
      </c>
      <c r="D372" s="5" t="s">
        <v>2199</v>
      </c>
      <c r="E372" s="5" t="s">
        <v>5328</v>
      </c>
      <c r="F372" s="5" t="s">
        <v>5329</v>
      </c>
      <c r="G372" s="5" t="s">
        <v>3209</v>
      </c>
      <c r="H372" s="5" t="s">
        <v>5330</v>
      </c>
      <c r="I372" s="5" t="s">
        <v>5331</v>
      </c>
      <c r="J372" s="17" t="s">
        <v>162</v>
      </c>
      <c r="K372" s="17" t="s">
        <v>95</v>
      </c>
      <c r="L372" s="5" t="s">
        <v>5332</v>
      </c>
      <c r="M372" s="6" t="s">
        <v>1493</v>
      </c>
      <c r="N372" s="6" t="s">
        <v>2170</v>
      </c>
      <c r="O372" s="6" t="s">
        <v>162</v>
      </c>
      <c r="P372" s="5" t="s">
        <v>2272</v>
      </c>
      <c r="Q372" s="17" t="s">
        <v>95</v>
      </c>
      <c r="R372" s="5" t="s">
        <v>5333</v>
      </c>
      <c r="S372" s="6" t="s">
        <v>2416</v>
      </c>
      <c r="T372" s="5" t="s">
        <v>2417</v>
      </c>
      <c r="U372" s="6"/>
      <c r="V372" s="6" t="s">
        <v>2277</v>
      </c>
      <c r="W372" s="6" t="s">
        <v>1697</v>
      </c>
      <c r="X372" s="5" t="s">
        <v>228</v>
      </c>
      <c r="Y372" s="5" t="s">
        <v>2170</v>
      </c>
      <c r="Z372" s="5" t="str">
        <f t="shared" si="10"/>
        <v>Medium</v>
      </c>
      <c r="AA372" s="5" t="s">
        <v>1319</v>
      </c>
      <c r="AB372" s="6" t="s">
        <v>1355</v>
      </c>
      <c r="AC372" s="6" t="s">
        <v>135</v>
      </c>
      <c r="AD372" s="5" t="s">
        <v>95</v>
      </c>
      <c r="AE372" s="5" t="s">
        <v>1720</v>
      </c>
      <c r="AF372" s="5" t="s">
        <v>1720</v>
      </c>
      <c r="AG372" s="5" t="s">
        <v>1720</v>
      </c>
      <c r="AH372" s="5" t="s">
        <v>1720</v>
      </c>
      <c r="AI372" s="6" t="str">
        <f t="shared" si="11"/>
        <v>No</v>
      </c>
      <c r="AJ372" s="6" t="s">
        <v>229</v>
      </c>
      <c r="AK372" s="6" t="s">
        <v>162</v>
      </c>
      <c r="AL372" s="6">
        <f>MATCH(AA372,{"Low","Medium","High"},0)*MATCH(AB372,{"Low","Medium","High"},0)*INDEX({3,2,2,1,1},MATCH(X372,{"Core","Vertical extension","Differentiator","Future","Adjacent"},0))</f>
        <v>6</v>
      </c>
      <c r="AM372" s="5"/>
      <c r="AN372" s="5"/>
      <c r="AO372" s="5"/>
      <c r="AP372" s="5"/>
      <c r="AQ372" s="5"/>
      <c r="AR372" s="5"/>
      <c r="AS372" s="5"/>
      <c r="AT372" s="5"/>
      <c r="AU372" s="6" t="s">
        <v>2317</v>
      </c>
      <c r="AV372" s="6" t="s">
        <v>2784</v>
      </c>
      <c r="AW372" s="6" t="s">
        <v>2784</v>
      </c>
      <c r="AX372" s="6" t="s">
        <v>2284</v>
      </c>
      <c r="AY372" s="6" t="s">
        <v>2285</v>
      </c>
      <c r="AZ372" s="6"/>
      <c r="BA372" s="6" t="s">
        <v>2419</v>
      </c>
      <c r="BB372" s="6" t="s">
        <v>2420</v>
      </c>
      <c r="BC372" s="6" t="s">
        <v>127</v>
      </c>
      <c r="BD372" s="6" t="s">
        <v>127</v>
      </c>
      <c r="BE372" s="6" t="s">
        <v>1477</v>
      </c>
      <c r="BF372" s="6" t="s">
        <v>95</v>
      </c>
      <c r="BG372" s="6" t="s">
        <v>5334</v>
      </c>
      <c r="BH372" s="6" t="s">
        <v>5335</v>
      </c>
    </row>
    <row r="373" spans="1:60" ht="32" customHeight="1" x14ac:dyDescent="0.35">
      <c r="A373" s="13" t="s">
        <v>5336</v>
      </c>
      <c r="B373" s="6" t="s">
        <v>3901</v>
      </c>
      <c r="C373" s="5" t="s">
        <v>1652</v>
      </c>
      <c r="D373" s="5" t="s">
        <v>2199</v>
      </c>
      <c r="E373" s="5" t="s">
        <v>5337</v>
      </c>
      <c r="F373" s="5" t="s">
        <v>2911</v>
      </c>
      <c r="G373" s="5" t="s">
        <v>5338</v>
      </c>
      <c r="H373" s="5" t="s">
        <v>5339</v>
      </c>
      <c r="I373" s="5" t="s">
        <v>5340</v>
      </c>
      <c r="J373" s="17" t="s">
        <v>162</v>
      </c>
      <c r="K373" s="17" t="s">
        <v>163</v>
      </c>
      <c r="L373" s="5" t="s">
        <v>5341</v>
      </c>
      <c r="M373" s="6" t="s">
        <v>1493</v>
      </c>
      <c r="N373" s="6" t="s">
        <v>2170</v>
      </c>
      <c r="O373" s="6" t="s">
        <v>162</v>
      </c>
      <c r="P373" s="5" t="s">
        <v>2272</v>
      </c>
      <c r="Q373" s="17" t="s">
        <v>163</v>
      </c>
      <c r="R373" s="5" t="s">
        <v>5342</v>
      </c>
      <c r="S373" s="6" t="s">
        <v>2416</v>
      </c>
      <c r="T373" s="5" t="s">
        <v>2417</v>
      </c>
      <c r="U373" s="6"/>
      <c r="V373" s="6" t="s">
        <v>2277</v>
      </c>
      <c r="W373" s="6" t="s">
        <v>1697</v>
      </c>
      <c r="X373" s="5" t="s">
        <v>228</v>
      </c>
      <c r="Y373" s="5" t="s">
        <v>2170</v>
      </c>
      <c r="Z373" s="5" t="str">
        <f t="shared" si="10"/>
        <v>Medium</v>
      </c>
      <c r="AA373" s="5" t="s">
        <v>1319</v>
      </c>
      <c r="AB373" s="6" t="s">
        <v>1355</v>
      </c>
      <c r="AC373" s="6" t="s">
        <v>135</v>
      </c>
      <c r="AD373" s="5" t="s">
        <v>1805</v>
      </c>
      <c r="AE373" s="5" t="s">
        <v>1720</v>
      </c>
      <c r="AF373" s="5" t="s">
        <v>1720</v>
      </c>
      <c r="AG373" s="5" t="s">
        <v>1720</v>
      </c>
      <c r="AH373" s="5" t="s">
        <v>1720</v>
      </c>
      <c r="AI373" s="6" t="str">
        <f t="shared" si="11"/>
        <v>No</v>
      </c>
      <c r="AJ373" s="6" t="s">
        <v>287</v>
      </c>
      <c r="AK373" s="6" t="s">
        <v>162</v>
      </c>
      <c r="AL373" s="6">
        <f>MATCH(AA373,{"Low","Medium","High"},0)*MATCH(AB373,{"Low","Medium","High"},0)*INDEX({3,2,2,1,1},MATCH(X373,{"Core","Vertical extension","Differentiator","Future","Adjacent"},0))</f>
        <v>6</v>
      </c>
      <c r="AM373" s="5"/>
      <c r="AN373" s="5"/>
      <c r="AO373" s="5"/>
      <c r="AP373" s="5"/>
      <c r="AQ373" s="5"/>
      <c r="AR373" s="5"/>
      <c r="AS373" s="5"/>
      <c r="AT373" s="5"/>
      <c r="AU373" s="6" t="s">
        <v>2317</v>
      </c>
      <c r="AV373" s="6" t="s">
        <v>2784</v>
      </c>
      <c r="AW373" s="6" t="s">
        <v>2784</v>
      </c>
      <c r="AX373" s="6" t="s">
        <v>2284</v>
      </c>
      <c r="AY373" s="6" t="s">
        <v>2285</v>
      </c>
      <c r="AZ373" s="6"/>
      <c r="BA373" s="6"/>
      <c r="BB373" s="6"/>
      <c r="BC373" s="6" t="s">
        <v>127</v>
      </c>
      <c r="BD373" s="6" t="s">
        <v>127</v>
      </c>
      <c r="BE373" s="6" t="s">
        <v>1477</v>
      </c>
      <c r="BF373" s="6" t="s">
        <v>288</v>
      </c>
      <c r="BG373" s="6" t="s">
        <v>5343</v>
      </c>
      <c r="BH373" s="6" t="s">
        <v>5344</v>
      </c>
    </row>
    <row r="374" spans="1:60" ht="32" customHeight="1" x14ac:dyDescent="0.35">
      <c r="A374" s="13" t="s">
        <v>5345</v>
      </c>
      <c r="B374" s="6" t="s">
        <v>3901</v>
      </c>
      <c r="C374" s="5" t="s">
        <v>1652</v>
      </c>
      <c r="D374" s="5" t="s">
        <v>2199</v>
      </c>
      <c r="E374" s="5" t="s">
        <v>5346</v>
      </c>
      <c r="F374" s="5" t="s">
        <v>5347</v>
      </c>
      <c r="G374" s="5" t="s">
        <v>2875</v>
      </c>
      <c r="H374" s="5" t="s">
        <v>5348</v>
      </c>
      <c r="I374" s="5" t="s">
        <v>5349</v>
      </c>
      <c r="J374" s="17" t="s">
        <v>162</v>
      </c>
      <c r="K374" s="17" t="s">
        <v>95</v>
      </c>
      <c r="L374" s="5" t="s">
        <v>5350</v>
      </c>
      <c r="M374" s="6" t="s">
        <v>1493</v>
      </c>
      <c r="N374" s="6" t="s">
        <v>2170</v>
      </c>
      <c r="O374" s="6" t="s">
        <v>162</v>
      </c>
      <c r="P374" s="5" t="s">
        <v>2272</v>
      </c>
      <c r="Q374" s="17" t="s">
        <v>95</v>
      </c>
      <c r="R374" s="5" t="s">
        <v>5351</v>
      </c>
      <c r="S374" s="6" t="s">
        <v>2416</v>
      </c>
      <c r="T374" s="5" t="s">
        <v>2417</v>
      </c>
      <c r="U374" s="6"/>
      <c r="V374" s="6" t="s">
        <v>2277</v>
      </c>
      <c r="W374" s="6" t="s">
        <v>1697</v>
      </c>
      <c r="X374" s="5" t="s">
        <v>228</v>
      </c>
      <c r="Y374" s="5" t="s">
        <v>2170</v>
      </c>
      <c r="Z374" s="5" t="str">
        <f t="shared" si="10"/>
        <v>Medium</v>
      </c>
      <c r="AA374" s="5" t="s">
        <v>1319</v>
      </c>
      <c r="AB374" s="6" t="s">
        <v>1355</v>
      </c>
      <c r="AC374" s="6" t="s">
        <v>135</v>
      </c>
      <c r="AD374" s="5" t="s">
        <v>95</v>
      </c>
      <c r="AE374" s="5" t="s">
        <v>1720</v>
      </c>
      <c r="AF374" s="5" t="s">
        <v>1720</v>
      </c>
      <c r="AG374" s="5" t="s">
        <v>1720</v>
      </c>
      <c r="AH374" s="5" t="s">
        <v>1720</v>
      </c>
      <c r="AI374" s="6" t="str">
        <f t="shared" si="11"/>
        <v>No</v>
      </c>
      <c r="AJ374" s="6" t="s">
        <v>229</v>
      </c>
      <c r="AK374" s="6" t="s">
        <v>162</v>
      </c>
      <c r="AL374" s="6">
        <f>MATCH(AA374,{"Low","Medium","High"},0)*MATCH(AB374,{"Low","Medium","High"},0)*INDEX({3,2,2,1,1},MATCH(X374,{"Core","Vertical extension","Differentiator","Future","Adjacent"},0))</f>
        <v>6</v>
      </c>
      <c r="AM374" s="5"/>
      <c r="AN374" s="5"/>
      <c r="AO374" s="5"/>
      <c r="AP374" s="5"/>
      <c r="AQ374" s="5"/>
      <c r="AR374" s="5"/>
      <c r="AS374" s="5"/>
      <c r="AT374" s="5"/>
      <c r="AU374" s="6" t="s">
        <v>2317</v>
      </c>
      <c r="AV374" s="6" t="s">
        <v>2784</v>
      </c>
      <c r="AW374" s="6" t="s">
        <v>2784</v>
      </c>
      <c r="AX374" s="6" t="s">
        <v>2284</v>
      </c>
      <c r="AY374" s="6" t="s">
        <v>2285</v>
      </c>
      <c r="AZ374" s="6"/>
      <c r="BA374" s="6"/>
      <c r="BB374" s="6"/>
      <c r="BC374" s="6" t="s">
        <v>127</v>
      </c>
      <c r="BD374" s="6" t="s">
        <v>127</v>
      </c>
      <c r="BE374" s="6" t="s">
        <v>1477</v>
      </c>
      <c r="BF374" s="6" t="s">
        <v>95</v>
      </c>
      <c r="BG374" s="6" t="s">
        <v>5352</v>
      </c>
      <c r="BH374" s="6" t="s">
        <v>5353</v>
      </c>
    </row>
    <row r="375" spans="1:60" ht="32" customHeight="1" x14ac:dyDescent="0.35">
      <c r="A375" s="13" t="s">
        <v>5354</v>
      </c>
      <c r="B375" s="6" t="s">
        <v>3901</v>
      </c>
      <c r="C375" s="5" t="s">
        <v>1652</v>
      </c>
      <c r="D375" s="5" t="s">
        <v>2199</v>
      </c>
      <c r="E375" s="5" t="s">
        <v>5355</v>
      </c>
      <c r="F375" s="5" t="s">
        <v>4126</v>
      </c>
      <c r="G375" s="5" t="s">
        <v>2911</v>
      </c>
      <c r="H375" s="5" t="s">
        <v>5356</v>
      </c>
      <c r="I375" s="5" t="s">
        <v>5357</v>
      </c>
      <c r="J375" s="17" t="s">
        <v>162</v>
      </c>
      <c r="K375" s="17" t="s">
        <v>1477</v>
      </c>
      <c r="L375" s="5" t="s">
        <v>5358</v>
      </c>
      <c r="M375" s="6" t="s">
        <v>1493</v>
      </c>
      <c r="N375" s="6" t="s">
        <v>2170</v>
      </c>
      <c r="O375" s="6" t="s">
        <v>162</v>
      </c>
      <c r="P375" s="5" t="s">
        <v>2369</v>
      </c>
      <c r="Q375" s="17" t="s">
        <v>2273</v>
      </c>
      <c r="R375" s="5" t="s">
        <v>5359</v>
      </c>
      <c r="S375" s="6" t="s">
        <v>2416</v>
      </c>
      <c r="T375" s="5" t="s">
        <v>2417</v>
      </c>
      <c r="U375" s="6"/>
      <c r="V375" s="6" t="s">
        <v>2277</v>
      </c>
      <c r="W375" s="6" t="s">
        <v>1697</v>
      </c>
      <c r="X375" s="5" t="s">
        <v>228</v>
      </c>
      <c r="Y375" s="5" t="s">
        <v>2170</v>
      </c>
      <c r="Z375" s="5" t="str">
        <f t="shared" si="10"/>
        <v>Medium</v>
      </c>
      <c r="AA375" s="5" t="s">
        <v>1319</v>
      </c>
      <c r="AB375" s="6" t="s">
        <v>1355</v>
      </c>
      <c r="AC375" s="6" t="s">
        <v>135</v>
      </c>
      <c r="AD375" s="5" t="s">
        <v>2278</v>
      </c>
      <c r="AE375" s="5" t="s">
        <v>1720</v>
      </c>
      <c r="AF375" s="5" t="s">
        <v>1720</v>
      </c>
      <c r="AG375" s="5" t="s">
        <v>1720</v>
      </c>
      <c r="AH375" s="5" t="s">
        <v>1720</v>
      </c>
      <c r="AI375" s="6" t="str">
        <f t="shared" si="11"/>
        <v>No</v>
      </c>
      <c r="AJ375" s="6" t="s">
        <v>2298</v>
      </c>
      <c r="AK375" s="6" t="s">
        <v>162</v>
      </c>
      <c r="AL375" s="6">
        <f>MATCH(AA375,{"Low","Medium","High"},0)*MATCH(AB375,{"Low","Medium","High"},0)*INDEX({3,2,2,1,1},MATCH(X375,{"Core","Vertical extension","Differentiator","Future","Adjacent"},0))</f>
        <v>6</v>
      </c>
      <c r="AM375" s="5"/>
      <c r="AN375" s="5"/>
      <c r="AO375" s="5"/>
      <c r="AP375" s="5"/>
      <c r="AQ375" s="5"/>
      <c r="AR375" s="5"/>
      <c r="AS375" s="5"/>
      <c r="AT375" s="5"/>
      <c r="AU375" s="6" t="s">
        <v>2317</v>
      </c>
      <c r="AV375" s="6" t="s">
        <v>3968</v>
      </c>
      <c r="AW375" s="6" t="s">
        <v>3968</v>
      </c>
      <c r="AX375" s="6" t="s">
        <v>2374</v>
      </c>
      <c r="AY375" s="6" t="s">
        <v>2285</v>
      </c>
      <c r="AZ375" s="6"/>
      <c r="BA375" s="6" t="s">
        <v>2502</v>
      </c>
      <c r="BB375" s="6" t="s">
        <v>2474</v>
      </c>
      <c r="BC375" s="6" t="s">
        <v>127</v>
      </c>
      <c r="BD375" s="6" t="s">
        <v>127</v>
      </c>
      <c r="BE375" s="6" t="s">
        <v>1477</v>
      </c>
      <c r="BF375" s="6" t="s">
        <v>2286</v>
      </c>
      <c r="BG375" s="6" t="s">
        <v>5360</v>
      </c>
      <c r="BH375" s="6" t="s">
        <v>5361</v>
      </c>
    </row>
    <row r="376" spans="1:60" ht="32" customHeight="1" x14ac:dyDescent="0.35">
      <c r="A376" s="13" t="s">
        <v>5362</v>
      </c>
      <c r="B376" s="6" t="s">
        <v>3901</v>
      </c>
      <c r="C376" s="5" t="s">
        <v>1652</v>
      </c>
      <c r="D376" s="5" t="s">
        <v>2199</v>
      </c>
      <c r="E376" s="5" t="s">
        <v>5363</v>
      </c>
      <c r="F376" s="5" t="s">
        <v>2911</v>
      </c>
      <c r="G376" s="5" t="s">
        <v>5364</v>
      </c>
      <c r="H376" s="5" t="s">
        <v>5365</v>
      </c>
      <c r="I376" s="5" t="s">
        <v>5366</v>
      </c>
      <c r="J376" s="17" t="s">
        <v>162</v>
      </c>
      <c r="K376" s="17" t="s">
        <v>95</v>
      </c>
      <c r="L376" s="5" t="s">
        <v>5367</v>
      </c>
      <c r="M376" s="6" t="s">
        <v>1493</v>
      </c>
      <c r="N376" s="6" t="s">
        <v>2170</v>
      </c>
      <c r="O376" s="6" t="s">
        <v>162</v>
      </c>
      <c r="P376" s="5" t="s">
        <v>2272</v>
      </c>
      <c r="Q376" s="17" t="s">
        <v>95</v>
      </c>
      <c r="R376" s="5" t="s">
        <v>5368</v>
      </c>
      <c r="S376" s="6" t="s">
        <v>2416</v>
      </c>
      <c r="T376" s="5" t="s">
        <v>2417</v>
      </c>
      <c r="U376" s="6"/>
      <c r="V376" s="6" t="s">
        <v>2277</v>
      </c>
      <c r="W376" s="6" t="s">
        <v>1697</v>
      </c>
      <c r="X376" s="5" t="s">
        <v>228</v>
      </c>
      <c r="Y376" s="5" t="s">
        <v>2170</v>
      </c>
      <c r="Z376" s="5" t="str">
        <f t="shared" si="10"/>
        <v>Medium</v>
      </c>
      <c r="AA376" s="5" t="s">
        <v>1319</v>
      </c>
      <c r="AB376" s="6" t="s">
        <v>1355</v>
      </c>
      <c r="AC376" s="6" t="s">
        <v>135</v>
      </c>
      <c r="AD376" s="5" t="s">
        <v>95</v>
      </c>
      <c r="AE376" s="5" t="s">
        <v>1720</v>
      </c>
      <c r="AF376" s="5" t="s">
        <v>1720</v>
      </c>
      <c r="AG376" s="5" t="s">
        <v>1720</v>
      </c>
      <c r="AH376" s="5" t="s">
        <v>1720</v>
      </c>
      <c r="AI376" s="6" t="str">
        <f t="shared" si="11"/>
        <v>No</v>
      </c>
      <c r="AJ376" s="6" t="s">
        <v>229</v>
      </c>
      <c r="AK376" s="6" t="s">
        <v>162</v>
      </c>
      <c r="AL376" s="6">
        <f>MATCH(AA376,{"Low","Medium","High"},0)*MATCH(AB376,{"Low","Medium","High"},0)*INDEX({3,2,2,1,1},MATCH(X376,{"Core","Vertical extension","Differentiator","Future","Adjacent"},0))</f>
        <v>6</v>
      </c>
      <c r="AM376" s="5"/>
      <c r="AN376" s="5"/>
      <c r="AO376" s="5"/>
      <c r="AP376" s="5"/>
      <c r="AQ376" s="5"/>
      <c r="AR376" s="5"/>
      <c r="AS376" s="5"/>
      <c r="AT376" s="5"/>
      <c r="AU376" s="6" t="s">
        <v>2317</v>
      </c>
      <c r="AV376" s="6" t="s">
        <v>2784</v>
      </c>
      <c r="AW376" s="6" t="s">
        <v>2784</v>
      </c>
      <c r="AX376" s="6" t="s">
        <v>2284</v>
      </c>
      <c r="AY376" s="6" t="s">
        <v>2285</v>
      </c>
      <c r="AZ376" s="6"/>
      <c r="BA376" s="6"/>
      <c r="BB376" s="6"/>
      <c r="BC376" s="6" t="s">
        <v>127</v>
      </c>
      <c r="BD376" s="6" t="s">
        <v>127</v>
      </c>
      <c r="BE376" s="6" t="s">
        <v>1477</v>
      </c>
      <c r="BF376" s="6" t="s">
        <v>95</v>
      </c>
      <c r="BG376" s="6" t="s">
        <v>5369</v>
      </c>
      <c r="BH376" s="6" t="s">
        <v>5370</v>
      </c>
    </row>
    <row r="377" spans="1:60" ht="32" customHeight="1" x14ac:dyDescent="0.35">
      <c r="A377" s="13" t="s">
        <v>5371</v>
      </c>
      <c r="B377" s="6" t="s">
        <v>3901</v>
      </c>
      <c r="C377" s="5" t="s">
        <v>1652</v>
      </c>
      <c r="D377" s="5" t="s">
        <v>2199</v>
      </c>
      <c r="E377" s="5" t="s">
        <v>5372</v>
      </c>
      <c r="F377" s="5" t="s">
        <v>2973</v>
      </c>
      <c r="G377" s="5" t="s">
        <v>2396</v>
      </c>
      <c r="H377" s="5" t="s">
        <v>5373</v>
      </c>
      <c r="I377" s="5" t="s">
        <v>5374</v>
      </c>
      <c r="J377" s="17" t="s">
        <v>162</v>
      </c>
      <c r="K377" s="17" t="s">
        <v>1477</v>
      </c>
      <c r="L377" s="5" t="s">
        <v>5375</v>
      </c>
      <c r="M377" s="6" t="s">
        <v>1493</v>
      </c>
      <c r="N377" s="6" t="s">
        <v>2170</v>
      </c>
      <c r="O377" s="6" t="s">
        <v>162</v>
      </c>
      <c r="P377" s="5" t="s">
        <v>2272</v>
      </c>
      <c r="Q377" s="18" t="s">
        <v>1482</v>
      </c>
      <c r="R377" s="5" t="s">
        <v>4057</v>
      </c>
      <c r="S377" s="6" t="s">
        <v>2416</v>
      </c>
      <c r="T377" s="5" t="s">
        <v>2417</v>
      </c>
      <c r="U377" s="6"/>
      <c r="V377" s="6" t="s">
        <v>2277</v>
      </c>
      <c r="W377" s="6" t="s">
        <v>1697</v>
      </c>
      <c r="X377" s="5" t="s">
        <v>228</v>
      </c>
      <c r="Y377" s="5" t="s">
        <v>2170</v>
      </c>
      <c r="Z377" s="5" t="str">
        <f t="shared" si="10"/>
        <v>Medium</v>
      </c>
      <c r="AA377" s="5" t="s">
        <v>1319</v>
      </c>
      <c r="AB377" s="6" t="s">
        <v>1355</v>
      </c>
      <c r="AC377" s="6" t="s">
        <v>135</v>
      </c>
      <c r="AD377" s="5" t="s">
        <v>2278</v>
      </c>
      <c r="AE377" s="5" t="s">
        <v>1720</v>
      </c>
      <c r="AF377" s="5" t="s">
        <v>1720</v>
      </c>
      <c r="AG377" s="5" t="s">
        <v>1720</v>
      </c>
      <c r="AH377" s="5" t="s">
        <v>1720</v>
      </c>
      <c r="AI377" s="6" t="str">
        <f t="shared" si="11"/>
        <v>No</v>
      </c>
      <c r="AJ377" s="6" t="s">
        <v>2298</v>
      </c>
      <c r="AK377" s="6" t="s">
        <v>162</v>
      </c>
      <c r="AL377" s="6">
        <f>MATCH(AA377,{"Low","Medium","High"},0)*MATCH(AB377,{"Low","Medium","High"},0)*INDEX({3,2,2,1,1},MATCH(X377,{"Core","Vertical extension","Differentiator","Future","Adjacent"},0))</f>
        <v>6</v>
      </c>
      <c r="AM377" s="5"/>
      <c r="AN377" s="5"/>
      <c r="AO377" s="5"/>
      <c r="AP377" s="5"/>
      <c r="AQ377" s="5"/>
      <c r="AR377" s="5"/>
      <c r="AS377" s="5"/>
      <c r="AT377" s="5"/>
      <c r="AU377" s="6" t="s">
        <v>2317</v>
      </c>
      <c r="AV377" s="6" t="s">
        <v>76</v>
      </c>
      <c r="AW377" s="6" t="s">
        <v>76</v>
      </c>
      <c r="AX377" s="6" t="s">
        <v>2284</v>
      </c>
      <c r="AY377" s="6" t="s">
        <v>2285</v>
      </c>
      <c r="AZ377" s="6"/>
      <c r="BA377" s="6" t="s">
        <v>4058</v>
      </c>
      <c r="BB377" s="6" t="s">
        <v>4059</v>
      </c>
      <c r="BC377" s="6" t="s">
        <v>127</v>
      </c>
      <c r="BD377" s="6" t="s">
        <v>127</v>
      </c>
      <c r="BE377" s="6"/>
      <c r="BF377" s="6"/>
      <c r="BG377" s="6"/>
      <c r="BH377" s="6"/>
    </row>
    <row r="378" spans="1:60" ht="32" customHeight="1" x14ac:dyDescent="0.35">
      <c r="A378" s="13" t="s">
        <v>5376</v>
      </c>
      <c r="B378" s="6" t="s">
        <v>3901</v>
      </c>
      <c r="C378" s="5" t="s">
        <v>1652</v>
      </c>
      <c r="D378" s="5" t="s">
        <v>2199</v>
      </c>
      <c r="E378" s="5" t="s">
        <v>5377</v>
      </c>
      <c r="F378" s="5" t="s">
        <v>4071</v>
      </c>
      <c r="G378" s="5" t="s">
        <v>2396</v>
      </c>
      <c r="H378" s="5" t="s">
        <v>5378</v>
      </c>
      <c r="I378" s="5" t="s">
        <v>5379</v>
      </c>
      <c r="J378" s="17" t="s">
        <v>162</v>
      </c>
      <c r="K378" s="17" t="s">
        <v>1477</v>
      </c>
      <c r="L378" s="5" t="s">
        <v>5380</v>
      </c>
      <c r="M378" s="6" t="s">
        <v>1493</v>
      </c>
      <c r="N378" s="6" t="s">
        <v>2170</v>
      </c>
      <c r="O378" s="6" t="s">
        <v>162</v>
      </c>
      <c r="P378" s="5" t="s">
        <v>2272</v>
      </c>
      <c r="Q378" s="18" t="s">
        <v>1482</v>
      </c>
      <c r="R378" s="5" t="s">
        <v>4057</v>
      </c>
      <c r="S378" s="6" t="s">
        <v>2416</v>
      </c>
      <c r="T378" s="5" t="s">
        <v>2417</v>
      </c>
      <c r="U378" s="6"/>
      <c r="V378" s="6" t="s">
        <v>2277</v>
      </c>
      <c r="W378" s="6" t="s">
        <v>1697</v>
      </c>
      <c r="X378" s="5" t="s">
        <v>228</v>
      </c>
      <c r="Y378" s="5" t="s">
        <v>2170</v>
      </c>
      <c r="Z378" s="5" t="str">
        <f t="shared" si="10"/>
        <v>Medium</v>
      </c>
      <c r="AA378" s="5" t="s">
        <v>1319</v>
      </c>
      <c r="AB378" s="6" t="s">
        <v>1355</v>
      </c>
      <c r="AC378" s="6" t="s">
        <v>135</v>
      </c>
      <c r="AD378" s="5" t="s">
        <v>2278</v>
      </c>
      <c r="AE378" s="5" t="s">
        <v>1720</v>
      </c>
      <c r="AF378" s="5" t="s">
        <v>1720</v>
      </c>
      <c r="AG378" s="5" t="s">
        <v>1720</v>
      </c>
      <c r="AH378" s="5" t="s">
        <v>1720</v>
      </c>
      <c r="AI378" s="6" t="str">
        <f t="shared" si="11"/>
        <v>No</v>
      </c>
      <c r="AJ378" s="6" t="s">
        <v>2298</v>
      </c>
      <c r="AK378" s="6" t="s">
        <v>162</v>
      </c>
      <c r="AL378" s="6">
        <f>MATCH(AA378,{"Low","Medium","High"},0)*MATCH(AB378,{"Low","Medium","High"},0)*INDEX({3,2,2,1,1},MATCH(X378,{"Core","Vertical extension","Differentiator","Future","Adjacent"},0))</f>
        <v>6</v>
      </c>
      <c r="AM378" s="5"/>
      <c r="AN378" s="5"/>
      <c r="AO378" s="5"/>
      <c r="AP378" s="5"/>
      <c r="AQ378" s="5"/>
      <c r="AR378" s="5"/>
      <c r="AS378" s="5"/>
      <c r="AT378" s="5"/>
      <c r="AU378" s="6" t="s">
        <v>2317</v>
      </c>
      <c r="AV378" s="6" t="s">
        <v>76</v>
      </c>
      <c r="AW378" s="6" t="s">
        <v>76</v>
      </c>
      <c r="AX378" s="6" t="s">
        <v>2284</v>
      </c>
      <c r="AY378" s="6" t="s">
        <v>2285</v>
      </c>
      <c r="AZ378" s="6"/>
      <c r="BA378" s="6" t="s">
        <v>4678</v>
      </c>
      <c r="BB378" s="6" t="s">
        <v>4059</v>
      </c>
      <c r="BC378" s="6" t="s">
        <v>127</v>
      </c>
      <c r="BD378" s="6" t="s">
        <v>127</v>
      </c>
      <c r="BE378" s="6"/>
      <c r="BF378" s="6"/>
      <c r="BG378" s="6"/>
      <c r="BH378" s="6"/>
    </row>
    <row r="379" spans="1:60" ht="32" customHeight="1" x14ac:dyDescent="0.35">
      <c r="A379" s="13" t="s">
        <v>5381</v>
      </c>
      <c r="B379" s="6" t="s">
        <v>3901</v>
      </c>
      <c r="C379" s="5" t="s">
        <v>1652</v>
      </c>
      <c r="D379" s="5" t="s">
        <v>2199</v>
      </c>
      <c r="E379" s="5" t="s">
        <v>5382</v>
      </c>
      <c r="F379" s="5" t="s">
        <v>3980</v>
      </c>
      <c r="G379" s="5" t="s">
        <v>2973</v>
      </c>
      <c r="H379" s="5" t="s">
        <v>5383</v>
      </c>
      <c r="I379" s="5" t="s">
        <v>5384</v>
      </c>
      <c r="J379" s="17" t="s">
        <v>162</v>
      </c>
      <c r="K379" s="17" t="s">
        <v>1477</v>
      </c>
      <c r="L379" s="5" t="s">
        <v>5385</v>
      </c>
      <c r="M379" s="6" t="s">
        <v>1493</v>
      </c>
      <c r="N379" s="6" t="s">
        <v>2170</v>
      </c>
      <c r="O379" s="6" t="s">
        <v>162</v>
      </c>
      <c r="P379" s="5" t="s">
        <v>2272</v>
      </c>
      <c r="Q379" s="17" t="s">
        <v>2273</v>
      </c>
      <c r="R379" s="5" t="s">
        <v>5386</v>
      </c>
      <c r="S379" s="6" t="s">
        <v>2416</v>
      </c>
      <c r="T379" s="5" t="s">
        <v>2417</v>
      </c>
      <c r="U379" s="6"/>
      <c r="V379" s="6" t="s">
        <v>2277</v>
      </c>
      <c r="W379" s="6" t="s">
        <v>1697</v>
      </c>
      <c r="X379" s="5" t="s">
        <v>228</v>
      </c>
      <c r="Y379" s="5" t="s">
        <v>2170</v>
      </c>
      <c r="Z379" s="5" t="str">
        <f t="shared" si="10"/>
        <v>Medium</v>
      </c>
      <c r="AA379" s="5" t="s">
        <v>1319</v>
      </c>
      <c r="AB379" s="6" t="s">
        <v>1355</v>
      </c>
      <c r="AC379" s="6" t="s">
        <v>135</v>
      </c>
      <c r="AD379" s="5" t="s">
        <v>2278</v>
      </c>
      <c r="AE379" s="5" t="s">
        <v>1720</v>
      </c>
      <c r="AF379" s="5" t="s">
        <v>1720</v>
      </c>
      <c r="AG379" s="5" t="s">
        <v>1720</v>
      </c>
      <c r="AH379" s="5" t="s">
        <v>1720</v>
      </c>
      <c r="AI379" s="6" t="str">
        <f t="shared" si="11"/>
        <v>No</v>
      </c>
      <c r="AJ379" s="6" t="s">
        <v>2298</v>
      </c>
      <c r="AK379" s="6" t="s">
        <v>162</v>
      </c>
      <c r="AL379" s="6">
        <f>MATCH(AA379,{"Low","Medium","High"},0)*MATCH(AB379,{"Low","Medium","High"},0)*INDEX({3,2,2,1,1},MATCH(X379,{"Core","Vertical extension","Differentiator","Future","Adjacent"},0))</f>
        <v>6</v>
      </c>
      <c r="AM379" s="5"/>
      <c r="AN379" s="5"/>
      <c r="AO379" s="5"/>
      <c r="AP379" s="5"/>
      <c r="AQ379" s="5"/>
      <c r="AR379" s="5"/>
      <c r="AS379" s="5"/>
      <c r="AT379" s="5"/>
      <c r="AU379" s="6" t="s">
        <v>2317</v>
      </c>
      <c r="AV379" s="6" t="s">
        <v>3968</v>
      </c>
      <c r="AW379" s="6" t="s">
        <v>3968</v>
      </c>
      <c r="AX379" s="6" t="s">
        <v>2284</v>
      </c>
      <c r="AY379" s="6" t="s">
        <v>2285</v>
      </c>
      <c r="AZ379" s="6"/>
      <c r="BA379" s="6"/>
      <c r="BB379" s="6"/>
      <c r="BC379" s="6" t="s">
        <v>127</v>
      </c>
      <c r="BD379" s="6" t="s">
        <v>127</v>
      </c>
      <c r="BE379" s="6" t="s">
        <v>1477</v>
      </c>
      <c r="BF379" s="6" t="s">
        <v>2286</v>
      </c>
      <c r="BG379" s="6" t="s">
        <v>4067</v>
      </c>
      <c r="BH379" s="6" t="s">
        <v>5387</v>
      </c>
    </row>
    <row r="380" spans="1:60" ht="32" customHeight="1" x14ac:dyDescent="0.35">
      <c r="A380" s="13" t="s">
        <v>5388</v>
      </c>
      <c r="B380" s="6" t="s">
        <v>3901</v>
      </c>
      <c r="C380" s="5" t="s">
        <v>1652</v>
      </c>
      <c r="D380" s="5" t="s">
        <v>2199</v>
      </c>
      <c r="E380" s="5" t="s">
        <v>5389</v>
      </c>
      <c r="F380" s="5" t="s">
        <v>5255</v>
      </c>
      <c r="G380" s="5" t="s">
        <v>2396</v>
      </c>
      <c r="H380" s="5" t="s">
        <v>5390</v>
      </c>
      <c r="I380" s="5" t="s">
        <v>5391</v>
      </c>
      <c r="J380" s="17" t="s">
        <v>162</v>
      </c>
      <c r="K380" s="17" t="s">
        <v>1477</v>
      </c>
      <c r="L380" s="5" t="s">
        <v>5392</v>
      </c>
      <c r="M380" s="6" t="s">
        <v>1493</v>
      </c>
      <c r="N380" s="6" t="s">
        <v>2170</v>
      </c>
      <c r="O380" s="6" t="s">
        <v>162</v>
      </c>
      <c r="P380" s="5" t="s">
        <v>2272</v>
      </c>
      <c r="Q380" s="17" t="s">
        <v>2273</v>
      </c>
      <c r="R380" s="5" t="s">
        <v>5393</v>
      </c>
      <c r="S380" s="6" t="s">
        <v>2416</v>
      </c>
      <c r="T380" s="5" t="s">
        <v>2417</v>
      </c>
      <c r="U380" s="6"/>
      <c r="V380" s="6" t="s">
        <v>2277</v>
      </c>
      <c r="W380" s="6" t="s">
        <v>1697</v>
      </c>
      <c r="X380" s="5" t="s">
        <v>228</v>
      </c>
      <c r="Y380" s="5" t="s">
        <v>2170</v>
      </c>
      <c r="Z380" s="5" t="str">
        <f t="shared" si="10"/>
        <v>Medium</v>
      </c>
      <c r="AA380" s="5" t="s">
        <v>1319</v>
      </c>
      <c r="AB380" s="6" t="s">
        <v>1355</v>
      </c>
      <c r="AC380" s="6" t="s">
        <v>135</v>
      </c>
      <c r="AD380" s="5" t="s">
        <v>2278</v>
      </c>
      <c r="AE380" s="5" t="s">
        <v>1720</v>
      </c>
      <c r="AF380" s="5" t="s">
        <v>1720</v>
      </c>
      <c r="AG380" s="5" t="s">
        <v>1720</v>
      </c>
      <c r="AH380" s="5" t="s">
        <v>1720</v>
      </c>
      <c r="AI380" s="6" t="str">
        <f t="shared" si="11"/>
        <v>No</v>
      </c>
      <c r="AJ380" s="6" t="s">
        <v>2298</v>
      </c>
      <c r="AK380" s="6" t="s">
        <v>162</v>
      </c>
      <c r="AL380" s="6">
        <f>MATCH(AA380,{"Low","Medium","High"},0)*MATCH(AB380,{"Low","Medium","High"},0)*INDEX({3,2,2,1,1},MATCH(X380,{"Core","Vertical extension","Differentiator","Future","Adjacent"},0))</f>
        <v>6</v>
      </c>
      <c r="AM380" s="5"/>
      <c r="AN380" s="5"/>
      <c r="AO380" s="5"/>
      <c r="AP380" s="5"/>
      <c r="AQ380" s="5"/>
      <c r="AR380" s="5"/>
      <c r="AS380" s="5"/>
      <c r="AT380" s="5"/>
      <c r="AU380" s="6" t="s">
        <v>2317</v>
      </c>
      <c r="AV380" s="6" t="s">
        <v>5260</v>
      </c>
      <c r="AW380" s="6" t="s">
        <v>5260</v>
      </c>
      <c r="AX380" s="6" t="s">
        <v>2284</v>
      </c>
      <c r="AY380" s="6" t="s">
        <v>2285</v>
      </c>
      <c r="AZ380" s="6"/>
      <c r="BA380" s="6"/>
      <c r="BB380" s="6"/>
      <c r="BC380" s="6" t="s">
        <v>127</v>
      </c>
      <c r="BD380" s="6" t="s">
        <v>127</v>
      </c>
      <c r="BE380" s="6" t="s">
        <v>1477</v>
      </c>
      <c r="BF380" s="6" t="s">
        <v>2286</v>
      </c>
      <c r="BG380" s="6" t="s">
        <v>5394</v>
      </c>
      <c r="BH380" s="6" t="s">
        <v>5395</v>
      </c>
    </row>
    <row r="381" spans="1:60" ht="32" customHeight="1" x14ac:dyDescent="0.35">
      <c r="A381" s="13" t="s">
        <v>5396</v>
      </c>
      <c r="B381" s="6" t="s">
        <v>3901</v>
      </c>
      <c r="C381" s="5" t="s">
        <v>1652</v>
      </c>
      <c r="D381" s="5" t="s">
        <v>2199</v>
      </c>
      <c r="E381" s="5" t="s">
        <v>5397</v>
      </c>
      <c r="F381" s="5" t="s">
        <v>5398</v>
      </c>
      <c r="G381" s="5" t="s">
        <v>5399</v>
      </c>
      <c r="H381" s="5" t="s">
        <v>5400</v>
      </c>
      <c r="I381" s="5" t="s">
        <v>5401</v>
      </c>
      <c r="J381" s="17" t="s">
        <v>162</v>
      </c>
      <c r="K381" s="17" t="s">
        <v>95</v>
      </c>
      <c r="L381" s="5" t="s">
        <v>5402</v>
      </c>
      <c r="M381" s="6" t="s">
        <v>1493</v>
      </c>
      <c r="N381" s="6" t="s">
        <v>2170</v>
      </c>
      <c r="O381" s="6" t="s">
        <v>162</v>
      </c>
      <c r="P381" s="5" t="s">
        <v>2272</v>
      </c>
      <c r="Q381" s="17" t="s">
        <v>95</v>
      </c>
      <c r="R381" s="5" t="s">
        <v>5403</v>
      </c>
      <c r="S381" s="6" t="s">
        <v>2416</v>
      </c>
      <c r="T381" s="5" t="s">
        <v>2417</v>
      </c>
      <c r="U381" s="6"/>
      <c r="V381" s="6" t="s">
        <v>2277</v>
      </c>
      <c r="W381" s="6" t="s">
        <v>1697</v>
      </c>
      <c r="X381" s="5" t="s">
        <v>228</v>
      </c>
      <c r="Y381" s="5" t="s">
        <v>2170</v>
      </c>
      <c r="Z381" s="5" t="str">
        <f t="shared" si="10"/>
        <v>Medium</v>
      </c>
      <c r="AA381" s="5" t="s">
        <v>1319</v>
      </c>
      <c r="AB381" s="6" t="s">
        <v>1355</v>
      </c>
      <c r="AC381" s="6" t="s">
        <v>135</v>
      </c>
      <c r="AD381" s="5" t="s">
        <v>95</v>
      </c>
      <c r="AE381" s="5" t="s">
        <v>1720</v>
      </c>
      <c r="AF381" s="5" t="s">
        <v>1720</v>
      </c>
      <c r="AG381" s="5" t="s">
        <v>1720</v>
      </c>
      <c r="AH381" s="5" t="s">
        <v>1720</v>
      </c>
      <c r="AI381" s="6" t="str">
        <f t="shared" si="11"/>
        <v>No</v>
      </c>
      <c r="AJ381" s="6" t="s">
        <v>229</v>
      </c>
      <c r="AK381" s="6" t="s">
        <v>162</v>
      </c>
      <c r="AL381" s="6">
        <f>MATCH(AA381,{"Low","Medium","High"},0)*MATCH(AB381,{"Low","Medium","High"},0)*INDEX({3,2,2,1,1},MATCH(X381,{"Core","Vertical extension","Differentiator","Future","Adjacent"},0))</f>
        <v>6</v>
      </c>
      <c r="AM381" s="5"/>
      <c r="AN381" s="5"/>
      <c r="AO381" s="5"/>
      <c r="AP381" s="5"/>
      <c r="AQ381" s="5"/>
      <c r="AR381" s="5"/>
      <c r="AS381" s="5"/>
      <c r="AT381" s="5"/>
      <c r="AU381" s="6" t="s">
        <v>2317</v>
      </c>
      <c r="AV381" s="6" t="s">
        <v>2804</v>
      </c>
      <c r="AW381" s="6" t="s">
        <v>2804</v>
      </c>
      <c r="AX381" s="6" t="s">
        <v>2284</v>
      </c>
      <c r="AY381" s="6" t="s">
        <v>2285</v>
      </c>
      <c r="AZ381" s="6"/>
      <c r="BA381" s="6"/>
      <c r="BB381" s="6"/>
      <c r="BC381" s="6" t="s">
        <v>127</v>
      </c>
      <c r="BD381" s="6" t="s">
        <v>127</v>
      </c>
      <c r="BE381" s="6" t="s">
        <v>1477</v>
      </c>
      <c r="BF381" s="6" t="s">
        <v>95</v>
      </c>
      <c r="BG381" s="6" t="s">
        <v>5404</v>
      </c>
      <c r="BH381" s="6" t="s">
        <v>5405</v>
      </c>
    </row>
    <row r="382" spans="1:60" ht="32" customHeight="1" x14ac:dyDescent="0.35">
      <c r="A382" s="13" t="s">
        <v>5406</v>
      </c>
      <c r="B382" s="6" t="s">
        <v>3901</v>
      </c>
      <c r="C382" s="5" t="s">
        <v>1652</v>
      </c>
      <c r="D382" s="5" t="s">
        <v>2199</v>
      </c>
      <c r="E382" s="5" t="s">
        <v>5407</v>
      </c>
      <c r="F382" s="5" t="s">
        <v>5255</v>
      </c>
      <c r="G382" s="5" t="s">
        <v>2396</v>
      </c>
      <c r="H382" s="5" t="s">
        <v>5408</v>
      </c>
      <c r="I382" s="5" t="s">
        <v>5409</v>
      </c>
      <c r="J382" s="17" t="s">
        <v>162</v>
      </c>
      <c r="K382" s="17" t="s">
        <v>1477</v>
      </c>
      <c r="L382" s="5" t="s">
        <v>5410</v>
      </c>
      <c r="M382" s="6" t="s">
        <v>1493</v>
      </c>
      <c r="N382" s="6" t="s">
        <v>2170</v>
      </c>
      <c r="O382" s="6" t="s">
        <v>162</v>
      </c>
      <c r="P382" s="5" t="s">
        <v>2272</v>
      </c>
      <c r="Q382" s="18" t="s">
        <v>1482</v>
      </c>
      <c r="R382" s="5" t="s">
        <v>2400</v>
      </c>
      <c r="S382" s="6" t="s">
        <v>2416</v>
      </c>
      <c r="T382" s="5" t="s">
        <v>2417</v>
      </c>
      <c r="U382" s="6"/>
      <c r="V382" s="6" t="s">
        <v>2277</v>
      </c>
      <c r="W382" s="6" t="s">
        <v>1697</v>
      </c>
      <c r="X382" s="5" t="s">
        <v>228</v>
      </c>
      <c r="Y382" s="5" t="s">
        <v>2170</v>
      </c>
      <c r="Z382" s="5" t="str">
        <f t="shared" si="10"/>
        <v>Medium</v>
      </c>
      <c r="AA382" s="5" t="s">
        <v>1319</v>
      </c>
      <c r="AB382" s="6" t="s">
        <v>1355</v>
      </c>
      <c r="AC382" s="6" t="s">
        <v>135</v>
      </c>
      <c r="AD382" s="5" t="s">
        <v>2278</v>
      </c>
      <c r="AE382" s="5" t="s">
        <v>1720</v>
      </c>
      <c r="AF382" s="5" t="s">
        <v>1720</v>
      </c>
      <c r="AG382" s="5" t="s">
        <v>1720</v>
      </c>
      <c r="AH382" s="5" t="s">
        <v>1720</v>
      </c>
      <c r="AI382" s="6" t="str">
        <f t="shared" si="11"/>
        <v>No</v>
      </c>
      <c r="AJ382" s="6" t="s">
        <v>2298</v>
      </c>
      <c r="AK382" s="6" t="s">
        <v>162</v>
      </c>
      <c r="AL382" s="6">
        <f>MATCH(AA382,{"Low","Medium","High"},0)*MATCH(AB382,{"Low","Medium","High"},0)*INDEX({3,2,2,1,1},MATCH(X382,{"Core","Vertical extension","Differentiator","Future","Adjacent"},0))</f>
        <v>6</v>
      </c>
      <c r="AM382" s="5"/>
      <c r="AN382" s="5"/>
      <c r="AO382" s="5"/>
      <c r="AP382" s="5"/>
      <c r="AQ382" s="5"/>
      <c r="AR382" s="5"/>
      <c r="AS382" s="5"/>
      <c r="AT382" s="5"/>
      <c r="AU382" s="6" t="s">
        <v>2317</v>
      </c>
      <c r="AV382" s="6" t="s">
        <v>5260</v>
      </c>
      <c r="AW382" s="6" t="s">
        <v>5260</v>
      </c>
      <c r="AX382" s="6" t="s">
        <v>2284</v>
      </c>
      <c r="AY382" s="6" t="s">
        <v>2285</v>
      </c>
      <c r="AZ382" s="6"/>
      <c r="BA382" s="6"/>
      <c r="BB382" s="6"/>
      <c r="BC382" s="6" t="s">
        <v>127</v>
      </c>
      <c r="BD382" s="6" t="s">
        <v>127</v>
      </c>
      <c r="BE382" s="6"/>
      <c r="BF382" s="6"/>
      <c r="BG382" s="6"/>
      <c r="BH382" s="6"/>
    </row>
    <row r="383" spans="1:60" ht="32" customHeight="1" x14ac:dyDescent="0.35">
      <c r="A383" s="13" t="s">
        <v>5411</v>
      </c>
      <c r="B383" s="6" t="s">
        <v>3901</v>
      </c>
      <c r="C383" s="5" t="s">
        <v>1652</v>
      </c>
      <c r="D383" s="5" t="s">
        <v>2199</v>
      </c>
      <c r="E383" s="5" t="s">
        <v>5412</v>
      </c>
      <c r="F383" s="5" t="s">
        <v>5413</v>
      </c>
      <c r="G383" s="5" t="s">
        <v>2396</v>
      </c>
      <c r="H383" s="5" t="s">
        <v>5414</v>
      </c>
      <c r="I383" s="5" t="s">
        <v>5415</v>
      </c>
      <c r="J383" s="17" t="s">
        <v>162</v>
      </c>
      <c r="K383" s="17" t="s">
        <v>163</v>
      </c>
      <c r="L383" s="5" t="s">
        <v>5416</v>
      </c>
      <c r="M383" s="6" t="s">
        <v>1493</v>
      </c>
      <c r="N383" s="6" t="s">
        <v>2170</v>
      </c>
      <c r="O383" s="6" t="s">
        <v>162</v>
      </c>
      <c r="P383" s="5" t="s">
        <v>2272</v>
      </c>
      <c r="Q383" s="17" t="s">
        <v>163</v>
      </c>
      <c r="R383" s="5" t="s">
        <v>5417</v>
      </c>
      <c r="S383" s="6" t="s">
        <v>2416</v>
      </c>
      <c r="T383" s="5" t="s">
        <v>2417</v>
      </c>
      <c r="U383" s="6"/>
      <c r="V383" s="6" t="s">
        <v>2277</v>
      </c>
      <c r="W383" s="6" t="s">
        <v>1697</v>
      </c>
      <c r="X383" s="5" t="s">
        <v>228</v>
      </c>
      <c r="Y383" s="5" t="s">
        <v>2170</v>
      </c>
      <c r="Z383" s="5" t="str">
        <f t="shared" si="10"/>
        <v>Medium</v>
      </c>
      <c r="AA383" s="5" t="s">
        <v>1319</v>
      </c>
      <c r="AB383" s="6" t="s">
        <v>1355</v>
      </c>
      <c r="AC383" s="6" t="s">
        <v>135</v>
      </c>
      <c r="AD383" s="5" t="s">
        <v>1805</v>
      </c>
      <c r="AE383" s="5" t="s">
        <v>1720</v>
      </c>
      <c r="AF383" s="5" t="s">
        <v>1720</v>
      </c>
      <c r="AG383" s="5" t="s">
        <v>1720</v>
      </c>
      <c r="AH383" s="5" t="s">
        <v>1720</v>
      </c>
      <c r="AI383" s="6" t="str">
        <f t="shared" si="11"/>
        <v>No</v>
      </c>
      <c r="AJ383" s="6" t="s">
        <v>287</v>
      </c>
      <c r="AK383" s="6" t="s">
        <v>162</v>
      </c>
      <c r="AL383" s="6">
        <f>MATCH(AA383,{"Low","Medium","High"},0)*MATCH(AB383,{"Low","Medium","High"},0)*INDEX({3,2,2,1,1},MATCH(X383,{"Core","Vertical extension","Differentiator","Future","Adjacent"},0))</f>
        <v>6</v>
      </c>
      <c r="AM383" s="5"/>
      <c r="AN383" s="5"/>
      <c r="AO383" s="5"/>
      <c r="AP383" s="5"/>
      <c r="AQ383" s="5"/>
      <c r="AR383" s="5"/>
      <c r="AS383" s="5"/>
      <c r="AT383" s="5"/>
      <c r="AU383" s="6" t="s">
        <v>2317</v>
      </c>
      <c r="AV383" s="6" t="s">
        <v>5307</v>
      </c>
      <c r="AW383" s="6" t="s">
        <v>5307</v>
      </c>
      <c r="AX383" s="6" t="s">
        <v>2284</v>
      </c>
      <c r="AY383" s="6" t="s">
        <v>2285</v>
      </c>
      <c r="AZ383" s="6"/>
      <c r="BA383" s="6"/>
      <c r="BB383" s="6"/>
      <c r="BC383" s="6" t="s">
        <v>127</v>
      </c>
      <c r="BD383" s="6" t="s">
        <v>127</v>
      </c>
      <c r="BE383" s="6" t="s">
        <v>1477</v>
      </c>
      <c r="BF383" s="6" t="s">
        <v>288</v>
      </c>
      <c r="BG383" s="6" t="s">
        <v>5418</v>
      </c>
      <c r="BH383" s="6" t="s">
        <v>5419</v>
      </c>
    </row>
    <row r="384" spans="1:60" ht="32" customHeight="1" x14ac:dyDescent="0.35">
      <c r="A384" s="13" t="s">
        <v>5420</v>
      </c>
      <c r="B384" s="6" t="s">
        <v>3901</v>
      </c>
      <c r="C384" s="5" t="s">
        <v>1652</v>
      </c>
      <c r="D384" s="5" t="s">
        <v>2199</v>
      </c>
      <c r="E384" s="5" t="s">
        <v>5421</v>
      </c>
      <c r="F384" s="5" t="s">
        <v>5413</v>
      </c>
      <c r="G384" s="5" t="s">
        <v>2396</v>
      </c>
      <c r="H384" s="5" t="s">
        <v>5422</v>
      </c>
      <c r="I384" s="5" t="s">
        <v>5423</v>
      </c>
      <c r="J384" s="17" t="s">
        <v>162</v>
      </c>
      <c r="K384" s="17" t="s">
        <v>1477</v>
      </c>
      <c r="L384" s="5" t="s">
        <v>5424</v>
      </c>
      <c r="M384" s="6" t="s">
        <v>1493</v>
      </c>
      <c r="N384" s="6" t="s">
        <v>2170</v>
      </c>
      <c r="O384" s="6" t="s">
        <v>162</v>
      </c>
      <c r="P384" s="5" t="s">
        <v>2272</v>
      </c>
      <c r="Q384" s="17" t="s">
        <v>2273</v>
      </c>
      <c r="R384" s="5" t="s">
        <v>5425</v>
      </c>
      <c r="S384" s="6" t="s">
        <v>2416</v>
      </c>
      <c r="T384" s="5" t="s">
        <v>2417</v>
      </c>
      <c r="U384" s="6"/>
      <c r="V384" s="6" t="s">
        <v>2277</v>
      </c>
      <c r="W384" s="6" t="s">
        <v>1697</v>
      </c>
      <c r="X384" s="5" t="s">
        <v>228</v>
      </c>
      <c r="Y384" s="5" t="s">
        <v>2170</v>
      </c>
      <c r="Z384" s="5" t="str">
        <f t="shared" si="10"/>
        <v>Medium</v>
      </c>
      <c r="AA384" s="5" t="s">
        <v>1319</v>
      </c>
      <c r="AB384" s="6" t="s">
        <v>1355</v>
      </c>
      <c r="AC384" s="6" t="s">
        <v>135</v>
      </c>
      <c r="AD384" s="5" t="s">
        <v>2278</v>
      </c>
      <c r="AE384" s="5" t="s">
        <v>1720</v>
      </c>
      <c r="AF384" s="5" t="s">
        <v>1720</v>
      </c>
      <c r="AG384" s="5" t="s">
        <v>1720</v>
      </c>
      <c r="AH384" s="5" t="s">
        <v>1720</v>
      </c>
      <c r="AI384" s="6" t="str">
        <f t="shared" si="11"/>
        <v>No</v>
      </c>
      <c r="AJ384" s="6" t="s">
        <v>2298</v>
      </c>
      <c r="AK384" s="6" t="s">
        <v>162</v>
      </c>
      <c r="AL384" s="6">
        <f>MATCH(AA384,{"Low","Medium","High"},0)*MATCH(AB384,{"Low","Medium","High"},0)*INDEX({3,2,2,1,1},MATCH(X384,{"Core","Vertical extension","Differentiator","Future","Adjacent"},0))</f>
        <v>6</v>
      </c>
      <c r="AM384" s="5"/>
      <c r="AN384" s="5"/>
      <c r="AO384" s="5"/>
      <c r="AP384" s="5"/>
      <c r="AQ384" s="5"/>
      <c r="AR384" s="5"/>
      <c r="AS384" s="5"/>
      <c r="AT384" s="5"/>
      <c r="AU384" s="6" t="s">
        <v>2317</v>
      </c>
      <c r="AV384" s="6" t="s">
        <v>5307</v>
      </c>
      <c r="AW384" s="6" t="s">
        <v>5307</v>
      </c>
      <c r="AX384" s="6" t="s">
        <v>2284</v>
      </c>
      <c r="AY384" s="6" t="s">
        <v>2285</v>
      </c>
      <c r="AZ384" s="6"/>
      <c r="BA384" s="6" t="s">
        <v>5426</v>
      </c>
      <c r="BB384" s="6" t="s">
        <v>5427</v>
      </c>
      <c r="BC384" s="6" t="s">
        <v>127</v>
      </c>
      <c r="BD384" s="6" t="s">
        <v>127</v>
      </c>
      <c r="BE384" s="6" t="s">
        <v>1477</v>
      </c>
      <c r="BF384" s="6" t="s">
        <v>2286</v>
      </c>
      <c r="BG384" s="6" t="s">
        <v>5428</v>
      </c>
      <c r="BH384" s="6" t="s">
        <v>5429</v>
      </c>
    </row>
    <row r="385" spans="1:60" ht="32" customHeight="1" x14ac:dyDescent="0.35">
      <c r="A385" s="13" t="s">
        <v>5430</v>
      </c>
      <c r="B385" s="6" t="s">
        <v>3901</v>
      </c>
      <c r="C385" s="5" t="s">
        <v>1652</v>
      </c>
      <c r="D385" s="5" t="s">
        <v>2199</v>
      </c>
      <c r="E385" s="5" t="s">
        <v>5431</v>
      </c>
      <c r="F385" s="5" t="s">
        <v>5432</v>
      </c>
      <c r="G385" s="5" t="s">
        <v>2396</v>
      </c>
      <c r="H385" s="5" t="s">
        <v>5433</v>
      </c>
      <c r="I385" s="5" t="s">
        <v>5434</v>
      </c>
      <c r="J385" s="17" t="s">
        <v>162</v>
      </c>
      <c r="K385" s="17" t="s">
        <v>95</v>
      </c>
      <c r="L385" s="5" t="s">
        <v>5435</v>
      </c>
      <c r="M385" s="6" t="s">
        <v>1493</v>
      </c>
      <c r="N385" s="6" t="s">
        <v>2170</v>
      </c>
      <c r="O385" s="6" t="s">
        <v>162</v>
      </c>
      <c r="P385" s="5" t="s">
        <v>2272</v>
      </c>
      <c r="Q385" s="17" t="s">
        <v>95</v>
      </c>
      <c r="R385" s="5" t="s">
        <v>5436</v>
      </c>
      <c r="S385" s="6" t="s">
        <v>2416</v>
      </c>
      <c r="T385" s="5" t="s">
        <v>2417</v>
      </c>
      <c r="U385" s="6"/>
      <c r="V385" s="6" t="s">
        <v>2277</v>
      </c>
      <c r="W385" s="6" t="s">
        <v>1697</v>
      </c>
      <c r="X385" s="5" t="s">
        <v>228</v>
      </c>
      <c r="Y385" s="5" t="s">
        <v>2170</v>
      </c>
      <c r="Z385" s="5" t="str">
        <f t="shared" si="10"/>
        <v>Medium</v>
      </c>
      <c r="AA385" s="5" t="s">
        <v>1319</v>
      </c>
      <c r="AB385" s="6" t="s">
        <v>1355</v>
      </c>
      <c r="AC385" s="6" t="s">
        <v>135</v>
      </c>
      <c r="AD385" s="5" t="s">
        <v>95</v>
      </c>
      <c r="AE385" s="5" t="s">
        <v>1720</v>
      </c>
      <c r="AF385" s="5" t="s">
        <v>1720</v>
      </c>
      <c r="AG385" s="5" t="s">
        <v>1720</v>
      </c>
      <c r="AH385" s="5" t="s">
        <v>1720</v>
      </c>
      <c r="AI385" s="6" t="str">
        <f t="shared" si="11"/>
        <v>No</v>
      </c>
      <c r="AJ385" s="6" t="s">
        <v>229</v>
      </c>
      <c r="AK385" s="6" t="s">
        <v>162</v>
      </c>
      <c r="AL385" s="6">
        <f>MATCH(AA385,{"Low","Medium","High"},0)*MATCH(AB385,{"Low","Medium","High"},0)*INDEX({3,2,2,1,1},MATCH(X385,{"Core","Vertical extension","Differentiator","Future","Adjacent"},0))</f>
        <v>6</v>
      </c>
      <c r="AM385" s="5"/>
      <c r="AN385" s="5"/>
      <c r="AO385" s="5"/>
      <c r="AP385" s="5"/>
      <c r="AQ385" s="5"/>
      <c r="AR385" s="5"/>
      <c r="AS385" s="5"/>
      <c r="AT385" s="5"/>
      <c r="AU385" s="6" t="s">
        <v>2317</v>
      </c>
      <c r="AV385" s="6" t="s">
        <v>2804</v>
      </c>
      <c r="AW385" s="6" t="s">
        <v>2804</v>
      </c>
      <c r="AX385" s="6" t="s">
        <v>2284</v>
      </c>
      <c r="AY385" s="6" t="s">
        <v>2285</v>
      </c>
      <c r="AZ385" s="6"/>
      <c r="BA385" s="6"/>
      <c r="BB385" s="6"/>
      <c r="BC385" s="6" t="s">
        <v>127</v>
      </c>
      <c r="BD385" s="6" t="s">
        <v>127</v>
      </c>
      <c r="BE385" s="6" t="s">
        <v>1477</v>
      </c>
      <c r="BF385" s="6" t="s">
        <v>95</v>
      </c>
      <c r="BG385" s="6" t="s">
        <v>5437</v>
      </c>
      <c r="BH385" s="6" t="s">
        <v>5438</v>
      </c>
    </row>
    <row r="386" spans="1:60" ht="32" customHeight="1" x14ac:dyDescent="0.35">
      <c r="A386" s="13" t="s">
        <v>5439</v>
      </c>
      <c r="B386" s="6" t="s">
        <v>3901</v>
      </c>
      <c r="C386" s="5" t="s">
        <v>1652</v>
      </c>
      <c r="D386" s="5" t="s">
        <v>2189</v>
      </c>
      <c r="E386" s="5" t="s">
        <v>5440</v>
      </c>
      <c r="F386" s="5" t="s">
        <v>5441</v>
      </c>
      <c r="G386" s="5" t="s">
        <v>5442</v>
      </c>
      <c r="H386" s="5" t="s">
        <v>5443</v>
      </c>
      <c r="I386" s="5" t="s">
        <v>5444</v>
      </c>
      <c r="J386" s="17" t="s">
        <v>162</v>
      </c>
      <c r="K386" s="17" t="s">
        <v>1477</v>
      </c>
      <c r="L386" s="5" t="s">
        <v>5445</v>
      </c>
      <c r="M386" s="6" t="s">
        <v>1493</v>
      </c>
      <c r="N386" s="6" t="s">
        <v>2170</v>
      </c>
      <c r="O386" s="6" t="s">
        <v>162</v>
      </c>
      <c r="P386" s="5" t="s">
        <v>2272</v>
      </c>
      <c r="Q386" s="17" t="s">
        <v>2273</v>
      </c>
      <c r="R386" s="5" t="s">
        <v>5446</v>
      </c>
      <c r="S386" s="6" t="s">
        <v>2325</v>
      </c>
      <c r="T386" s="5" t="s">
        <v>2326</v>
      </c>
      <c r="U386" s="6"/>
      <c r="V386" s="6" t="s">
        <v>2327</v>
      </c>
      <c r="W386" s="6" t="s">
        <v>1699</v>
      </c>
      <c r="X386" s="5" t="s">
        <v>228</v>
      </c>
      <c r="Y386" s="5" t="s">
        <v>2170</v>
      </c>
      <c r="Z386" s="5" t="str">
        <f t="shared" ref="Z386:Z449" si="12">IF(AL386&gt;=18,"Critical",IF(AL386&gt;=9,"High",IF(AL386&gt;=4,"Medium","Low")))</f>
        <v>Medium</v>
      </c>
      <c r="AA386" s="5" t="s">
        <v>1319</v>
      </c>
      <c r="AB386" s="6" t="s">
        <v>1355</v>
      </c>
      <c r="AC386" s="6" t="s">
        <v>135</v>
      </c>
      <c r="AD386" s="5" t="s">
        <v>2278</v>
      </c>
      <c r="AE386" s="5" t="s">
        <v>1720</v>
      </c>
      <c r="AF386" s="5" t="s">
        <v>1720</v>
      </c>
      <c r="AG386" s="5" t="s">
        <v>1720</v>
      </c>
      <c r="AH386" s="5" t="s">
        <v>1720</v>
      </c>
      <c r="AI386" s="6" t="str">
        <f t="shared" ref="AI386:AI449" si="13">IF(AND(AU386="Pass",AE386&lt;&gt;"Not verified",AF386&lt;&gt;"Not verified",AG386&lt;&gt;"Not verified",AH386&lt;&gt;"Not verified",BC386="Yes",BD386="Yes"),"Yes","No")</f>
        <v>No</v>
      </c>
      <c r="AJ386" s="6" t="s">
        <v>2298</v>
      </c>
      <c r="AK386" s="6" t="s">
        <v>162</v>
      </c>
      <c r="AL386" s="6">
        <f>MATCH(AA386,{"Low","Medium","High"},0)*MATCH(AB386,{"Low","Medium","High"},0)*INDEX({3,2,2,1,1},MATCH(X386,{"Core","Vertical extension","Differentiator","Future","Adjacent"},0))</f>
        <v>6</v>
      </c>
      <c r="AM386" s="5"/>
      <c r="AN386" s="5"/>
      <c r="AO386" s="5"/>
      <c r="AP386" s="5"/>
      <c r="AQ386" s="5"/>
      <c r="AR386" s="5"/>
      <c r="AS386" s="5"/>
      <c r="AT386" s="5"/>
      <c r="AU386" s="6" t="s">
        <v>2317</v>
      </c>
      <c r="AV386" s="6" t="s">
        <v>3968</v>
      </c>
      <c r="AW386" s="6" t="s">
        <v>3968</v>
      </c>
      <c r="AX386" s="6" t="s">
        <v>2284</v>
      </c>
      <c r="AY386" s="6" t="s">
        <v>2285</v>
      </c>
      <c r="AZ386" s="6"/>
      <c r="BA386" s="6"/>
      <c r="BB386" s="6"/>
      <c r="BC386" s="6" t="s">
        <v>127</v>
      </c>
      <c r="BD386" s="6" t="s">
        <v>127</v>
      </c>
      <c r="BE386" s="6" t="s">
        <v>1477</v>
      </c>
      <c r="BF386" s="6" t="s">
        <v>2286</v>
      </c>
      <c r="BG386" s="6" t="s">
        <v>3329</v>
      </c>
      <c r="BH386" s="6" t="s">
        <v>5447</v>
      </c>
    </row>
    <row r="387" spans="1:60" ht="32" customHeight="1" x14ac:dyDescent="0.35">
      <c r="A387" s="13" t="s">
        <v>5448</v>
      </c>
      <c r="B387" s="6" t="s">
        <v>3901</v>
      </c>
      <c r="C387" s="5" t="s">
        <v>1652</v>
      </c>
      <c r="D387" s="5" t="s">
        <v>2189</v>
      </c>
      <c r="E387" s="5" t="s">
        <v>5449</v>
      </c>
      <c r="F387" s="5" t="s">
        <v>5441</v>
      </c>
      <c r="G387" s="5" t="s">
        <v>1669</v>
      </c>
      <c r="H387" s="5" t="s">
        <v>5450</v>
      </c>
      <c r="I387" s="5" t="s">
        <v>5451</v>
      </c>
      <c r="J387" s="17" t="s">
        <v>162</v>
      </c>
      <c r="K387" s="17" t="s">
        <v>95</v>
      </c>
      <c r="L387" s="5" t="s">
        <v>5452</v>
      </c>
      <c r="M387" s="6" t="s">
        <v>1493</v>
      </c>
      <c r="N387" s="6" t="s">
        <v>2170</v>
      </c>
      <c r="O387" s="6" t="s">
        <v>162</v>
      </c>
      <c r="P387" s="5" t="s">
        <v>2272</v>
      </c>
      <c r="Q387" s="17" t="s">
        <v>95</v>
      </c>
      <c r="R387" s="5" t="s">
        <v>5453</v>
      </c>
      <c r="S387" s="6" t="s">
        <v>2325</v>
      </c>
      <c r="T387" s="5" t="s">
        <v>2326</v>
      </c>
      <c r="U387" s="6"/>
      <c r="V387" s="6" t="s">
        <v>2327</v>
      </c>
      <c r="W387" s="6" t="s">
        <v>1699</v>
      </c>
      <c r="X387" s="5" t="s">
        <v>228</v>
      </c>
      <c r="Y387" s="5" t="s">
        <v>2170</v>
      </c>
      <c r="Z387" s="5" t="str">
        <f t="shared" si="12"/>
        <v>Medium</v>
      </c>
      <c r="AA387" s="5" t="s">
        <v>1319</v>
      </c>
      <c r="AB387" s="6" t="s">
        <v>1355</v>
      </c>
      <c r="AC387" s="6" t="s">
        <v>135</v>
      </c>
      <c r="AD387" s="5" t="s">
        <v>95</v>
      </c>
      <c r="AE387" s="5" t="s">
        <v>1720</v>
      </c>
      <c r="AF387" s="5" t="s">
        <v>1720</v>
      </c>
      <c r="AG387" s="5" t="s">
        <v>1720</v>
      </c>
      <c r="AH387" s="5" t="s">
        <v>1720</v>
      </c>
      <c r="AI387" s="6" t="str">
        <f t="shared" si="13"/>
        <v>No</v>
      </c>
      <c r="AJ387" s="6" t="s">
        <v>229</v>
      </c>
      <c r="AK387" s="6" t="s">
        <v>162</v>
      </c>
      <c r="AL387" s="6">
        <f>MATCH(AA387,{"Low","Medium","High"},0)*MATCH(AB387,{"Low","Medium","High"},0)*INDEX({3,2,2,1,1},MATCH(X387,{"Core","Vertical extension","Differentiator","Future","Adjacent"},0))</f>
        <v>6</v>
      </c>
      <c r="AM387" s="5"/>
      <c r="AN387" s="5"/>
      <c r="AO387" s="5"/>
      <c r="AP387" s="5"/>
      <c r="AQ387" s="5"/>
      <c r="AR387" s="5"/>
      <c r="AS387" s="5"/>
      <c r="AT387" s="5"/>
      <c r="AU387" s="6" t="s">
        <v>2317</v>
      </c>
      <c r="AV387" s="6" t="s">
        <v>3968</v>
      </c>
      <c r="AW387" s="6" t="s">
        <v>3968</v>
      </c>
      <c r="AX387" s="6" t="s">
        <v>2284</v>
      </c>
      <c r="AY387" s="6" t="s">
        <v>2285</v>
      </c>
      <c r="AZ387" s="6"/>
      <c r="BA387" s="6"/>
      <c r="BB387" s="6"/>
      <c r="BC387" s="6" t="s">
        <v>127</v>
      </c>
      <c r="BD387" s="6" t="s">
        <v>127</v>
      </c>
      <c r="BE387" s="6" t="s">
        <v>1477</v>
      </c>
      <c r="BF387" s="6" t="s">
        <v>95</v>
      </c>
      <c r="BG387" s="6" t="s">
        <v>5454</v>
      </c>
      <c r="BH387" s="6" t="s">
        <v>5455</v>
      </c>
    </row>
    <row r="388" spans="1:60" ht="32" customHeight="1" x14ac:dyDescent="0.35">
      <c r="A388" s="13" t="s">
        <v>5456</v>
      </c>
      <c r="B388" s="6" t="s">
        <v>3901</v>
      </c>
      <c r="C388" s="5" t="s">
        <v>1652</v>
      </c>
      <c r="D388" s="5" t="s">
        <v>2189</v>
      </c>
      <c r="E388" s="5" t="s">
        <v>5457</v>
      </c>
      <c r="F388" s="5" t="s">
        <v>5441</v>
      </c>
      <c r="G388" s="5" t="s">
        <v>1685</v>
      </c>
      <c r="H388" s="5" t="s">
        <v>5458</v>
      </c>
      <c r="I388" s="5" t="s">
        <v>5459</v>
      </c>
      <c r="J388" s="17" t="s">
        <v>162</v>
      </c>
      <c r="K388" s="17" t="s">
        <v>1477</v>
      </c>
      <c r="L388" s="5" t="s">
        <v>5460</v>
      </c>
      <c r="M388" s="6" t="s">
        <v>1493</v>
      </c>
      <c r="N388" s="6" t="s">
        <v>2170</v>
      </c>
      <c r="O388" s="6" t="s">
        <v>162</v>
      </c>
      <c r="P388" s="5" t="s">
        <v>2272</v>
      </c>
      <c r="Q388" s="17" t="s">
        <v>2273</v>
      </c>
      <c r="R388" s="5" t="s">
        <v>5461</v>
      </c>
      <c r="S388" s="6" t="s">
        <v>2325</v>
      </c>
      <c r="T388" s="5" t="s">
        <v>2326</v>
      </c>
      <c r="U388" s="6"/>
      <c r="V388" s="6" t="s">
        <v>2327</v>
      </c>
      <c r="W388" s="6" t="s">
        <v>1699</v>
      </c>
      <c r="X388" s="5" t="s">
        <v>228</v>
      </c>
      <c r="Y388" s="5" t="s">
        <v>2170</v>
      </c>
      <c r="Z388" s="5" t="str">
        <f t="shared" si="12"/>
        <v>Medium</v>
      </c>
      <c r="AA388" s="5" t="s">
        <v>1319</v>
      </c>
      <c r="AB388" s="6" t="s">
        <v>1355</v>
      </c>
      <c r="AC388" s="6" t="s">
        <v>135</v>
      </c>
      <c r="AD388" s="5" t="s">
        <v>2278</v>
      </c>
      <c r="AE388" s="5" t="s">
        <v>1720</v>
      </c>
      <c r="AF388" s="5" t="s">
        <v>1720</v>
      </c>
      <c r="AG388" s="5" t="s">
        <v>1720</v>
      </c>
      <c r="AH388" s="5" t="s">
        <v>1720</v>
      </c>
      <c r="AI388" s="6" t="str">
        <f t="shared" si="13"/>
        <v>No</v>
      </c>
      <c r="AJ388" s="6" t="s">
        <v>2298</v>
      </c>
      <c r="AK388" s="6" t="s">
        <v>162</v>
      </c>
      <c r="AL388" s="6">
        <f>MATCH(AA388,{"Low","Medium","High"},0)*MATCH(AB388,{"Low","Medium","High"},0)*INDEX({3,2,2,1,1},MATCH(X388,{"Core","Vertical extension","Differentiator","Future","Adjacent"},0))</f>
        <v>6</v>
      </c>
      <c r="AM388" s="5"/>
      <c r="AN388" s="5"/>
      <c r="AO388" s="5"/>
      <c r="AP388" s="5"/>
      <c r="AQ388" s="5"/>
      <c r="AR388" s="5"/>
      <c r="AS388" s="5"/>
      <c r="AT388" s="5"/>
      <c r="AU388" s="6" t="s">
        <v>2317</v>
      </c>
      <c r="AV388" s="6" t="s">
        <v>3968</v>
      </c>
      <c r="AW388" s="6" t="s">
        <v>3968</v>
      </c>
      <c r="AX388" s="6" t="s">
        <v>2284</v>
      </c>
      <c r="AY388" s="6" t="s">
        <v>2285</v>
      </c>
      <c r="AZ388" s="6"/>
      <c r="BA388" s="6"/>
      <c r="BB388" s="6"/>
      <c r="BC388" s="6" t="s">
        <v>127</v>
      </c>
      <c r="BD388" s="6" t="s">
        <v>127</v>
      </c>
      <c r="BE388" s="6" t="s">
        <v>1477</v>
      </c>
      <c r="BF388" s="6" t="s">
        <v>2286</v>
      </c>
      <c r="BG388" s="6" t="s">
        <v>5462</v>
      </c>
      <c r="BH388" s="6" t="s">
        <v>5463</v>
      </c>
    </row>
    <row r="389" spans="1:60" ht="32" customHeight="1" x14ac:dyDescent="0.35">
      <c r="A389" s="13" t="s">
        <v>5464</v>
      </c>
      <c r="B389" s="6" t="s">
        <v>3901</v>
      </c>
      <c r="C389" s="5" t="s">
        <v>1652</v>
      </c>
      <c r="D389" s="5" t="s">
        <v>2189</v>
      </c>
      <c r="E389" s="5" t="s">
        <v>5465</v>
      </c>
      <c r="F389" s="5" t="s">
        <v>5441</v>
      </c>
      <c r="G389" s="5" t="s">
        <v>2973</v>
      </c>
      <c r="H389" s="5" t="s">
        <v>5466</v>
      </c>
      <c r="I389" s="5" t="s">
        <v>5467</v>
      </c>
      <c r="J389" s="17" t="s">
        <v>162</v>
      </c>
      <c r="K389" s="17" t="s">
        <v>95</v>
      </c>
      <c r="L389" s="5" t="s">
        <v>5468</v>
      </c>
      <c r="M389" s="6" t="s">
        <v>1493</v>
      </c>
      <c r="N389" s="6" t="s">
        <v>2170</v>
      </c>
      <c r="O389" s="6" t="s">
        <v>162</v>
      </c>
      <c r="P389" s="5" t="s">
        <v>2272</v>
      </c>
      <c r="Q389" s="17" t="s">
        <v>95</v>
      </c>
      <c r="R389" s="5" t="s">
        <v>5469</v>
      </c>
      <c r="S389" s="6" t="s">
        <v>2325</v>
      </c>
      <c r="T389" s="5" t="s">
        <v>2326</v>
      </c>
      <c r="U389" s="6"/>
      <c r="V389" s="6" t="s">
        <v>2327</v>
      </c>
      <c r="W389" s="6" t="s">
        <v>1699</v>
      </c>
      <c r="X389" s="5" t="s">
        <v>228</v>
      </c>
      <c r="Y389" s="5" t="s">
        <v>2170</v>
      </c>
      <c r="Z389" s="5" t="str">
        <f t="shared" si="12"/>
        <v>Medium</v>
      </c>
      <c r="AA389" s="5" t="s">
        <v>1319</v>
      </c>
      <c r="AB389" s="6" t="s">
        <v>1355</v>
      </c>
      <c r="AC389" s="6" t="s">
        <v>135</v>
      </c>
      <c r="AD389" s="5" t="s">
        <v>95</v>
      </c>
      <c r="AE389" s="5" t="s">
        <v>1720</v>
      </c>
      <c r="AF389" s="5" t="s">
        <v>1720</v>
      </c>
      <c r="AG389" s="5" t="s">
        <v>1720</v>
      </c>
      <c r="AH389" s="5" t="s">
        <v>1720</v>
      </c>
      <c r="AI389" s="6" t="str">
        <f t="shared" si="13"/>
        <v>No</v>
      </c>
      <c r="AJ389" s="6" t="s">
        <v>229</v>
      </c>
      <c r="AK389" s="6" t="s">
        <v>162</v>
      </c>
      <c r="AL389" s="6">
        <f>MATCH(AA389,{"Low","Medium","High"},0)*MATCH(AB389,{"Low","Medium","High"},0)*INDEX({3,2,2,1,1},MATCH(X389,{"Core","Vertical extension","Differentiator","Future","Adjacent"},0))</f>
        <v>6</v>
      </c>
      <c r="AM389" s="5"/>
      <c r="AN389" s="5"/>
      <c r="AO389" s="5"/>
      <c r="AP389" s="5"/>
      <c r="AQ389" s="5"/>
      <c r="AR389" s="5"/>
      <c r="AS389" s="5"/>
      <c r="AT389" s="5"/>
      <c r="AU389" s="6" t="s">
        <v>2317</v>
      </c>
      <c r="AV389" s="6" t="s">
        <v>3968</v>
      </c>
      <c r="AW389" s="6" t="s">
        <v>3968</v>
      </c>
      <c r="AX389" s="6" t="s">
        <v>2284</v>
      </c>
      <c r="AY389" s="6" t="s">
        <v>2285</v>
      </c>
      <c r="AZ389" s="6"/>
      <c r="BA389" s="6"/>
      <c r="BB389" s="6"/>
      <c r="BC389" s="6" t="s">
        <v>127</v>
      </c>
      <c r="BD389" s="6" t="s">
        <v>127</v>
      </c>
      <c r="BE389" s="6" t="s">
        <v>1477</v>
      </c>
      <c r="BF389" s="6" t="s">
        <v>95</v>
      </c>
      <c r="BG389" s="6" t="s">
        <v>5470</v>
      </c>
      <c r="BH389" s="6" t="s">
        <v>5471</v>
      </c>
    </row>
    <row r="390" spans="1:60" ht="32" customHeight="1" x14ac:dyDescent="0.35">
      <c r="A390" s="13" t="s">
        <v>5472</v>
      </c>
      <c r="B390" s="6" t="s">
        <v>3901</v>
      </c>
      <c r="C390" s="5" t="s">
        <v>1652</v>
      </c>
      <c r="D390" s="5" t="s">
        <v>2189</v>
      </c>
      <c r="E390" s="5" t="s">
        <v>5473</v>
      </c>
      <c r="F390" s="5" t="s">
        <v>5441</v>
      </c>
      <c r="G390" s="5" t="s">
        <v>2807</v>
      </c>
      <c r="H390" s="5" t="s">
        <v>5474</v>
      </c>
      <c r="I390" s="5" t="s">
        <v>5475</v>
      </c>
      <c r="J390" s="17" t="s">
        <v>162</v>
      </c>
      <c r="K390" s="17" t="s">
        <v>1477</v>
      </c>
      <c r="L390" s="5" t="s">
        <v>5476</v>
      </c>
      <c r="M390" s="6" t="s">
        <v>1493</v>
      </c>
      <c r="N390" s="6" t="s">
        <v>2170</v>
      </c>
      <c r="O390" s="6" t="s">
        <v>162</v>
      </c>
      <c r="P390" s="5" t="s">
        <v>2272</v>
      </c>
      <c r="Q390" s="17" t="s">
        <v>2273</v>
      </c>
      <c r="R390" s="5" t="s">
        <v>5477</v>
      </c>
      <c r="S390" s="6" t="s">
        <v>2325</v>
      </c>
      <c r="T390" s="5" t="s">
        <v>2326</v>
      </c>
      <c r="U390" s="6"/>
      <c r="V390" s="6" t="s">
        <v>2327</v>
      </c>
      <c r="W390" s="6" t="s">
        <v>1699</v>
      </c>
      <c r="X390" s="5" t="s">
        <v>228</v>
      </c>
      <c r="Y390" s="5" t="s">
        <v>2170</v>
      </c>
      <c r="Z390" s="5" t="str">
        <f t="shared" si="12"/>
        <v>Medium</v>
      </c>
      <c r="AA390" s="5" t="s">
        <v>1319</v>
      </c>
      <c r="AB390" s="6" t="s">
        <v>1355</v>
      </c>
      <c r="AC390" s="6" t="s">
        <v>135</v>
      </c>
      <c r="AD390" s="5" t="s">
        <v>2278</v>
      </c>
      <c r="AE390" s="5" t="s">
        <v>1720</v>
      </c>
      <c r="AF390" s="5" t="s">
        <v>1720</v>
      </c>
      <c r="AG390" s="5" t="s">
        <v>1720</v>
      </c>
      <c r="AH390" s="5" t="s">
        <v>1720</v>
      </c>
      <c r="AI390" s="6" t="str">
        <f t="shared" si="13"/>
        <v>No</v>
      </c>
      <c r="AJ390" s="6" t="s">
        <v>2298</v>
      </c>
      <c r="AK390" s="6" t="s">
        <v>162</v>
      </c>
      <c r="AL390" s="6">
        <f>MATCH(AA390,{"Low","Medium","High"},0)*MATCH(AB390,{"Low","Medium","High"},0)*INDEX({3,2,2,1,1},MATCH(X390,{"Core","Vertical extension","Differentiator","Future","Adjacent"},0))</f>
        <v>6</v>
      </c>
      <c r="AM390" s="5"/>
      <c r="AN390" s="5"/>
      <c r="AO390" s="5"/>
      <c r="AP390" s="5"/>
      <c r="AQ390" s="5"/>
      <c r="AR390" s="5"/>
      <c r="AS390" s="5"/>
      <c r="AT390" s="5"/>
      <c r="AU390" s="6" t="s">
        <v>2317</v>
      </c>
      <c r="AV390" s="6" t="s">
        <v>3968</v>
      </c>
      <c r="AW390" s="6" t="s">
        <v>3968</v>
      </c>
      <c r="AX390" s="6" t="s">
        <v>2284</v>
      </c>
      <c r="AY390" s="6" t="s">
        <v>2285</v>
      </c>
      <c r="AZ390" s="6"/>
      <c r="BA390" s="6"/>
      <c r="BB390" s="6"/>
      <c r="BC390" s="6" t="s">
        <v>127</v>
      </c>
      <c r="BD390" s="6" t="s">
        <v>127</v>
      </c>
      <c r="BE390" s="6" t="s">
        <v>1477</v>
      </c>
      <c r="BF390" s="6" t="s">
        <v>2286</v>
      </c>
      <c r="BG390" s="6" t="s">
        <v>5454</v>
      </c>
      <c r="BH390" s="6" t="s">
        <v>5478</v>
      </c>
    </row>
    <row r="391" spans="1:60" ht="32" customHeight="1" x14ac:dyDescent="0.35">
      <c r="A391" s="13" t="s">
        <v>5479</v>
      </c>
      <c r="B391" s="6" t="s">
        <v>3901</v>
      </c>
      <c r="C391" s="5" t="s">
        <v>1652</v>
      </c>
      <c r="D391" s="5" t="s">
        <v>2189</v>
      </c>
      <c r="E391" s="5" t="s">
        <v>5480</v>
      </c>
      <c r="F391" s="5" t="s">
        <v>5441</v>
      </c>
      <c r="G391" s="5" t="s">
        <v>3545</v>
      </c>
      <c r="H391" s="5" t="s">
        <v>5481</v>
      </c>
      <c r="I391" s="5" t="s">
        <v>5482</v>
      </c>
      <c r="J391" s="17" t="s">
        <v>162</v>
      </c>
      <c r="K391" s="17" t="s">
        <v>95</v>
      </c>
      <c r="L391" s="5" t="s">
        <v>5483</v>
      </c>
      <c r="M391" s="6" t="s">
        <v>1493</v>
      </c>
      <c r="N391" s="6" t="s">
        <v>2170</v>
      </c>
      <c r="O391" s="6" t="s">
        <v>162</v>
      </c>
      <c r="P391" s="5" t="s">
        <v>2272</v>
      </c>
      <c r="Q391" s="17" t="s">
        <v>95</v>
      </c>
      <c r="R391" s="5" t="s">
        <v>5484</v>
      </c>
      <c r="S391" s="6" t="s">
        <v>2325</v>
      </c>
      <c r="T391" s="5" t="s">
        <v>2326</v>
      </c>
      <c r="U391" s="6"/>
      <c r="V391" s="6" t="s">
        <v>2327</v>
      </c>
      <c r="W391" s="6" t="s">
        <v>1699</v>
      </c>
      <c r="X391" s="5" t="s">
        <v>228</v>
      </c>
      <c r="Y391" s="5" t="s">
        <v>2170</v>
      </c>
      <c r="Z391" s="5" t="str">
        <f t="shared" si="12"/>
        <v>Medium</v>
      </c>
      <c r="AA391" s="5" t="s">
        <v>1319</v>
      </c>
      <c r="AB391" s="6" t="s">
        <v>1355</v>
      </c>
      <c r="AC391" s="6" t="s">
        <v>135</v>
      </c>
      <c r="AD391" s="5" t="s">
        <v>95</v>
      </c>
      <c r="AE391" s="5" t="s">
        <v>1720</v>
      </c>
      <c r="AF391" s="5" t="s">
        <v>1720</v>
      </c>
      <c r="AG391" s="5" t="s">
        <v>1720</v>
      </c>
      <c r="AH391" s="5" t="s">
        <v>1720</v>
      </c>
      <c r="AI391" s="6" t="str">
        <f t="shared" si="13"/>
        <v>No</v>
      </c>
      <c r="AJ391" s="6" t="s">
        <v>229</v>
      </c>
      <c r="AK391" s="6" t="s">
        <v>162</v>
      </c>
      <c r="AL391" s="6">
        <f>MATCH(AA391,{"Low","Medium","High"},0)*MATCH(AB391,{"Low","Medium","High"},0)*INDEX({3,2,2,1,1},MATCH(X391,{"Core","Vertical extension","Differentiator","Future","Adjacent"},0))</f>
        <v>6</v>
      </c>
      <c r="AM391" s="5"/>
      <c r="AN391" s="5"/>
      <c r="AO391" s="5"/>
      <c r="AP391" s="5"/>
      <c r="AQ391" s="5"/>
      <c r="AR391" s="5"/>
      <c r="AS391" s="5"/>
      <c r="AT391" s="5"/>
      <c r="AU391" s="6" t="s">
        <v>2317</v>
      </c>
      <c r="AV391" s="6" t="s">
        <v>3968</v>
      </c>
      <c r="AW391" s="6" t="s">
        <v>3968</v>
      </c>
      <c r="AX391" s="6" t="s">
        <v>2284</v>
      </c>
      <c r="AY391" s="6" t="s">
        <v>2285</v>
      </c>
      <c r="AZ391" s="6"/>
      <c r="BA391" s="6"/>
      <c r="BB391" s="6"/>
      <c r="BC391" s="6" t="s">
        <v>127</v>
      </c>
      <c r="BD391" s="6" t="s">
        <v>127</v>
      </c>
      <c r="BE391" s="6" t="s">
        <v>1477</v>
      </c>
      <c r="BF391" s="6" t="s">
        <v>95</v>
      </c>
      <c r="BG391" s="6" t="s">
        <v>5007</v>
      </c>
      <c r="BH391" s="6" t="s">
        <v>5485</v>
      </c>
    </row>
    <row r="392" spans="1:60" ht="32" customHeight="1" x14ac:dyDescent="0.35">
      <c r="A392" s="13" t="s">
        <v>5486</v>
      </c>
      <c r="B392" s="6" t="s">
        <v>3901</v>
      </c>
      <c r="C392" s="5" t="s">
        <v>1652</v>
      </c>
      <c r="D392" s="5" t="s">
        <v>2189</v>
      </c>
      <c r="E392" s="5" t="s">
        <v>5487</v>
      </c>
      <c r="F392" s="5" t="s">
        <v>5441</v>
      </c>
      <c r="G392" s="5" t="s">
        <v>2813</v>
      </c>
      <c r="H392" s="5" t="s">
        <v>5488</v>
      </c>
      <c r="I392" s="5" t="s">
        <v>5489</v>
      </c>
      <c r="J392" s="17" t="s">
        <v>162</v>
      </c>
      <c r="K392" s="17" t="s">
        <v>1477</v>
      </c>
      <c r="L392" s="5" t="s">
        <v>5490</v>
      </c>
      <c r="M392" s="6" t="s">
        <v>1493</v>
      </c>
      <c r="N392" s="6" t="s">
        <v>2170</v>
      </c>
      <c r="O392" s="6" t="s">
        <v>162</v>
      </c>
      <c r="P392" s="5" t="s">
        <v>2272</v>
      </c>
      <c r="Q392" s="17" t="s">
        <v>2273</v>
      </c>
      <c r="R392" s="5" t="s">
        <v>5491</v>
      </c>
      <c r="S392" s="6" t="s">
        <v>2325</v>
      </c>
      <c r="T392" s="5" t="s">
        <v>2326</v>
      </c>
      <c r="U392" s="6"/>
      <c r="V392" s="6" t="s">
        <v>2327</v>
      </c>
      <c r="W392" s="6" t="s">
        <v>1699</v>
      </c>
      <c r="X392" s="5" t="s">
        <v>228</v>
      </c>
      <c r="Y392" s="5" t="s">
        <v>2170</v>
      </c>
      <c r="Z392" s="5" t="str">
        <f t="shared" si="12"/>
        <v>Medium</v>
      </c>
      <c r="AA392" s="5" t="s">
        <v>1319</v>
      </c>
      <c r="AB392" s="6" t="s">
        <v>1355</v>
      </c>
      <c r="AC392" s="6" t="s">
        <v>135</v>
      </c>
      <c r="AD392" s="5" t="s">
        <v>2278</v>
      </c>
      <c r="AE392" s="5" t="s">
        <v>1720</v>
      </c>
      <c r="AF392" s="5" t="s">
        <v>1720</v>
      </c>
      <c r="AG392" s="5" t="s">
        <v>1720</v>
      </c>
      <c r="AH392" s="5" t="s">
        <v>1720</v>
      </c>
      <c r="AI392" s="6" t="str">
        <f t="shared" si="13"/>
        <v>No</v>
      </c>
      <c r="AJ392" s="6" t="s">
        <v>2298</v>
      </c>
      <c r="AK392" s="6" t="s">
        <v>162</v>
      </c>
      <c r="AL392" s="6">
        <f>MATCH(AA392,{"Low","Medium","High"},0)*MATCH(AB392,{"Low","Medium","High"},0)*INDEX({3,2,2,1,1},MATCH(X392,{"Core","Vertical extension","Differentiator","Future","Adjacent"},0))</f>
        <v>6</v>
      </c>
      <c r="AM392" s="5"/>
      <c r="AN392" s="5"/>
      <c r="AO392" s="5"/>
      <c r="AP392" s="5"/>
      <c r="AQ392" s="5"/>
      <c r="AR392" s="5"/>
      <c r="AS392" s="5"/>
      <c r="AT392" s="5"/>
      <c r="AU392" s="6" t="s">
        <v>2317</v>
      </c>
      <c r="AV392" s="6" t="s">
        <v>3968</v>
      </c>
      <c r="AW392" s="6" t="s">
        <v>3968</v>
      </c>
      <c r="AX392" s="6" t="s">
        <v>2284</v>
      </c>
      <c r="AY392" s="6" t="s">
        <v>2285</v>
      </c>
      <c r="AZ392" s="6"/>
      <c r="BA392" s="6"/>
      <c r="BB392" s="6"/>
      <c r="BC392" s="6" t="s">
        <v>127</v>
      </c>
      <c r="BD392" s="6" t="s">
        <v>127</v>
      </c>
      <c r="BE392" s="6" t="s">
        <v>1477</v>
      </c>
      <c r="BF392" s="6" t="s">
        <v>2286</v>
      </c>
      <c r="BG392" s="6" t="s">
        <v>5492</v>
      </c>
      <c r="BH392" s="6" t="s">
        <v>5493</v>
      </c>
    </row>
    <row r="393" spans="1:60" ht="32" customHeight="1" x14ac:dyDescent="0.35">
      <c r="A393" s="13" t="s">
        <v>5494</v>
      </c>
      <c r="B393" s="6" t="s">
        <v>3901</v>
      </c>
      <c r="C393" s="5" t="s">
        <v>1652</v>
      </c>
      <c r="D393" s="5" t="s">
        <v>2189</v>
      </c>
      <c r="E393" s="5" t="s">
        <v>5495</v>
      </c>
      <c r="F393" s="5" t="s">
        <v>5496</v>
      </c>
      <c r="G393" s="5" t="s">
        <v>2312</v>
      </c>
      <c r="H393" s="5" t="s">
        <v>5497</v>
      </c>
      <c r="I393" s="5" t="s">
        <v>5498</v>
      </c>
      <c r="J393" s="17" t="s">
        <v>162</v>
      </c>
      <c r="K393" s="17" t="s">
        <v>95</v>
      </c>
      <c r="L393" s="5" t="s">
        <v>5499</v>
      </c>
      <c r="M393" s="6" t="s">
        <v>1493</v>
      </c>
      <c r="N393" s="6" t="s">
        <v>2170</v>
      </c>
      <c r="O393" s="6" t="s">
        <v>162</v>
      </c>
      <c r="P393" s="5" t="s">
        <v>2272</v>
      </c>
      <c r="Q393" s="17" t="s">
        <v>95</v>
      </c>
      <c r="R393" s="5" t="s">
        <v>5500</v>
      </c>
      <c r="S393" s="6" t="s">
        <v>2325</v>
      </c>
      <c r="T393" s="5" t="s">
        <v>2326</v>
      </c>
      <c r="U393" s="6"/>
      <c r="V393" s="6" t="s">
        <v>2327</v>
      </c>
      <c r="W393" s="6" t="s">
        <v>1699</v>
      </c>
      <c r="X393" s="5" t="s">
        <v>228</v>
      </c>
      <c r="Y393" s="5" t="s">
        <v>2170</v>
      </c>
      <c r="Z393" s="5" t="str">
        <f t="shared" si="12"/>
        <v>Medium</v>
      </c>
      <c r="AA393" s="5" t="s">
        <v>1319</v>
      </c>
      <c r="AB393" s="6" t="s">
        <v>1355</v>
      </c>
      <c r="AC393" s="6" t="s">
        <v>135</v>
      </c>
      <c r="AD393" s="5" t="s">
        <v>95</v>
      </c>
      <c r="AE393" s="5" t="s">
        <v>1720</v>
      </c>
      <c r="AF393" s="5" t="s">
        <v>1720</v>
      </c>
      <c r="AG393" s="5" t="s">
        <v>1720</v>
      </c>
      <c r="AH393" s="5" t="s">
        <v>1720</v>
      </c>
      <c r="AI393" s="6" t="str">
        <f t="shared" si="13"/>
        <v>No</v>
      </c>
      <c r="AJ393" s="6" t="s">
        <v>229</v>
      </c>
      <c r="AK393" s="6" t="s">
        <v>162</v>
      </c>
      <c r="AL393" s="6">
        <f>MATCH(AA393,{"Low","Medium","High"},0)*MATCH(AB393,{"Low","Medium","High"},0)*INDEX({3,2,2,1,1},MATCH(X393,{"Core","Vertical extension","Differentiator","Future","Adjacent"},0))</f>
        <v>6</v>
      </c>
      <c r="AM393" s="5"/>
      <c r="AN393" s="5"/>
      <c r="AO393" s="5"/>
      <c r="AP393" s="5"/>
      <c r="AQ393" s="5"/>
      <c r="AR393" s="5"/>
      <c r="AS393" s="5"/>
      <c r="AT393" s="5"/>
      <c r="AU393" s="6" t="s">
        <v>2317</v>
      </c>
      <c r="AV393" s="6" t="s">
        <v>2813</v>
      </c>
      <c r="AW393" s="6" t="s">
        <v>2813</v>
      </c>
      <c r="AX393" s="6" t="s">
        <v>2284</v>
      </c>
      <c r="AY393" s="6" t="s">
        <v>2285</v>
      </c>
      <c r="AZ393" s="6"/>
      <c r="BA393" s="6"/>
      <c r="BB393" s="6"/>
      <c r="BC393" s="6" t="s">
        <v>127</v>
      </c>
      <c r="BD393" s="6" t="s">
        <v>127</v>
      </c>
      <c r="BE393" s="6" t="s">
        <v>1477</v>
      </c>
      <c r="BF393" s="6" t="s">
        <v>95</v>
      </c>
      <c r="BG393" s="6" t="s">
        <v>5501</v>
      </c>
      <c r="BH393" s="6" t="s">
        <v>5502</v>
      </c>
    </row>
    <row r="394" spans="1:60" ht="32" customHeight="1" x14ac:dyDescent="0.35">
      <c r="A394" s="13" t="s">
        <v>5503</v>
      </c>
      <c r="B394" s="6" t="s">
        <v>3901</v>
      </c>
      <c r="C394" s="5" t="s">
        <v>1652</v>
      </c>
      <c r="D394" s="5" t="s">
        <v>2189</v>
      </c>
      <c r="E394" s="5" t="s">
        <v>5504</v>
      </c>
      <c r="F394" s="5" t="s">
        <v>4768</v>
      </c>
      <c r="G394" s="5" t="s">
        <v>2312</v>
      </c>
      <c r="H394" s="5" t="s">
        <v>5505</v>
      </c>
      <c r="I394" s="5" t="s">
        <v>5506</v>
      </c>
      <c r="J394" s="17" t="s">
        <v>162</v>
      </c>
      <c r="K394" s="17" t="s">
        <v>1477</v>
      </c>
      <c r="L394" s="5" t="s">
        <v>5507</v>
      </c>
      <c r="M394" s="6" t="s">
        <v>1493</v>
      </c>
      <c r="N394" s="6" t="s">
        <v>2170</v>
      </c>
      <c r="O394" s="6" t="s">
        <v>162</v>
      </c>
      <c r="P394" s="5" t="s">
        <v>2272</v>
      </c>
      <c r="Q394" s="17" t="s">
        <v>2273</v>
      </c>
      <c r="R394" s="5" t="s">
        <v>5508</v>
      </c>
      <c r="S394" s="6" t="s">
        <v>2325</v>
      </c>
      <c r="T394" s="5" t="s">
        <v>2326</v>
      </c>
      <c r="U394" s="6"/>
      <c r="V394" s="6" t="s">
        <v>2327</v>
      </c>
      <c r="W394" s="6" t="s">
        <v>1699</v>
      </c>
      <c r="X394" s="5" t="s">
        <v>228</v>
      </c>
      <c r="Y394" s="5" t="s">
        <v>2170</v>
      </c>
      <c r="Z394" s="5" t="str">
        <f t="shared" si="12"/>
        <v>Medium</v>
      </c>
      <c r="AA394" s="5" t="s">
        <v>1319</v>
      </c>
      <c r="AB394" s="6" t="s">
        <v>1355</v>
      </c>
      <c r="AC394" s="6" t="s">
        <v>135</v>
      </c>
      <c r="AD394" s="5" t="s">
        <v>2278</v>
      </c>
      <c r="AE394" s="5" t="s">
        <v>1720</v>
      </c>
      <c r="AF394" s="5" t="s">
        <v>1720</v>
      </c>
      <c r="AG394" s="5" t="s">
        <v>1720</v>
      </c>
      <c r="AH394" s="5" t="s">
        <v>1720</v>
      </c>
      <c r="AI394" s="6" t="str">
        <f t="shared" si="13"/>
        <v>No</v>
      </c>
      <c r="AJ394" s="6" t="s">
        <v>2298</v>
      </c>
      <c r="AK394" s="6" t="s">
        <v>162</v>
      </c>
      <c r="AL394" s="6">
        <f>MATCH(AA394,{"Low","Medium","High"},0)*MATCH(AB394,{"Low","Medium","High"},0)*INDEX({3,2,2,1,1},MATCH(X394,{"Core","Vertical extension","Differentiator","Future","Adjacent"},0))</f>
        <v>6</v>
      </c>
      <c r="AM394" s="5"/>
      <c r="AN394" s="5"/>
      <c r="AO394" s="5"/>
      <c r="AP394" s="5"/>
      <c r="AQ394" s="5"/>
      <c r="AR394" s="5"/>
      <c r="AS394" s="5"/>
      <c r="AT394" s="5"/>
      <c r="AU394" s="6" t="s">
        <v>2317</v>
      </c>
      <c r="AV394" s="6" t="s">
        <v>2813</v>
      </c>
      <c r="AW394" s="6" t="s">
        <v>2813</v>
      </c>
      <c r="AX394" s="6" t="s">
        <v>2284</v>
      </c>
      <c r="AY394" s="6" t="s">
        <v>2285</v>
      </c>
      <c r="AZ394" s="6"/>
      <c r="BA394" s="6"/>
      <c r="BB394" s="6"/>
      <c r="BC394" s="6" t="s">
        <v>127</v>
      </c>
      <c r="BD394" s="6" t="s">
        <v>127</v>
      </c>
      <c r="BE394" s="6" t="s">
        <v>1477</v>
      </c>
      <c r="BF394" s="6" t="s">
        <v>2286</v>
      </c>
      <c r="BG394" s="6" t="s">
        <v>5509</v>
      </c>
      <c r="BH394" s="6" t="s">
        <v>5510</v>
      </c>
    </row>
    <row r="395" spans="1:60" ht="32" customHeight="1" x14ac:dyDescent="0.35">
      <c r="A395" s="13" t="s">
        <v>5511</v>
      </c>
      <c r="B395" s="6" t="s">
        <v>3901</v>
      </c>
      <c r="C395" s="5" t="s">
        <v>1652</v>
      </c>
      <c r="D395" s="5" t="s">
        <v>2189</v>
      </c>
      <c r="E395" s="5" t="s">
        <v>5512</v>
      </c>
      <c r="F395" s="5" t="s">
        <v>3417</v>
      </c>
      <c r="G395" s="5" t="s">
        <v>2798</v>
      </c>
      <c r="H395" s="5" t="s">
        <v>5513</v>
      </c>
      <c r="I395" s="5" t="s">
        <v>5514</v>
      </c>
      <c r="J395" s="17" t="s">
        <v>162</v>
      </c>
      <c r="K395" s="17" t="s">
        <v>163</v>
      </c>
      <c r="L395" s="5" t="s">
        <v>5515</v>
      </c>
      <c r="M395" s="6" t="s">
        <v>1493</v>
      </c>
      <c r="N395" s="6" t="s">
        <v>2170</v>
      </c>
      <c r="O395" s="6" t="s">
        <v>162</v>
      </c>
      <c r="P395" s="5" t="s">
        <v>2272</v>
      </c>
      <c r="Q395" s="17" t="s">
        <v>163</v>
      </c>
      <c r="R395" s="5" t="s">
        <v>5516</v>
      </c>
      <c r="S395" s="6" t="s">
        <v>2325</v>
      </c>
      <c r="T395" s="5" t="s">
        <v>2326</v>
      </c>
      <c r="U395" s="6"/>
      <c r="V395" s="6" t="s">
        <v>2327</v>
      </c>
      <c r="W395" s="6" t="s">
        <v>1699</v>
      </c>
      <c r="X395" s="5" t="s">
        <v>228</v>
      </c>
      <c r="Y395" s="5" t="s">
        <v>2170</v>
      </c>
      <c r="Z395" s="5" t="str">
        <f t="shared" si="12"/>
        <v>Medium</v>
      </c>
      <c r="AA395" s="5" t="s">
        <v>1319</v>
      </c>
      <c r="AB395" s="6" t="s">
        <v>1355</v>
      </c>
      <c r="AC395" s="6" t="s">
        <v>135</v>
      </c>
      <c r="AD395" s="5" t="s">
        <v>1805</v>
      </c>
      <c r="AE395" s="5" t="s">
        <v>1720</v>
      </c>
      <c r="AF395" s="5" t="s">
        <v>1720</v>
      </c>
      <c r="AG395" s="5" t="s">
        <v>1720</v>
      </c>
      <c r="AH395" s="5" t="s">
        <v>1720</v>
      </c>
      <c r="AI395" s="6" t="str">
        <f t="shared" si="13"/>
        <v>No</v>
      </c>
      <c r="AJ395" s="6" t="s">
        <v>287</v>
      </c>
      <c r="AK395" s="6" t="s">
        <v>162</v>
      </c>
      <c r="AL395" s="6">
        <f>MATCH(AA395,{"Low","Medium","High"},0)*MATCH(AB395,{"Low","Medium","High"},0)*INDEX({3,2,2,1,1},MATCH(X395,{"Core","Vertical extension","Differentiator","Future","Adjacent"},0))</f>
        <v>6</v>
      </c>
      <c r="AM395" s="5"/>
      <c r="AN395" s="5"/>
      <c r="AO395" s="5"/>
      <c r="AP395" s="5"/>
      <c r="AQ395" s="5"/>
      <c r="AR395" s="5"/>
      <c r="AS395" s="5"/>
      <c r="AT395" s="5"/>
      <c r="AU395" s="6" t="s">
        <v>2317</v>
      </c>
      <c r="AV395" s="6" t="s">
        <v>2804</v>
      </c>
      <c r="AW395" s="6" t="s">
        <v>2804</v>
      </c>
      <c r="AX395" s="6" t="s">
        <v>2284</v>
      </c>
      <c r="AY395" s="6" t="s">
        <v>2285</v>
      </c>
      <c r="AZ395" s="6"/>
      <c r="BA395" s="6"/>
      <c r="BB395" s="6"/>
      <c r="BC395" s="6" t="s">
        <v>127</v>
      </c>
      <c r="BD395" s="6" t="s">
        <v>127</v>
      </c>
      <c r="BE395" s="6" t="s">
        <v>1477</v>
      </c>
      <c r="BF395" s="6" t="s">
        <v>288</v>
      </c>
      <c r="BG395" s="6" t="s">
        <v>5517</v>
      </c>
      <c r="BH395" s="6" t="s">
        <v>5518</v>
      </c>
    </row>
    <row r="396" spans="1:60" ht="32" customHeight="1" x14ac:dyDescent="0.35">
      <c r="A396" s="13" t="s">
        <v>5519</v>
      </c>
      <c r="B396" s="6" t="s">
        <v>3901</v>
      </c>
      <c r="C396" s="5" t="s">
        <v>1652</v>
      </c>
      <c r="D396" s="5" t="s">
        <v>2189</v>
      </c>
      <c r="E396" s="5" t="s">
        <v>5520</v>
      </c>
      <c r="F396" s="5" t="s">
        <v>2798</v>
      </c>
      <c r="G396" s="5" t="s">
        <v>2939</v>
      </c>
      <c r="H396" s="5" t="s">
        <v>5521</v>
      </c>
      <c r="I396" s="5" t="s">
        <v>5522</v>
      </c>
      <c r="J396" s="17" t="s">
        <v>162</v>
      </c>
      <c r="K396" s="17" t="s">
        <v>163</v>
      </c>
      <c r="L396" s="5" t="s">
        <v>5523</v>
      </c>
      <c r="M396" s="6" t="s">
        <v>1493</v>
      </c>
      <c r="N396" s="6" t="s">
        <v>2170</v>
      </c>
      <c r="O396" s="6" t="s">
        <v>162</v>
      </c>
      <c r="P396" s="5" t="s">
        <v>2272</v>
      </c>
      <c r="Q396" s="17" t="s">
        <v>163</v>
      </c>
      <c r="R396" s="5" t="s">
        <v>5524</v>
      </c>
      <c r="S396" s="6" t="s">
        <v>2325</v>
      </c>
      <c r="T396" s="5" t="s">
        <v>2326</v>
      </c>
      <c r="U396" s="6"/>
      <c r="V396" s="6" t="s">
        <v>2327</v>
      </c>
      <c r="W396" s="6" t="s">
        <v>1699</v>
      </c>
      <c r="X396" s="5" t="s">
        <v>228</v>
      </c>
      <c r="Y396" s="5" t="s">
        <v>2170</v>
      </c>
      <c r="Z396" s="5" t="str">
        <f t="shared" si="12"/>
        <v>Medium</v>
      </c>
      <c r="AA396" s="5" t="s">
        <v>1319</v>
      </c>
      <c r="AB396" s="6" t="s">
        <v>1355</v>
      </c>
      <c r="AC396" s="6" t="s">
        <v>135</v>
      </c>
      <c r="AD396" s="5" t="s">
        <v>1805</v>
      </c>
      <c r="AE396" s="5" t="s">
        <v>1720</v>
      </c>
      <c r="AF396" s="5" t="s">
        <v>1720</v>
      </c>
      <c r="AG396" s="5" t="s">
        <v>1720</v>
      </c>
      <c r="AH396" s="5" t="s">
        <v>1720</v>
      </c>
      <c r="AI396" s="6" t="str">
        <f t="shared" si="13"/>
        <v>No</v>
      </c>
      <c r="AJ396" s="6" t="s">
        <v>287</v>
      </c>
      <c r="AK396" s="6" t="s">
        <v>162</v>
      </c>
      <c r="AL396" s="6">
        <f>MATCH(AA396,{"Low","Medium","High"},0)*MATCH(AB396,{"Low","Medium","High"},0)*INDEX({3,2,2,1,1},MATCH(X396,{"Core","Vertical extension","Differentiator","Future","Adjacent"},0))</f>
        <v>6</v>
      </c>
      <c r="AM396" s="5"/>
      <c r="AN396" s="5"/>
      <c r="AO396" s="5"/>
      <c r="AP396" s="5"/>
      <c r="AQ396" s="5"/>
      <c r="AR396" s="5"/>
      <c r="AS396" s="5"/>
      <c r="AT396" s="5"/>
      <c r="AU396" s="6" t="s">
        <v>2317</v>
      </c>
      <c r="AV396" s="6" t="s">
        <v>2804</v>
      </c>
      <c r="AW396" s="6" t="s">
        <v>2804</v>
      </c>
      <c r="AX396" s="6" t="s">
        <v>2284</v>
      </c>
      <c r="AY396" s="6" t="s">
        <v>2285</v>
      </c>
      <c r="AZ396" s="6"/>
      <c r="BA396" s="6"/>
      <c r="BB396" s="6"/>
      <c r="BC396" s="6" t="s">
        <v>127</v>
      </c>
      <c r="BD396" s="6" t="s">
        <v>127</v>
      </c>
      <c r="BE396" s="6" t="s">
        <v>1477</v>
      </c>
      <c r="BF396" s="6" t="s">
        <v>288</v>
      </c>
      <c r="BG396" s="6" t="s">
        <v>5525</v>
      </c>
      <c r="BH396" s="6" t="s">
        <v>5526</v>
      </c>
    </row>
    <row r="397" spans="1:60" ht="32" customHeight="1" x14ac:dyDescent="0.35">
      <c r="A397" s="13" t="s">
        <v>5527</v>
      </c>
      <c r="B397" s="6" t="s">
        <v>3901</v>
      </c>
      <c r="C397" s="5" t="s">
        <v>1652</v>
      </c>
      <c r="D397" s="5" t="s">
        <v>2189</v>
      </c>
      <c r="E397" s="5" t="s">
        <v>5528</v>
      </c>
      <c r="F397" s="5" t="s">
        <v>2813</v>
      </c>
      <c r="G397" s="5" t="s">
        <v>5529</v>
      </c>
      <c r="H397" s="5" t="s">
        <v>5530</v>
      </c>
      <c r="I397" s="5" t="s">
        <v>5531</v>
      </c>
      <c r="J397" s="17" t="s">
        <v>162</v>
      </c>
      <c r="K397" s="17" t="s">
        <v>95</v>
      </c>
      <c r="L397" s="5" t="s">
        <v>5532</v>
      </c>
      <c r="M397" s="6" t="s">
        <v>1493</v>
      </c>
      <c r="N397" s="6" t="s">
        <v>2170</v>
      </c>
      <c r="O397" s="6" t="s">
        <v>162</v>
      </c>
      <c r="P397" s="5" t="s">
        <v>2272</v>
      </c>
      <c r="Q397" s="17" t="s">
        <v>95</v>
      </c>
      <c r="R397" s="5" t="s">
        <v>5533</v>
      </c>
      <c r="S397" s="6" t="s">
        <v>2325</v>
      </c>
      <c r="T397" s="5" t="s">
        <v>2326</v>
      </c>
      <c r="U397" s="6"/>
      <c r="V397" s="6" t="s">
        <v>2327</v>
      </c>
      <c r="W397" s="6" t="s">
        <v>1699</v>
      </c>
      <c r="X397" s="5" t="s">
        <v>228</v>
      </c>
      <c r="Y397" s="5" t="s">
        <v>2170</v>
      </c>
      <c r="Z397" s="5" t="str">
        <f t="shared" si="12"/>
        <v>Medium</v>
      </c>
      <c r="AA397" s="5" t="s">
        <v>1319</v>
      </c>
      <c r="AB397" s="6" t="s">
        <v>1355</v>
      </c>
      <c r="AC397" s="6" t="s">
        <v>135</v>
      </c>
      <c r="AD397" s="5" t="s">
        <v>95</v>
      </c>
      <c r="AE397" s="5" t="s">
        <v>1720</v>
      </c>
      <c r="AF397" s="5" t="s">
        <v>1720</v>
      </c>
      <c r="AG397" s="5" t="s">
        <v>1720</v>
      </c>
      <c r="AH397" s="5" t="s">
        <v>1720</v>
      </c>
      <c r="AI397" s="6" t="str">
        <f t="shared" si="13"/>
        <v>No</v>
      </c>
      <c r="AJ397" s="6" t="s">
        <v>229</v>
      </c>
      <c r="AK397" s="6" t="s">
        <v>162</v>
      </c>
      <c r="AL397" s="6">
        <f>MATCH(AA397,{"Low","Medium","High"},0)*MATCH(AB397,{"Low","Medium","High"},0)*INDEX({3,2,2,1,1},MATCH(X397,{"Core","Vertical extension","Differentiator","Future","Adjacent"},0))</f>
        <v>6</v>
      </c>
      <c r="AM397" s="5"/>
      <c r="AN397" s="5"/>
      <c r="AO397" s="5"/>
      <c r="AP397" s="5"/>
      <c r="AQ397" s="5"/>
      <c r="AR397" s="5"/>
      <c r="AS397" s="5"/>
      <c r="AT397" s="5"/>
      <c r="AU397" s="6" t="s">
        <v>2317</v>
      </c>
      <c r="AV397" s="6" t="s">
        <v>2813</v>
      </c>
      <c r="AW397" s="6" t="s">
        <v>2813</v>
      </c>
      <c r="AX397" s="6" t="s">
        <v>2284</v>
      </c>
      <c r="AY397" s="6" t="s">
        <v>2285</v>
      </c>
      <c r="AZ397" s="6"/>
      <c r="BA397" s="6"/>
      <c r="BB397" s="6"/>
      <c r="BC397" s="6" t="s">
        <v>127</v>
      </c>
      <c r="BD397" s="6" t="s">
        <v>127</v>
      </c>
      <c r="BE397" s="6" t="s">
        <v>1477</v>
      </c>
      <c r="BF397" s="6" t="s">
        <v>95</v>
      </c>
      <c r="BG397" s="6" t="s">
        <v>5534</v>
      </c>
      <c r="BH397" s="6" t="s">
        <v>5535</v>
      </c>
    </row>
    <row r="398" spans="1:60" ht="32" customHeight="1" x14ac:dyDescent="0.35">
      <c r="A398" s="13" t="s">
        <v>5536</v>
      </c>
      <c r="B398" s="6" t="s">
        <v>3901</v>
      </c>
      <c r="C398" s="5" t="s">
        <v>1652</v>
      </c>
      <c r="D398" s="5" t="s">
        <v>2189</v>
      </c>
      <c r="E398" s="5" t="s">
        <v>5537</v>
      </c>
      <c r="F398" s="5" t="s">
        <v>3084</v>
      </c>
      <c r="G398" s="5" t="s">
        <v>3044</v>
      </c>
      <c r="H398" s="5" t="s">
        <v>5538</v>
      </c>
      <c r="I398" s="5" t="s">
        <v>5539</v>
      </c>
      <c r="J398" s="17" t="s">
        <v>162</v>
      </c>
      <c r="K398" s="17" t="s">
        <v>163</v>
      </c>
      <c r="L398" s="5" t="s">
        <v>5540</v>
      </c>
      <c r="M398" s="6" t="s">
        <v>1493</v>
      </c>
      <c r="N398" s="6" t="s">
        <v>2170</v>
      </c>
      <c r="O398" s="6" t="s">
        <v>162</v>
      </c>
      <c r="P398" s="5" t="s">
        <v>2272</v>
      </c>
      <c r="Q398" s="17" t="s">
        <v>163</v>
      </c>
      <c r="R398" s="5" t="s">
        <v>5541</v>
      </c>
      <c r="S398" s="6" t="s">
        <v>2325</v>
      </c>
      <c r="T398" s="5" t="s">
        <v>2326</v>
      </c>
      <c r="U398" s="6"/>
      <c r="V398" s="6" t="s">
        <v>2327</v>
      </c>
      <c r="W398" s="6" t="s">
        <v>1699</v>
      </c>
      <c r="X398" s="5" t="s">
        <v>228</v>
      </c>
      <c r="Y398" s="5" t="s">
        <v>2170</v>
      </c>
      <c r="Z398" s="5" t="str">
        <f t="shared" si="12"/>
        <v>Medium</v>
      </c>
      <c r="AA398" s="5" t="s">
        <v>1319</v>
      </c>
      <c r="AB398" s="6" t="s">
        <v>1355</v>
      </c>
      <c r="AC398" s="6" t="s">
        <v>135</v>
      </c>
      <c r="AD398" s="5" t="s">
        <v>1805</v>
      </c>
      <c r="AE398" s="5" t="s">
        <v>1720</v>
      </c>
      <c r="AF398" s="5" t="s">
        <v>1720</v>
      </c>
      <c r="AG398" s="5" t="s">
        <v>1720</v>
      </c>
      <c r="AH398" s="5" t="s">
        <v>1720</v>
      </c>
      <c r="AI398" s="6" t="str">
        <f t="shared" si="13"/>
        <v>No</v>
      </c>
      <c r="AJ398" s="6" t="s">
        <v>287</v>
      </c>
      <c r="AK398" s="6" t="s">
        <v>162</v>
      </c>
      <c r="AL398" s="6">
        <f>MATCH(AA398,{"Low","Medium","High"},0)*MATCH(AB398,{"Low","Medium","High"},0)*INDEX({3,2,2,1,1},MATCH(X398,{"Core","Vertical extension","Differentiator","Future","Adjacent"},0))</f>
        <v>6</v>
      </c>
      <c r="AM398" s="5"/>
      <c r="AN398" s="5"/>
      <c r="AO398" s="5"/>
      <c r="AP398" s="5"/>
      <c r="AQ398" s="5"/>
      <c r="AR398" s="5"/>
      <c r="AS398" s="5"/>
      <c r="AT398" s="5"/>
      <c r="AU398" s="6" t="s">
        <v>2317</v>
      </c>
      <c r="AV398" s="6" t="s">
        <v>3084</v>
      </c>
      <c r="AW398" s="6" t="s">
        <v>3084</v>
      </c>
      <c r="AX398" s="6" t="s">
        <v>2284</v>
      </c>
      <c r="AY398" s="6" t="s">
        <v>2285</v>
      </c>
      <c r="AZ398" s="6"/>
      <c r="BA398" s="6"/>
      <c r="BB398" s="6"/>
      <c r="BC398" s="6" t="s">
        <v>127</v>
      </c>
      <c r="BD398" s="6" t="s">
        <v>127</v>
      </c>
      <c r="BE398" s="6" t="s">
        <v>1477</v>
      </c>
      <c r="BF398" s="6" t="s">
        <v>288</v>
      </c>
      <c r="BG398" s="6" t="s">
        <v>5542</v>
      </c>
      <c r="BH398" s="6" t="s">
        <v>5543</v>
      </c>
    </row>
    <row r="399" spans="1:60" ht="32" customHeight="1" x14ac:dyDescent="0.35">
      <c r="A399" s="13" t="s">
        <v>5544</v>
      </c>
      <c r="B399" s="6" t="s">
        <v>3901</v>
      </c>
      <c r="C399" s="5" t="s">
        <v>1652</v>
      </c>
      <c r="D399" s="5" t="s">
        <v>2189</v>
      </c>
      <c r="E399" s="5" t="s">
        <v>5545</v>
      </c>
      <c r="F399" s="5" t="s">
        <v>2885</v>
      </c>
      <c r="G399" s="5" t="s">
        <v>3418</v>
      </c>
      <c r="H399" s="5" t="s">
        <v>5546</v>
      </c>
      <c r="I399" s="5" t="s">
        <v>5547</v>
      </c>
      <c r="J399" s="17" t="s">
        <v>162</v>
      </c>
      <c r="K399" s="17" t="s">
        <v>95</v>
      </c>
      <c r="L399" s="5" t="s">
        <v>5548</v>
      </c>
      <c r="M399" s="6" t="s">
        <v>1493</v>
      </c>
      <c r="N399" s="6" t="s">
        <v>2170</v>
      </c>
      <c r="O399" s="6" t="s">
        <v>162</v>
      </c>
      <c r="P399" s="5" t="s">
        <v>2272</v>
      </c>
      <c r="Q399" s="17" t="s">
        <v>95</v>
      </c>
      <c r="R399" s="5" t="s">
        <v>5549</v>
      </c>
      <c r="S399" s="6" t="s">
        <v>2325</v>
      </c>
      <c r="T399" s="5" t="s">
        <v>2326</v>
      </c>
      <c r="U399" s="6"/>
      <c r="V399" s="6" t="s">
        <v>2327</v>
      </c>
      <c r="W399" s="6" t="s">
        <v>1699</v>
      </c>
      <c r="X399" s="5" t="s">
        <v>228</v>
      </c>
      <c r="Y399" s="5" t="s">
        <v>2170</v>
      </c>
      <c r="Z399" s="5" t="str">
        <f t="shared" si="12"/>
        <v>Medium</v>
      </c>
      <c r="AA399" s="5" t="s">
        <v>1319</v>
      </c>
      <c r="AB399" s="6" t="s">
        <v>1355</v>
      </c>
      <c r="AC399" s="6" t="s">
        <v>135</v>
      </c>
      <c r="AD399" s="5" t="s">
        <v>95</v>
      </c>
      <c r="AE399" s="5" t="s">
        <v>1720</v>
      </c>
      <c r="AF399" s="5" t="s">
        <v>1720</v>
      </c>
      <c r="AG399" s="5" t="s">
        <v>1720</v>
      </c>
      <c r="AH399" s="5" t="s">
        <v>1720</v>
      </c>
      <c r="AI399" s="6" t="str">
        <f t="shared" si="13"/>
        <v>No</v>
      </c>
      <c r="AJ399" s="6" t="s">
        <v>229</v>
      </c>
      <c r="AK399" s="6" t="s">
        <v>162</v>
      </c>
      <c r="AL399" s="6">
        <f>MATCH(AA399,{"Low","Medium","High"},0)*MATCH(AB399,{"Low","Medium","High"},0)*INDEX({3,2,2,1,1},MATCH(X399,{"Core","Vertical extension","Differentiator","Future","Adjacent"},0))</f>
        <v>6</v>
      </c>
      <c r="AM399" s="5"/>
      <c r="AN399" s="5"/>
      <c r="AO399" s="5"/>
      <c r="AP399" s="5"/>
      <c r="AQ399" s="5"/>
      <c r="AR399" s="5"/>
      <c r="AS399" s="5"/>
      <c r="AT399" s="5"/>
      <c r="AU399" s="6" t="s">
        <v>2317</v>
      </c>
      <c r="AV399" s="6" t="s">
        <v>2813</v>
      </c>
      <c r="AW399" s="6" t="s">
        <v>2813</v>
      </c>
      <c r="AX399" s="6" t="s">
        <v>2284</v>
      </c>
      <c r="AY399" s="6" t="s">
        <v>2285</v>
      </c>
      <c r="AZ399" s="6"/>
      <c r="BA399" s="6"/>
      <c r="BB399" s="6"/>
      <c r="BC399" s="6" t="s">
        <v>127</v>
      </c>
      <c r="BD399" s="6" t="s">
        <v>127</v>
      </c>
      <c r="BE399" s="6" t="s">
        <v>1477</v>
      </c>
      <c r="BF399" s="6" t="s">
        <v>95</v>
      </c>
      <c r="BG399" s="6" t="s">
        <v>5550</v>
      </c>
      <c r="BH399" s="6" t="s">
        <v>5551</v>
      </c>
    </row>
    <row r="400" spans="1:60" ht="32" customHeight="1" x14ac:dyDescent="0.35">
      <c r="A400" s="13" t="s">
        <v>5552</v>
      </c>
      <c r="B400" s="6" t="s">
        <v>3901</v>
      </c>
      <c r="C400" s="5" t="s">
        <v>1652</v>
      </c>
      <c r="D400" s="5" t="s">
        <v>2189</v>
      </c>
      <c r="E400" s="5" t="s">
        <v>5553</v>
      </c>
      <c r="F400" s="5" t="s">
        <v>2893</v>
      </c>
      <c r="G400" s="5" t="s">
        <v>2312</v>
      </c>
      <c r="H400" s="5" t="s">
        <v>5554</v>
      </c>
      <c r="I400" s="5" t="s">
        <v>5555</v>
      </c>
      <c r="J400" s="17" t="s">
        <v>162</v>
      </c>
      <c r="K400" s="17" t="s">
        <v>95</v>
      </c>
      <c r="L400" s="5" t="s">
        <v>5556</v>
      </c>
      <c r="M400" s="6" t="s">
        <v>1493</v>
      </c>
      <c r="N400" s="6" t="s">
        <v>2170</v>
      </c>
      <c r="O400" s="6" t="s">
        <v>162</v>
      </c>
      <c r="P400" s="5" t="s">
        <v>2272</v>
      </c>
      <c r="Q400" s="17" t="s">
        <v>95</v>
      </c>
      <c r="R400" s="5" t="s">
        <v>5557</v>
      </c>
      <c r="S400" s="6" t="s">
        <v>2325</v>
      </c>
      <c r="T400" s="5" t="s">
        <v>2326</v>
      </c>
      <c r="U400" s="6"/>
      <c r="V400" s="6" t="s">
        <v>2327</v>
      </c>
      <c r="W400" s="6" t="s">
        <v>1699</v>
      </c>
      <c r="X400" s="5" t="s">
        <v>228</v>
      </c>
      <c r="Y400" s="5" t="s">
        <v>2170</v>
      </c>
      <c r="Z400" s="5" t="str">
        <f t="shared" si="12"/>
        <v>Medium</v>
      </c>
      <c r="AA400" s="5" t="s">
        <v>1319</v>
      </c>
      <c r="AB400" s="6" t="s">
        <v>1355</v>
      </c>
      <c r="AC400" s="6" t="s">
        <v>135</v>
      </c>
      <c r="AD400" s="5" t="s">
        <v>95</v>
      </c>
      <c r="AE400" s="5" t="s">
        <v>1720</v>
      </c>
      <c r="AF400" s="5" t="s">
        <v>1720</v>
      </c>
      <c r="AG400" s="5" t="s">
        <v>1720</v>
      </c>
      <c r="AH400" s="5" t="s">
        <v>1720</v>
      </c>
      <c r="AI400" s="6" t="str">
        <f t="shared" si="13"/>
        <v>No</v>
      </c>
      <c r="AJ400" s="6" t="s">
        <v>229</v>
      </c>
      <c r="AK400" s="6" t="s">
        <v>162</v>
      </c>
      <c r="AL400" s="6">
        <f>MATCH(AA400,{"Low","Medium","High"},0)*MATCH(AB400,{"Low","Medium","High"},0)*INDEX({3,2,2,1,1},MATCH(X400,{"Core","Vertical extension","Differentiator","Future","Adjacent"},0))</f>
        <v>6</v>
      </c>
      <c r="AM400" s="5"/>
      <c r="AN400" s="5"/>
      <c r="AO400" s="5"/>
      <c r="AP400" s="5"/>
      <c r="AQ400" s="5"/>
      <c r="AR400" s="5"/>
      <c r="AS400" s="5"/>
      <c r="AT400" s="5"/>
      <c r="AU400" s="6" t="s">
        <v>2317</v>
      </c>
      <c r="AV400" s="6" t="s">
        <v>2898</v>
      </c>
      <c r="AW400" s="6" t="s">
        <v>2898</v>
      </c>
      <c r="AX400" s="6" t="s">
        <v>2284</v>
      </c>
      <c r="AY400" s="6" t="s">
        <v>2285</v>
      </c>
      <c r="AZ400" s="6"/>
      <c r="BA400" s="6"/>
      <c r="BB400" s="6"/>
      <c r="BC400" s="6" t="s">
        <v>127</v>
      </c>
      <c r="BD400" s="6" t="s">
        <v>127</v>
      </c>
      <c r="BE400" s="6" t="s">
        <v>1477</v>
      </c>
      <c r="BF400" s="6" t="s">
        <v>95</v>
      </c>
      <c r="BG400" s="6" t="s">
        <v>5558</v>
      </c>
      <c r="BH400" s="6" t="s">
        <v>5559</v>
      </c>
    </row>
    <row r="401" spans="1:60" ht="32" customHeight="1" x14ac:dyDescent="0.35">
      <c r="A401" s="13" t="s">
        <v>5560</v>
      </c>
      <c r="B401" s="6" t="s">
        <v>3901</v>
      </c>
      <c r="C401" s="5" t="s">
        <v>1652</v>
      </c>
      <c r="D401" s="5" t="s">
        <v>2189</v>
      </c>
      <c r="E401" s="5" t="s">
        <v>5561</v>
      </c>
      <c r="F401" s="5" t="s">
        <v>5562</v>
      </c>
      <c r="G401" s="5" t="s">
        <v>5563</v>
      </c>
      <c r="H401" s="5" t="s">
        <v>5564</v>
      </c>
      <c r="I401" s="5" t="s">
        <v>5565</v>
      </c>
      <c r="J401" s="17" t="s">
        <v>162</v>
      </c>
      <c r="K401" s="17" t="s">
        <v>163</v>
      </c>
      <c r="L401" s="5" t="s">
        <v>5566</v>
      </c>
      <c r="M401" s="6" t="s">
        <v>1493</v>
      </c>
      <c r="N401" s="6" t="s">
        <v>2170</v>
      </c>
      <c r="O401" s="6" t="s">
        <v>162</v>
      </c>
      <c r="P401" s="5" t="s">
        <v>2272</v>
      </c>
      <c r="Q401" s="17" t="s">
        <v>163</v>
      </c>
      <c r="R401" s="5" t="s">
        <v>5567</v>
      </c>
      <c r="S401" s="6" t="s">
        <v>2325</v>
      </c>
      <c r="T401" s="5" t="s">
        <v>2326</v>
      </c>
      <c r="U401" s="6"/>
      <c r="V401" s="6" t="s">
        <v>2327</v>
      </c>
      <c r="W401" s="6" t="s">
        <v>1699</v>
      </c>
      <c r="X401" s="5" t="s">
        <v>228</v>
      </c>
      <c r="Y401" s="5" t="s">
        <v>2170</v>
      </c>
      <c r="Z401" s="5" t="str">
        <f t="shared" si="12"/>
        <v>Medium</v>
      </c>
      <c r="AA401" s="5" t="s">
        <v>1319</v>
      </c>
      <c r="AB401" s="6" t="s">
        <v>1355</v>
      </c>
      <c r="AC401" s="6" t="s">
        <v>135</v>
      </c>
      <c r="AD401" s="5" t="s">
        <v>1805</v>
      </c>
      <c r="AE401" s="5" t="s">
        <v>1720</v>
      </c>
      <c r="AF401" s="5" t="s">
        <v>1720</v>
      </c>
      <c r="AG401" s="5" t="s">
        <v>1720</v>
      </c>
      <c r="AH401" s="5" t="s">
        <v>1720</v>
      </c>
      <c r="AI401" s="6" t="str">
        <f t="shared" si="13"/>
        <v>No</v>
      </c>
      <c r="AJ401" s="6" t="s">
        <v>287</v>
      </c>
      <c r="AK401" s="6" t="s">
        <v>162</v>
      </c>
      <c r="AL401" s="6">
        <f>MATCH(AA401,{"Low","Medium","High"},0)*MATCH(AB401,{"Low","Medium","High"},0)*INDEX({3,2,2,1,1},MATCH(X401,{"Core","Vertical extension","Differentiator","Future","Adjacent"},0))</f>
        <v>6</v>
      </c>
      <c r="AM401" s="5"/>
      <c r="AN401" s="5"/>
      <c r="AO401" s="5"/>
      <c r="AP401" s="5"/>
      <c r="AQ401" s="5"/>
      <c r="AR401" s="5"/>
      <c r="AS401" s="5"/>
      <c r="AT401" s="5"/>
      <c r="AU401" s="6" t="s">
        <v>2317</v>
      </c>
      <c r="AV401" s="6" t="s">
        <v>2813</v>
      </c>
      <c r="AW401" s="6" t="s">
        <v>2813</v>
      </c>
      <c r="AX401" s="6" t="s">
        <v>2284</v>
      </c>
      <c r="AY401" s="6" t="s">
        <v>2285</v>
      </c>
      <c r="AZ401" s="6"/>
      <c r="BA401" s="6"/>
      <c r="BB401" s="6"/>
      <c r="BC401" s="6" t="s">
        <v>127</v>
      </c>
      <c r="BD401" s="6" t="s">
        <v>127</v>
      </c>
      <c r="BE401" s="6" t="s">
        <v>1477</v>
      </c>
      <c r="BF401" s="6" t="s">
        <v>288</v>
      </c>
      <c r="BG401" s="6" t="s">
        <v>5568</v>
      </c>
      <c r="BH401" s="6" t="s">
        <v>5569</v>
      </c>
    </row>
    <row r="402" spans="1:60" ht="32" customHeight="1" x14ac:dyDescent="0.35">
      <c r="A402" s="13" t="s">
        <v>5570</v>
      </c>
      <c r="B402" s="6" t="s">
        <v>3901</v>
      </c>
      <c r="C402" s="5" t="s">
        <v>1652</v>
      </c>
      <c r="D402" s="5" t="s">
        <v>2189</v>
      </c>
      <c r="E402" s="5" t="s">
        <v>5571</v>
      </c>
      <c r="F402" s="5" t="s">
        <v>5572</v>
      </c>
      <c r="G402" s="5" t="s">
        <v>5192</v>
      </c>
      <c r="H402" s="5" t="s">
        <v>5573</v>
      </c>
      <c r="I402" s="5" t="s">
        <v>5574</v>
      </c>
      <c r="J402" s="17" t="s">
        <v>162</v>
      </c>
      <c r="K402" s="17" t="s">
        <v>95</v>
      </c>
      <c r="L402" s="5" t="s">
        <v>5575</v>
      </c>
      <c r="M402" s="6" t="s">
        <v>1493</v>
      </c>
      <c r="N402" s="6" t="s">
        <v>2170</v>
      </c>
      <c r="O402" s="6" t="s">
        <v>162</v>
      </c>
      <c r="P402" s="5" t="s">
        <v>2272</v>
      </c>
      <c r="Q402" s="17" t="s">
        <v>95</v>
      </c>
      <c r="R402" s="5" t="s">
        <v>5576</v>
      </c>
      <c r="S402" s="6" t="s">
        <v>2325</v>
      </c>
      <c r="T402" s="5" t="s">
        <v>2326</v>
      </c>
      <c r="U402" s="6"/>
      <c r="V402" s="6" t="s">
        <v>2327</v>
      </c>
      <c r="W402" s="6" t="s">
        <v>1699</v>
      </c>
      <c r="X402" s="5" t="s">
        <v>228</v>
      </c>
      <c r="Y402" s="5" t="s">
        <v>2170</v>
      </c>
      <c r="Z402" s="5" t="str">
        <f t="shared" si="12"/>
        <v>Medium</v>
      </c>
      <c r="AA402" s="5" t="s">
        <v>1319</v>
      </c>
      <c r="AB402" s="6" t="s">
        <v>1355</v>
      </c>
      <c r="AC402" s="6" t="s">
        <v>135</v>
      </c>
      <c r="AD402" s="5" t="s">
        <v>95</v>
      </c>
      <c r="AE402" s="5" t="s">
        <v>1720</v>
      </c>
      <c r="AF402" s="5" t="s">
        <v>1720</v>
      </c>
      <c r="AG402" s="5" t="s">
        <v>1720</v>
      </c>
      <c r="AH402" s="5" t="s">
        <v>1720</v>
      </c>
      <c r="AI402" s="6" t="str">
        <f t="shared" si="13"/>
        <v>No</v>
      </c>
      <c r="AJ402" s="6" t="s">
        <v>229</v>
      </c>
      <c r="AK402" s="6" t="s">
        <v>162</v>
      </c>
      <c r="AL402" s="6">
        <f>MATCH(AA402,{"Low","Medium","High"},0)*MATCH(AB402,{"Low","Medium","High"},0)*INDEX({3,2,2,1,1},MATCH(X402,{"Core","Vertical extension","Differentiator","Future","Adjacent"},0))</f>
        <v>6</v>
      </c>
      <c r="AM402" s="5"/>
      <c r="AN402" s="5"/>
      <c r="AO402" s="5"/>
      <c r="AP402" s="5"/>
      <c r="AQ402" s="5"/>
      <c r="AR402" s="5"/>
      <c r="AS402" s="5"/>
      <c r="AT402" s="5"/>
      <c r="AU402" s="6" t="s">
        <v>2317</v>
      </c>
      <c r="AV402" s="6" t="s">
        <v>2813</v>
      </c>
      <c r="AW402" s="6" t="s">
        <v>2813</v>
      </c>
      <c r="AX402" s="6" t="s">
        <v>2284</v>
      </c>
      <c r="AY402" s="6" t="s">
        <v>2285</v>
      </c>
      <c r="AZ402" s="6"/>
      <c r="BA402" s="6"/>
      <c r="BB402" s="6"/>
      <c r="BC402" s="6" t="s">
        <v>127</v>
      </c>
      <c r="BD402" s="6" t="s">
        <v>127</v>
      </c>
      <c r="BE402" s="6" t="s">
        <v>1477</v>
      </c>
      <c r="BF402" s="6" t="s">
        <v>95</v>
      </c>
      <c r="BG402" s="6" t="s">
        <v>5007</v>
      </c>
      <c r="BH402" s="6" t="s">
        <v>5577</v>
      </c>
    </row>
    <row r="403" spans="1:60" ht="32" customHeight="1" x14ac:dyDescent="0.35">
      <c r="A403" s="13" t="s">
        <v>5578</v>
      </c>
      <c r="B403" s="6" t="s">
        <v>3901</v>
      </c>
      <c r="C403" s="5" t="s">
        <v>1652</v>
      </c>
      <c r="D403" s="5" t="s">
        <v>2189</v>
      </c>
      <c r="E403" s="5" t="s">
        <v>5579</v>
      </c>
      <c r="F403" s="5" t="s">
        <v>5580</v>
      </c>
      <c r="G403" s="5" t="s">
        <v>5581</v>
      </c>
      <c r="H403" s="5" t="s">
        <v>5582</v>
      </c>
      <c r="I403" s="5" t="s">
        <v>5583</v>
      </c>
      <c r="J403" s="17" t="s">
        <v>162</v>
      </c>
      <c r="K403" s="17" t="s">
        <v>95</v>
      </c>
      <c r="L403" s="5" t="s">
        <v>5584</v>
      </c>
      <c r="M403" s="6" t="s">
        <v>1493</v>
      </c>
      <c r="N403" s="6" t="s">
        <v>2170</v>
      </c>
      <c r="O403" s="6" t="s">
        <v>162</v>
      </c>
      <c r="P403" s="5" t="s">
        <v>2272</v>
      </c>
      <c r="Q403" s="17" t="s">
        <v>95</v>
      </c>
      <c r="R403" s="5" t="s">
        <v>5585</v>
      </c>
      <c r="S403" s="6" t="s">
        <v>2325</v>
      </c>
      <c r="T403" s="5" t="s">
        <v>2326</v>
      </c>
      <c r="U403" s="6"/>
      <c r="V403" s="6" t="s">
        <v>2327</v>
      </c>
      <c r="W403" s="6" t="s">
        <v>1699</v>
      </c>
      <c r="X403" s="5" t="s">
        <v>228</v>
      </c>
      <c r="Y403" s="5" t="s">
        <v>2170</v>
      </c>
      <c r="Z403" s="5" t="str">
        <f t="shared" si="12"/>
        <v>Medium</v>
      </c>
      <c r="AA403" s="5" t="s">
        <v>1319</v>
      </c>
      <c r="AB403" s="6" t="s">
        <v>1355</v>
      </c>
      <c r="AC403" s="6" t="s">
        <v>135</v>
      </c>
      <c r="AD403" s="5" t="s">
        <v>95</v>
      </c>
      <c r="AE403" s="5" t="s">
        <v>1720</v>
      </c>
      <c r="AF403" s="5" t="s">
        <v>1720</v>
      </c>
      <c r="AG403" s="5" t="s">
        <v>1720</v>
      </c>
      <c r="AH403" s="5" t="s">
        <v>1720</v>
      </c>
      <c r="AI403" s="6" t="str">
        <f t="shared" si="13"/>
        <v>No</v>
      </c>
      <c r="AJ403" s="6" t="s">
        <v>229</v>
      </c>
      <c r="AK403" s="6" t="s">
        <v>162</v>
      </c>
      <c r="AL403" s="6">
        <f>MATCH(AA403,{"Low","Medium","High"},0)*MATCH(AB403,{"Low","Medium","High"},0)*INDEX({3,2,2,1,1},MATCH(X403,{"Core","Vertical extension","Differentiator","Future","Adjacent"},0))</f>
        <v>6</v>
      </c>
      <c r="AM403" s="5"/>
      <c r="AN403" s="5"/>
      <c r="AO403" s="5"/>
      <c r="AP403" s="5"/>
      <c r="AQ403" s="5"/>
      <c r="AR403" s="5"/>
      <c r="AS403" s="5"/>
      <c r="AT403" s="5"/>
      <c r="AU403" s="6" t="s">
        <v>2317</v>
      </c>
      <c r="AV403" s="6" t="s">
        <v>2813</v>
      </c>
      <c r="AW403" s="6" t="s">
        <v>2813</v>
      </c>
      <c r="AX403" s="6" t="s">
        <v>2284</v>
      </c>
      <c r="AY403" s="6" t="s">
        <v>2285</v>
      </c>
      <c r="AZ403" s="6"/>
      <c r="BA403" s="6"/>
      <c r="BB403" s="6"/>
      <c r="BC403" s="6" t="s">
        <v>127</v>
      </c>
      <c r="BD403" s="6" t="s">
        <v>127</v>
      </c>
      <c r="BE403" s="6" t="s">
        <v>1477</v>
      </c>
      <c r="BF403" s="6" t="s">
        <v>95</v>
      </c>
      <c r="BG403" s="6" t="s">
        <v>5586</v>
      </c>
      <c r="BH403" s="6" t="s">
        <v>5587</v>
      </c>
    </row>
    <row r="404" spans="1:60" ht="32" customHeight="1" x14ac:dyDescent="0.35">
      <c r="A404" s="13" t="s">
        <v>5588</v>
      </c>
      <c r="B404" s="6" t="s">
        <v>3901</v>
      </c>
      <c r="C404" s="5" t="s">
        <v>1652</v>
      </c>
      <c r="D404" s="5" t="s">
        <v>2189</v>
      </c>
      <c r="E404" s="5" t="s">
        <v>5589</v>
      </c>
      <c r="F404" s="5" t="s">
        <v>5590</v>
      </c>
      <c r="G404" s="5" t="s">
        <v>5581</v>
      </c>
      <c r="H404" s="5" t="s">
        <v>5591</v>
      </c>
      <c r="I404" s="5" t="s">
        <v>5592</v>
      </c>
      <c r="J404" s="17" t="s">
        <v>162</v>
      </c>
      <c r="K404" s="17" t="s">
        <v>95</v>
      </c>
      <c r="L404" s="5" t="s">
        <v>5593</v>
      </c>
      <c r="M404" s="6" t="s">
        <v>1493</v>
      </c>
      <c r="N404" s="6" t="s">
        <v>2170</v>
      </c>
      <c r="O404" s="6" t="s">
        <v>162</v>
      </c>
      <c r="P404" s="5" t="s">
        <v>2272</v>
      </c>
      <c r="Q404" s="17" t="s">
        <v>95</v>
      </c>
      <c r="R404" s="5" t="s">
        <v>5594</v>
      </c>
      <c r="S404" s="6" t="s">
        <v>2325</v>
      </c>
      <c r="T404" s="5" t="s">
        <v>2326</v>
      </c>
      <c r="U404" s="6"/>
      <c r="V404" s="6" t="s">
        <v>2327</v>
      </c>
      <c r="W404" s="6" t="s">
        <v>1699</v>
      </c>
      <c r="X404" s="5" t="s">
        <v>228</v>
      </c>
      <c r="Y404" s="5" t="s">
        <v>2170</v>
      </c>
      <c r="Z404" s="5" t="str">
        <f t="shared" si="12"/>
        <v>Medium</v>
      </c>
      <c r="AA404" s="5" t="s">
        <v>1319</v>
      </c>
      <c r="AB404" s="6" t="s">
        <v>1355</v>
      </c>
      <c r="AC404" s="6" t="s">
        <v>135</v>
      </c>
      <c r="AD404" s="5" t="s">
        <v>95</v>
      </c>
      <c r="AE404" s="5" t="s">
        <v>1720</v>
      </c>
      <c r="AF404" s="5" t="s">
        <v>1720</v>
      </c>
      <c r="AG404" s="5" t="s">
        <v>1720</v>
      </c>
      <c r="AH404" s="5" t="s">
        <v>1720</v>
      </c>
      <c r="AI404" s="6" t="str">
        <f t="shared" si="13"/>
        <v>No</v>
      </c>
      <c r="AJ404" s="6" t="s">
        <v>229</v>
      </c>
      <c r="AK404" s="6" t="s">
        <v>162</v>
      </c>
      <c r="AL404" s="6">
        <f>MATCH(AA404,{"Low","Medium","High"},0)*MATCH(AB404,{"Low","Medium","High"},0)*INDEX({3,2,2,1,1},MATCH(X404,{"Core","Vertical extension","Differentiator","Future","Adjacent"},0))</f>
        <v>6</v>
      </c>
      <c r="AM404" s="5"/>
      <c r="AN404" s="5"/>
      <c r="AO404" s="5"/>
      <c r="AP404" s="5"/>
      <c r="AQ404" s="5"/>
      <c r="AR404" s="5"/>
      <c r="AS404" s="5"/>
      <c r="AT404" s="5"/>
      <c r="AU404" s="6" t="s">
        <v>2317</v>
      </c>
      <c r="AV404" s="6" t="s">
        <v>2813</v>
      </c>
      <c r="AW404" s="6" t="s">
        <v>2813</v>
      </c>
      <c r="AX404" s="6" t="s">
        <v>2284</v>
      </c>
      <c r="AY404" s="6" t="s">
        <v>2285</v>
      </c>
      <c r="AZ404" s="6"/>
      <c r="BA404" s="6"/>
      <c r="BB404" s="6"/>
      <c r="BC404" s="6" t="s">
        <v>127</v>
      </c>
      <c r="BD404" s="6" t="s">
        <v>127</v>
      </c>
      <c r="BE404" s="6" t="s">
        <v>1477</v>
      </c>
      <c r="BF404" s="6" t="s">
        <v>95</v>
      </c>
      <c r="BG404" s="6" t="s">
        <v>5007</v>
      </c>
      <c r="BH404" s="6" t="s">
        <v>5595</v>
      </c>
    </row>
    <row r="405" spans="1:60" ht="32" customHeight="1" x14ac:dyDescent="0.35">
      <c r="A405" s="13" t="s">
        <v>5596</v>
      </c>
      <c r="B405" s="6" t="s">
        <v>3901</v>
      </c>
      <c r="C405" s="5" t="s">
        <v>1652</v>
      </c>
      <c r="D405" s="5" t="s">
        <v>2189</v>
      </c>
      <c r="E405" s="5" t="s">
        <v>5597</v>
      </c>
      <c r="F405" s="5" t="s">
        <v>5598</v>
      </c>
      <c r="G405" s="5" t="s">
        <v>5599</v>
      </c>
      <c r="H405" s="5" t="s">
        <v>5600</v>
      </c>
      <c r="I405" s="5" t="s">
        <v>5601</v>
      </c>
      <c r="J405" s="17" t="s">
        <v>162</v>
      </c>
      <c r="K405" s="17" t="s">
        <v>95</v>
      </c>
      <c r="L405" s="5" t="s">
        <v>5602</v>
      </c>
      <c r="M405" s="6" t="s">
        <v>1493</v>
      </c>
      <c r="N405" s="6" t="s">
        <v>2170</v>
      </c>
      <c r="O405" s="6" t="s">
        <v>162</v>
      </c>
      <c r="P405" s="5" t="s">
        <v>2272</v>
      </c>
      <c r="Q405" s="17" t="s">
        <v>95</v>
      </c>
      <c r="R405" s="5" t="s">
        <v>5603</v>
      </c>
      <c r="S405" s="6" t="s">
        <v>2325</v>
      </c>
      <c r="T405" s="5" t="s">
        <v>2326</v>
      </c>
      <c r="U405" s="6"/>
      <c r="V405" s="6" t="s">
        <v>2327</v>
      </c>
      <c r="W405" s="6" t="s">
        <v>1699</v>
      </c>
      <c r="X405" s="5" t="s">
        <v>228</v>
      </c>
      <c r="Y405" s="5" t="s">
        <v>2170</v>
      </c>
      <c r="Z405" s="5" t="str">
        <f t="shared" si="12"/>
        <v>Medium</v>
      </c>
      <c r="AA405" s="5" t="s">
        <v>1319</v>
      </c>
      <c r="AB405" s="6" t="s">
        <v>1355</v>
      </c>
      <c r="AC405" s="6" t="s">
        <v>135</v>
      </c>
      <c r="AD405" s="5" t="s">
        <v>95</v>
      </c>
      <c r="AE405" s="5" t="s">
        <v>1720</v>
      </c>
      <c r="AF405" s="5" t="s">
        <v>1720</v>
      </c>
      <c r="AG405" s="5" t="s">
        <v>1720</v>
      </c>
      <c r="AH405" s="5" t="s">
        <v>1720</v>
      </c>
      <c r="AI405" s="6" t="str">
        <f t="shared" si="13"/>
        <v>No</v>
      </c>
      <c r="AJ405" s="6" t="s">
        <v>229</v>
      </c>
      <c r="AK405" s="6" t="s">
        <v>162</v>
      </c>
      <c r="AL405" s="6">
        <f>MATCH(AA405,{"Low","Medium","High"},0)*MATCH(AB405,{"Low","Medium","High"},0)*INDEX({3,2,2,1,1},MATCH(X405,{"Core","Vertical extension","Differentiator","Future","Adjacent"},0))</f>
        <v>6</v>
      </c>
      <c r="AM405" s="5"/>
      <c r="AN405" s="5"/>
      <c r="AO405" s="5"/>
      <c r="AP405" s="5"/>
      <c r="AQ405" s="5"/>
      <c r="AR405" s="5"/>
      <c r="AS405" s="5"/>
      <c r="AT405" s="5"/>
      <c r="AU405" s="6" t="s">
        <v>2317</v>
      </c>
      <c r="AV405" s="6" t="s">
        <v>2813</v>
      </c>
      <c r="AW405" s="6" t="s">
        <v>2813</v>
      </c>
      <c r="AX405" s="6" t="s">
        <v>2284</v>
      </c>
      <c r="AY405" s="6" t="s">
        <v>2285</v>
      </c>
      <c r="AZ405" s="6"/>
      <c r="BA405" s="6"/>
      <c r="BB405" s="6"/>
      <c r="BC405" s="6" t="s">
        <v>127</v>
      </c>
      <c r="BD405" s="6" t="s">
        <v>127</v>
      </c>
      <c r="BE405" s="6" t="s">
        <v>1477</v>
      </c>
      <c r="BF405" s="6" t="s">
        <v>95</v>
      </c>
      <c r="BG405" s="6" t="s">
        <v>5604</v>
      </c>
      <c r="BH405" s="6" t="s">
        <v>5605</v>
      </c>
    </row>
    <row r="406" spans="1:60" ht="32" customHeight="1" x14ac:dyDescent="0.35">
      <c r="A406" s="13" t="s">
        <v>5606</v>
      </c>
      <c r="B406" s="6" t="s">
        <v>3901</v>
      </c>
      <c r="C406" s="5" t="s">
        <v>1652</v>
      </c>
      <c r="D406" s="5" t="s">
        <v>2189</v>
      </c>
      <c r="E406" s="5" t="s">
        <v>5607</v>
      </c>
      <c r="F406" s="5" t="s">
        <v>5590</v>
      </c>
      <c r="G406" s="5" t="s">
        <v>5581</v>
      </c>
      <c r="H406" s="5" t="s">
        <v>5608</v>
      </c>
      <c r="I406" s="5" t="s">
        <v>5609</v>
      </c>
      <c r="J406" s="17" t="s">
        <v>162</v>
      </c>
      <c r="K406" s="17" t="s">
        <v>163</v>
      </c>
      <c r="L406" s="5" t="s">
        <v>5610</v>
      </c>
      <c r="M406" s="6" t="s">
        <v>1493</v>
      </c>
      <c r="N406" s="6" t="s">
        <v>2170</v>
      </c>
      <c r="O406" s="6" t="s">
        <v>162</v>
      </c>
      <c r="P406" s="5" t="s">
        <v>2272</v>
      </c>
      <c r="Q406" s="17" t="s">
        <v>163</v>
      </c>
      <c r="R406" s="5" t="s">
        <v>5611</v>
      </c>
      <c r="S406" s="6" t="s">
        <v>2325</v>
      </c>
      <c r="T406" s="5" t="s">
        <v>2326</v>
      </c>
      <c r="U406" s="6"/>
      <c r="V406" s="6" t="s">
        <v>2327</v>
      </c>
      <c r="W406" s="6" t="s">
        <v>1699</v>
      </c>
      <c r="X406" s="5" t="s">
        <v>228</v>
      </c>
      <c r="Y406" s="5" t="s">
        <v>2170</v>
      </c>
      <c r="Z406" s="5" t="str">
        <f t="shared" si="12"/>
        <v>Medium</v>
      </c>
      <c r="AA406" s="5" t="s">
        <v>1319</v>
      </c>
      <c r="AB406" s="6" t="s">
        <v>1355</v>
      </c>
      <c r="AC406" s="6" t="s">
        <v>135</v>
      </c>
      <c r="AD406" s="5" t="s">
        <v>1805</v>
      </c>
      <c r="AE406" s="5" t="s">
        <v>1720</v>
      </c>
      <c r="AF406" s="5" t="s">
        <v>1720</v>
      </c>
      <c r="AG406" s="5" t="s">
        <v>1720</v>
      </c>
      <c r="AH406" s="5" t="s">
        <v>1720</v>
      </c>
      <c r="AI406" s="6" t="str">
        <f t="shared" si="13"/>
        <v>No</v>
      </c>
      <c r="AJ406" s="6" t="s">
        <v>287</v>
      </c>
      <c r="AK406" s="6" t="s">
        <v>162</v>
      </c>
      <c r="AL406" s="6">
        <f>MATCH(AA406,{"Low","Medium","High"},0)*MATCH(AB406,{"Low","Medium","High"},0)*INDEX({3,2,2,1,1},MATCH(X406,{"Core","Vertical extension","Differentiator","Future","Adjacent"},0))</f>
        <v>6</v>
      </c>
      <c r="AM406" s="5"/>
      <c r="AN406" s="5"/>
      <c r="AO406" s="5"/>
      <c r="AP406" s="5"/>
      <c r="AQ406" s="5"/>
      <c r="AR406" s="5"/>
      <c r="AS406" s="5"/>
      <c r="AT406" s="5"/>
      <c r="AU406" s="6" t="s">
        <v>2317</v>
      </c>
      <c r="AV406" s="6" t="s">
        <v>2813</v>
      </c>
      <c r="AW406" s="6" t="s">
        <v>2813</v>
      </c>
      <c r="AX406" s="6" t="s">
        <v>2284</v>
      </c>
      <c r="AY406" s="6" t="s">
        <v>2285</v>
      </c>
      <c r="AZ406" s="6"/>
      <c r="BA406" s="6"/>
      <c r="BB406" s="6"/>
      <c r="BC406" s="6" t="s">
        <v>127</v>
      </c>
      <c r="BD406" s="6" t="s">
        <v>127</v>
      </c>
      <c r="BE406" s="6" t="s">
        <v>1477</v>
      </c>
      <c r="BF406" s="6" t="s">
        <v>288</v>
      </c>
      <c r="BG406" s="6" t="s">
        <v>5612</v>
      </c>
      <c r="BH406" s="6" t="s">
        <v>5613</v>
      </c>
    </row>
    <row r="407" spans="1:60" ht="32" customHeight="1" x14ac:dyDescent="0.35">
      <c r="A407" s="13" t="s">
        <v>5614</v>
      </c>
      <c r="B407" s="6" t="s">
        <v>3901</v>
      </c>
      <c r="C407" s="5" t="s">
        <v>1652</v>
      </c>
      <c r="D407" s="5" t="s">
        <v>2189</v>
      </c>
      <c r="E407" s="5" t="s">
        <v>5615</v>
      </c>
      <c r="F407" s="5" t="s">
        <v>2813</v>
      </c>
      <c r="G407" s="5" t="s">
        <v>1824</v>
      </c>
      <c r="H407" s="5" t="s">
        <v>5616</v>
      </c>
      <c r="I407" s="5" t="s">
        <v>5617</v>
      </c>
      <c r="J407" s="17" t="s">
        <v>162</v>
      </c>
      <c r="K407" s="17" t="s">
        <v>95</v>
      </c>
      <c r="L407" s="5" t="s">
        <v>5618</v>
      </c>
      <c r="M407" s="6" t="s">
        <v>1493</v>
      </c>
      <c r="N407" s="6" t="s">
        <v>2170</v>
      </c>
      <c r="O407" s="6" t="s">
        <v>162</v>
      </c>
      <c r="P407" s="5" t="s">
        <v>2272</v>
      </c>
      <c r="Q407" s="17" t="s">
        <v>95</v>
      </c>
      <c r="R407" s="5" t="s">
        <v>5619</v>
      </c>
      <c r="S407" s="6" t="s">
        <v>2325</v>
      </c>
      <c r="T407" s="5" t="s">
        <v>2326</v>
      </c>
      <c r="U407" s="6"/>
      <c r="V407" s="6" t="s">
        <v>2327</v>
      </c>
      <c r="W407" s="6" t="s">
        <v>1699</v>
      </c>
      <c r="X407" s="5" t="s">
        <v>228</v>
      </c>
      <c r="Y407" s="5" t="s">
        <v>2170</v>
      </c>
      <c r="Z407" s="5" t="str">
        <f t="shared" si="12"/>
        <v>Medium</v>
      </c>
      <c r="AA407" s="5" t="s">
        <v>1319</v>
      </c>
      <c r="AB407" s="6" t="s">
        <v>1355</v>
      </c>
      <c r="AC407" s="6" t="s">
        <v>135</v>
      </c>
      <c r="AD407" s="5" t="s">
        <v>95</v>
      </c>
      <c r="AE407" s="5" t="s">
        <v>1720</v>
      </c>
      <c r="AF407" s="5" t="s">
        <v>1720</v>
      </c>
      <c r="AG407" s="5" t="s">
        <v>1720</v>
      </c>
      <c r="AH407" s="5" t="s">
        <v>1720</v>
      </c>
      <c r="AI407" s="6" t="str">
        <f t="shared" si="13"/>
        <v>No</v>
      </c>
      <c r="AJ407" s="6" t="s">
        <v>229</v>
      </c>
      <c r="AK407" s="6" t="s">
        <v>162</v>
      </c>
      <c r="AL407" s="6">
        <f>MATCH(AA407,{"Low","Medium","High"},0)*MATCH(AB407,{"Low","Medium","High"},0)*INDEX({3,2,2,1,1},MATCH(X407,{"Core","Vertical extension","Differentiator","Future","Adjacent"},0))</f>
        <v>6</v>
      </c>
      <c r="AM407" s="5"/>
      <c r="AN407" s="5"/>
      <c r="AO407" s="5"/>
      <c r="AP407" s="5"/>
      <c r="AQ407" s="5"/>
      <c r="AR407" s="5"/>
      <c r="AS407" s="5"/>
      <c r="AT407" s="5"/>
      <c r="AU407" s="6" t="s">
        <v>2317</v>
      </c>
      <c r="AV407" s="6" t="s">
        <v>2813</v>
      </c>
      <c r="AW407" s="6" t="s">
        <v>2813</v>
      </c>
      <c r="AX407" s="6" t="s">
        <v>2284</v>
      </c>
      <c r="AY407" s="6" t="s">
        <v>2285</v>
      </c>
      <c r="AZ407" s="6"/>
      <c r="BA407" s="6"/>
      <c r="BB407" s="6"/>
      <c r="BC407" s="6" t="s">
        <v>127</v>
      </c>
      <c r="BD407" s="6" t="s">
        <v>127</v>
      </c>
      <c r="BE407" s="6" t="s">
        <v>1477</v>
      </c>
      <c r="BF407" s="6" t="s">
        <v>95</v>
      </c>
      <c r="BG407" s="6" t="s">
        <v>5620</v>
      </c>
      <c r="BH407" s="6" t="s">
        <v>5621</v>
      </c>
    </row>
    <row r="408" spans="1:60" ht="32" customHeight="1" x14ac:dyDescent="0.35">
      <c r="A408" s="13" t="s">
        <v>5622</v>
      </c>
      <c r="B408" s="6" t="s">
        <v>3901</v>
      </c>
      <c r="C408" s="5" t="s">
        <v>1652</v>
      </c>
      <c r="D408" s="5" t="s">
        <v>2196</v>
      </c>
      <c r="E408" s="5" t="s">
        <v>5623</v>
      </c>
      <c r="F408" s="5" t="s">
        <v>5624</v>
      </c>
      <c r="G408" s="5" t="s">
        <v>5625</v>
      </c>
      <c r="H408" s="5" t="s">
        <v>5626</v>
      </c>
      <c r="I408" s="5" t="s">
        <v>5627</v>
      </c>
      <c r="J408" s="17" t="s">
        <v>162</v>
      </c>
      <c r="K408" s="17" t="s">
        <v>1477</v>
      </c>
      <c r="L408" s="5" t="s">
        <v>5628</v>
      </c>
      <c r="M408" s="6" t="s">
        <v>1493</v>
      </c>
      <c r="N408" s="6" t="s">
        <v>2170</v>
      </c>
      <c r="O408" s="6" t="s">
        <v>162</v>
      </c>
      <c r="P408" s="5" t="s">
        <v>2272</v>
      </c>
      <c r="Q408" s="17" t="s">
        <v>2273</v>
      </c>
      <c r="R408" s="5" t="s">
        <v>5629</v>
      </c>
      <c r="S408" s="6" t="s">
        <v>2358</v>
      </c>
      <c r="T408" s="5" t="s">
        <v>2359</v>
      </c>
      <c r="U408" s="6"/>
      <c r="V408" s="6" t="s">
        <v>2360</v>
      </c>
      <c r="W408" s="6" t="s">
        <v>1703</v>
      </c>
      <c r="X408" s="5" t="s">
        <v>228</v>
      </c>
      <c r="Y408" s="5" t="s">
        <v>2170</v>
      </c>
      <c r="Z408" s="5" t="str">
        <f t="shared" si="12"/>
        <v>Medium</v>
      </c>
      <c r="AA408" s="5" t="s">
        <v>1319</v>
      </c>
      <c r="AB408" s="6" t="s">
        <v>1355</v>
      </c>
      <c r="AC408" s="6" t="s">
        <v>32</v>
      </c>
      <c r="AD408" s="5" t="s">
        <v>2278</v>
      </c>
      <c r="AE408" s="5" t="s">
        <v>1720</v>
      </c>
      <c r="AF408" s="5" t="s">
        <v>1720</v>
      </c>
      <c r="AG408" s="5" t="s">
        <v>1720</v>
      </c>
      <c r="AH408" s="5" t="s">
        <v>1720</v>
      </c>
      <c r="AI408" s="6" t="str">
        <f t="shared" si="13"/>
        <v>No</v>
      </c>
      <c r="AJ408" s="6" t="s">
        <v>2298</v>
      </c>
      <c r="AK408" s="6" t="s">
        <v>204</v>
      </c>
      <c r="AL408" s="6">
        <f>MATCH(AA408,{"Low","Medium","High"},0)*MATCH(AB408,{"Low","Medium","High"},0)*INDEX({3,2,2,1,1},MATCH(X408,{"Core","Vertical extension","Differentiator","Future","Adjacent"},0))</f>
        <v>6</v>
      </c>
      <c r="AM408" s="5"/>
      <c r="AN408" s="5"/>
      <c r="AO408" s="5"/>
      <c r="AP408" s="5"/>
      <c r="AQ408" s="5"/>
      <c r="AR408" s="5"/>
      <c r="AS408" s="5"/>
      <c r="AT408" s="5"/>
      <c r="AU408" s="6" t="s">
        <v>2317</v>
      </c>
      <c r="AV408" s="6" t="s">
        <v>2898</v>
      </c>
      <c r="AW408" s="6" t="s">
        <v>2898</v>
      </c>
      <c r="AX408" s="6" t="s">
        <v>2284</v>
      </c>
      <c r="AY408" s="6" t="s">
        <v>2285</v>
      </c>
      <c r="AZ408" s="6"/>
      <c r="BA408" s="6"/>
      <c r="BB408" s="6"/>
      <c r="BC408" s="6" t="s">
        <v>127</v>
      </c>
      <c r="BD408" s="6" t="s">
        <v>127</v>
      </c>
      <c r="BE408" s="6" t="s">
        <v>1477</v>
      </c>
      <c r="BF408" s="6" t="s">
        <v>2286</v>
      </c>
      <c r="BG408" s="6" t="s">
        <v>5630</v>
      </c>
      <c r="BH408" s="6" t="s">
        <v>5631</v>
      </c>
    </row>
    <row r="409" spans="1:60" ht="32" customHeight="1" x14ac:dyDescent="0.35">
      <c r="A409" s="13" t="s">
        <v>5632</v>
      </c>
      <c r="B409" s="6" t="s">
        <v>3901</v>
      </c>
      <c r="C409" s="5" t="s">
        <v>1652</v>
      </c>
      <c r="D409" s="5" t="s">
        <v>2196</v>
      </c>
      <c r="E409" s="5" t="s">
        <v>5633</v>
      </c>
      <c r="F409" s="5" t="s">
        <v>3173</v>
      </c>
      <c r="G409" s="5" t="s">
        <v>1669</v>
      </c>
      <c r="H409" s="5" t="s">
        <v>5634</v>
      </c>
      <c r="I409" s="5" t="s">
        <v>5635</v>
      </c>
      <c r="J409" s="17" t="s">
        <v>162</v>
      </c>
      <c r="K409" s="17" t="s">
        <v>1477</v>
      </c>
      <c r="L409" s="5" t="s">
        <v>5636</v>
      </c>
      <c r="M409" s="6" t="s">
        <v>1493</v>
      </c>
      <c r="N409" s="6" t="s">
        <v>2170</v>
      </c>
      <c r="O409" s="6" t="s">
        <v>162</v>
      </c>
      <c r="P409" s="5" t="s">
        <v>2272</v>
      </c>
      <c r="Q409" s="17" t="s">
        <v>2273</v>
      </c>
      <c r="R409" s="5" t="s">
        <v>5637</v>
      </c>
      <c r="S409" s="6" t="s">
        <v>2358</v>
      </c>
      <c r="T409" s="5" t="s">
        <v>2359</v>
      </c>
      <c r="U409" s="6"/>
      <c r="V409" s="6" t="s">
        <v>2360</v>
      </c>
      <c r="W409" s="6" t="s">
        <v>1703</v>
      </c>
      <c r="X409" s="5" t="s">
        <v>228</v>
      </c>
      <c r="Y409" s="5" t="s">
        <v>2170</v>
      </c>
      <c r="Z409" s="5" t="str">
        <f t="shared" si="12"/>
        <v>Medium</v>
      </c>
      <c r="AA409" s="5" t="s">
        <v>1319</v>
      </c>
      <c r="AB409" s="6" t="s">
        <v>1355</v>
      </c>
      <c r="AC409" s="6" t="s">
        <v>32</v>
      </c>
      <c r="AD409" s="5" t="s">
        <v>2278</v>
      </c>
      <c r="AE409" s="5" t="s">
        <v>1720</v>
      </c>
      <c r="AF409" s="5" t="s">
        <v>1720</v>
      </c>
      <c r="AG409" s="5" t="s">
        <v>1720</v>
      </c>
      <c r="AH409" s="5" t="s">
        <v>1720</v>
      </c>
      <c r="AI409" s="6" t="str">
        <f t="shared" si="13"/>
        <v>No</v>
      </c>
      <c r="AJ409" s="6" t="s">
        <v>2298</v>
      </c>
      <c r="AK409" s="6" t="s">
        <v>204</v>
      </c>
      <c r="AL409" s="6">
        <f>MATCH(AA409,{"Low","Medium","High"},0)*MATCH(AB409,{"Low","Medium","High"},0)*INDEX({3,2,2,1,1},MATCH(X409,{"Core","Vertical extension","Differentiator","Future","Adjacent"},0))</f>
        <v>6</v>
      </c>
      <c r="AM409" s="5"/>
      <c r="AN409" s="5"/>
      <c r="AO409" s="5"/>
      <c r="AP409" s="5"/>
      <c r="AQ409" s="5"/>
      <c r="AR409" s="5"/>
      <c r="AS409" s="5"/>
      <c r="AT409" s="5"/>
      <c r="AU409" s="6" t="s">
        <v>2317</v>
      </c>
      <c r="AV409" s="6" t="s">
        <v>2898</v>
      </c>
      <c r="AW409" s="6" t="s">
        <v>2898</v>
      </c>
      <c r="AX409" s="6" t="s">
        <v>2284</v>
      </c>
      <c r="AY409" s="6" t="s">
        <v>2285</v>
      </c>
      <c r="AZ409" s="6"/>
      <c r="BA409" s="6"/>
      <c r="BB409" s="6"/>
      <c r="BC409" s="6" t="s">
        <v>127</v>
      </c>
      <c r="BD409" s="6" t="s">
        <v>127</v>
      </c>
      <c r="BE409" s="6" t="s">
        <v>1477</v>
      </c>
      <c r="BF409" s="6" t="s">
        <v>2286</v>
      </c>
      <c r="BG409" s="6" t="s">
        <v>5638</v>
      </c>
      <c r="BH409" s="6" t="s">
        <v>5639</v>
      </c>
    </row>
    <row r="410" spans="1:60" ht="32" customHeight="1" x14ac:dyDescent="0.35">
      <c r="A410" s="13" t="s">
        <v>5640</v>
      </c>
      <c r="B410" s="6" t="s">
        <v>3901</v>
      </c>
      <c r="C410" s="5" t="s">
        <v>1652</v>
      </c>
      <c r="D410" s="5" t="s">
        <v>2196</v>
      </c>
      <c r="E410" s="5" t="s">
        <v>5641</v>
      </c>
      <c r="F410" s="5" t="s">
        <v>4062</v>
      </c>
      <c r="G410" s="5" t="s">
        <v>3209</v>
      </c>
      <c r="H410" s="5" t="s">
        <v>5642</v>
      </c>
      <c r="I410" s="5" t="s">
        <v>5643</v>
      </c>
      <c r="J410" s="17" t="s">
        <v>162</v>
      </c>
      <c r="K410" s="17" t="s">
        <v>1477</v>
      </c>
      <c r="L410" s="5" t="s">
        <v>5644</v>
      </c>
      <c r="M410" s="6" t="s">
        <v>1493</v>
      </c>
      <c r="N410" s="6" t="s">
        <v>2170</v>
      </c>
      <c r="O410" s="6" t="s">
        <v>162</v>
      </c>
      <c r="P410" s="5" t="s">
        <v>2272</v>
      </c>
      <c r="Q410" s="17" t="s">
        <v>2273</v>
      </c>
      <c r="R410" s="5" t="s">
        <v>5645</v>
      </c>
      <c r="S410" s="6" t="s">
        <v>2358</v>
      </c>
      <c r="T410" s="5" t="s">
        <v>2359</v>
      </c>
      <c r="U410" s="6"/>
      <c r="V410" s="6" t="s">
        <v>2360</v>
      </c>
      <c r="W410" s="6" t="s">
        <v>1703</v>
      </c>
      <c r="X410" s="5" t="s">
        <v>228</v>
      </c>
      <c r="Y410" s="5" t="s">
        <v>2170</v>
      </c>
      <c r="Z410" s="5" t="str">
        <f t="shared" si="12"/>
        <v>Medium</v>
      </c>
      <c r="AA410" s="5" t="s">
        <v>1319</v>
      </c>
      <c r="AB410" s="6" t="s">
        <v>1355</v>
      </c>
      <c r="AC410" s="6" t="s">
        <v>32</v>
      </c>
      <c r="AD410" s="5" t="s">
        <v>2278</v>
      </c>
      <c r="AE410" s="5" t="s">
        <v>1720</v>
      </c>
      <c r="AF410" s="5" t="s">
        <v>1720</v>
      </c>
      <c r="AG410" s="5" t="s">
        <v>1720</v>
      </c>
      <c r="AH410" s="5" t="s">
        <v>1720</v>
      </c>
      <c r="AI410" s="6" t="str">
        <f t="shared" si="13"/>
        <v>No</v>
      </c>
      <c r="AJ410" s="6" t="s">
        <v>2298</v>
      </c>
      <c r="AK410" s="6" t="s">
        <v>204</v>
      </c>
      <c r="AL410" s="6">
        <f>MATCH(AA410,{"Low","Medium","High"},0)*MATCH(AB410,{"Low","Medium","High"},0)*INDEX({3,2,2,1,1},MATCH(X410,{"Core","Vertical extension","Differentiator","Future","Adjacent"},0))</f>
        <v>6</v>
      </c>
      <c r="AM410" s="5"/>
      <c r="AN410" s="5"/>
      <c r="AO410" s="5"/>
      <c r="AP410" s="5"/>
      <c r="AQ410" s="5"/>
      <c r="AR410" s="5"/>
      <c r="AS410" s="5"/>
      <c r="AT410" s="5"/>
      <c r="AU410" s="6" t="s">
        <v>2317</v>
      </c>
      <c r="AV410" s="6" t="s">
        <v>3968</v>
      </c>
      <c r="AW410" s="6" t="s">
        <v>3968</v>
      </c>
      <c r="AX410" s="6" t="s">
        <v>2284</v>
      </c>
      <c r="AY410" s="6" t="s">
        <v>2285</v>
      </c>
      <c r="AZ410" s="6"/>
      <c r="BA410" s="6" t="s">
        <v>5646</v>
      </c>
      <c r="BB410" s="6" t="s">
        <v>5647</v>
      </c>
      <c r="BC410" s="6" t="s">
        <v>127</v>
      </c>
      <c r="BD410" s="6" t="s">
        <v>127</v>
      </c>
      <c r="BE410" s="6" t="s">
        <v>1477</v>
      </c>
      <c r="BF410" s="6" t="s">
        <v>2286</v>
      </c>
      <c r="BG410" s="6" t="s">
        <v>5648</v>
      </c>
      <c r="BH410" s="6" t="s">
        <v>5649</v>
      </c>
    </row>
    <row r="411" spans="1:60" ht="32" customHeight="1" x14ac:dyDescent="0.35">
      <c r="A411" s="13" t="s">
        <v>5650</v>
      </c>
      <c r="B411" s="6" t="s">
        <v>3901</v>
      </c>
      <c r="C411" s="5" t="s">
        <v>1652</v>
      </c>
      <c r="D411" s="5" t="s">
        <v>2196</v>
      </c>
      <c r="E411" s="5" t="s">
        <v>5651</v>
      </c>
      <c r="F411" s="5" t="s">
        <v>4062</v>
      </c>
      <c r="G411" s="5" t="s">
        <v>3209</v>
      </c>
      <c r="H411" s="5" t="s">
        <v>5652</v>
      </c>
      <c r="I411" s="5" t="s">
        <v>5653</v>
      </c>
      <c r="J411" s="17" t="s">
        <v>162</v>
      </c>
      <c r="K411" s="17" t="s">
        <v>1477</v>
      </c>
      <c r="L411" s="5" t="s">
        <v>5654</v>
      </c>
      <c r="M411" s="6" t="s">
        <v>1493</v>
      </c>
      <c r="N411" s="6" t="s">
        <v>2170</v>
      </c>
      <c r="O411" s="6" t="s">
        <v>162</v>
      </c>
      <c r="P411" s="5" t="s">
        <v>2272</v>
      </c>
      <c r="Q411" s="17" t="s">
        <v>2273</v>
      </c>
      <c r="R411" s="5" t="s">
        <v>5655</v>
      </c>
      <c r="S411" s="6" t="s">
        <v>2358</v>
      </c>
      <c r="T411" s="5" t="s">
        <v>2359</v>
      </c>
      <c r="U411" s="6"/>
      <c r="V411" s="6" t="s">
        <v>2360</v>
      </c>
      <c r="W411" s="6" t="s">
        <v>1703</v>
      </c>
      <c r="X411" s="5" t="s">
        <v>228</v>
      </c>
      <c r="Y411" s="5" t="s">
        <v>2170</v>
      </c>
      <c r="Z411" s="5" t="str">
        <f t="shared" si="12"/>
        <v>Medium</v>
      </c>
      <c r="AA411" s="5" t="s">
        <v>1319</v>
      </c>
      <c r="AB411" s="6" t="s">
        <v>1355</v>
      </c>
      <c r="AC411" s="6" t="s">
        <v>32</v>
      </c>
      <c r="AD411" s="5" t="s">
        <v>2278</v>
      </c>
      <c r="AE411" s="5" t="s">
        <v>1720</v>
      </c>
      <c r="AF411" s="5" t="s">
        <v>1720</v>
      </c>
      <c r="AG411" s="5" t="s">
        <v>1720</v>
      </c>
      <c r="AH411" s="5" t="s">
        <v>1720</v>
      </c>
      <c r="AI411" s="6" t="str">
        <f t="shared" si="13"/>
        <v>No</v>
      </c>
      <c r="AJ411" s="6" t="s">
        <v>2298</v>
      </c>
      <c r="AK411" s="6" t="s">
        <v>204</v>
      </c>
      <c r="AL411" s="6">
        <f>MATCH(AA411,{"Low","Medium","High"},0)*MATCH(AB411,{"Low","Medium","High"},0)*INDEX({3,2,2,1,1},MATCH(X411,{"Core","Vertical extension","Differentiator","Future","Adjacent"},0))</f>
        <v>6</v>
      </c>
      <c r="AM411" s="5"/>
      <c r="AN411" s="5"/>
      <c r="AO411" s="5"/>
      <c r="AP411" s="5"/>
      <c r="AQ411" s="5"/>
      <c r="AR411" s="5"/>
      <c r="AS411" s="5"/>
      <c r="AT411" s="5"/>
      <c r="AU411" s="6" t="s">
        <v>2317</v>
      </c>
      <c r="AV411" s="6" t="s">
        <v>3968</v>
      </c>
      <c r="AW411" s="6" t="s">
        <v>3968</v>
      </c>
      <c r="AX411" s="6" t="s">
        <v>2284</v>
      </c>
      <c r="AY411" s="6" t="s">
        <v>2285</v>
      </c>
      <c r="AZ411" s="6"/>
      <c r="BA411" s="6"/>
      <c r="BB411" s="6"/>
      <c r="BC411" s="6" t="s">
        <v>127</v>
      </c>
      <c r="BD411" s="6" t="s">
        <v>127</v>
      </c>
      <c r="BE411" s="6" t="s">
        <v>1477</v>
      </c>
      <c r="BF411" s="6" t="s">
        <v>2286</v>
      </c>
      <c r="BG411" s="6" t="s">
        <v>5656</v>
      </c>
      <c r="BH411" s="6" t="s">
        <v>5657</v>
      </c>
    </row>
    <row r="412" spans="1:60" ht="32" customHeight="1" x14ac:dyDescent="0.35">
      <c r="A412" s="13" t="s">
        <v>5658</v>
      </c>
      <c r="B412" s="6" t="s">
        <v>3901</v>
      </c>
      <c r="C412" s="5" t="s">
        <v>1652</v>
      </c>
      <c r="D412" s="5" t="s">
        <v>2196</v>
      </c>
      <c r="E412" s="5" t="s">
        <v>5659</v>
      </c>
      <c r="F412" s="5" t="s">
        <v>5660</v>
      </c>
      <c r="G412" s="5" t="s">
        <v>2911</v>
      </c>
      <c r="H412" s="5" t="s">
        <v>5661</v>
      </c>
      <c r="I412" s="5" t="s">
        <v>5662</v>
      </c>
      <c r="J412" s="17" t="s">
        <v>162</v>
      </c>
      <c r="K412" s="17" t="s">
        <v>95</v>
      </c>
      <c r="L412" s="5" t="s">
        <v>5663</v>
      </c>
      <c r="M412" s="6" t="s">
        <v>1493</v>
      </c>
      <c r="N412" s="6" t="s">
        <v>2170</v>
      </c>
      <c r="O412" s="6" t="s">
        <v>162</v>
      </c>
      <c r="P412" s="5" t="s">
        <v>2272</v>
      </c>
      <c r="Q412" s="17" t="s">
        <v>95</v>
      </c>
      <c r="R412" s="5" t="s">
        <v>5664</v>
      </c>
      <c r="S412" s="6" t="s">
        <v>2358</v>
      </c>
      <c r="T412" s="5" t="s">
        <v>2359</v>
      </c>
      <c r="U412" s="6"/>
      <c r="V412" s="6" t="s">
        <v>2360</v>
      </c>
      <c r="W412" s="6" t="s">
        <v>1703</v>
      </c>
      <c r="X412" s="5" t="s">
        <v>228</v>
      </c>
      <c r="Y412" s="5" t="s">
        <v>2170</v>
      </c>
      <c r="Z412" s="5" t="str">
        <f t="shared" si="12"/>
        <v>Medium</v>
      </c>
      <c r="AA412" s="5" t="s">
        <v>1319</v>
      </c>
      <c r="AB412" s="6" t="s">
        <v>1355</v>
      </c>
      <c r="AC412" s="6" t="s">
        <v>32</v>
      </c>
      <c r="AD412" s="5" t="s">
        <v>95</v>
      </c>
      <c r="AE412" s="5" t="s">
        <v>1720</v>
      </c>
      <c r="AF412" s="5" t="s">
        <v>1720</v>
      </c>
      <c r="AG412" s="5" t="s">
        <v>1720</v>
      </c>
      <c r="AH412" s="5" t="s">
        <v>1720</v>
      </c>
      <c r="AI412" s="6" t="str">
        <f t="shared" si="13"/>
        <v>No</v>
      </c>
      <c r="AJ412" s="6" t="s">
        <v>229</v>
      </c>
      <c r="AK412" s="6" t="s">
        <v>204</v>
      </c>
      <c r="AL412" s="6">
        <f>MATCH(AA412,{"Low","Medium","High"},0)*MATCH(AB412,{"Low","Medium","High"},0)*INDEX({3,2,2,1,1},MATCH(X412,{"Core","Vertical extension","Differentiator","Future","Adjacent"},0))</f>
        <v>6</v>
      </c>
      <c r="AM412" s="5"/>
      <c r="AN412" s="5"/>
      <c r="AO412" s="5"/>
      <c r="AP412" s="5"/>
      <c r="AQ412" s="5"/>
      <c r="AR412" s="5"/>
      <c r="AS412" s="5"/>
      <c r="AT412" s="5"/>
      <c r="AU412" s="6" t="s">
        <v>2317</v>
      </c>
      <c r="AV412" s="6" t="s">
        <v>3968</v>
      </c>
      <c r="AW412" s="6" t="s">
        <v>3968</v>
      </c>
      <c r="AX412" s="6" t="s">
        <v>2284</v>
      </c>
      <c r="AY412" s="6" t="s">
        <v>2285</v>
      </c>
      <c r="AZ412" s="6"/>
      <c r="BA412" s="6"/>
      <c r="BB412" s="6"/>
      <c r="BC412" s="6" t="s">
        <v>127</v>
      </c>
      <c r="BD412" s="6" t="s">
        <v>127</v>
      </c>
      <c r="BE412" s="6" t="s">
        <v>1477</v>
      </c>
      <c r="BF412" s="6" t="s">
        <v>95</v>
      </c>
      <c r="BG412" s="6" t="s">
        <v>5665</v>
      </c>
      <c r="BH412" s="6" t="s">
        <v>5666</v>
      </c>
    </row>
    <row r="413" spans="1:60" ht="32" customHeight="1" x14ac:dyDescent="0.35">
      <c r="A413" s="13" t="s">
        <v>5667</v>
      </c>
      <c r="B413" s="6" t="s">
        <v>3901</v>
      </c>
      <c r="C413" s="5" t="s">
        <v>1652</v>
      </c>
      <c r="D413" s="5" t="s">
        <v>2196</v>
      </c>
      <c r="E413" s="5" t="s">
        <v>5668</v>
      </c>
      <c r="F413" s="5" t="s">
        <v>5669</v>
      </c>
      <c r="G413" s="5" t="s">
        <v>2911</v>
      </c>
      <c r="H413" s="5" t="s">
        <v>5670</v>
      </c>
      <c r="I413" s="5" t="s">
        <v>5671</v>
      </c>
      <c r="J413" s="17" t="s">
        <v>162</v>
      </c>
      <c r="K413" s="17" t="s">
        <v>95</v>
      </c>
      <c r="L413" s="5" t="s">
        <v>5672</v>
      </c>
      <c r="M413" s="6" t="s">
        <v>1493</v>
      </c>
      <c r="N413" s="6" t="s">
        <v>2170</v>
      </c>
      <c r="O413" s="6" t="s">
        <v>162</v>
      </c>
      <c r="P413" s="5" t="s">
        <v>2272</v>
      </c>
      <c r="Q413" s="17" t="s">
        <v>95</v>
      </c>
      <c r="R413" s="5" t="s">
        <v>5673</v>
      </c>
      <c r="S413" s="6" t="s">
        <v>2358</v>
      </c>
      <c r="T413" s="5" t="s">
        <v>2359</v>
      </c>
      <c r="U413" s="6"/>
      <c r="V413" s="6" t="s">
        <v>2360</v>
      </c>
      <c r="W413" s="6" t="s">
        <v>1703</v>
      </c>
      <c r="X413" s="5" t="s">
        <v>228</v>
      </c>
      <c r="Y413" s="5" t="s">
        <v>2170</v>
      </c>
      <c r="Z413" s="5" t="str">
        <f t="shared" si="12"/>
        <v>Medium</v>
      </c>
      <c r="AA413" s="5" t="s">
        <v>1319</v>
      </c>
      <c r="AB413" s="6" t="s">
        <v>1355</v>
      </c>
      <c r="AC413" s="6" t="s">
        <v>32</v>
      </c>
      <c r="AD413" s="5" t="s">
        <v>95</v>
      </c>
      <c r="AE413" s="5" t="s">
        <v>1720</v>
      </c>
      <c r="AF413" s="5" t="s">
        <v>1720</v>
      </c>
      <c r="AG413" s="5" t="s">
        <v>1720</v>
      </c>
      <c r="AH413" s="5" t="s">
        <v>1720</v>
      </c>
      <c r="AI413" s="6" t="str">
        <f t="shared" si="13"/>
        <v>No</v>
      </c>
      <c r="AJ413" s="6" t="s">
        <v>229</v>
      </c>
      <c r="AK413" s="6" t="s">
        <v>204</v>
      </c>
      <c r="AL413" s="6">
        <f>MATCH(AA413,{"Low","Medium","High"},0)*MATCH(AB413,{"Low","Medium","High"},0)*INDEX({3,2,2,1,1},MATCH(X413,{"Core","Vertical extension","Differentiator","Future","Adjacent"},0))</f>
        <v>6</v>
      </c>
      <c r="AM413" s="5"/>
      <c r="AN413" s="5"/>
      <c r="AO413" s="5"/>
      <c r="AP413" s="5"/>
      <c r="AQ413" s="5"/>
      <c r="AR413" s="5"/>
      <c r="AS413" s="5"/>
      <c r="AT413" s="5"/>
      <c r="AU413" s="6" t="s">
        <v>2317</v>
      </c>
      <c r="AV413" s="6" t="s">
        <v>3968</v>
      </c>
      <c r="AW413" s="6" t="s">
        <v>3968</v>
      </c>
      <c r="AX413" s="6" t="s">
        <v>2284</v>
      </c>
      <c r="AY413" s="6" t="s">
        <v>2285</v>
      </c>
      <c r="AZ413" s="6"/>
      <c r="BA413" s="6"/>
      <c r="BB413" s="6"/>
      <c r="BC413" s="6" t="s">
        <v>127</v>
      </c>
      <c r="BD413" s="6" t="s">
        <v>127</v>
      </c>
      <c r="BE413" s="6" t="s">
        <v>1477</v>
      </c>
      <c r="BF413" s="6" t="s">
        <v>95</v>
      </c>
      <c r="BG413" s="6" t="s">
        <v>5674</v>
      </c>
      <c r="BH413" s="6" t="s">
        <v>5675</v>
      </c>
    </row>
    <row r="414" spans="1:60" ht="32" customHeight="1" x14ac:dyDescent="0.35">
      <c r="A414" s="13" t="s">
        <v>5676</v>
      </c>
      <c r="B414" s="6" t="s">
        <v>3901</v>
      </c>
      <c r="C414" s="5" t="s">
        <v>1652</v>
      </c>
      <c r="D414" s="5" t="s">
        <v>2196</v>
      </c>
      <c r="E414" s="5" t="s">
        <v>5677</v>
      </c>
      <c r="F414" s="5" t="s">
        <v>5678</v>
      </c>
      <c r="G414" s="5" t="s">
        <v>2496</v>
      </c>
      <c r="H414" s="5" t="s">
        <v>5679</v>
      </c>
      <c r="I414" s="5" t="s">
        <v>5680</v>
      </c>
      <c r="J414" s="17" t="s">
        <v>162</v>
      </c>
      <c r="K414" s="17" t="s">
        <v>1477</v>
      </c>
      <c r="L414" s="5" t="s">
        <v>5681</v>
      </c>
      <c r="M414" s="6" t="s">
        <v>1493</v>
      </c>
      <c r="N414" s="6" t="s">
        <v>2170</v>
      </c>
      <c r="O414" s="6" t="s">
        <v>162</v>
      </c>
      <c r="P414" s="5" t="s">
        <v>2272</v>
      </c>
      <c r="Q414" s="17" t="s">
        <v>2273</v>
      </c>
      <c r="R414" s="5" t="s">
        <v>5682</v>
      </c>
      <c r="S414" s="6" t="s">
        <v>2358</v>
      </c>
      <c r="T414" s="5" t="s">
        <v>2359</v>
      </c>
      <c r="U414" s="6"/>
      <c r="V414" s="6" t="s">
        <v>2360</v>
      </c>
      <c r="W414" s="6" t="s">
        <v>1703</v>
      </c>
      <c r="X414" s="5" t="s">
        <v>228</v>
      </c>
      <c r="Y414" s="5" t="s">
        <v>2170</v>
      </c>
      <c r="Z414" s="5" t="str">
        <f t="shared" si="12"/>
        <v>Medium</v>
      </c>
      <c r="AA414" s="5" t="s">
        <v>1319</v>
      </c>
      <c r="AB414" s="6" t="s">
        <v>1355</v>
      </c>
      <c r="AC414" s="6" t="s">
        <v>32</v>
      </c>
      <c r="AD414" s="5" t="s">
        <v>2278</v>
      </c>
      <c r="AE414" s="5" t="s">
        <v>1720</v>
      </c>
      <c r="AF414" s="5" t="s">
        <v>1720</v>
      </c>
      <c r="AG414" s="5" t="s">
        <v>1720</v>
      </c>
      <c r="AH414" s="5" t="s">
        <v>1720</v>
      </c>
      <c r="AI414" s="6" t="str">
        <f t="shared" si="13"/>
        <v>No</v>
      </c>
      <c r="AJ414" s="6" t="s">
        <v>2298</v>
      </c>
      <c r="AK414" s="6" t="s">
        <v>204</v>
      </c>
      <c r="AL414" s="6">
        <f>MATCH(AA414,{"Low","Medium","High"},0)*MATCH(AB414,{"Low","Medium","High"},0)*INDEX({3,2,2,1,1},MATCH(X414,{"Core","Vertical extension","Differentiator","Future","Adjacent"},0))</f>
        <v>6</v>
      </c>
      <c r="AM414" s="5"/>
      <c r="AN414" s="5"/>
      <c r="AO414" s="5"/>
      <c r="AP414" s="5"/>
      <c r="AQ414" s="5"/>
      <c r="AR414" s="5"/>
      <c r="AS414" s="5"/>
      <c r="AT414" s="5"/>
      <c r="AU414" s="6" t="s">
        <v>2317</v>
      </c>
      <c r="AV414" s="6" t="s">
        <v>3968</v>
      </c>
      <c r="AW414" s="6" t="s">
        <v>3968</v>
      </c>
      <c r="AX414" s="6" t="s">
        <v>2284</v>
      </c>
      <c r="AY414" s="6" t="s">
        <v>2285</v>
      </c>
      <c r="AZ414" s="6"/>
      <c r="BA414" s="6"/>
      <c r="BB414" s="6"/>
      <c r="BC414" s="6" t="s">
        <v>127</v>
      </c>
      <c r="BD414" s="6" t="s">
        <v>127</v>
      </c>
      <c r="BE414" s="6" t="s">
        <v>1477</v>
      </c>
      <c r="BF414" s="6" t="s">
        <v>2286</v>
      </c>
      <c r="BG414" s="6" t="s">
        <v>5683</v>
      </c>
      <c r="BH414" s="6" t="s">
        <v>5684</v>
      </c>
    </row>
    <row r="415" spans="1:60" ht="32" customHeight="1" x14ac:dyDescent="0.35">
      <c r="A415" s="13" t="s">
        <v>5685</v>
      </c>
      <c r="B415" s="6" t="s">
        <v>3901</v>
      </c>
      <c r="C415" s="5" t="s">
        <v>1652</v>
      </c>
      <c r="D415" s="5" t="s">
        <v>2196</v>
      </c>
      <c r="E415" s="5" t="s">
        <v>5686</v>
      </c>
      <c r="F415" s="5" t="s">
        <v>5678</v>
      </c>
      <c r="G415" s="5" t="s">
        <v>2396</v>
      </c>
      <c r="H415" s="5" t="s">
        <v>5687</v>
      </c>
      <c r="I415" s="5" t="s">
        <v>5688</v>
      </c>
      <c r="J415" s="17" t="s">
        <v>162</v>
      </c>
      <c r="K415" s="17" t="s">
        <v>95</v>
      </c>
      <c r="L415" s="5" t="s">
        <v>5689</v>
      </c>
      <c r="M415" s="6" t="s">
        <v>1493</v>
      </c>
      <c r="N415" s="6" t="s">
        <v>2170</v>
      </c>
      <c r="O415" s="6" t="s">
        <v>162</v>
      </c>
      <c r="P415" s="5" t="s">
        <v>2272</v>
      </c>
      <c r="Q415" s="17" t="s">
        <v>95</v>
      </c>
      <c r="R415" s="5" t="s">
        <v>5690</v>
      </c>
      <c r="S415" s="6" t="s">
        <v>2358</v>
      </c>
      <c r="T415" s="5" t="s">
        <v>2359</v>
      </c>
      <c r="U415" s="6"/>
      <c r="V415" s="6" t="s">
        <v>2360</v>
      </c>
      <c r="W415" s="6" t="s">
        <v>1703</v>
      </c>
      <c r="X415" s="5" t="s">
        <v>228</v>
      </c>
      <c r="Y415" s="5" t="s">
        <v>2170</v>
      </c>
      <c r="Z415" s="5" t="str">
        <f t="shared" si="12"/>
        <v>Medium</v>
      </c>
      <c r="AA415" s="5" t="s">
        <v>1319</v>
      </c>
      <c r="AB415" s="6" t="s">
        <v>1355</v>
      </c>
      <c r="AC415" s="6" t="s">
        <v>32</v>
      </c>
      <c r="AD415" s="5" t="s">
        <v>95</v>
      </c>
      <c r="AE415" s="5" t="s">
        <v>1720</v>
      </c>
      <c r="AF415" s="5" t="s">
        <v>1720</v>
      </c>
      <c r="AG415" s="5" t="s">
        <v>1720</v>
      </c>
      <c r="AH415" s="5" t="s">
        <v>1720</v>
      </c>
      <c r="AI415" s="6" t="str">
        <f t="shared" si="13"/>
        <v>No</v>
      </c>
      <c r="AJ415" s="6" t="s">
        <v>229</v>
      </c>
      <c r="AK415" s="6" t="s">
        <v>204</v>
      </c>
      <c r="AL415" s="6">
        <f>MATCH(AA415,{"Low","Medium","High"},0)*MATCH(AB415,{"Low","Medium","High"},0)*INDEX({3,2,2,1,1},MATCH(X415,{"Core","Vertical extension","Differentiator","Future","Adjacent"},0))</f>
        <v>6</v>
      </c>
      <c r="AM415" s="5"/>
      <c r="AN415" s="5"/>
      <c r="AO415" s="5"/>
      <c r="AP415" s="5"/>
      <c r="AQ415" s="5"/>
      <c r="AR415" s="5"/>
      <c r="AS415" s="5"/>
      <c r="AT415" s="5"/>
      <c r="AU415" s="6" t="s">
        <v>2317</v>
      </c>
      <c r="AV415" s="6" t="s">
        <v>3968</v>
      </c>
      <c r="AW415" s="6" t="s">
        <v>3968</v>
      </c>
      <c r="AX415" s="6" t="s">
        <v>2284</v>
      </c>
      <c r="AY415" s="6" t="s">
        <v>2285</v>
      </c>
      <c r="AZ415" s="6"/>
      <c r="BA415" s="6"/>
      <c r="BB415" s="6"/>
      <c r="BC415" s="6" t="s">
        <v>127</v>
      </c>
      <c r="BD415" s="6" t="s">
        <v>127</v>
      </c>
      <c r="BE415" s="6" t="s">
        <v>1477</v>
      </c>
      <c r="BF415" s="6" t="s">
        <v>95</v>
      </c>
      <c r="BG415" s="6" t="s">
        <v>5691</v>
      </c>
      <c r="BH415" s="6" t="s">
        <v>5692</v>
      </c>
    </row>
    <row r="416" spans="1:60" ht="32" customHeight="1" x14ac:dyDescent="0.35">
      <c r="A416" s="13" t="s">
        <v>5693</v>
      </c>
      <c r="B416" s="6" t="s">
        <v>3901</v>
      </c>
      <c r="C416" s="5" t="s">
        <v>1652</v>
      </c>
      <c r="D416" s="5" t="s">
        <v>2196</v>
      </c>
      <c r="E416" s="5" t="s">
        <v>5694</v>
      </c>
      <c r="F416" s="5" t="s">
        <v>5695</v>
      </c>
      <c r="G416" s="5" t="s">
        <v>2973</v>
      </c>
      <c r="H416" s="5" t="s">
        <v>5696</v>
      </c>
      <c r="I416" s="5" t="s">
        <v>5697</v>
      </c>
      <c r="J416" s="17" t="s">
        <v>162</v>
      </c>
      <c r="K416" s="17" t="s">
        <v>95</v>
      </c>
      <c r="L416" s="5" t="s">
        <v>5698</v>
      </c>
      <c r="M416" s="6" t="s">
        <v>1493</v>
      </c>
      <c r="N416" s="6" t="s">
        <v>2170</v>
      </c>
      <c r="O416" s="6" t="s">
        <v>162</v>
      </c>
      <c r="P416" s="5" t="s">
        <v>2272</v>
      </c>
      <c r="Q416" s="17" t="s">
        <v>95</v>
      </c>
      <c r="R416" s="5" t="s">
        <v>5699</v>
      </c>
      <c r="S416" s="6" t="s">
        <v>2358</v>
      </c>
      <c r="T416" s="5" t="s">
        <v>2359</v>
      </c>
      <c r="U416" s="6"/>
      <c r="V416" s="6" t="s">
        <v>2360</v>
      </c>
      <c r="W416" s="6" t="s">
        <v>1703</v>
      </c>
      <c r="X416" s="5" t="s">
        <v>228</v>
      </c>
      <c r="Y416" s="5" t="s">
        <v>2170</v>
      </c>
      <c r="Z416" s="5" t="str">
        <f t="shared" si="12"/>
        <v>Medium</v>
      </c>
      <c r="AA416" s="5" t="s">
        <v>1319</v>
      </c>
      <c r="AB416" s="6" t="s">
        <v>1355</v>
      </c>
      <c r="AC416" s="6" t="s">
        <v>32</v>
      </c>
      <c r="AD416" s="5" t="s">
        <v>95</v>
      </c>
      <c r="AE416" s="5" t="s">
        <v>1720</v>
      </c>
      <c r="AF416" s="5" t="s">
        <v>1720</v>
      </c>
      <c r="AG416" s="5" t="s">
        <v>1720</v>
      </c>
      <c r="AH416" s="5" t="s">
        <v>1720</v>
      </c>
      <c r="AI416" s="6" t="str">
        <f t="shared" si="13"/>
        <v>No</v>
      </c>
      <c r="AJ416" s="6" t="s">
        <v>229</v>
      </c>
      <c r="AK416" s="6" t="s">
        <v>204</v>
      </c>
      <c r="AL416" s="6">
        <f>MATCH(AA416,{"Low","Medium","High"},0)*MATCH(AB416,{"Low","Medium","High"},0)*INDEX({3,2,2,1,1},MATCH(X416,{"Core","Vertical extension","Differentiator","Future","Adjacent"},0))</f>
        <v>6</v>
      </c>
      <c r="AM416" s="5"/>
      <c r="AN416" s="5"/>
      <c r="AO416" s="5"/>
      <c r="AP416" s="5"/>
      <c r="AQ416" s="5"/>
      <c r="AR416" s="5"/>
      <c r="AS416" s="5"/>
      <c r="AT416" s="5"/>
      <c r="AU416" s="6" t="s">
        <v>2317</v>
      </c>
      <c r="AV416" s="6" t="s">
        <v>3968</v>
      </c>
      <c r="AW416" s="6" t="s">
        <v>3968</v>
      </c>
      <c r="AX416" s="6" t="s">
        <v>2284</v>
      </c>
      <c r="AY416" s="6" t="s">
        <v>2285</v>
      </c>
      <c r="AZ416" s="6"/>
      <c r="BA416" s="6"/>
      <c r="BB416" s="6"/>
      <c r="BC416" s="6" t="s">
        <v>127</v>
      </c>
      <c r="BD416" s="6" t="s">
        <v>127</v>
      </c>
      <c r="BE416" s="6" t="s">
        <v>1477</v>
      </c>
      <c r="BF416" s="6" t="s">
        <v>95</v>
      </c>
      <c r="BG416" s="6" t="s">
        <v>5700</v>
      </c>
      <c r="BH416" s="6" t="s">
        <v>5701</v>
      </c>
    </row>
    <row r="417" spans="1:60" ht="32" customHeight="1" x14ac:dyDescent="0.35">
      <c r="A417" s="13" t="s">
        <v>5702</v>
      </c>
      <c r="B417" s="6" t="s">
        <v>3901</v>
      </c>
      <c r="C417" s="5" t="s">
        <v>1652</v>
      </c>
      <c r="D417" s="5" t="s">
        <v>2196</v>
      </c>
      <c r="E417" s="5" t="s">
        <v>5703</v>
      </c>
      <c r="F417" s="5" t="s">
        <v>3980</v>
      </c>
      <c r="G417" s="5" t="s">
        <v>3209</v>
      </c>
      <c r="H417" s="5" t="s">
        <v>5704</v>
      </c>
      <c r="I417" s="5" t="s">
        <v>5705</v>
      </c>
      <c r="J417" s="17" t="s">
        <v>162</v>
      </c>
      <c r="K417" s="17" t="s">
        <v>95</v>
      </c>
      <c r="L417" s="5" t="s">
        <v>5706</v>
      </c>
      <c r="M417" s="6" t="s">
        <v>1493</v>
      </c>
      <c r="N417" s="6" t="s">
        <v>2170</v>
      </c>
      <c r="O417" s="6" t="s">
        <v>162</v>
      </c>
      <c r="P417" s="5" t="s">
        <v>2272</v>
      </c>
      <c r="Q417" s="17" t="s">
        <v>95</v>
      </c>
      <c r="R417" s="5" t="s">
        <v>5707</v>
      </c>
      <c r="S417" s="6" t="s">
        <v>2358</v>
      </c>
      <c r="T417" s="5" t="s">
        <v>2359</v>
      </c>
      <c r="U417" s="6"/>
      <c r="V417" s="6" t="s">
        <v>2360</v>
      </c>
      <c r="W417" s="6" t="s">
        <v>1703</v>
      </c>
      <c r="X417" s="5" t="s">
        <v>228</v>
      </c>
      <c r="Y417" s="5" t="s">
        <v>2170</v>
      </c>
      <c r="Z417" s="5" t="str">
        <f t="shared" si="12"/>
        <v>Medium</v>
      </c>
      <c r="AA417" s="5" t="s">
        <v>1319</v>
      </c>
      <c r="AB417" s="6" t="s">
        <v>1355</v>
      </c>
      <c r="AC417" s="6" t="s">
        <v>32</v>
      </c>
      <c r="AD417" s="5" t="s">
        <v>95</v>
      </c>
      <c r="AE417" s="5" t="s">
        <v>1720</v>
      </c>
      <c r="AF417" s="5" t="s">
        <v>1720</v>
      </c>
      <c r="AG417" s="5" t="s">
        <v>1720</v>
      </c>
      <c r="AH417" s="5" t="s">
        <v>1720</v>
      </c>
      <c r="AI417" s="6" t="str">
        <f t="shared" si="13"/>
        <v>No</v>
      </c>
      <c r="AJ417" s="6" t="s">
        <v>229</v>
      </c>
      <c r="AK417" s="6" t="s">
        <v>204</v>
      </c>
      <c r="AL417" s="6">
        <f>MATCH(AA417,{"Low","Medium","High"},0)*MATCH(AB417,{"Low","Medium","High"},0)*INDEX({3,2,2,1,1},MATCH(X417,{"Core","Vertical extension","Differentiator","Future","Adjacent"},0))</f>
        <v>6</v>
      </c>
      <c r="AM417" s="5"/>
      <c r="AN417" s="5"/>
      <c r="AO417" s="5"/>
      <c r="AP417" s="5"/>
      <c r="AQ417" s="5"/>
      <c r="AR417" s="5"/>
      <c r="AS417" s="5"/>
      <c r="AT417" s="5"/>
      <c r="AU417" s="6" t="s">
        <v>2317</v>
      </c>
      <c r="AV417" s="6" t="s">
        <v>3968</v>
      </c>
      <c r="AW417" s="6" t="s">
        <v>3968</v>
      </c>
      <c r="AX417" s="6" t="s">
        <v>2284</v>
      </c>
      <c r="AY417" s="6" t="s">
        <v>2285</v>
      </c>
      <c r="AZ417" s="6"/>
      <c r="BA417" s="6"/>
      <c r="BB417" s="6"/>
      <c r="BC417" s="6" t="s">
        <v>127</v>
      </c>
      <c r="BD417" s="6" t="s">
        <v>127</v>
      </c>
      <c r="BE417" s="6" t="s">
        <v>1477</v>
      </c>
      <c r="BF417" s="6" t="s">
        <v>95</v>
      </c>
      <c r="BG417" s="6" t="s">
        <v>5708</v>
      </c>
      <c r="BH417" s="6" t="s">
        <v>5709</v>
      </c>
    </row>
    <row r="418" spans="1:60" ht="32" customHeight="1" x14ac:dyDescent="0.35">
      <c r="A418" s="13" t="s">
        <v>5710</v>
      </c>
      <c r="B418" s="6" t="s">
        <v>3901</v>
      </c>
      <c r="C418" s="5" t="s">
        <v>1652</v>
      </c>
      <c r="D418" s="5" t="s">
        <v>2196</v>
      </c>
      <c r="E418" s="5" t="s">
        <v>5711</v>
      </c>
      <c r="F418" s="5" t="s">
        <v>3980</v>
      </c>
      <c r="G418" s="5" t="s">
        <v>2973</v>
      </c>
      <c r="H418" s="5" t="s">
        <v>5712</v>
      </c>
      <c r="I418" s="5" t="s">
        <v>5713</v>
      </c>
      <c r="J418" s="17" t="s">
        <v>162</v>
      </c>
      <c r="K418" s="17" t="s">
        <v>1477</v>
      </c>
      <c r="L418" s="5" t="s">
        <v>5714</v>
      </c>
      <c r="M418" s="6" t="s">
        <v>1493</v>
      </c>
      <c r="N418" s="6" t="s">
        <v>2170</v>
      </c>
      <c r="O418" s="6" t="s">
        <v>162</v>
      </c>
      <c r="P418" s="5" t="s">
        <v>2272</v>
      </c>
      <c r="Q418" s="17" t="s">
        <v>2273</v>
      </c>
      <c r="R418" s="5" t="s">
        <v>5715</v>
      </c>
      <c r="S418" s="6" t="s">
        <v>2358</v>
      </c>
      <c r="T418" s="5" t="s">
        <v>2359</v>
      </c>
      <c r="U418" s="6"/>
      <c r="V418" s="6" t="s">
        <v>2360</v>
      </c>
      <c r="W418" s="6" t="s">
        <v>1703</v>
      </c>
      <c r="X418" s="5" t="s">
        <v>228</v>
      </c>
      <c r="Y418" s="5" t="s">
        <v>2170</v>
      </c>
      <c r="Z418" s="5" t="str">
        <f t="shared" si="12"/>
        <v>Medium</v>
      </c>
      <c r="AA418" s="5" t="s">
        <v>1319</v>
      </c>
      <c r="AB418" s="6" t="s">
        <v>1355</v>
      </c>
      <c r="AC418" s="6" t="s">
        <v>32</v>
      </c>
      <c r="AD418" s="5" t="s">
        <v>2278</v>
      </c>
      <c r="AE418" s="5" t="s">
        <v>1720</v>
      </c>
      <c r="AF418" s="5" t="s">
        <v>1720</v>
      </c>
      <c r="AG418" s="5" t="s">
        <v>1720</v>
      </c>
      <c r="AH418" s="5" t="s">
        <v>1720</v>
      </c>
      <c r="AI418" s="6" t="str">
        <f t="shared" si="13"/>
        <v>No</v>
      </c>
      <c r="AJ418" s="6" t="s">
        <v>2298</v>
      </c>
      <c r="AK418" s="6" t="s">
        <v>204</v>
      </c>
      <c r="AL418" s="6">
        <f>MATCH(AA418,{"Low","Medium","High"},0)*MATCH(AB418,{"Low","Medium","High"},0)*INDEX({3,2,2,1,1},MATCH(X418,{"Core","Vertical extension","Differentiator","Future","Adjacent"},0))</f>
        <v>6</v>
      </c>
      <c r="AM418" s="5"/>
      <c r="AN418" s="5"/>
      <c r="AO418" s="5"/>
      <c r="AP418" s="5"/>
      <c r="AQ418" s="5"/>
      <c r="AR418" s="5"/>
      <c r="AS418" s="5"/>
      <c r="AT418" s="5"/>
      <c r="AU418" s="6" t="s">
        <v>2317</v>
      </c>
      <c r="AV418" s="6" t="s">
        <v>3968</v>
      </c>
      <c r="AW418" s="6" t="s">
        <v>3968</v>
      </c>
      <c r="AX418" s="6" t="s">
        <v>2284</v>
      </c>
      <c r="AY418" s="6" t="s">
        <v>2285</v>
      </c>
      <c r="AZ418" s="6"/>
      <c r="BA418" s="6"/>
      <c r="BB418" s="6"/>
      <c r="BC418" s="6" t="s">
        <v>127</v>
      </c>
      <c r="BD418" s="6" t="s">
        <v>127</v>
      </c>
      <c r="BE418" s="6" t="s">
        <v>1477</v>
      </c>
      <c r="BF418" s="6" t="s">
        <v>2286</v>
      </c>
      <c r="BG418" s="6" t="s">
        <v>5716</v>
      </c>
      <c r="BH418" s="6" t="s">
        <v>5717</v>
      </c>
    </row>
    <row r="419" spans="1:60" ht="32" customHeight="1" x14ac:dyDescent="0.35">
      <c r="A419" s="13" t="s">
        <v>5718</v>
      </c>
      <c r="B419" s="6" t="s">
        <v>3901</v>
      </c>
      <c r="C419" s="5" t="s">
        <v>1652</v>
      </c>
      <c r="D419" s="5" t="s">
        <v>2196</v>
      </c>
      <c r="E419" s="5" t="s">
        <v>5719</v>
      </c>
      <c r="F419" s="5" t="s">
        <v>5720</v>
      </c>
      <c r="G419" s="5" t="s">
        <v>5721</v>
      </c>
      <c r="H419" s="5" t="s">
        <v>5722</v>
      </c>
      <c r="I419" s="5" t="s">
        <v>5723</v>
      </c>
      <c r="J419" s="17" t="s">
        <v>162</v>
      </c>
      <c r="K419" s="17" t="s">
        <v>1477</v>
      </c>
      <c r="L419" s="5" t="s">
        <v>5724</v>
      </c>
      <c r="M419" s="6" t="s">
        <v>1493</v>
      </c>
      <c r="N419" s="6" t="s">
        <v>2170</v>
      </c>
      <c r="O419" s="6" t="s">
        <v>162</v>
      </c>
      <c r="P419" s="5" t="s">
        <v>2272</v>
      </c>
      <c r="Q419" s="18" t="s">
        <v>1482</v>
      </c>
      <c r="R419" s="5" t="s">
        <v>5725</v>
      </c>
      <c r="S419" s="6" t="s">
        <v>2358</v>
      </c>
      <c r="T419" s="5" t="s">
        <v>2359</v>
      </c>
      <c r="U419" s="6"/>
      <c r="V419" s="6" t="s">
        <v>2360</v>
      </c>
      <c r="W419" s="6" t="s">
        <v>1703</v>
      </c>
      <c r="X419" s="5" t="s">
        <v>228</v>
      </c>
      <c r="Y419" s="5" t="s">
        <v>2170</v>
      </c>
      <c r="Z419" s="5" t="str">
        <f t="shared" si="12"/>
        <v>Medium</v>
      </c>
      <c r="AA419" s="5" t="s">
        <v>1319</v>
      </c>
      <c r="AB419" s="6" t="s">
        <v>1355</v>
      </c>
      <c r="AC419" s="6" t="s">
        <v>32</v>
      </c>
      <c r="AD419" s="5" t="s">
        <v>2278</v>
      </c>
      <c r="AE419" s="5" t="s">
        <v>1720</v>
      </c>
      <c r="AF419" s="5" t="s">
        <v>1720</v>
      </c>
      <c r="AG419" s="5" t="s">
        <v>1720</v>
      </c>
      <c r="AH419" s="5" t="s">
        <v>1720</v>
      </c>
      <c r="AI419" s="6" t="str">
        <f t="shared" si="13"/>
        <v>No</v>
      </c>
      <c r="AJ419" s="6" t="s">
        <v>2298</v>
      </c>
      <c r="AK419" s="6" t="s">
        <v>204</v>
      </c>
      <c r="AL419" s="6">
        <f>MATCH(AA419,{"Low","Medium","High"},0)*MATCH(AB419,{"Low","Medium","High"},0)*INDEX({3,2,2,1,1},MATCH(X419,{"Core","Vertical extension","Differentiator","Future","Adjacent"},0))</f>
        <v>6</v>
      </c>
      <c r="AM419" s="5"/>
      <c r="AN419" s="5"/>
      <c r="AO419" s="5"/>
      <c r="AP419" s="5"/>
      <c r="AQ419" s="5"/>
      <c r="AR419" s="5"/>
      <c r="AS419" s="5"/>
      <c r="AT419" s="5"/>
      <c r="AU419" s="6" t="s">
        <v>2317</v>
      </c>
      <c r="AV419" s="6" t="s">
        <v>3968</v>
      </c>
      <c r="AW419" s="6" t="s">
        <v>3968</v>
      </c>
      <c r="AX419" s="6" t="s">
        <v>2284</v>
      </c>
      <c r="AY419" s="6" t="s">
        <v>2285</v>
      </c>
      <c r="AZ419" s="6"/>
      <c r="BA419" s="6" t="s">
        <v>5726</v>
      </c>
      <c r="BB419" s="6" t="s">
        <v>5727</v>
      </c>
      <c r="BC419" s="6" t="s">
        <v>127</v>
      </c>
      <c r="BD419" s="6" t="s">
        <v>127</v>
      </c>
      <c r="BE419" s="6"/>
      <c r="BF419" s="6"/>
      <c r="BG419" s="6"/>
      <c r="BH419" s="6"/>
    </row>
    <row r="420" spans="1:60" ht="32" customHeight="1" x14ac:dyDescent="0.35">
      <c r="A420" s="13" t="s">
        <v>5728</v>
      </c>
      <c r="B420" s="6" t="s">
        <v>3901</v>
      </c>
      <c r="C420" s="5" t="s">
        <v>1652</v>
      </c>
      <c r="D420" s="5" t="s">
        <v>2196</v>
      </c>
      <c r="E420" s="5" t="s">
        <v>5729</v>
      </c>
      <c r="F420" s="5" t="s">
        <v>5720</v>
      </c>
      <c r="G420" s="5" t="s">
        <v>1679</v>
      </c>
      <c r="H420" s="5" t="s">
        <v>5730</v>
      </c>
      <c r="I420" s="5" t="s">
        <v>5731</v>
      </c>
      <c r="J420" s="17" t="s">
        <v>162</v>
      </c>
      <c r="K420" s="17" t="s">
        <v>1477</v>
      </c>
      <c r="L420" s="5" t="s">
        <v>5732</v>
      </c>
      <c r="M420" s="6" t="s">
        <v>1493</v>
      </c>
      <c r="N420" s="6" t="s">
        <v>2170</v>
      </c>
      <c r="O420" s="6" t="s">
        <v>162</v>
      </c>
      <c r="P420" s="5" t="s">
        <v>2272</v>
      </c>
      <c r="Q420" s="17" t="s">
        <v>2273</v>
      </c>
      <c r="R420" s="5" t="s">
        <v>5733</v>
      </c>
      <c r="S420" s="6" t="s">
        <v>2358</v>
      </c>
      <c r="T420" s="5" t="s">
        <v>2359</v>
      </c>
      <c r="U420" s="6"/>
      <c r="V420" s="6" t="s">
        <v>2360</v>
      </c>
      <c r="W420" s="6" t="s">
        <v>1703</v>
      </c>
      <c r="X420" s="5" t="s">
        <v>228</v>
      </c>
      <c r="Y420" s="5" t="s">
        <v>2170</v>
      </c>
      <c r="Z420" s="5" t="str">
        <f t="shared" si="12"/>
        <v>Medium</v>
      </c>
      <c r="AA420" s="5" t="s">
        <v>1319</v>
      </c>
      <c r="AB420" s="6" t="s">
        <v>1355</v>
      </c>
      <c r="AC420" s="6" t="s">
        <v>32</v>
      </c>
      <c r="AD420" s="5" t="s">
        <v>2278</v>
      </c>
      <c r="AE420" s="5" t="s">
        <v>1720</v>
      </c>
      <c r="AF420" s="5" t="s">
        <v>1720</v>
      </c>
      <c r="AG420" s="5" t="s">
        <v>1720</v>
      </c>
      <c r="AH420" s="5" t="s">
        <v>1720</v>
      </c>
      <c r="AI420" s="6" t="str">
        <f t="shared" si="13"/>
        <v>No</v>
      </c>
      <c r="AJ420" s="6" t="s">
        <v>2298</v>
      </c>
      <c r="AK420" s="6" t="s">
        <v>204</v>
      </c>
      <c r="AL420" s="6">
        <f>MATCH(AA420,{"Low","Medium","High"},0)*MATCH(AB420,{"Low","Medium","High"},0)*INDEX({3,2,2,1,1},MATCH(X420,{"Core","Vertical extension","Differentiator","Future","Adjacent"},0))</f>
        <v>6</v>
      </c>
      <c r="AM420" s="5"/>
      <c r="AN420" s="5"/>
      <c r="AO420" s="5"/>
      <c r="AP420" s="5"/>
      <c r="AQ420" s="5"/>
      <c r="AR420" s="5"/>
      <c r="AS420" s="5"/>
      <c r="AT420" s="5"/>
      <c r="AU420" s="6" t="s">
        <v>2317</v>
      </c>
      <c r="AV420" s="6" t="s">
        <v>3968</v>
      </c>
      <c r="AW420" s="6" t="s">
        <v>3968</v>
      </c>
      <c r="AX420" s="6" t="s">
        <v>2284</v>
      </c>
      <c r="AY420" s="6" t="s">
        <v>2285</v>
      </c>
      <c r="AZ420" s="6"/>
      <c r="BA420" s="6"/>
      <c r="BB420" s="6"/>
      <c r="BC420" s="6" t="s">
        <v>127</v>
      </c>
      <c r="BD420" s="6" t="s">
        <v>127</v>
      </c>
      <c r="BE420" s="6" t="s">
        <v>1477</v>
      </c>
      <c r="BF420" s="6" t="s">
        <v>2286</v>
      </c>
      <c r="BG420" s="6" t="s">
        <v>5734</v>
      </c>
      <c r="BH420" s="6" t="s">
        <v>5735</v>
      </c>
    </row>
    <row r="421" spans="1:60" ht="32" customHeight="1" x14ac:dyDescent="0.35">
      <c r="A421" s="13" t="s">
        <v>5736</v>
      </c>
      <c r="B421" s="6" t="s">
        <v>3901</v>
      </c>
      <c r="C421" s="5" t="s">
        <v>1652</v>
      </c>
      <c r="D421" s="5" t="s">
        <v>2196</v>
      </c>
      <c r="E421" s="5" t="s">
        <v>5737</v>
      </c>
      <c r="F421" s="5" t="s">
        <v>5738</v>
      </c>
      <c r="G421" s="5" t="s">
        <v>5739</v>
      </c>
      <c r="H421" s="5" t="s">
        <v>5740</v>
      </c>
      <c r="I421" s="5" t="s">
        <v>5741</v>
      </c>
      <c r="J421" s="17" t="s">
        <v>162</v>
      </c>
      <c r="K421" s="17" t="s">
        <v>1477</v>
      </c>
      <c r="L421" s="5" t="s">
        <v>5742</v>
      </c>
      <c r="M421" s="6" t="s">
        <v>1493</v>
      </c>
      <c r="N421" s="6" t="s">
        <v>2170</v>
      </c>
      <c r="O421" s="6" t="s">
        <v>162</v>
      </c>
      <c r="P421" s="5" t="s">
        <v>2272</v>
      </c>
      <c r="Q421" s="17" t="s">
        <v>2273</v>
      </c>
      <c r="R421" s="5" t="s">
        <v>5743</v>
      </c>
      <c r="S421" s="6" t="s">
        <v>2358</v>
      </c>
      <c r="T421" s="5" t="s">
        <v>2359</v>
      </c>
      <c r="U421" s="6"/>
      <c r="V421" s="6" t="s">
        <v>2360</v>
      </c>
      <c r="W421" s="6" t="s">
        <v>1703</v>
      </c>
      <c r="X421" s="5" t="s">
        <v>228</v>
      </c>
      <c r="Y421" s="5" t="s">
        <v>2170</v>
      </c>
      <c r="Z421" s="5" t="str">
        <f t="shared" si="12"/>
        <v>Medium</v>
      </c>
      <c r="AA421" s="5" t="s">
        <v>1319</v>
      </c>
      <c r="AB421" s="6" t="s">
        <v>1355</v>
      </c>
      <c r="AC421" s="6" t="s">
        <v>32</v>
      </c>
      <c r="AD421" s="5" t="s">
        <v>2278</v>
      </c>
      <c r="AE421" s="5" t="s">
        <v>1720</v>
      </c>
      <c r="AF421" s="5" t="s">
        <v>1720</v>
      </c>
      <c r="AG421" s="5" t="s">
        <v>1720</v>
      </c>
      <c r="AH421" s="5" t="s">
        <v>1720</v>
      </c>
      <c r="AI421" s="6" t="str">
        <f t="shared" si="13"/>
        <v>No</v>
      </c>
      <c r="AJ421" s="6" t="s">
        <v>2298</v>
      </c>
      <c r="AK421" s="6" t="s">
        <v>204</v>
      </c>
      <c r="AL421" s="6">
        <f>MATCH(AA421,{"Low","Medium","High"},0)*MATCH(AB421,{"Low","Medium","High"},0)*INDEX({3,2,2,1,1},MATCH(X421,{"Core","Vertical extension","Differentiator","Future","Adjacent"},0))</f>
        <v>6</v>
      </c>
      <c r="AM421" s="5"/>
      <c r="AN421" s="5"/>
      <c r="AO421" s="5"/>
      <c r="AP421" s="5"/>
      <c r="AQ421" s="5"/>
      <c r="AR421" s="5"/>
      <c r="AS421" s="5"/>
      <c r="AT421" s="5"/>
      <c r="AU421" s="6" t="s">
        <v>2317</v>
      </c>
      <c r="AV421" s="6" t="s">
        <v>2898</v>
      </c>
      <c r="AW421" s="6" t="s">
        <v>2898</v>
      </c>
      <c r="AX421" s="6" t="s">
        <v>2284</v>
      </c>
      <c r="AY421" s="6" t="s">
        <v>2285</v>
      </c>
      <c r="AZ421" s="6"/>
      <c r="BA421" s="6"/>
      <c r="BB421" s="6"/>
      <c r="BC421" s="6" t="s">
        <v>127</v>
      </c>
      <c r="BD421" s="6" t="s">
        <v>127</v>
      </c>
      <c r="BE421" s="6" t="s">
        <v>1477</v>
      </c>
      <c r="BF421" s="6" t="s">
        <v>2286</v>
      </c>
      <c r="BG421" s="6" t="s">
        <v>5744</v>
      </c>
      <c r="BH421" s="6" t="s">
        <v>5745</v>
      </c>
    </row>
    <row r="422" spans="1:60" ht="32" customHeight="1" x14ac:dyDescent="0.35">
      <c r="A422" s="13" t="s">
        <v>5746</v>
      </c>
      <c r="B422" s="6" t="s">
        <v>3901</v>
      </c>
      <c r="C422" s="5" t="s">
        <v>1652</v>
      </c>
      <c r="D422" s="5" t="s">
        <v>2196</v>
      </c>
      <c r="E422" s="5" t="s">
        <v>5747</v>
      </c>
      <c r="F422" s="5" t="s">
        <v>5738</v>
      </c>
      <c r="G422" s="5" t="s">
        <v>5748</v>
      </c>
      <c r="H422" s="5" t="s">
        <v>5749</v>
      </c>
      <c r="I422" s="5" t="s">
        <v>5750</v>
      </c>
      <c r="J422" s="17" t="s">
        <v>162</v>
      </c>
      <c r="K422" s="17" t="s">
        <v>163</v>
      </c>
      <c r="L422" s="5" t="s">
        <v>5751</v>
      </c>
      <c r="M422" s="6" t="s">
        <v>1493</v>
      </c>
      <c r="N422" s="6" t="s">
        <v>2170</v>
      </c>
      <c r="O422" s="6" t="s">
        <v>162</v>
      </c>
      <c r="P422" s="5" t="s">
        <v>2272</v>
      </c>
      <c r="Q422" s="17" t="s">
        <v>163</v>
      </c>
      <c r="R422" s="5" t="s">
        <v>5752</v>
      </c>
      <c r="S422" s="6" t="s">
        <v>2358</v>
      </c>
      <c r="T422" s="5" t="s">
        <v>2359</v>
      </c>
      <c r="U422" s="6"/>
      <c r="V422" s="6" t="s">
        <v>2360</v>
      </c>
      <c r="W422" s="6" t="s">
        <v>1703</v>
      </c>
      <c r="X422" s="5" t="s">
        <v>228</v>
      </c>
      <c r="Y422" s="5" t="s">
        <v>2170</v>
      </c>
      <c r="Z422" s="5" t="str">
        <f t="shared" si="12"/>
        <v>Medium</v>
      </c>
      <c r="AA422" s="5" t="s">
        <v>1319</v>
      </c>
      <c r="AB422" s="6" t="s">
        <v>1355</v>
      </c>
      <c r="AC422" s="6" t="s">
        <v>32</v>
      </c>
      <c r="AD422" s="5" t="s">
        <v>1805</v>
      </c>
      <c r="AE422" s="5" t="s">
        <v>1720</v>
      </c>
      <c r="AF422" s="5" t="s">
        <v>1720</v>
      </c>
      <c r="AG422" s="5" t="s">
        <v>1720</v>
      </c>
      <c r="AH422" s="5" t="s">
        <v>1720</v>
      </c>
      <c r="AI422" s="6" t="str">
        <f t="shared" si="13"/>
        <v>No</v>
      </c>
      <c r="AJ422" s="6" t="s">
        <v>287</v>
      </c>
      <c r="AK422" s="6" t="s">
        <v>204</v>
      </c>
      <c r="AL422" s="6">
        <f>MATCH(AA422,{"Low","Medium","High"},0)*MATCH(AB422,{"Low","Medium","High"},0)*INDEX({3,2,2,1,1},MATCH(X422,{"Core","Vertical extension","Differentiator","Future","Adjacent"},0))</f>
        <v>6</v>
      </c>
      <c r="AM422" s="5"/>
      <c r="AN422" s="5"/>
      <c r="AO422" s="5"/>
      <c r="AP422" s="5"/>
      <c r="AQ422" s="5"/>
      <c r="AR422" s="5"/>
      <c r="AS422" s="5"/>
      <c r="AT422" s="5"/>
      <c r="AU422" s="6" t="s">
        <v>2317</v>
      </c>
      <c r="AV422" s="6" t="s">
        <v>2898</v>
      </c>
      <c r="AW422" s="6" t="s">
        <v>2898</v>
      </c>
      <c r="AX422" s="6" t="s">
        <v>2284</v>
      </c>
      <c r="AY422" s="6" t="s">
        <v>2285</v>
      </c>
      <c r="AZ422" s="6"/>
      <c r="BA422" s="6"/>
      <c r="BB422" s="6"/>
      <c r="BC422" s="6" t="s">
        <v>127</v>
      </c>
      <c r="BD422" s="6" t="s">
        <v>127</v>
      </c>
      <c r="BE422" s="6" t="s">
        <v>1477</v>
      </c>
      <c r="BF422" s="6" t="s">
        <v>288</v>
      </c>
      <c r="BG422" s="6" t="s">
        <v>5753</v>
      </c>
      <c r="BH422" s="6" t="s">
        <v>5754</v>
      </c>
    </row>
    <row r="423" spans="1:60" ht="32" customHeight="1" x14ac:dyDescent="0.35">
      <c r="A423" s="13" t="s">
        <v>5755</v>
      </c>
      <c r="B423" s="6" t="s">
        <v>3901</v>
      </c>
      <c r="C423" s="5" t="s">
        <v>1652</v>
      </c>
      <c r="D423" s="5" t="s">
        <v>2185</v>
      </c>
      <c r="E423" s="5" t="s">
        <v>5756</v>
      </c>
      <c r="F423" s="5" t="s">
        <v>5738</v>
      </c>
      <c r="G423" s="5" t="s">
        <v>3209</v>
      </c>
      <c r="H423" s="5" t="s">
        <v>5757</v>
      </c>
      <c r="I423" s="5" t="s">
        <v>5758</v>
      </c>
      <c r="J423" s="17" t="s">
        <v>162</v>
      </c>
      <c r="K423" s="17" t="s">
        <v>95</v>
      </c>
      <c r="L423" s="5" t="s">
        <v>5759</v>
      </c>
      <c r="M423" s="6" t="s">
        <v>1493</v>
      </c>
      <c r="N423" s="6" t="s">
        <v>2170</v>
      </c>
      <c r="O423" s="6" t="s">
        <v>162</v>
      </c>
      <c r="P423" s="5" t="s">
        <v>2272</v>
      </c>
      <c r="Q423" s="17" t="s">
        <v>95</v>
      </c>
      <c r="R423" s="5" t="s">
        <v>5760</v>
      </c>
      <c r="S423" s="6" t="s">
        <v>2409</v>
      </c>
      <c r="T423" s="5" t="s">
        <v>2185</v>
      </c>
      <c r="U423" s="6"/>
      <c r="V423" s="6" t="s">
        <v>2410</v>
      </c>
      <c r="W423" s="6" t="s">
        <v>1699</v>
      </c>
      <c r="X423" s="5" t="s">
        <v>228</v>
      </c>
      <c r="Y423" s="5" t="s">
        <v>2170</v>
      </c>
      <c r="Z423" s="5" t="str">
        <f t="shared" si="12"/>
        <v>High</v>
      </c>
      <c r="AA423" s="5" t="s">
        <v>1319</v>
      </c>
      <c r="AB423" s="6" t="s">
        <v>1319</v>
      </c>
      <c r="AC423" s="6" t="s">
        <v>135</v>
      </c>
      <c r="AD423" s="5" t="s">
        <v>95</v>
      </c>
      <c r="AE423" s="5" t="s">
        <v>1720</v>
      </c>
      <c r="AF423" s="5" t="s">
        <v>1720</v>
      </c>
      <c r="AG423" s="5" t="s">
        <v>1720</v>
      </c>
      <c r="AH423" s="5" t="s">
        <v>1720</v>
      </c>
      <c r="AI423" s="6" t="str">
        <f t="shared" si="13"/>
        <v>No</v>
      </c>
      <c r="AJ423" s="6" t="s">
        <v>229</v>
      </c>
      <c r="AK423" s="6" t="s">
        <v>162</v>
      </c>
      <c r="AL423" s="6">
        <f>MATCH(AA423,{"Low","Medium","High"},0)*MATCH(AB423,{"Low","Medium","High"},0)*INDEX({3,2,2,1,1},MATCH(X423,{"Core","Vertical extension","Differentiator","Future","Adjacent"},0))</f>
        <v>12</v>
      </c>
      <c r="AM423" s="5"/>
      <c r="AN423" s="5"/>
      <c r="AO423" s="5"/>
      <c r="AP423" s="5"/>
      <c r="AQ423" s="5"/>
      <c r="AR423" s="5"/>
      <c r="AS423" s="5"/>
      <c r="AT423" s="5"/>
      <c r="AU423" s="6" t="s">
        <v>2317</v>
      </c>
      <c r="AV423" s="6" t="s">
        <v>2898</v>
      </c>
      <c r="AW423" s="6" t="s">
        <v>2898</v>
      </c>
      <c r="AX423" s="6" t="s">
        <v>2284</v>
      </c>
      <c r="AY423" s="6" t="s">
        <v>2411</v>
      </c>
      <c r="AZ423" s="6"/>
      <c r="BA423" s="6"/>
      <c r="BB423" s="6"/>
      <c r="BC423" s="6" t="s">
        <v>127</v>
      </c>
      <c r="BD423" s="6" t="s">
        <v>127</v>
      </c>
      <c r="BE423" s="6" t="s">
        <v>1477</v>
      </c>
      <c r="BF423" s="6" t="s">
        <v>95</v>
      </c>
      <c r="BG423" s="6" t="s">
        <v>5761</v>
      </c>
      <c r="BH423" s="6" t="s">
        <v>5762</v>
      </c>
    </row>
    <row r="424" spans="1:60" ht="32" customHeight="1" x14ac:dyDescent="0.35">
      <c r="A424" s="13" t="s">
        <v>5763</v>
      </c>
      <c r="B424" s="6" t="s">
        <v>3901</v>
      </c>
      <c r="C424" s="5" t="s">
        <v>1652</v>
      </c>
      <c r="D424" s="5" t="s">
        <v>2185</v>
      </c>
      <c r="E424" s="5" t="s">
        <v>5764</v>
      </c>
      <c r="F424" s="5" t="s">
        <v>5738</v>
      </c>
      <c r="G424" s="5" t="s">
        <v>4319</v>
      </c>
      <c r="H424" s="5" t="s">
        <v>5765</v>
      </c>
      <c r="I424" s="5" t="s">
        <v>5766</v>
      </c>
      <c r="J424" s="17" t="s">
        <v>162</v>
      </c>
      <c r="K424" s="17" t="s">
        <v>1477</v>
      </c>
      <c r="L424" s="5" t="s">
        <v>5767</v>
      </c>
      <c r="M424" s="6" t="s">
        <v>1493</v>
      </c>
      <c r="N424" s="6" t="s">
        <v>2170</v>
      </c>
      <c r="O424" s="6" t="s">
        <v>162</v>
      </c>
      <c r="P424" s="5" t="s">
        <v>2272</v>
      </c>
      <c r="Q424" s="18" t="s">
        <v>1482</v>
      </c>
      <c r="R424" s="5" t="s">
        <v>2947</v>
      </c>
      <c r="S424" s="6" t="s">
        <v>2409</v>
      </c>
      <c r="T424" s="5" t="s">
        <v>2185</v>
      </c>
      <c r="U424" s="6"/>
      <c r="V424" s="6" t="s">
        <v>2410</v>
      </c>
      <c r="W424" s="6" t="s">
        <v>1699</v>
      </c>
      <c r="X424" s="5" t="s">
        <v>228</v>
      </c>
      <c r="Y424" s="5" t="s">
        <v>2170</v>
      </c>
      <c r="Z424" s="5" t="str">
        <f t="shared" si="12"/>
        <v>High</v>
      </c>
      <c r="AA424" s="5" t="s">
        <v>1319</v>
      </c>
      <c r="AB424" s="6" t="s">
        <v>1319</v>
      </c>
      <c r="AC424" s="6" t="s">
        <v>135</v>
      </c>
      <c r="AD424" s="5" t="s">
        <v>2278</v>
      </c>
      <c r="AE424" s="5" t="s">
        <v>1720</v>
      </c>
      <c r="AF424" s="5" t="s">
        <v>1720</v>
      </c>
      <c r="AG424" s="5" t="s">
        <v>1720</v>
      </c>
      <c r="AH424" s="5" t="s">
        <v>1720</v>
      </c>
      <c r="AI424" s="6" t="str">
        <f t="shared" si="13"/>
        <v>No</v>
      </c>
      <c r="AJ424" s="6" t="s">
        <v>2298</v>
      </c>
      <c r="AK424" s="6" t="s">
        <v>162</v>
      </c>
      <c r="AL424" s="6">
        <f>MATCH(AA424,{"Low","Medium","High"},0)*MATCH(AB424,{"Low","Medium","High"},0)*INDEX({3,2,2,1,1},MATCH(X424,{"Core","Vertical extension","Differentiator","Future","Adjacent"},0))</f>
        <v>12</v>
      </c>
      <c r="AM424" s="5"/>
      <c r="AN424" s="5"/>
      <c r="AO424" s="5"/>
      <c r="AP424" s="5"/>
      <c r="AQ424" s="5"/>
      <c r="AR424" s="5"/>
      <c r="AS424" s="5"/>
      <c r="AT424" s="5"/>
      <c r="AU424" s="6" t="s">
        <v>2317</v>
      </c>
      <c r="AV424" s="6" t="s">
        <v>2898</v>
      </c>
      <c r="AW424" s="6" t="s">
        <v>2898</v>
      </c>
      <c r="AX424" s="6" t="s">
        <v>2284</v>
      </c>
      <c r="AY424" s="6" t="s">
        <v>2411</v>
      </c>
      <c r="AZ424" s="6"/>
      <c r="BA424" s="6"/>
      <c r="BB424" s="6"/>
      <c r="BC424" s="6" t="s">
        <v>127</v>
      </c>
      <c r="BD424" s="6" t="s">
        <v>127</v>
      </c>
      <c r="BE424" s="6"/>
      <c r="BF424" s="6"/>
      <c r="BG424" s="6"/>
      <c r="BH424" s="6"/>
    </row>
    <row r="425" spans="1:60" ht="32" customHeight="1" x14ac:dyDescent="0.35">
      <c r="A425" s="13" t="s">
        <v>5768</v>
      </c>
      <c r="B425" s="6" t="s">
        <v>3901</v>
      </c>
      <c r="C425" s="5" t="s">
        <v>1652</v>
      </c>
      <c r="D425" s="5" t="s">
        <v>2185</v>
      </c>
      <c r="E425" s="5" t="s">
        <v>5769</v>
      </c>
      <c r="F425" s="5" t="s">
        <v>5738</v>
      </c>
      <c r="G425" s="5" t="s">
        <v>5770</v>
      </c>
      <c r="H425" s="5" t="s">
        <v>5771</v>
      </c>
      <c r="I425" s="5" t="s">
        <v>5772</v>
      </c>
      <c r="J425" s="17" t="s">
        <v>162</v>
      </c>
      <c r="K425" s="17" t="s">
        <v>95</v>
      </c>
      <c r="L425" s="5" t="s">
        <v>5773</v>
      </c>
      <c r="M425" s="6" t="s">
        <v>1493</v>
      </c>
      <c r="N425" s="6" t="s">
        <v>2170</v>
      </c>
      <c r="O425" s="6" t="s">
        <v>162</v>
      </c>
      <c r="P425" s="5" t="s">
        <v>2272</v>
      </c>
      <c r="Q425" s="17" t="s">
        <v>95</v>
      </c>
      <c r="R425" s="5" t="s">
        <v>5774</v>
      </c>
      <c r="S425" s="6" t="s">
        <v>2409</v>
      </c>
      <c r="T425" s="5" t="s">
        <v>2185</v>
      </c>
      <c r="U425" s="6"/>
      <c r="V425" s="6" t="s">
        <v>2440</v>
      </c>
      <c r="W425" s="6" t="s">
        <v>1699</v>
      </c>
      <c r="X425" s="5" t="s">
        <v>228</v>
      </c>
      <c r="Y425" s="5" t="s">
        <v>2170</v>
      </c>
      <c r="Z425" s="5" t="str">
        <f t="shared" si="12"/>
        <v>High</v>
      </c>
      <c r="AA425" s="5" t="s">
        <v>1319</v>
      </c>
      <c r="AB425" s="6" t="s">
        <v>1319</v>
      </c>
      <c r="AC425" s="6" t="s">
        <v>135</v>
      </c>
      <c r="AD425" s="5" t="s">
        <v>95</v>
      </c>
      <c r="AE425" s="5" t="s">
        <v>1720</v>
      </c>
      <c r="AF425" s="5" t="s">
        <v>1720</v>
      </c>
      <c r="AG425" s="5" t="s">
        <v>1720</v>
      </c>
      <c r="AH425" s="5" t="s">
        <v>1720</v>
      </c>
      <c r="AI425" s="6" t="str">
        <f t="shared" si="13"/>
        <v>No</v>
      </c>
      <c r="AJ425" s="6" t="s">
        <v>229</v>
      </c>
      <c r="AK425" s="6" t="s">
        <v>162</v>
      </c>
      <c r="AL425" s="6">
        <f>MATCH(AA425,{"Low","Medium","High"},0)*MATCH(AB425,{"Low","Medium","High"},0)*INDEX({3,2,2,1,1},MATCH(X425,{"Core","Vertical extension","Differentiator","Future","Adjacent"},0))</f>
        <v>12</v>
      </c>
      <c r="AM425" s="5"/>
      <c r="AN425" s="5"/>
      <c r="AO425" s="5"/>
      <c r="AP425" s="5"/>
      <c r="AQ425" s="5"/>
      <c r="AR425" s="5"/>
      <c r="AS425" s="5"/>
      <c r="AT425" s="5"/>
      <c r="AU425" s="6" t="s">
        <v>2317</v>
      </c>
      <c r="AV425" s="6" t="s">
        <v>2898</v>
      </c>
      <c r="AW425" s="6" t="s">
        <v>2898</v>
      </c>
      <c r="AX425" s="6" t="s">
        <v>2284</v>
      </c>
      <c r="AY425" s="6" t="s">
        <v>2411</v>
      </c>
      <c r="AZ425" s="6"/>
      <c r="BA425" s="6"/>
      <c r="BB425" s="6"/>
      <c r="BC425" s="6" t="s">
        <v>127</v>
      </c>
      <c r="BD425" s="6" t="s">
        <v>127</v>
      </c>
      <c r="BE425" s="6" t="s">
        <v>1477</v>
      </c>
      <c r="BF425" s="6" t="s">
        <v>95</v>
      </c>
      <c r="BG425" s="6" t="s">
        <v>5775</v>
      </c>
      <c r="BH425" s="6" t="s">
        <v>5776</v>
      </c>
    </row>
    <row r="426" spans="1:60" ht="32" customHeight="1" x14ac:dyDescent="0.35">
      <c r="A426" s="13" t="s">
        <v>5777</v>
      </c>
      <c r="B426" s="6" t="s">
        <v>3901</v>
      </c>
      <c r="C426" s="5" t="s">
        <v>1652</v>
      </c>
      <c r="D426" s="5" t="s">
        <v>2185</v>
      </c>
      <c r="E426" s="5" t="s">
        <v>5778</v>
      </c>
      <c r="F426" s="5" t="s">
        <v>5738</v>
      </c>
      <c r="G426" s="5" t="s">
        <v>5779</v>
      </c>
      <c r="H426" s="5" t="s">
        <v>5780</v>
      </c>
      <c r="I426" s="5" t="s">
        <v>5781</v>
      </c>
      <c r="J426" s="17" t="s">
        <v>162</v>
      </c>
      <c r="K426" s="17" t="s">
        <v>95</v>
      </c>
      <c r="L426" s="5" t="s">
        <v>5782</v>
      </c>
      <c r="M426" s="6" t="s">
        <v>1493</v>
      </c>
      <c r="N426" s="6" t="s">
        <v>2170</v>
      </c>
      <c r="O426" s="6" t="s">
        <v>162</v>
      </c>
      <c r="P426" s="5" t="s">
        <v>2272</v>
      </c>
      <c r="Q426" s="17" t="s">
        <v>95</v>
      </c>
      <c r="R426" s="5" t="s">
        <v>5783</v>
      </c>
      <c r="S426" s="6" t="s">
        <v>2409</v>
      </c>
      <c r="T426" s="5" t="s">
        <v>2185</v>
      </c>
      <c r="U426" s="6"/>
      <c r="V426" s="6" t="s">
        <v>2410</v>
      </c>
      <c r="W426" s="6" t="s">
        <v>1699</v>
      </c>
      <c r="X426" s="5" t="s">
        <v>228</v>
      </c>
      <c r="Y426" s="5" t="s">
        <v>2170</v>
      </c>
      <c r="Z426" s="5" t="str">
        <f t="shared" si="12"/>
        <v>High</v>
      </c>
      <c r="AA426" s="5" t="s">
        <v>1319</v>
      </c>
      <c r="AB426" s="6" t="s">
        <v>1319</v>
      </c>
      <c r="AC426" s="6" t="s">
        <v>135</v>
      </c>
      <c r="AD426" s="5" t="s">
        <v>95</v>
      </c>
      <c r="AE426" s="5" t="s">
        <v>1720</v>
      </c>
      <c r="AF426" s="5" t="s">
        <v>1720</v>
      </c>
      <c r="AG426" s="5" t="s">
        <v>1720</v>
      </c>
      <c r="AH426" s="5" t="s">
        <v>1720</v>
      </c>
      <c r="AI426" s="6" t="str">
        <f t="shared" si="13"/>
        <v>No</v>
      </c>
      <c r="AJ426" s="6" t="s">
        <v>229</v>
      </c>
      <c r="AK426" s="6" t="s">
        <v>162</v>
      </c>
      <c r="AL426" s="6">
        <f>MATCH(AA426,{"Low","Medium","High"},0)*MATCH(AB426,{"Low","Medium","High"},0)*INDEX({3,2,2,1,1},MATCH(X426,{"Core","Vertical extension","Differentiator","Future","Adjacent"},0))</f>
        <v>12</v>
      </c>
      <c r="AM426" s="5"/>
      <c r="AN426" s="5"/>
      <c r="AO426" s="5"/>
      <c r="AP426" s="5"/>
      <c r="AQ426" s="5"/>
      <c r="AR426" s="5"/>
      <c r="AS426" s="5"/>
      <c r="AT426" s="5"/>
      <c r="AU426" s="6" t="s">
        <v>2317</v>
      </c>
      <c r="AV426" s="6" t="s">
        <v>2898</v>
      </c>
      <c r="AW426" s="6" t="s">
        <v>2898</v>
      </c>
      <c r="AX426" s="6" t="s">
        <v>2284</v>
      </c>
      <c r="AY426" s="6" t="s">
        <v>2411</v>
      </c>
      <c r="AZ426" s="6"/>
      <c r="BA426" s="6"/>
      <c r="BB426" s="6"/>
      <c r="BC426" s="6" t="s">
        <v>127</v>
      </c>
      <c r="BD426" s="6" t="s">
        <v>127</v>
      </c>
      <c r="BE426" s="6" t="s">
        <v>1477</v>
      </c>
      <c r="BF426" s="6" t="s">
        <v>95</v>
      </c>
      <c r="BG426" s="6" t="s">
        <v>5784</v>
      </c>
      <c r="BH426" s="6" t="s">
        <v>5785</v>
      </c>
    </row>
    <row r="427" spans="1:60" ht="32" customHeight="1" x14ac:dyDescent="0.35">
      <c r="A427" s="13" t="s">
        <v>5786</v>
      </c>
      <c r="B427" s="6" t="s">
        <v>3901</v>
      </c>
      <c r="C427" s="5" t="s">
        <v>1652</v>
      </c>
      <c r="D427" s="5" t="s">
        <v>2185</v>
      </c>
      <c r="E427" s="5" t="s">
        <v>5787</v>
      </c>
      <c r="F427" s="5" t="s">
        <v>5738</v>
      </c>
      <c r="G427" s="5" t="s">
        <v>5788</v>
      </c>
      <c r="H427" s="5" t="s">
        <v>5789</v>
      </c>
      <c r="I427" s="5" t="s">
        <v>5790</v>
      </c>
      <c r="J427" s="17" t="s">
        <v>162</v>
      </c>
      <c r="K427" s="17" t="s">
        <v>95</v>
      </c>
      <c r="L427" s="5" t="s">
        <v>5791</v>
      </c>
      <c r="M427" s="6" t="s">
        <v>1493</v>
      </c>
      <c r="N427" s="6" t="s">
        <v>2170</v>
      </c>
      <c r="O427" s="6" t="s">
        <v>162</v>
      </c>
      <c r="P427" s="5" t="s">
        <v>2272</v>
      </c>
      <c r="Q427" s="17" t="s">
        <v>95</v>
      </c>
      <c r="R427" s="5" t="s">
        <v>5792</v>
      </c>
      <c r="S427" s="6" t="s">
        <v>2409</v>
      </c>
      <c r="T427" s="5" t="s">
        <v>2185</v>
      </c>
      <c r="U427" s="6"/>
      <c r="V427" s="6" t="s">
        <v>2410</v>
      </c>
      <c r="W427" s="6" t="s">
        <v>1699</v>
      </c>
      <c r="X427" s="5" t="s">
        <v>228</v>
      </c>
      <c r="Y427" s="5" t="s">
        <v>2170</v>
      </c>
      <c r="Z427" s="5" t="str">
        <f t="shared" si="12"/>
        <v>High</v>
      </c>
      <c r="AA427" s="5" t="s">
        <v>1319</v>
      </c>
      <c r="AB427" s="6" t="s">
        <v>1319</v>
      </c>
      <c r="AC427" s="6" t="s">
        <v>135</v>
      </c>
      <c r="AD427" s="5" t="s">
        <v>95</v>
      </c>
      <c r="AE427" s="5" t="s">
        <v>1720</v>
      </c>
      <c r="AF427" s="5" t="s">
        <v>1720</v>
      </c>
      <c r="AG427" s="5" t="s">
        <v>1720</v>
      </c>
      <c r="AH427" s="5" t="s">
        <v>1720</v>
      </c>
      <c r="AI427" s="6" t="str">
        <f t="shared" si="13"/>
        <v>No</v>
      </c>
      <c r="AJ427" s="6" t="s">
        <v>229</v>
      </c>
      <c r="AK427" s="6" t="s">
        <v>162</v>
      </c>
      <c r="AL427" s="6">
        <f>MATCH(AA427,{"Low","Medium","High"},0)*MATCH(AB427,{"Low","Medium","High"},0)*INDEX({3,2,2,1,1},MATCH(X427,{"Core","Vertical extension","Differentiator","Future","Adjacent"},0))</f>
        <v>12</v>
      </c>
      <c r="AM427" s="5"/>
      <c r="AN427" s="5"/>
      <c r="AO427" s="5"/>
      <c r="AP427" s="5"/>
      <c r="AQ427" s="5"/>
      <c r="AR427" s="5"/>
      <c r="AS427" s="5"/>
      <c r="AT427" s="5"/>
      <c r="AU427" s="6" t="s">
        <v>2317</v>
      </c>
      <c r="AV427" s="6" t="s">
        <v>2898</v>
      </c>
      <c r="AW427" s="6" t="s">
        <v>2898</v>
      </c>
      <c r="AX427" s="6" t="s">
        <v>2284</v>
      </c>
      <c r="AY427" s="6" t="s">
        <v>2411</v>
      </c>
      <c r="AZ427" s="6"/>
      <c r="BA427" s="6"/>
      <c r="BB427" s="6"/>
      <c r="BC427" s="6" t="s">
        <v>127</v>
      </c>
      <c r="BD427" s="6" t="s">
        <v>127</v>
      </c>
      <c r="BE427" s="6" t="s">
        <v>1477</v>
      </c>
      <c r="BF427" s="6" t="s">
        <v>95</v>
      </c>
      <c r="BG427" s="6" t="s">
        <v>5793</v>
      </c>
      <c r="BH427" s="6" t="s">
        <v>5794</v>
      </c>
    </row>
    <row r="428" spans="1:60" ht="32" customHeight="1" x14ac:dyDescent="0.35">
      <c r="A428" s="13" t="s">
        <v>5795</v>
      </c>
      <c r="B428" s="6" t="s">
        <v>3901</v>
      </c>
      <c r="C428" s="5" t="s">
        <v>1652</v>
      </c>
      <c r="D428" s="5" t="s">
        <v>2185</v>
      </c>
      <c r="E428" s="5" t="s">
        <v>5796</v>
      </c>
      <c r="F428" s="5" t="s">
        <v>5738</v>
      </c>
      <c r="G428" s="5" t="s">
        <v>3173</v>
      </c>
      <c r="H428" s="5" t="s">
        <v>5797</v>
      </c>
      <c r="I428" s="5" t="s">
        <v>5798</v>
      </c>
      <c r="J428" s="17" t="s">
        <v>162</v>
      </c>
      <c r="K428" s="17" t="s">
        <v>1477</v>
      </c>
      <c r="L428" s="5" t="s">
        <v>5799</v>
      </c>
      <c r="M428" s="6" t="s">
        <v>1493</v>
      </c>
      <c r="N428" s="6" t="s">
        <v>2170</v>
      </c>
      <c r="O428" s="6" t="s">
        <v>162</v>
      </c>
      <c r="P428" s="5" t="s">
        <v>2272</v>
      </c>
      <c r="Q428" s="17" t="s">
        <v>2273</v>
      </c>
      <c r="R428" s="5" t="s">
        <v>5800</v>
      </c>
      <c r="S428" s="6" t="s">
        <v>2409</v>
      </c>
      <c r="T428" s="5" t="s">
        <v>2185</v>
      </c>
      <c r="U428" s="6"/>
      <c r="V428" s="6" t="s">
        <v>2410</v>
      </c>
      <c r="W428" s="6" t="s">
        <v>1699</v>
      </c>
      <c r="X428" s="5" t="s">
        <v>228</v>
      </c>
      <c r="Y428" s="5" t="s">
        <v>2170</v>
      </c>
      <c r="Z428" s="5" t="str">
        <f t="shared" si="12"/>
        <v>High</v>
      </c>
      <c r="AA428" s="5" t="s">
        <v>1319</v>
      </c>
      <c r="AB428" s="6" t="s">
        <v>1319</v>
      </c>
      <c r="AC428" s="6" t="s">
        <v>135</v>
      </c>
      <c r="AD428" s="5" t="s">
        <v>2278</v>
      </c>
      <c r="AE428" s="5" t="s">
        <v>1720</v>
      </c>
      <c r="AF428" s="5" t="s">
        <v>1720</v>
      </c>
      <c r="AG428" s="5" t="s">
        <v>1720</v>
      </c>
      <c r="AH428" s="5" t="s">
        <v>1720</v>
      </c>
      <c r="AI428" s="6" t="str">
        <f t="shared" si="13"/>
        <v>No</v>
      </c>
      <c r="AJ428" s="6" t="s">
        <v>2298</v>
      </c>
      <c r="AK428" s="6" t="s">
        <v>162</v>
      </c>
      <c r="AL428" s="6">
        <f>MATCH(AA428,{"Low","Medium","High"},0)*MATCH(AB428,{"Low","Medium","High"},0)*INDEX({3,2,2,1,1},MATCH(X428,{"Core","Vertical extension","Differentiator","Future","Adjacent"},0))</f>
        <v>12</v>
      </c>
      <c r="AM428" s="5"/>
      <c r="AN428" s="5"/>
      <c r="AO428" s="5"/>
      <c r="AP428" s="5"/>
      <c r="AQ428" s="5"/>
      <c r="AR428" s="5"/>
      <c r="AS428" s="5"/>
      <c r="AT428" s="5"/>
      <c r="AU428" s="6" t="s">
        <v>2317</v>
      </c>
      <c r="AV428" s="6" t="s">
        <v>2898</v>
      </c>
      <c r="AW428" s="6" t="s">
        <v>2898</v>
      </c>
      <c r="AX428" s="6" t="s">
        <v>2284</v>
      </c>
      <c r="AY428" s="6" t="s">
        <v>2411</v>
      </c>
      <c r="AZ428" s="6"/>
      <c r="BA428" s="6" t="s">
        <v>3179</v>
      </c>
      <c r="BB428" s="6" t="s">
        <v>3180</v>
      </c>
      <c r="BC428" s="6" t="s">
        <v>127</v>
      </c>
      <c r="BD428" s="6" t="s">
        <v>127</v>
      </c>
      <c r="BE428" s="6" t="s">
        <v>1477</v>
      </c>
      <c r="BF428" s="6" t="s">
        <v>2286</v>
      </c>
      <c r="BG428" s="6" t="s">
        <v>5801</v>
      </c>
      <c r="BH428" s="6" t="s">
        <v>5802</v>
      </c>
    </row>
    <row r="429" spans="1:60" ht="32" customHeight="1" x14ac:dyDescent="0.35">
      <c r="A429" s="13" t="s">
        <v>5803</v>
      </c>
      <c r="B429" s="6" t="s">
        <v>3901</v>
      </c>
      <c r="C429" s="5" t="s">
        <v>1652</v>
      </c>
      <c r="D429" s="5" t="s">
        <v>2185</v>
      </c>
      <c r="E429" s="5" t="s">
        <v>5804</v>
      </c>
      <c r="F429" s="5" t="s">
        <v>5738</v>
      </c>
      <c r="G429" s="5" t="s">
        <v>3174</v>
      </c>
      <c r="H429" s="5" t="s">
        <v>5805</v>
      </c>
      <c r="I429" s="5" t="s">
        <v>5806</v>
      </c>
      <c r="J429" s="17" t="s">
        <v>162</v>
      </c>
      <c r="K429" s="17" t="s">
        <v>163</v>
      </c>
      <c r="L429" s="5" t="s">
        <v>5807</v>
      </c>
      <c r="M429" s="6" t="s">
        <v>1493</v>
      </c>
      <c r="N429" s="6" t="s">
        <v>2170</v>
      </c>
      <c r="O429" s="6" t="s">
        <v>162</v>
      </c>
      <c r="P429" s="5" t="s">
        <v>2272</v>
      </c>
      <c r="Q429" s="17" t="s">
        <v>163</v>
      </c>
      <c r="R429" s="5" t="s">
        <v>5808</v>
      </c>
      <c r="S429" s="6" t="s">
        <v>2409</v>
      </c>
      <c r="T429" s="5" t="s">
        <v>2185</v>
      </c>
      <c r="U429" s="6"/>
      <c r="V429" s="6" t="s">
        <v>2410</v>
      </c>
      <c r="W429" s="6" t="s">
        <v>1699</v>
      </c>
      <c r="X429" s="5" t="s">
        <v>228</v>
      </c>
      <c r="Y429" s="5" t="s">
        <v>2170</v>
      </c>
      <c r="Z429" s="5" t="str">
        <f t="shared" si="12"/>
        <v>High</v>
      </c>
      <c r="AA429" s="5" t="s">
        <v>1319</v>
      </c>
      <c r="AB429" s="6" t="s">
        <v>1319</v>
      </c>
      <c r="AC429" s="6" t="s">
        <v>135</v>
      </c>
      <c r="AD429" s="5" t="s">
        <v>1805</v>
      </c>
      <c r="AE429" s="5" t="s">
        <v>1720</v>
      </c>
      <c r="AF429" s="5" t="s">
        <v>1720</v>
      </c>
      <c r="AG429" s="5" t="s">
        <v>1720</v>
      </c>
      <c r="AH429" s="5" t="s">
        <v>1720</v>
      </c>
      <c r="AI429" s="6" t="str">
        <f t="shared" si="13"/>
        <v>No</v>
      </c>
      <c r="AJ429" s="6" t="s">
        <v>287</v>
      </c>
      <c r="AK429" s="6" t="s">
        <v>162</v>
      </c>
      <c r="AL429" s="6">
        <f>MATCH(AA429,{"Low","Medium","High"},0)*MATCH(AB429,{"Low","Medium","High"},0)*INDEX({3,2,2,1,1},MATCH(X429,{"Core","Vertical extension","Differentiator","Future","Adjacent"},0))</f>
        <v>12</v>
      </c>
      <c r="AM429" s="5"/>
      <c r="AN429" s="5"/>
      <c r="AO429" s="5"/>
      <c r="AP429" s="5"/>
      <c r="AQ429" s="5"/>
      <c r="AR429" s="5"/>
      <c r="AS429" s="5"/>
      <c r="AT429" s="5"/>
      <c r="AU429" s="6" t="s">
        <v>2317</v>
      </c>
      <c r="AV429" s="6" t="s">
        <v>2898</v>
      </c>
      <c r="AW429" s="6" t="s">
        <v>2898</v>
      </c>
      <c r="AX429" s="6" t="s">
        <v>2284</v>
      </c>
      <c r="AY429" s="6" t="s">
        <v>2411</v>
      </c>
      <c r="AZ429" s="6"/>
      <c r="BA429" s="6"/>
      <c r="BB429" s="6"/>
      <c r="BC429" s="6" t="s">
        <v>127</v>
      </c>
      <c r="BD429" s="6" t="s">
        <v>127</v>
      </c>
      <c r="BE429" s="6" t="s">
        <v>1477</v>
      </c>
      <c r="BF429" s="6" t="s">
        <v>288</v>
      </c>
      <c r="BG429" s="6" t="s">
        <v>5809</v>
      </c>
      <c r="BH429" s="6" t="s">
        <v>5810</v>
      </c>
    </row>
    <row r="430" spans="1:60" ht="32" customHeight="1" x14ac:dyDescent="0.35">
      <c r="A430" s="13" t="s">
        <v>5811</v>
      </c>
      <c r="B430" s="6" t="s">
        <v>3901</v>
      </c>
      <c r="C430" s="5" t="s">
        <v>1652</v>
      </c>
      <c r="D430" s="5" t="s">
        <v>2185</v>
      </c>
      <c r="E430" s="5" t="s">
        <v>5812</v>
      </c>
      <c r="F430" s="5" t="s">
        <v>5738</v>
      </c>
      <c r="G430" s="5" t="s">
        <v>3173</v>
      </c>
      <c r="H430" s="5" t="s">
        <v>5813</v>
      </c>
      <c r="I430" s="5" t="s">
        <v>5814</v>
      </c>
      <c r="J430" s="17" t="s">
        <v>162</v>
      </c>
      <c r="K430" s="17" t="s">
        <v>1477</v>
      </c>
      <c r="L430" s="5" t="s">
        <v>5815</v>
      </c>
      <c r="M430" s="6" t="s">
        <v>1493</v>
      </c>
      <c r="N430" s="6" t="s">
        <v>2170</v>
      </c>
      <c r="O430" s="6" t="s">
        <v>162</v>
      </c>
      <c r="P430" s="5" t="s">
        <v>2272</v>
      </c>
      <c r="Q430" s="17" t="s">
        <v>2273</v>
      </c>
      <c r="R430" s="5" t="s">
        <v>5816</v>
      </c>
      <c r="S430" s="6" t="s">
        <v>2409</v>
      </c>
      <c r="T430" s="5" t="s">
        <v>2185</v>
      </c>
      <c r="U430" s="6"/>
      <c r="V430" s="6" t="s">
        <v>2410</v>
      </c>
      <c r="W430" s="6" t="s">
        <v>1699</v>
      </c>
      <c r="X430" s="5" t="s">
        <v>228</v>
      </c>
      <c r="Y430" s="5" t="s">
        <v>2170</v>
      </c>
      <c r="Z430" s="5" t="str">
        <f t="shared" si="12"/>
        <v>High</v>
      </c>
      <c r="AA430" s="5" t="s">
        <v>1319</v>
      </c>
      <c r="AB430" s="6" t="s">
        <v>1319</v>
      </c>
      <c r="AC430" s="6" t="s">
        <v>135</v>
      </c>
      <c r="AD430" s="5" t="s">
        <v>2278</v>
      </c>
      <c r="AE430" s="5" t="s">
        <v>1720</v>
      </c>
      <c r="AF430" s="5" t="s">
        <v>1720</v>
      </c>
      <c r="AG430" s="5" t="s">
        <v>1720</v>
      </c>
      <c r="AH430" s="5" t="s">
        <v>1720</v>
      </c>
      <c r="AI430" s="6" t="str">
        <f t="shared" si="13"/>
        <v>No</v>
      </c>
      <c r="AJ430" s="6" t="s">
        <v>2298</v>
      </c>
      <c r="AK430" s="6" t="s">
        <v>162</v>
      </c>
      <c r="AL430" s="6">
        <f>MATCH(AA430,{"Low","Medium","High"},0)*MATCH(AB430,{"Low","Medium","High"},0)*INDEX({3,2,2,1,1},MATCH(X430,{"Core","Vertical extension","Differentiator","Future","Adjacent"},0))</f>
        <v>12</v>
      </c>
      <c r="AM430" s="5"/>
      <c r="AN430" s="5"/>
      <c r="AO430" s="5"/>
      <c r="AP430" s="5"/>
      <c r="AQ430" s="5"/>
      <c r="AR430" s="5"/>
      <c r="AS430" s="5"/>
      <c r="AT430" s="5"/>
      <c r="AU430" s="6" t="s">
        <v>2317</v>
      </c>
      <c r="AV430" s="6" t="s">
        <v>2898</v>
      </c>
      <c r="AW430" s="6" t="s">
        <v>2898</v>
      </c>
      <c r="AX430" s="6" t="s">
        <v>2284</v>
      </c>
      <c r="AY430" s="6" t="s">
        <v>2411</v>
      </c>
      <c r="AZ430" s="6"/>
      <c r="BA430" s="6"/>
      <c r="BB430" s="6"/>
      <c r="BC430" s="6" t="s">
        <v>127</v>
      </c>
      <c r="BD430" s="6" t="s">
        <v>127</v>
      </c>
      <c r="BE430" s="6" t="s">
        <v>1477</v>
      </c>
      <c r="BF430" s="6" t="s">
        <v>2286</v>
      </c>
      <c r="BG430" s="6" t="s">
        <v>5817</v>
      </c>
      <c r="BH430" s="6" t="s">
        <v>5818</v>
      </c>
    </row>
    <row r="431" spans="1:60" ht="32" customHeight="1" x14ac:dyDescent="0.35">
      <c r="A431" s="13" t="s">
        <v>5819</v>
      </c>
      <c r="B431" s="6" t="s">
        <v>3901</v>
      </c>
      <c r="C431" s="5" t="s">
        <v>1652</v>
      </c>
      <c r="D431" s="5" t="s">
        <v>2185</v>
      </c>
      <c r="E431" s="5" t="s">
        <v>5820</v>
      </c>
      <c r="F431" s="5" t="s">
        <v>5738</v>
      </c>
      <c r="G431" s="5" t="s">
        <v>5821</v>
      </c>
      <c r="H431" s="5" t="s">
        <v>5822</v>
      </c>
      <c r="I431" s="5" t="s">
        <v>5823</v>
      </c>
      <c r="J431" s="17" t="s">
        <v>162</v>
      </c>
      <c r="K431" s="17" t="s">
        <v>95</v>
      </c>
      <c r="L431" s="5" t="s">
        <v>5824</v>
      </c>
      <c r="M431" s="6" t="s">
        <v>1493</v>
      </c>
      <c r="N431" s="6" t="s">
        <v>2170</v>
      </c>
      <c r="O431" s="6" t="s">
        <v>162</v>
      </c>
      <c r="P431" s="5" t="s">
        <v>2272</v>
      </c>
      <c r="Q431" s="17" t="s">
        <v>95</v>
      </c>
      <c r="R431" s="5" t="s">
        <v>5825</v>
      </c>
      <c r="S431" s="6" t="s">
        <v>2409</v>
      </c>
      <c r="T431" s="5" t="s">
        <v>2185</v>
      </c>
      <c r="U431" s="6"/>
      <c r="V431" s="6" t="s">
        <v>2410</v>
      </c>
      <c r="W431" s="6" t="s">
        <v>1699</v>
      </c>
      <c r="X431" s="5" t="s">
        <v>228</v>
      </c>
      <c r="Y431" s="5" t="s">
        <v>2170</v>
      </c>
      <c r="Z431" s="5" t="str">
        <f t="shared" si="12"/>
        <v>High</v>
      </c>
      <c r="AA431" s="5" t="s">
        <v>1319</v>
      </c>
      <c r="AB431" s="6" t="s">
        <v>1319</v>
      </c>
      <c r="AC431" s="6" t="s">
        <v>135</v>
      </c>
      <c r="AD431" s="5" t="s">
        <v>95</v>
      </c>
      <c r="AE431" s="5" t="s">
        <v>1720</v>
      </c>
      <c r="AF431" s="5" t="s">
        <v>1720</v>
      </c>
      <c r="AG431" s="5" t="s">
        <v>1720</v>
      </c>
      <c r="AH431" s="5" t="s">
        <v>1720</v>
      </c>
      <c r="AI431" s="6" t="str">
        <f t="shared" si="13"/>
        <v>No</v>
      </c>
      <c r="AJ431" s="6" t="s">
        <v>229</v>
      </c>
      <c r="AK431" s="6" t="s">
        <v>162</v>
      </c>
      <c r="AL431" s="6">
        <f>MATCH(AA431,{"Low","Medium","High"},0)*MATCH(AB431,{"Low","Medium","High"},0)*INDEX({3,2,2,1,1},MATCH(X431,{"Core","Vertical extension","Differentiator","Future","Adjacent"},0))</f>
        <v>12</v>
      </c>
      <c r="AM431" s="5"/>
      <c r="AN431" s="5"/>
      <c r="AO431" s="5"/>
      <c r="AP431" s="5"/>
      <c r="AQ431" s="5"/>
      <c r="AR431" s="5"/>
      <c r="AS431" s="5"/>
      <c r="AT431" s="5"/>
      <c r="AU431" s="6" t="s">
        <v>2317</v>
      </c>
      <c r="AV431" s="6" t="s">
        <v>2898</v>
      </c>
      <c r="AW431" s="6" t="s">
        <v>2898</v>
      </c>
      <c r="AX431" s="6" t="s">
        <v>2284</v>
      </c>
      <c r="AY431" s="6" t="s">
        <v>2411</v>
      </c>
      <c r="AZ431" s="6"/>
      <c r="BA431" s="6"/>
      <c r="BB431" s="6"/>
      <c r="BC431" s="6" t="s">
        <v>127</v>
      </c>
      <c r="BD431" s="6" t="s">
        <v>127</v>
      </c>
      <c r="BE431" s="6" t="s">
        <v>1477</v>
      </c>
      <c r="BF431" s="6" t="s">
        <v>95</v>
      </c>
      <c r="BG431" s="6" t="s">
        <v>5826</v>
      </c>
      <c r="BH431" s="6" t="s">
        <v>5827</v>
      </c>
    </row>
    <row r="432" spans="1:60" ht="32" customHeight="1" x14ac:dyDescent="0.35">
      <c r="A432" s="13" t="s">
        <v>5828</v>
      </c>
      <c r="B432" s="6" t="s">
        <v>3901</v>
      </c>
      <c r="C432" s="5" t="s">
        <v>1652</v>
      </c>
      <c r="D432" s="5" t="s">
        <v>2185</v>
      </c>
      <c r="E432" s="5" t="s">
        <v>5829</v>
      </c>
      <c r="F432" s="5" t="s">
        <v>5738</v>
      </c>
      <c r="G432" s="5" t="s">
        <v>5739</v>
      </c>
      <c r="H432" s="5" t="s">
        <v>5830</v>
      </c>
      <c r="I432" s="5" t="s">
        <v>5831</v>
      </c>
      <c r="J432" s="17" t="s">
        <v>162</v>
      </c>
      <c r="K432" s="17" t="s">
        <v>1477</v>
      </c>
      <c r="L432" s="5" t="s">
        <v>5832</v>
      </c>
      <c r="M432" s="6" t="s">
        <v>1493</v>
      </c>
      <c r="N432" s="6" t="s">
        <v>2170</v>
      </c>
      <c r="O432" s="6" t="s">
        <v>162</v>
      </c>
      <c r="P432" s="5" t="s">
        <v>2272</v>
      </c>
      <c r="Q432" s="17" t="s">
        <v>2273</v>
      </c>
      <c r="R432" s="5" t="s">
        <v>5833</v>
      </c>
      <c r="S432" s="6" t="s">
        <v>2409</v>
      </c>
      <c r="T432" s="5" t="s">
        <v>2185</v>
      </c>
      <c r="U432" s="6"/>
      <c r="V432" s="6" t="s">
        <v>2410</v>
      </c>
      <c r="W432" s="6" t="s">
        <v>1699</v>
      </c>
      <c r="X432" s="5" t="s">
        <v>228</v>
      </c>
      <c r="Y432" s="5" t="s">
        <v>2170</v>
      </c>
      <c r="Z432" s="5" t="str">
        <f t="shared" si="12"/>
        <v>High</v>
      </c>
      <c r="AA432" s="5" t="s">
        <v>1319</v>
      </c>
      <c r="AB432" s="6" t="s">
        <v>1319</v>
      </c>
      <c r="AC432" s="6" t="s">
        <v>135</v>
      </c>
      <c r="AD432" s="5" t="s">
        <v>2278</v>
      </c>
      <c r="AE432" s="5" t="s">
        <v>1720</v>
      </c>
      <c r="AF432" s="5" t="s">
        <v>1720</v>
      </c>
      <c r="AG432" s="5" t="s">
        <v>1720</v>
      </c>
      <c r="AH432" s="5" t="s">
        <v>1720</v>
      </c>
      <c r="AI432" s="6" t="str">
        <f t="shared" si="13"/>
        <v>No</v>
      </c>
      <c r="AJ432" s="6" t="s">
        <v>2298</v>
      </c>
      <c r="AK432" s="6" t="s">
        <v>162</v>
      </c>
      <c r="AL432" s="6">
        <f>MATCH(AA432,{"Low","Medium","High"},0)*MATCH(AB432,{"Low","Medium","High"},0)*INDEX({3,2,2,1,1},MATCH(X432,{"Core","Vertical extension","Differentiator","Future","Adjacent"},0))</f>
        <v>12</v>
      </c>
      <c r="AM432" s="5"/>
      <c r="AN432" s="5"/>
      <c r="AO432" s="5"/>
      <c r="AP432" s="5"/>
      <c r="AQ432" s="5"/>
      <c r="AR432" s="5"/>
      <c r="AS432" s="5"/>
      <c r="AT432" s="5"/>
      <c r="AU432" s="6" t="s">
        <v>2317</v>
      </c>
      <c r="AV432" s="6" t="s">
        <v>2898</v>
      </c>
      <c r="AW432" s="6" t="s">
        <v>2898</v>
      </c>
      <c r="AX432" s="6" t="s">
        <v>2284</v>
      </c>
      <c r="AY432" s="6" t="s">
        <v>2411</v>
      </c>
      <c r="AZ432" s="6"/>
      <c r="BA432" s="6"/>
      <c r="BB432" s="6"/>
      <c r="BC432" s="6" t="s">
        <v>127</v>
      </c>
      <c r="BD432" s="6" t="s">
        <v>127</v>
      </c>
      <c r="BE432" s="6" t="s">
        <v>1477</v>
      </c>
      <c r="BF432" s="6" t="s">
        <v>2286</v>
      </c>
      <c r="BG432" s="6" t="s">
        <v>5834</v>
      </c>
      <c r="BH432" s="6" t="s">
        <v>5835</v>
      </c>
    </row>
    <row r="433" spans="1:60" ht="32" customHeight="1" x14ac:dyDescent="0.35">
      <c r="A433" s="13" t="s">
        <v>103</v>
      </c>
      <c r="B433" s="6" t="s">
        <v>3901</v>
      </c>
      <c r="C433" s="5" t="s">
        <v>1652</v>
      </c>
      <c r="D433" s="5" t="s">
        <v>2185</v>
      </c>
      <c r="E433" s="5" t="s">
        <v>274</v>
      </c>
      <c r="F433" s="5" t="s">
        <v>5738</v>
      </c>
      <c r="G433" s="5" t="s">
        <v>3867</v>
      </c>
      <c r="H433" s="5" t="s">
        <v>5836</v>
      </c>
      <c r="I433" s="5" t="s">
        <v>5837</v>
      </c>
      <c r="J433" s="16" t="s">
        <v>94</v>
      </c>
      <c r="K433" s="20" t="s">
        <v>95</v>
      </c>
      <c r="L433" s="5" t="s">
        <v>5838</v>
      </c>
      <c r="M433" s="6" t="s">
        <v>1493</v>
      </c>
      <c r="N433" s="6" t="s">
        <v>2170</v>
      </c>
      <c r="O433" s="6" t="s">
        <v>94</v>
      </c>
      <c r="P433" s="5" t="s">
        <v>2272</v>
      </c>
      <c r="Q433" s="20" t="s">
        <v>95</v>
      </c>
      <c r="R433" s="5" t="s">
        <v>5839</v>
      </c>
      <c r="S433" s="6" t="s">
        <v>2409</v>
      </c>
      <c r="T433" s="5" t="s">
        <v>2185</v>
      </c>
      <c r="U433" s="6"/>
      <c r="V433" s="6" t="s">
        <v>2440</v>
      </c>
      <c r="W433" s="6" t="s">
        <v>1699</v>
      </c>
      <c r="X433" s="5" t="s">
        <v>228</v>
      </c>
      <c r="Y433" s="5" t="s">
        <v>2170</v>
      </c>
      <c r="Z433" s="5" t="str">
        <f t="shared" si="12"/>
        <v>Critical</v>
      </c>
      <c r="AA433" s="5" t="s">
        <v>1302</v>
      </c>
      <c r="AB433" s="6" t="s">
        <v>1319</v>
      </c>
      <c r="AC433" s="6" t="s">
        <v>99</v>
      </c>
      <c r="AD433" s="5" t="s">
        <v>95</v>
      </c>
      <c r="AE433" s="5" t="s">
        <v>1720</v>
      </c>
      <c r="AF433" s="5" t="s">
        <v>1720</v>
      </c>
      <c r="AG433" s="5" t="s">
        <v>1720</v>
      </c>
      <c r="AH433" s="5" t="s">
        <v>1720</v>
      </c>
      <c r="AI433" s="6" t="str">
        <f t="shared" si="13"/>
        <v>No</v>
      </c>
      <c r="AJ433" s="6" t="s">
        <v>2279</v>
      </c>
      <c r="AK433" s="6" t="s">
        <v>94</v>
      </c>
      <c r="AL433" s="6">
        <f>MATCH(AA433,{"Low","Medium","High"},0)*MATCH(AB433,{"Low","Medium","High"},0)*INDEX({3,2,2,1,1},MATCH(X433,{"Core","Vertical extension","Differentiator","Future","Adjacent"},0))</f>
        <v>18</v>
      </c>
      <c r="AM433" s="5"/>
      <c r="AN433" s="5"/>
      <c r="AO433" s="5"/>
      <c r="AP433" s="5"/>
      <c r="AQ433" s="5"/>
      <c r="AR433" s="5" t="s">
        <v>5840</v>
      </c>
      <c r="AS433" s="51">
        <v>46300</v>
      </c>
      <c r="AT433" s="5" t="s">
        <v>2760</v>
      </c>
      <c r="AU433" s="6" t="s">
        <v>2282</v>
      </c>
      <c r="AV433" s="6" t="s">
        <v>2898</v>
      </c>
      <c r="AW433" s="6" t="s">
        <v>2898</v>
      </c>
      <c r="AX433" s="6" t="s">
        <v>2284</v>
      </c>
      <c r="AY433" s="6" t="s">
        <v>2411</v>
      </c>
      <c r="AZ433" s="6"/>
      <c r="BA433" s="6" t="s">
        <v>5841</v>
      </c>
      <c r="BB433" s="6"/>
      <c r="BC433" s="6" t="s">
        <v>127</v>
      </c>
      <c r="BD433" s="6" t="s">
        <v>127</v>
      </c>
      <c r="BE433" s="6" t="s">
        <v>95</v>
      </c>
      <c r="BF433" s="6" t="s">
        <v>95</v>
      </c>
      <c r="BG433" s="6" t="s">
        <v>5842</v>
      </c>
      <c r="BH433" s="6" t="s">
        <v>275</v>
      </c>
    </row>
    <row r="434" spans="1:60" ht="32" customHeight="1" x14ac:dyDescent="0.35">
      <c r="A434" s="13" t="s">
        <v>5843</v>
      </c>
      <c r="B434" s="6" t="s">
        <v>3901</v>
      </c>
      <c r="C434" s="5" t="s">
        <v>1652</v>
      </c>
      <c r="D434" s="5" t="s">
        <v>2185</v>
      </c>
      <c r="E434" s="5" t="s">
        <v>5844</v>
      </c>
      <c r="F434" s="5" t="s">
        <v>4752</v>
      </c>
      <c r="G434" s="5" t="s">
        <v>3209</v>
      </c>
      <c r="H434" s="5" t="s">
        <v>5845</v>
      </c>
      <c r="I434" s="5" t="s">
        <v>5846</v>
      </c>
      <c r="J434" s="17" t="s">
        <v>162</v>
      </c>
      <c r="K434" s="17" t="s">
        <v>95</v>
      </c>
      <c r="L434" s="5" t="s">
        <v>5847</v>
      </c>
      <c r="M434" s="6" t="s">
        <v>1493</v>
      </c>
      <c r="N434" s="6" t="s">
        <v>2170</v>
      </c>
      <c r="O434" s="6" t="s">
        <v>162</v>
      </c>
      <c r="P434" s="5" t="s">
        <v>2272</v>
      </c>
      <c r="Q434" s="17" t="s">
        <v>95</v>
      </c>
      <c r="R434" s="5" t="s">
        <v>5848</v>
      </c>
      <c r="S434" s="6" t="s">
        <v>2409</v>
      </c>
      <c r="T434" s="5" t="s">
        <v>2185</v>
      </c>
      <c r="U434" s="6"/>
      <c r="V434" s="6" t="s">
        <v>2277</v>
      </c>
      <c r="W434" s="6" t="s">
        <v>1699</v>
      </c>
      <c r="X434" s="5" t="s">
        <v>228</v>
      </c>
      <c r="Y434" s="5" t="s">
        <v>2170</v>
      </c>
      <c r="Z434" s="5" t="str">
        <f t="shared" si="12"/>
        <v>High</v>
      </c>
      <c r="AA434" s="5" t="s">
        <v>1319</v>
      </c>
      <c r="AB434" s="6" t="s">
        <v>1319</v>
      </c>
      <c r="AC434" s="6" t="s">
        <v>135</v>
      </c>
      <c r="AD434" s="5" t="s">
        <v>95</v>
      </c>
      <c r="AE434" s="5" t="s">
        <v>1720</v>
      </c>
      <c r="AF434" s="5" t="s">
        <v>1720</v>
      </c>
      <c r="AG434" s="5" t="s">
        <v>1720</v>
      </c>
      <c r="AH434" s="5" t="s">
        <v>1720</v>
      </c>
      <c r="AI434" s="6" t="str">
        <f t="shared" si="13"/>
        <v>No</v>
      </c>
      <c r="AJ434" s="6" t="s">
        <v>229</v>
      </c>
      <c r="AK434" s="6" t="s">
        <v>162</v>
      </c>
      <c r="AL434" s="6">
        <f>MATCH(AA434,{"Low","Medium","High"},0)*MATCH(AB434,{"Low","Medium","High"},0)*INDEX({3,2,2,1,1},MATCH(X434,{"Core","Vertical extension","Differentiator","Future","Adjacent"},0))</f>
        <v>12</v>
      </c>
      <c r="AM434" s="5"/>
      <c r="AN434" s="5"/>
      <c r="AO434" s="5"/>
      <c r="AP434" s="5"/>
      <c r="AQ434" s="5"/>
      <c r="AR434" s="5"/>
      <c r="AS434" s="5"/>
      <c r="AT434" s="5"/>
      <c r="AU434" s="6" t="s">
        <v>2317</v>
      </c>
      <c r="AV434" s="6" t="s">
        <v>3968</v>
      </c>
      <c r="AW434" s="6" t="s">
        <v>3968</v>
      </c>
      <c r="AX434" s="6" t="s">
        <v>2284</v>
      </c>
      <c r="AY434" s="6" t="s">
        <v>2411</v>
      </c>
      <c r="AZ434" s="6"/>
      <c r="BA434" s="6"/>
      <c r="BB434" s="6"/>
      <c r="BC434" s="6" t="s">
        <v>127</v>
      </c>
      <c r="BD434" s="6" t="s">
        <v>127</v>
      </c>
      <c r="BE434" s="6" t="s">
        <v>1477</v>
      </c>
      <c r="BF434" s="6" t="s">
        <v>95</v>
      </c>
      <c r="BG434" s="6" t="s">
        <v>5849</v>
      </c>
      <c r="BH434" s="6" t="s">
        <v>5850</v>
      </c>
    </row>
    <row r="435" spans="1:60" ht="32" customHeight="1" x14ac:dyDescent="0.35">
      <c r="A435" s="13" t="s">
        <v>5851</v>
      </c>
      <c r="B435" s="6" t="s">
        <v>3901</v>
      </c>
      <c r="C435" s="5" t="s">
        <v>1652</v>
      </c>
      <c r="D435" s="5" t="s">
        <v>2185</v>
      </c>
      <c r="E435" s="5" t="s">
        <v>5852</v>
      </c>
      <c r="F435" s="5" t="s">
        <v>5853</v>
      </c>
      <c r="G435" s="5" t="s">
        <v>3209</v>
      </c>
      <c r="H435" s="5" t="s">
        <v>5854</v>
      </c>
      <c r="I435" s="5" t="s">
        <v>5855</v>
      </c>
      <c r="J435" s="17" t="s">
        <v>162</v>
      </c>
      <c r="K435" s="17" t="s">
        <v>1477</v>
      </c>
      <c r="L435" s="5" t="s">
        <v>5856</v>
      </c>
      <c r="M435" s="6" t="s">
        <v>1493</v>
      </c>
      <c r="N435" s="6" t="s">
        <v>2170</v>
      </c>
      <c r="O435" s="6" t="s">
        <v>162</v>
      </c>
      <c r="P435" s="5" t="s">
        <v>2272</v>
      </c>
      <c r="Q435" s="17" t="s">
        <v>2273</v>
      </c>
      <c r="R435" s="5" t="s">
        <v>5857</v>
      </c>
      <c r="S435" s="6" t="s">
        <v>2409</v>
      </c>
      <c r="T435" s="5" t="s">
        <v>2185</v>
      </c>
      <c r="U435" s="6"/>
      <c r="V435" s="6" t="s">
        <v>2410</v>
      </c>
      <c r="W435" s="6" t="s">
        <v>1699</v>
      </c>
      <c r="X435" s="5" t="s">
        <v>228</v>
      </c>
      <c r="Y435" s="5" t="s">
        <v>2170</v>
      </c>
      <c r="Z435" s="5" t="str">
        <f t="shared" si="12"/>
        <v>High</v>
      </c>
      <c r="AA435" s="5" t="s">
        <v>1319</v>
      </c>
      <c r="AB435" s="6" t="s">
        <v>1319</v>
      </c>
      <c r="AC435" s="6" t="s">
        <v>135</v>
      </c>
      <c r="AD435" s="5" t="s">
        <v>2278</v>
      </c>
      <c r="AE435" s="5" t="s">
        <v>1720</v>
      </c>
      <c r="AF435" s="5" t="s">
        <v>1720</v>
      </c>
      <c r="AG435" s="5" t="s">
        <v>1720</v>
      </c>
      <c r="AH435" s="5" t="s">
        <v>1720</v>
      </c>
      <c r="AI435" s="6" t="str">
        <f t="shared" si="13"/>
        <v>No</v>
      </c>
      <c r="AJ435" s="6" t="s">
        <v>2298</v>
      </c>
      <c r="AK435" s="6" t="s">
        <v>162</v>
      </c>
      <c r="AL435" s="6">
        <f>MATCH(AA435,{"Low","Medium","High"},0)*MATCH(AB435,{"Low","Medium","High"},0)*INDEX({3,2,2,1,1},MATCH(X435,{"Core","Vertical extension","Differentiator","Future","Adjacent"},0))</f>
        <v>12</v>
      </c>
      <c r="AM435" s="5"/>
      <c r="AN435" s="5"/>
      <c r="AO435" s="5"/>
      <c r="AP435" s="5"/>
      <c r="AQ435" s="5"/>
      <c r="AR435" s="5"/>
      <c r="AS435" s="5"/>
      <c r="AT435" s="5"/>
      <c r="AU435" s="6" t="s">
        <v>2317</v>
      </c>
      <c r="AV435" s="6" t="s">
        <v>3968</v>
      </c>
      <c r="AW435" s="6" t="s">
        <v>3968</v>
      </c>
      <c r="AX435" s="6" t="s">
        <v>2284</v>
      </c>
      <c r="AY435" s="6" t="s">
        <v>2411</v>
      </c>
      <c r="AZ435" s="6"/>
      <c r="BA435" s="6"/>
      <c r="BB435" s="6"/>
      <c r="BC435" s="6" t="s">
        <v>127</v>
      </c>
      <c r="BD435" s="6" t="s">
        <v>127</v>
      </c>
      <c r="BE435" s="6" t="s">
        <v>1477</v>
      </c>
      <c r="BF435" s="6" t="s">
        <v>2286</v>
      </c>
      <c r="BG435" s="6" t="s">
        <v>5858</v>
      </c>
      <c r="BH435" s="6" t="s">
        <v>5859</v>
      </c>
    </row>
    <row r="436" spans="1:60" ht="32" customHeight="1" x14ac:dyDescent="0.35">
      <c r="A436" s="13" t="s">
        <v>5860</v>
      </c>
      <c r="B436" s="6" t="s">
        <v>3901</v>
      </c>
      <c r="C436" s="5" t="s">
        <v>1652</v>
      </c>
      <c r="D436" s="5" t="s">
        <v>2185</v>
      </c>
      <c r="E436" s="5" t="s">
        <v>5861</v>
      </c>
      <c r="F436" s="5" t="s">
        <v>5862</v>
      </c>
      <c r="G436" s="5" t="s">
        <v>3209</v>
      </c>
      <c r="H436" s="5" t="s">
        <v>5863</v>
      </c>
      <c r="I436" s="5" t="s">
        <v>5864</v>
      </c>
      <c r="J436" s="17" t="s">
        <v>162</v>
      </c>
      <c r="K436" s="17" t="s">
        <v>1477</v>
      </c>
      <c r="L436" s="5" t="s">
        <v>5865</v>
      </c>
      <c r="M436" s="6" t="s">
        <v>1493</v>
      </c>
      <c r="N436" s="6" t="s">
        <v>2170</v>
      </c>
      <c r="O436" s="6" t="s">
        <v>162</v>
      </c>
      <c r="P436" s="5" t="s">
        <v>2272</v>
      </c>
      <c r="Q436" s="17" t="s">
        <v>2273</v>
      </c>
      <c r="R436" s="5" t="s">
        <v>5866</v>
      </c>
      <c r="S436" s="6" t="s">
        <v>2409</v>
      </c>
      <c r="T436" s="5" t="s">
        <v>2185</v>
      </c>
      <c r="U436" s="6"/>
      <c r="V436" s="6" t="s">
        <v>2277</v>
      </c>
      <c r="W436" s="6" t="s">
        <v>1699</v>
      </c>
      <c r="X436" s="5" t="s">
        <v>228</v>
      </c>
      <c r="Y436" s="5" t="s">
        <v>2170</v>
      </c>
      <c r="Z436" s="5" t="str">
        <f t="shared" si="12"/>
        <v>High</v>
      </c>
      <c r="AA436" s="5" t="s">
        <v>1319</v>
      </c>
      <c r="AB436" s="6" t="s">
        <v>1319</v>
      </c>
      <c r="AC436" s="6" t="s">
        <v>135</v>
      </c>
      <c r="AD436" s="5" t="s">
        <v>2278</v>
      </c>
      <c r="AE436" s="5" t="s">
        <v>1720</v>
      </c>
      <c r="AF436" s="5" t="s">
        <v>1720</v>
      </c>
      <c r="AG436" s="5" t="s">
        <v>1720</v>
      </c>
      <c r="AH436" s="5" t="s">
        <v>1720</v>
      </c>
      <c r="AI436" s="6" t="str">
        <f t="shared" si="13"/>
        <v>No</v>
      </c>
      <c r="AJ436" s="6" t="s">
        <v>2298</v>
      </c>
      <c r="AK436" s="6" t="s">
        <v>162</v>
      </c>
      <c r="AL436" s="6">
        <f>MATCH(AA436,{"Low","Medium","High"},0)*MATCH(AB436,{"Low","Medium","High"},0)*INDEX({3,2,2,1,1},MATCH(X436,{"Core","Vertical extension","Differentiator","Future","Adjacent"},0))</f>
        <v>12</v>
      </c>
      <c r="AM436" s="5"/>
      <c r="AN436" s="5"/>
      <c r="AO436" s="5"/>
      <c r="AP436" s="5"/>
      <c r="AQ436" s="5"/>
      <c r="AR436" s="5"/>
      <c r="AS436" s="5"/>
      <c r="AT436" s="5"/>
      <c r="AU436" s="6" t="s">
        <v>2317</v>
      </c>
      <c r="AV436" s="6" t="s">
        <v>3968</v>
      </c>
      <c r="AW436" s="6" t="s">
        <v>3968</v>
      </c>
      <c r="AX436" s="6" t="s">
        <v>2284</v>
      </c>
      <c r="AY436" s="6" t="s">
        <v>2411</v>
      </c>
      <c r="AZ436" s="6"/>
      <c r="BA436" s="6"/>
      <c r="BB436" s="6"/>
      <c r="BC436" s="6" t="s">
        <v>127</v>
      </c>
      <c r="BD436" s="6" t="s">
        <v>127</v>
      </c>
      <c r="BE436" s="6" t="s">
        <v>1477</v>
      </c>
      <c r="BF436" s="6" t="s">
        <v>2286</v>
      </c>
      <c r="BG436" s="6" t="s">
        <v>5867</v>
      </c>
      <c r="BH436" s="6" t="s">
        <v>5868</v>
      </c>
    </row>
    <row r="437" spans="1:60" ht="32" customHeight="1" x14ac:dyDescent="0.35">
      <c r="A437" s="13" t="s">
        <v>1650</v>
      </c>
      <c r="B437" s="6" t="s">
        <v>3901</v>
      </c>
      <c r="C437" s="5" t="s">
        <v>1652</v>
      </c>
      <c r="D437" s="5" t="s">
        <v>2185</v>
      </c>
      <c r="E437" s="5" t="s">
        <v>1651</v>
      </c>
      <c r="F437" s="5" t="s">
        <v>4752</v>
      </c>
      <c r="G437" s="5" t="s">
        <v>2973</v>
      </c>
      <c r="H437" s="5" t="s">
        <v>5869</v>
      </c>
      <c r="I437" s="5" t="s">
        <v>5870</v>
      </c>
      <c r="J437" s="17" t="s">
        <v>162</v>
      </c>
      <c r="K437" s="17" t="s">
        <v>1477</v>
      </c>
      <c r="L437" s="5" t="s">
        <v>5871</v>
      </c>
      <c r="M437" s="6" t="s">
        <v>1493</v>
      </c>
      <c r="N437" s="6" t="s">
        <v>2170</v>
      </c>
      <c r="O437" s="6" t="s">
        <v>162</v>
      </c>
      <c r="P437" s="5" t="s">
        <v>2272</v>
      </c>
      <c r="Q437" s="18" t="s">
        <v>1482</v>
      </c>
      <c r="R437" s="5" t="s">
        <v>3297</v>
      </c>
      <c r="S437" s="6" t="s">
        <v>2409</v>
      </c>
      <c r="T437" s="5" t="s">
        <v>2185</v>
      </c>
      <c r="U437" s="6"/>
      <c r="V437" s="6" t="s">
        <v>2410</v>
      </c>
      <c r="W437" s="6" t="s">
        <v>1699</v>
      </c>
      <c r="X437" s="5" t="s">
        <v>228</v>
      </c>
      <c r="Y437" s="5" t="s">
        <v>2170</v>
      </c>
      <c r="Z437" s="5" t="str">
        <f t="shared" si="12"/>
        <v>High</v>
      </c>
      <c r="AA437" s="5" t="s">
        <v>1319</v>
      </c>
      <c r="AB437" s="6" t="s">
        <v>1319</v>
      </c>
      <c r="AC437" s="6" t="s">
        <v>32</v>
      </c>
      <c r="AD437" s="5" t="s">
        <v>2278</v>
      </c>
      <c r="AE437" s="5" t="s">
        <v>1720</v>
      </c>
      <c r="AF437" s="5" t="s">
        <v>1720</v>
      </c>
      <c r="AG437" s="5" t="s">
        <v>1720</v>
      </c>
      <c r="AH437" s="5" t="s">
        <v>1720</v>
      </c>
      <c r="AI437" s="6" t="str">
        <f t="shared" si="13"/>
        <v>No</v>
      </c>
      <c r="AJ437" s="6" t="s">
        <v>2298</v>
      </c>
      <c r="AK437" s="6" t="s">
        <v>162</v>
      </c>
      <c r="AL437" s="6">
        <f>MATCH(AA437,{"Low","Medium","High"},0)*MATCH(AB437,{"Low","Medium","High"},0)*INDEX({3,2,2,1,1},MATCH(X437,{"Core","Vertical extension","Differentiator","Future","Adjacent"},0))</f>
        <v>12</v>
      </c>
      <c r="AM437" s="5"/>
      <c r="AN437" s="5"/>
      <c r="AO437" s="5"/>
      <c r="AP437" s="5"/>
      <c r="AQ437" s="5"/>
      <c r="AR437" s="5"/>
      <c r="AS437" s="5"/>
      <c r="AT437" s="5"/>
      <c r="AU437" s="6" t="s">
        <v>2317</v>
      </c>
      <c r="AV437" s="6" t="s">
        <v>3968</v>
      </c>
      <c r="AW437" s="6" t="s">
        <v>3968</v>
      </c>
      <c r="AX437" s="6" t="s">
        <v>2284</v>
      </c>
      <c r="AY437" s="6" t="s">
        <v>2411</v>
      </c>
      <c r="AZ437" s="6" t="s">
        <v>5872</v>
      </c>
      <c r="BA437" s="6"/>
      <c r="BB437" s="6"/>
      <c r="BC437" s="6" t="s">
        <v>127</v>
      </c>
      <c r="BD437" s="6" t="s">
        <v>127</v>
      </c>
      <c r="BE437" s="6"/>
      <c r="BF437" s="6"/>
      <c r="BG437" s="6"/>
      <c r="BH437" s="6"/>
    </row>
    <row r="438" spans="1:60" ht="32" customHeight="1" x14ac:dyDescent="0.35">
      <c r="A438" s="13" t="s">
        <v>5873</v>
      </c>
      <c r="B438" s="6" t="s">
        <v>3901</v>
      </c>
      <c r="C438" s="5" t="s">
        <v>1652</v>
      </c>
      <c r="D438" s="5" t="s">
        <v>2185</v>
      </c>
      <c r="E438" s="5" t="s">
        <v>5874</v>
      </c>
      <c r="F438" s="5" t="s">
        <v>5875</v>
      </c>
      <c r="G438" s="5" t="s">
        <v>5876</v>
      </c>
      <c r="H438" s="5" t="s">
        <v>5877</v>
      </c>
      <c r="I438" s="5" t="s">
        <v>5878</v>
      </c>
      <c r="J438" s="17" t="s">
        <v>162</v>
      </c>
      <c r="K438" s="17" t="s">
        <v>1477</v>
      </c>
      <c r="L438" s="5" t="s">
        <v>5879</v>
      </c>
      <c r="M438" s="6" t="s">
        <v>1493</v>
      </c>
      <c r="N438" s="6" t="s">
        <v>2170</v>
      </c>
      <c r="O438" s="6" t="s">
        <v>162</v>
      </c>
      <c r="P438" s="5" t="s">
        <v>2272</v>
      </c>
      <c r="Q438" s="17" t="s">
        <v>2273</v>
      </c>
      <c r="R438" s="5" t="s">
        <v>5880</v>
      </c>
      <c r="S438" s="6" t="s">
        <v>2409</v>
      </c>
      <c r="T438" s="5" t="s">
        <v>2185</v>
      </c>
      <c r="U438" s="6"/>
      <c r="V438" s="6" t="s">
        <v>2277</v>
      </c>
      <c r="W438" s="6" t="s">
        <v>1699</v>
      </c>
      <c r="X438" s="5" t="s">
        <v>228</v>
      </c>
      <c r="Y438" s="5" t="s">
        <v>2170</v>
      </c>
      <c r="Z438" s="5" t="str">
        <f t="shared" si="12"/>
        <v>High</v>
      </c>
      <c r="AA438" s="5" t="s">
        <v>1319</v>
      </c>
      <c r="AB438" s="6" t="s">
        <v>1319</v>
      </c>
      <c r="AC438" s="6" t="s">
        <v>135</v>
      </c>
      <c r="AD438" s="5" t="s">
        <v>2278</v>
      </c>
      <c r="AE438" s="5" t="s">
        <v>1720</v>
      </c>
      <c r="AF438" s="5" t="s">
        <v>1720</v>
      </c>
      <c r="AG438" s="5" t="s">
        <v>1720</v>
      </c>
      <c r="AH438" s="5" t="s">
        <v>1720</v>
      </c>
      <c r="AI438" s="6" t="str">
        <f t="shared" si="13"/>
        <v>No</v>
      </c>
      <c r="AJ438" s="6" t="s">
        <v>2298</v>
      </c>
      <c r="AK438" s="6" t="s">
        <v>162</v>
      </c>
      <c r="AL438" s="6">
        <f>MATCH(AA438,{"Low","Medium","High"},0)*MATCH(AB438,{"Low","Medium","High"},0)*INDEX({3,2,2,1,1},MATCH(X438,{"Core","Vertical extension","Differentiator","Future","Adjacent"},0))</f>
        <v>12</v>
      </c>
      <c r="AM438" s="5"/>
      <c r="AN438" s="5"/>
      <c r="AO438" s="5"/>
      <c r="AP438" s="5"/>
      <c r="AQ438" s="5"/>
      <c r="AR438" s="5"/>
      <c r="AS438" s="5"/>
      <c r="AT438" s="5"/>
      <c r="AU438" s="6" t="s">
        <v>2317</v>
      </c>
      <c r="AV438" s="6" t="s">
        <v>3968</v>
      </c>
      <c r="AW438" s="6" t="s">
        <v>3968</v>
      </c>
      <c r="AX438" s="6" t="s">
        <v>2284</v>
      </c>
      <c r="AY438" s="6" t="s">
        <v>2411</v>
      </c>
      <c r="AZ438" s="6"/>
      <c r="BA438" s="6"/>
      <c r="BB438" s="6"/>
      <c r="BC438" s="6" t="s">
        <v>127</v>
      </c>
      <c r="BD438" s="6" t="s">
        <v>127</v>
      </c>
      <c r="BE438" s="6" t="s">
        <v>1477</v>
      </c>
      <c r="BF438" s="6" t="s">
        <v>2286</v>
      </c>
      <c r="BG438" s="6" t="s">
        <v>5881</v>
      </c>
      <c r="BH438" s="6" t="s">
        <v>5882</v>
      </c>
    </row>
    <row r="439" spans="1:60" ht="32" customHeight="1" x14ac:dyDescent="0.35">
      <c r="A439" s="13" t="s">
        <v>5883</v>
      </c>
      <c r="B439" s="6" t="s">
        <v>3901</v>
      </c>
      <c r="C439" s="5" t="s">
        <v>1652</v>
      </c>
      <c r="D439" s="5" t="s">
        <v>2185</v>
      </c>
      <c r="E439" s="5" t="s">
        <v>5884</v>
      </c>
      <c r="F439" s="5" t="s">
        <v>5885</v>
      </c>
      <c r="G439" s="5" t="s">
        <v>5886</v>
      </c>
      <c r="H439" s="5" t="s">
        <v>5887</v>
      </c>
      <c r="I439" s="5" t="s">
        <v>5888</v>
      </c>
      <c r="J439" s="17" t="s">
        <v>162</v>
      </c>
      <c r="K439" s="17" t="s">
        <v>163</v>
      </c>
      <c r="L439" s="5" t="s">
        <v>5889</v>
      </c>
      <c r="M439" s="6" t="s">
        <v>1493</v>
      </c>
      <c r="N439" s="6" t="s">
        <v>2170</v>
      </c>
      <c r="O439" s="6" t="s">
        <v>162</v>
      </c>
      <c r="P439" s="5" t="s">
        <v>2272</v>
      </c>
      <c r="Q439" s="17" t="s">
        <v>163</v>
      </c>
      <c r="R439" s="5" t="s">
        <v>5890</v>
      </c>
      <c r="S439" s="6" t="s">
        <v>2409</v>
      </c>
      <c r="T439" s="5" t="s">
        <v>2185</v>
      </c>
      <c r="U439" s="6"/>
      <c r="V439" s="6" t="s">
        <v>2410</v>
      </c>
      <c r="W439" s="6" t="s">
        <v>1699</v>
      </c>
      <c r="X439" s="5" t="s">
        <v>228</v>
      </c>
      <c r="Y439" s="5" t="s">
        <v>2170</v>
      </c>
      <c r="Z439" s="5" t="str">
        <f t="shared" si="12"/>
        <v>High</v>
      </c>
      <c r="AA439" s="5" t="s">
        <v>1319</v>
      </c>
      <c r="AB439" s="6" t="s">
        <v>1319</v>
      </c>
      <c r="AC439" s="6" t="s">
        <v>135</v>
      </c>
      <c r="AD439" s="5" t="s">
        <v>1805</v>
      </c>
      <c r="AE439" s="5" t="s">
        <v>1720</v>
      </c>
      <c r="AF439" s="5" t="s">
        <v>1720</v>
      </c>
      <c r="AG439" s="5" t="s">
        <v>1720</v>
      </c>
      <c r="AH439" s="5" t="s">
        <v>1720</v>
      </c>
      <c r="AI439" s="6" t="str">
        <f t="shared" si="13"/>
        <v>No</v>
      </c>
      <c r="AJ439" s="6" t="s">
        <v>287</v>
      </c>
      <c r="AK439" s="6" t="s">
        <v>162</v>
      </c>
      <c r="AL439" s="6">
        <f>MATCH(AA439,{"Low","Medium","High"},0)*MATCH(AB439,{"Low","Medium","High"},0)*INDEX({3,2,2,1,1},MATCH(X439,{"Core","Vertical extension","Differentiator","Future","Adjacent"},0))</f>
        <v>12</v>
      </c>
      <c r="AM439" s="5"/>
      <c r="AN439" s="5"/>
      <c r="AO439" s="5"/>
      <c r="AP439" s="5"/>
      <c r="AQ439" s="5"/>
      <c r="AR439" s="5"/>
      <c r="AS439" s="5"/>
      <c r="AT439" s="5"/>
      <c r="AU439" s="6" t="s">
        <v>2317</v>
      </c>
      <c r="AV439" s="6" t="s">
        <v>3968</v>
      </c>
      <c r="AW439" s="6" t="s">
        <v>3968</v>
      </c>
      <c r="AX439" s="6" t="s">
        <v>2284</v>
      </c>
      <c r="AY439" s="6" t="s">
        <v>2411</v>
      </c>
      <c r="AZ439" s="6"/>
      <c r="BA439" s="6"/>
      <c r="BB439" s="6"/>
      <c r="BC439" s="6" t="s">
        <v>127</v>
      </c>
      <c r="BD439" s="6" t="s">
        <v>127</v>
      </c>
      <c r="BE439" s="6" t="s">
        <v>1477</v>
      </c>
      <c r="BF439" s="6" t="s">
        <v>288</v>
      </c>
      <c r="BG439" s="6" t="s">
        <v>5891</v>
      </c>
      <c r="BH439" s="6" t="s">
        <v>5892</v>
      </c>
    </row>
    <row r="440" spans="1:60" ht="32" customHeight="1" x14ac:dyDescent="0.35">
      <c r="A440" s="13" t="s">
        <v>5893</v>
      </c>
      <c r="B440" s="6" t="s">
        <v>3901</v>
      </c>
      <c r="C440" s="5" t="s">
        <v>1652</v>
      </c>
      <c r="D440" s="5" t="s">
        <v>2185</v>
      </c>
      <c r="E440" s="5" t="s">
        <v>5894</v>
      </c>
      <c r="F440" s="5" t="s">
        <v>5895</v>
      </c>
      <c r="G440" s="5" t="s">
        <v>3173</v>
      </c>
      <c r="H440" s="5" t="s">
        <v>5896</v>
      </c>
      <c r="I440" s="5" t="s">
        <v>5897</v>
      </c>
      <c r="J440" s="17" t="s">
        <v>162</v>
      </c>
      <c r="K440" s="17" t="s">
        <v>95</v>
      </c>
      <c r="L440" s="5" t="s">
        <v>5898</v>
      </c>
      <c r="M440" s="6" t="s">
        <v>1493</v>
      </c>
      <c r="N440" s="6" t="s">
        <v>2170</v>
      </c>
      <c r="O440" s="6" t="s">
        <v>162</v>
      </c>
      <c r="P440" s="5" t="s">
        <v>2272</v>
      </c>
      <c r="Q440" s="17" t="s">
        <v>95</v>
      </c>
      <c r="R440" s="5" t="s">
        <v>5899</v>
      </c>
      <c r="S440" s="6" t="s">
        <v>2409</v>
      </c>
      <c r="T440" s="5" t="s">
        <v>2185</v>
      </c>
      <c r="U440" s="6"/>
      <c r="V440" s="6" t="s">
        <v>2403</v>
      </c>
      <c r="W440" s="6" t="s">
        <v>1699</v>
      </c>
      <c r="X440" s="5" t="s">
        <v>228</v>
      </c>
      <c r="Y440" s="5" t="s">
        <v>2170</v>
      </c>
      <c r="Z440" s="5" t="str">
        <f t="shared" si="12"/>
        <v>High</v>
      </c>
      <c r="AA440" s="5" t="s">
        <v>1319</v>
      </c>
      <c r="AB440" s="6" t="s">
        <v>1319</v>
      </c>
      <c r="AC440" s="6" t="s">
        <v>135</v>
      </c>
      <c r="AD440" s="5" t="s">
        <v>95</v>
      </c>
      <c r="AE440" s="5" t="s">
        <v>1720</v>
      </c>
      <c r="AF440" s="5" t="s">
        <v>1720</v>
      </c>
      <c r="AG440" s="5" t="s">
        <v>1720</v>
      </c>
      <c r="AH440" s="5" t="s">
        <v>1720</v>
      </c>
      <c r="AI440" s="6" t="str">
        <f t="shared" si="13"/>
        <v>No</v>
      </c>
      <c r="AJ440" s="6" t="s">
        <v>229</v>
      </c>
      <c r="AK440" s="6" t="s">
        <v>162</v>
      </c>
      <c r="AL440" s="6">
        <f>MATCH(AA440,{"Low","Medium","High"},0)*MATCH(AB440,{"Low","Medium","High"},0)*INDEX({3,2,2,1,1},MATCH(X440,{"Core","Vertical extension","Differentiator","Future","Adjacent"},0))</f>
        <v>12</v>
      </c>
      <c r="AM440" s="5"/>
      <c r="AN440" s="5"/>
      <c r="AO440" s="5"/>
      <c r="AP440" s="5"/>
      <c r="AQ440" s="5"/>
      <c r="AR440" s="5"/>
      <c r="AS440" s="5"/>
      <c r="AT440" s="5"/>
      <c r="AU440" s="6" t="s">
        <v>2317</v>
      </c>
      <c r="AV440" s="6" t="s">
        <v>3968</v>
      </c>
      <c r="AW440" s="6" t="s">
        <v>3968</v>
      </c>
      <c r="AX440" s="6" t="s">
        <v>2284</v>
      </c>
      <c r="AY440" s="6" t="s">
        <v>2411</v>
      </c>
      <c r="AZ440" s="6"/>
      <c r="BA440" s="6"/>
      <c r="BB440" s="6"/>
      <c r="BC440" s="6" t="s">
        <v>127</v>
      </c>
      <c r="BD440" s="6" t="s">
        <v>127</v>
      </c>
      <c r="BE440" s="6" t="s">
        <v>1477</v>
      </c>
      <c r="BF440" s="6" t="s">
        <v>95</v>
      </c>
      <c r="BG440" s="6" t="s">
        <v>5900</v>
      </c>
      <c r="BH440" s="6" t="s">
        <v>5901</v>
      </c>
    </row>
    <row r="441" spans="1:60" ht="32" customHeight="1" x14ac:dyDescent="0.35">
      <c r="A441" s="13" t="s">
        <v>5902</v>
      </c>
      <c r="B441" s="6" t="s">
        <v>3901</v>
      </c>
      <c r="C441" s="5" t="s">
        <v>1652</v>
      </c>
      <c r="D441" s="5" t="s">
        <v>2185</v>
      </c>
      <c r="E441" s="5" t="s">
        <v>5903</v>
      </c>
      <c r="F441" s="5" t="s">
        <v>5904</v>
      </c>
      <c r="G441" s="5" t="s">
        <v>2973</v>
      </c>
      <c r="H441" s="5" t="s">
        <v>5905</v>
      </c>
      <c r="I441" s="5" t="s">
        <v>5906</v>
      </c>
      <c r="J441" s="17" t="s">
        <v>162</v>
      </c>
      <c r="K441" s="17" t="s">
        <v>95</v>
      </c>
      <c r="L441" s="5" t="s">
        <v>5907</v>
      </c>
      <c r="M441" s="6" t="s">
        <v>1493</v>
      </c>
      <c r="N441" s="6" t="s">
        <v>2170</v>
      </c>
      <c r="O441" s="6" t="s">
        <v>162</v>
      </c>
      <c r="P441" s="5" t="s">
        <v>2272</v>
      </c>
      <c r="Q441" s="17" t="s">
        <v>95</v>
      </c>
      <c r="R441" s="5" t="s">
        <v>5908</v>
      </c>
      <c r="S441" s="6" t="s">
        <v>2409</v>
      </c>
      <c r="T441" s="5" t="s">
        <v>2185</v>
      </c>
      <c r="U441" s="6"/>
      <c r="V441" s="6" t="s">
        <v>2410</v>
      </c>
      <c r="W441" s="6" t="s">
        <v>1699</v>
      </c>
      <c r="X441" s="5" t="s">
        <v>228</v>
      </c>
      <c r="Y441" s="5" t="s">
        <v>2170</v>
      </c>
      <c r="Z441" s="5" t="str">
        <f t="shared" si="12"/>
        <v>High</v>
      </c>
      <c r="AA441" s="5" t="s">
        <v>1319</v>
      </c>
      <c r="AB441" s="6" t="s">
        <v>1319</v>
      </c>
      <c r="AC441" s="6" t="s">
        <v>135</v>
      </c>
      <c r="AD441" s="5" t="s">
        <v>95</v>
      </c>
      <c r="AE441" s="5" t="s">
        <v>1720</v>
      </c>
      <c r="AF441" s="5" t="s">
        <v>1720</v>
      </c>
      <c r="AG441" s="5" t="s">
        <v>1720</v>
      </c>
      <c r="AH441" s="5" t="s">
        <v>1720</v>
      </c>
      <c r="AI441" s="6" t="str">
        <f t="shared" si="13"/>
        <v>No</v>
      </c>
      <c r="AJ441" s="6" t="s">
        <v>229</v>
      </c>
      <c r="AK441" s="6" t="s">
        <v>162</v>
      </c>
      <c r="AL441" s="6">
        <f>MATCH(AA441,{"Low","Medium","High"},0)*MATCH(AB441,{"Low","Medium","High"},0)*INDEX({3,2,2,1,1},MATCH(X441,{"Core","Vertical extension","Differentiator","Future","Adjacent"},0))</f>
        <v>12</v>
      </c>
      <c r="AM441" s="5"/>
      <c r="AN441" s="5"/>
      <c r="AO441" s="5"/>
      <c r="AP441" s="5"/>
      <c r="AQ441" s="5"/>
      <c r="AR441" s="5"/>
      <c r="AS441" s="5"/>
      <c r="AT441" s="5"/>
      <c r="AU441" s="6" t="s">
        <v>2317</v>
      </c>
      <c r="AV441" s="6" t="s">
        <v>3968</v>
      </c>
      <c r="AW441" s="6" t="s">
        <v>3968</v>
      </c>
      <c r="AX441" s="6" t="s">
        <v>2284</v>
      </c>
      <c r="AY441" s="6" t="s">
        <v>2411</v>
      </c>
      <c r="AZ441" s="6"/>
      <c r="BA441" s="6"/>
      <c r="BB441" s="6"/>
      <c r="BC441" s="6" t="s">
        <v>127</v>
      </c>
      <c r="BD441" s="6" t="s">
        <v>127</v>
      </c>
      <c r="BE441" s="6" t="s">
        <v>1477</v>
      </c>
      <c r="BF441" s="6" t="s">
        <v>95</v>
      </c>
      <c r="BG441" s="6" t="s">
        <v>5909</v>
      </c>
      <c r="BH441" s="6" t="s">
        <v>5910</v>
      </c>
    </row>
    <row r="442" spans="1:60" ht="32" customHeight="1" x14ac:dyDescent="0.35">
      <c r="A442" s="13" t="s">
        <v>5911</v>
      </c>
      <c r="B442" s="6" t="s">
        <v>3901</v>
      </c>
      <c r="C442" s="5" t="s">
        <v>1652</v>
      </c>
      <c r="D442" s="5" t="s">
        <v>2185</v>
      </c>
      <c r="E442" s="5" t="s">
        <v>5912</v>
      </c>
      <c r="F442" s="5" t="s">
        <v>5913</v>
      </c>
      <c r="G442" s="5" t="s">
        <v>2973</v>
      </c>
      <c r="H442" s="5" t="s">
        <v>5914</v>
      </c>
      <c r="I442" s="5" t="s">
        <v>5915</v>
      </c>
      <c r="J442" s="17" t="s">
        <v>162</v>
      </c>
      <c r="K442" s="17" t="s">
        <v>1477</v>
      </c>
      <c r="L442" s="5" t="s">
        <v>5916</v>
      </c>
      <c r="M442" s="6" t="s">
        <v>1493</v>
      </c>
      <c r="N442" s="6" t="s">
        <v>2170</v>
      </c>
      <c r="O442" s="6" t="s">
        <v>162</v>
      </c>
      <c r="P442" s="5" t="s">
        <v>2272</v>
      </c>
      <c r="Q442" s="17" t="s">
        <v>2273</v>
      </c>
      <c r="R442" s="5" t="s">
        <v>5917</v>
      </c>
      <c r="S442" s="6" t="s">
        <v>2409</v>
      </c>
      <c r="T442" s="5" t="s">
        <v>2185</v>
      </c>
      <c r="U442" s="6"/>
      <c r="V442" s="6" t="s">
        <v>3411</v>
      </c>
      <c r="W442" s="6" t="s">
        <v>1699</v>
      </c>
      <c r="X442" s="5" t="s">
        <v>228</v>
      </c>
      <c r="Y442" s="5" t="s">
        <v>2170</v>
      </c>
      <c r="Z442" s="5" t="str">
        <f t="shared" si="12"/>
        <v>High</v>
      </c>
      <c r="AA442" s="5" t="s">
        <v>1319</v>
      </c>
      <c r="AB442" s="6" t="s">
        <v>1319</v>
      </c>
      <c r="AC442" s="6" t="s">
        <v>135</v>
      </c>
      <c r="AD442" s="5" t="s">
        <v>2278</v>
      </c>
      <c r="AE442" s="5" t="s">
        <v>1720</v>
      </c>
      <c r="AF442" s="5" t="s">
        <v>1720</v>
      </c>
      <c r="AG442" s="5" t="s">
        <v>1720</v>
      </c>
      <c r="AH442" s="5" t="s">
        <v>1720</v>
      </c>
      <c r="AI442" s="6" t="str">
        <f t="shared" si="13"/>
        <v>No</v>
      </c>
      <c r="AJ442" s="6" t="s">
        <v>2298</v>
      </c>
      <c r="AK442" s="6" t="s">
        <v>162</v>
      </c>
      <c r="AL442" s="6">
        <f>MATCH(AA442,{"Low","Medium","High"},0)*MATCH(AB442,{"Low","Medium","High"},0)*INDEX({3,2,2,1,1},MATCH(X442,{"Core","Vertical extension","Differentiator","Future","Adjacent"},0))</f>
        <v>12</v>
      </c>
      <c r="AM442" s="5"/>
      <c r="AN442" s="5"/>
      <c r="AO442" s="5"/>
      <c r="AP442" s="5"/>
      <c r="AQ442" s="5"/>
      <c r="AR442" s="5"/>
      <c r="AS442" s="5"/>
      <c r="AT442" s="5"/>
      <c r="AU442" s="6" t="s">
        <v>2317</v>
      </c>
      <c r="AV442" s="6" t="s">
        <v>3968</v>
      </c>
      <c r="AW442" s="6" t="s">
        <v>3968</v>
      </c>
      <c r="AX442" s="6" t="s">
        <v>2284</v>
      </c>
      <c r="AY442" s="6" t="s">
        <v>2411</v>
      </c>
      <c r="AZ442" s="6"/>
      <c r="BA442" s="6"/>
      <c r="BB442" s="6"/>
      <c r="BC442" s="6" t="s">
        <v>127</v>
      </c>
      <c r="BD442" s="6" t="s">
        <v>127</v>
      </c>
      <c r="BE442" s="6" t="s">
        <v>1477</v>
      </c>
      <c r="BF442" s="6" t="s">
        <v>2286</v>
      </c>
      <c r="BG442" s="6" t="s">
        <v>5918</v>
      </c>
      <c r="BH442" s="6" t="s">
        <v>5919</v>
      </c>
    </row>
    <row r="443" spans="1:60" ht="32" customHeight="1" x14ac:dyDescent="0.35">
      <c r="A443" s="13" t="s">
        <v>5920</v>
      </c>
      <c r="B443" s="6" t="s">
        <v>3901</v>
      </c>
      <c r="C443" s="5" t="s">
        <v>1652</v>
      </c>
      <c r="D443" s="5" t="s">
        <v>2185</v>
      </c>
      <c r="E443" s="5" t="s">
        <v>5921</v>
      </c>
      <c r="F443" s="5" t="s">
        <v>2973</v>
      </c>
      <c r="G443" s="5" t="s">
        <v>2813</v>
      </c>
      <c r="H443" s="5" t="s">
        <v>5922</v>
      </c>
      <c r="I443" s="5" t="s">
        <v>5923</v>
      </c>
      <c r="J443" s="17" t="s">
        <v>162</v>
      </c>
      <c r="K443" s="17" t="s">
        <v>1477</v>
      </c>
      <c r="L443" s="5" t="s">
        <v>5924</v>
      </c>
      <c r="M443" s="6" t="s">
        <v>1493</v>
      </c>
      <c r="N443" s="6" t="s">
        <v>2170</v>
      </c>
      <c r="O443" s="6" t="s">
        <v>162</v>
      </c>
      <c r="P443" s="5" t="s">
        <v>2272</v>
      </c>
      <c r="Q443" s="17" t="s">
        <v>2273</v>
      </c>
      <c r="R443" s="5" t="s">
        <v>5925</v>
      </c>
      <c r="S443" s="6" t="s">
        <v>2409</v>
      </c>
      <c r="T443" s="5" t="s">
        <v>2185</v>
      </c>
      <c r="U443" s="6"/>
      <c r="V443" s="6" t="s">
        <v>2410</v>
      </c>
      <c r="W443" s="6" t="s">
        <v>1699</v>
      </c>
      <c r="X443" s="5" t="s">
        <v>228</v>
      </c>
      <c r="Y443" s="5" t="s">
        <v>2170</v>
      </c>
      <c r="Z443" s="5" t="str">
        <f t="shared" si="12"/>
        <v>High</v>
      </c>
      <c r="AA443" s="5" t="s">
        <v>1319</v>
      </c>
      <c r="AB443" s="6" t="s">
        <v>1319</v>
      </c>
      <c r="AC443" s="6" t="s">
        <v>135</v>
      </c>
      <c r="AD443" s="5" t="s">
        <v>2278</v>
      </c>
      <c r="AE443" s="5" t="s">
        <v>1720</v>
      </c>
      <c r="AF443" s="5" t="s">
        <v>1720</v>
      </c>
      <c r="AG443" s="5" t="s">
        <v>1720</v>
      </c>
      <c r="AH443" s="5" t="s">
        <v>1720</v>
      </c>
      <c r="AI443" s="6" t="str">
        <f t="shared" si="13"/>
        <v>No</v>
      </c>
      <c r="AJ443" s="6" t="s">
        <v>2298</v>
      </c>
      <c r="AK443" s="6" t="s">
        <v>162</v>
      </c>
      <c r="AL443" s="6">
        <f>MATCH(AA443,{"Low","Medium","High"},0)*MATCH(AB443,{"Low","Medium","High"},0)*INDEX({3,2,2,1,1},MATCH(X443,{"Core","Vertical extension","Differentiator","Future","Adjacent"},0))</f>
        <v>12</v>
      </c>
      <c r="AM443" s="5"/>
      <c r="AN443" s="5"/>
      <c r="AO443" s="5"/>
      <c r="AP443" s="5"/>
      <c r="AQ443" s="5"/>
      <c r="AR443" s="5"/>
      <c r="AS443" s="5"/>
      <c r="AT443" s="5"/>
      <c r="AU443" s="6" t="s">
        <v>2317</v>
      </c>
      <c r="AV443" s="6" t="s">
        <v>76</v>
      </c>
      <c r="AW443" s="6" t="s">
        <v>76</v>
      </c>
      <c r="AX443" s="6" t="s">
        <v>2284</v>
      </c>
      <c r="AY443" s="6" t="s">
        <v>2411</v>
      </c>
      <c r="AZ443" s="6"/>
      <c r="BA443" s="6"/>
      <c r="BB443" s="6"/>
      <c r="BC443" s="6" t="s">
        <v>127</v>
      </c>
      <c r="BD443" s="6" t="s">
        <v>127</v>
      </c>
      <c r="BE443" s="6" t="s">
        <v>1477</v>
      </c>
      <c r="BF443" s="6" t="s">
        <v>2286</v>
      </c>
      <c r="BG443" s="6" t="s">
        <v>5926</v>
      </c>
      <c r="BH443" s="6" t="s">
        <v>5927</v>
      </c>
    </row>
    <row r="444" spans="1:60" ht="32" customHeight="1" x14ac:dyDescent="0.35">
      <c r="A444" s="13" t="s">
        <v>5928</v>
      </c>
      <c r="B444" s="6" t="s">
        <v>3901</v>
      </c>
      <c r="C444" s="5" t="s">
        <v>1652</v>
      </c>
      <c r="D444" s="5" t="s">
        <v>2185</v>
      </c>
      <c r="E444" s="5" t="s">
        <v>5929</v>
      </c>
      <c r="F444" s="5" t="s">
        <v>3973</v>
      </c>
      <c r="G444" s="5" t="s">
        <v>2973</v>
      </c>
      <c r="H444" s="5" t="s">
        <v>5930</v>
      </c>
      <c r="I444" s="5" t="s">
        <v>5931</v>
      </c>
      <c r="J444" s="17" t="s">
        <v>162</v>
      </c>
      <c r="K444" s="17" t="s">
        <v>1477</v>
      </c>
      <c r="L444" s="5" t="s">
        <v>5932</v>
      </c>
      <c r="M444" s="6" t="s">
        <v>1493</v>
      </c>
      <c r="N444" s="6" t="s">
        <v>2170</v>
      </c>
      <c r="O444" s="6" t="s">
        <v>162</v>
      </c>
      <c r="P444" s="5" t="s">
        <v>2369</v>
      </c>
      <c r="Q444" s="17" t="s">
        <v>2273</v>
      </c>
      <c r="R444" s="5" t="s">
        <v>5933</v>
      </c>
      <c r="S444" s="6" t="s">
        <v>2409</v>
      </c>
      <c r="T444" s="5" t="s">
        <v>2185</v>
      </c>
      <c r="U444" s="6"/>
      <c r="V444" s="6" t="s">
        <v>2347</v>
      </c>
      <c r="W444" s="6" t="s">
        <v>1699</v>
      </c>
      <c r="X444" s="5" t="s">
        <v>228</v>
      </c>
      <c r="Y444" s="5" t="s">
        <v>2170</v>
      </c>
      <c r="Z444" s="5" t="str">
        <f t="shared" si="12"/>
        <v>High</v>
      </c>
      <c r="AA444" s="5" t="s">
        <v>1319</v>
      </c>
      <c r="AB444" s="6" t="s">
        <v>1319</v>
      </c>
      <c r="AC444" s="6" t="s">
        <v>135</v>
      </c>
      <c r="AD444" s="5" t="s">
        <v>2278</v>
      </c>
      <c r="AE444" s="5" t="s">
        <v>1720</v>
      </c>
      <c r="AF444" s="5" t="s">
        <v>1720</v>
      </c>
      <c r="AG444" s="5" t="s">
        <v>1720</v>
      </c>
      <c r="AH444" s="5" t="s">
        <v>1720</v>
      </c>
      <c r="AI444" s="6" t="str">
        <f t="shared" si="13"/>
        <v>No</v>
      </c>
      <c r="AJ444" s="6" t="s">
        <v>2298</v>
      </c>
      <c r="AK444" s="6" t="s">
        <v>162</v>
      </c>
      <c r="AL444" s="6">
        <f>MATCH(AA444,{"Low","Medium","High"},0)*MATCH(AB444,{"Low","Medium","High"},0)*INDEX({3,2,2,1,1},MATCH(X444,{"Core","Vertical extension","Differentiator","Future","Adjacent"},0))</f>
        <v>12</v>
      </c>
      <c r="AM444" s="5"/>
      <c r="AN444" s="5"/>
      <c r="AO444" s="5"/>
      <c r="AP444" s="5"/>
      <c r="AQ444" s="5"/>
      <c r="AR444" s="5"/>
      <c r="AS444" s="5"/>
      <c r="AT444" s="5"/>
      <c r="AU444" s="6" t="s">
        <v>2317</v>
      </c>
      <c r="AV444" s="6" t="s">
        <v>3968</v>
      </c>
      <c r="AW444" s="6" t="s">
        <v>3968</v>
      </c>
      <c r="AX444" s="6" t="s">
        <v>2374</v>
      </c>
      <c r="AY444" s="6" t="s">
        <v>2411</v>
      </c>
      <c r="AZ444" s="6"/>
      <c r="BA444" s="6"/>
      <c r="BB444" s="6"/>
      <c r="BC444" s="6" t="s">
        <v>127</v>
      </c>
      <c r="BD444" s="6" t="s">
        <v>127</v>
      </c>
      <c r="BE444" s="6" t="s">
        <v>1477</v>
      </c>
      <c r="BF444" s="6" t="s">
        <v>2286</v>
      </c>
      <c r="BG444" s="6" t="s">
        <v>5934</v>
      </c>
      <c r="BH444" s="6" t="s">
        <v>5935</v>
      </c>
    </row>
    <row r="445" spans="1:60" ht="32" customHeight="1" x14ac:dyDescent="0.35">
      <c r="A445" s="13" t="s">
        <v>5936</v>
      </c>
      <c r="B445" s="6" t="s">
        <v>3901</v>
      </c>
      <c r="C445" s="5" t="s">
        <v>1652</v>
      </c>
      <c r="D445" s="5" t="s">
        <v>2185</v>
      </c>
      <c r="E445" s="5" t="s">
        <v>5937</v>
      </c>
      <c r="F445" s="5" t="s">
        <v>3173</v>
      </c>
      <c r="G445" s="5" t="s">
        <v>3867</v>
      </c>
      <c r="H445" s="5" t="s">
        <v>5938</v>
      </c>
      <c r="I445" s="5" t="s">
        <v>5939</v>
      </c>
      <c r="J445" s="17" t="s">
        <v>162</v>
      </c>
      <c r="K445" s="17" t="s">
        <v>95</v>
      </c>
      <c r="L445" s="5" t="s">
        <v>5940</v>
      </c>
      <c r="M445" s="6" t="s">
        <v>1493</v>
      </c>
      <c r="N445" s="6" t="s">
        <v>2170</v>
      </c>
      <c r="O445" s="6" t="s">
        <v>162</v>
      </c>
      <c r="P445" s="5" t="s">
        <v>2369</v>
      </c>
      <c r="Q445" s="17" t="s">
        <v>95</v>
      </c>
      <c r="R445" s="5" t="s">
        <v>5941</v>
      </c>
      <c r="S445" s="6" t="s">
        <v>2409</v>
      </c>
      <c r="T445" s="5" t="s">
        <v>2185</v>
      </c>
      <c r="U445" s="6"/>
      <c r="V445" s="6" t="s">
        <v>2347</v>
      </c>
      <c r="W445" s="6" t="s">
        <v>1699</v>
      </c>
      <c r="X445" s="5" t="s">
        <v>228</v>
      </c>
      <c r="Y445" s="5" t="s">
        <v>2170</v>
      </c>
      <c r="Z445" s="5" t="str">
        <f t="shared" si="12"/>
        <v>High</v>
      </c>
      <c r="AA445" s="5" t="s">
        <v>1319</v>
      </c>
      <c r="AB445" s="6" t="s">
        <v>1319</v>
      </c>
      <c r="AC445" s="6" t="s">
        <v>135</v>
      </c>
      <c r="AD445" s="5" t="s">
        <v>95</v>
      </c>
      <c r="AE445" s="5" t="s">
        <v>1720</v>
      </c>
      <c r="AF445" s="5" t="s">
        <v>1720</v>
      </c>
      <c r="AG445" s="5" t="s">
        <v>1720</v>
      </c>
      <c r="AH445" s="5" t="s">
        <v>1720</v>
      </c>
      <c r="AI445" s="6" t="str">
        <f t="shared" si="13"/>
        <v>No</v>
      </c>
      <c r="AJ445" s="6" t="s">
        <v>229</v>
      </c>
      <c r="AK445" s="6" t="s">
        <v>162</v>
      </c>
      <c r="AL445" s="6">
        <f>MATCH(AA445,{"Low","Medium","High"},0)*MATCH(AB445,{"Low","Medium","High"},0)*INDEX({3,2,2,1,1},MATCH(X445,{"Core","Vertical extension","Differentiator","Future","Adjacent"},0))</f>
        <v>12</v>
      </c>
      <c r="AM445" s="5"/>
      <c r="AN445" s="5"/>
      <c r="AO445" s="5"/>
      <c r="AP445" s="5"/>
      <c r="AQ445" s="5"/>
      <c r="AR445" s="5"/>
      <c r="AS445" s="5"/>
      <c r="AT445" s="5"/>
      <c r="AU445" s="6" t="s">
        <v>2317</v>
      </c>
      <c r="AV445" s="6" t="s">
        <v>2898</v>
      </c>
      <c r="AW445" s="6" t="s">
        <v>2898</v>
      </c>
      <c r="AX445" s="6" t="s">
        <v>2374</v>
      </c>
      <c r="AY445" s="6" t="s">
        <v>2411</v>
      </c>
      <c r="AZ445" s="6"/>
      <c r="BA445" s="6"/>
      <c r="BB445" s="6"/>
      <c r="BC445" s="6" t="s">
        <v>127</v>
      </c>
      <c r="BD445" s="6" t="s">
        <v>127</v>
      </c>
      <c r="BE445" s="6" t="s">
        <v>1477</v>
      </c>
      <c r="BF445" s="6" t="s">
        <v>95</v>
      </c>
      <c r="BG445" s="6" t="s">
        <v>5942</v>
      </c>
      <c r="BH445" s="6" t="s">
        <v>5943</v>
      </c>
    </row>
    <row r="446" spans="1:60" ht="32" customHeight="1" x14ac:dyDescent="0.35">
      <c r="A446" s="13" t="s">
        <v>5944</v>
      </c>
      <c r="B446" s="6" t="s">
        <v>3901</v>
      </c>
      <c r="C446" s="5" t="s">
        <v>1652</v>
      </c>
      <c r="D446" s="5" t="s">
        <v>2198</v>
      </c>
      <c r="E446" s="5" t="s">
        <v>5945</v>
      </c>
      <c r="F446" s="5" t="s">
        <v>5946</v>
      </c>
      <c r="G446" s="5" t="s">
        <v>2396</v>
      </c>
      <c r="H446" s="5" t="s">
        <v>5947</v>
      </c>
      <c r="I446" s="5" t="s">
        <v>5948</v>
      </c>
      <c r="J446" s="17" t="s">
        <v>162</v>
      </c>
      <c r="K446" s="17" t="s">
        <v>1477</v>
      </c>
      <c r="L446" s="5" t="s">
        <v>5949</v>
      </c>
      <c r="M446" s="6" t="s">
        <v>1493</v>
      </c>
      <c r="N446" s="6" t="s">
        <v>2170</v>
      </c>
      <c r="O446" s="6" t="s">
        <v>162</v>
      </c>
      <c r="P446" s="5" t="s">
        <v>2272</v>
      </c>
      <c r="Q446" s="18" t="s">
        <v>1482</v>
      </c>
      <c r="R446" s="5" t="s">
        <v>2400</v>
      </c>
      <c r="S446" s="6" t="s">
        <v>2401</v>
      </c>
      <c r="T446" s="5" t="s">
        <v>2402</v>
      </c>
      <c r="U446" s="6"/>
      <c r="V446" s="6" t="s">
        <v>2403</v>
      </c>
      <c r="W446" s="6" t="s">
        <v>1703</v>
      </c>
      <c r="X446" s="5" t="s">
        <v>228</v>
      </c>
      <c r="Y446" s="5" t="s">
        <v>2170</v>
      </c>
      <c r="Z446" s="5" t="str">
        <f t="shared" si="12"/>
        <v>Medium</v>
      </c>
      <c r="AA446" s="5" t="s">
        <v>1319</v>
      </c>
      <c r="AB446" s="6" t="s">
        <v>1355</v>
      </c>
      <c r="AC446" s="6" t="s">
        <v>32</v>
      </c>
      <c r="AD446" s="5" t="s">
        <v>2278</v>
      </c>
      <c r="AE446" s="5" t="s">
        <v>1720</v>
      </c>
      <c r="AF446" s="5" t="s">
        <v>1720</v>
      </c>
      <c r="AG446" s="5" t="s">
        <v>1720</v>
      </c>
      <c r="AH446" s="5" t="s">
        <v>1720</v>
      </c>
      <c r="AI446" s="6" t="str">
        <f t="shared" si="13"/>
        <v>No</v>
      </c>
      <c r="AJ446" s="6" t="s">
        <v>2298</v>
      </c>
      <c r="AK446" s="6" t="s">
        <v>204</v>
      </c>
      <c r="AL446" s="6">
        <f>MATCH(AA446,{"Low","Medium","High"},0)*MATCH(AB446,{"Low","Medium","High"},0)*INDEX({3,2,2,1,1},MATCH(X446,{"Core","Vertical extension","Differentiator","Future","Adjacent"},0))</f>
        <v>6</v>
      </c>
      <c r="AM446" s="5"/>
      <c r="AN446" s="5"/>
      <c r="AO446" s="5"/>
      <c r="AP446" s="5"/>
      <c r="AQ446" s="5"/>
      <c r="AR446" s="5"/>
      <c r="AS446" s="5"/>
      <c r="AT446" s="5"/>
      <c r="AU446" s="6" t="s">
        <v>2317</v>
      </c>
      <c r="AV446" s="6" t="s">
        <v>2283</v>
      </c>
      <c r="AW446" s="6" t="s">
        <v>2283</v>
      </c>
      <c r="AX446" s="6" t="s">
        <v>2284</v>
      </c>
      <c r="AY446" s="6" t="s">
        <v>2285</v>
      </c>
      <c r="AZ446" s="6"/>
      <c r="BA446" s="6"/>
      <c r="BB446" s="6"/>
      <c r="BC446" s="6" t="s">
        <v>127</v>
      </c>
      <c r="BD446" s="6" t="s">
        <v>127</v>
      </c>
      <c r="BE446" s="6"/>
      <c r="BF446" s="6"/>
      <c r="BG446" s="6"/>
      <c r="BH446" s="6"/>
    </row>
    <row r="447" spans="1:60" ht="32" customHeight="1" x14ac:dyDescent="0.35">
      <c r="A447" s="13" t="s">
        <v>5950</v>
      </c>
      <c r="B447" s="6" t="s">
        <v>3901</v>
      </c>
      <c r="C447" s="5" t="s">
        <v>1652</v>
      </c>
      <c r="D447" s="5" t="s">
        <v>2198</v>
      </c>
      <c r="E447" s="5" t="s">
        <v>5951</v>
      </c>
      <c r="F447" s="5" t="s">
        <v>3336</v>
      </c>
      <c r="G447" s="5" t="s">
        <v>2396</v>
      </c>
      <c r="H447" s="5" t="s">
        <v>5952</v>
      </c>
      <c r="I447" s="5" t="s">
        <v>5953</v>
      </c>
      <c r="J447" s="17" t="s">
        <v>162</v>
      </c>
      <c r="K447" s="17" t="s">
        <v>1477</v>
      </c>
      <c r="L447" s="5" t="s">
        <v>5954</v>
      </c>
      <c r="M447" s="6" t="s">
        <v>1493</v>
      </c>
      <c r="N447" s="6" t="s">
        <v>2170</v>
      </c>
      <c r="O447" s="6" t="s">
        <v>162</v>
      </c>
      <c r="P447" s="5" t="s">
        <v>2272</v>
      </c>
      <c r="Q447" s="18" t="s">
        <v>1482</v>
      </c>
      <c r="R447" s="5" t="s">
        <v>2400</v>
      </c>
      <c r="S447" s="6" t="s">
        <v>2401</v>
      </c>
      <c r="T447" s="5" t="s">
        <v>2402</v>
      </c>
      <c r="U447" s="6"/>
      <c r="V447" s="6" t="s">
        <v>2403</v>
      </c>
      <c r="W447" s="6" t="s">
        <v>1703</v>
      </c>
      <c r="X447" s="5" t="s">
        <v>228</v>
      </c>
      <c r="Y447" s="5" t="s">
        <v>2170</v>
      </c>
      <c r="Z447" s="5" t="str">
        <f t="shared" si="12"/>
        <v>Medium</v>
      </c>
      <c r="AA447" s="5" t="s">
        <v>1319</v>
      </c>
      <c r="AB447" s="6" t="s">
        <v>1355</v>
      </c>
      <c r="AC447" s="6" t="s">
        <v>32</v>
      </c>
      <c r="AD447" s="5" t="s">
        <v>2278</v>
      </c>
      <c r="AE447" s="5" t="s">
        <v>1720</v>
      </c>
      <c r="AF447" s="5" t="s">
        <v>1720</v>
      </c>
      <c r="AG447" s="5" t="s">
        <v>1720</v>
      </c>
      <c r="AH447" s="5" t="s">
        <v>1720</v>
      </c>
      <c r="AI447" s="6" t="str">
        <f t="shared" si="13"/>
        <v>No</v>
      </c>
      <c r="AJ447" s="6" t="s">
        <v>2298</v>
      </c>
      <c r="AK447" s="6" t="s">
        <v>204</v>
      </c>
      <c r="AL447" s="6">
        <f>MATCH(AA447,{"Low","Medium","High"},0)*MATCH(AB447,{"Low","Medium","High"},0)*INDEX({3,2,2,1,1},MATCH(X447,{"Core","Vertical extension","Differentiator","Future","Adjacent"},0))</f>
        <v>6</v>
      </c>
      <c r="AM447" s="5"/>
      <c r="AN447" s="5"/>
      <c r="AO447" s="5"/>
      <c r="AP447" s="5"/>
      <c r="AQ447" s="5"/>
      <c r="AR447" s="5"/>
      <c r="AS447" s="5"/>
      <c r="AT447" s="5"/>
      <c r="AU447" s="6" t="s">
        <v>2317</v>
      </c>
      <c r="AV447" s="6" t="s">
        <v>76</v>
      </c>
      <c r="AW447" s="6" t="s">
        <v>76</v>
      </c>
      <c r="AX447" s="6" t="s">
        <v>2284</v>
      </c>
      <c r="AY447" s="6" t="s">
        <v>2285</v>
      </c>
      <c r="AZ447" s="6"/>
      <c r="BA447" s="6"/>
      <c r="BB447" s="6"/>
      <c r="BC447" s="6" t="s">
        <v>127</v>
      </c>
      <c r="BD447" s="6" t="s">
        <v>127</v>
      </c>
      <c r="BE447" s="6"/>
      <c r="BF447" s="6"/>
      <c r="BG447" s="6"/>
      <c r="BH447" s="6"/>
    </row>
    <row r="448" spans="1:60" ht="32" customHeight="1" x14ac:dyDescent="0.35">
      <c r="A448" s="13" t="s">
        <v>5955</v>
      </c>
      <c r="B448" s="6" t="s">
        <v>3901</v>
      </c>
      <c r="C448" s="5" t="s">
        <v>1652</v>
      </c>
      <c r="D448" s="5" t="s">
        <v>2198</v>
      </c>
      <c r="E448" s="5" t="s">
        <v>5956</v>
      </c>
      <c r="F448" s="5" t="s">
        <v>2779</v>
      </c>
      <c r="G448" s="5" t="s">
        <v>2396</v>
      </c>
      <c r="H448" s="5" t="s">
        <v>5957</v>
      </c>
      <c r="I448" s="5" t="s">
        <v>5958</v>
      </c>
      <c r="J448" s="17" t="s">
        <v>162</v>
      </c>
      <c r="K448" s="17" t="s">
        <v>163</v>
      </c>
      <c r="L448" s="5" t="s">
        <v>5959</v>
      </c>
      <c r="M448" s="6" t="s">
        <v>1493</v>
      </c>
      <c r="N448" s="6" t="s">
        <v>2170</v>
      </c>
      <c r="O448" s="6" t="s">
        <v>162</v>
      </c>
      <c r="P448" s="5" t="s">
        <v>2272</v>
      </c>
      <c r="Q448" s="17" t="s">
        <v>163</v>
      </c>
      <c r="R448" s="5" t="s">
        <v>5960</v>
      </c>
      <c r="S448" s="6" t="s">
        <v>2401</v>
      </c>
      <c r="T448" s="5" t="s">
        <v>2402</v>
      </c>
      <c r="U448" s="6"/>
      <c r="V448" s="6" t="s">
        <v>2403</v>
      </c>
      <c r="W448" s="6" t="s">
        <v>1703</v>
      </c>
      <c r="X448" s="5" t="s">
        <v>228</v>
      </c>
      <c r="Y448" s="5" t="s">
        <v>2170</v>
      </c>
      <c r="Z448" s="5" t="str">
        <f t="shared" si="12"/>
        <v>Medium</v>
      </c>
      <c r="AA448" s="5" t="s">
        <v>1319</v>
      </c>
      <c r="AB448" s="6" t="s">
        <v>1355</v>
      </c>
      <c r="AC448" s="6" t="s">
        <v>32</v>
      </c>
      <c r="AD448" s="5" t="s">
        <v>1805</v>
      </c>
      <c r="AE448" s="5" t="s">
        <v>1720</v>
      </c>
      <c r="AF448" s="5" t="s">
        <v>1720</v>
      </c>
      <c r="AG448" s="5" t="s">
        <v>1720</v>
      </c>
      <c r="AH448" s="5" t="s">
        <v>1720</v>
      </c>
      <c r="AI448" s="6" t="str">
        <f t="shared" si="13"/>
        <v>No</v>
      </c>
      <c r="AJ448" s="6" t="s">
        <v>287</v>
      </c>
      <c r="AK448" s="6" t="s">
        <v>204</v>
      </c>
      <c r="AL448" s="6">
        <f>MATCH(AA448,{"Low","Medium","High"},0)*MATCH(AB448,{"Low","Medium","High"},0)*INDEX({3,2,2,1,1},MATCH(X448,{"Core","Vertical extension","Differentiator","Future","Adjacent"},0))</f>
        <v>6</v>
      </c>
      <c r="AM448" s="5"/>
      <c r="AN448" s="5"/>
      <c r="AO448" s="5"/>
      <c r="AP448" s="5"/>
      <c r="AQ448" s="5"/>
      <c r="AR448" s="5"/>
      <c r="AS448" s="5"/>
      <c r="AT448" s="5"/>
      <c r="AU448" s="6" t="s">
        <v>2317</v>
      </c>
      <c r="AV448" s="6" t="s">
        <v>2804</v>
      </c>
      <c r="AW448" s="6" t="s">
        <v>2804</v>
      </c>
      <c r="AX448" s="6" t="s">
        <v>2284</v>
      </c>
      <c r="AY448" s="6" t="s">
        <v>2285</v>
      </c>
      <c r="AZ448" s="6" t="s">
        <v>5961</v>
      </c>
      <c r="BA448" s="6"/>
      <c r="BB448" s="6"/>
      <c r="BC448" s="6" t="s">
        <v>127</v>
      </c>
      <c r="BD448" s="6" t="s">
        <v>127</v>
      </c>
      <c r="BE448" s="6" t="s">
        <v>1477</v>
      </c>
      <c r="BF448" s="6" t="s">
        <v>288</v>
      </c>
      <c r="BG448" s="6" t="s">
        <v>5962</v>
      </c>
      <c r="BH448" s="6" t="s">
        <v>5963</v>
      </c>
    </row>
    <row r="449" spans="1:60" ht="32" customHeight="1" x14ac:dyDescent="0.35">
      <c r="A449" s="13" t="s">
        <v>5964</v>
      </c>
      <c r="B449" s="6" t="s">
        <v>3901</v>
      </c>
      <c r="C449" s="5" t="s">
        <v>1652</v>
      </c>
      <c r="D449" s="5" t="s">
        <v>2198</v>
      </c>
      <c r="E449" s="5" t="s">
        <v>5965</v>
      </c>
      <c r="F449" s="5" t="s">
        <v>2788</v>
      </c>
      <c r="G449" s="5" t="s">
        <v>2396</v>
      </c>
      <c r="H449" s="5" t="s">
        <v>5966</v>
      </c>
      <c r="I449" s="5" t="s">
        <v>5967</v>
      </c>
      <c r="J449" s="17" t="s">
        <v>162</v>
      </c>
      <c r="K449" s="17" t="s">
        <v>163</v>
      </c>
      <c r="L449" s="5" t="s">
        <v>5968</v>
      </c>
      <c r="M449" s="6" t="s">
        <v>1493</v>
      </c>
      <c r="N449" s="6" t="s">
        <v>2170</v>
      </c>
      <c r="O449" s="6" t="s">
        <v>162</v>
      </c>
      <c r="P449" s="5" t="s">
        <v>2272</v>
      </c>
      <c r="Q449" s="17" t="s">
        <v>163</v>
      </c>
      <c r="R449" s="5" t="s">
        <v>5969</v>
      </c>
      <c r="S449" s="6" t="s">
        <v>2401</v>
      </c>
      <c r="T449" s="5" t="s">
        <v>2402</v>
      </c>
      <c r="U449" s="6"/>
      <c r="V449" s="6" t="s">
        <v>2403</v>
      </c>
      <c r="W449" s="6" t="s">
        <v>1703</v>
      </c>
      <c r="X449" s="5" t="s">
        <v>228</v>
      </c>
      <c r="Y449" s="5" t="s">
        <v>2170</v>
      </c>
      <c r="Z449" s="5" t="str">
        <f t="shared" si="12"/>
        <v>Medium</v>
      </c>
      <c r="AA449" s="5" t="s">
        <v>1319</v>
      </c>
      <c r="AB449" s="6" t="s">
        <v>1355</v>
      </c>
      <c r="AC449" s="6" t="s">
        <v>32</v>
      </c>
      <c r="AD449" s="5" t="s">
        <v>1805</v>
      </c>
      <c r="AE449" s="5" t="s">
        <v>1720</v>
      </c>
      <c r="AF449" s="5" t="s">
        <v>1720</v>
      </c>
      <c r="AG449" s="5" t="s">
        <v>1720</v>
      </c>
      <c r="AH449" s="5" t="s">
        <v>1720</v>
      </c>
      <c r="AI449" s="6" t="str">
        <f t="shared" si="13"/>
        <v>No</v>
      </c>
      <c r="AJ449" s="6" t="s">
        <v>287</v>
      </c>
      <c r="AK449" s="6" t="s">
        <v>204</v>
      </c>
      <c r="AL449" s="6">
        <f>MATCH(AA449,{"Low","Medium","High"},0)*MATCH(AB449,{"Low","Medium","High"},0)*INDEX({3,2,2,1,1},MATCH(X449,{"Core","Vertical extension","Differentiator","Future","Adjacent"},0))</f>
        <v>6</v>
      </c>
      <c r="AM449" s="5"/>
      <c r="AN449" s="5"/>
      <c r="AO449" s="5"/>
      <c r="AP449" s="5"/>
      <c r="AQ449" s="5"/>
      <c r="AR449" s="5"/>
      <c r="AS449" s="5"/>
      <c r="AT449" s="5"/>
      <c r="AU449" s="6" t="s">
        <v>2317</v>
      </c>
      <c r="AV449" s="6" t="s">
        <v>2794</v>
      </c>
      <c r="AW449" s="6" t="s">
        <v>2794</v>
      </c>
      <c r="AX449" s="6" t="s">
        <v>2284</v>
      </c>
      <c r="AY449" s="6" t="s">
        <v>2285</v>
      </c>
      <c r="AZ449" s="6"/>
      <c r="BA449" s="6"/>
      <c r="BB449" s="6"/>
      <c r="BC449" s="6" t="s">
        <v>127</v>
      </c>
      <c r="BD449" s="6" t="s">
        <v>127</v>
      </c>
      <c r="BE449" s="6" t="s">
        <v>1477</v>
      </c>
      <c r="BF449" s="6" t="s">
        <v>288</v>
      </c>
      <c r="BG449" s="6" t="s">
        <v>5970</v>
      </c>
      <c r="BH449" s="6" t="s">
        <v>5971</v>
      </c>
    </row>
    <row r="450" spans="1:60" ht="32" customHeight="1" x14ac:dyDescent="0.35">
      <c r="A450" s="13" t="s">
        <v>5972</v>
      </c>
      <c r="B450" s="6" t="s">
        <v>3901</v>
      </c>
      <c r="C450" s="5" t="s">
        <v>1652</v>
      </c>
      <c r="D450" s="5" t="s">
        <v>2198</v>
      </c>
      <c r="E450" s="5" t="s">
        <v>5973</v>
      </c>
      <c r="F450" s="5" t="s">
        <v>5260</v>
      </c>
      <c r="G450" s="5" t="s">
        <v>2396</v>
      </c>
      <c r="H450" s="5" t="s">
        <v>5974</v>
      </c>
      <c r="I450" s="5" t="s">
        <v>5975</v>
      </c>
      <c r="J450" s="17" t="s">
        <v>162</v>
      </c>
      <c r="K450" s="17" t="s">
        <v>1477</v>
      </c>
      <c r="L450" s="5" t="s">
        <v>5976</v>
      </c>
      <c r="M450" s="6" t="s">
        <v>1493</v>
      </c>
      <c r="N450" s="6" t="s">
        <v>2170</v>
      </c>
      <c r="O450" s="6" t="s">
        <v>162</v>
      </c>
      <c r="P450" s="5" t="s">
        <v>2272</v>
      </c>
      <c r="Q450" s="18" t="s">
        <v>1482</v>
      </c>
      <c r="R450" s="5" t="s">
        <v>2701</v>
      </c>
      <c r="S450" s="6" t="s">
        <v>2401</v>
      </c>
      <c r="T450" s="5" t="s">
        <v>2402</v>
      </c>
      <c r="U450" s="6"/>
      <c r="V450" s="6" t="s">
        <v>2403</v>
      </c>
      <c r="W450" s="6" t="s">
        <v>1703</v>
      </c>
      <c r="X450" s="5" t="s">
        <v>228</v>
      </c>
      <c r="Y450" s="5" t="s">
        <v>2170</v>
      </c>
      <c r="Z450" s="5" t="str">
        <f t="shared" ref="Z450:Z513" si="14">IF(AL450&gt;=18,"Critical",IF(AL450&gt;=9,"High",IF(AL450&gt;=4,"Medium","Low")))</f>
        <v>Medium</v>
      </c>
      <c r="AA450" s="5" t="s">
        <v>1319</v>
      </c>
      <c r="AB450" s="6" t="s">
        <v>1355</v>
      </c>
      <c r="AC450" s="6" t="s">
        <v>32</v>
      </c>
      <c r="AD450" s="5" t="s">
        <v>2278</v>
      </c>
      <c r="AE450" s="5" t="s">
        <v>1720</v>
      </c>
      <c r="AF450" s="5" t="s">
        <v>1720</v>
      </c>
      <c r="AG450" s="5" t="s">
        <v>1720</v>
      </c>
      <c r="AH450" s="5" t="s">
        <v>1720</v>
      </c>
      <c r="AI450" s="6" t="str">
        <f t="shared" ref="AI450:AI513" si="15">IF(AND(AU450="Pass",AE450&lt;&gt;"Not verified",AF450&lt;&gt;"Not verified",AG450&lt;&gt;"Not verified",AH450&lt;&gt;"Not verified",BC450="Yes",BD450="Yes"),"Yes","No")</f>
        <v>No</v>
      </c>
      <c r="AJ450" s="6" t="s">
        <v>2298</v>
      </c>
      <c r="AK450" s="6" t="s">
        <v>204</v>
      </c>
      <c r="AL450" s="6">
        <f>MATCH(AA450,{"Low","Medium","High"},0)*MATCH(AB450,{"Low","Medium","High"},0)*INDEX({3,2,2,1,1},MATCH(X450,{"Core","Vertical extension","Differentiator","Future","Adjacent"},0))</f>
        <v>6</v>
      </c>
      <c r="AM450" s="5"/>
      <c r="AN450" s="5"/>
      <c r="AO450" s="5"/>
      <c r="AP450" s="5"/>
      <c r="AQ450" s="5"/>
      <c r="AR450" s="5"/>
      <c r="AS450" s="5"/>
      <c r="AT450" s="5"/>
      <c r="AU450" s="6" t="s">
        <v>2317</v>
      </c>
      <c r="AV450" s="6" t="s">
        <v>5260</v>
      </c>
      <c r="AW450" s="6" t="s">
        <v>5260</v>
      </c>
      <c r="AX450" s="6" t="s">
        <v>2284</v>
      </c>
      <c r="AY450" s="6" t="s">
        <v>2285</v>
      </c>
      <c r="AZ450" s="6" t="s">
        <v>5977</v>
      </c>
      <c r="BA450" s="6" t="s">
        <v>2419</v>
      </c>
      <c r="BB450" s="6" t="s">
        <v>2420</v>
      </c>
      <c r="BC450" s="6" t="s">
        <v>127</v>
      </c>
      <c r="BD450" s="6" t="s">
        <v>127</v>
      </c>
      <c r="BE450" s="6"/>
      <c r="BF450" s="6"/>
      <c r="BG450" s="6"/>
      <c r="BH450" s="6"/>
    </row>
    <row r="451" spans="1:60" ht="32" customHeight="1" x14ac:dyDescent="0.35">
      <c r="A451" s="13" t="s">
        <v>5978</v>
      </c>
      <c r="B451" s="6" t="s">
        <v>3901</v>
      </c>
      <c r="C451" s="5" t="s">
        <v>1652</v>
      </c>
      <c r="D451" s="5" t="s">
        <v>2198</v>
      </c>
      <c r="E451" s="5" t="s">
        <v>5979</v>
      </c>
      <c r="F451" s="5" t="s">
        <v>1822</v>
      </c>
      <c r="G451" s="5" t="s">
        <v>2396</v>
      </c>
      <c r="H451" s="5" t="s">
        <v>5980</v>
      </c>
      <c r="I451" s="5" t="s">
        <v>5981</v>
      </c>
      <c r="J451" s="17" t="s">
        <v>162</v>
      </c>
      <c r="K451" s="17" t="s">
        <v>163</v>
      </c>
      <c r="L451" s="5" t="s">
        <v>5982</v>
      </c>
      <c r="M451" s="6" t="s">
        <v>1493</v>
      </c>
      <c r="N451" s="6" t="s">
        <v>2170</v>
      </c>
      <c r="O451" s="6" t="s">
        <v>162</v>
      </c>
      <c r="P451" s="5" t="s">
        <v>2272</v>
      </c>
      <c r="Q451" s="17" t="s">
        <v>163</v>
      </c>
      <c r="R451" s="5" t="s">
        <v>5983</v>
      </c>
      <c r="S451" s="6" t="s">
        <v>2401</v>
      </c>
      <c r="T451" s="5" t="s">
        <v>2402</v>
      </c>
      <c r="U451" s="6"/>
      <c r="V451" s="6" t="s">
        <v>2403</v>
      </c>
      <c r="W451" s="6" t="s">
        <v>1703</v>
      </c>
      <c r="X451" s="5" t="s">
        <v>228</v>
      </c>
      <c r="Y451" s="5" t="s">
        <v>2170</v>
      </c>
      <c r="Z451" s="5" t="str">
        <f t="shared" si="14"/>
        <v>Medium</v>
      </c>
      <c r="AA451" s="5" t="s">
        <v>1319</v>
      </c>
      <c r="AB451" s="6" t="s">
        <v>1355</v>
      </c>
      <c r="AC451" s="6" t="s">
        <v>32</v>
      </c>
      <c r="AD451" s="5" t="s">
        <v>1805</v>
      </c>
      <c r="AE451" s="5" t="s">
        <v>1720</v>
      </c>
      <c r="AF451" s="5" t="s">
        <v>1720</v>
      </c>
      <c r="AG451" s="5" t="s">
        <v>1720</v>
      </c>
      <c r="AH451" s="5" t="s">
        <v>1720</v>
      </c>
      <c r="AI451" s="6" t="str">
        <f t="shared" si="15"/>
        <v>No</v>
      </c>
      <c r="AJ451" s="6" t="s">
        <v>287</v>
      </c>
      <c r="AK451" s="6" t="s">
        <v>204</v>
      </c>
      <c r="AL451" s="6">
        <f>MATCH(AA451,{"Low","Medium","High"},0)*MATCH(AB451,{"Low","Medium","High"},0)*INDEX({3,2,2,1,1},MATCH(X451,{"Core","Vertical extension","Differentiator","Future","Adjacent"},0))</f>
        <v>6</v>
      </c>
      <c r="AM451" s="5"/>
      <c r="AN451" s="5"/>
      <c r="AO451" s="5"/>
      <c r="AP451" s="5"/>
      <c r="AQ451" s="5"/>
      <c r="AR451" s="5"/>
      <c r="AS451" s="5"/>
      <c r="AT451" s="5"/>
      <c r="AU451" s="6" t="s">
        <v>2317</v>
      </c>
      <c r="AV451" s="6" t="s">
        <v>76</v>
      </c>
      <c r="AW451" s="6" t="s">
        <v>76</v>
      </c>
      <c r="AX451" s="6" t="s">
        <v>2284</v>
      </c>
      <c r="AY451" s="6" t="s">
        <v>2285</v>
      </c>
      <c r="AZ451" s="6"/>
      <c r="BA451" s="6"/>
      <c r="BB451" s="6"/>
      <c r="BC451" s="6" t="s">
        <v>127</v>
      </c>
      <c r="BD451" s="6" t="s">
        <v>127</v>
      </c>
      <c r="BE451" s="6" t="s">
        <v>1477</v>
      </c>
      <c r="BF451" s="6" t="s">
        <v>288</v>
      </c>
      <c r="BG451" s="6" t="s">
        <v>5984</v>
      </c>
      <c r="BH451" s="6" t="s">
        <v>5985</v>
      </c>
    </row>
    <row r="452" spans="1:60" ht="32" customHeight="1" x14ac:dyDescent="0.35">
      <c r="A452" s="13" t="s">
        <v>5986</v>
      </c>
      <c r="B452" s="6" t="s">
        <v>3901</v>
      </c>
      <c r="C452" s="5" t="s">
        <v>1652</v>
      </c>
      <c r="D452" s="5" t="s">
        <v>2198</v>
      </c>
      <c r="E452" s="5" t="s">
        <v>5987</v>
      </c>
      <c r="F452" s="5" t="s">
        <v>3173</v>
      </c>
      <c r="G452" s="5" t="s">
        <v>5988</v>
      </c>
      <c r="H452" s="5" t="s">
        <v>5989</v>
      </c>
      <c r="I452" s="5" t="s">
        <v>5990</v>
      </c>
      <c r="J452" s="17" t="s">
        <v>162</v>
      </c>
      <c r="K452" s="17" t="s">
        <v>1477</v>
      </c>
      <c r="L452" s="5" t="s">
        <v>5991</v>
      </c>
      <c r="M452" s="6" t="s">
        <v>1493</v>
      </c>
      <c r="N452" s="6" t="s">
        <v>2170</v>
      </c>
      <c r="O452" s="6" t="s">
        <v>162</v>
      </c>
      <c r="P452" s="5" t="s">
        <v>2272</v>
      </c>
      <c r="Q452" s="17" t="s">
        <v>2273</v>
      </c>
      <c r="R452" s="5" t="s">
        <v>5992</v>
      </c>
      <c r="S452" s="6" t="s">
        <v>2401</v>
      </c>
      <c r="T452" s="5" t="s">
        <v>2402</v>
      </c>
      <c r="U452" s="6"/>
      <c r="V452" s="6" t="s">
        <v>2403</v>
      </c>
      <c r="W452" s="6" t="s">
        <v>1703</v>
      </c>
      <c r="X452" s="5" t="s">
        <v>228</v>
      </c>
      <c r="Y452" s="5" t="s">
        <v>2170</v>
      </c>
      <c r="Z452" s="5" t="str">
        <f t="shared" si="14"/>
        <v>Medium</v>
      </c>
      <c r="AA452" s="5" t="s">
        <v>1319</v>
      </c>
      <c r="AB452" s="6" t="s">
        <v>1355</v>
      </c>
      <c r="AC452" s="6" t="s">
        <v>32</v>
      </c>
      <c r="AD452" s="5" t="s">
        <v>2278</v>
      </c>
      <c r="AE452" s="5" t="s">
        <v>1720</v>
      </c>
      <c r="AF452" s="5" t="s">
        <v>1720</v>
      </c>
      <c r="AG452" s="5" t="s">
        <v>1720</v>
      </c>
      <c r="AH452" s="5" t="s">
        <v>1720</v>
      </c>
      <c r="AI452" s="6" t="str">
        <f t="shared" si="15"/>
        <v>No</v>
      </c>
      <c r="AJ452" s="6" t="s">
        <v>2298</v>
      </c>
      <c r="AK452" s="6" t="s">
        <v>204</v>
      </c>
      <c r="AL452" s="6">
        <f>MATCH(AA452,{"Low","Medium","High"},0)*MATCH(AB452,{"Low","Medium","High"},0)*INDEX({3,2,2,1,1},MATCH(X452,{"Core","Vertical extension","Differentiator","Future","Adjacent"},0))</f>
        <v>6</v>
      </c>
      <c r="AM452" s="5"/>
      <c r="AN452" s="5"/>
      <c r="AO452" s="5"/>
      <c r="AP452" s="5"/>
      <c r="AQ452" s="5"/>
      <c r="AR452" s="5"/>
      <c r="AS452" s="5"/>
      <c r="AT452" s="5"/>
      <c r="AU452" s="6" t="s">
        <v>2317</v>
      </c>
      <c r="AV452" s="6" t="s">
        <v>2898</v>
      </c>
      <c r="AW452" s="6" t="s">
        <v>2898</v>
      </c>
      <c r="AX452" s="6" t="s">
        <v>2284</v>
      </c>
      <c r="AY452" s="6" t="s">
        <v>2285</v>
      </c>
      <c r="AZ452" s="6"/>
      <c r="BA452" s="6"/>
      <c r="BB452" s="6"/>
      <c r="BC452" s="6" t="s">
        <v>127</v>
      </c>
      <c r="BD452" s="6" t="s">
        <v>127</v>
      </c>
      <c r="BE452" s="6" t="s">
        <v>1477</v>
      </c>
      <c r="BF452" s="6" t="s">
        <v>2286</v>
      </c>
      <c r="BG452" s="6" t="s">
        <v>5993</v>
      </c>
      <c r="BH452" s="6" t="s">
        <v>5994</v>
      </c>
    </row>
    <row r="453" spans="1:60" ht="32" customHeight="1" x14ac:dyDescent="0.35">
      <c r="A453" s="13" t="s">
        <v>5995</v>
      </c>
      <c r="B453" s="6" t="s">
        <v>3901</v>
      </c>
      <c r="C453" s="5" t="s">
        <v>1652</v>
      </c>
      <c r="D453" s="5" t="s">
        <v>2198</v>
      </c>
      <c r="E453" s="5" t="s">
        <v>5996</v>
      </c>
      <c r="F453" s="5" t="s">
        <v>3209</v>
      </c>
      <c r="G453" s="5" t="s">
        <v>2396</v>
      </c>
      <c r="H453" s="5" t="s">
        <v>5997</v>
      </c>
      <c r="I453" s="5" t="s">
        <v>5998</v>
      </c>
      <c r="J453" s="17" t="s">
        <v>162</v>
      </c>
      <c r="K453" s="17" t="s">
        <v>163</v>
      </c>
      <c r="L453" s="5" t="s">
        <v>5999</v>
      </c>
      <c r="M453" s="6" t="s">
        <v>1493</v>
      </c>
      <c r="N453" s="6" t="s">
        <v>2170</v>
      </c>
      <c r="O453" s="6" t="s">
        <v>162</v>
      </c>
      <c r="P453" s="5" t="s">
        <v>2272</v>
      </c>
      <c r="Q453" s="17" t="s">
        <v>163</v>
      </c>
      <c r="R453" s="5" t="s">
        <v>6000</v>
      </c>
      <c r="S453" s="6" t="s">
        <v>2401</v>
      </c>
      <c r="T453" s="5" t="s">
        <v>2402</v>
      </c>
      <c r="U453" s="6"/>
      <c r="V453" s="6" t="s">
        <v>2403</v>
      </c>
      <c r="W453" s="6" t="s">
        <v>1703</v>
      </c>
      <c r="X453" s="5" t="s">
        <v>228</v>
      </c>
      <c r="Y453" s="5" t="s">
        <v>2170</v>
      </c>
      <c r="Z453" s="5" t="str">
        <f t="shared" si="14"/>
        <v>Medium</v>
      </c>
      <c r="AA453" s="5" t="s">
        <v>1319</v>
      </c>
      <c r="AB453" s="6" t="s">
        <v>1355</v>
      </c>
      <c r="AC453" s="6" t="s">
        <v>32</v>
      </c>
      <c r="AD453" s="5" t="s">
        <v>1805</v>
      </c>
      <c r="AE453" s="5" t="s">
        <v>1720</v>
      </c>
      <c r="AF453" s="5" t="s">
        <v>1720</v>
      </c>
      <c r="AG453" s="5" t="s">
        <v>1720</v>
      </c>
      <c r="AH453" s="5" t="s">
        <v>1720</v>
      </c>
      <c r="AI453" s="6" t="str">
        <f t="shared" si="15"/>
        <v>No</v>
      </c>
      <c r="AJ453" s="6" t="s">
        <v>287</v>
      </c>
      <c r="AK453" s="6" t="s">
        <v>204</v>
      </c>
      <c r="AL453" s="6">
        <f>MATCH(AA453,{"Low","Medium","High"},0)*MATCH(AB453,{"Low","Medium","High"},0)*INDEX({3,2,2,1,1},MATCH(X453,{"Core","Vertical extension","Differentiator","Future","Adjacent"},0))</f>
        <v>6</v>
      </c>
      <c r="AM453" s="5"/>
      <c r="AN453" s="5"/>
      <c r="AO453" s="5"/>
      <c r="AP453" s="5"/>
      <c r="AQ453" s="5"/>
      <c r="AR453" s="5"/>
      <c r="AS453" s="5"/>
      <c r="AT453" s="5"/>
      <c r="AU453" s="6" t="s">
        <v>2317</v>
      </c>
      <c r="AV453" s="6" t="s">
        <v>2283</v>
      </c>
      <c r="AW453" s="6" t="s">
        <v>2283</v>
      </c>
      <c r="AX453" s="6" t="s">
        <v>2284</v>
      </c>
      <c r="AY453" s="6" t="s">
        <v>2285</v>
      </c>
      <c r="AZ453" s="6"/>
      <c r="BA453" s="6"/>
      <c r="BB453" s="6"/>
      <c r="BC453" s="6" t="s">
        <v>127</v>
      </c>
      <c r="BD453" s="6" t="s">
        <v>127</v>
      </c>
      <c r="BE453" s="6" t="s">
        <v>1477</v>
      </c>
      <c r="BF453" s="6" t="s">
        <v>288</v>
      </c>
      <c r="BG453" s="6" t="s">
        <v>6001</v>
      </c>
      <c r="BH453" s="6" t="s">
        <v>6002</v>
      </c>
    </row>
    <row r="454" spans="1:60" ht="32" customHeight="1" x14ac:dyDescent="0.35">
      <c r="A454" s="13" t="s">
        <v>6003</v>
      </c>
      <c r="B454" s="6" t="s">
        <v>3901</v>
      </c>
      <c r="C454" s="5" t="s">
        <v>1652</v>
      </c>
      <c r="D454" s="5" t="s">
        <v>2198</v>
      </c>
      <c r="E454" s="5" t="s">
        <v>6004</v>
      </c>
      <c r="F454" s="5" t="s">
        <v>6005</v>
      </c>
      <c r="G454" s="5" t="s">
        <v>2983</v>
      </c>
      <c r="H454" s="5" t="s">
        <v>6006</v>
      </c>
      <c r="I454" s="5" t="s">
        <v>6007</v>
      </c>
      <c r="J454" s="17" t="s">
        <v>162</v>
      </c>
      <c r="K454" s="17" t="s">
        <v>95</v>
      </c>
      <c r="L454" s="5" t="s">
        <v>6008</v>
      </c>
      <c r="M454" s="6" t="s">
        <v>1493</v>
      </c>
      <c r="N454" s="6" t="s">
        <v>2170</v>
      </c>
      <c r="O454" s="6" t="s">
        <v>162</v>
      </c>
      <c r="P454" s="5" t="s">
        <v>2272</v>
      </c>
      <c r="Q454" s="17" t="s">
        <v>95</v>
      </c>
      <c r="R454" s="5" t="s">
        <v>6009</v>
      </c>
      <c r="S454" s="6" t="s">
        <v>2401</v>
      </c>
      <c r="T454" s="5" t="s">
        <v>2402</v>
      </c>
      <c r="U454" s="6"/>
      <c r="V454" s="6" t="s">
        <v>2403</v>
      </c>
      <c r="W454" s="6" t="s">
        <v>1703</v>
      </c>
      <c r="X454" s="5" t="s">
        <v>228</v>
      </c>
      <c r="Y454" s="5" t="s">
        <v>2170</v>
      </c>
      <c r="Z454" s="5" t="str">
        <f t="shared" si="14"/>
        <v>Medium</v>
      </c>
      <c r="AA454" s="5" t="s">
        <v>1319</v>
      </c>
      <c r="AB454" s="6" t="s">
        <v>1355</v>
      </c>
      <c r="AC454" s="6" t="s">
        <v>32</v>
      </c>
      <c r="AD454" s="5" t="s">
        <v>95</v>
      </c>
      <c r="AE454" s="5" t="s">
        <v>1720</v>
      </c>
      <c r="AF454" s="5" t="s">
        <v>1720</v>
      </c>
      <c r="AG454" s="5" t="s">
        <v>1720</v>
      </c>
      <c r="AH454" s="5" t="s">
        <v>1720</v>
      </c>
      <c r="AI454" s="6" t="str">
        <f t="shared" si="15"/>
        <v>No</v>
      </c>
      <c r="AJ454" s="6" t="s">
        <v>229</v>
      </c>
      <c r="AK454" s="6" t="s">
        <v>204</v>
      </c>
      <c r="AL454" s="6">
        <f>MATCH(AA454,{"Low","Medium","High"},0)*MATCH(AB454,{"Low","Medium","High"},0)*INDEX({3,2,2,1,1},MATCH(X454,{"Core","Vertical extension","Differentiator","Future","Adjacent"},0))</f>
        <v>6</v>
      </c>
      <c r="AM454" s="5"/>
      <c r="AN454" s="5"/>
      <c r="AO454" s="5"/>
      <c r="AP454" s="5"/>
      <c r="AQ454" s="5"/>
      <c r="AR454" s="5"/>
      <c r="AS454" s="5"/>
      <c r="AT454" s="5"/>
      <c r="AU454" s="6" t="s">
        <v>2317</v>
      </c>
      <c r="AV454" s="6" t="s">
        <v>2283</v>
      </c>
      <c r="AW454" s="6" t="s">
        <v>2283</v>
      </c>
      <c r="AX454" s="6" t="s">
        <v>2284</v>
      </c>
      <c r="AY454" s="6" t="s">
        <v>2285</v>
      </c>
      <c r="AZ454" s="6"/>
      <c r="BA454" s="6"/>
      <c r="BB454" s="6"/>
      <c r="BC454" s="6" t="s">
        <v>127</v>
      </c>
      <c r="BD454" s="6" t="s">
        <v>127</v>
      </c>
      <c r="BE454" s="6" t="s">
        <v>1477</v>
      </c>
      <c r="BF454" s="6" t="s">
        <v>95</v>
      </c>
      <c r="BG454" s="6" t="s">
        <v>6010</v>
      </c>
      <c r="BH454" s="6" t="s">
        <v>6011</v>
      </c>
    </row>
    <row r="455" spans="1:60" ht="32" customHeight="1" x14ac:dyDescent="0.35">
      <c r="A455" s="13" t="s">
        <v>6012</v>
      </c>
      <c r="B455" s="6" t="s">
        <v>3901</v>
      </c>
      <c r="C455" s="5" t="s">
        <v>1652</v>
      </c>
      <c r="D455" s="5" t="s">
        <v>2198</v>
      </c>
      <c r="E455" s="5" t="s">
        <v>6013</v>
      </c>
      <c r="F455" s="5" t="s">
        <v>6014</v>
      </c>
      <c r="G455" s="5" t="s">
        <v>2973</v>
      </c>
      <c r="H455" s="5" t="s">
        <v>6015</v>
      </c>
      <c r="I455" s="5" t="s">
        <v>6016</v>
      </c>
      <c r="J455" s="17" t="s">
        <v>162</v>
      </c>
      <c r="K455" s="17" t="s">
        <v>1477</v>
      </c>
      <c r="L455" s="5" t="s">
        <v>6017</v>
      </c>
      <c r="M455" s="6" t="s">
        <v>1493</v>
      </c>
      <c r="N455" s="6" t="s">
        <v>2170</v>
      </c>
      <c r="O455" s="6" t="s">
        <v>162</v>
      </c>
      <c r="P455" s="5" t="s">
        <v>2272</v>
      </c>
      <c r="Q455" s="17" t="s">
        <v>2273</v>
      </c>
      <c r="R455" s="5" t="s">
        <v>6018</v>
      </c>
      <c r="S455" s="6" t="s">
        <v>2401</v>
      </c>
      <c r="T455" s="5" t="s">
        <v>2402</v>
      </c>
      <c r="U455" s="6"/>
      <c r="V455" s="6" t="s">
        <v>2403</v>
      </c>
      <c r="W455" s="6" t="s">
        <v>1703</v>
      </c>
      <c r="X455" s="5" t="s">
        <v>228</v>
      </c>
      <c r="Y455" s="5" t="s">
        <v>2170</v>
      </c>
      <c r="Z455" s="5" t="str">
        <f t="shared" si="14"/>
        <v>Medium</v>
      </c>
      <c r="AA455" s="5" t="s">
        <v>1319</v>
      </c>
      <c r="AB455" s="6" t="s">
        <v>1355</v>
      </c>
      <c r="AC455" s="6" t="s">
        <v>32</v>
      </c>
      <c r="AD455" s="5" t="s">
        <v>2278</v>
      </c>
      <c r="AE455" s="5" t="s">
        <v>1720</v>
      </c>
      <c r="AF455" s="5" t="s">
        <v>1720</v>
      </c>
      <c r="AG455" s="5" t="s">
        <v>1720</v>
      </c>
      <c r="AH455" s="5" t="s">
        <v>1720</v>
      </c>
      <c r="AI455" s="6" t="str">
        <f t="shared" si="15"/>
        <v>No</v>
      </c>
      <c r="AJ455" s="6" t="s">
        <v>2298</v>
      </c>
      <c r="AK455" s="6" t="s">
        <v>204</v>
      </c>
      <c r="AL455" s="6">
        <f>MATCH(AA455,{"Low","Medium","High"},0)*MATCH(AB455,{"Low","Medium","High"},0)*INDEX({3,2,2,1,1},MATCH(X455,{"Core","Vertical extension","Differentiator","Future","Adjacent"},0))</f>
        <v>6</v>
      </c>
      <c r="AM455" s="5"/>
      <c r="AN455" s="5"/>
      <c r="AO455" s="5"/>
      <c r="AP455" s="5"/>
      <c r="AQ455" s="5"/>
      <c r="AR455" s="5"/>
      <c r="AS455" s="5"/>
      <c r="AT455" s="5"/>
      <c r="AU455" s="6" t="s">
        <v>2317</v>
      </c>
      <c r="AV455" s="6" t="s">
        <v>3968</v>
      </c>
      <c r="AW455" s="6" t="s">
        <v>3968</v>
      </c>
      <c r="AX455" s="6" t="s">
        <v>2284</v>
      </c>
      <c r="AY455" s="6" t="s">
        <v>2285</v>
      </c>
      <c r="AZ455" s="6"/>
      <c r="BA455" s="6"/>
      <c r="BB455" s="6"/>
      <c r="BC455" s="6" t="s">
        <v>127</v>
      </c>
      <c r="BD455" s="6" t="s">
        <v>127</v>
      </c>
      <c r="BE455" s="6" t="s">
        <v>1477</v>
      </c>
      <c r="BF455" s="6" t="s">
        <v>2286</v>
      </c>
      <c r="BG455" s="6" t="s">
        <v>6019</v>
      </c>
      <c r="BH455" s="6" t="s">
        <v>6020</v>
      </c>
    </row>
    <row r="456" spans="1:60" ht="32" customHeight="1" x14ac:dyDescent="0.35">
      <c r="A456" s="13" t="s">
        <v>6021</v>
      </c>
      <c r="B456" s="6" t="s">
        <v>3901</v>
      </c>
      <c r="C456" s="5" t="s">
        <v>1652</v>
      </c>
      <c r="D456" s="5" t="s">
        <v>2198</v>
      </c>
      <c r="E456" s="5" t="s">
        <v>6022</v>
      </c>
      <c r="F456" s="5" t="s">
        <v>3973</v>
      </c>
      <c r="G456" s="5" t="s">
        <v>2973</v>
      </c>
      <c r="H456" s="5" t="s">
        <v>6023</v>
      </c>
      <c r="I456" s="5" t="s">
        <v>6024</v>
      </c>
      <c r="J456" s="17" t="s">
        <v>162</v>
      </c>
      <c r="K456" s="17" t="s">
        <v>1477</v>
      </c>
      <c r="L456" s="5" t="s">
        <v>6025</v>
      </c>
      <c r="M456" s="6" t="s">
        <v>1493</v>
      </c>
      <c r="N456" s="6" t="s">
        <v>2170</v>
      </c>
      <c r="O456" s="6" t="s">
        <v>162</v>
      </c>
      <c r="P456" s="5" t="s">
        <v>2369</v>
      </c>
      <c r="Q456" s="17" t="s">
        <v>2273</v>
      </c>
      <c r="R456" s="5" t="s">
        <v>6026</v>
      </c>
      <c r="S456" s="6" t="s">
        <v>2401</v>
      </c>
      <c r="T456" s="5" t="s">
        <v>2402</v>
      </c>
      <c r="U456" s="6"/>
      <c r="V456" s="6" t="s">
        <v>2403</v>
      </c>
      <c r="W456" s="6" t="s">
        <v>1703</v>
      </c>
      <c r="X456" s="5" t="s">
        <v>228</v>
      </c>
      <c r="Y456" s="5" t="s">
        <v>2170</v>
      </c>
      <c r="Z456" s="5" t="str">
        <f t="shared" si="14"/>
        <v>Medium</v>
      </c>
      <c r="AA456" s="5" t="s">
        <v>1319</v>
      </c>
      <c r="AB456" s="6" t="s">
        <v>1355</v>
      </c>
      <c r="AC456" s="6" t="s">
        <v>32</v>
      </c>
      <c r="AD456" s="5" t="s">
        <v>2278</v>
      </c>
      <c r="AE456" s="5" t="s">
        <v>1720</v>
      </c>
      <c r="AF456" s="5" t="s">
        <v>1720</v>
      </c>
      <c r="AG456" s="5" t="s">
        <v>1720</v>
      </c>
      <c r="AH456" s="5" t="s">
        <v>1720</v>
      </c>
      <c r="AI456" s="6" t="str">
        <f t="shared" si="15"/>
        <v>No</v>
      </c>
      <c r="AJ456" s="6" t="s">
        <v>2298</v>
      </c>
      <c r="AK456" s="6" t="s">
        <v>204</v>
      </c>
      <c r="AL456" s="6">
        <f>MATCH(AA456,{"Low","Medium","High"},0)*MATCH(AB456,{"Low","Medium","High"},0)*INDEX({3,2,2,1,1},MATCH(X456,{"Core","Vertical extension","Differentiator","Future","Adjacent"},0))</f>
        <v>6</v>
      </c>
      <c r="AM456" s="5"/>
      <c r="AN456" s="5"/>
      <c r="AO456" s="5"/>
      <c r="AP456" s="5"/>
      <c r="AQ456" s="5"/>
      <c r="AR456" s="5"/>
      <c r="AS456" s="5"/>
      <c r="AT456" s="5"/>
      <c r="AU456" s="6" t="s">
        <v>2317</v>
      </c>
      <c r="AV456" s="6" t="s">
        <v>3968</v>
      </c>
      <c r="AW456" s="6" t="s">
        <v>3968</v>
      </c>
      <c r="AX456" s="6" t="s">
        <v>2374</v>
      </c>
      <c r="AY456" s="6" t="s">
        <v>2285</v>
      </c>
      <c r="AZ456" s="6"/>
      <c r="BA456" s="6"/>
      <c r="BB456" s="6"/>
      <c r="BC456" s="6" t="s">
        <v>127</v>
      </c>
      <c r="BD456" s="6" t="s">
        <v>127</v>
      </c>
      <c r="BE456" s="6" t="s">
        <v>1477</v>
      </c>
      <c r="BF456" s="6" t="s">
        <v>2286</v>
      </c>
      <c r="BG456" s="6" t="s">
        <v>6027</v>
      </c>
      <c r="BH456" s="6" t="s">
        <v>6028</v>
      </c>
    </row>
    <row r="457" spans="1:60" ht="32" customHeight="1" x14ac:dyDescent="0.35">
      <c r="A457" s="13" t="s">
        <v>6029</v>
      </c>
      <c r="B457" s="6" t="s">
        <v>3901</v>
      </c>
      <c r="C457" s="5" t="s">
        <v>1652</v>
      </c>
      <c r="D457" s="5" t="s">
        <v>2198</v>
      </c>
      <c r="E457" s="5" t="s">
        <v>6030</v>
      </c>
      <c r="F457" s="5" t="s">
        <v>4862</v>
      </c>
      <c r="G457" s="5" t="s">
        <v>3209</v>
      </c>
      <c r="H457" s="5" t="s">
        <v>6031</v>
      </c>
      <c r="I457" s="5" t="s">
        <v>6032</v>
      </c>
      <c r="J457" s="17" t="s">
        <v>162</v>
      </c>
      <c r="K457" s="17" t="s">
        <v>1477</v>
      </c>
      <c r="L457" s="5" t="s">
        <v>6033</v>
      </c>
      <c r="M457" s="6" t="s">
        <v>1493</v>
      </c>
      <c r="N457" s="6" t="s">
        <v>2170</v>
      </c>
      <c r="O457" s="6" t="s">
        <v>162</v>
      </c>
      <c r="P457" s="5" t="s">
        <v>2272</v>
      </c>
      <c r="Q457" s="17" t="s">
        <v>2273</v>
      </c>
      <c r="R457" s="5" t="s">
        <v>6034</v>
      </c>
      <c r="S457" s="6" t="s">
        <v>2401</v>
      </c>
      <c r="T457" s="5" t="s">
        <v>2402</v>
      </c>
      <c r="U457" s="6"/>
      <c r="V457" s="6" t="s">
        <v>2403</v>
      </c>
      <c r="W457" s="6" t="s">
        <v>1703</v>
      </c>
      <c r="X457" s="5" t="s">
        <v>228</v>
      </c>
      <c r="Y457" s="5" t="s">
        <v>2170</v>
      </c>
      <c r="Z457" s="5" t="str">
        <f t="shared" si="14"/>
        <v>Medium</v>
      </c>
      <c r="AA457" s="5" t="s">
        <v>1319</v>
      </c>
      <c r="AB457" s="6" t="s">
        <v>1355</v>
      </c>
      <c r="AC457" s="6" t="s">
        <v>32</v>
      </c>
      <c r="AD457" s="5" t="s">
        <v>2278</v>
      </c>
      <c r="AE457" s="5" t="s">
        <v>1720</v>
      </c>
      <c r="AF457" s="5" t="s">
        <v>1720</v>
      </c>
      <c r="AG457" s="5" t="s">
        <v>1720</v>
      </c>
      <c r="AH457" s="5" t="s">
        <v>1720</v>
      </c>
      <c r="AI457" s="6" t="str">
        <f t="shared" si="15"/>
        <v>No</v>
      </c>
      <c r="AJ457" s="6" t="s">
        <v>2298</v>
      </c>
      <c r="AK457" s="6" t="s">
        <v>204</v>
      </c>
      <c r="AL457" s="6">
        <f>MATCH(AA457,{"Low","Medium","High"},0)*MATCH(AB457,{"Low","Medium","High"},0)*INDEX({3,2,2,1,1},MATCH(X457,{"Core","Vertical extension","Differentiator","Future","Adjacent"},0))</f>
        <v>6</v>
      </c>
      <c r="AM457" s="5"/>
      <c r="AN457" s="5"/>
      <c r="AO457" s="5"/>
      <c r="AP457" s="5"/>
      <c r="AQ457" s="5"/>
      <c r="AR457" s="5"/>
      <c r="AS457" s="5"/>
      <c r="AT457" s="5"/>
      <c r="AU457" s="6" t="s">
        <v>2317</v>
      </c>
      <c r="AV457" s="6" t="s">
        <v>3968</v>
      </c>
      <c r="AW457" s="6" t="s">
        <v>3968</v>
      </c>
      <c r="AX457" s="6" t="s">
        <v>2284</v>
      </c>
      <c r="AY457" s="6" t="s">
        <v>2285</v>
      </c>
      <c r="AZ457" s="6"/>
      <c r="BA457" s="6" t="s">
        <v>4008</v>
      </c>
      <c r="BB457" s="6" t="s">
        <v>4009</v>
      </c>
      <c r="BC457" s="6" t="s">
        <v>127</v>
      </c>
      <c r="BD457" s="6" t="s">
        <v>127</v>
      </c>
      <c r="BE457" s="6" t="s">
        <v>1477</v>
      </c>
      <c r="BF457" s="6" t="s">
        <v>2286</v>
      </c>
      <c r="BG457" s="6" t="s">
        <v>6035</v>
      </c>
      <c r="BH457" s="6" t="s">
        <v>6036</v>
      </c>
    </row>
    <row r="458" spans="1:60" ht="32" customHeight="1" x14ac:dyDescent="0.35">
      <c r="A458" s="13" t="s">
        <v>6037</v>
      </c>
      <c r="B458" s="6" t="s">
        <v>3901</v>
      </c>
      <c r="C458" s="5" t="s">
        <v>1652</v>
      </c>
      <c r="D458" s="5" t="s">
        <v>2198</v>
      </c>
      <c r="E458" s="5" t="s">
        <v>6038</v>
      </c>
      <c r="F458" s="5" t="s">
        <v>2973</v>
      </c>
      <c r="G458" s="5" t="s">
        <v>2974</v>
      </c>
      <c r="H458" s="5" t="s">
        <v>6039</v>
      </c>
      <c r="I458" s="5" t="s">
        <v>6040</v>
      </c>
      <c r="J458" s="17" t="s">
        <v>162</v>
      </c>
      <c r="K458" s="17" t="s">
        <v>1477</v>
      </c>
      <c r="L458" s="5" t="s">
        <v>6041</v>
      </c>
      <c r="M458" s="6" t="s">
        <v>1493</v>
      </c>
      <c r="N458" s="6" t="s">
        <v>2170</v>
      </c>
      <c r="O458" s="6" t="s">
        <v>162</v>
      </c>
      <c r="P458" s="5" t="s">
        <v>2272</v>
      </c>
      <c r="Q458" s="17" t="s">
        <v>2273</v>
      </c>
      <c r="R458" s="5" t="s">
        <v>6042</v>
      </c>
      <c r="S458" s="6" t="s">
        <v>2401</v>
      </c>
      <c r="T458" s="5" t="s">
        <v>2402</v>
      </c>
      <c r="U458" s="6"/>
      <c r="V458" s="6" t="s">
        <v>2403</v>
      </c>
      <c r="W458" s="6" t="s">
        <v>1703</v>
      </c>
      <c r="X458" s="5" t="s">
        <v>228</v>
      </c>
      <c r="Y458" s="5" t="s">
        <v>2170</v>
      </c>
      <c r="Z458" s="5" t="str">
        <f t="shared" si="14"/>
        <v>Medium</v>
      </c>
      <c r="AA458" s="5" t="s">
        <v>1319</v>
      </c>
      <c r="AB458" s="6" t="s">
        <v>1355</v>
      </c>
      <c r="AC458" s="6" t="s">
        <v>32</v>
      </c>
      <c r="AD458" s="5" t="s">
        <v>2278</v>
      </c>
      <c r="AE458" s="5" t="s">
        <v>1720</v>
      </c>
      <c r="AF458" s="5" t="s">
        <v>1720</v>
      </c>
      <c r="AG458" s="5" t="s">
        <v>1720</v>
      </c>
      <c r="AH458" s="5" t="s">
        <v>1720</v>
      </c>
      <c r="AI458" s="6" t="str">
        <f t="shared" si="15"/>
        <v>No</v>
      </c>
      <c r="AJ458" s="6" t="s">
        <v>2298</v>
      </c>
      <c r="AK458" s="6" t="s">
        <v>204</v>
      </c>
      <c r="AL458" s="6">
        <f>MATCH(AA458,{"Low","Medium","High"},0)*MATCH(AB458,{"Low","Medium","High"},0)*INDEX({3,2,2,1,1},MATCH(X458,{"Core","Vertical extension","Differentiator","Future","Adjacent"},0))</f>
        <v>6</v>
      </c>
      <c r="AM458" s="5"/>
      <c r="AN458" s="5"/>
      <c r="AO458" s="5"/>
      <c r="AP458" s="5"/>
      <c r="AQ458" s="5"/>
      <c r="AR458" s="5"/>
      <c r="AS458" s="5"/>
      <c r="AT458" s="5"/>
      <c r="AU458" s="6" t="s">
        <v>2317</v>
      </c>
      <c r="AV458" s="6" t="s">
        <v>76</v>
      </c>
      <c r="AW458" s="6" t="s">
        <v>76</v>
      </c>
      <c r="AX458" s="6" t="s">
        <v>2284</v>
      </c>
      <c r="AY458" s="6" t="s">
        <v>2285</v>
      </c>
      <c r="AZ458" s="6"/>
      <c r="BA458" s="6"/>
      <c r="BB458" s="6"/>
      <c r="BC458" s="6" t="s">
        <v>127</v>
      </c>
      <c r="BD458" s="6" t="s">
        <v>127</v>
      </c>
      <c r="BE458" s="6" t="s">
        <v>1477</v>
      </c>
      <c r="BF458" s="6" t="s">
        <v>2286</v>
      </c>
      <c r="BG458" s="6" t="s">
        <v>6043</v>
      </c>
      <c r="BH458" s="6" t="s">
        <v>6044</v>
      </c>
    </row>
    <row r="459" spans="1:60" ht="32" customHeight="1" x14ac:dyDescent="0.35">
      <c r="A459" s="13" t="s">
        <v>6045</v>
      </c>
      <c r="B459" s="6" t="s">
        <v>3901</v>
      </c>
      <c r="C459" s="5" t="s">
        <v>1652</v>
      </c>
      <c r="D459" s="5" t="s">
        <v>2198</v>
      </c>
      <c r="E459" s="5" t="s">
        <v>6046</v>
      </c>
      <c r="F459" s="5" t="s">
        <v>2973</v>
      </c>
      <c r="G459" s="5" t="s">
        <v>2974</v>
      </c>
      <c r="H459" s="5" t="s">
        <v>6047</v>
      </c>
      <c r="I459" s="5" t="s">
        <v>6048</v>
      </c>
      <c r="J459" s="17" t="s">
        <v>162</v>
      </c>
      <c r="K459" s="17" t="s">
        <v>95</v>
      </c>
      <c r="L459" s="5" t="s">
        <v>6049</v>
      </c>
      <c r="M459" s="6" t="s">
        <v>1493</v>
      </c>
      <c r="N459" s="6" t="s">
        <v>2170</v>
      </c>
      <c r="O459" s="6" t="s">
        <v>162</v>
      </c>
      <c r="P459" s="5" t="s">
        <v>2272</v>
      </c>
      <c r="Q459" s="17" t="s">
        <v>95</v>
      </c>
      <c r="R459" s="5" t="s">
        <v>6050</v>
      </c>
      <c r="S459" s="6" t="s">
        <v>2401</v>
      </c>
      <c r="T459" s="5" t="s">
        <v>2402</v>
      </c>
      <c r="U459" s="6"/>
      <c r="V459" s="6" t="s">
        <v>2403</v>
      </c>
      <c r="W459" s="6" t="s">
        <v>1703</v>
      </c>
      <c r="X459" s="5" t="s">
        <v>228</v>
      </c>
      <c r="Y459" s="5" t="s">
        <v>2170</v>
      </c>
      <c r="Z459" s="5" t="str">
        <f t="shared" si="14"/>
        <v>Medium</v>
      </c>
      <c r="AA459" s="5" t="s">
        <v>1319</v>
      </c>
      <c r="AB459" s="6" t="s">
        <v>1355</v>
      </c>
      <c r="AC459" s="6" t="s">
        <v>32</v>
      </c>
      <c r="AD459" s="5" t="s">
        <v>95</v>
      </c>
      <c r="AE459" s="5" t="s">
        <v>1720</v>
      </c>
      <c r="AF459" s="5" t="s">
        <v>1720</v>
      </c>
      <c r="AG459" s="5" t="s">
        <v>1720</v>
      </c>
      <c r="AH459" s="5" t="s">
        <v>1720</v>
      </c>
      <c r="AI459" s="6" t="str">
        <f t="shared" si="15"/>
        <v>No</v>
      </c>
      <c r="AJ459" s="6" t="s">
        <v>229</v>
      </c>
      <c r="AK459" s="6" t="s">
        <v>204</v>
      </c>
      <c r="AL459" s="6">
        <f>MATCH(AA459,{"Low","Medium","High"},0)*MATCH(AB459,{"Low","Medium","High"},0)*INDEX({3,2,2,1,1},MATCH(X459,{"Core","Vertical extension","Differentiator","Future","Adjacent"},0))</f>
        <v>6</v>
      </c>
      <c r="AM459" s="5"/>
      <c r="AN459" s="5"/>
      <c r="AO459" s="5"/>
      <c r="AP459" s="5"/>
      <c r="AQ459" s="5"/>
      <c r="AR459" s="5"/>
      <c r="AS459" s="5"/>
      <c r="AT459" s="5"/>
      <c r="AU459" s="6" t="s">
        <v>2317</v>
      </c>
      <c r="AV459" s="6" t="s">
        <v>76</v>
      </c>
      <c r="AW459" s="6" t="s">
        <v>76</v>
      </c>
      <c r="AX459" s="6" t="s">
        <v>2284</v>
      </c>
      <c r="AY459" s="6" t="s">
        <v>2285</v>
      </c>
      <c r="AZ459" s="6"/>
      <c r="BA459" s="6"/>
      <c r="BB459" s="6"/>
      <c r="BC459" s="6" t="s">
        <v>127</v>
      </c>
      <c r="BD459" s="6" t="s">
        <v>127</v>
      </c>
      <c r="BE459" s="6" t="s">
        <v>1477</v>
      </c>
      <c r="BF459" s="6" t="s">
        <v>95</v>
      </c>
      <c r="BG459" s="6" t="s">
        <v>6051</v>
      </c>
      <c r="BH459" s="6" t="s">
        <v>6052</v>
      </c>
    </row>
    <row r="460" spans="1:60" ht="32" customHeight="1" x14ac:dyDescent="0.35">
      <c r="A460" s="13" t="s">
        <v>6053</v>
      </c>
      <c r="B460" s="6" t="s">
        <v>3901</v>
      </c>
      <c r="C460" s="5" t="s">
        <v>1652</v>
      </c>
      <c r="D460" s="5" t="s">
        <v>2198</v>
      </c>
      <c r="E460" s="5" t="s">
        <v>6054</v>
      </c>
      <c r="F460" s="5" t="s">
        <v>6055</v>
      </c>
      <c r="G460" s="5" t="s">
        <v>3173</v>
      </c>
      <c r="H460" s="5" t="s">
        <v>6056</v>
      </c>
      <c r="I460" s="5" t="s">
        <v>6057</v>
      </c>
      <c r="J460" s="17" t="s">
        <v>162</v>
      </c>
      <c r="K460" s="17" t="s">
        <v>95</v>
      </c>
      <c r="L460" s="5" t="s">
        <v>6058</v>
      </c>
      <c r="M460" s="6" t="s">
        <v>1493</v>
      </c>
      <c r="N460" s="6" t="s">
        <v>2170</v>
      </c>
      <c r="O460" s="6" t="s">
        <v>162</v>
      </c>
      <c r="P460" s="5" t="s">
        <v>2272</v>
      </c>
      <c r="Q460" s="17" t="s">
        <v>95</v>
      </c>
      <c r="R460" s="5" t="s">
        <v>6059</v>
      </c>
      <c r="S460" s="6" t="s">
        <v>2401</v>
      </c>
      <c r="T460" s="5" t="s">
        <v>2402</v>
      </c>
      <c r="U460" s="6"/>
      <c r="V460" s="6" t="s">
        <v>2403</v>
      </c>
      <c r="W460" s="6" t="s">
        <v>1703</v>
      </c>
      <c r="X460" s="5" t="s">
        <v>228</v>
      </c>
      <c r="Y460" s="5" t="s">
        <v>2170</v>
      </c>
      <c r="Z460" s="5" t="str">
        <f t="shared" si="14"/>
        <v>Medium</v>
      </c>
      <c r="AA460" s="5" t="s">
        <v>1319</v>
      </c>
      <c r="AB460" s="6" t="s">
        <v>1355</v>
      </c>
      <c r="AC460" s="6" t="s">
        <v>32</v>
      </c>
      <c r="AD460" s="5" t="s">
        <v>95</v>
      </c>
      <c r="AE460" s="5" t="s">
        <v>1720</v>
      </c>
      <c r="AF460" s="5" t="s">
        <v>1720</v>
      </c>
      <c r="AG460" s="5" t="s">
        <v>1720</v>
      </c>
      <c r="AH460" s="5" t="s">
        <v>1720</v>
      </c>
      <c r="AI460" s="6" t="str">
        <f t="shared" si="15"/>
        <v>No</v>
      </c>
      <c r="AJ460" s="6" t="s">
        <v>229</v>
      </c>
      <c r="AK460" s="6" t="s">
        <v>204</v>
      </c>
      <c r="AL460" s="6">
        <f>MATCH(AA460,{"Low","Medium","High"},0)*MATCH(AB460,{"Low","Medium","High"},0)*INDEX({3,2,2,1,1},MATCH(X460,{"Core","Vertical extension","Differentiator","Future","Adjacent"},0))</f>
        <v>6</v>
      </c>
      <c r="AM460" s="5"/>
      <c r="AN460" s="5"/>
      <c r="AO460" s="5"/>
      <c r="AP460" s="5"/>
      <c r="AQ460" s="5"/>
      <c r="AR460" s="5"/>
      <c r="AS460" s="5"/>
      <c r="AT460" s="5"/>
      <c r="AU460" s="6" t="s">
        <v>2317</v>
      </c>
      <c r="AV460" s="6" t="s">
        <v>3968</v>
      </c>
      <c r="AW460" s="6" t="s">
        <v>3968</v>
      </c>
      <c r="AX460" s="6" t="s">
        <v>2284</v>
      </c>
      <c r="AY460" s="6" t="s">
        <v>2285</v>
      </c>
      <c r="AZ460" s="6"/>
      <c r="BA460" s="6"/>
      <c r="BB460" s="6"/>
      <c r="BC460" s="6" t="s">
        <v>127</v>
      </c>
      <c r="BD460" s="6" t="s">
        <v>127</v>
      </c>
      <c r="BE460" s="6" t="s">
        <v>1477</v>
      </c>
      <c r="BF460" s="6" t="s">
        <v>95</v>
      </c>
      <c r="BG460" s="6" t="s">
        <v>6060</v>
      </c>
      <c r="BH460" s="6" t="s">
        <v>6061</v>
      </c>
    </row>
    <row r="461" spans="1:60" ht="32" customHeight="1" x14ac:dyDescent="0.35">
      <c r="A461" s="13" t="s">
        <v>6062</v>
      </c>
      <c r="B461" s="6" t="s">
        <v>3901</v>
      </c>
      <c r="C461" s="5" t="s">
        <v>1652</v>
      </c>
      <c r="D461" s="5" t="s">
        <v>2198</v>
      </c>
      <c r="E461" s="5" t="s">
        <v>6063</v>
      </c>
      <c r="F461" s="5" t="s">
        <v>6064</v>
      </c>
      <c r="G461" s="5" t="s">
        <v>6065</v>
      </c>
      <c r="H461" s="5" t="s">
        <v>6066</v>
      </c>
      <c r="I461" s="5" t="s">
        <v>6067</v>
      </c>
      <c r="J461" s="17" t="s">
        <v>162</v>
      </c>
      <c r="K461" s="17" t="s">
        <v>95</v>
      </c>
      <c r="L461" s="5" t="s">
        <v>6068</v>
      </c>
      <c r="M461" s="6" t="s">
        <v>1493</v>
      </c>
      <c r="N461" s="6" t="s">
        <v>2170</v>
      </c>
      <c r="O461" s="6" t="s">
        <v>162</v>
      </c>
      <c r="P461" s="5" t="s">
        <v>2369</v>
      </c>
      <c r="Q461" s="17" t="s">
        <v>95</v>
      </c>
      <c r="R461" s="5" t="s">
        <v>6069</v>
      </c>
      <c r="S461" s="6" t="s">
        <v>2401</v>
      </c>
      <c r="T461" s="5" t="s">
        <v>2402</v>
      </c>
      <c r="U461" s="6"/>
      <c r="V461" s="6" t="s">
        <v>2403</v>
      </c>
      <c r="W461" s="6" t="s">
        <v>1703</v>
      </c>
      <c r="X461" s="5" t="s">
        <v>228</v>
      </c>
      <c r="Y461" s="5" t="s">
        <v>2170</v>
      </c>
      <c r="Z461" s="5" t="str">
        <f t="shared" si="14"/>
        <v>Medium</v>
      </c>
      <c r="AA461" s="5" t="s">
        <v>1319</v>
      </c>
      <c r="AB461" s="6" t="s">
        <v>1355</v>
      </c>
      <c r="AC461" s="6" t="s">
        <v>32</v>
      </c>
      <c r="AD461" s="5" t="s">
        <v>95</v>
      </c>
      <c r="AE461" s="5" t="s">
        <v>1720</v>
      </c>
      <c r="AF461" s="5" t="s">
        <v>1720</v>
      </c>
      <c r="AG461" s="5" t="s">
        <v>1720</v>
      </c>
      <c r="AH461" s="5" t="s">
        <v>1720</v>
      </c>
      <c r="AI461" s="6" t="str">
        <f t="shared" si="15"/>
        <v>No</v>
      </c>
      <c r="AJ461" s="6" t="s">
        <v>229</v>
      </c>
      <c r="AK461" s="6" t="s">
        <v>204</v>
      </c>
      <c r="AL461" s="6">
        <f>MATCH(AA461,{"Low","Medium","High"},0)*MATCH(AB461,{"Low","Medium","High"},0)*INDEX({3,2,2,1,1},MATCH(X461,{"Core","Vertical extension","Differentiator","Future","Adjacent"},0))</f>
        <v>6</v>
      </c>
      <c r="AM461" s="5"/>
      <c r="AN461" s="5"/>
      <c r="AO461" s="5"/>
      <c r="AP461" s="5"/>
      <c r="AQ461" s="5"/>
      <c r="AR461" s="5"/>
      <c r="AS461" s="5"/>
      <c r="AT461" s="5"/>
      <c r="AU461" s="6" t="s">
        <v>2317</v>
      </c>
      <c r="AV461" s="6" t="s">
        <v>3968</v>
      </c>
      <c r="AW461" s="6" t="s">
        <v>3968</v>
      </c>
      <c r="AX461" s="6" t="s">
        <v>2374</v>
      </c>
      <c r="AY461" s="6" t="s">
        <v>2285</v>
      </c>
      <c r="AZ461" s="6"/>
      <c r="BA461" s="6"/>
      <c r="BB461" s="6"/>
      <c r="BC461" s="6" t="s">
        <v>127</v>
      </c>
      <c r="BD461" s="6" t="s">
        <v>127</v>
      </c>
      <c r="BE461" s="6" t="s">
        <v>1477</v>
      </c>
      <c r="BF461" s="6" t="s">
        <v>95</v>
      </c>
      <c r="BG461" s="6" t="s">
        <v>6070</v>
      </c>
      <c r="BH461" s="6" t="s">
        <v>6071</v>
      </c>
    </row>
    <row r="462" spans="1:60" ht="32" customHeight="1" x14ac:dyDescent="0.35">
      <c r="A462" s="13" t="s">
        <v>6072</v>
      </c>
      <c r="B462" s="6" t="s">
        <v>3901</v>
      </c>
      <c r="C462" s="5" t="s">
        <v>1652</v>
      </c>
      <c r="D462" s="5" t="s">
        <v>2198</v>
      </c>
      <c r="E462" s="5" t="s">
        <v>6073</v>
      </c>
      <c r="F462" s="5" t="s">
        <v>2973</v>
      </c>
      <c r="G462" s="5" t="s">
        <v>2983</v>
      </c>
      <c r="H462" s="5" t="s">
        <v>6074</v>
      </c>
      <c r="I462" s="5" t="s">
        <v>6075</v>
      </c>
      <c r="J462" s="17" t="s">
        <v>162</v>
      </c>
      <c r="K462" s="17" t="s">
        <v>95</v>
      </c>
      <c r="L462" s="5" t="s">
        <v>6076</v>
      </c>
      <c r="M462" s="6" t="s">
        <v>1493</v>
      </c>
      <c r="N462" s="6" t="s">
        <v>2170</v>
      </c>
      <c r="O462" s="6" t="s">
        <v>162</v>
      </c>
      <c r="P462" s="5" t="s">
        <v>2369</v>
      </c>
      <c r="Q462" s="17" t="s">
        <v>95</v>
      </c>
      <c r="R462" s="5" t="s">
        <v>6077</v>
      </c>
      <c r="S462" s="6" t="s">
        <v>2401</v>
      </c>
      <c r="T462" s="5" t="s">
        <v>2402</v>
      </c>
      <c r="U462" s="6"/>
      <c r="V462" s="6" t="s">
        <v>2403</v>
      </c>
      <c r="W462" s="6" t="s">
        <v>1703</v>
      </c>
      <c r="X462" s="5" t="s">
        <v>228</v>
      </c>
      <c r="Y462" s="5" t="s">
        <v>2170</v>
      </c>
      <c r="Z462" s="5" t="str">
        <f t="shared" si="14"/>
        <v>Medium</v>
      </c>
      <c r="AA462" s="5" t="s">
        <v>1319</v>
      </c>
      <c r="AB462" s="6" t="s">
        <v>1355</v>
      </c>
      <c r="AC462" s="6" t="s">
        <v>32</v>
      </c>
      <c r="AD462" s="5" t="s">
        <v>95</v>
      </c>
      <c r="AE462" s="5" t="s">
        <v>1720</v>
      </c>
      <c r="AF462" s="5" t="s">
        <v>1720</v>
      </c>
      <c r="AG462" s="5" t="s">
        <v>1720</v>
      </c>
      <c r="AH462" s="5" t="s">
        <v>1720</v>
      </c>
      <c r="AI462" s="6" t="str">
        <f t="shared" si="15"/>
        <v>No</v>
      </c>
      <c r="AJ462" s="6" t="s">
        <v>229</v>
      </c>
      <c r="AK462" s="6" t="s">
        <v>204</v>
      </c>
      <c r="AL462" s="6">
        <f>MATCH(AA462,{"Low","Medium","High"},0)*MATCH(AB462,{"Low","Medium","High"},0)*INDEX({3,2,2,1,1},MATCH(X462,{"Core","Vertical extension","Differentiator","Future","Adjacent"},0))</f>
        <v>6</v>
      </c>
      <c r="AM462" s="5"/>
      <c r="AN462" s="5"/>
      <c r="AO462" s="5"/>
      <c r="AP462" s="5"/>
      <c r="AQ462" s="5"/>
      <c r="AR462" s="5"/>
      <c r="AS462" s="5"/>
      <c r="AT462" s="5"/>
      <c r="AU462" s="6" t="s">
        <v>2317</v>
      </c>
      <c r="AV462" s="6" t="s">
        <v>76</v>
      </c>
      <c r="AW462" s="6" t="s">
        <v>76</v>
      </c>
      <c r="AX462" s="6" t="s">
        <v>2374</v>
      </c>
      <c r="AY462" s="6" t="s">
        <v>2285</v>
      </c>
      <c r="AZ462" s="6"/>
      <c r="BA462" s="6"/>
      <c r="BB462" s="6"/>
      <c r="BC462" s="6" t="s">
        <v>127</v>
      </c>
      <c r="BD462" s="6" t="s">
        <v>127</v>
      </c>
      <c r="BE462" s="6" t="s">
        <v>1477</v>
      </c>
      <c r="BF462" s="6" t="s">
        <v>95</v>
      </c>
      <c r="BG462" s="6" t="s">
        <v>6078</v>
      </c>
      <c r="BH462" s="6" t="s">
        <v>6079</v>
      </c>
    </row>
    <row r="463" spans="1:60" ht="32" customHeight="1" x14ac:dyDescent="0.35">
      <c r="A463" s="13" t="s">
        <v>6080</v>
      </c>
      <c r="B463" s="6" t="s">
        <v>3901</v>
      </c>
      <c r="C463" s="5" t="s">
        <v>1652</v>
      </c>
      <c r="D463" s="5" t="s">
        <v>2194</v>
      </c>
      <c r="E463" s="5" t="s">
        <v>6081</v>
      </c>
      <c r="F463" s="5" t="s">
        <v>6082</v>
      </c>
      <c r="G463" s="5" t="s">
        <v>2939</v>
      </c>
      <c r="H463" s="5" t="s">
        <v>6083</v>
      </c>
      <c r="I463" s="5" t="s">
        <v>6084</v>
      </c>
      <c r="J463" s="17" t="s">
        <v>162</v>
      </c>
      <c r="K463" s="17" t="s">
        <v>95</v>
      </c>
      <c r="L463" s="5" t="s">
        <v>6085</v>
      </c>
      <c r="M463" s="6" t="s">
        <v>1493</v>
      </c>
      <c r="N463" s="6" t="s">
        <v>2170</v>
      </c>
      <c r="O463" s="6" t="s">
        <v>162</v>
      </c>
      <c r="P463" s="5" t="s">
        <v>2369</v>
      </c>
      <c r="Q463" s="17" t="s">
        <v>95</v>
      </c>
      <c r="R463" s="5" t="s">
        <v>6086</v>
      </c>
      <c r="S463" s="6" t="s">
        <v>2449</v>
      </c>
      <c r="T463" s="5" t="s">
        <v>2450</v>
      </c>
      <c r="U463" s="6"/>
      <c r="V463" s="6" t="s">
        <v>2440</v>
      </c>
      <c r="W463" s="6" t="s">
        <v>1699</v>
      </c>
      <c r="X463" s="5" t="s">
        <v>228</v>
      </c>
      <c r="Y463" s="5" t="s">
        <v>2170</v>
      </c>
      <c r="Z463" s="5" t="str">
        <f t="shared" si="14"/>
        <v>Medium</v>
      </c>
      <c r="AA463" s="5" t="s">
        <v>1319</v>
      </c>
      <c r="AB463" s="6" t="s">
        <v>1355</v>
      </c>
      <c r="AC463" s="6" t="s">
        <v>135</v>
      </c>
      <c r="AD463" s="5" t="s">
        <v>95</v>
      </c>
      <c r="AE463" s="5" t="s">
        <v>1720</v>
      </c>
      <c r="AF463" s="5" t="s">
        <v>1720</v>
      </c>
      <c r="AG463" s="5" t="s">
        <v>1720</v>
      </c>
      <c r="AH463" s="5" t="s">
        <v>1720</v>
      </c>
      <c r="AI463" s="6" t="str">
        <f t="shared" si="15"/>
        <v>No</v>
      </c>
      <c r="AJ463" s="6" t="s">
        <v>229</v>
      </c>
      <c r="AK463" s="6" t="s">
        <v>162</v>
      </c>
      <c r="AL463" s="6">
        <f>MATCH(AA463,{"Low","Medium","High"},0)*MATCH(AB463,{"Low","Medium","High"},0)*INDEX({3,2,2,1,1},MATCH(X463,{"Core","Vertical extension","Differentiator","Future","Adjacent"},0))</f>
        <v>6</v>
      </c>
      <c r="AM463" s="5"/>
      <c r="AN463" s="5"/>
      <c r="AO463" s="5"/>
      <c r="AP463" s="5"/>
      <c r="AQ463" s="5"/>
      <c r="AR463" s="5"/>
      <c r="AS463" s="5"/>
      <c r="AT463" s="5"/>
      <c r="AU463" s="6" t="s">
        <v>2317</v>
      </c>
      <c r="AV463" s="6" t="s">
        <v>2898</v>
      </c>
      <c r="AW463" s="6" t="s">
        <v>2898</v>
      </c>
      <c r="AX463" s="6" t="s">
        <v>2374</v>
      </c>
      <c r="AY463" s="6" t="s">
        <v>2285</v>
      </c>
      <c r="AZ463" s="6"/>
      <c r="BA463" s="6"/>
      <c r="BB463" s="6"/>
      <c r="BC463" s="6" t="s">
        <v>127</v>
      </c>
      <c r="BD463" s="6" t="s">
        <v>127</v>
      </c>
      <c r="BE463" s="6" t="s">
        <v>1477</v>
      </c>
      <c r="BF463" s="6" t="s">
        <v>95</v>
      </c>
      <c r="BG463" s="6" t="s">
        <v>6087</v>
      </c>
      <c r="BH463" s="6" t="s">
        <v>6088</v>
      </c>
    </row>
    <row r="464" spans="1:60" ht="32" customHeight="1" x14ac:dyDescent="0.35">
      <c r="A464" s="13" t="s">
        <v>6089</v>
      </c>
      <c r="B464" s="6" t="s">
        <v>3901</v>
      </c>
      <c r="C464" s="5" t="s">
        <v>1652</v>
      </c>
      <c r="D464" s="5" t="s">
        <v>2194</v>
      </c>
      <c r="E464" s="5" t="s">
        <v>6090</v>
      </c>
      <c r="F464" s="5" t="s">
        <v>6082</v>
      </c>
      <c r="G464" s="5" t="s">
        <v>6091</v>
      </c>
      <c r="H464" s="5" t="s">
        <v>6092</v>
      </c>
      <c r="I464" s="5" t="s">
        <v>6093</v>
      </c>
      <c r="J464" s="17" t="s">
        <v>162</v>
      </c>
      <c r="K464" s="17" t="s">
        <v>95</v>
      </c>
      <c r="L464" s="5" t="s">
        <v>6094</v>
      </c>
      <c r="M464" s="6" t="s">
        <v>1493</v>
      </c>
      <c r="N464" s="6" t="s">
        <v>2170</v>
      </c>
      <c r="O464" s="6" t="s">
        <v>162</v>
      </c>
      <c r="P464" s="5" t="s">
        <v>2272</v>
      </c>
      <c r="Q464" s="17" t="s">
        <v>95</v>
      </c>
      <c r="R464" s="5" t="s">
        <v>6095</v>
      </c>
      <c r="S464" s="6" t="s">
        <v>2449</v>
      </c>
      <c r="T464" s="5" t="s">
        <v>2450</v>
      </c>
      <c r="U464" s="6"/>
      <c r="V464" s="6" t="s">
        <v>2440</v>
      </c>
      <c r="W464" s="6" t="s">
        <v>1699</v>
      </c>
      <c r="X464" s="5" t="s">
        <v>228</v>
      </c>
      <c r="Y464" s="5" t="s">
        <v>2170</v>
      </c>
      <c r="Z464" s="5" t="str">
        <f t="shared" si="14"/>
        <v>Medium</v>
      </c>
      <c r="AA464" s="5" t="s">
        <v>1319</v>
      </c>
      <c r="AB464" s="6" t="s">
        <v>1355</v>
      </c>
      <c r="AC464" s="6" t="s">
        <v>135</v>
      </c>
      <c r="AD464" s="5" t="s">
        <v>95</v>
      </c>
      <c r="AE464" s="5" t="s">
        <v>1720</v>
      </c>
      <c r="AF464" s="5" t="s">
        <v>1720</v>
      </c>
      <c r="AG464" s="5" t="s">
        <v>1720</v>
      </c>
      <c r="AH464" s="5" t="s">
        <v>1720</v>
      </c>
      <c r="AI464" s="6" t="str">
        <f t="shared" si="15"/>
        <v>No</v>
      </c>
      <c r="AJ464" s="6" t="s">
        <v>229</v>
      </c>
      <c r="AK464" s="6" t="s">
        <v>162</v>
      </c>
      <c r="AL464" s="6">
        <f>MATCH(AA464,{"Low","Medium","High"},0)*MATCH(AB464,{"Low","Medium","High"},0)*INDEX({3,2,2,1,1},MATCH(X464,{"Core","Vertical extension","Differentiator","Future","Adjacent"},0))</f>
        <v>6</v>
      </c>
      <c r="AM464" s="5"/>
      <c r="AN464" s="5"/>
      <c r="AO464" s="5"/>
      <c r="AP464" s="5"/>
      <c r="AQ464" s="5"/>
      <c r="AR464" s="5"/>
      <c r="AS464" s="5"/>
      <c r="AT464" s="5"/>
      <c r="AU464" s="6" t="s">
        <v>2317</v>
      </c>
      <c r="AV464" s="6" t="s">
        <v>2898</v>
      </c>
      <c r="AW464" s="6" t="s">
        <v>2898</v>
      </c>
      <c r="AX464" s="6" t="s">
        <v>2284</v>
      </c>
      <c r="AY464" s="6" t="s">
        <v>2285</v>
      </c>
      <c r="AZ464" s="6"/>
      <c r="BA464" s="6"/>
      <c r="BB464" s="6"/>
      <c r="BC464" s="6" t="s">
        <v>127</v>
      </c>
      <c r="BD464" s="6" t="s">
        <v>127</v>
      </c>
      <c r="BE464" s="6" t="s">
        <v>1477</v>
      </c>
      <c r="BF464" s="6" t="s">
        <v>95</v>
      </c>
      <c r="BG464" s="6" t="s">
        <v>6096</v>
      </c>
      <c r="BH464" s="6" t="s">
        <v>6097</v>
      </c>
    </row>
    <row r="465" spans="1:60" ht="32" customHeight="1" x14ac:dyDescent="0.35">
      <c r="A465" s="13" t="s">
        <v>6098</v>
      </c>
      <c r="B465" s="6" t="s">
        <v>3901</v>
      </c>
      <c r="C465" s="5" t="s">
        <v>1652</v>
      </c>
      <c r="D465" s="5" t="s">
        <v>2194</v>
      </c>
      <c r="E465" s="5" t="s">
        <v>6099</v>
      </c>
      <c r="F465" s="5" t="s">
        <v>6100</v>
      </c>
      <c r="G465" s="5" t="s">
        <v>6101</v>
      </c>
      <c r="H465" s="5" t="s">
        <v>6102</v>
      </c>
      <c r="I465" s="5" t="s">
        <v>6103</v>
      </c>
      <c r="J465" s="17" t="s">
        <v>162</v>
      </c>
      <c r="K465" s="17" t="s">
        <v>1477</v>
      </c>
      <c r="L465" s="5" t="s">
        <v>6104</v>
      </c>
      <c r="M465" s="6" t="s">
        <v>1493</v>
      </c>
      <c r="N465" s="6" t="s">
        <v>2170</v>
      </c>
      <c r="O465" s="6" t="s">
        <v>162</v>
      </c>
      <c r="P465" s="5" t="s">
        <v>2272</v>
      </c>
      <c r="Q465" s="17" t="s">
        <v>2273</v>
      </c>
      <c r="R465" s="5" t="s">
        <v>6105</v>
      </c>
      <c r="S465" s="6" t="s">
        <v>2449</v>
      </c>
      <c r="T465" s="5" t="s">
        <v>2450</v>
      </c>
      <c r="U465" s="6"/>
      <c r="V465" s="6" t="s">
        <v>2440</v>
      </c>
      <c r="W465" s="6" t="s">
        <v>1699</v>
      </c>
      <c r="X465" s="5" t="s">
        <v>228</v>
      </c>
      <c r="Y465" s="5" t="s">
        <v>2170</v>
      </c>
      <c r="Z465" s="5" t="str">
        <f t="shared" si="14"/>
        <v>Medium</v>
      </c>
      <c r="AA465" s="5" t="s">
        <v>1319</v>
      </c>
      <c r="AB465" s="6" t="s">
        <v>1355</v>
      </c>
      <c r="AC465" s="6" t="s">
        <v>135</v>
      </c>
      <c r="AD465" s="5" t="s">
        <v>2278</v>
      </c>
      <c r="AE465" s="5" t="s">
        <v>1720</v>
      </c>
      <c r="AF465" s="5" t="s">
        <v>1720</v>
      </c>
      <c r="AG465" s="5" t="s">
        <v>1720</v>
      </c>
      <c r="AH465" s="5" t="s">
        <v>1720</v>
      </c>
      <c r="AI465" s="6" t="str">
        <f t="shared" si="15"/>
        <v>No</v>
      </c>
      <c r="AJ465" s="6" t="s">
        <v>2298</v>
      </c>
      <c r="AK465" s="6" t="s">
        <v>162</v>
      </c>
      <c r="AL465" s="6">
        <f>MATCH(AA465,{"Low","Medium","High"},0)*MATCH(AB465,{"Low","Medium","High"},0)*INDEX({3,2,2,1,1},MATCH(X465,{"Core","Vertical extension","Differentiator","Future","Adjacent"},0))</f>
        <v>6</v>
      </c>
      <c r="AM465" s="5"/>
      <c r="AN465" s="5"/>
      <c r="AO465" s="5"/>
      <c r="AP465" s="5"/>
      <c r="AQ465" s="5"/>
      <c r="AR465" s="5"/>
      <c r="AS465" s="5"/>
      <c r="AT465" s="5"/>
      <c r="AU465" s="6" t="s">
        <v>2317</v>
      </c>
      <c r="AV465" s="6" t="s">
        <v>2898</v>
      </c>
      <c r="AW465" s="6" t="s">
        <v>2898</v>
      </c>
      <c r="AX465" s="6" t="s">
        <v>2284</v>
      </c>
      <c r="AY465" s="6" t="s">
        <v>2285</v>
      </c>
      <c r="AZ465" s="6"/>
      <c r="BA465" s="6"/>
      <c r="BB465" s="6"/>
      <c r="BC465" s="6" t="s">
        <v>127</v>
      </c>
      <c r="BD465" s="6" t="s">
        <v>127</v>
      </c>
      <c r="BE465" s="6" t="s">
        <v>1477</v>
      </c>
      <c r="BF465" s="6" t="s">
        <v>2286</v>
      </c>
      <c r="BG465" s="6" t="s">
        <v>6106</v>
      </c>
      <c r="BH465" s="6" t="s">
        <v>6107</v>
      </c>
    </row>
    <row r="466" spans="1:60" ht="32" customHeight="1" x14ac:dyDescent="0.35">
      <c r="A466" s="13" t="s">
        <v>6108</v>
      </c>
      <c r="B466" s="6" t="s">
        <v>3901</v>
      </c>
      <c r="C466" s="5" t="s">
        <v>1652</v>
      </c>
      <c r="D466" s="5" t="s">
        <v>2194</v>
      </c>
      <c r="E466" s="5" t="s">
        <v>6109</v>
      </c>
      <c r="F466" s="5" t="s">
        <v>6110</v>
      </c>
      <c r="G466" s="5" t="s">
        <v>2983</v>
      </c>
      <c r="H466" s="5" t="s">
        <v>6111</v>
      </c>
      <c r="I466" s="5" t="s">
        <v>6112</v>
      </c>
      <c r="J466" s="17" t="s">
        <v>162</v>
      </c>
      <c r="K466" s="17" t="s">
        <v>1477</v>
      </c>
      <c r="L466" s="5" t="s">
        <v>6113</v>
      </c>
      <c r="M466" s="6" t="s">
        <v>1493</v>
      </c>
      <c r="N466" s="6" t="s">
        <v>2170</v>
      </c>
      <c r="O466" s="6" t="s">
        <v>162</v>
      </c>
      <c r="P466" s="5" t="s">
        <v>2272</v>
      </c>
      <c r="Q466" s="17" t="s">
        <v>2273</v>
      </c>
      <c r="R466" s="5" t="s">
        <v>6114</v>
      </c>
      <c r="S466" s="6" t="s">
        <v>2449</v>
      </c>
      <c r="T466" s="5" t="s">
        <v>2450</v>
      </c>
      <c r="U466" s="6"/>
      <c r="V466" s="6" t="s">
        <v>2440</v>
      </c>
      <c r="W466" s="6" t="s">
        <v>1699</v>
      </c>
      <c r="X466" s="5" t="s">
        <v>228</v>
      </c>
      <c r="Y466" s="5" t="s">
        <v>2170</v>
      </c>
      <c r="Z466" s="5" t="str">
        <f t="shared" si="14"/>
        <v>Medium</v>
      </c>
      <c r="AA466" s="5" t="s">
        <v>1319</v>
      </c>
      <c r="AB466" s="6" t="s">
        <v>1355</v>
      </c>
      <c r="AC466" s="6" t="s">
        <v>135</v>
      </c>
      <c r="AD466" s="5" t="s">
        <v>2278</v>
      </c>
      <c r="AE466" s="5" t="s">
        <v>1720</v>
      </c>
      <c r="AF466" s="5" t="s">
        <v>1720</v>
      </c>
      <c r="AG466" s="5" t="s">
        <v>1720</v>
      </c>
      <c r="AH466" s="5" t="s">
        <v>1720</v>
      </c>
      <c r="AI466" s="6" t="str">
        <f t="shared" si="15"/>
        <v>No</v>
      </c>
      <c r="AJ466" s="6" t="s">
        <v>2298</v>
      </c>
      <c r="AK466" s="6" t="s">
        <v>162</v>
      </c>
      <c r="AL466" s="6">
        <f>MATCH(AA466,{"Low","Medium","High"},0)*MATCH(AB466,{"Low","Medium","High"},0)*INDEX({3,2,2,1,1},MATCH(X466,{"Core","Vertical extension","Differentiator","Future","Adjacent"},0))</f>
        <v>6</v>
      </c>
      <c r="AM466" s="5"/>
      <c r="AN466" s="5"/>
      <c r="AO466" s="5"/>
      <c r="AP466" s="5"/>
      <c r="AQ466" s="5"/>
      <c r="AR466" s="5"/>
      <c r="AS466" s="5"/>
      <c r="AT466" s="5"/>
      <c r="AU466" s="6" t="s">
        <v>2317</v>
      </c>
      <c r="AV466" s="6" t="s">
        <v>2898</v>
      </c>
      <c r="AW466" s="6" t="s">
        <v>2898</v>
      </c>
      <c r="AX466" s="6" t="s">
        <v>2284</v>
      </c>
      <c r="AY466" s="6" t="s">
        <v>2285</v>
      </c>
      <c r="AZ466" s="6"/>
      <c r="BA466" s="6" t="s">
        <v>6115</v>
      </c>
      <c r="BB466" s="6" t="s">
        <v>2349</v>
      </c>
      <c r="BC466" s="6" t="s">
        <v>127</v>
      </c>
      <c r="BD466" s="6" t="s">
        <v>127</v>
      </c>
      <c r="BE466" s="6" t="s">
        <v>1477</v>
      </c>
      <c r="BF466" s="6" t="s">
        <v>2286</v>
      </c>
      <c r="BG466" s="6" t="s">
        <v>6116</v>
      </c>
      <c r="BH466" s="6" t="s">
        <v>6117</v>
      </c>
    </row>
    <row r="467" spans="1:60" ht="32" customHeight="1" x14ac:dyDescent="0.35">
      <c r="A467" s="13" t="s">
        <v>6118</v>
      </c>
      <c r="B467" s="6" t="s">
        <v>3901</v>
      </c>
      <c r="C467" s="5" t="s">
        <v>1652</v>
      </c>
      <c r="D467" s="5" t="s">
        <v>2194</v>
      </c>
      <c r="E467" s="5" t="s">
        <v>6119</v>
      </c>
      <c r="F467" s="5" t="s">
        <v>2973</v>
      </c>
      <c r="G467" s="5" t="s">
        <v>3336</v>
      </c>
      <c r="H467" s="5" t="s">
        <v>6120</v>
      </c>
      <c r="I467" s="5" t="s">
        <v>6121</v>
      </c>
      <c r="J467" s="17" t="s">
        <v>162</v>
      </c>
      <c r="K467" s="17" t="s">
        <v>95</v>
      </c>
      <c r="L467" s="5" t="s">
        <v>6122</v>
      </c>
      <c r="M467" s="6" t="s">
        <v>1493</v>
      </c>
      <c r="N467" s="6" t="s">
        <v>2170</v>
      </c>
      <c r="O467" s="6" t="s">
        <v>162</v>
      </c>
      <c r="P467" s="5" t="s">
        <v>2272</v>
      </c>
      <c r="Q467" s="17" t="s">
        <v>95</v>
      </c>
      <c r="R467" s="5" t="s">
        <v>6123</v>
      </c>
      <c r="S467" s="6" t="s">
        <v>2449</v>
      </c>
      <c r="T467" s="5" t="s">
        <v>2450</v>
      </c>
      <c r="U467" s="6"/>
      <c r="V467" s="6" t="s">
        <v>2440</v>
      </c>
      <c r="W467" s="6" t="s">
        <v>1699</v>
      </c>
      <c r="X467" s="5" t="s">
        <v>228</v>
      </c>
      <c r="Y467" s="5" t="s">
        <v>2170</v>
      </c>
      <c r="Z467" s="5" t="str">
        <f t="shared" si="14"/>
        <v>Medium</v>
      </c>
      <c r="AA467" s="5" t="s">
        <v>1319</v>
      </c>
      <c r="AB467" s="6" t="s">
        <v>1355</v>
      </c>
      <c r="AC467" s="6" t="s">
        <v>135</v>
      </c>
      <c r="AD467" s="5" t="s">
        <v>95</v>
      </c>
      <c r="AE467" s="5" t="s">
        <v>1720</v>
      </c>
      <c r="AF467" s="5" t="s">
        <v>1720</v>
      </c>
      <c r="AG467" s="5" t="s">
        <v>1720</v>
      </c>
      <c r="AH467" s="5" t="s">
        <v>1720</v>
      </c>
      <c r="AI467" s="6" t="str">
        <f t="shared" si="15"/>
        <v>No</v>
      </c>
      <c r="AJ467" s="6" t="s">
        <v>229</v>
      </c>
      <c r="AK467" s="6" t="s">
        <v>162</v>
      </c>
      <c r="AL467" s="6">
        <f>MATCH(AA467,{"Low","Medium","High"},0)*MATCH(AB467,{"Low","Medium","High"},0)*INDEX({3,2,2,1,1},MATCH(X467,{"Core","Vertical extension","Differentiator","Future","Adjacent"},0))</f>
        <v>6</v>
      </c>
      <c r="AM467" s="5"/>
      <c r="AN467" s="5"/>
      <c r="AO467" s="5"/>
      <c r="AP467" s="5"/>
      <c r="AQ467" s="5"/>
      <c r="AR467" s="5"/>
      <c r="AS467" s="5"/>
      <c r="AT467" s="5"/>
      <c r="AU467" s="6" t="s">
        <v>2317</v>
      </c>
      <c r="AV467" s="6" t="s">
        <v>76</v>
      </c>
      <c r="AW467" s="6" t="s">
        <v>76</v>
      </c>
      <c r="AX467" s="6" t="s">
        <v>2284</v>
      </c>
      <c r="AY467" s="6" t="s">
        <v>2285</v>
      </c>
      <c r="AZ467" s="6"/>
      <c r="BA467" s="6"/>
      <c r="BB467" s="6"/>
      <c r="BC467" s="6" t="s">
        <v>127</v>
      </c>
      <c r="BD467" s="6" t="s">
        <v>127</v>
      </c>
      <c r="BE467" s="6" t="s">
        <v>1477</v>
      </c>
      <c r="BF467" s="6" t="s">
        <v>95</v>
      </c>
      <c r="BG467" s="6" t="s">
        <v>6124</v>
      </c>
      <c r="BH467" s="6" t="s">
        <v>6125</v>
      </c>
    </row>
    <row r="468" spans="1:60" ht="32" customHeight="1" x14ac:dyDescent="0.35">
      <c r="A468" s="13" t="s">
        <v>6126</v>
      </c>
      <c r="B468" s="6" t="s">
        <v>3901</v>
      </c>
      <c r="C468" s="5" t="s">
        <v>1652</v>
      </c>
      <c r="D468" s="5" t="s">
        <v>2194</v>
      </c>
      <c r="E468" s="5" t="s">
        <v>6127</v>
      </c>
      <c r="F468" s="5" t="s">
        <v>2973</v>
      </c>
      <c r="G468" s="5" t="s">
        <v>1669</v>
      </c>
      <c r="H468" s="5" t="s">
        <v>6128</v>
      </c>
      <c r="I468" s="5" t="s">
        <v>6129</v>
      </c>
      <c r="J468" s="17" t="s">
        <v>162</v>
      </c>
      <c r="K468" s="17" t="s">
        <v>95</v>
      </c>
      <c r="L468" s="5" t="s">
        <v>6130</v>
      </c>
      <c r="M468" s="6" t="s">
        <v>1493</v>
      </c>
      <c r="N468" s="6" t="s">
        <v>2170</v>
      </c>
      <c r="O468" s="6" t="s">
        <v>162</v>
      </c>
      <c r="P468" s="5" t="s">
        <v>2272</v>
      </c>
      <c r="Q468" s="17" t="s">
        <v>95</v>
      </c>
      <c r="R468" s="5" t="s">
        <v>6131</v>
      </c>
      <c r="S468" s="6" t="s">
        <v>2449</v>
      </c>
      <c r="T468" s="5" t="s">
        <v>2450</v>
      </c>
      <c r="U468" s="6"/>
      <c r="V468" s="6" t="s">
        <v>2440</v>
      </c>
      <c r="W468" s="6" t="s">
        <v>1699</v>
      </c>
      <c r="X468" s="5" t="s">
        <v>228</v>
      </c>
      <c r="Y468" s="5" t="s">
        <v>2170</v>
      </c>
      <c r="Z468" s="5" t="str">
        <f t="shared" si="14"/>
        <v>Medium</v>
      </c>
      <c r="AA468" s="5" t="s">
        <v>1319</v>
      </c>
      <c r="AB468" s="6" t="s">
        <v>1355</v>
      </c>
      <c r="AC468" s="6" t="s">
        <v>135</v>
      </c>
      <c r="AD468" s="5" t="s">
        <v>95</v>
      </c>
      <c r="AE468" s="5" t="s">
        <v>1720</v>
      </c>
      <c r="AF468" s="5" t="s">
        <v>1720</v>
      </c>
      <c r="AG468" s="5" t="s">
        <v>1720</v>
      </c>
      <c r="AH468" s="5" t="s">
        <v>1720</v>
      </c>
      <c r="AI468" s="6" t="str">
        <f t="shared" si="15"/>
        <v>No</v>
      </c>
      <c r="AJ468" s="6" t="s">
        <v>229</v>
      </c>
      <c r="AK468" s="6" t="s">
        <v>162</v>
      </c>
      <c r="AL468" s="6">
        <f>MATCH(AA468,{"Low","Medium","High"},0)*MATCH(AB468,{"Low","Medium","High"},0)*INDEX({3,2,2,1,1},MATCH(X468,{"Core","Vertical extension","Differentiator","Future","Adjacent"},0))</f>
        <v>6</v>
      </c>
      <c r="AM468" s="5"/>
      <c r="AN468" s="5"/>
      <c r="AO468" s="5"/>
      <c r="AP468" s="5"/>
      <c r="AQ468" s="5"/>
      <c r="AR468" s="5"/>
      <c r="AS468" s="5"/>
      <c r="AT468" s="5"/>
      <c r="AU468" s="6" t="s">
        <v>2317</v>
      </c>
      <c r="AV468" s="6" t="s">
        <v>76</v>
      </c>
      <c r="AW468" s="6" t="s">
        <v>76</v>
      </c>
      <c r="AX468" s="6" t="s">
        <v>2284</v>
      </c>
      <c r="AY468" s="6" t="s">
        <v>2285</v>
      </c>
      <c r="AZ468" s="6"/>
      <c r="BA468" s="6"/>
      <c r="BB468" s="6"/>
      <c r="BC468" s="6" t="s">
        <v>127</v>
      </c>
      <c r="BD468" s="6" t="s">
        <v>127</v>
      </c>
      <c r="BE468" s="6" t="s">
        <v>1477</v>
      </c>
      <c r="BF468" s="6" t="s">
        <v>95</v>
      </c>
      <c r="BG468" s="6" t="s">
        <v>6132</v>
      </c>
      <c r="BH468" s="6" t="s">
        <v>6133</v>
      </c>
    </row>
    <row r="469" spans="1:60" ht="32" customHeight="1" x14ac:dyDescent="0.35">
      <c r="A469" s="13" t="s">
        <v>6134</v>
      </c>
      <c r="B469" s="6" t="s">
        <v>3901</v>
      </c>
      <c r="C469" s="5" t="s">
        <v>1652</v>
      </c>
      <c r="D469" s="5" t="s">
        <v>2194</v>
      </c>
      <c r="E469" s="5" t="s">
        <v>6135</v>
      </c>
      <c r="F469" s="5" t="s">
        <v>6082</v>
      </c>
      <c r="G469" s="5" t="s">
        <v>2983</v>
      </c>
      <c r="H469" s="5" t="s">
        <v>6136</v>
      </c>
      <c r="I469" s="5" t="s">
        <v>6137</v>
      </c>
      <c r="J469" s="17" t="s">
        <v>162</v>
      </c>
      <c r="K469" s="17" t="s">
        <v>95</v>
      </c>
      <c r="L469" s="5" t="s">
        <v>6138</v>
      </c>
      <c r="M469" s="6" t="s">
        <v>1493</v>
      </c>
      <c r="N469" s="6" t="s">
        <v>2170</v>
      </c>
      <c r="O469" s="6" t="s">
        <v>162</v>
      </c>
      <c r="P469" s="5" t="s">
        <v>2272</v>
      </c>
      <c r="Q469" s="17" t="s">
        <v>95</v>
      </c>
      <c r="R469" s="5" t="s">
        <v>6139</v>
      </c>
      <c r="S469" s="6" t="s">
        <v>2449</v>
      </c>
      <c r="T469" s="5" t="s">
        <v>2450</v>
      </c>
      <c r="U469" s="6"/>
      <c r="V469" s="6" t="s">
        <v>2440</v>
      </c>
      <c r="W469" s="6" t="s">
        <v>1699</v>
      </c>
      <c r="X469" s="5" t="s">
        <v>228</v>
      </c>
      <c r="Y469" s="5" t="s">
        <v>2170</v>
      </c>
      <c r="Z469" s="5" t="str">
        <f t="shared" si="14"/>
        <v>Medium</v>
      </c>
      <c r="AA469" s="5" t="s">
        <v>1319</v>
      </c>
      <c r="AB469" s="6" t="s">
        <v>1355</v>
      </c>
      <c r="AC469" s="6" t="s">
        <v>135</v>
      </c>
      <c r="AD469" s="5" t="s">
        <v>95</v>
      </c>
      <c r="AE469" s="5" t="s">
        <v>1720</v>
      </c>
      <c r="AF469" s="5" t="s">
        <v>1720</v>
      </c>
      <c r="AG469" s="5" t="s">
        <v>1720</v>
      </c>
      <c r="AH469" s="5" t="s">
        <v>1720</v>
      </c>
      <c r="AI469" s="6" t="str">
        <f t="shared" si="15"/>
        <v>No</v>
      </c>
      <c r="AJ469" s="6" t="s">
        <v>229</v>
      </c>
      <c r="AK469" s="6" t="s">
        <v>162</v>
      </c>
      <c r="AL469" s="6">
        <f>MATCH(AA469,{"Low","Medium","High"},0)*MATCH(AB469,{"Low","Medium","High"},0)*INDEX({3,2,2,1,1},MATCH(X469,{"Core","Vertical extension","Differentiator","Future","Adjacent"},0))</f>
        <v>6</v>
      </c>
      <c r="AM469" s="5"/>
      <c r="AN469" s="5"/>
      <c r="AO469" s="5"/>
      <c r="AP469" s="5"/>
      <c r="AQ469" s="5"/>
      <c r="AR469" s="5"/>
      <c r="AS469" s="5"/>
      <c r="AT469" s="5"/>
      <c r="AU469" s="6" t="s">
        <v>2317</v>
      </c>
      <c r="AV469" s="6" t="s">
        <v>2898</v>
      </c>
      <c r="AW469" s="6" t="s">
        <v>2898</v>
      </c>
      <c r="AX469" s="6" t="s">
        <v>2284</v>
      </c>
      <c r="AY469" s="6" t="s">
        <v>2285</v>
      </c>
      <c r="AZ469" s="6"/>
      <c r="BA469" s="6"/>
      <c r="BB469" s="6"/>
      <c r="BC469" s="6" t="s">
        <v>127</v>
      </c>
      <c r="BD469" s="6" t="s">
        <v>127</v>
      </c>
      <c r="BE469" s="6" t="s">
        <v>1477</v>
      </c>
      <c r="BF469" s="6" t="s">
        <v>95</v>
      </c>
      <c r="BG469" s="6" t="s">
        <v>6140</v>
      </c>
      <c r="BH469" s="6" t="s">
        <v>6141</v>
      </c>
    </row>
    <row r="470" spans="1:60" ht="32" customHeight="1" x14ac:dyDescent="0.35">
      <c r="A470" s="13" t="s">
        <v>6142</v>
      </c>
      <c r="B470" s="6" t="s">
        <v>3901</v>
      </c>
      <c r="C470" s="5" t="s">
        <v>1652</v>
      </c>
      <c r="D470" s="5" t="s">
        <v>2194</v>
      </c>
      <c r="E470" s="5" t="s">
        <v>6143</v>
      </c>
      <c r="F470" s="5" t="s">
        <v>2973</v>
      </c>
      <c r="G470" s="5" t="s">
        <v>2974</v>
      </c>
      <c r="H470" s="5" t="s">
        <v>6144</v>
      </c>
      <c r="I470" s="5" t="s">
        <v>6145</v>
      </c>
      <c r="J470" s="17" t="s">
        <v>162</v>
      </c>
      <c r="K470" s="17" t="s">
        <v>95</v>
      </c>
      <c r="L470" s="5" t="s">
        <v>6146</v>
      </c>
      <c r="M470" s="6" t="s">
        <v>1493</v>
      </c>
      <c r="N470" s="6" t="s">
        <v>2170</v>
      </c>
      <c r="O470" s="6" t="s">
        <v>162</v>
      </c>
      <c r="P470" s="5" t="s">
        <v>2272</v>
      </c>
      <c r="Q470" s="17" t="s">
        <v>95</v>
      </c>
      <c r="R470" s="5" t="s">
        <v>6147</v>
      </c>
      <c r="S470" s="6" t="s">
        <v>2449</v>
      </c>
      <c r="T470" s="5" t="s">
        <v>2450</v>
      </c>
      <c r="U470" s="6"/>
      <c r="V470" s="6" t="s">
        <v>2440</v>
      </c>
      <c r="W470" s="6" t="s">
        <v>1699</v>
      </c>
      <c r="X470" s="5" t="s">
        <v>228</v>
      </c>
      <c r="Y470" s="5" t="s">
        <v>2170</v>
      </c>
      <c r="Z470" s="5" t="str">
        <f t="shared" si="14"/>
        <v>Medium</v>
      </c>
      <c r="AA470" s="5" t="s">
        <v>1319</v>
      </c>
      <c r="AB470" s="6" t="s">
        <v>1355</v>
      </c>
      <c r="AC470" s="6" t="s">
        <v>135</v>
      </c>
      <c r="AD470" s="5" t="s">
        <v>95</v>
      </c>
      <c r="AE470" s="5" t="s">
        <v>1720</v>
      </c>
      <c r="AF470" s="5" t="s">
        <v>1720</v>
      </c>
      <c r="AG470" s="5" t="s">
        <v>1720</v>
      </c>
      <c r="AH470" s="5" t="s">
        <v>1720</v>
      </c>
      <c r="AI470" s="6" t="str">
        <f t="shared" si="15"/>
        <v>No</v>
      </c>
      <c r="AJ470" s="6" t="s">
        <v>229</v>
      </c>
      <c r="AK470" s="6" t="s">
        <v>162</v>
      </c>
      <c r="AL470" s="6">
        <f>MATCH(AA470,{"Low","Medium","High"},0)*MATCH(AB470,{"Low","Medium","High"},0)*INDEX({3,2,2,1,1},MATCH(X470,{"Core","Vertical extension","Differentiator","Future","Adjacent"},0))</f>
        <v>6</v>
      </c>
      <c r="AM470" s="5"/>
      <c r="AN470" s="5"/>
      <c r="AO470" s="5"/>
      <c r="AP470" s="5"/>
      <c r="AQ470" s="5"/>
      <c r="AR470" s="5"/>
      <c r="AS470" s="5"/>
      <c r="AT470" s="5"/>
      <c r="AU470" s="6" t="s">
        <v>2317</v>
      </c>
      <c r="AV470" s="6" t="s">
        <v>76</v>
      </c>
      <c r="AW470" s="6" t="s">
        <v>76</v>
      </c>
      <c r="AX470" s="6" t="s">
        <v>2284</v>
      </c>
      <c r="AY470" s="6" t="s">
        <v>2285</v>
      </c>
      <c r="AZ470" s="6"/>
      <c r="BA470" s="6"/>
      <c r="BB470" s="6"/>
      <c r="BC470" s="6" t="s">
        <v>127</v>
      </c>
      <c r="BD470" s="6" t="s">
        <v>127</v>
      </c>
      <c r="BE470" s="6" t="s">
        <v>1477</v>
      </c>
      <c r="BF470" s="6" t="s">
        <v>95</v>
      </c>
      <c r="BG470" s="6" t="s">
        <v>6148</v>
      </c>
      <c r="BH470" s="6" t="s">
        <v>6149</v>
      </c>
    </row>
    <row r="471" spans="1:60" ht="32" customHeight="1" x14ac:dyDescent="0.35">
      <c r="A471" s="13" t="s">
        <v>6150</v>
      </c>
      <c r="B471" s="6" t="s">
        <v>3901</v>
      </c>
      <c r="C471" s="5" t="s">
        <v>1652</v>
      </c>
      <c r="D471" s="5" t="s">
        <v>2194</v>
      </c>
      <c r="E471" s="5" t="s">
        <v>6151</v>
      </c>
      <c r="F471" s="5" t="s">
        <v>5913</v>
      </c>
      <c r="G471" s="5" t="s">
        <v>1824</v>
      </c>
      <c r="H471" s="5" t="s">
        <v>6152</v>
      </c>
      <c r="I471" s="5" t="s">
        <v>6153</v>
      </c>
      <c r="J471" s="17" t="s">
        <v>162</v>
      </c>
      <c r="K471" s="17" t="s">
        <v>1477</v>
      </c>
      <c r="L471" s="5" t="s">
        <v>6154</v>
      </c>
      <c r="M471" s="6" t="s">
        <v>1493</v>
      </c>
      <c r="N471" s="6" t="s">
        <v>2170</v>
      </c>
      <c r="O471" s="6" t="s">
        <v>162</v>
      </c>
      <c r="P471" s="5" t="s">
        <v>2272</v>
      </c>
      <c r="Q471" s="17" t="s">
        <v>2273</v>
      </c>
      <c r="R471" s="5" t="s">
        <v>6155</v>
      </c>
      <c r="S471" s="6" t="s">
        <v>2449</v>
      </c>
      <c r="T471" s="5" t="s">
        <v>2450</v>
      </c>
      <c r="U471" s="6"/>
      <c r="V471" s="6" t="s">
        <v>2440</v>
      </c>
      <c r="W471" s="6" t="s">
        <v>1699</v>
      </c>
      <c r="X471" s="5" t="s">
        <v>228</v>
      </c>
      <c r="Y471" s="5" t="s">
        <v>2170</v>
      </c>
      <c r="Z471" s="5" t="str">
        <f t="shared" si="14"/>
        <v>Medium</v>
      </c>
      <c r="AA471" s="5" t="s">
        <v>1319</v>
      </c>
      <c r="AB471" s="6" t="s">
        <v>1355</v>
      </c>
      <c r="AC471" s="6" t="s">
        <v>135</v>
      </c>
      <c r="AD471" s="5" t="s">
        <v>2278</v>
      </c>
      <c r="AE471" s="5" t="s">
        <v>1720</v>
      </c>
      <c r="AF471" s="5" t="s">
        <v>1720</v>
      </c>
      <c r="AG471" s="5" t="s">
        <v>1720</v>
      </c>
      <c r="AH471" s="5" t="s">
        <v>1720</v>
      </c>
      <c r="AI471" s="6" t="str">
        <f t="shared" si="15"/>
        <v>No</v>
      </c>
      <c r="AJ471" s="6" t="s">
        <v>2298</v>
      </c>
      <c r="AK471" s="6" t="s">
        <v>162</v>
      </c>
      <c r="AL471" s="6">
        <f>MATCH(AA471,{"Low","Medium","High"},0)*MATCH(AB471,{"Low","Medium","High"},0)*INDEX({3,2,2,1,1},MATCH(X471,{"Core","Vertical extension","Differentiator","Future","Adjacent"},0))</f>
        <v>6</v>
      </c>
      <c r="AM471" s="5"/>
      <c r="AN471" s="5"/>
      <c r="AO471" s="5"/>
      <c r="AP471" s="5"/>
      <c r="AQ471" s="5"/>
      <c r="AR471" s="5"/>
      <c r="AS471" s="5"/>
      <c r="AT471" s="5"/>
      <c r="AU471" s="6" t="s">
        <v>2317</v>
      </c>
      <c r="AV471" s="6" t="s">
        <v>3968</v>
      </c>
      <c r="AW471" s="6" t="s">
        <v>3968</v>
      </c>
      <c r="AX471" s="6" t="s">
        <v>2284</v>
      </c>
      <c r="AY471" s="6" t="s">
        <v>2285</v>
      </c>
      <c r="AZ471" s="6"/>
      <c r="BA471" s="6"/>
      <c r="BB471" s="6"/>
      <c r="BC471" s="6" t="s">
        <v>127</v>
      </c>
      <c r="BD471" s="6" t="s">
        <v>127</v>
      </c>
      <c r="BE471" s="6" t="s">
        <v>1477</v>
      </c>
      <c r="BF471" s="6" t="s">
        <v>2286</v>
      </c>
      <c r="BG471" s="6" t="s">
        <v>6156</v>
      </c>
      <c r="BH471" s="6" t="s">
        <v>6157</v>
      </c>
    </row>
    <row r="472" spans="1:60" ht="32" customHeight="1" x14ac:dyDescent="0.35">
      <c r="A472" s="13" t="s">
        <v>6158</v>
      </c>
      <c r="B472" s="6" t="s">
        <v>3901</v>
      </c>
      <c r="C472" s="5" t="s">
        <v>1652</v>
      </c>
      <c r="D472" s="5" t="s">
        <v>2194</v>
      </c>
      <c r="E472" s="5" t="s">
        <v>6159</v>
      </c>
      <c r="F472" s="5" t="s">
        <v>5913</v>
      </c>
      <c r="G472" s="5" t="s">
        <v>1824</v>
      </c>
      <c r="H472" s="5" t="s">
        <v>6160</v>
      </c>
      <c r="I472" s="5" t="s">
        <v>6161</v>
      </c>
      <c r="J472" s="17" t="s">
        <v>162</v>
      </c>
      <c r="K472" s="17" t="s">
        <v>95</v>
      </c>
      <c r="L472" s="5" t="s">
        <v>6162</v>
      </c>
      <c r="M472" s="6" t="s">
        <v>1493</v>
      </c>
      <c r="N472" s="6" t="s">
        <v>2170</v>
      </c>
      <c r="O472" s="6" t="s">
        <v>162</v>
      </c>
      <c r="P472" s="5" t="s">
        <v>2272</v>
      </c>
      <c r="Q472" s="17" t="s">
        <v>95</v>
      </c>
      <c r="R472" s="5" t="s">
        <v>6163</v>
      </c>
      <c r="S472" s="6" t="s">
        <v>2449</v>
      </c>
      <c r="T472" s="5" t="s">
        <v>2450</v>
      </c>
      <c r="U472" s="6"/>
      <c r="V472" s="6" t="s">
        <v>2440</v>
      </c>
      <c r="W472" s="6" t="s">
        <v>1699</v>
      </c>
      <c r="X472" s="5" t="s">
        <v>228</v>
      </c>
      <c r="Y472" s="5" t="s">
        <v>2170</v>
      </c>
      <c r="Z472" s="5" t="str">
        <f t="shared" si="14"/>
        <v>Medium</v>
      </c>
      <c r="AA472" s="5" t="s">
        <v>1319</v>
      </c>
      <c r="AB472" s="6" t="s">
        <v>1355</v>
      </c>
      <c r="AC472" s="6" t="s">
        <v>135</v>
      </c>
      <c r="AD472" s="5" t="s">
        <v>95</v>
      </c>
      <c r="AE472" s="5" t="s">
        <v>1720</v>
      </c>
      <c r="AF472" s="5" t="s">
        <v>1720</v>
      </c>
      <c r="AG472" s="5" t="s">
        <v>1720</v>
      </c>
      <c r="AH472" s="5" t="s">
        <v>1720</v>
      </c>
      <c r="AI472" s="6" t="str">
        <f t="shared" si="15"/>
        <v>No</v>
      </c>
      <c r="AJ472" s="6" t="s">
        <v>229</v>
      </c>
      <c r="AK472" s="6" t="s">
        <v>162</v>
      </c>
      <c r="AL472" s="6">
        <f>MATCH(AA472,{"Low","Medium","High"},0)*MATCH(AB472,{"Low","Medium","High"},0)*INDEX({3,2,2,1,1},MATCH(X472,{"Core","Vertical extension","Differentiator","Future","Adjacent"},0))</f>
        <v>6</v>
      </c>
      <c r="AM472" s="5"/>
      <c r="AN472" s="5"/>
      <c r="AO472" s="5"/>
      <c r="AP472" s="5"/>
      <c r="AQ472" s="5"/>
      <c r="AR472" s="5"/>
      <c r="AS472" s="5"/>
      <c r="AT472" s="5"/>
      <c r="AU472" s="6" t="s">
        <v>2317</v>
      </c>
      <c r="AV472" s="6" t="s">
        <v>3968</v>
      </c>
      <c r="AW472" s="6" t="s">
        <v>3968</v>
      </c>
      <c r="AX472" s="6" t="s">
        <v>2284</v>
      </c>
      <c r="AY472" s="6" t="s">
        <v>2285</v>
      </c>
      <c r="AZ472" s="6"/>
      <c r="BA472" s="6"/>
      <c r="BB472" s="6"/>
      <c r="BC472" s="6" t="s">
        <v>127</v>
      </c>
      <c r="BD472" s="6" t="s">
        <v>127</v>
      </c>
      <c r="BE472" s="6" t="s">
        <v>1477</v>
      </c>
      <c r="BF472" s="6" t="s">
        <v>95</v>
      </c>
      <c r="BG472" s="6" t="s">
        <v>6164</v>
      </c>
      <c r="BH472" s="6" t="s">
        <v>6165</v>
      </c>
    </row>
    <row r="473" spans="1:60" ht="32" customHeight="1" x14ac:dyDescent="0.35">
      <c r="A473" s="13" t="s">
        <v>6166</v>
      </c>
      <c r="B473" s="6" t="s">
        <v>3901</v>
      </c>
      <c r="C473" s="5" t="s">
        <v>1652</v>
      </c>
      <c r="D473" s="5" t="s">
        <v>2194</v>
      </c>
      <c r="E473" s="5" t="s">
        <v>6167</v>
      </c>
      <c r="F473" s="5" t="s">
        <v>5913</v>
      </c>
      <c r="G473" s="5" t="s">
        <v>1824</v>
      </c>
      <c r="H473" s="5" t="s">
        <v>6168</v>
      </c>
      <c r="I473" s="5" t="s">
        <v>6169</v>
      </c>
      <c r="J473" s="17" t="s">
        <v>162</v>
      </c>
      <c r="K473" s="17" t="s">
        <v>95</v>
      </c>
      <c r="L473" s="5" t="s">
        <v>6170</v>
      </c>
      <c r="M473" s="6" t="s">
        <v>1493</v>
      </c>
      <c r="N473" s="6" t="s">
        <v>2170</v>
      </c>
      <c r="O473" s="6" t="s">
        <v>162</v>
      </c>
      <c r="P473" s="5" t="s">
        <v>2272</v>
      </c>
      <c r="Q473" s="17" t="s">
        <v>95</v>
      </c>
      <c r="R473" s="5" t="s">
        <v>6171</v>
      </c>
      <c r="S473" s="6" t="s">
        <v>2449</v>
      </c>
      <c r="T473" s="5" t="s">
        <v>2450</v>
      </c>
      <c r="U473" s="6"/>
      <c r="V473" s="6" t="s">
        <v>2440</v>
      </c>
      <c r="W473" s="6" t="s">
        <v>1699</v>
      </c>
      <c r="X473" s="5" t="s">
        <v>228</v>
      </c>
      <c r="Y473" s="5" t="s">
        <v>2170</v>
      </c>
      <c r="Z473" s="5" t="str">
        <f t="shared" si="14"/>
        <v>Medium</v>
      </c>
      <c r="AA473" s="5" t="s">
        <v>1319</v>
      </c>
      <c r="AB473" s="6" t="s">
        <v>1355</v>
      </c>
      <c r="AC473" s="6" t="s">
        <v>135</v>
      </c>
      <c r="AD473" s="5" t="s">
        <v>95</v>
      </c>
      <c r="AE473" s="5" t="s">
        <v>1720</v>
      </c>
      <c r="AF473" s="5" t="s">
        <v>1720</v>
      </c>
      <c r="AG473" s="5" t="s">
        <v>1720</v>
      </c>
      <c r="AH473" s="5" t="s">
        <v>1720</v>
      </c>
      <c r="AI473" s="6" t="str">
        <f t="shared" si="15"/>
        <v>No</v>
      </c>
      <c r="AJ473" s="6" t="s">
        <v>229</v>
      </c>
      <c r="AK473" s="6" t="s">
        <v>162</v>
      </c>
      <c r="AL473" s="6">
        <f>MATCH(AA473,{"Low","Medium","High"},0)*MATCH(AB473,{"Low","Medium","High"},0)*INDEX({3,2,2,1,1},MATCH(X473,{"Core","Vertical extension","Differentiator","Future","Adjacent"},0))</f>
        <v>6</v>
      </c>
      <c r="AM473" s="5"/>
      <c r="AN473" s="5"/>
      <c r="AO473" s="5"/>
      <c r="AP473" s="5"/>
      <c r="AQ473" s="5"/>
      <c r="AR473" s="5"/>
      <c r="AS473" s="5"/>
      <c r="AT473" s="5"/>
      <c r="AU473" s="6" t="s">
        <v>2317</v>
      </c>
      <c r="AV473" s="6" t="s">
        <v>3968</v>
      </c>
      <c r="AW473" s="6" t="s">
        <v>3968</v>
      </c>
      <c r="AX473" s="6" t="s">
        <v>2284</v>
      </c>
      <c r="AY473" s="6" t="s">
        <v>2285</v>
      </c>
      <c r="AZ473" s="6"/>
      <c r="BA473" s="6"/>
      <c r="BB473" s="6"/>
      <c r="BC473" s="6" t="s">
        <v>127</v>
      </c>
      <c r="BD473" s="6" t="s">
        <v>127</v>
      </c>
      <c r="BE473" s="6" t="s">
        <v>1477</v>
      </c>
      <c r="BF473" s="6" t="s">
        <v>95</v>
      </c>
      <c r="BG473" s="6" t="s">
        <v>6172</v>
      </c>
      <c r="BH473" s="6" t="s">
        <v>6173</v>
      </c>
    </row>
    <row r="474" spans="1:60" ht="32" customHeight="1" x14ac:dyDescent="0.35">
      <c r="A474" s="13" t="s">
        <v>6174</v>
      </c>
      <c r="B474" s="6" t="s">
        <v>3901</v>
      </c>
      <c r="C474" s="5" t="s">
        <v>1652</v>
      </c>
      <c r="D474" s="5" t="s">
        <v>2194</v>
      </c>
      <c r="E474" s="5" t="s">
        <v>6175</v>
      </c>
      <c r="F474" s="5" t="s">
        <v>4768</v>
      </c>
      <c r="G474" s="5" t="s">
        <v>2974</v>
      </c>
      <c r="H474" s="5" t="s">
        <v>6176</v>
      </c>
      <c r="I474" s="5" t="s">
        <v>6177</v>
      </c>
      <c r="J474" s="17" t="s">
        <v>162</v>
      </c>
      <c r="K474" s="17" t="s">
        <v>1477</v>
      </c>
      <c r="L474" s="5" t="s">
        <v>6178</v>
      </c>
      <c r="M474" s="6" t="s">
        <v>1493</v>
      </c>
      <c r="N474" s="6" t="s">
        <v>2170</v>
      </c>
      <c r="O474" s="6" t="s">
        <v>162</v>
      </c>
      <c r="P474" s="5" t="s">
        <v>2272</v>
      </c>
      <c r="Q474" s="17" t="s">
        <v>2273</v>
      </c>
      <c r="R474" s="5" t="s">
        <v>6179</v>
      </c>
      <c r="S474" s="6" t="s">
        <v>2449</v>
      </c>
      <c r="T474" s="5" t="s">
        <v>2450</v>
      </c>
      <c r="U474" s="6"/>
      <c r="V474" s="6" t="s">
        <v>2440</v>
      </c>
      <c r="W474" s="6" t="s">
        <v>1699</v>
      </c>
      <c r="X474" s="5" t="s">
        <v>228</v>
      </c>
      <c r="Y474" s="5" t="s">
        <v>2170</v>
      </c>
      <c r="Z474" s="5" t="str">
        <f t="shared" si="14"/>
        <v>Medium</v>
      </c>
      <c r="AA474" s="5" t="s">
        <v>1319</v>
      </c>
      <c r="AB474" s="6" t="s">
        <v>1355</v>
      </c>
      <c r="AC474" s="6" t="s">
        <v>135</v>
      </c>
      <c r="AD474" s="5" t="s">
        <v>2278</v>
      </c>
      <c r="AE474" s="5" t="s">
        <v>1720</v>
      </c>
      <c r="AF474" s="5" t="s">
        <v>1720</v>
      </c>
      <c r="AG474" s="5" t="s">
        <v>1720</v>
      </c>
      <c r="AH474" s="5" t="s">
        <v>1720</v>
      </c>
      <c r="AI474" s="6" t="str">
        <f t="shared" si="15"/>
        <v>No</v>
      </c>
      <c r="AJ474" s="6" t="s">
        <v>2298</v>
      </c>
      <c r="AK474" s="6" t="s">
        <v>162</v>
      </c>
      <c r="AL474" s="6">
        <f>MATCH(AA474,{"Low","Medium","High"},0)*MATCH(AB474,{"Low","Medium","High"},0)*INDEX({3,2,2,1,1},MATCH(X474,{"Core","Vertical extension","Differentiator","Future","Adjacent"},0))</f>
        <v>6</v>
      </c>
      <c r="AM474" s="5"/>
      <c r="AN474" s="5"/>
      <c r="AO474" s="5"/>
      <c r="AP474" s="5"/>
      <c r="AQ474" s="5"/>
      <c r="AR474" s="5"/>
      <c r="AS474" s="5"/>
      <c r="AT474" s="5"/>
      <c r="AU474" s="6" t="s">
        <v>2317</v>
      </c>
      <c r="AV474" s="6" t="s">
        <v>2813</v>
      </c>
      <c r="AW474" s="6" t="s">
        <v>2813</v>
      </c>
      <c r="AX474" s="6" t="s">
        <v>2284</v>
      </c>
      <c r="AY474" s="6" t="s">
        <v>2285</v>
      </c>
      <c r="AZ474" s="6"/>
      <c r="BA474" s="6"/>
      <c r="BB474" s="6"/>
      <c r="BC474" s="6" t="s">
        <v>127</v>
      </c>
      <c r="BD474" s="6" t="s">
        <v>127</v>
      </c>
      <c r="BE474" s="6" t="s">
        <v>1477</v>
      </c>
      <c r="BF474" s="6" t="s">
        <v>2286</v>
      </c>
      <c r="BG474" s="6" t="s">
        <v>6180</v>
      </c>
      <c r="BH474" s="6" t="s">
        <v>6181</v>
      </c>
    </row>
    <row r="475" spans="1:60" ht="32" customHeight="1" x14ac:dyDescent="0.35">
      <c r="A475" s="13" t="s">
        <v>6182</v>
      </c>
      <c r="B475" s="6" t="s">
        <v>3901</v>
      </c>
      <c r="C475" s="5" t="s">
        <v>1652</v>
      </c>
      <c r="D475" s="5" t="s">
        <v>2194</v>
      </c>
      <c r="E475" s="5" t="s">
        <v>6183</v>
      </c>
      <c r="F475" s="5" t="s">
        <v>6184</v>
      </c>
      <c r="G475" s="5" t="s">
        <v>2974</v>
      </c>
      <c r="H475" s="5" t="s">
        <v>6185</v>
      </c>
      <c r="I475" s="5" t="s">
        <v>6186</v>
      </c>
      <c r="J475" s="17" t="s">
        <v>162</v>
      </c>
      <c r="K475" s="17" t="s">
        <v>1477</v>
      </c>
      <c r="L475" s="5" t="s">
        <v>6187</v>
      </c>
      <c r="M475" s="6" t="s">
        <v>1493</v>
      </c>
      <c r="N475" s="6" t="s">
        <v>2170</v>
      </c>
      <c r="O475" s="6" t="s">
        <v>162</v>
      </c>
      <c r="P475" s="5" t="s">
        <v>2272</v>
      </c>
      <c r="Q475" s="17" t="s">
        <v>2273</v>
      </c>
      <c r="R475" s="5" t="s">
        <v>6188</v>
      </c>
      <c r="S475" s="6" t="s">
        <v>2449</v>
      </c>
      <c r="T475" s="5" t="s">
        <v>2450</v>
      </c>
      <c r="U475" s="6"/>
      <c r="V475" s="6" t="s">
        <v>2440</v>
      </c>
      <c r="W475" s="6" t="s">
        <v>1699</v>
      </c>
      <c r="X475" s="5" t="s">
        <v>228</v>
      </c>
      <c r="Y475" s="5" t="s">
        <v>2170</v>
      </c>
      <c r="Z475" s="5" t="str">
        <f t="shared" si="14"/>
        <v>Medium</v>
      </c>
      <c r="AA475" s="5" t="s">
        <v>1319</v>
      </c>
      <c r="AB475" s="6" t="s">
        <v>1355</v>
      </c>
      <c r="AC475" s="6" t="s">
        <v>135</v>
      </c>
      <c r="AD475" s="5" t="s">
        <v>2278</v>
      </c>
      <c r="AE475" s="5" t="s">
        <v>1720</v>
      </c>
      <c r="AF475" s="5" t="s">
        <v>1720</v>
      </c>
      <c r="AG475" s="5" t="s">
        <v>1720</v>
      </c>
      <c r="AH475" s="5" t="s">
        <v>1720</v>
      </c>
      <c r="AI475" s="6" t="str">
        <f t="shared" si="15"/>
        <v>No</v>
      </c>
      <c r="AJ475" s="6" t="s">
        <v>2298</v>
      </c>
      <c r="AK475" s="6" t="s">
        <v>162</v>
      </c>
      <c r="AL475" s="6">
        <f>MATCH(AA475,{"Low","Medium","High"},0)*MATCH(AB475,{"Low","Medium","High"},0)*INDEX({3,2,2,1,1},MATCH(X475,{"Core","Vertical extension","Differentiator","Future","Adjacent"},0))</f>
        <v>6</v>
      </c>
      <c r="AM475" s="5"/>
      <c r="AN475" s="5"/>
      <c r="AO475" s="5"/>
      <c r="AP475" s="5"/>
      <c r="AQ475" s="5"/>
      <c r="AR475" s="5"/>
      <c r="AS475" s="5"/>
      <c r="AT475" s="5"/>
      <c r="AU475" s="6" t="s">
        <v>2317</v>
      </c>
      <c r="AV475" s="6" t="s">
        <v>76</v>
      </c>
      <c r="AW475" s="6" t="s">
        <v>76</v>
      </c>
      <c r="AX475" s="6" t="s">
        <v>2284</v>
      </c>
      <c r="AY475" s="6" t="s">
        <v>2285</v>
      </c>
      <c r="AZ475" s="6"/>
      <c r="BA475" s="6"/>
      <c r="BB475" s="6"/>
      <c r="BC475" s="6" t="s">
        <v>127</v>
      </c>
      <c r="BD475" s="6" t="s">
        <v>127</v>
      </c>
      <c r="BE475" s="6" t="s">
        <v>1477</v>
      </c>
      <c r="BF475" s="6" t="s">
        <v>2286</v>
      </c>
      <c r="BG475" s="6" t="s">
        <v>6180</v>
      </c>
      <c r="BH475" s="6" t="s">
        <v>6189</v>
      </c>
    </row>
    <row r="476" spans="1:60" ht="32" customHeight="1" x14ac:dyDescent="0.35">
      <c r="A476" s="13" t="s">
        <v>6190</v>
      </c>
      <c r="B476" s="6" t="s">
        <v>3901</v>
      </c>
      <c r="C476" s="5" t="s">
        <v>1652</v>
      </c>
      <c r="D476" s="5" t="s">
        <v>2194</v>
      </c>
      <c r="E476" s="5" t="s">
        <v>6191</v>
      </c>
      <c r="F476" s="5" t="s">
        <v>6192</v>
      </c>
      <c r="G476" s="5" t="s">
        <v>2983</v>
      </c>
      <c r="H476" s="5" t="s">
        <v>6193</v>
      </c>
      <c r="I476" s="5" t="s">
        <v>6194</v>
      </c>
      <c r="J476" s="17" t="s">
        <v>162</v>
      </c>
      <c r="K476" s="17" t="s">
        <v>95</v>
      </c>
      <c r="L476" s="5" t="s">
        <v>6195</v>
      </c>
      <c r="M476" s="6" t="s">
        <v>1493</v>
      </c>
      <c r="N476" s="6" t="s">
        <v>2170</v>
      </c>
      <c r="O476" s="6" t="s">
        <v>162</v>
      </c>
      <c r="P476" s="5" t="s">
        <v>2272</v>
      </c>
      <c r="Q476" s="17" t="s">
        <v>95</v>
      </c>
      <c r="R476" s="5" t="s">
        <v>6196</v>
      </c>
      <c r="S476" s="6" t="s">
        <v>2449</v>
      </c>
      <c r="T476" s="5" t="s">
        <v>2450</v>
      </c>
      <c r="U476" s="6"/>
      <c r="V476" s="6" t="s">
        <v>2440</v>
      </c>
      <c r="W476" s="6" t="s">
        <v>1699</v>
      </c>
      <c r="X476" s="5" t="s">
        <v>228</v>
      </c>
      <c r="Y476" s="5" t="s">
        <v>2170</v>
      </c>
      <c r="Z476" s="5" t="str">
        <f t="shared" si="14"/>
        <v>Medium</v>
      </c>
      <c r="AA476" s="5" t="s">
        <v>1319</v>
      </c>
      <c r="AB476" s="6" t="s">
        <v>1355</v>
      </c>
      <c r="AC476" s="6" t="s">
        <v>135</v>
      </c>
      <c r="AD476" s="5" t="s">
        <v>95</v>
      </c>
      <c r="AE476" s="5" t="s">
        <v>1720</v>
      </c>
      <c r="AF476" s="5" t="s">
        <v>1720</v>
      </c>
      <c r="AG476" s="5" t="s">
        <v>1720</v>
      </c>
      <c r="AH476" s="5" t="s">
        <v>1720</v>
      </c>
      <c r="AI476" s="6" t="str">
        <f t="shared" si="15"/>
        <v>No</v>
      </c>
      <c r="AJ476" s="6" t="s">
        <v>229</v>
      </c>
      <c r="AK476" s="6" t="s">
        <v>162</v>
      </c>
      <c r="AL476" s="6">
        <f>MATCH(AA476,{"Low","Medium","High"},0)*MATCH(AB476,{"Low","Medium","High"},0)*INDEX({3,2,2,1,1},MATCH(X476,{"Core","Vertical extension","Differentiator","Future","Adjacent"},0))</f>
        <v>6</v>
      </c>
      <c r="AM476" s="5"/>
      <c r="AN476" s="5"/>
      <c r="AO476" s="5"/>
      <c r="AP476" s="5"/>
      <c r="AQ476" s="5"/>
      <c r="AR476" s="5"/>
      <c r="AS476" s="5"/>
      <c r="AT476" s="5"/>
      <c r="AU476" s="6" t="s">
        <v>2317</v>
      </c>
      <c r="AV476" s="6" t="s">
        <v>76</v>
      </c>
      <c r="AW476" s="6" t="s">
        <v>76</v>
      </c>
      <c r="AX476" s="6" t="s">
        <v>2284</v>
      </c>
      <c r="AY476" s="6" t="s">
        <v>2285</v>
      </c>
      <c r="AZ476" s="6"/>
      <c r="BA476" s="6"/>
      <c r="BB476" s="6"/>
      <c r="BC476" s="6" t="s">
        <v>127</v>
      </c>
      <c r="BD476" s="6" t="s">
        <v>127</v>
      </c>
      <c r="BE476" s="6" t="s">
        <v>1477</v>
      </c>
      <c r="BF476" s="6" t="s">
        <v>95</v>
      </c>
      <c r="BG476" s="6" t="s">
        <v>6197</v>
      </c>
      <c r="BH476" s="6" t="s">
        <v>6198</v>
      </c>
    </row>
    <row r="477" spans="1:60" ht="32" customHeight="1" x14ac:dyDescent="0.35">
      <c r="A477" s="13" t="s">
        <v>6199</v>
      </c>
      <c r="B477" s="6" t="s">
        <v>3901</v>
      </c>
      <c r="C477" s="5" t="s">
        <v>1652</v>
      </c>
      <c r="D477" s="5" t="s">
        <v>2194</v>
      </c>
      <c r="E477" s="5" t="s">
        <v>6200</v>
      </c>
      <c r="F477" s="5" t="s">
        <v>2973</v>
      </c>
      <c r="G477" s="5" t="s">
        <v>2974</v>
      </c>
      <c r="H477" s="5" t="s">
        <v>6201</v>
      </c>
      <c r="I477" s="5" t="s">
        <v>6202</v>
      </c>
      <c r="J477" s="17" t="s">
        <v>162</v>
      </c>
      <c r="K477" s="17" t="s">
        <v>95</v>
      </c>
      <c r="L477" s="5" t="s">
        <v>6203</v>
      </c>
      <c r="M477" s="6" t="s">
        <v>1493</v>
      </c>
      <c r="N477" s="6" t="s">
        <v>2170</v>
      </c>
      <c r="O477" s="6" t="s">
        <v>162</v>
      </c>
      <c r="P477" s="5" t="s">
        <v>2272</v>
      </c>
      <c r="Q477" s="17" t="s">
        <v>95</v>
      </c>
      <c r="R477" s="5" t="s">
        <v>6204</v>
      </c>
      <c r="S477" s="6" t="s">
        <v>2449</v>
      </c>
      <c r="T477" s="5" t="s">
        <v>2450</v>
      </c>
      <c r="U477" s="6"/>
      <c r="V477" s="6" t="s">
        <v>2440</v>
      </c>
      <c r="W477" s="6" t="s">
        <v>1699</v>
      </c>
      <c r="X477" s="5" t="s">
        <v>228</v>
      </c>
      <c r="Y477" s="5" t="s">
        <v>2170</v>
      </c>
      <c r="Z477" s="5" t="str">
        <f t="shared" si="14"/>
        <v>Medium</v>
      </c>
      <c r="AA477" s="5" t="s">
        <v>1319</v>
      </c>
      <c r="AB477" s="6" t="s">
        <v>1355</v>
      </c>
      <c r="AC477" s="6" t="s">
        <v>135</v>
      </c>
      <c r="AD477" s="5" t="s">
        <v>95</v>
      </c>
      <c r="AE477" s="5" t="s">
        <v>1720</v>
      </c>
      <c r="AF477" s="5" t="s">
        <v>1720</v>
      </c>
      <c r="AG477" s="5" t="s">
        <v>1720</v>
      </c>
      <c r="AH477" s="5" t="s">
        <v>1720</v>
      </c>
      <c r="AI477" s="6" t="str">
        <f t="shared" si="15"/>
        <v>No</v>
      </c>
      <c r="AJ477" s="6" t="s">
        <v>229</v>
      </c>
      <c r="AK477" s="6" t="s">
        <v>162</v>
      </c>
      <c r="AL477" s="6">
        <f>MATCH(AA477,{"Low","Medium","High"},0)*MATCH(AB477,{"Low","Medium","High"},0)*INDEX({3,2,2,1,1},MATCH(X477,{"Core","Vertical extension","Differentiator","Future","Adjacent"},0))</f>
        <v>6</v>
      </c>
      <c r="AM477" s="5"/>
      <c r="AN477" s="5"/>
      <c r="AO477" s="5"/>
      <c r="AP477" s="5"/>
      <c r="AQ477" s="5"/>
      <c r="AR477" s="5"/>
      <c r="AS477" s="5"/>
      <c r="AT477" s="5"/>
      <c r="AU477" s="6" t="s">
        <v>2317</v>
      </c>
      <c r="AV477" s="6" t="s">
        <v>76</v>
      </c>
      <c r="AW477" s="6" t="s">
        <v>76</v>
      </c>
      <c r="AX477" s="6" t="s">
        <v>2284</v>
      </c>
      <c r="AY477" s="6" t="s">
        <v>2285</v>
      </c>
      <c r="AZ477" s="6"/>
      <c r="BA477" s="6"/>
      <c r="BB477" s="6"/>
      <c r="BC477" s="6" t="s">
        <v>127</v>
      </c>
      <c r="BD477" s="6" t="s">
        <v>127</v>
      </c>
      <c r="BE477" s="6" t="s">
        <v>1477</v>
      </c>
      <c r="BF477" s="6" t="s">
        <v>95</v>
      </c>
      <c r="BG477" s="6" t="s">
        <v>6205</v>
      </c>
      <c r="BH477" s="6" t="s">
        <v>6206</v>
      </c>
    </row>
    <row r="478" spans="1:60" ht="32" customHeight="1" x14ac:dyDescent="0.35">
      <c r="A478" s="13" t="s">
        <v>6207</v>
      </c>
      <c r="B478" s="6" t="s">
        <v>3901</v>
      </c>
      <c r="C478" s="5" t="s">
        <v>1652</v>
      </c>
      <c r="D478" s="5" t="s">
        <v>2194</v>
      </c>
      <c r="E478" s="5" t="s">
        <v>6208</v>
      </c>
      <c r="F478" s="5" t="s">
        <v>2973</v>
      </c>
      <c r="G478" s="5" t="s">
        <v>6209</v>
      </c>
      <c r="H478" s="5" t="s">
        <v>6210</v>
      </c>
      <c r="I478" s="5" t="s">
        <v>6211</v>
      </c>
      <c r="J478" s="17" t="s">
        <v>162</v>
      </c>
      <c r="K478" s="17" t="s">
        <v>95</v>
      </c>
      <c r="L478" s="5" t="s">
        <v>6212</v>
      </c>
      <c r="M478" s="6" t="s">
        <v>1493</v>
      </c>
      <c r="N478" s="6" t="s">
        <v>2170</v>
      </c>
      <c r="O478" s="6" t="s">
        <v>162</v>
      </c>
      <c r="P478" s="5" t="s">
        <v>2272</v>
      </c>
      <c r="Q478" s="17" t="s">
        <v>95</v>
      </c>
      <c r="R478" s="5" t="s">
        <v>6213</v>
      </c>
      <c r="S478" s="6" t="s">
        <v>2449</v>
      </c>
      <c r="T478" s="5" t="s">
        <v>2450</v>
      </c>
      <c r="U478" s="6"/>
      <c r="V478" s="6" t="s">
        <v>2440</v>
      </c>
      <c r="W478" s="6" t="s">
        <v>1699</v>
      </c>
      <c r="X478" s="5" t="s">
        <v>228</v>
      </c>
      <c r="Y478" s="5" t="s">
        <v>2170</v>
      </c>
      <c r="Z478" s="5" t="str">
        <f t="shared" si="14"/>
        <v>Medium</v>
      </c>
      <c r="AA478" s="5" t="s">
        <v>1319</v>
      </c>
      <c r="AB478" s="6" t="s">
        <v>1355</v>
      </c>
      <c r="AC478" s="6" t="s">
        <v>135</v>
      </c>
      <c r="AD478" s="5" t="s">
        <v>95</v>
      </c>
      <c r="AE478" s="5" t="s">
        <v>1720</v>
      </c>
      <c r="AF478" s="5" t="s">
        <v>1720</v>
      </c>
      <c r="AG478" s="5" t="s">
        <v>1720</v>
      </c>
      <c r="AH478" s="5" t="s">
        <v>1720</v>
      </c>
      <c r="AI478" s="6" t="str">
        <f t="shared" si="15"/>
        <v>No</v>
      </c>
      <c r="AJ478" s="6" t="s">
        <v>229</v>
      </c>
      <c r="AK478" s="6" t="s">
        <v>162</v>
      </c>
      <c r="AL478" s="6">
        <f>MATCH(AA478,{"Low","Medium","High"},0)*MATCH(AB478,{"Low","Medium","High"},0)*INDEX({3,2,2,1,1},MATCH(X478,{"Core","Vertical extension","Differentiator","Future","Adjacent"},0))</f>
        <v>6</v>
      </c>
      <c r="AM478" s="5"/>
      <c r="AN478" s="5"/>
      <c r="AO478" s="5"/>
      <c r="AP478" s="5"/>
      <c r="AQ478" s="5"/>
      <c r="AR478" s="5"/>
      <c r="AS478" s="5"/>
      <c r="AT478" s="5"/>
      <c r="AU478" s="6" t="s">
        <v>2317</v>
      </c>
      <c r="AV478" s="6" t="s">
        <v>76</v>
      </c>
      <c r="AW478" s="6" t="s">
        <v>76</v>
      </c>
      <c r="AX478" s="6" t="s">
        <v>2284</v>
      </c>
      <c r="AY478" s="6" t="s">
        <v>2285</v>
      </c>
      <c r="AZ478" s="6"/>
      <c r="BA478" s="6"/>
      <c r="BB478" s="6"/>
      <c r="BC478" s="6" t="s">
        <v>127</v>
      </c>
      <c r="BD478" s="6" t="s">
        <v>127</v>
      </c>
      <c r="BE478" s="6" t="s">
        <v>1477</v>
      </c>
      <c r="BF478" s="6" t="s">
        <v>95</v>
      </c>
      <c r="BG478" s="6" t="s">
        <v>6214</v>
      </c>
      <c r="BH478" s="6" t="s">
        <v>6215</v>
      </c>
    </row>
    <row r="479" spans="1:60" ht="32" customHeight="1" x14ac:dyDescent="0.35">
      <c r="A479" s="13" t="s">
        <v>6216</v>
      </c>
      <c r="B479" s="6" t="s">
        <v>3901</v>
      </c>
      <c r="C479" s="5" t="s">
        <v>1652</v>
      </c>
      <c r="D479" s="5" t="s">
        <v>2194</v>
      </c>
      <c r="E479" s="5" t="s">
        <v>6217</v>
      </c>
      <c r="F479" s="5" t="s">
        <v>2973</v>
      </c>
      <c r="G479" s="5" t="s">
        <v>2507</v>
      </c>
      <c r="H479" s="5" t="s">
        <v>6218</v>
      </c>
      <c r="I479" s="5" t="s">
        <v>6219</v>
      </c>
      <c r="J479" s="17" t="s">
        <v>162</v>
      </c>
      <c r="K479" s="17" t="s">
        <v>95</v>
      </c>
      <c r="L479" s="5" t="s">
        <v>3764</v>
      </c>
      <c r="M479" s="6" t="s">
        <v>1493</v>
      </c>
      <c r="N479" s="6" t="s">
        <v>2170</v>
      </c>
      <c r="O479" s="6" t="s">
        <v>162</v>
      </c>
      <c r="P479" s="5" t="s">
        <v>2272</v>
      </c>
      <c r="Q479" s="17" t="s">
        <v>95</v>
      </c>
      <c r="R479" s="5" t="s">
        <v>6220</v>
      </c>
      <c r="S479" s="6" t="s">
        <v>2449</v>
      </c>
      <c r="T479" s="5" t="s">
        <v>2450</v>
      </c>
      <c r="U479" s="6"/>
      <c r="V479" s="6" t="s">
        <v>2440</v>
      </c>
      <c r="W479" s="6" t="s">
        <v>1699</v>
      </c>
      <c r="X479" s="5" t="s">
        <v>228</v>
      </c>
      <c r="Y479" s="5" t="s">
        <v>2170</v>
      </c>
      <c r="Z479" s="5" t="str">
        <f t="shared" si="14"/>
        <v>Medium</v>
      </c>
      <c r="AA479" s="5" t="s">
        <v>1319</v>
      </c>
      <c r="AB479" s="6" t="s">
        <v>1355</v>
      </c>
      <c r="AC479" s="6" t="s">
        <v>135</v>
      </c>
      <c r="AD479" s="5" t="s">
        <v>95</v>
      </c>
      <c r="AE479" s="5" t="s">
        <v>1720</v>
      </c>
      <c r="AF479" s="5" t="s">
        <v>1720</v>
      </c>
      <c r="AG479" s="5" t="s">
        <v>1720</v>
      </c>
      <c r="AH479" s="5" t="s">
        <v>1720</v>
      </c>
      <c r="AI479" s="6" t="str">
        <f t="shared" si="15"/>
        <v>No</v>
      </c>
      <c r="AJ479" s="6" t="s">
        <v>229</v>
      </c>
      <c r="AK479" s="6" t="s">
        <v>162</v>
      </c>
      <c r="AL479" s="6">
        <f>MATCH(AA479,{"Low","Medium","High"},0)*MATCH(AB479,{"Low","Medium","High"},0)*INDEX({3,2,2,1,1},MATCH(X479,{"Core","Vertical extension","Differentiator","Future","Adjacent"},0))</f>
        <v>6</v>
      </c>
      <c r="AM479" s="5"/>
      <c r="AN479" s="5"/>
      <c r="AO479" s="5"/>
      <c r="AP479" s="5"/>
      <c r="AQ479" s="5"/>
      <c r="AR479" s="5"/>
      <c r="AS479" s="5"/>
      <c r="AT479" s="5"/>
      <c r="AU479" s="6" t="s">
        <v>2317</v>
      </c>
      <c r="AV479" s="6" t="s">
        <v>76</v>
      </c>
      <c r="AW479" s="6" t="s">
        <v>76</v>
      </c>
      <c r="AX479" s="6" t="s">
        <v>2284</v>
      </c>
      <c r="AY479" s="6" t="s">
        <v>2285</v>
      </c>
      <c r="AZ479" s="6"/>
      <c r="BA479" s="6"/>
      <c r="BB479" s="6"/>
      <c r="BC479" s="6" t="s">
        <v>127</v>
      </c>
      <c r="BD479" s="6" t="s">
        <v>127</v>
      </c>
      <c r="BE479" s="6" t="s">
        <v>1477</v>
      </c>
      <c r="BF479" s="6" t="s">
        <v>95</v>
      </c>
      <c r="BG479" s="6" t="s">
        <v>4999</v>
      </c>
      <c r="BH479" s="6" t="s">
        <v>6221</v>
      </c>
    </row>
    <row r="480" spans="1:60" ht="32" customHeight="1" x14ac:dyDescent="0.35">
      <c r="A480" s="13" t="s">
        <v>1691</v>
      </c>
      <c r="B480" s="6" t="s">
        <v>3901</v>
      </c>
      <c r="C480" s="5" t="s">
        <v>1652</v>
      </c>
      <c r="D480" s="5" t="s">
        <v>2194</v>
      </c>
      <c r="E480" s="5" t="s">
        <v>1692</v>
      </c>
      <c r="F480" s="5" t="s">
        <v>2973</v>
      </c>
      <c r="G480" s="5" t="s">
        <v>3276</v>
      </c>
      <c r="H480" s="5" t="s">
        <v>6222</v>
      </c>
      <c r="I480" s="5" t="s">
        <v>6223</v>
      </c>
      <c r="J480" s="17" t="s">
        <v>162</v>
      </c>
      <c r="K480" s="17" t="s">
        <v>95</v>
      </c>
      <c r="L480" s="5" t="s">
        <v>6224</v>
      </c>
      <c r="M480" s="6" t="s">
        <v>1493</v>
      </c>
      <c r="N480" s="6" t="s">
        <v>2170</v>
      </c>
      <c r="O480" s="6" t="s">
        <v>162</v>
      </c>
      <c r="P480" s="5" t="s">
        <v>2272</v>
      </c>
      <c r="Q480" s="17" t="s">
        <v>95</v>
      </c>
      <c r="R480" s="5" t="s">
        <v>6225</v>
      </c>
      <c r="S480" s="6" t="s">
        <v>2449</v>
      </c>
      <c r="T480" s="5" t="s">
        <v>2450</v>
      </c>
      <c r="U480" s="6"/>
      <c r="V480" s="6" t="s">
        <v>2440</v>
      </c>
      <c r="W480" s="6" t="s">
        <v>1699</v>
      </c>
      <c r="X480" s="5" t="s">
        <v>228</v>
      </c>
      <c r="Y480" s="5" t="s">
        <v>2170</v>
      </c>
      <c r="Z480" s="5" t="str">
        <f t="shared" si="14"/>
        <v>Medium</v>
      </c>
      <c r="AA480" s="5" t="s">
        <v>1319</v>
      </c>
      <c r="AB480" s="6" t="s">
        <v>1355</v>
      </c>
      <c r="AC480" s="6" t="s">
        <v>135</v>
      </c>
      <c r="AD480" s="5" t="s">
        <v>95</v>
      </c>
      <c r="AE480" s="5" t="s">
        <v>1720</v>
      </c>
      <c r="AF480" s="5" t="s">
        <v>1720</v>
      </c>
      <c r="AG480" s="5" t="s">
        <v>1720</v>
      </c>
      <c r="AH480" s="5" t="s">
        <v>1720</v>
      </c>
      <c r="AI480" s="6" t="str">
        <f t="shared" si="15"/>
        <v>No</v>
      </c>
      <c r="AJ480" s="6" t="s">
        <v>229</v>
      </c>
      <c r="AK480" s="6" t="s">
        <v>162</v>
      </c>
      <c r="AL480" s="6">
        <f>MATCH(AA480,{"Low","Medium","High"},0)*MATCH(AB480,{"Low","Medium","High"},0)*INDEX({3,2,2,1,1},MATCH(X480,{"Core","Vertical extension","Differentiator","Future","Adjacent"},0))</f>
        <v>6</v>
      </c>
      <c r="AM480" s="5"/>
      <c r="AN480" s="5"/>
      <c r="AO480" s="5"/>
      <c r="AP480" s="5"/>
      <c r="AQ480" s="5"/>
      <c r="AR480" s="5"/>
      <c r="AS480" s="5"/>
      <c r="AT480" s="5"/>
      <c r="AU480" s="6" t="s">
        <v>2317</v>
      </c>
      <c r="AV480" s="6" t="s">
        <v>76</v>
      </c>
      <c r="AW480" s="6" t="s">
        <v>76</v>
      </c>
      <c r="AX480" s="6" t="s">
        <v>2284</v>
      </c>
      <c r="AY480" s="6" t="s">
        <v>2285</v>
      </c>
      <c r="AZ480" s="6" t="s">
        <v>6226</v>
      </c>
      <c r="BA480" s="6"/>
      <c r="BB480" s="6"/>
      <c r="BC480" s="6" t="s">
        <v>127</v>
      </c>
      <c r="BD480" s="6" t="s">
        <v>127</v>
      </c>
      <c r="BE480" s="6" t="s">
        <v>1477</v>
      </c>
      <c r="BF480" s="6" t="s">
        <v>95</v>
      </c>
      <c r="BG480" s="6" t="s">
        <v>6227</v>
      </c>
      <c r="BH480" s="6" t="s">
        <v>6228</v>
      </c>
    </row>
    <row r="481" spans="1:60" ht="32" customHeight="1" x14ac:dyDescent="0.35">
      <c r="A481" s="13" t="s">
        <v>6229</v>
      </c>
      <c r="B481" s="6" t="s">
        <v>3901</v>
      </c>
      <c r="C481" s="5" t="s">
        <v>1652</v>
      </c>
      <c r="D481" s="5" t="s">
        <v>2194</v>
      </c>
      <c r="E481" s="5" t="s">
        <v>6230</v>
      </c>
      <c r="F481" s="5" t="s">
        <v>6231</v>
      </c>
      <c r="G481" s="5" t="s">
        <v>5739</v>
      </c>
      <c r="H481" s="5" t="s">
        <v>6232</v>
      </c>
      <c r="I481" s="5" t="s">
        <v>6233</v>
      </c>
      <c r="J481" s="17" t="s">
        <v>162</v>
      </c>
      <c r="K481" s="17" t="s">
        <v>1477</v>
      </c>
      <c r="L481" s="5" t="s">
        <v>6234</v>
      </c>
      <c r="M481" s="6" t="s">
        <v>1493</v>
      </c>
      <c r="N481" s="6" t="s">
        <v>2170</v>
      </c>
      <c r="O481" s="6" t="s">
        <v>162</v>
      </c>
      <c r="P481" s="5" t="s">
        <v>2272</v>
      </c>
      <c r="Q481" s="17" t="s">
        <v>2273</v>
      </c>
      <c r="R481" s="5" t="s">
        <v>6235</v>
      </c>
      <c r="S481" s="6" t="s">
        <v>2449</v>
      </c>
      <c r="T481" s="5" t="s">
        <v>2450</v>
      </c>
      <c r="U481" s="6"/>
      <c r="V481" s="6" t="s">
        <v>2440</v>
      </c>
      <c r="W481" s="6" t="s">
        <v>1699</v>
      </c>
      <c r="X481" s="5" t="s">
        <v>228</v>
      </c>
      <c r="Y481" s="5" t="s">
        <v>2170</v>
      </c>
      <c r="Z481" s="5" t="str">
        <f t="shared" si="14"/>
        <v>Medium</v>
      </c>
      <c r="AA481" s="5" t="s">
        <v>1319</v>
      </c>
      <c r="AB481" s="6" t="s">
        <v>1355</v>
      </c>
      <c r="AC481" s="6" t="s">
        <v>135</v>
      </c>
      <c r="AD481" s="5" t="s">
        <v>2278</v>
      </c>
      <c r="AE481" s="5" t="s">
        <v>1720</v>
      </c>
      <c r="AF481" s="5" t="s">
        <v>1720</v>
      </c>
      <c r="AG481" s="5" t="s">
        <v>1720</v>
      </c>
      <c r="AH481" s="5" t="s">
        <v>1720</v>
      </c>
      <c r="AI481" s="6" t="str">
        <f t="shared" si="15"/>
        <v>No</v>
      </c>
      <c r="AJ481" s="6" t="s">
        <v>2298</v>
      </c>
      <c r="AK481" s="6" t="s">
        <v>162</v>
      </c>
      <c r="AL481" s="6">
        <f>MATCH(AA481,{"Low","Medium","High"},0)*MATCH(AB481,{"Low","Medium","High"},0)*INDEX({3,2,2,1,1},MATCH(X481,{"Core","Vertical extension","Differentiator","Future","Adjacent"},0))</f>
        <v>6</v>
      </c>
      <c r="AM481" s="5"/>
      <c r="AN481" s="5"/>
      <c r="AO481" s="5"/>
      <c r="AP481" s="5"/>
      <c r="AQ481" s="5"/>
      <c r="AR481" s="5"/>
      <c r="AS481" s="5"/>
      <c r="AT481" s="5"/>
      <c r="AU481" s="6" t="s">
        <v>2317</v>
      </c>
      <c r="AV481" s="6" t="s">
        <v>3968</v>
      </c>
      <c r="AW481" s="6" t="s">
        <v>3968</v>
      </c>
      <c r="AX481" s="6" t="s">
        <v>2284</v>
      </c>
      <c r="AY481" s="6" t="s">
        <v>2285</v>
      </c>
      <c r="AZ481" s="6"/>
      <c r="BA481" s="6"/>
      <c r="BB481" s="6"/>
      <c r="BC481" s="6" t="s">
        <v>127</v>
      </c>
      <c r="BD481" s="6" t="s">
        <v>127</v>
      </c>
      <c r="BE481" s="6" t="s">
        <v>1477</v>
      </c>
      <c r="BF481" s="6" t="s">
        <v>2286</v>
      </c>
      <c r="BG481" s="6" t="s">
        <v>6236</v>
      </c>
      <c r="BH481" s="6" t="s">
        <v>6237</v>
      </c>
    </row>
    <row r="482" spans="1:60" ht="32" customHeight="1" x14ac:dyDescent="0.35">
      <c r="A482" s="13" t="s">
        <v>6238</v>
      </c>
      <c r="B482" s="6" t="s">
        <v>3901</v>
      </c>
      <c r="C482" s="5" t="s">
        <v>1652</v>
      </c>
      <c r="D482" s="5" t="s">
        <v>2194</v>
      </c>
      <c r="E482" s="5" t="s">
        <v>6239</v>
      </c>
      <c r="F482" s="5" t="s">
        <v>2973</v>
      </c>
      <c r="G482" s="5" t="s">
        <v>2983</v>
      </c>
      <c r="H482" s="5" t="s">
        <v>6240</v>
      </c>
      <c r="I482" s="5" t="s">
        <v>6241</v>
      </c>
      <c r="J482" s="17" t="s">
        <v>162</v>
      </c>
      <c r="K482" s="17" t="s">
        <v>1477</v>
      </c>
      <c r="L482" s="5" t="s">
        <v>6242</v>
      </c>
      <c r="M482" s="6" t="s">
        <v>1493</v>
      </c>
      <c r="N482" s="6" t="s">
        <v>2170</v>
      </c>
      <c r="O482" s="6" t="s">
        <v>162</v>
      </c>
      <c r="P482" s="5" t="s">
        <v>2272</v>
      </c>
      <c r="Q482" s="17" t="s">
        <v>2273</v>
      </c>
      <c r="R482" s="5" t="s">
        <v>6243</v>
      </c>
      <c r="S482" s="6" t="s">
        <v>2449</v>
      </c>
      <c r="T482" s="5" t="s">
        <v>2450</v>
      </c>
      <c r="U482" s="6"/>
      <c r="V482" s="6" t="s">
        <v>2440</v>
      </c>
      <c r="W482" s="6" t="s">
        <v>1699</v>
      </c>
      <c r="X482" s="5" t="s">
        <v>228</v>
      </c>
      <c r="Y482" s="5" t="s">
        <v>2170</v>
      </c>
      <c r="Z482" s="5" t="str">
        <f t="shared" si="14"/>
        <v>Medium</v>
      </c>
      <c r="AA482" s="5" t="s">
        <v>1319</v>
      </c>
      <c r="AB482" s="6" t="s">
        <v>1355</v>
      </c>
      <c r="AC482" s="6" t="s">
        <v>135</v>
      </c>
      <c r="AD482" s="5" t="s">
        <v>2278</v>
      </c>
      <c r="AE482" s="5" t="s">
        <v>1720</v>
      </c>
      <c r="AF482" s="5" t="s">
        <v>1720</v>
      </c>
      <c r="AG482" s="5" t="s">
        <v>1720</v>
      </c>
      <c r="AH482" s="5" t="s">
        <v>1720</v>
      </c>
      <c r="AI482" s="6" t="str">
        <f t="shared" si="15"/>
        <v>No</v>
      </c>
      <c r="AJ482" s="6" t="s">
        <v>2298</v>
      </c>
      <c r="AK482" s="6" t="s">
        <v>162</v>
      </c>
      <c r="AL482" s="6">
        <f>MATCH(AA482,{"Low","Medium","High"},0)*MATCH(AB482,{"Low","Medium","High"},0)*INDEX({3,2,2,1,1},MATCH(X482,{"Core","Vertical extension","Differentiator","Future","Adjacent"},0))</f>
        <v>6</v>
      </c>
      <c r="AM482" s="5"/>
      <c r="AN482" s="5"/>
      <c r="AO482" s="5"/>
      <c r="AP482" s="5"/>
      <c r="AQ482" s="5"/>
      <c r="AR482" s="5"/>
      <c r="AS482" s="5"/>
      <c r="AT482" s="5"/>
      <c r="AU482" s="6" t="s">
        <v>2317</v>
      </c>
      <c r="AV482" s="6" t="s">
        <v>76</v>
      </c>
      <c r="AW482" s="6" t="s">
        <v>76</v>
      </c>
      <c r="AX482" s="6" t="s">
        <v>2284</v>
      </c>
      <c r="AY482" s="6" t="s">
        <v>2285</v>
      </c>
      <c r="AZ482" s="6"/>
      <c r="BA482" s="6"/>
      <c r="BB482" s="6"/>
      <c r="BC482" s="6" t="s">
        <v>127</v>
      </c>
      <c r="BD482" s="6" t="s">
        <v>127</v>
      </c>
      <c r="BE482" s="6" t="s">
        <v>1477</v>
      </c>
      <c r="BF482" s="6" t="s">
        <v>2286</v>
      </c>
      <c r="BG482" s="6" t="s">
        <v>6244</v>
      </c>
      <c r="BH482" s="6" t="s">
        <v>6245</v>
      </c>
    </row>
    <row r="483" spans="1:60" ht="32" customHeight="1" x14ac:dyDescent="0.35">
      <c r="A483" s="13" t="s">
        <v>6246</v>
      </c>
      <c r="B483" s="6" t="s">
        <v>3901</v>
      </c>
      <c r="C483" s="5" t="s">
        <v>1652</v>
      </c>
      <c r="D483" s="5" t="s">
        <v>2194</v>
      </c>
      <c r="E483" s="5" t="s">
        <v>6247</v>
      </c>
      <c r="F483" s="5" t="s">
        <v>6248</v>
      </c>
      <c r="G483" s="5" t="s">
        <v>4439</v>
      </c>
      <c r="H483" s="5" t="s">
        <v>6249</v>
      </c>
      <c r="I483" s="5" t="s">
        <v>6250</v>
      </c>
      <c r="J483" s="17" t="s">
        <v>162</v>
      </c>
      <c r="K483" s="17" t="s">
        <v>163</v>
      </c>
      <c r="L483" s="5" t="s">
        <v>6251</v>
      </c>
      <c r="M483" s="6" t="s">
        <v>1493</v>
      </c>
      <c r="N483" s="6" t="s">
        <v>2170</v>
      </c>
      <c r="O483" s="6" t="s">
        <v>162</v>
      </c>
      <c r="P483" s="5" t="s">
        <v>2272</v>
      </c>
      <c r="Q483" s="17" t="s">
        <v>163</v>
      </c>
      <c r="R483" s="5" t="s">
        <v>6252</v>
      </c>
      <c r="S483" s="6" t="s">
        <v>2449</v>
      </c>
      <c r="T483" s="5" t="s">
        <v>2450</v>
      </c>
      <c r="U483" s="6"/>
      <c r="V483" s="6" t="s">
        <v>2440</v>
      </c>
      <c r="W483" s="6" t="s">
        <v>1699</v>
      </c>
      <c r="X483" s="5" t="s">
        <v>228</v>
      </c>
      <c r="Y483" s="5" t="s">
        <v>2170</v>
      </c>
      <c r="Z483" s="5" t="str">
        <f t="shared" si="14"/>
        <v>Medium</v>
      </c>
      <c r="AA483" s="5" t="s">
        <v>1319</v>
      </c>
      <c r="AB483" s="6" t="s">
        <v>1355</v>
      </c>
      <c r="AC483" s="6" t="s">
        <v>135</v>
      </c>
      <c r="AD483" s="5" t="s">
        <v>1805</v>
      </c>
      <c r="AE483" s="5" t="s">
        <v>1720</v>
      </c>
      <c r="AF483" s="5" t="s">
        <v>1720</v>
      </c>
      <c r="AG483" s="5" t="s">
        <v>1720</v>
      </c>
      <c r="AH483" s="5" t="s">
        <v>1720</v>
      </c>
      <c r="AI483" s="6" t="str">
        <f t="shared" si="15"/>
        <v>No</v>
      </c>
      <c r="AJ483" s="6" t="s">
        <v>287</v>
      </c>
      <c r="AK483" s="6" t="s">
        <v>162</v>
      </c>
      <c r="AL483" s="6">
        <f>MATCH(AA483,{"Low","Medium","High"},0)*MATCH(AB483,{"Low","Medium","High"},0)*INDEX({3,2,2,1,1},MATCH(X483,{"Core","Vertical extension","Differentiator","Future","Adjacent"},0))</f>
        <v>6</v>
      </c>
      <c r="AM483" s="5"/>
      <c r="AN483" s="5"/>
      <c r="AO483" s="5"/>
      <c r="AP483" s="5"/>
      <c r="AQ483" s="5"/>
      <c r="AR483" s="5"/>
      <c r="AS483" s="5"/>
      <c r="AT483" s="5"/>
      <c r="AU483" s="6" t="s">
        <v>2317</v>
      </c>
      <c r="AV483" s="6" t="s">
        <v>76</v>
      </c>
      <c r="AW483" s="6" t="s">
        <v>76</v>
      </c>
      <c r="AX483" s="6" t="s">
        <v>2284</v>
      </c>
      <c r="AY483" s="6" t="s">
        <v>2285</v>
      </c>
      <c r="AZ483" s="6"/>
      <c r="BA483" s="6"/>
      <c r="BB483" s="6"/>
      <c r="BC483" s="6" t="s">
        <v>127</v>
      </c>
      <c r="BD483" s="6" t="s">
        <v>127</v>
      </c>
      <c r="BE483" s="6" t="s">
        <v>1477</v>
      </c>
      <c r="BF483" s="6" t="s">
        <v>288</v>
      </c>
      <c r="BG483" s="6" t="s">
        <v>6253</v>
      </c>
      <c r="BH483" s="6" t="s">
        <v>6254</v>
      </c>
    </row>
    <row r="484" spans="1:60" ht="32" customHeight="1" x14ac:dyDescent="0.35">
      <c r="A484" s="13" t="s">
        <v>6255</v>
      </c>
      <c r="B484" s="6" t="s">
        <v>3901</v>
      </c>
      <c r="C484" s="5" t="s">
        <v>1652</v>
      </c>
      <c r="D484" s="5" t="s">
        <v>2194</v>
      </c>
      <c r="E484" s="5" t="s">
        <v>6256</v>
      </c>
      <c r="F484" s="5" t="s">
        <v>6248</v>
      </c>
      <c r="G484" s="5" t="s">
        <v>4439</v>
      </c>
      <c r="H484" s="5" t="s">
        <v>6257</v>
      </c>
      <c r="I484" s="5" t="s">
        <v>6258</v>
      </c>
      <c r="J484" s="17" t="s">
        <v>162</v>
      </c>
      <c r="K484" s="17" t="s">
        <v>95</v>
      </c>
      <c r="L484" s="5" t="s">
        <v>6259</v>
      </c>
      <c r="M484" s="6" t="s">
        <v>1493</v>
      </c>
      <c r="N484" s="6" t="s">
        <v>2170</v>
      </c>
      <c r="O484" s="6" t="s">
        <v>162</v>
      </c>
      <c r="P484" s="5" t="s">
        <v>2272</v>
      </c>
      <c r="Q484" s="17" t="s">
        <v>163</v>
      </c>
      <c r="R484" s="5" t="s">
        <v>6260</v>
      </c>
      <c r="S484" s="6" t="s">
        <v>2449</v>
      </c>
      <c r="T484" s="5" t="s">
        <v>2450</v>
      </c>
      <c r="U484" s="6"/>
      <c r="V484" s="6" t="s">
        <v>2440</v>
      </c>
      <c r="W484" s="6" t="s">
        <v>1699</v>
      </c>
      <c r="X484" s="5" t="s">
        <v>228</v>
      </c>
      <c r="Y484" s="5" t="s">
        <v>2170</v>
      </c>
      <c r="Z484" s="5" t="str">
        <f t="shared" si="14"/>
        <v>Medium</v>
      </c>
      <c r="AA484" s="5" t="s">
        <v>1319</v>
      </c>
      <c r="AB484" s="6" t="s">
        <v>1355</v>
      </c>
      <c r="AC484" s="6" t="s">
        <v>135</v>
      </c>
      <c r="AD484" s="5" t="s">
        <v>1805</v>
      </c>
      <c r="AE484" s="5" t="s">
        <v>1720</v>
      </c>
      <c r="AF484" s="5" t="s">
        <v>1720</v>
      </c>
      <c r="AG484" s="5" t="s">
        <v>1720</v>
      </c>
      <c r="AH484" s="5" t="s">
        <v>1720</v>
      </c>
      <c r="AI484" s="6" t="str">
        <f t="shared" si="15"/>
        <v>No</v>
      </c>
      <c r="AJ484" s="6" t="s">
        <v>229</v>
      </c>
      <c r="AK484" s="6" t="s">
        <v>162</v>
      </c>
      <c r="AL484" s="6">
        <f>MATCH(AA484,{"Low","Medium","High"},0)*MATCH(AB484,{"Low","Medium","High"},0)*INDEX({3,2,2,1,1},MATCH(X484,{"Core","Vertical extension","Differentiator","Future","Adjacent"},0))</f>
        <v>6</v>
      </c>
      <c r="AM484" s="5"/>
      <c r="AN484" s="5"/>
      <c r="AO484" s="5"/>
      <c r="AP484" s="5"/>
      <c r="AQ484" s="5"/>
      <c r="AR484" s="5"/>
      <c r="AS484" s="5"/>
      <c r="AT484" s="5"/>
      <c r="AU484" s="6" t="s">
        <v>2317</v>
      </c>
      <c r="AV484" s="6" t="s">
        <v>76</v>
      </c>
      <c r="AW484" s="6" t="s">
        <v>76</v>
      </c>
      <c r="AX484" s="6" t="s">
        <v>2284</v>
      </c>
      <c r="AY484" s="6" t="s">
        <v>2285</v>
      </c>
      <c r="AZ484" s="6"/>
      <c r="BA484" s="6"/>
      <c r="BB484" s="6"/>
      <c r="BC484" s="6" t="s">
        <v>127</v>
      </c>
      <c r="BD484" s="6" t="s">
        <v>127</v>
      </c>
      <c r="BE484" s="6" t="s">
        <v>1477</v>
      </c>
      <c r="BF484" s="6" t="s">
        <v>288</v>
      </c>
      <c r="BG484" s="6" t="s">
        <v>6261</v>
      </c>
      <c r="BH484" s="6" t="s">
        <v>6262</v>
      </c>
    </row>
    <row r="485" spans="1:60" ht="32" customHeight="1" x14ac:dyDescent="0.35">
      <c r="A485" s="13" t="s">
        <v>6263</v>
      </c>
      <c r="B485" s="6" t="s">
        <v>3901</v>
      </c>
      <c r="C485" s="5" t="s">
        <v>1652</v>
      </c>
      <c r="D485" s="5" t="s">
        <v>2194</v>
      </c>
      <c r="E485" s="5" t="s">
        <v>6264</v>
      </c>
      <c r="F485" s="5" t="s">
        <v>6265</v>
      </c>
      <c r="G485" s="5" t="s">
        <v>4439</v>
      </c>
      <c r="H485" s="5" t="s">
        <v>6266</v>
      </c>
      <c r="I485" s="5" t="s">
        <v>6267</v>
      </c>
      <c r="J485" s="17" t="s">
        <v>162</v>
      </c>
      <c r="K485" s="17" t="s">
        <v>163</v>
      </c>
      <c r="L485" s="5" t="s">
        <v>6268</v>
      </c>
      <c r="M485" s="6" t="s">
        <v>1493</v>
      </c>
      <c r="N485" s="6" t="s">
        <v>2170</v>
      </c>
      <c r="O485" s="6" t="s">
        <v>162</v>
      </c>
      <c r="P485" s="5" t="s">
        <v>2272</v>
      </c>
      <c r="Q485" s="17" t="s">
        <v>163</v>
      </c>
      <c r="R485" s="5" t="s">
        <v>6269</v>
      </c>
      <c r="S485" s="6" t="s">
        <v>2449</v>
      </c>
      <c r="T485" s="5" t="s">
        <v>2450</v>
      </c>
      <c r="U485" s="6"/>
      <c r="V485" s="6" t="s">
        <v>2440</v>
      </c>
      <c r="W485" s="6" t="s">
        <v>1699</v>
      </c>
      <c r="X485" s="5" t="s">
        <v>228</v>
      </c>
      <c r="Y485" s="5" t="s">
        <v>2170</v>
      </c>
      <c r="Z485" s="5" t="str">
        <f t="shared" si="14"/>
        <v>Medium</v>
      </c>
      <c r="AA485" s="5" t="s">
        <v>1319</v>
      </c>
      <c r="AB485" s="6" t="s">
        <v>1355</v>
      </c>
      <c r="AC485" s="6" t="s">
        <v>135</v>
      </c>
      <c r="AD485" s="5" t="s">
        <v>1805</v>
      </c>
      <c r="AE485" s="5" t="s">
        <v>1720</v>
      </c>
      <c r="AF485" s="5" t="s">
        <v>1720</v>
      </c>
      <c r="AG485" s="5" t="s">
        <v>1720</v>
      </c>
      <c r="AH485" s="5" t="s">
        <v>1720</v>
      </c>
      <c r="AI485" s="6" t="str">
        <f t="shared" si="15"/>
        <v>No</v>
      </c>
      <c r="AJ485" s="6" t="s">
        <v>287</v>
      </c>
      <c r="AK485" s="6" t="s">
        <v>162</v>
      </c>
      <c r="AL485" s="6">
        <f>MATCH(AA485,{"Low","Medium","High"},0)*MATCH(AB485,{"Low","Medium","High"},0)*INDEX({3,2,2,1,1},MATCH(X485,{"Core","Vertical extension","Differentiator","Future","Adjacent"},0))</f>
        <v>6</v>
      </c>
      <c r="AM485" s="5"/>
      <c r="AN485" s="5"/>
      <c r="AO485" s="5"/>
      <c r="AP485" s="5"/>
      <c r="AQ485" s="5"/>
      <c r="AR485" s="5"/>
      <c r="AS485" s="5"/>
      <c r="AT485" s="5"/>
      <c r="AU485" s="6" t="s">
        <v>2317</v>
      </c>
      <c r="AV485" s="6" t="s">
        <v>76</v>
      </c>
      <c r="AW485" s="6" t="s">
        <v>76</v>
      </c>
      <c r="AX485" s="6" t="s">
        <v>2284</v>
      </c>
      <c r="AY485" s="6" t="s">
        <v>2285</v>
      </c>
      <c r="AZ485" s="6"/>
      <c r="BA485" s="6"/>
      <c r="BB485" s="6"/>
      <c r="BC485" s="6" t="s">
        <v>127</v>
      </c>
      <c r="BD485" s="6" t="s">
        <v>127</v>
      </c>
      <c r="BE485" s="6" t="s">
        <v>1477</v>
      </c>
      <c r="BF485" s="6" t="s">
        <v>288</v>
      </c>
      <c r="BG485" s="6" t="s">
        <v>6270</v>
      </c>
      <c r="BH485" s="6" t="s">
        <v>6271</v>
      </c>
    </row>
    <row r="486" spans="1:60" ht="32" customHeight="1" x14ac:dyDescent="0.35">
      <c r="A486" s="13" t="s">
        <v>6272</v>
      </c>
      <c r="B486" s="6" t="s">
        <v>3901</v>
      </c>
      <c r="C486" s="5" t="s">
        <v>1652</v>
      </c>
      <c r="D486" s="5" t="s">
        <v>2194</v>
      </c>
      <c r="E486" s="5" t="s">
        <v>6273</v>
      </c>
      <c r="F486" s="5" t="s">
        <v>2813</v>
      </c>
      <c r="G486" s="5" t="s">
        <v>3086</v>
      </c>
      <c r="H486" s="5" t="s">
        <v>6274</v>
      </c>
      <c r="I486" s="5" t="s">
        <v>6275</v>
      </c>
      <c r="J486" s="17" t="s">
        <v>162</v>
      </c>
      <c r="K486" s="17" t="s">
        <v>1477</v>
      </c>
      <c r="L486" s="5" t="s">
        <v>6276</v>
      </c>
      <c r="M486" s="6" t="s">
        <v>1493</v>
      </c>
      <c r="N486" s="6" t="s">
        <v>2170</v>
      </c>
      <c r="O486" s="6" t="s">
        <v>162</v>
      </c>
      <c r="P486" s="5" t="s">
        <v>2272</v>
      </c>
      <c r="Q486" s="18" t="s">
        <v>1482</v>
      </c>
      <c r="R486" s="5" t="s">
        <v>2400</v>
      </c>
      <c r="S486" s="6" t="s">
        <v>2449</v>
      </c>
      <c r="T486" s="5" t="s">
        <v>2450</v>
      </c>
      <c r="U486" s="6"/>
      <c r="V486" s="6" t="s">
        <v>2440</v>
      </c>
      <c r="W486" s="6" t="s">
        <v>1699</v>
      </c>
      <c r="X486" s="5" t="s">
        <v>228</v>
      </c>
      <c r="Y486" s="5" t="s">
        <v>2170</v>
      </c>
      <c r="Z486" s="5" t="str">
        <f t="shared" si="14"/>
        <v>Medium</v>
      </c>
      <c r="AA486" s="5" t="s">
        <v>1319</v>
      </c>
      <c r="AB486" s="6" t="s">
        <v>1355</v>
      </c>
      <c r="AC486" s="6" t="s">
        <v>135</v>
      </c>
      <c r="AD486" s="5" t="s">
        <v>2278</v>
      </c>
      <c r="AE486" s="5" t="s">
        <v>1720</v>
      </c>
      <c r="AF486" s="5" t="s">
        <v>1720</v>
      </c>
      <c r="AG486" s="5" t="s">
        <v>1720</v>
      </c>
      <c r="AH486" s="5" t="s">
        <v>1720</v>
      </c>
      <c r="AI486" s="6" t="str">
        <f t="shared" si="15"/>
        <v>No</v>
      </c>
      <c r="AJ486" s="6" t="s">
        <v>2298</v>
      </c>
      <c r="AK486" s="6" t="s">
        <v>162</v>
      </c>
      <c r="AL486" s="6">
        <f>MATCH(AA486,{"Low","Medium","High"},0)*MATCH(AB486,{"Low","Medium","High"},0)*INDEX({3,2,2,1,1},MATCH(X486,{"Core","Vertical extension","Differentiator","Future","Adjacent"},0))</f>
        <v>6</v>
      </c>
      <c r="AM486" s="5"/>
      <c r="AN486" s="5"/>
      <c r="AO486" s="5"/>
      <c r="AP486" s="5"/>
      <c r="AQ486" s="5"/>
      <c r="AR486" s="5"/>
      <c r="AS486" s="5"/>
      <c r="AT486" s="5"/>
      <c r="AU486" s="6" t="s">
        <v>2317</v>
      </c>
      <c r="AV486" s="6" t="s">
        <v>2813</v>
      </c>
      <c r="AW486" s="6" t="s">
        <v>2813</v>
      </c>
      <c r="AX486" s="6" t="s">
        <v>2284</v>
      </c>
      <c r="AY486" s="6" t="s">
        <v>2285</v>
      </c>
      <c r="AZ486" s="6"/>
      <c r="BA486" s="6"/>
      <c r="BB486" s="6"/>
      <c r="BC486" s="6" t="s">
        <v>127</v>
      </c>
      <c r="BD486" s="6" t="s">
        <v>127</v>
      </c>
      <c r="BE486" s="6"/>
      <c r="BF486" s="6"/>
      <c r="BG486" s="6"/>
      <c r="BH486" s="6"/>
    </row>
    <row r="487" spans="1:60" ht="32" customHeight="1" x14ac:dyDescent="0.35">
      <c r="A487" s="13" t="s">
        <v>6277</v>
      </c>
      <c r="B487" s="6" t="s">
        <v>3901</v>
      </c>
      <c r="C487" s="5" t="s">
        <v>1652</v>
      </c>
      <c r="D487" s="5" t="s">
        <v>2194</v>
      </c>
      <c r="E487" s="5" t="s">
        <v>6278</v>
      </c>
      <c r="F487" s="5" t="s">
        <v>2813</v>
      </c>
      <c r="G487" s="5" t="s">
        <v>1824</v>
      </c>
      <c r="H487" s="5" t="s">
        <v>6279</v>
      </c>
      <c r="I487" s="5" t="s">
        <v>6280</v>
      </c>
      <c r="J487" s="17" t="s">
        <v>162</v>
      </c>
      <c r="K487" s="17" t="s">
        <v>95</v>
      </c>
      <c r="L487" s="5" t="s">
        <v>6281</v>
      </c>
      <c r="M487" s="6" t="s">
        <v>1493</v>
      </c>
      <c r="N487" s="6" t="s">
        <v>2170</v>
      </c>
      <c r="O487" s="6" t="s">
        <v>162</v>
      </c>
      <c r="P487" s="5" t="s">
        <v>2272</v>
      </c>
      <c r="Q487" s="17" t="s">
        <v>95</v>
      </c>
      <c r="R487" s="5" t="s">
        <v>6282</v>
      </c>
      <c r="S487" s="6" t="s">
        <v>2449</v>
      </c>
      <c r="T487" s="5" t="s">
        <v>2450</v>
      </c>
      <c r="U487" s="6"/>
      <c r="V487" s="6" t="s">
        <v>2440</v>
      </c>
      <c r="W487" s="6" t="s">
        <v>1699</v>
      </c>
      <c r="X487" s="5" t="s">
        <v>228</v>
      </c>
      <c r="Y487" s="5" t="s">
        <v>2170</v>
      </c>
      <c r="Z487" s="5" t="str">
        <f t="shared" si="14"/>
        <v>Medium</v>
      </c>
      <c r="AA487" s="5" t="s">
        <v>1319</v>
      </c>
      <c r="AB487" s="6" t="s">
        <v>1355</v>
      </c>
      <c r="AC487" s="6" t="s">
        <v>135</v>
      </c>
      <c r="AD487" s="5" t="s">
        <v>95</v>
      </c>
      <c r="AE487" s="5" t="s">
        <v>1720</v>
      </c>
      <c r="AF487" s="5" t="s">
        <v>1720</v>
      </c>
      <c r="AG487" s="5" t="s">
        <v>1720</v>
      </c>
      <c r="AH487" s="5" t="s">
        <v>1720</v>
      </c>
      <c r="AI487" s="6" t="str">
        <f t="shared" si="15"/>
        <v>No</v>
      </c>
      <c r="AJ487" s="6" t="s">
        <v>229</v>
      </c>
      <c r="AK487" s="6" t="s">
        <v>162</v>
      </c>
      <c r="AL487" s="6">
        <f>MATCH(AA487,{"Low","Medium","High"},0)*MATCH(AB487,{"Low","Medium","High"},0)*INDEX({3,2,2,1,1},MATCH(X487,{"Core","Vertical extension","Differentiator","Future","Adjacent"},0))</f>
        <v>6</v>
      </c>
      <c r="AM487" s="5"/>
      <c r="AN487" s="5"/>
      <c r="AO487" s="5"/>
      <c r="AP487" s="5"/>
      <c r="AQ487" s="5"/>
      <c r="AR487" s="5"/>
      <c r="AS487" s="5"/>
      <c r="AT487" s="5"/>
      <c r="AU487" s="6" t="s">
        <v>2317</v>
      </c>
      <c r="AV487" s="6" t="s">
        <v>2813</v>
      </c>
      <c r="AW487" s="6" t="s">
        <v>2813</v>
      </c>
      <c r="AX487" s="6" t="s">
        <v>2284</v>
      </c>
      <c r="AY487" s="6" t="s">
        <v>2285</v>
      </c>
      <c r="AZ487" s="6"/>
      <c r="BA487" s="6"/>
      <c r="BB487" s="6"/>
      <c r="BC487" s="6" t="s">
        <v>127</v>
      </c>
      <c r="BD487" s="6" t="s">
        <v>127</v>
      </c>
      <c r="BE487" s="6" t="s">
        <v>1477</v>
      </c>
      <c r="BF487" s="6" t="s">
        <v>95</v>
      </c>
      <c r="BG487" s="6" t="s">
        <v>6283</v>
      </c>
      <c r="BH487" s="6" t="s">
        <v>6284</v>
      </c>
    </row>
    <row r="488" spans="1:60" ht="32" customHeight="1" x14ac:dyDescent="0.35">
      <c r="A488" s="13" t="s">
        <v>6285</v>
      </c>
      <c r="B488" s="6" t="s">
        <v>3901</v>
      </c>
      <c r="C488" s="5" t="s">
        <v>1652</v>
      </c>
      <c r="D488" s="5" t="s">
        <v>2194</v>
      </c>
      <c r="E488" s="5" t="s">
        <v>6286</v>
      </c>
      <c r="F488" s="5" t="s">
        <v>2813</v>
      </c>
      <c r="G488" s="5" t="s">
        <v>3336</v>
      </c>
      <c r="H488" s="5" t="s">
        <v>6287</v>
      </c>
      <c r="I488" s="5" t="s">
        <v>6288</v>
      </c>
      <c r="J488" s="17" t="s">
        <v>162</v>
      </c>
      <c r="K488" s="17" t="s">
        <v>95</v>
      </c>
      <c r="L488" s="5" t="s">
        <v>6289</v>
      </c>
      <c r="M488" s="6" t="s">
        <v>1493</v>
      </c>
      <c r="N488" s="6" t="s">
        <v>2170</v>
      </c>
      <c r="O488" s="6" t="s">
        <v>162</v>
      </c>
      <c r="P488" s="5" t="s">
        <v>2272</v>
      </c>
      <c r="Q488" s="17" t="s">
        <v>95</v>
      </c>
      <c r="R488" s="5" t="s">
        <v>6290</v>
      </c>
      <c r="S488" s="6" t="s">
        <v>2449</v>
      </c>
      <c r="T488" s="5" t="s">
        <v>2450</v>
      </c>
      <c r="U488" s="6"/>
      <c r="V488" s="6" t="s">
        <v>2440</v>
      </c>
      <c r="W488" s="6" t="s">
        <v>1699</v>
      </c>
      <c r="X488" s="5" t="s">
        <v>228</v>
      </c>
      <c r="Y488" s="5" t="s">
        <v>2170</v>
      </c>
      <c r="Z488" s="5" t="str">
        <f t="shared" si="14"/>
        <v>Medium</v>
      </c>
      <c r="AA488" s="5" t="s">
        <v>1319</v>
      </c>
      <c r="AB488" s="6" t="s">
        <v>1355</v>
      </c>
      <c r="AC488" s="6" t="s">
        <v>135</v>
      </c>
      <c r="AD488" s="5" t="s">
        <v>95</v>
      </c>
      <c r="AE488" s="5" t="s">
        <v>1720</v>
      </c>
      <c r="AF488" s="5" t="s">
        <v>1720</v>
      </c>
      <c r="AG488" s="5" t="s">
        <v>1720</v>
      </c>
      <c r="AH488" s="5" t="s">
        <v>1720</v>
      </c>
      <c r="AI488" s="6" t="str">
        <f t="shared" si="15"/>
        <v>No</v>
      </c>
      <c r="AJ488" s="6" t="s">
        <v>229</v>
      </c>
      <c r="AK488" s="6" t="s">
        <v>162</v>
      </c>
      <c r="AL488" s="6">
        <f>MATCH(AA488,{"Low","Medium","High"},0)*MATCH(AB488,{"Low","Medium","High"},0)*INDEX({3,2,2,1,1},MATCH(X488,{"Core","Vertical extension","Differentiator","Future","Adjacent"},0))</f>
        <v>6</v>
      </c>
      <c r="AM488" s="5"/>
      <c r="AN488" s="5"/>
      <c r="AO488" s="5"/>
      <c r="AP488" s="5"/>
      <c r="AQ488" s="5"/>
      <c r="AR488" s="5"/>
      <c r="AS488" s="5"/>
      <c r="AT488" s="5"/>
      <c r="AU488" s="6" t="s">
        <v>2317</v>
      </c>
      <c r="AV488" s="6" t="s">
        <v>2813</v>
      </c>
      <c r="AW488" s="6" t="s">
        <v>2813</v>
      </c>
      <c r="AX488" s="6" t="s">
        <v>2284</v>
      </c>
      <c r="AY488" s="6" t="s">
        <v>2285</v>
      </c>
      <c r="AZ488" s="6"/>
      <c r="BA488" s="6"/>
      <c r="BB488" s="6"/>
      <c r="BC488" s="6" t="s">
        <v>127</v>
      </c>
      <c r="BD488" s="6" t="s">
        <v>127</v>
      </c>
      <c r="BE488" s="6" t="s">
        <v>1477</v>
      </c>
      <c r="BF488" s="6" t="s">
        <v>95</v>
      </c>
      <c r="BG488" s="6" t="s">
        <v>6291</v>
      </c>
      <c r="BH488" s="6" t="s">
        <v>6292</v>
      </c>
    </row>
    <row r="489" spans="1:60" ht="32" customHeight="1" x14ac:dyDescent="0.35">
      <c r="A489" s="13" t="s">
        <v>6293</v>
      </c>
      <c r="B489" s="6" t="s">
        <v>3901</v>
      </c>
      <c r="C489" s="5" t="s">
        <v>1652</v>
      </c>
      <c r="D489" s="5" t="s">
        <v>2194</v>
      </c>
      <c r="E489" s="5" t="s">
        <v>6294</v>
      </c>
      <c r="F489" s="5" t="s">
        <v>2813</v>
      </c>
      <c r="G489" s="5" t="s">
        <v>2846</v>
      </c>
      <c r="H489" s="5" t="s">
        <v>6295</v>
      </c>
      <c r="I489" s="5" t="s">
        <v>6296</v>
      </c>
      <c r="J489" s="17" t="s">
        <v>162</v>
      </c>
      <c r="K489" s="17" t="s">
        <v>163</v>
      </c>
      <c r="L489" s="5" t="s">
        <v>6297</v>
      </c>
      <c r="M489" s="6" t="s">
        <v>1493</v>
      </c>
      <c r="N489" s="6" t="s">
        <v>2170</v>
      </c>
      <c r="O489" s="6" t="s">
        <v>162</v>
      </c>
      <c r="P489" s="5" t="s">
        <v>2272</v>
      </c>
      <c r="Q489" s="17" t="s">
        <v>163</v>
      </c>
      <c r="R489" s="5" t="s">
        <v>6298</v>
      </c>
      <c r="S489" s="6" t="s">
        <v>2449</v>
      </c>
      <c r="T489" s="5" t="s">
        <v>2450</v>
      </c>
      <c r="U489" s="6"/>
      <c r="V489" s="6" t="s">
        <v>2440</v>
      </c>
      <c r="W489" s="6" t="s">
        <v>1699</v>
      </c>
      <c r="X489" s="5" t="s">
        <v>228</v>
      </c>
      <c r="Y489" s="5" t="s">
        <v>2170</v>
      </c>
      <c r="Z489" s="5" t="str">
        <f t="shared" si="14"/>
        <v>Medium</v>
      </c>
      <c r="AA489" s="5" t="s">
        <v>1319</v>
      </c>
      <c r="AB489" s="6" t="s">
        <v>1355</v>
      </c>
      <c r="AC489" s="6" t="s">
        <v>135</v>
      </c>
      <c r="AD489" s="5" t="s">
        <v>1805</v>
      </c>
      <c r="AE489" s="5" t="s">
        <v>1720</v>
      </c>
      <c r="AF489" s="5" t="s">
        <v>1720</v>
      </c>
      <c r="AG489" s="5" t="s">
        <v>1720</v>
      </c>
      <c r="AH489" s="5" t="s">
        <v>1720</v>
      </c>
      <c r="AI489" s="6" t="str">
        <f t="shared" si="15"/>
        <v>No</v>
      </c>
      <c r="AJ489" s="6" t="s">
        <v>287</v>
      </c>
      <c r="AK489" s="6" t="s">
        <v>162</v>
      </c>
      <c r="AL489" s="6">
        <f>MATCH(AA489,{"Low","Medium","High"},0)*MATCH(AB489,{"Low","Medium","High"},0)*INDEX({3,2,2,1,1},MATCH(X489,{"Core","Vertical extension","Differentiator","Future","Adjacent"},0))</f>
        <v>6</v>
      </c>
      <c r="AM489" s="5"/>
      <c r="AN489" s="5"/>
      <c r="AO489" s="5"/>
      <c r="AP489" s="5"/>
      <c r="AQ489" s="5"/>
      <c r="AR489" s="5"/>
      <c r="AS489" s="5"/>
      <c r="AT489" s="5"/>
      <c r="AU489" s="6" t="s">
        <v>2317</v>
      </c>
      <c r="AV489" s="6" t="s">
        <v>2813</v>
      </c>
      <c r="AW489" s="6" t="s">
        <v>2813</v>
      </c>
      <c r="AX489" s="6" t="s">
        <v>2284</v>
      </c>
      <c r="AY489" s="6" t="s">
        <v>2285</v>
      </c>
      <c r="AZ489" s="6"/>
      <c r="BA489" s="6"/>
      <c r="BB489" s="6"/>
      <c r="BC489" s="6" t="s">
        <v>127</v>
      </c>
      <c r="BD489" s="6" t="s">
        <v>127</v>
      </c>
      <c r="BE489" s="6" t="s">
        <v>1477</v>
      </c>
      <c r="BF489" s="6" t="s">
        <v>288</v>
      </c>
      <c r="BG489" s="6" t="s">
        <v>6299</v>
      </c>
      <c r="BH489" s="6" t="s">
        <v>6300</v>
      </c>
    </row>
    <row r="490" spans="1:60" ht="32" customHeight="1" x14ac:dyDescent="0.35">
      <c r="A490" s="13" t="s">
        <v>6301</v>
      </c>
      <c r="B490" s="6" t="s">
        <v>3901</v>
      </c>
      <c r="C490" s="5" t="s">
        <v>1652</v>
      </c>
      <c r="D490" s="5" t="s">
        <v>2194</v>
      </c>
      <c r="E490" s="5" t="s">
        <v>6302</v>
      </c>
      <c r="F490" s="5" t="s">
        <v>2813</v>
      </c>
      <c r="G490" s="5" t="s">
        <v>3086</v>
      </c>
      <c r="H490" s="5" t="s">
        <v>6303</v>
      </c>
      <c r="I490" s="5" t="s">
        <v>6304</v>
      </c>
      <c r="J490" s="17" t="s">
        <v>162</v>
      </c>
      <c r="K490" s="17" t="s">
        <v>95</v>
      </c>
      <c r="L490" s="5" t="s">
        <v>6305</v>
      </c>
      <c r="M490" s="6" t="s">
        <v>1493</v>
      </c>
      <c r="N490" s="6" t="s">
        <v>2170</v>
      </c>
      <c r="O490" s="6" t="s">
        <v>162</v>
      </c>
      <c r="P490" s="5" t="s">
        <v>2272</v>
      </c>
      <c r="Q490" s="17" t="s">
        <v>95</v>
      </c>
      <c r="R490" s="5" t="s">
        <v>6306</v>
      </c>
      <c r="S490" s="6" t="s">
        <v>2449</v>
      </c>
      <c r="T490" s="5" t="s">
        <v>2450</v>
      </c>
      <c r="U490" s="6"/>
      <c r="V490" s="6" t="s">
        <v>2440</v>
      </c>
      <c r="W490" s="6" t="s">
        <v>1699</v>
      </c>
      <c r="X490" s="5" t="s">
        <v>228</v>
      </c>
      <c r="Y490" s="5" t="s">
        <v>2170</v>
      </c>
      <c r="Z490" s="5" t="str">
        <f t="shared" si="14"/>
        <v>Medium</v>
      </c>
      <c r="AA490" s="5" t="s">
        <v>1319</v>
      </c>
      <c r="AB490" s="6" t="s">
        <v>1355</v>
      </c>
      <c r="AC490" s="6" t="s">
        <v>135</v>
      </c>
      <c r="AD490" s="5" t="s">
        <v>95</v>
      </c>
      <c r="AE490" s="5" t="s">
        <v>1720</v>
      </c>
      <c r="AF490" s="5" t="s">
        <v>1720</v>
      </c>
      <c r="AG490" s="5" t="s">
        <v>1720</v>
      </c>
      <c r="AH490" s="5" t="s">
        <v>1720</v>
      </c>
      <c r="AI490" s="6" t="str">
        <f t="shared" si="15"/>
        <v>No</v>
      </c>
      <c r="AJ490" s="6" t="s">
        <v>229</v>
      </c>
      <c r="AK490" s="6" t="s">
        <v>162</v>
      </c>
      <c r="AL490" s="6">
        <f>MATCH(AA490,{"Low","Medium","High"},0)*MATCH(AB490,{"Low","Medium","High"},0)*INDEX({3,2,2,1,1},MATCH(X490,{"Core","Vertical extension","Differentiator","Future","Adjacent"},0))</f>
        <v>6</v>
      </c>
      <c r="AM490" s="5"/>
      <c r="AN490" s="5"/>
      <c r="AO490" s="5"/>
      <c r="AP490" s="5"/>
      <c r="AQ490" s="5"/>
      <c r="AR490" s="5"/>
      <c r="AS490" s="5"/>
      <c r="AT490" s="5"/>
      <c r="AU490" s="6" t="s">
        <v>2317</v>
      </c>
      <c r="AV490" s="6" t="s">
        <v>2813</v>
      </c>
      <c r="AW490" s="6" t="s">
        <v>2813</v>
      </c>
      <c r="AX490" s="6" t="s">
        <v>2284</v>
      </c>
      <c r="AY490" s="6" t="s">
        <v>2285</v>
      </c>
      <c r="AZ490" s="6"/>
      <c r="BA490" s="6" t="s">
        <v>4258</v>
      </c>
      <c r="BB490" s="6" t="s">
        <v>4259</v>
      </c>
      <c r="BC490" s="6" t="s">
        <v>127</v>
      </c>
      <c r="BD490" s="6" t="s">
        <v>127</v>
      </c>
      <c r="BE490" s="6" t="s">
        <v>1477</v>
      </c>
      <c r="BF490" s="6" t="s">
        <v>95</v>
      </c>
      <c r="BG490" s="6" t="s">
        <v>6307</v>
      </c>
      <c r="BH490" s="6" t="s">
        <v>6308</v>
      </c>
    </row>
    <row r="491" spans="1:60" ht="32" customHeight="1" x14ac:dyDescent="0.35">
      <c r="A491" s="13" t="s">
        <v>6309</v>
      </c>
      <c r="B491" s="6" t="s">
        <v>3901</v>
      </c>
      <c r="C491" s="5" t="s">
        <v>1652</v>
      </c>
      <c r="D491" s="5" t="s">
        <v>2194</v>
      </c>
      <c r="E491" s="5" t="s">
        <v>6310</v>
      </c>
      <c r="F491" s="5" t="s">
        <v>2973</v>
      </c>
      <c r="G491" s="5" t="s">
        <v>3617</v>
      </c>
      <c r="H491" s="5" t="s">
        <v>6311</v>
      </c>
      <c r="I491" s="5" t="s">
        <v>6312</v>
      </c>
      <c r="J491" s="17" t="s">
        <v>162</v>
      </c>
      <c r="K491" s="17" t="s">
        <v>95</v>
      </c>
      <c r="L491" s="5" t="s">
        <v>6313</v>
      </c>
      <c r="M491" s="6" t="s">
        <v>1493</v>
      </c>
      <c r="N491" s="6" t="s">
        <v>2170</v>
      </c>
      <c r="O491" s="6" t="s">
        <v>162</v>
      </c>
      <c r="P491" s="5" t="s">
        <v>2272</v>
      </c>
      <c r="Q491" s="17" t="s">
        <v>95</v>
      </c>
      <c r="R491" s="5" t="s">
        <v>6314</v>
      </c>
      <c r="S491" s="6" t="s">
        <v>2449</v>
      </c>
      <c r="T491" s="5" t="s">
        <v>2450</v>
      </c>
      <c r="U491" s="6"/>
      <c r="V491" s="6" t="s">
        <v>2440</v>
      </c>
      <c r="W491" s="6" t="s">
        <v>1699</v>
      </c>
      <c r="X491" s="5" t="s">
        <v>228</v>
      </c>
      <c r="Y491" s="5" t="s">
        <v>2170</v>
      </c>
      <c r="Z491" s="5" t="str">
        <f t="shared" si="14"/>
        <v>Medium</v>
      </c>
      <c r="AA491" s="5" t="s">
        <v>1319</v>
      </c>
      <c r="AB491" s="6" t="s">
        <v>1355</v>
      </c>
      <c r="AC491" s="6" t="s">
        <v>135</v>
      </c>
      <c r="AD491" s="5" t="s">
        <v>95</v>
      </c>
      <c r="AE491" s="5" t="s">
        <v>1720</v>
      </c>
      <c r="AF491" s="5" t="s">
        <v>1720</v>
      </c>
      <c r="AG491" s="5" t="s">
        <v>1720</v>
      </c>
      <c r="AH491" s="5" t="s">
        <v>1720</v>
      </c>
      <c r="AI491" s="6" t="str">
        <f t="shared" si="15"/>
        <v>No</v>
      </c>
      <c r="AJ491" s="6" t="s">
        <v>229</v>
      </c>
      <c r="AK491" s="6" t="s">
        <v>162</v>
      </c>
      <c r="AL491" s="6">
        <f>MATCH(AA491,{"Low","Medium","High"},0)*MATCH(AB491,{"Low","Medium","High"},0)*INDEX({3,2,2,1,1},MATCH(X491,{"Core","Vertical extension","Differentiator","Future","Adjacent"},0))</f>
        <v>6</v>
      </c>
      <c r="AM491" s="5"/>
      <c r="AN491" s="5"/>
      <c r="AO491" s="5"/>
      <c r="AP491" s="5"/>
      <c r="AQ491" s="5"/>
      <c r="AR491" s="5"/>
      <c r="AS491" s="5"/>
      <c r="AT491" s="5"/>
      <c r="AU491" s="6" t="s">
        <v>2317</v>
      </c>
      <c r="AV491" s="6" t="s">
        <v>76</v>
      </c>
      <c r="AW491" s="6" t="s">
        <v>76</v>
      </c>
      <c r="AX491" s="6" t="s">
        <v>2284</v>
      </c>
      <c r="AY491" s="6" t="s">
        <v>2285</v>
      </c>
      <c r="AZ491" s="6"/>
      <c r="BA491" s="6"/>
      <c r="BB491" s="6"/>
      <c r="BC491" s="6" t="s">
        <v>127</v>
      </c>
      <c r="BD491" s="6" t="s">
        <v>127</v>
      </c>
      <c r="BE491" s="6" t="s">
        <v>1477</v>
      </c>
      <c r="BF491" s="6" t="s">
        <v>95</v>
      </c>
      <c r="BG491" s="6" t="s">
        <v>6315</v>
      </c>
      <c r="BH491" s="6" t="s">
        <v>6316</v>
      </c>
    </row>
    <row r="492" spans="1:60" ht="32" customHeight="1" x14ac:dyDescent="0.35">
      <c r="A492" s="13" t="s">
        <v>6317</v>
      </c>
      <c r="B492" s="6" t="s">
        <v>3901</v>
      </c>
      <c r="C492" s="5" t="s">
        <v>1652</v>
      </c>
      <c r="D492" s="5" t="s">
        <v>2194</v>
      </c>
      <c r="E492" s="5" t="s">
        <v>6318</v>
      </c>
      <c r="F492" s="5" t="s">
        <v>2973</v>
      </c>
      <c r="G492" s="5" t="s">
        <v>1669</v>
      </c>
      <c r="H492" s="5" t="s">
        <v>6319</v>
      </c>
      <c r="I492" s="5" t="s">
        <v>6320</v>
      </c>
      <c r="J492" s="17" t="s">
        <v>162</v>
      </c>
      <c r="K492" s="17" t="s">
        <v>95</v>
      </c>
      <c r="L492" s="5" t="s">
        <v>6321</v>
      </c>
      <c r="M492" s="6" t="s">
        <v>1493</v>
      </c>
      <c r="N492" s="6" t="s">
        <v>2170</v>
      </c>
      <c r="O492" s="6" t="s">
        <v>162</v>
      </c>
      <c r="P492" s="5" t="s">
        <v>2272</v>
      </c>
      <c r="Q492" s="17" t="s">
        <v>95</v>
      </c>
      <c r="R492" s="5" t="s">
        <v>6322</v>
      </c>
      <c r="S492" s="6" t="s">
        <v>2449</v>
      </c>
      <c r="T492" s="5" t="s">
        <v>2450</v>
      </c>
      <c r="U492" s="6"/>
      <c r="V492" s="6" t="s">
        <v>2440</v>
      </c>
      <c r="W492" s="6" t="s">
        <v>1699</v>
      </c>
      <c r="X492" s="5" t="s">
        <v>228</v>
      </c>
      <c r="Y492" s="5" t="s">
        <v>2170</v>
      </c>
      <c r="Z492" s="5" t="str">
        <f t="shared" si="14"/>
        <v>Medium</v>
      </c>
      <c r="AA492" s="5" t="s">
        <v>1319</v>
      </c>
      <c r="AB492" s="6" t="s">
        <v>1355</v>
      </c>
      <c r="AC492" s="6" t="s">
        <v>135</v>
      </c>
      <c r="AD492" s="5" t="s">
        <v>95</v>
      </c>
      <c r="AE492" s="5" t="s">
        <v>1720</v>
      </c>
      <c r="AF492" s="5" t="s">
        <v>1720</v>
      </c>
      <c r="AG492" s="5" t="s">
        <v>1720</v>
      </c>
      <c r="AH492" s="5" t="s">
        <v>1720</v>
      </c>
      <c r="AI492" s="6" t="str">
        <f t="shared" si="15"/>
        <v>No</v>
      </c>
      <c r="AJ492" s="6" t="s">
        <v>229</v>
      </c>
      <c r="AK492" s="6" t="s">
        <v>162</v>
      </c>
      <c r="AL492" s="6">
        <f>MATCH(AA492,{"Low","Medium","High"},0)*MATCH(AB492,{"Low","Medium","High"},0)*INDEX({3,2,2,1,1},MATCH(X492,{"Core","Vertical extension","Differentiator","Future","Adjacent"},0))</f>
        <v>6</v>
      </c>
      <c r="AM492" s="5"/>
      <c r="AN492" s="5"/>
      <c r="AO492" s="5"/>
      <c r="AP492" s="5"/>
      <c r="AQ492" s="5"/>
      <c r="AR492" s="5"/>
      <c r="AS492" s="5"/>
      <c r="AT492" s="5"/>
      <c r="AU492" s="6" t="s">
        <v>2317</v>
      </c>
      <c r="AV492" s="6" t="s">
        <v>76</v>
      </c>
      <c r="AW492" s="6" t="s">
        <v>76</v>
      </c>
      <c r="AX492" s="6" t="s">
        <v>2284</v>
      </c>
      <c r="AY492" s="6" t="s">
        <v>2285</v>
      </c>
      <c r="AZ492" s="6"/>
      <c r="BA492" s="6"/>
      <c r="BB492" s="6"/>
      <c r="BC492" s="6" t="s">
        <v>127</v>
      </c>
      <c r="BD492" s="6" t="s">
        <v>127</v>
      </c>
      <c r="BE492" s="6" t="s">
        <v>1477</v>
      </c>
      <c r="BF492" s="6" t="s">
        <v>95</v>
      </c>
      <c r="BG492" s="6" t="s">
        <v>6315</v>
      </c>
      <c r="BH492" s="6" t="s">
        <v>6323</v>
      </c>
    </row>
    <row r="493" spans="1:60" ht="32" customHeight="1" x14ac:dyDescent="0.35">
      <c r="A493" s="13" t="s">
        <v>6324</v>
      </c>
      <c r="B493" s="6" t="s">
        <v>3901</v>
      </c>
      <c r="C493" s="5" t="s">
        <v>1652</v>
      </c>
      <c r="D493" s="5" t="s">
        <v>2194</v>
      </c>
      <c r="E493" s="5" t="s">
        <v>6325</v>
      </c>
      <c r="F493" s="5" t="s">
        <v>2973</v>
      </c>
      <c r="G493" s="5" t="s">
        <v>1822</v>
      </c>
      <c r="H493" s="5" t="s">
        <v>6326</v>
      </c>
      <c r="I493" s="5" t="s">
        <v>6327</v>
      </c>
      <c r="J493" s="17" t="s">
        <v>162</v>
      </c>
      <c r="K493" s="17" t="s">
        <v>95</v>
      </c>
      <c r="L493" s="5" t="s">
        <v>6328</v>
      </c>
      <c r="M493" s="6" t="s">
        <v>1493</v>
      </c>
      <c r="N493" s="6" t="s">
        <v>2170</v>
      </c>
      <c r="O493" s="6" t="s">
        <v>162</v>
      </c>
      <c r="P493" s="5" t="s">
        <v>2272</v>
      </c>
      <c r="Q493" s="17" t="s">
        <v>95</v>
      </c>
      <c r="R493" s="5" t="s">
        <v>6329</v>
      </c>
      <c r="S493" s="6" t="s">
        <v>2449</v>
      </c>
      <c r="T493" s="5" t="s">
        <v>2450</v>
      </c>
      <c r="U493" s="6"/>
      <c r="V493" s="6" t="s">
        <v>2440</v>
      </c>
      <c r="W493" s="6" t="s">
        <v>1699</v>
      </c>
      <c r="X493" s="5" t="s">
        <v>228</v>
      </c>
      <c r="Y493" s="5" t="s">
        <v>2170</v>
      </c>
      <c r="Z493" s="5" t="str">
        <f t="shared" si="14"/>
        <v>Medium</v>
      </c>
      <c r="AA493" s="5" t="s">
        <v>1319</v>
      </c>
      <c r="AB493" s="6" t="s">
        <v>1355</v>
      </c>
      <c r="AC493" s="6" t="s">
        <v>135</v>
      </c>
      <c r="AD493" s="5" t="s">
        <v>95</v>
      </c>
      <c r="AE493" s="5" t="s">
        <v>1720</v>
      </c>
      <c r="AF493" s="5" t="s">
        <v>1720</v>
      </c>
      <c r="AG493" s="5" t="s">
        <v>1720</v>
      </c>
      <c r="AH493" s="5" t="s">
        <v>1720</v>
      </c>
      <c r="AI493" s="6" t="str">
        <f t="shared" si="15"/>
        <v>No</v>
      </c>
      <c r="AJ493" s="6" t="s">
        <v>229</v>
      </c>
      <c r="AK493" s="6" t="s">
        <v>162</v>
      </c>
      <c r="AL493" s="6">
        <f>MATCH(AA493,{"Low","Medium","High"},0)*MATCH(AB493,{"Low","Medium","High"},0)*INDEX({3,2,2,1,1},MATCH(X493,{"Core","Vertical extension","Differentiator","Future","Adjacent"},0))</f>
        <v>6</v>
      </c>
      <c r="AM493" s="5"/>
      <c r="AN493" s="5"/>
      <c r="AO493" s="5"/>
      <c r="AP493" s="5"/>
      <c r="AQ493" s="5"/>
      <c r="AR493" s="5"/>
      <c r="AS493" s="5"/>
      <c r="AT493" s="5"/>
      <c r="AU493" s="6" t="s">
        <v>2317</v>
      </c>
      <c r="AV493" s="6" t="s">
        <v>76</v>
      </c>
      <c r="AW493" s="6" t="s">
        <v>76</v>
      </c>
      <c r="AX493" s="6" t="s">
        <v>2284</v>
      </c>
      <c r="AY493" s="6" t="s">
        <v>2285</v>
      </c>
      <c r="AZ493" s="6"/>
      <c r="BA493" s="6"/>
      <c r="BB493" s="6"/>
      <c r="BC493" s="6" t="s">
        <v>127</v>
      </c>
      <c r="BD493" s="6" t="s">
        <v>127</v>
      </c>
      <c r="BE493" s="6" t="s">
        <v>1477</v>
      </c>
      <c r="BF493" s="6" t="s">
        <v>95</v>
      </c>
      <c r="BG493" s="6" t="s">
        <v>6330</v>
      </c>
      <c r="BH493" s="6" t="s">
        <v>6331</v>
      </c>
    </row>
    <row r="494" spans="1:60" ht="32" customHeight="1" x14ac:dyDescent="0.35">
      <c r="A494" s="13" t="s">
        <v>6332</v>
      </c>
      <c r="B494" s="6" t="s">
        <v>3901</v>
      </c>
      <c r="C494" s="5" t="s">
        <v>1652</v>
      </c>
      <c r="D494" s="5" t="s">
        <v>2194</v>
      </c>
      <c r="E494" s="5" t="s">
        <v>6333</v>
      </c>
      <c r="F494" s="5" t="s">
        <v>6334</v>
      </c>
      <c r="G494" s="5" t="s">
        <v>2983</v>
      </c>
      <c r="H494" s="5" t="s">
        <v>6335</v>
      </c>
      <c r="I494" s="5" t="s">
        <v>6336</v>
      </c>
      <c r="J494" s="17" t="s">
        <v>162</v>
      </c>
      <c r="K494" s="17" t="s">
        <v>1477</v>
      </c>
      <c r="L494" s="5" t="s">
        <v>6337</v>
      </c>
      <c r="M494" s="6" t="s">
        <v>1493</v>
      </c>
      <c r="N494" s="6" t="s">
        <v>2170</v>
      </c>
      <c r="O494" s="6" t="s">
        <v>162</v>
      </c>
      <c r="P494" s="5" t="s">
        <v>2272</v>
      </c>
      <c r="Q494" s="17" t="s">
        <v>2273</v>
      </c>
      <c r="R494" s="5" t="s">
        <v>6338</v>
      </c>
      <c r="S494" s="6" t="s">
        <v>2449</v>
      </c>
      <c r="T494" s="5" t="s">
        <v>2450</v>
      </c>
      <c r="U494" s="6"/>
      <c r="V494" s="6" t="s">
        <v>2440</v>
      </c>
      <c r="W494" s="6" t="s">
        <v>1699</v>
      </c>
      <c r="X494" s="5" t="s">
        <v>228</v>
      </c>
      <c r="Y494" s="5" t="s">
        <v>2170</v>
      </c>
      <c r="Z494" s="5" t="str">
        <f t="shared" si="14"/>
        <v>Medium</v>
      </c>
      <c r="AA494" s="5" t="s">
        <v>1319</v>
      </c>
      <c r="AB494" s="6" t="s">
        <v>1355</v>
      </c>
      <c r="AC494" s="6" t="s">
        <v>135</v>
      </c>
      <c r="AD494" s="5" t="s">
        <v>2278</v>
      </c>
      <c r="AE494" s="5" t="s">
        <v>1720</v>
      </c>
      <c r="AF494" s="5" t="s">
        <v>1720</v>
      </c>
      <c r="AG494" s="5" t="s">
        <v>1720</v>
      </c>
      <c r="AH494" s="5" t="s">
        <v>1720</v>
      </c>
      <c r="AI494" s="6" t="str">
        <f t="shared" si="15"/>
        <v>No</v>
      </c>
      <c r="AJ494" s="6" t="s">
        <v>2298</v>
      </c>
      <c r="AK494" s="6" t="s">
        <v>162</v>
      </c>
      <c r="AL494" s="6">
        <f>MATCH(AA494,{"Low","Medium","High"},0)*MATCH(AB494,{"Low","Medium","High"},0)*INDEX({3,2,2,1,1},MATCH(X494,{"Core","Vertical extension","Differentiator","Future","Adjacent"},0))</f>
        <v>6</v>
      </c>
      <c r="AM494" s="5"/>
      <c r="AN494" s="5"/>
      <c r="AO494" s="5"/>
      <c r="AP494" s="5"/>
      <c r="AQ494" s="5"/>
      <c r="AR494" s="5"/>
      <c r="AS494" s="5"/>
      <c r="AT494" s="5"/>
      <c r="AU494" s="6" t="s">
        <v>2317</v>
      </c>
      <c r="AV494" s="6" t="s">
        <v>2898</v>
      </c>
      <c r="AW494" s="6" t="s">
        <v>2898</v>
      </c>
      <c r="AX494" s="6" t="s">
        <v>2284</v>
      </c>
      <c r="AY494" s="6" t="s">
        <v>2285</v>
      </c>
      <c r="AZ494" s="6"/>
      <c r="BA494" s="6" t="s">
        <v>6339</v>
      </c>
      <c r="BB494" s="6" t="s">
        <v>6340</v>
      </c>
      <c r="BC494" s="6" t="s">
        <v>127</v>
      </c>
      <c r="BD494" s="6" t="s">
        <v>127</v>
      </c>
      <c r="BE494" s="6" t="s">
        <v>1477</v>
      </c>
      <c r="BF494" s="6" t="s">
        <v>2286</v>
      </c>
      <c r="BG494" s="6" t="s">
        <v>6341</v>
      </c>
      <c r="BH494" s="6" t="s">
        <v>6342</v>
      </c>
    </row>
    <row r="495" spans="1:60" ht="32" customHeight="1" x14ac:dyDescent="0.35">
      <c r="A495" s="13" t="s">
        <v>6343</v>
      </c>
      <c r="B495" s="6" t="s">
        <v>3901</v>
      </c>
      <c r="C495" s="5" t="s">
        <v>1652</v>
      </c>
      <c r="D495" s="5" t="s">
        <v>2194</v>
      </c>
      <c r="E495" s="5" t="s">
        <v>6344</v>
      </c>
      <c r="F495" s="5" t="s">
        <v>2973</v>
      </c>
      <c r="G495" s="5" t="s">
        <v>3867</v>
      </c>
      <c r="H495" s="5" t="s">
        <v>6345</v>
      </c>
      <c r="I495" s="5" t="s">
        <v>6346</v>
      </c>
      <c r="J495" s="17" t="s">
        <v>162</v>
      </c>
      <c r="K495" s="17" t="s">
        <v>95</v>
      </c>
      <c r="L495" s="5" t="s">
        <v>6347</v>
      </c>
      <c r="M495" s="6" t="s">
        <v>1493</v>
      </c>
      <c r="N495" s="6" t="s">
        <v>2170</v>
      </c>
      <c r="O495" s="6" t="s">
        <v>162</v>
      </c>
      <c r="P495" s="5" t="s">
        <v>2272</v>
      </c>
      <c r="Q495" s="17" t="s">
        <v>95</v>
      </c>
      <c r="R495" s="5" t="s">
        <v>6348</v>
      </c>
      <c r="S495" s="6" t="s">
        <v>2449</v>
      </c>
      <c r="T495" s="5" t="s">
        <v>2450</v>
      </c>
      <c r="U495" s="6"/>
      <c r="V495" s="6" t="s">
        <v>2440</v>
      </c>
      <c r="W495" s="6" t="s">
        <v>1699</v>
      </c>
      <c r="X495" s="5" t="s">
        <v>228</v>
      </c>
      <c r="Y495" s="5" t="s">
        <v>2170</v>
      </c>
      <c r="Z495" s="5" t="str">
        <f t="shared" si="14"/>
        <v>Medium</v>
      </c>
      <c r="AA495" s="5" t="s">
        <v>1319</v>
      </c>
      <c r="AB495" s="6" t="s">
        <v>1355</v>
      </c>
      <c r="AC495" s="6" t="s">
        <v>135</v>
      </c>
      <c r="AD495" s="5" t="s">
        <v>95</v>
      </c>
      <c r="AE495" s="5" t="s">
        <v>1720</v>
      </c>
      <c r="AF495" s="5" t="s">
        <v>1720</v>
      </c>
      <c r="AG495" s="5" t="s">
        <v>1720</v>
      </c>
      <c r="AH495" s="5" t="s">
        <v>1720</v>
      </c>
      <c r="AI495" s="6" t="str">
        <f t="shared" si="15"/>
        <v>No</v>
      </c>
      <c r="AJ495" s="6" t="s">
        <v>229</v>
      </c>
      <c r="AK495" s="6" t="s">
        <v>162</v>
      </c>
      <c r="AL495" s="6">
        <f>MATCH(AA495,{"Low","Medium","High"},0)*MATCH(AB495,{"Low","Medium","High"},0)*INDEX({3,2,2,1,1},MATCH(X495,{"Core","Vertical extension","Differentiator","Future","Adjacent"},0))</f>
        <v>6</v>
      </c>
      <c r="AM495" s="5"/>
      <c r="AN495" s="5"/>
      <c r="AO495" s="5"/>
      <c r="AP495" s="5"/>
      <c r="AQ495" s="5"/>
      <c r="AR495" s="5"/>
      <c r="AS495" s="5"/>
      <c r="AT495" s="5"/>
      <c r="AU495" s="6" t="s">
        <v>2317</v>
      </c>
      <c r="AV495" s="6" t="s">
        <v>76</v>
      </c>
      <c r="AW495" s="6" t="s">
        <v>76</v>
      </c>
      <c r="AX495" s="6" t="s">
        <v>2284</v>
      </c>
      <c r="AY495" s="6" t="s">
        <v>2285</v>
      </c>
      <c r="AZ495" s="6"/>
      <c r="BA495" s="6"/>
      <c r="BB495" s="6"/>
      <c r="BC495" s="6" t="s">
        <v>127</v>
      </c>
      <c r="BD495" s="6" t="s">
        <v>127</v>
      </c>
      <c r="BE495" s="6" t="s">
        <v>1477</v>
      </c>
      <c r="BF495" s="6" t="s">
        <v>95</v>
      </c>
      <c r="BG495" s="6" t="s">
        <v>6349</v>
      </c>
      <c r="BH495" s="6" t="s">
        <v>6350</v>
      </c>
    </row>
    <row r="496" spans="1:60" ht="32" customHeight="1" x14ac:dyDescent="0.35">
      <c r="A496" s="13" t="s">
        <v>6351</v>
      </c>
      <c r="B496" s="6" t="s">
        <v>2265</v>
      </c>
      <c r="C496" s="5" t="s">
        <v>6352</v>
      </c>
      <c r="D496" s="5" t="s">
        <v>2201</v>
      </c>
      <c r="E496" s="5" t="s">
        <v>6353</v>
      </c>
      <c r="F496" s="5" t="s">
        <v>3734</v>
      </c>
      <c r="G496" s="5" t="s">
        <v>2788</v>
      </c>
      <c r="H496" s="5" t="s">
        <v>6354</v>
      </c>
      <c r="I496" s="5" t="s">
        <v>6355</v>
      </c>
      <c r="J496" s="17" t="s">
        <v>162</v>
      </c>
      <c r="K496" s="17" t="s">
        <v>95</v>
      </c>
      <c r="L496" s="5" t="s">
        <v>6356</v>
      </c>
      <c r="M496" s="6" t="s">
        <v>1493</v>
      </c>
      <c r="N496" s="6" t="s">
        <v>2167</v>
      </c>
      <c r="O496" s="6" t="s">
        <v>162</v>
      </c>
      <c r="P496" s="5" t="s">
        <v>2272</v>
      </c>
      <c r="Q496" s="17" t="s">
        <v>95</v>
      </c>
      <c r="R496" s="5" t="s">
        <v>6357</v>
      </c>
      <c r="S496" s="6" t="s">
        <v>6358</v>
      </c>
      <c r="T496" s="5" t="s">
        <v>6359</v>
      </c>
      <c r="U496" s="6"/>
      <c r="V496" s="6" t="s">
        <v>2277</v>
      </c>
      <c r="W496" s="6" t="s">
        <v>1697</v>
      </c>
      <c r="X496" s="5" t="s">
        <v>228</v>
      </c>
      <c r="Y496" s="5" t="s">
        <v>6360</v>
      </c>
      <c r="Z496" s="5" t="str">
        <f t="shared" si="14"/>
        <v>Medium</v>
      </c>
      <c r="AA496" s="5" t="s">
        <v>1319</v>
      </c>
      <c r="AB496" s="6" t="s">
        <v>1355</v>
      </c>
      <c r="AC496" s="6" t="s">
        <v>135</v>
      </c>
      <c r="AD496" s="5" t="s">
        <v>95</v>
      </c>
      <c r="AE496" s="5" t="s">
        <v>1720</v>
      </c>
      <c r="AF496" s="5" t="s">
        <v>1720</v>
      </c>
      <c r="AG496" s="5" t="s">
        <v>1720</v>
      </c>
      <c r="AH496" s="5" t="s">
        <v>1720</v>
      </c>
      <c r="AI496" s="6" t="str">
        <f t="shared" si="15"/>
        <v>No</v>
      </c>
      <c r="AJ496" s="6" t="s">
        <v>229</v>
      </c>
      <c r="AK496" s="6" t="s">
        <v>162</v>
      </c>
      <c r="AL496" s="6">
        <f>MATCH(AA496,{"Low","Medium","High"},0)*MATCH(AB496,{"Low","Medium","High"},0)*INDEX({3,2,2,1,1},MATCH(X496,{"Core","Vertical extension","Differentiator","Future","Adjacent"},0))</f>
        <v>6</v>
      </c>
      <c r="AM496" s="5"/>
      <c r="AN496" s="5"/>
      <c r="AO496" s="5"/>
      <c r="AP496" s="5"/>
      <c r="AQ496" s="5"/>
      <c r="AR496" s="5"/>
      <c r="AS496" s="5"/>
      <c r="AT496" s="5"/>
      <c r="AU496" s="6" t="s">
        <v>2317</v>
      </c>
      <c r="AV496" s="6" t="s">
        <v>2794</v>
      </c>
      <c r="AW496" s="6" t="s">
        <v>2794</v>
      </c>
      <c r="AX496" s="6" t="s">
        <v>2284</v>
      </c>
      <c r="AY496" s="6" t="s">
        <v>2285</v>
      </c>
      <c r="AZ496" s="6"/>
      <c r="BA496" s="6"/>
      <c r="BB496" s="6"/>
      <c r="BC496" s="6" t="s">
        <v>127</v>
      </c>
      <c r="BD496" s="6" t="s">
        <v>127</v>
      </c>
      <c r="BE496" s="6" t="s">
        <v>1477</v>
      </c>
      <c r="BF496" s="6" t="s">
        <v>95</v>
      </c>
      <c r="BG496" s="6" t="s">
        <v>6361</v>
      </c>
      <c r="BH496" s="6" t="s">
        <v>6362</v>
      </c>
    </row>
    <row r="497" spans="1:60" ht="32" customHeight="1" x14ac:dyDescent="0.35">
      <c r="A497" s="13" t="s">
        <v>6363</v>
      </c>
      <c r="B497" s="6" t="s">
        <v>2265</v>
      </c>
      <c r="C497" s="5" t="s">
        <v>6352</v>
      </c>
      <c r="D497" s="5" t="s">
        <v>2201</v>
      </c>
      <c r="E497" s="5" t="s">
        <v>6364</v>
      </c>
      <c r="F497" s="5" t="s">
        <v>3734</v>
      </c>
      <c r="G497" s="5" t="s">
        <v>2312</v>
      </c>
      <c r="H497" s="5" t="s">
        <v>6365</v>
      </c>
      <c r="I497" s="5" t="s">
        <v>6366</v>
      </c>
      <c r="J497" s="19" t="s">
        <v>204</v>
      </c>
      <c r="K497" s="17" t="s">
        <v>95</v>
      </c>
      <c r="L497" s="5" t="s">
        <v>6367</v>
      </c>
      <c r="M497" s="6" t="s">
        <v>1493</v>
      </c>
      <c r="N497" s="6" t="s">
        <v>2167</v>
      </c>
      <c r="O497" s="6" t="s">
        <v>204</v>
      </c>
      <c r="P497" s="5" t="s">
        <v>2272</v>
      </c>
      <c r="Q497" s="17" t="s">
        <v>95</v>
      </c>
      <c r="R497" s="5" t="s">
        <v>6368</v>
      </c>
      <c r="S497" s="6" t="s">
        <v>6358</v>
      </c>
      <c r="T497" s="5" t="s">
        <v>6359</v>
      </c>
      <c r="U497" s="6"/>
      <c r="V497" s="6" t="s">
        <v>2277</v>
      </c>
      <c r="W497" s="6" t="s">
        <v>1697</v>
      </c>
      <c r="X497" s="5" t="s">
        <v>228</v>
      </c>
      <c r="Y497" s="5" t="s">
        <v>6360</v>
      </c>
      <c r="Z497" s="5" t="str">
        <f t="shared" si="14"/>
        <v>Medium</v>
      </c>
      <c r="AA497" s="5" t="s">
        <v>1319</v>
      </c>
      <c r="AB497" s="6" t="s">
        <v>1355</v>
      </c>
      <c r="AC497" s="6" t="s">
        <v>32</v>
      </c>
      <c r="AD497" s="5" t="s">
        <v>95</v>
      </c>
      <c r="AE497" s="5" t="s">
        <v>1720</v>
      </c>
      <c r="AF497" s="5" t="s">
        <v>1720</v>
      </c>
      <c r="AG497" s="5" t="s">
        <v>1720</v>
      </c>
      <c r="AH497" s="5" t="s">
        <v>1720</v>
      </c>
      <c r="AI497" s="6" t="str">
        <f t="shared" si="15"/>
        <v>No</v>
      </c>
      <c r="AJ497" s="6" t="s">
        <v>229</v>
      </c>
      <c r="AK497" s="6" t="s">
        <v>204</v>
      </c>
      <c r="AL497" s="6">
        <f>MATCH(AA497,{"Low","Medium","High"},0)*MATCH(AB497,{"Low","Medium","High"},0)*INDEX({3,2,2,1,1},MATCH(X497,{"Core","Vertical extension","Differentiator","Future","Adjacent"},0))</f>
        <v>6</v>
      </c>
      <c r="AM497" s="5"/>
      <c r="AN497" s="5"/>
      <c r="AO497" s="5"/>
      <c r="AP497" s="5"/>
      <c r="AQ497" s="5"/>
      <c r="AR497" s="5"/>
      <c r="AS497" s="5"/>
      <c r="AT497" s="5"/>
      <c r="AU497" s="6" t="s">
        <v>2317</v>
      </c>
      <c r="AV497" s="6" t="s">
        <v>2794</v>
      </c>
      <c r="AW497" s="6" t="s">
        <v>2794</v>
      </c>
      <c r="AX497" s="6" t="s">
        <v>2284</v>
      </c>
      <c r="AY497" s="6" t="s">
        <v>2285</v>
      </c>
      <c r="AZ497" s="6"/>
      <c r="BA497" s="6"/>
      <c r="BB497" s="6"/>
      <c r="BC497" s="6" t="s">
        <v>127</v>
      </c>
      <c r="BD497" s="6" t="s">
        <v>127</v>
      </c>
      <c r="BE497" s="6" t="s">
        <v>1477</v>
      </c>
      <c r="BF497" s="6" t="s">
        <v>95</v>
      </c>
      <c r="BG497" s="6" t="s">
        <v>6369</v>
      </c>
      <c r="BH497" s="6" t="s">
        <v>6370</v>
      </c>
    </row>
    <row r="498" spans="1:60" ht="32" customHeight="1" x14ac:dyDescent="0.35">
      <c r="A498" s="13" t="s">
        <v>6371</v>
      </c>
      <c r="B498" s="6" t="s">
        <v>2265</v>
      </c>
      <c r="C498" s="5" t="s">
        <v>6352</v>
      </c>
      <c r="D498" s="5" t="s">
        <v>2201</v>
      </c>
      <c r="E498" s="5" t="s">
        <v>6372</v>
      </c>
      <c r="F498" s="5" t="s">
        <v>3734</v>
      </c>
      <c r="G498" s="5" t="s">
        <v>6373</v>
      </c>
      <c r="H498" s="5" t="s">
        <v>6374</v>
      </c>
      <c r="I498" s="5" t="s">
        <v>6375</v>
      </c>
      <c r="J498" s="17" t="s">
        <v>162</v>
      </c>
      <c r="K498" s="17" t="s">
        <v>163</v>
      </c>
      <c r="L498" s="5" t="s">
        <v>6376</v>
      </c>
      <c r="M498" s="6" t="s">
        <v>1493</v>
      </c>
      <c r="N498" s="6" t="s">
        <v>2167</v>
      </c>
      <c r="O498" s="6" t="s">
        <v>162</v>
      </c>
      <c r="P498" s="5" t="s">
        <v>2272</v>
      </c>
      <c r="Q498" s="17" t="s">
        <v>163</v>
      </c>
      <c r="R498" s="5" t="s">
        <v>6377</v>
      </c>
      <c r="S498" s="6" t="s">
        <v>6358</v>
      </c>
      <c r="T498" s="5" t="s">
        <v>6359</v>
      </c>
      <c r="U498" s="6"/>
      <c r="V498" s="6" t="s">
        <v>2277</v>
      </c>
      <c r="W498" s="6" t="s">
        <v>1697</v>
      </c>
      <c r="X498" s="5" t="s">
        <v>228</v>
      </c>
      <c r="Y498" s="5" t="s">
        <v>6360</v>
      </c>
      <c r="Z498" s="5" t="str">
        <f t="shared" si="14"/>
        <v>Medium</v>
      </c>
      <c r="AA498" s="5" t="s">
        <v>1319</v>
      </c>
      <c r="AB498" s="6" t="s">
        <v>1355</v>
      </c>
      <c r="AC498" s="6" t="s">
        <v>135</v>
      </c>
      <c r="AD498" s="5" t="s">
        <v>1805</v>
      </c>
      <c r="AE498" s="5" t="s">
        <v>1720</v>
      </c>
      <c r="AF498" s="5" t="s">
        <v>1720</v>
      </c>
      <c r="AG498" s="5" t="s">
        <v>1720</v>
      </c>
      <c r="AH498" s="5" t="s">
        <v>1720</v>
      </c>
      <c r="AI498" s="6" t="str">
        <f t="shared" si="15"/>
        <v>No</v>
      </c>
      <c r="AJ498" s="6" t="s">
        <v>287</v>
      </c>
      <c r="AK498" s="6" t="s">
        <v>162</v>
      </c>
      <c r="AL498" s="6">
        <f>MATCH(AA498,{"Low","Medium","High"},0)*MATCH(AB498,{"Low","Medium","High"},0)*INDEX({3,2,2,1,1},MATCH(X498,{"Core","Vertical extension","Differentiator","Future","Adjacent"},0))</f>
        <v>6</v>
      </c>
      <c r="AM498" s="5"/>
      <c r="AN498" s="5"/>
      <c r="AO498" s="5"/>
      <c r="AP498" s="5"/>
      <c r="AQ498" s="5"/>
      <c r="AR498" s="5"/>
      <c r="AS498" s="5"/>
      <c r="AT498" s="5"/>
      <c r="AU498" s="6" t="s">
        <v>2317</v>
      </c>
      <c r="AV498" s="6" t="s">
        <v>2794</v>
      </c>
      <c r="AW498" s="6" t="s">
        <v>2794</v>
      </c>
      <c r="AX498" s="6" t="s">
        <v>2284</v>
      </c>
      <c r="AY498" s="6" t="s">
        <v>2285</v>
      </c>
      <c r="AZ498" s="6"/>
      <c r="BA498" s="6"/>
      <c r="BB498" s="6"/>
      <c r="BC498" s="6" t="s">
        <v>127</v>
      </c>
      <c r="BD498" s="6" t="s">
        <v>127</v>
      </c>
      <c r="BE498" s="6" t="s">
        <v>1477</v>
      </c>
      <c r="BF498" s="6" t="s">
        <v>288</v>
      </c>
      <c r="BG498" s="6" t="s">
        <v>6378</v>
      </c>
      <c r="BH498" s="6" t="s">
        <v>6379</v>
      </c>
    </row>
    <row r="499" spans="1:60" ht="32" customHeight="1" x14ac:dyDescent="0.35">
      <c r="A499" s="13" t="s">
        <v>6380</v>
      </c>
      <c r="B499" s="6" t="s">
        <v>2265</v>
      </c>
      <c r="C499" s="5" t="s">
        <v>6352</v>
      </c>
      <c r="D499" s="5" t="s">
        <v>2201</v>
      </c>
      <c r="E499" s="5" t="s">
        <v>6381</v>
      </c>
      <c r="F499" s="5" t="s">
        <v>3734</v>
      </c>
      <c r="G499" s="5" t="s">
        <v>6373</v>
      </c>
      <c r="H499" s="5" t="s">
        <v>6382</v>
      </c>
      <c r="I499" s="5" t="s">
        <v>6383</v>
      </c>
      <c r="J499" s="17" t="s">
        <v>162</v>
      </c>
      <c r="K499" s="17" t="s">
        <v>95</v>
      </c>
      <c r="L499" s="5" t="s">
        <v>6384</v>
      </c>
      <c r="M499" s="6" t="s">
        <v>1493</v>
      </c>
      <c r="N499" s="6" t="s">
        <v>2167</v>
      </c>
      <c r="O499" s="6" t="s">
        <v>162</v>
      </c>
      <c r="P499" s="5" t="s">
        <v>2272</v>
      </c>
      <c r="Q499" s="17" t="s">
        <v>95</v>
      </c>
      <c r="R499" s="5" t="s">
        <v>6385</v>
      </c>
      <c r="S499" s="6" t="s">
        <v>6358</v>
      </c>
      <c r="T499" s="5" t="s">
        <v>6359</v>
      </c>
      <c r="U499" s="6"/>
      <c r="V499" s="6" t="s">
        <v>2277</v>
      </c>
      <c r="W499" s="6" t="s">
        <v>1697</v>
      </c>
      <c r="X499" s="5" t="s">
        <v>228</v>
      </c>
      <c r="Y499" s="5" t="s">
        <v>6360</v>
      </c>
      <c r="Z499" s="5" t="str">
        <f t="shared" si="14"/>
        <v>Medium</v>
      </c>
      <c r="AA499" s="5" t="s">
        <v>1319</v>
      </c>
      <c r="AB499" s="6" t="s">
        <v>1355</v>
      </c>
      <c r="AC499" s="6" t="s">
        <v>135</v>
      </c>
      <c r="AD499" s="5" t="s">
        <v>95</v>
      </c>
      <c r="AE499" s="5" t="s">
        <v>1720</v>
      </c>
      <c r="AF499" s="5" t="s">
        <v>1720</v>
      </c>
      <c r="AG499" s="5" t="s">
        <v>1720</v>
      </c>
      <c r="AH499" s="5" t="s">
        <v>1720</v>
      </c>
      <c r="AI499" s="6" t="str">
        <f t="shared" si="15"/>
        <v>No</v>
      </c>
      <c r="AJ499" s="6" t="s">
        <v>229</v>
      </c>
      <c r="AK499" s="6" t="s">
        <v>162</v>
      </c>
      <c r="AL499" s="6">
        <f>MATCH(AA499,{"Low","Medium","High"},0)*MATCH(AB499,{"Low","Medium","High"},0)*INDEX({3,2,2,1,1},MATCH(X499,{"Core","Vertical extension","Differentiator","Future","Adjacent"},0))</f>
        <v>6</v>
      </c>
      <c r="AM499" s="5"/>
      <c r="AN499" s="5"/>
      <c r="AO499" s="5"/>
      <c r="AP499" s="5"/>
      <c r="AQ499" s="5"/>
      <c r="AR499" s="5"/>
      <c r="AS499" s="5"/>
      <c r="AT499" s="5"/>
      <c r="AU499" s="6" t="s">
        <v>2317</v>
      </c>
      <c r="AV499" s="6" t="s">
        <v>2794</v>
      </c>
      <c r="AW499" s="6" t="s">
        <v>2794</v>
      </c>
      <c r="AX499" s="6" t="s">
        <v>2284</v>
      </c>
      <c r="AY499" s="6" t="s">
        <v>2285</v>
      </c>
      <c r="AZ499" s="6"/>
      <c r="BA499" s="6"/>
      <c r="BB499" s="6"/>
      <c r="BC499" s="6" t="s">
        <v>127</v>
      </c>
      <c r="BD499" s="6" t="s">
        <v>127</v>
      </c>
      <c r="BE499" s="6" t="s">
        <v>1477</v>
      </c>
      <c r="BF499" s="6" t="s">
        <v>95</v>
      </c>
      <c r="BG499" s="6" t="s">
        <v>6386</v>
      </c>
      <c r="BH499" s="6" t="s">
        <v>6387</v>
      </c>
    </row>
    <row r="500" spans="1:60" ht="32" customHeight="1" x14ac:dyDescent="0.35">
      <c r="A500" s="13" t="s">
        <v>6388</v>
      </c>
      <c r="B500" s="6" t="s">
        <v>2265</v>
      </c>
      <c r="C500" s="5" t="s">
        <v>6352</v>
      </c>
      <c r="D500" s="5" t="s">
        <v>2201</v>
      </c>
      <c r="E500" s="5" t="s">
        <v>6389</v>
      </c>
      <c r="F500" s="5" t="s">
        <v>3734</v>
      </c>
      <c r="G500" s="5" t="s">
        <v>6373</v>
      </c>
      <c r="H500" s="5" t="s">
        <v>6390</v>
      </c>
      <c r="I500" s="5" t="s">
        <v>6391</v>
      </c>
      <c r="J500" s="17" t="s">
        <v>162</v>
      </c>
      <c r="K500" s="17" t="s">
        <v>95</v>
      </c>
      <c r="L500" s="5" t="s">
        <v>6392</v>
      </c>
      <c r="M500" s="6" t="s">
        <v>1493</v>
      </c>
      <c r="N500" s="6" t="s">
        <v>2167</v>
      </c>
      <c r="O500" s="6" t="s">
        <v>162</v>
      </c>
      <c r="P500" s="5" t="s">
        <v>2272</v>
      </c>
      <c r="Q500" s="17" t="s">
        <v>95</v>
      </c>
      <c r="R500" s="5" t="s">
        <v>6393</v>
      </c>
      <c r="S500" s="6" t="s">
        <v>6358</v>
      </c>
      <c r="T500" s="5" t="s">
        <v>6359</v>
      </c>
      <c r="U500" s="6"/>
      <c r="V500" s="6" t="s">
        <v>2277</v>
      </c>
      <c r="W500" s="6" t="s">
        <v>1697</v>
      </c>
      <c r="X500" s="5" t="s">
        <v>228</v>
      </c>
      <c r="Y500" s="5" t="s">
        <v>6360</v>
      </c>
      <c r="Z500" s="5" t="str">
        <f t="shared" si="14"/>
        <v>Medium</v>
      </c>
      <c r="AA500" s="5" t="s">
        <v>1319</v>
      </c>
      <c r="AB500" s="6" t="s">
        <v>1355</v>
      </c>
      <c r="AC500" s="6" t="s">
        <v>135</v>
      </c>
      <c r="AD500" s="5" t="s">
        <v>95</v>
      </c>
      <c r="AE500" s="5" t="s">
        <v>1720</v>
      </c>
      <c r="AF500" s="5" t="s">
        <v>1720</v>
      </c>
      <c r="AG500" s="5" t="s">
        <v>1720</v>
      </c>
      <c r="AH500" s="5" t="s">
        <v>1720</v>
      </c>
      <c r="AI500" s="6" t="str">
        <f t="shared" si="15"/>
        <v>No</v>
      </c>
      <c r="AJ500" s="6" t="s">
        <v>229</v>
      </c>
      <c r="AK500" s="6" t="s">
        <v>162</v>
      </c>
      <c r="AL500" s="6">
        <f>MATCH(AA500,{"Low","Medium","High"},0)*MATCH(AB500,{"Low","Medium","High"},0)*INDEX({3,2,2,1,1},MATCH(X500,{"Core","Vertical extension","Differentiator","Future","Adjacent"},0))</f>
        <v>6</v>
      </c>
      <c r="AM500" s="5"/>
      <c r="AN500" s="5"/>
      <c r="AO500" s="5"/>
      <c r="AP500" s="5"/>
      <c r="AQ500" s="5"/>
      <c r="AR500" s="5"/>
      <c r="AS500" s="5"/>
      <c r="AT500" s="5"/>
      <c r="AU500" s="6" t="s">
        <v>2317</v>
      </c>
      <c r="AV500" s="6" t="s">
        <v>2794</v>
      </c>
      <c r="AW500" s="6" t="s">
        <v>2794</v>
      </c>
      <c r="AX500" s="6" t="s">
        <v>2284</v>
      </c>
      <c r="AY500" s="6" t="s">
        <v>2285</v>
      </c>
      <c r="AZ500" s="6"/>
      <c r="BA500" s="6"/>
      <c r="BB500" s="6"/>
      <c r="BC500" s="6" t="s">
        <v>127</v>
      </c>
      <c r="BD500" s="6" t="s">
        <v>127</v>
      </c>
      <c r="BE500" s="6" t="s">
        <v>1477</v>
      </c>
      <c r="BF500" s="6" t="s">
        <v>95</v>
      </c>
      <c r="BG500" s="6" t="s">
        <v>6394</v>
      </c>
      <c r="BH500" s="6" t="s">
        <v>6395</v>
      </c>
    </row>
    <row r="501" spans="1:60" ht="32" customHeight="1" x14ac:dyDescent="0.35">
      <c r="A501" s="13" t="s">
        <v>6396</v>
      </c>
      <c r="B501" s="6" t="s">
        <v>2265</v>
      </c>
      <c r="C501" s="5" t="s">
        <v>6352</v>
      </c>
      <c r="D501" s="5" t="s">
        <v>2201</v>
      </c>
      <c r="E501" s="5" t="s">
        <v>6397</v>
      </c>
      <c r="F501" s="5" t="s">
        <v>3734</v>
      </c>
      <c r="G501" s="5" t="s">
        <v>2396</v>
      </c>
      <c r="H501" s="5" t="s">
        <v>6398</v>
      </c>
      <c r="I501" s="5" t="s">
        <v>6399</v>
      </c>
      <c r="J501" s="17" t="s">
        <v>162</v>
      </c>
      <c r="K501" s="17" t="s">
        <v>95</v>
      </c>
      <c r="L501" s="5" t="s">
        <v>6400</v>
      </c>
      <c r="M501" s="6" t="s">
        <v>1493</v>
      </c>
      <c r="N501" s="6" t="s">
        <v>2167</v>
      </c>
      <c r="O501" s="6" t="s">
        <v>162</v>
      </c>
      <c r="P501" s="5" t="s">
        <v>2272</v>
      </c>
      <c r="Q501" s="17" t="s">
        <v>95</v>
      </c>
      <c r="R501" s="5" t="s">
        <v>6401</v>
      </c>
      <c r="S501" s="6" t="s">
        <v>6358</v>
      </c>
      <c r="T501" s="5" t="s">
        <v>6359</v>
      </c>
      <c r="U501" s="6"/>
      <c r="V501" s="6" t="s">
        <v>2277</v>
      </c>
      <c r="W501" s="6" t="s">
        <v>1697</v>
      </c>
      <c r="X501" s="5" t="s">
        <v>228</v>
      </c>
      <c r="Y501" s="5" t="s">
        <v>6360</v>
      </c>
      <c r="Z501" s="5" t="str">
        <f t="shared" si="14"/>
        <v>Medium</v>
      </c>
      <c r="AA501" s="5" t="s">
        <v>1319</v>
      </c>
      <c r="AB501" s="6" t="s">
        <v>1355</v>
      </c>
      <c r="AC501" s="6" t="s">
        <v>135</v>
      </c>
      <c r="AD501" s="5" t="s">
        <v>95</v>
      </c>
      <c r="AE501" s="5" t="s">
        <v>1720</v>
      </c>
      <c r="AF501" s="5" t="s">
        <v>1720</v>
      </c>
      <c r="AG501" s="5" t="s">
        <v>1720</v>
      </c>
      <c r="AH501" s="5" t="s">
        <v>1720</v>
      </c>
      <c r="AI501" s="6" t="str">
        <f t="shared" si="15"/>
        <v>No</v>
      </c>
      <c r="AJ501" s="6" t="s">
        <v>229</v>
      </c>
      <c r="AK501" s="6" t="s">
        <v>162</v>
      </c>
      <c r="AL501" s="6">
        <f>MATCH(AA501,{"Low","Medium","High"},0)*MATCH(AB501,{"Low","Medium","High"},0)*INDEX({3,2,2,1,1},MATCH(X501,{"Core","Vertical extension","Differentiator","Future","Adjacent"},0))</f>
        <v>6</v>
      </c>
      <c r="AM501" s="5"/>
      <c r="AN501" s="5"/>
      <c r="AO501" s="5"/>
      <c r="AP501" s="5"/>
      <c r="AQ501" s="5"/>
      <c r="AR501" s="5"/>
      <c r="AS501" s="5"/>
      <c r="AT501" s="5"/>
      <c r="AU501" s="6" t="s">
        <v>2317</v>
      </c>
      <c r="AV501" s="6" t="s">
        <v>2794</v>
      </c>
      <c r="AW501" s="6" t="s">
        <v>2794</v>
      </c>
      <c r="AX501" s="6" t="s">
        <v>2284</v>
      </c>
      <c r="AY501" s="6" t="s">
        <v>2285</v>
      </c>
      <c r="AZ501" s="6"/>
      <c r="BA501" s="6"/>
      <c r="BB501" s="6"/>
      <c r="BC501" s="6" t="s">
        <v>127</v>
      </c>
      <c r="BD501" s="6" t="s">
        <v>127</v>
      </c>
      <c r="BE501" s="6" t="s">
        <v>1477</v>
      </c>
      <c r="BF501" s="6" t="s">
        <v>95</v>
      </c>
      <c r="BG501" s="6" t="s">
        <v>6402</v>
      </c>
      <c r="BH501" s="6" t="s">
        <v>6403</v>
      </c>
    </row>
    <row r="502" spans="1:60" ht="32" customHeight="1" x14ac:dyDescent="0.35">
      <c r="A502" s="13" t="s">
        <v>6404</v>
      </c>
      <c r="B502" s="6" t="s">
        <v>2265</v>
      </c>
      <c r="C502" s="5" t="s">
        <v>6352</v>
      </c>
      <c r="D502" s="5" t="s">
        <v>2201</v>
      </c>
      <c r="E502" s="5" t="s">
        <v>6405</v>
      </c>
      <c r="F502" s="5" t="s">
        <v>3734</v>
      </c>
      <c r="G502" s="5" t="s">
        <v>6406</v>
      </c>
      <c r="H502" s="5" t="s">
        <v>6407</v>
      </c>
      <c r="I502" s="5" t="s">
        <v>6408</v>
      </c>
      <c r="J502" s="17" t="s">
        <v>162</v>
      </c>
      <c r="K502" s="17" t="s">
        <v>163</v>
      </c>
      <c r="L502" s="5" t="s">
        <v>6409</v>
      </c>
      <c r="M502" s="6" t="s">
        <v>1493</v>
      </c>
      <c r="N502" s="6" t="s">
        <v>2167</v>
      </c>
      <c r="O502" s="6" t="s">
        <v>162</v>
      </c>
      <c r="P502" s="5" t="s">
        <v>2272</v>
      </c>
      <c r="Q502" s="17" t="s">
        <v>163</v>
      </c>
      <c r="R502" s="5" t="s">
        <v>6410</v>
      </c>
      <c r="S502" s="6" t="s">
        <v>6358</v>
      </c>
      <c r="T502" s="5" t="s">
        <v>6359</v>
      </c>
      <c r="U502" s="6"/>
      <c r="V502" s="6" t="s">
        <v>2277</v>
      </c>
      <c r="W502" s="6" t="s">
        <v>1697</v>
      </c>
      <c r="X502" s="5" t="s">
        <v>228</v>
      </c>
      <c r="Y502" s="5" t="s">
        <v>6360</v>
      </c>
      <c r="Z502" s="5" t="str">
        <f t="shared" si="14"/>
        <v>Medium</v>
      </c>
      <c r="AA502" s="5" t="s">
        <v>1319</v>
      </c>
      <c r="AB502" s="6" t="s">
        <v>1355</v>
      </c>
      <c r="AC502" s="6" t="s">
        <v>135</v>
      </c>
      <c r="AD502" s="5" t="s">
        <v>1805</v>
      </c>
      <c r="AE502" s="5" t="s">
        <v>1720</v>
      </c>
      <c r="AF502" s="5" t="s">
        <v>1720</v>
      </c>
      <c r="AG502" s="5" t="s">
        <v>1720</v>
      </c>
      <c r="AH502" s="5" t="s">
        <v>1720</v>
      </c>
      <c r="AI502" s="6" t="str">
        <f t="shared" si="15"/>
        <v>No</v>
      </c>
      <c r="AJ502" s="6" t="s">
        <v>287</v>
      </c>
      <c r="AK502" s="6" t="s">
        <v>162</v>
      </c>
      <c r="AL502" s="6">
        <f>MATCH(AA502,{"Low","Medium","High"},0)*MATCH(AB502,{"Low","Medium","High"},0)*INDEX({3,2,2,1,1},MATCH(X502,{"Core","Vertical extension","Differentiator","Future","Adjacent"},0))</f>
        <v>6</v>
      </c>
      <c r="AM502" s="5"/>
      <c r="AN502" s="5"/>
      <c r="AO502" s="5"/>
      <c r="AP502" s="5"/>
      <c r="AQ502" s="5"/>
      <c r="AR502" s="5"/>
      <c r="AS502" s="5"/>
      <c r="AT502" s="5"/>
      <c r="AU502" s="6" t="s">
        <v>2317</v>
      </c>
      <c r="AV502" s="6" t="s">
        <v>2794</v>
      </c>
      <c r="AW502" s="6" t="s">
        <v>2794</v>
      </c>
      <c r="AX502" s="6" t="s">
        <v>2284</v>
      </c>
      <c r="AY502" s="6" t="s">
        <v>2285</v>
      </c>
      <c r="AZ502" s="6"/>
      <c r="BA502" s="6"/>
      <c r="BB502" s="6"/>
      <c r="BC502" s="6" t="s">
        <v>127</v>
      </c>
      <c r="BD502" s="6" t="s">
        <v>127</v>
      </c>
      <c r="BE502" s="6" t="s">
        <v>1477</v>
      </c>
      <c r="BF502" s="6" t="s">
        <v>288</v>
      </c>
      <c r="BG502" s="6" t="s">
        <v>6411</v>
      </c>
      <c r="BH502" s="6" t="s">
        <v>6412</v>
      </c>
    </row>
    <row r="503" spans="1:60" ht="32" customHeight="1" x14ac:dyDescent="0.35">
      <c r="A503" s="13" t="s">
        <v>6413</v>
      </c>
      <c r="B503" s="6" t="s">
        <v>2265</v>
      </c>
      <c r="C503" s="5" t="s">
        <v>6414</v>
      </c>
      <c r="D503" s="5" t="s">
        <v>2189</v>
      </c>
      <c r="E503" s="5" t="s">
        <v>6415</v>
      </c>
      <c r="F503" s="5" t="s">
        <v>3073</v>
      </c>
      <c r="G503" s="5" t="s">
        <v>3043</v>
      </c>
      <c r="H503" s="5" t="s">
        <v>6416</v>
      </c>
      <c r="I503" s="5" t="s">
        <v>6417</v>
      </c>
      <c r="J503" s="17" t="s">
        <v>162</v>
      </c>
      <c r="K503" s="17" t="s">
        <v>95</v>
      </c>
      <c r="L503" s="5" t="s">
        <v>6418</v>
      </c>
      <c r="M503" s="6" t="s">
        <v>1493</v>
      </c>
      <c r="N503" s="6" t="s">
        <v>2167</v>
      </c>
      <c r="O503" s="6" t="s">
        <v>162</v>
      </c>
      <c r="P503" s="5" t="s">
        <v>2272</v>
      </c>
      <c r="Q503" s="17" t="s">
        <v>95</v>
      </c>
      <c r="R503" s="5" t="s">
        <v>6419</v>
      </c>
      <c r="S503" s="6" t="s">
        <v>2325</v>
      </c>
      <c r="T503" s="5" t="s">
        <v>2326</v>
      </c>
      <c r="U503" s="6"/>
      <c r="V503" s="6" t="s">
        <v>2327</v>
      </c>
      <c r="W503" s="6" t="s">
        <v>1699</v>
      </c>
      <c r="X503" s="5" t="s">
        <v>228</v>
      </c>
      <c r="Y503" s="5" t="s">
        <v>1824</v>
      </c>
      <c r="Z503" s="5" t="str">
        <f t="shared" si="14"/>
        <v>Medium</v>
      </c>
      <c r="AA503" s="5" t="s">
        <v>1319</v>
      </c>
      <c r="AB503" s="6" t="s">
        <v>1355</v>
      </c>
      <c r="AC503" s="6" t="s">
        <v>135</v>
      </c>
      <c r="AD503" s="5" t="s">
        <v>95</v>
      </c>
      <c r="AE503" s="5" t="s">
        <v>1720</v>
      </c>
      <c r="AF503" s="5" t="s">
        <v>1720</v>
      </c>
      <c r="AG503" s="5" t="s">
        <v>1720</v>
      </c>
      <c r="AH503" s="5" t="s">
        <v>1720</v>
      </c>
      <c r="AI503" s="6" t="str">
        <f t="shared" si="15"/>
        <v>No</v>
      </c>
      <c r="AJ503" s="6" t="s">
        <v>229</v>
      </c>
      <c r="AK503" s="6" t="s">
        <v>162</v>
      </c>
      <c r="AL503" s="6">
        <f>MATCH(AA503,{"Low","Medium","High"},0)*MATCH(AB503,{"Low","Medium","High"},0)*INDEX({3,2,2,1,1},MATCH(X503,{"Core","Vertical extension","Differentiator","Future","Adjacent"},0))</f>
        <v>6</v>
      </c>
      <c r="AM503" s="5"/>
      <c r="AN503" s="5"/>
      <c r="AO503" s="5"/>
      <c r="AP503" s="5"/>
      <c r="AQ503" s="5"/>
      <c r="AR503" s="5"/>
      <c r="AS503" s="5"/>
      <c r="AT503" s="5"/>
      <c r="AU503" s="6" t="s">
        <v>2317</v>
      </c>
      <c r="AV503" s="6" t="s">
        <v>3073</v>
      </c>
      <c r="AW503" s="6" t="s">
        <v>3073</v>
      </c>
      <c r="AX503" s="6" t="s">
        <v>2284</v>
      </c>
      <c r="AY503" s="6" t="s">
        <v>2285</v>
      </c>
      <c r="AZ503" s="6"/>
      <c r="BA503" s="6"/>
      <c r="BB503" s="6"/>
      <c r="BC503" s="6" t="s">
        <v>127</v>
      </c>
      <c r="BD503" s="6" t="s">
        <v>127</v>
      </c>
      <c r="BE503" s="6" t="s">
        <v>1477</v>
      </c>
      <c r="BF503" s="6" t="s">
        <v>95</v>
      </c>
      <c r="BG503" s="6" t="s">
        <v>3151</v>
      </c>
      <c r="BH503" s="6" t="s">
        <v>6420</v>
      </c>
    </row>
    <row r="504" spans="1:60" ht="32" customHeight="1" x14ac:dyDescent="0.35">
      <c r="A504" s="13" t="s">
        <v>277</v>
      </c>
      <c r="B504" s="6" t="s">
        <v>2265</v>
      </c>
      <c r="C504" s="5" t="s">
        <v>6414</v>
      </c>
      <c r="D504" s="5" t="s">
        <v>2183</v>
      </c>
      <c r="E504" s="5" t="s">
        <v>278</v>
      </c>
      <c r="F504" s="5" t="s">
        <v>3073</v>
      </c>
      <c r="G504" s="5" t="s">
        <v>2973</v>
      </c>
      <c r="H504" s="5" t="s">
        <v>6421</v>
      </c>
      <c r="I504" s="5" t="s">
        <v>6422</v>
      </c>
      <c r="J504" s="16" t="s">
        <v>94</v>
      </c>
      <c r="K504" s="17" t="s">
        <v>95</v>
      </c>
      <c r="L504" s="5" t="s">
        <v>6423</v>
      </c>
      <c r="M504" s="6" t="s">
        <v>1493</v>
      </c>
      <c r="N504" s="6" t="s">
        <v>2167</v>
      </c>
      <c r="O504" s="6" t="s">
        <v>94</v>
      </c>
      <c r="P504" s="5" t="s">
        <v>2272</v>
      </c>
      <c r="Q504" s="17" t="s">
        <v>95</v>
      </c>
      <c r="R504" s="5" t="s">
        <v>6424</v>
      </c>
      <c r="S504" s="6" t="s">
        <v>2438</v>
      </c>
      <c r="T504" s="5" t="s">
        <v>2439</v>
      </c>
      <c r="U504" s="6"/>
      <c r="V504" s="6" t="s">
        <v>2440</v>
      </c>
      <c r="W504" s="6" t="s">
        <v>1699</v>
      </c>
      <c r="X504" s="5" t="s">
        <v>228</v>
      </c>
      <c r="Y504" s="5" t="s">
        <v>1824</v>
      </c>
      <c r="Z504" s="5" t="str">
        <f t="shared" si="14"/>
        <v>Critical</v>
      </c>
      <c r="AA504" s="5" t="s">
        <v>1302</v>
      </c>
      <c r="AB504" s="6" t="s">
        <v>1302</v>
      </c>
      <c r="AC504" s="6" t="s">
        <v>99</v>
      </c>
      <c r="AD504" s="5" t="s">
        <v>95</v>
      </c>
      <c r="AE504" s="5" t="s">
        <v>1720</v>
      </c>
      <c r="AF504" s="5" t="s">
        <v>1720</v>
      </c>
      <c r="AG504" s="5" t="s">
        <v>1720</v>
      </c>
      <c r="AH504" s="5" t="s">
        <v>1720</v>
      </c>
      <c r="AI504" s="6" t="str">
        <f t="shared" si="15"/>
        <v>No</v>
      </c>
      <c r="AJ504" s="6" t="s">
        <v>229</v>
      </c>
      <c r="AK504" s="6" t="s">
        <v>94</v>
      </c>
      <c r="AL504" s="6">
        <f>MATCH(AA504,{"Low","Medium","High"},0)*MATCH(AB504,{"Low","Medium","High"},0)*INDEX({3,2,2,1,1},MATCH(X504,{"Core","Vertical extension","Differentiator","Future","Adjacent"},0))</f>
        <v>27</v>
      </c>
      <c r="AM504" s="5"/>
      <c r="AN504" s="5"/>
      <c r="AO504" s="5">
        <v>3</v>
      </c>
      <c r="AP504" s="5"/>
      <c r="AQ504" s="5"/>
      <c r="AR504" s="5" t="s">
        <v>6425</v>
      </c>
      <c r="AS504" s="51">
        <v>46300</v>
      </c>
      <c r="AT504" s="5" t="s">
        <v>2760</v>
      </c>
      <c r="AU504" s="6" t="s">
        <v>95</v>
      </c>
      <c r="AV504" s="6" t="s">
        <v>3073</v>
      </c>
      <c r="AW504" s="6" t="s">
        <v>3073</v>
      </c>
      <c r="AX504" s="6" t="s">
        <v>2284</v>
      </c>
      <c r="AY504" s="6" t="s">
        <v>2285</v>
      </c>
      <c r="AZ504" s="6"/>
      <c r="BA504" s="6" t="s">
        <v>6426</v>
      </c>
      <c r="BB504" s="6"/>
      <c r="BC504" s="6" t="s">
        <v>127</v>
      </c>
      <c r="BD504" s="6" t="s">
        <v>127</v>
      </c>
      <c r="BE504" s="6" t="s">
        <v>1477</v>
      </c>
      <c r="BF504" s="6" t="s">
        <v>95</v>
      </c>
      <c r="BG504" s="6" t="s">
        <v>6427</v>
      </c>
      <c r="BH504" s="6" t="s">
        <v>279</v>
      </c>
    </row>
    <row r="505" spans="1:60" ht="32" customHeight="1" x14ac:dyDescent="0.35">
      <c r="A505" s="13" t="s">
        <v>6428</v>
      </c>
      <c r="B505" s="6" t="s">
        <v>2265</v>
      </c>
      <c r="C505" s="5" t="s">
        <v>6414</v>
      </c>
      <c r="D505" s="5" t="s">
        <v>2183</v>
      </c>
      <c r="E505" s="5" t="s">
        <v>6429</v>
      </c>
      <c r="F505" s="5" t="s">
        <v>3073</v>
      </c>
      <c r="G505" s="5" t="s">
        <v>2973</v>
      </c>
      <c r="H505" s="5" t="s">
        <v>6430</v>
      </c>
      <c r="I505" s="5" t="s">
        <v>6431</v>
      </c>
      <c r="J505" s="17" t="s">
        <v>162</v>
      </c>
      <c r="K505" s="17" t="s">
        <v>95</v>
      </c>
      <c r="L505" s="5" t="s">
        <v>6432</v>
      </c>
      <c r="M505" s="6" t="s">
        <v>1493</v>
      </c>
      <c r="N505" s="6" t="s">
        <v>2167</v>
      </c>
      <c r="O505" s="6" t="s">
        <v>162</v>
      </c>
      <c r="P505" s="5" t="s">
        <v>2272</v>
      </c>
      <c r="Q505" s="17" t="s">
        <v>95</v>
      </c>
      <c r="R505" s="5" t="s">
        <v>6433</v>
      </c>
      <c r="S505" s="6" t="s">
        <v>2438</v>
      </c>
      <c r="T505" s="5" t="s">
        <v>2439</v>
      </c>
      <c r="U505" s="6"/>
      <c r="V505" s="6" t="s">
        <v>2440</v>
      </c>
      <c r="W505" s="6" t="s">
        <v>1699</v>
      </c>
      <c r="X505" s="5" t="s">
        <v>228</v>
      </c>
      <c r="Y505" s="5" t="s">
        <v>1824</v>
      </c>
      <c r="Z505" s="5" t="str">
        <f t="shared" si="14"/>
        <v>Critical</v>
      </c>
      <c r="AA505" s="5" t="s">
        <v>1302</v>
      </c>
      <c r="AB505" s="6" t="s">
        <v>1302</v>
      </c>
      <c r="AC505" s="6" t="s">
        <v>135</v>
      </c>
      <c r="AD505" s="5" t="s">
        <v>95</v>
      </c>
      <c r="AE505" s="5" t="s">
        <v>1720</v>
      </c>
      <c r="AF505" s="5" t="s">
        <v>1720</v>
      </c>
      <c r="AG505" s="5" t="s">
        <v>1720</v>
      </c>
      <c r="AH505" s="5" t="s">
        <v>1720</v>
      </c>
      <c r="AI505" s="6" t="str">
        <f t="shared" si="15"/>
        <v>No</v>
      </c>
      <c r="AJ505" s="6" t="s">
        <v>229</v>
      </c>
      <c r="AK505" s="6" t="s">
        <v>162</v>
      </c>
      <c r="AL505" s="6">
        <f>MATCH(AA505,{"Low","Medium","High"},0)*MATCH(AB505,{"Low","Medium","High"},0)*INDEX({3,2,2,1,1},MATCH(X505,{"Core","Vertical extension","Differentiator","Future","Adjacent"},0))</f>
        <v>27</v>
      </c>
      <c r="AM505" s="5"/>
      <c r="AN505" s="5"/>
      <c r="AO505" s="5"/>
      <c r="AP505" s="5"/>
      <c r="AQ505" s="5"/>
      <c r="AR505" s="5"/>
      <c r="AS505" s="5"/>
      <c r="AT505" s="5"/>
      <c r="AU505" s="6" t="s">
        <v>2317</v>
      </c>
      <c r="AV505" s="6" t="s">
        <v>3073</v>
      </c>
      <c r="AW505" s="6" t="s">
        <v>3073</v>
      </c>
      <c r="AX505" s="6" t="s">
        <v>2284</v>
      </c>
      <c r="AY505" s="6" t="s">
        <v>2285</v>
      </c>
      <c r="AZ505" s="6"/>
      <c r="BA505" s="6"/>
      <c r="BB505" s="6"/>
      <c r="BC505" s="6" t="s">
        <v>127</v>
      </c>
      <c r="BD505" s="6" t="s">
        <v>127</v>
      </c>
      <c r="BE505" s="6" t="s">
        <v>1477</v>
      </c>
      <c r="BF505" s="6" t="s">
        <v>95</v>
      </c>
      <c r="BG505" s="6" t="s">
        <v>6434</v>
      </c>
      <c r="BH505" s="6" t="s">
        <v>6435</v>
      </c>
    </row>
    <row r="506" spans="1:60" ht="32" customHeight="1" x14ac:dyDescent="0.35">
      <c r="A506" s="13" t="s">
        <v>6436</v>
      </c>
      <c r="B506" s="6" t="s">
        <v>2265</v>
      </c>
      <c r="C506" s="5" t="s">
        <v>6414</v>
      </c>
      <c r="D506" s="5" t="s">
        <v>2204</v>
      </c>
      <c r="E506" s="5" t="s">
        <v>6437</v>
      </c>
      <c r="F506" s="5" t="s">
        <v>3073</v>
      </c>
      <c r="G506" s="5" t="s">
        <v>2973</v>
      </c>
      <c r="H506" s="5" t="s">
        <v>6438</v>
      </c>
      <c r="I506" s="5" t="s">
        <v>6439</v>
      </c>
      <c r="J506" s="17" t="s">
        <v>162</v>
      </c>
      <c r="K506" s="17" t="s">
        <v>1477</v>
      </c>
      <c r="L506" s="5" t="s">
        <v>6440</v>
      </c>
      <c r="M506" s="6" t="s">
        <v>1493</v>
      </c>
      <c r="N506" s="6" t="s">
        <v>2167</v>
      </c>
      <c r="O506" s="6" t="s">
        <v>162</v>
      </c>
      <c r="P506" s="5" t="s">
        <v>2272</v>
      </c>
      <c r="Q506" s="17" t="s">
        <v>2273</v>
      </c>
      <c r="R506" s="5" t="s">
        <v>6441</v>
      </c>
      <c r="S506" s="6" t="s">
        <v>6442</v>
      </c>
      <c r="T506" s="5" t="s">
        <v>6443</v>
      </c>
      <c r="U506" s="6"/>
      <c r="V506" s="6" t="s">
        <v>2440</v>
      </c>
      <c r="W506" s="6" t="s">
        <v>1699</v>
      </c>
      <c r="X506" s="5" t="s">
        <v>228</v>
      </c>
      <c r="Y506" s="5" t="s">
        <v>1824</v>
      </c>
      <c r="Z506" s="5" t="str">
        <f t="shared" si="14"/>
        <v>Critical</v>
      </c>
      <c r="AA506" s="5" t="s">
        <v>1302</v>
      </c>
      <c r="AB506" s="6" t="s">
        <v>1302</v>
      </c>
      <c r="AC506" s="6" t="s">
        <v>135</v>
      </c>
      <c r="AD506" s="5" t="s">
        <v>2278</v>
      </c>
      <c r="AE506" s="5" t="s">
        <v>1720</v>
      </c>
      <c r="AF506" s="5" t="s">
        <v>1720</v>
      </c>
      <c r="AG506" s="5" t="s">
        <v>1720</v>
      </c>
      <c r="AH506" s="5" t="s">
        <v>1720</v>
      </c>
      <c r="AI506" s="6" t="str">
        <f t="shared" si="15"/>
        <v>No</v>
      </c>
      <c r="AJ506" s="6" t="s">
        <v>2298</v>
      </c>
      <c r="AK506" s="6" t="s">
        <v>162</v>
      </c>
      <c r="AL506" s="6">
        <f>MATCH(AA506,{"Low","Medium","High"},0)*MATCH(AB506,{"Low","Medium","High"},0)*INDEX({3,2,2,1,1},MATCH(X506,{"Core","Vertical extension","Differentiator","Future","Adjacent"},0))</f>
        <v>27</v>
      </c>
      <c r="AM506" s="5"/>
      <c r="AN506" s="5"/>
      <c r="AO506" s="5"/>
      <c r="AP506" s="5"/>
      <c r="AQ506" s="5"/>
      <c r="AR506" s="5"/>
      <c r="AS506" s="5"/>
      <c r="AT506" s="5"/>
      <c r="AU506" s="6" t="s">
        <v>2317</v>
      </c>
      <c r="AV506" s="6" t="s">
        <v>3073</v>
      </c>
      <c r="AW506" s="6" t="s">
        <v>3073</v>
      </c>
      <c r="AX506" s="6" t="s">
        <v>2284</v>
      </c>
      <c r="AY506" s="6" t="s">
        <v>2285</v>
      </c>
      <c r="AZ506" s="6"/>
      <c r="BA506" s="6"/>
      <c r="BB506" s="6"/>
      <c r="BC506" s="6" t="s">
        <v>127</v>
      </c>
      <c r="BD506" s="6" t="s">
        <v>127</v>
      </c>
      <c r="BE506" s="6" t="s">
        <v>1477</v>
      </c>
      <c r="BF506" s="6" t="s">
        <v>2286</v>
      </c>
      <c r="BG506" s="6" t="s">
        <v>6444</v>
      </c>
      <c r="BH506" s="6" t="s">
        <v>6445</v>
      </c>
    </row>
    <row r="507" spans="1:60" ht="32" customHeight="1" x14ac:dyDescent="0.35">
      <c r="A507" s="13" t="s">
        <v>6446</v>
      </c>
      <c r="B507" s="6" t="s">
        <v>2265</v>
      </c>
      <c r="C507" s="5" t="s">
        <v>6414</v>
      </c>
      <c r="D507" s="5" t="s">
        <v>2183</v>
      </c>
      <c r="E507" s="5" t="s">
        <v>6447</v>
      </c>
      <c r="F507" s="5" t="s">
        <v>3073</v>
      </c>
      <c r="G507" s="5" t="s">
        <v>2973</v>
      </c>
      <c r="H507" s="5" t="s">
        <v>6448</v>
      </c>
      <c r="I507" s="5" t="s">
        <v>6449</v>
      </c>
      <c r="J507" s="17" t="s">
        <v>162</v>
      </c>
      <c r="K507" s="17" t="s">
        <v>95</v>
      </c>
      <c r="L507" s="5" t="s">
        <v>6450</v>
      </c>
      <c r="M507" s="6" t="s">
        <v>1493</v>
      </c>
      <c r="N507" s="6" t="s">
        <v>2167</v>
      </c>
      <c r="O507" s="6" t="s">
        <v>162</v>
      </c>
      <c r="P507" s="5" t="s">
        <v>2272</v>
      </c>
      <c r="Q507" s="17" t="s">
        <v>95</v>
      </c>
      <c r="R507" s="5" t="s">
        <v>6451</v>
      </c>
      <c r="S507" s="6" t="s">
        <v>2438</v>
      </c>
      <c r="T507" s="5" t="s">
        <v>2439</v>
      </c>
      <c r="U507" s="6"/>
      <c r="V507" s="6" t="s">
        <v>2440</v>
      </c>
      <c r="W507" s="6" t="s">
        <v>1699</v>
      </c>
      <c r="X507" s="5" t="s">
        <v>228</v>
      </c>
      <c r="Y507" s="5" t="s">
        <v>1824</v>
      </c>
      <c r="Z507" s="5" t="str">
        <f t="shared" si="14"/>
        <v>Critical</v>
      </c>
      <c r="AA507" s="5" t="s">
        <v>1302</v>
      </c>
      <c r="AB507" s="6" t="s">
        <v>1302</v>
      </c>
      <c r="AC507" s="6" t="s">
        <v>135</v>
      </c>
      <c r="AD507" s="5" t="s">
        <v>95</v>
      </c>
      <c r="AE507" s="5" t="s">
        <v>1720</v>
      </c>
      <c r="AF507" s="5" t="s">
        <v>1720</v>
      </c>
      <c r="AG507" s="5" t="s">
        <v>1720</v>
      </c>
      <c r="AH507" s="5" t="s">
        <v>1720</v>
      </c>
      <c r="AI507" s="6" t="str">
        <f t="shared" si="15"/>
        <v>No</v>
      </c>
      <c r="AJ507" s="6" t="s">
        <v>229</v>
      </c>
      <c r="AK507" s="6" t="s">
        <v>162</v>
      </c>
      <c r="AL507" s="6">
        <f>MATCH(AA507,{"Low","Medium","High"},0)*MATCH(AB507,{"Low","Medium","High"},0)*INDEX({3,2,2,1,1},MATCH(X507,{"Core","Vertical extension","Differentiator","Future","Adjacent"},0))</f>
        <v>27</v>
      </c>
      <c r="AM507" s="5"/>
      <c r="AN507" s="5"/>
      <c r="AO507" s="5"/>
      <c r="AP507" s="5"/>
      <c r="AQ507" s="5"/>
      <c r="AR507" s="5"/>
      <c r="AS507" s="5"/>
      <c r="AT507" s="5"/>
      <c r="AU507" s="6" t="s">
        <v>2317</v>
      </c>
      <c r="AV507" s="6" t="s">
        <v>3073</v>
      </c>
      <c r="AW507" s="6" t="s">
        <v>3073</v>
      </c>
      <c r="AX507" s="6" t="s">
        <v>2284</v>
      </c>
      <c r="AY507" s="6" t="s">
        <v>2285</v>
      </c>
      <c r="AZ507" s="6"/>
      <c r="BA507" s="6"/>
      <c r="BB507" s="6"/>
      <c r="BC507" s="6" t="s">
        <v>127</v>
      </c>
      <c r="BD507" s="6" t="s">
        <v>127</v>
      </c>
      <c r="BE507" s="6" t="s">
        <v>1477</v>
      </c>
      <c r="BF507" s="6" t="s">
        <v>95</v>
      </c>
      <c r="BG507" s="6" t="s">
        <v>6452</v>
      </c>
      <c r="BH507" s="6" t="s">
        <v>6453</v>
      </c>
    </row>
    <row r="508" spans="1:60" ht="32" customHeight="1" x14ac:dyDescent="0.35">
      <c r="A508" s="13" t="s">
        <v>109</v>
      </c>
      <c r="B508" s="6" t="s">
        <v>2265</v>
      </c>
      <c r="C508" s="5" t="s">
        <v>6414</v>
      </c>
      <c r="D508" s="5" t="s">
        <v>2185</v>
      </c>
      <c r="E508" s="5" t="s">
        <v>282</v>
      </c>
      <c r="F508" s="5" t="s">
        <v>3867</v>
      </c>
      <c r="G508" s="5" t="s">
        <v>3043</v>
      </c>
      <c r="H508" s="5" t="s">
        <v>6454</v>
      </c>
      <c r="I508" s="5" t="s">
        <v>6455</v>
      </c>
      <c r="J508" s="16" t="s">
        <v>94</v>
      </c>
      <c r="K508" s="20" t="s">
        <v>95</v>
      </c>
      <c r="L508" s="5" t="s">
        <v>6456</v>
      </c>
      <c r="M508" s="6" t="s">
        <v>1493</v>
      </c>
      <c r="N508" s="6" t="s">
        <v>2167</v>
      </c>
      <c r="O508" s="6" t="s">
        <v>94</v>
      </c>
      <c r="P508" s="5" t="s">
        <v>2272</v>
      </c>
      <c r="Q508" s="20" t="s">
        <v>95</v>
      </c>
      <c r="R508" s="5" t="s">
        <v>6457</v>
      </c>
      <c r="S508" s="6" t="s">
        <v>2409</v>
      </c>
      <c r="T508" s="5" t="s">
        <v>2185</v>
      </c>
      <c r="U508" s="6"/>
      <c r="V508" s="6" t="s">
        <v>2440</v>
      </c>
      <c r="W508" s="6" t="s">
        <v>1699</v>
      </c>
      <c r="X508" s="5" t="s">
        <v>228</v>
      </c>
      <c r="Y508" s="5" t="s">
        <v>1824</v>
      </c>
      <c r="Z508" s="5" t="str">
        <f t="shared" si="14"/>
        <v>Critical</v>
      </c>
      <c r="AA508" s="5" t="s">
        <v>1302</v>
      </c>
      <c r="AB508" s="6" t="s">
        <v>1319</v>
      </c>
      <c r="AC508" s="6" t="s">
        <v>99</v>
      </c>
      <c r="AD508" s="5" t="s">
        <v>95</v>
      </c>
      <c r="AE508" s="5" t="s">
        <v>1720</v>
      </c>
      <c r="AF508" s="5" t="s">
        <v>1720</v>
      </c>
      <c r="AG508" s="5" t="s">
        <v>1720</v>
      </c>
      <c r="AH508" s="5" t="s">
        <v>1720</v>
      </c>
      <c r="AI508" s="6" t="str">
        <f t="shared" si="15"/>
        <v>No</v>
      </c>
      <c r="AJ508" s="6" t="s">
        <v>229</v>
      </c>
      <c r="AK508" s="6" t="s">
        <v>94</v>
      </c>
      <c r="AL508" s="6">
        <f>MATCH(AA508,{"Low","Medium","High"},0)*MATCH(AB508,{"Low","Medium","High"},0)*INDEX({3,2,2,1,1},MATCH(X508,{"Core","Vertical extension","Differentiator","Future","Adjacent"},0))</f>
        <v>18</v>
      </c>
      <c r="AM508" s="5"/>
      <c r="AN508" s="5"/>
      <c r="AO508" s="5">
        <v>2</v>
      </c>
      <c r="AP508" s="5"/>
      <c r="AQ508" s="5"/>
      <c r="AR508" s="5" t="s">
        <v>6458</v>
      </c>
      <c r="AS508" s="51">
        <v>46300</v>
      </c>
      <c r="AT508" s="5" t="s">
        <v>2760</v>
      </c>
      <c r="AU508" s="6" t="s">
        <v>95</v>
      </c>
      <c r="AV508" s="6" t="s">
        <v>3073</v>
      </c>
      <c r="AW508" s="6" t="s">
        <v>3073</v>
      </c>
      <c r="AX508" s="6" t="s">
        <v>2284</v>
      </c>
      <c r="AY508" s="6" t="s">
        <v>2411</v>
      </c>
      <c r="AZ508" s="6"/>
      <c r="BA508" s="6" t="s">
        <v>6459</v>
      </c>
      <c r="BB508" s="6"/>
      <c r="BC508" s="6" t="s">
        <v>127</v>
      </c>
      <c r="BD508" s="6" t="s">
        <v>127</v>
      </c>
      <c r="BE508" s="6" t="s">
        <v>95</v>
      </c>
      <c r="BF508" s="6" t="s">
        <v>95</v>
      </c>
      <c r="BG508" s="6" t="s">
        <v>6460</v>
      </c>
      <c r="BH508" s="6" t="s">
        <v>283</v>
      </c>
    </row>
    <row r="509" spans="1:60" ht="32" customHeight="1" x14ac:dyDescent="0.35">
      <c r="A509" s="13" t="s">
        <v>6461</v>
      </c>
      <c r="B509" s="6" t="s">
        <v>2265</v>
      </c>
      <c r="C509" s="5" t="s">
        <v>6414</v>
      </c>
      <c r="D509" s="5" t="s">
        <v>2194</v>
      </c>
      <c r="E509" s="5" t="s">
        <v>6462</v>
      </c>
      <c r="F509" s="5" t="s">
        <v>3073</v>
      </c>
      <c r="G509" s="5" t="s">
        <v>2312</v>
      </c>
      <c r="H509" s="5" t="s">
        <v>6463</v>
      </c>
      <c r="I509" s="5" t="s">
        <v>6464</v>
      </c>
      <c r="J509" s="17" t="s">
        <v>162</v>
      </c>
      <c r="K509" s="17" t="s">
        <v>95</v>
      </c>
      <c r="L509" s="5" t="s">
        <v>6224</v>
      </c>
      <c r="M509" s="6" t="s">
        <v>1493</v>
      </c>
      <c r="N509" s="6" t="s">
        <v>2167</v>
      </c>
      <c r="O509" s="6" t="s">
        <v>162</v>
      </c>
      <c r="P509" s="5" t="s">
        <v>2272</v>
      </c>
      <c r="Q509" s="17" t="s">
        <v>95</v>
      </c>
      <c r="R509" s="5" t="s">
        <v>6465</v>
      </c>
      <c r="S509" s="6" t="s">
        <v>2449</v>
      </c>
      <c r="T509" s="5" t="s">
        <v>2450</v>
      </c>
      <c r="U509" s="6"/>
      <c r="V509" s="6" t="s">
        <v>2440</v>
      </c>
      <c r="W509" s="6" t="s">
        <v>1699</v>
      </c>
      <c r="X509" s="5" t="s">
        <v>228</v>
      </c>
      <c r="Y509" s="5" t="s">
        <v>1824</v>
      </c>
      <c r="Z509" s="5" t="str">
        <f t="shared" si="14"/>
        <v>Medium</v>
      </c>
      <c r="AA509" s="5" t="s">
        <v>1319</v>
      </c>
      <c r="AB509" s="6" t="s">
        <v>1355</v>
      </c>
      <c r="AC509" s="6" t="s">
        <v>135</v>
      </c>
      <c r="AD509" s="5" t="s">
        <v>95</v>
      </c>
      <c r="AE509" s="5" t="s">
        <v>1720</v>
      </c>
      <c r="AF509" s="5" t="s">
        <v>1720</v>
      </c>
      <c r="AG509" s="5" t="s">
        <v>1720</v>
      </c>
      <c r="AH509" s="5" t="s">
        <v>1720</v>
      </c>
      <c r="AI509" s="6" t="str">
        <f t="shared" si="15"/>
        <v>No</v>
      </c>
      <c r="AJ509" s="6" t="s">
        <v>229</v>
      </c>
      <c r="AK509" s="6" t="s">
        <v>162</v>
      </c>
      <c r="AL509" s="6">
        <f>MATCH(AA509,{"Low","Medium","High"},0)*MATCH(AB509,{"Low","Medium","High"},0)*INDEX({3,2,2,1,1},MATCH(X509,{"Core","Vertical extension","Differentiator","Future","Adjacent"},0))</f>
        <v>6</v>
      </c>
      <c r="AM509" s="5"/>
      <c r="AN509" s="5"/>
      <c r="AO509" s="5"/>
      <c r="AP509" s="5"/>
      <c r="AQ509" s="5"/>
      <c r="AR509" s="5"/>
      <c r="AS509" s="5"/>
      <c r="AT509" s="5"/>
      <c r="AU509" s="6" t="s">
        <v>2317</v>
      </c>
      <c r="AV509" s="6" t="s">
        <v>3073</v>
      </c>
      <c r="AW509" s="6" t="s">
        <v>3073</v>
      </c>
      <c r="AX509" s="6" t="s">
        <v>2284</v>
      </c>
      <c r="AY509" s="6" t="s">
        <v>2285</v>
      </c>
      <c r="AZ509" s="6"/>
      <c r="BA509" s="6"/>
      <c r="BB509" s="6"/>
      <c r="BC509" s="6" t="s">
        <v>127</v>
      </c>
      <c r="BD509" s="6" t="s">
        <v>127</v>
      </c>
      <c r="BE509" s="6" t="s">
        <v>1477</v>
      </c>
      <c r="BF509" s="6" t="s">
        <v>95</v>
      </c>
      <c r="BG509" s="6" t="s">
        <v>6466</v>
      </c>
      <c r="BH509" s="6" t="s">
        <v>6467</v>
      </c>
    </row>
    <row r="510" spans="1:60" ht="32" customHeight="1" x14ac:dyDescent="0.35">
      <c r="A510" s="13" t="s">
        <v>6468</v>
      </c>
      <c r="B510" s="6" t="s">
        <v>2265</v>
      </c>
      <c r="C510" s="5" t="s">
        <v>6469</v>
      </c>
      <c r="D510" s="5" t="s">
        <v>2187</v>
      </c>
      <c r="E510" s="5" t="s">
        <v>6470</v>
      </c>
      <c r="F510" s="5" t="s">
        <v>6471</v>
      </c>
      <c r="G510" s="5" t="s">
        <v>1685</v>
      </c>
      <c r="H510" s="5" t="s">
        <v>6472</v>
      </c>
      <c r="I510" s="5" t="s">
        <v>6473</v>
      </c>
      <c r="J510" s="17" t="s">
        <v>162</v>
      </c>
      <c r="K510" s="17" t="s">
        <v>95</v>
      </c>
      <c r="L510" s="5" t="s">
        <v>6474</v>
      </c>
      <c r="M510" s="6" t="s">
        <v>1493</v>
      </c>
      <c r="N510" s="6" t="s">
        <v>2167</v>
      </c>
      <c r="O510" s="6" t="s">
        <v>162</v>
      </c>
      <c r="P510" s="5" t="s">
        <v>2272</v>
      </c>
      <c r="Q510" s="17" t="s">
        <v>95</v>
      </c>
      <c r="R510" s="5" t="s">
        <v>6475</v>
      </c>
      <c r="S510" s="6" t="s">
        <v>6476</v>
      </c>
      <c r="T510" s="5" t="s">
        <v>6477</v>
      </c>
      <c r="U510" s="6" t="s">
        <v>1528</v>
      </c>
      <c r="V510" s="6" t="s">
        <v>6478</v>
      </c>
      <c r="W510" s="6" t="s">
        <v>1697</v>
      </c>
      <c r="X510" s="5" t="s">
        <v>228</v>
      </c>
      <c r="Y510" s="5" t="s">
        <v>6479</v>
      </c>
      <c r="Z510" s="5" t="str">
        <f t="shared" si="14"/>
        <v>High</v>
      </c>
      <c r="AA510" s="5" t="s">
        <v>1302</v>
      </c>
      <c r="AB510" s="6" t="s">
        <v>1355</v>
      </c>
      <c r="AC510" s="6" t="s">
        <v>135</v>
      </c>
      <c r="AD510" s="5" t="s">
        <v>95</v>
      </c>
      <c r="AE510" s="5" t="s">
        <v>1720</v>
      </c>
      <c r="AF510" s="5" t="s">
        <v>1720</v>
      </c>
      <c r="AG510" s="5" t="s">
        <v>1720</v>
      </c>
      <c r="AH510" s="5" t="s">
        <v>1720</v>
      </c>
      <c r="AI510" s="6" t="str">
        <f t="shared" si="15"/>
        <v>No</v>
      </c>
      <c r="AJ510" s="6" t="s">
        <v>229</v>
      </c>
      <c r="AK510" s="6" t="s">
        <v>162</v>
      </c>
      <c r="AL510" s="6">
        <f>MATCH(AA510,{"Low","Medium","High"},0)*MATCH(AB510,{"Low","Medium","High"},0)*INDEX({3,2,2,1,1},MATCH(X510,{"Core","Vertical extension","Differentiator","Future","Adjacent"},0))</f>
        <v>9</v>
      </c>
      <c r="AM510" s="5"/>
      <c r="AN510" s="5"/>
      <c r="AO510" s="5"/>
      <c r="AP510" s="5"/>
      <c r="AQ510" s="5"/>
      <c r="AR510" s="5"/>
      <c r="AS510" s="5"/>
      <c r="AT510" s="5"/>
      <c r="AU510" s="6" t="s">
        <v>2317</v>
      </c>
      <c r="AV510" s="6" t="s">
        <v>5307</v>
      </c>
      <c r="AW510" s="6" t="s">
        <v>5307</v>
      </c>
      <c r="AX510" s="6" t="s">
        <v>2284</v>
      </c>
      <c r="AY510" s="6" t="s">
        <v>2285</v>
      </c>
      <c r="AZ510" s="6"/>
      <c r="BA510" s="6"/>
      <c r="BB510" s="6"/>
      <c r="BC510" s="6" t="s">
        <v>127</v>
      </c>
      <c r="BD510" s="6" t="s">
        <v>127</v>
      </c>
      <c r="BE510" s="6" t="s">
        <v>1477</v>
      </c>
      <c r="BF510" s="6" t="s">
        <v>95</v>
      </c>
      <c r="BG510" s="6" t="s">
        <v>6480</v>
      </c>
      <c r="BH510" s="6" t="s">
        <v>6481</v>
      </c>
    </row>
    <row r="511" spans="1:60" ht="32" customHeight="1" x14ac:dyDescent="0.35">
      <c r="A511" s="13" t="s">
        <v>6482</v>
      </c>
      <c r="B511" s="6" t="s">
        <v>2265</v>
      </c>
      <c r="C511" s="5" t="s">
        <v>6469</v>
      </c>
      <c r="D511" s="5" t="s">
        <v>2187</v>
      </c>
      <c r="E511" s="5" t="s">
        <v>6483</v>
      </c>
      <c r="F511" s="5" t="s">
        <v>6471</v>
      </c>
      <c r="G511" s="5" t="s">
        <v>2911</v>
      </c>
      <c r="H511" s="5" t="s">
        <v>6484</v>
      </c>
      <c r="I511" s="5" t="s">
        <v>6485</v>
      </c>
      <c r="J511" s="17" t="s">
        <v>162</v>
      </c>
      <c r="K511" s="17" t="s">
        <v>1477</v>
      </c>
      <c r="L511" s="5" t="s">
        <v>6486</v>
      </c>
      <c r="M511" s="6" t="s">
        <v>1493</v>
      </c>
      <c r="N511" s="6" t="s">
        <v>2167</v>
      </c>
      <c r="O511" s="6" t="s">
        <v>162</v>
      </c>
      <c r="P511" s="5" t="s">
        <v>2369</v>
      </c>
      <c r="Q511" s="18" t="s">
        <v>1482</v>
      </c>
      <c r="R511" s="5" t="s">
        <v>6487</v>
      </c>
      <c r="S511" s="6" t="s">
        <v>6476</v>
      </c>
      <c r="T511" s="5" t="s">
        <v>6477</v>
      </c>
      <c r="U511" s="6" t="s">
        <v>1540</v>
      </c>
      <c r="V511" s="6" t="s">
        <v>6478</v>
      </c>
      <c r="W511" s="6" t="s">
        <v>1697</v>
      </c>
      <c r="X511" s="5" t="s">
        <v>228</v>
      </c>
      <c r="Y511" s="5" t="s">
        <v>6479</v>
      </c>
      <c r="Z511" s="5" t="str">
        <f t="shared" si="14"/>
        <v>High</v>
      </c>
      <c r="AA511" s="5" t="s">
        <v>1302</v>
      </c>
      <c r="AB511" s="6" t="s">
        <v>1355</v>
      </c>
      <c r="AC511" s="6" t="s">
        <v>135</v>
      </c>
      <c r="AD511" s="5" t="s">
        <v>2278</v>
      </c>
      <c r="AE511" s="5" t="s">
        <v>1720</v>
      </c>
      <c r="AF511" s="5" t="s">
        <v>1720</v>
      </c>
      <c r="AG511" s="5" t="s">
        <v>1720</v>
      </c>
      <c r="AH511" s="5" t="s">
        <v>1720</v>
      </c>
      <c r="AI511" s="6" t="str">
        <f t="shared" si="15"/>
        <v>No</v>
      </c>
      <c r="AJ511" s="6" t="s">
        <v>2298</v>
      </c>
      <c r="AK511" s="6" t="s">
        <v>162</v>
      </c>
      <c r="AL511" s="6">
        <f>MATCH(AA511,{"Low","Medium","High"},0)*MATCH(AB511,{"Low","Medium","High"},0)*INDEX({3,2,2,1,1},MATCH(X511,{"Core","Vertical extension","Differentiator","Future","Adjacent"},0))</f>
        <v>9</v>
      </c>
      <c r="AM511" s="5"/>
      <c r="AN511" s="5"/>
      <c r="AO511" s="5"/>
      <c r="AP511" s="5" t="s">
        <v>6488</v>
      </c>
      <c r="AQ511" s="5"/>
      <c r="AR511" s="5"/>
      <c r="AS511" s="5"/>
      <c r="AT511" s="5"/>
      <c r="AU511" s="6" t="s">
        <v>2317</v>
      </c>
      <c r="AV511" s="6" t="s">
        <v>5307</v>
      </c>
      <c r="AW511" s="6" t="s">
        <v>5307</v>
      </c>
      <c r="AX511" s="6" t="s">
        <v>2374</v>
      </c>
      <c r="AY511" s="6" t="s">
        <v>2285</v>
      </c>
      <c r="AZ511" s="6"/>
      <c r="BA511" s="6" t="s">
        <v>6489</v>
      </c>
      <c r="BB511" s="6" t="s">
        <v>2474</v>
      </c>
      <c r="BC511" s="6" t="s">
        <v>127</v>
      </c>
      <c r="BD511" s="6" t="s">
        <v>127</v>
      </c>
      <c r="BE511" s="6"/>
      <c r="BF511" s="6"/>
      <c r="BG511" s="6"/>
      <c r="BH511" s="6"/>
    </row>
    <row r="512" spans="1:60" ht="32" customHeight="1" x14ac:dyDescent="0.35">
      <c r="A512" s="13" t="s">
        <v>6490</v>
      </c>
      <c r="B512" s="6" t="s">
        <v>2265</v>
      </c>
      <c r="C512" s="5" t="s">
        <v>6469</v>
      </c>
      <c r="D512" s="5" t="s">
        <v>2187</v>
      </c>
      <c r="E512" s="5" t="s">
        <v>6491</v>
      </c>
      <c r="F512" s="5" t="s">
        <v>6471</v>
      </c>
      <c r="G512" s="5" t="s">
        <v>2911</v>
      </c>
      <c r="H512" s="5" t="s">
        <v>6492</v>
      </c>
      <c r="I512" s="5" t="s">
        <v>6493</v>
      </c>
      <c r="J512" s="17" t="s">
        <v>162</v>
      </c>
      <c r="K512" s="17" t="s">
        <v>1477</v>
      </c>
      <c r="L512" s="5" t="s">
        <v>6494</v>
      </c>
      <c r="M512" s="6" t="s">
        <v>1493</v>
      </c>
      <c r="N512" s="6" t="s">
        <v>2167</v>
      </c>
      <c r="O512" s="6" t="s">
        <v>162</v>
      </c>
      <c r="P512" s="5" t="s">
        <v>2272</v>
      </c>
      <c r="Q512" s="18" t="s">
        <v>1482</v>
      </c>
      <c r="R512" s="5" t="s">
        <v>6495</v>
      </c>
      <c r="S512" s="6" t="s">
        <v>2345</v>
      </c>
      <c r="T512" s="5" t="s">
        <v>2346</v>
      </c>
      <c r="U512" s="6"/>
      <c r="V512" s="6" t="s">
        <v>2347</v>
      </c>
      <c r="W512" s="6" t="s">
        <v>1697</v>
      </c>
      <c r="X512" s="5" t="s">
        <v>228</v>
      </c>
      <c r="Y512" s="5" t="s">
        <v>6479</v>
      </c>
      <c r="Z512" s="5" t="str">
        <f t="shared" si="14"/>
        <v>High</v>
      </c>
      <c r="AA512" s="5" t="s">
        <v>1302</v>
      </c>
      <c r="AB512" s="6" t="s">
        <v>1355</v>
      </c>
      <c r="AC512" s="6" t="s">
        <v>135</v>
      </c>
      <c r="AD512" s="5" t="s">
        <v>2278</v>
      </c>
      <c r="AE512" s="5" t="s">
        <v>1720</v>
      </c>
      <c r="AF512" s="5" t="s">
        <v>1720</v>
      </c>
      <c r="AG512" s="5" t="s">
        <v>1720</v>
      </c>
      <c r="AH512" s="5" t="s">
        <v>1720</v>
      </c>
      <c r="AI512" s="6" t="str">
        <f t="shared" si="15"/>
        <v>No</v>
      </c>
      <c r="AJ512" s="6" t="s">
        <v>2298</v>
      </c>
      <c r="AK512" s="6" t="s">
        <v>162</v>
      </c>
      <c r="AL512" s="6">
        <f>MATCH(AA512,{"Low","Medium","High"},0)*MATCH(AB512,{"Low","Medium","High"},0)*INDEX({3,2,2,1,1},MATCH(X512,{"Core","Vertical extension","Differentiator","Future","Adjacent"},0))</f>
        <v>9</v>
      </c>
      <c r="AM512" s="5"/>
      <c r="AN512" s="5"/>
      <c r="AO512" s="5"/>
      <c r="AP512" s="5"/>
      <c r="AQ512" s="5"/>
      <c r="AR512" s="5"/>
      <c r="AS512" s="5"/>
      <c r="AT512" s="5"/>
      <c r="AU512" s="6" t="s">
        <v>2317</v>
      </c>
      <c r="AV512" s="6" t="s">
        <v>5307</v>
      </c>
      <c r="AW512" s="6" t="s">
        <v>5307</v>
      </c>
      <c r="AX512" s="6" t="s">
        <v>2284</v>
      </c>
      <c r="AY512" s="6" t="s">
        <v>2285</v>
      </c>
      <c r="AZ512" s="6"/>
      <c r="BA512" s="6" t="s">
        <v>6489</v>
      </c>
      <c r="BB512" s="6" t="s">
        <v>2474</v>
      </c>
      <c r="BC512" s="6" t="s">
        <v>127</v>
      </c>
      <c r="BD512" s="6" t="s">
        <v>127</v>
      </c>
      <c r="BE512" s="6"/>
      <c r="BF512" s="6"/>
      <c r="BG512" s="6"/>
      <c r="BH512" s="6"/>
    </row>
    <row r="513" spans="1:60" ht="32" customHeight="1" x14ac:dyDescent="0.35">
      <c r="A513" s="13" t="s">
        <v>6496</v>
      </c>
      <c r="B513" s="6" t="s">
        <v>2265</v>
      </c>
      <c r="C513" s="5" t="s">
        <v>6469</v>
      </c>
      <c r="D513" s="5" t="s">
        <v>2187</v>
      </c>
      <c r="E513" s="5" t="s">
        <v>6497</v>
      </c>
      <c r="F513" s="5" t="s">
        <v>6498</v>
      </c>
      <c r="G513" s="5" t="s">
        <v>2973</v>
      </c>
      <c r="H513" s="5" t="s">
        <v>6499</v>
      </c>
      <c r="I513" s="5" t="s">
        <v>6500</v>
      </c>
      <c r="J513" s="17" t="s">
        <v>162</v>
      </c>
      <c r="K513" s="17" t="s">
        <v>95</v>
      </c>
      <c r="L513" s="5" t="s">
        <v>6501</v>
      </c>
      <c r="M513" s="6" t="s">
        <v>1493</v>
      </c>
      <c r="N513" s="6" t="s">
        <v>2167</v>
      </c>
      <c r="O513" s="6" t="s">
        <v>162</v>
      </c>
      <c r="P513" s="5" t="s">
        <v>2272</v>
      </c>
      <c r="Q513" s="17" t="s">
        <v>95</v>
      </c>
      <c r="R513" s="5" t="s">
        <v>6502</v>
      </c>
      <c r="S513" s="6" t="s">
        <v>6476</v>
      </c>
      <c r="T513" s="5" t="s">
        <v>6477</v>
      </c>
      <c r="U513" s="6" t="s">
        <v>810</v>
      </c>
      <c r="V513" s="6" t="s">
        <v>6478</v>
      </c>
      <c r="W513" s="6" t="s">
        <v>1697</v>
      </c>
      <c r="X513" s="5" t="s">
        <v>228</v>
      </c>
      <c r="Y513" s="5" t="s">
        <v>6479</v>
      </c>
      <c r="Z513" s="5" t="str">
        <f t="shared" si="14"/>
        <v>High</v>
      </c>
      <c r="AA513" s="5" t="s">
        <v>1302</v>
      </c>
      <c r="AB513" s="6" t="s">
        <v>1355</v>
      </c>
      <c r="AC513" s="6" t="s">
        <v>135</v>
      </c>
      <c r="AD513" s="5" t="s">
        <v>95</v>
      </c>
      <c r="AE513" s="5" t="s">
        <v>1720</v>
      </c>
      <c r="AF513" s="5" t="s">
        <v>1720</v>
      </c>
      <c r="AG513" s="5" t="s">
        <v>1720</v>
      </c>
      <c r="AH513" s="5" t="s">
        <v>1720</v>
      </c>
      <c r="AI513" s="6" t="str">
        <f t="shared" si="15"/>
        <v>No</v>
      </c>
      <c r="AJ513" s="6" t="s">
        <v>229</v>
      </c>
      <c r="AK513" s="6" t="s">
        <v>162</v>
      </c>
      <c r="AL513" s="6">
        <f>MATCH(AA513,{"Low","Medium","High"},0)*MATCH(AB513,{"Low","Medium","High"},0)*INDEX({3,2,2,1,1},MATCH(X513,{"Core","Vertical extension","Differentiator","Future","Adjacent"},0))</f>
        <v>9</v>
      </c>
      <c r="AM513" s="5"/>
      <c r="AN513" s="5"/>
      <c r="AO513" s="5"/>
      <c r="AP513" s="5" t="s">
        <v>6503</v>
      </c>
      <c r="AQ513" s="5"/>
      <c r="AR513" s="5"/>
      <c r="AS513" s="5"/>
      <c r="AT513" s="5"/>
      <c r="AU513" s="6" t="s">
        <v>2317</v>
      </c>
      <c r="AV513" s="6" t="s">
        <v>5307</v>
      </c>
      <c r="AW513" s="6" t="s">
        <v>76</v>
      </c>
      <c r="AX513" s="6" t="s">
        <v>2284</v>
      </c>
      <c r="AY513" s="6" t="s">
        <v>2285</v>
      </c>
      <c r="AZ513" s="6"/>
      <c r="BA513" s="6"/>
      <c r="BB513" s="6"/>
      <c r="BC513" s="6" t="s">
        <v>127</v>
      </c>
      <c r="BD513" s="6" t="s">
        <v>127</v>
      </c>
      <c r="BE513" s="6" t="s">
        <v>1477</v>
      </c>
      <c r="BF513" s="6" t="s">
        <v>95</v>
      </c>
      <c r="BG513" s="6" t="s">
        <v>6504</v>
      </c>
      <c r="BH513" s="6" t="s">
        <v>6505</v>
      </c>
    </row>
    <row r="514" spans="1:60" ht="32" customHeight="1" x14ac:dyDescent="0.35">
      <c r="A514" s="13" t="s">
        <v>6506</v>
      </c>
      <c r="B514" s="6" t="s">
        <v>3901</v>
      </c>
      <c r="C514" s="5" t="s">
        <v>1652</v>
      </c>
      <c r="D514" s="5" t="s">
        <v>2183</v>
      </c>
      <c r="E514" s="5" t="s">
        <v>6507</v>
      </c>
      <c r="F514" s="5" t="s">
        <v>6508</v>
      </c>
      <c r="G514" s="5" t="s">
        <v>3734</v>
      </c>
      <c r="H514" s="5" t="s">
        <v>6509</v>
      </c>
      <c r="I514" s="5" t="s">
        <v>6510</v>
      </c>
      <c r="J514" s="16" t="s">
        <v>94</v>
      </c>
      <c r="K514" s="17" t="s">
        <v>1477</v>
      </c>
      <c r="L514" s="5" t="s">
        <v>6511</v>
      </c>
      <c r="M514" s="6" t="s">
        <v>1493</v>
      </c>
      <c r="N514" s="6" t="s">
        <v>2170</v>
      </c>
      <c r="O514" s="6" t="s">
        <v>94</v>
      </c>
      <c r="P514" s="5" t="s">
        <v>2272</v>
      </c>
      <c r="Q514" s="17" t="s">
        <v>2273</v>
      </c>
      <c r="R514" s="5" t="s">
        <v>6512</v>
      </c>
      <c r="S514" s="6" t="s">
        <v>2438</v>
      </c>
      <c r="T514" s="5" t="s">
        <v>2439</v>
      </c>
      <c r="U514" s="6"/>
      <c r="V514" s="6" t="s">
        <v>2440</v>
      </c>
      <c r="W514" s="6" t="s">
        <v>1699</v>
      </c>
      <c r="X514" s="5" t="s">
        <v>228</v>
      </c>
      <c r="Y514" s="5" t="s">
        <v>2170</v>
      </c>
      <c r="Z514" s="5" t="str">
        <f t="shared" ref="Z514:Z577" si="16">IF(AL514&gt;=18,"Critical",IF(AL514&gt;=9,"High",IF(AL514&gt;=4,"Medium","Low")))</f>
        <v>Critical</v>
      </c>
      <c r="AA514" s="5" t="s">
        <v>1302</v>
      </c>
      <c r="AB514" s="6" t="s">
        <v>1302</v>
      </c>
      <c r="AC514" s="6" t="s">
        <v>99</v>
      </c>
      <c r="AD514" s="5" t="s">
        <v>2278</v>
      </c>
      <c r="AE514" s="5" t="s">
        <v>1720</v>
      </c>
      <c r="AF514" s="5" t="s">
        <v>1720</v>
      </c>
      <c r="AG514" s="5" t="s">
        <v>1720</v>
      </c>
      <c r="AH514" s="5" t="s">
        <v>1720</v>
      </c>
      <c r="AI514" s="6" t="str">
        <f t="shared" ref="AI514:AI577" si="17">IF(AND(AU514="Pass",AE514&lt;&gt;"Not verified",AF514&lt;&gt;"Not verified",AG514&lt;&gt;"Not verified",AH514&lt;&gt;"Not verified",BC514="Yes",BD514="Yes"),"Yes","No")</f>
        <v>No</v>
      </c>
      <c r="AJ514" s="6" t="s">
        <v>2298</v>
      </c>
      <c r="AK514" s="6" t="s">
        <v>94</v>
      </c>
      <c r="AL514" s="6">
        <f>MATCH(AA514,{"Low","Medium","High"},0)*MATCH(AB514,{"Low","Medium","High"},0)*INDEX({3,2,2,1,1},MATCH(X514,{"Core","Vertical extension","Differentiator","Future","Adjacent"},0))</f>
        <v>27</v>
      </c>
      <c r="AM514" s="5"/>
      <c r="AN514" s="5"/>
      <c r="AO514" s="5"/>
      <c r="AP514" s="5"/>
      <c r="AQ514" s="5"/>
      <c r="AR514" s="5" t="s">
        <v>6513</v>
      </c>
      <c r="AS514" s="5" t="s">
        <v>1462</v>
      </c>
      <c r="AT514" s="5" t="s">
        <v>2281</v>
      </c>
      <c r="AU514" s="6" t="s">
        <v>95</v>
      </c>
      <c r="AV514" s="6" t="s">
        <v>2283</v>
      </c>
      <c r="AW514" s="6" t="s">
        <v>2283</v>
      </c>
      <c r="AX514" s="6" t="s">
        <v>2284</v>
      </c>
      <c r="AY514" s="6" t="s">
        <v>2285</v>
      </c>
      <c r="AZ514" s="6"/>
      <c r="BA514" s="6"/>
      <c r="BB514" s="6"/>
      <c r="BC514" s="6" t="s">
        <v>127</v>
      </c>
      <c r="BD514" s="6" t="s">
        <v>127</v>
      </c>
      <c r="BE514" s="6" t="s">
        <v>1477</v>
      </c>
      <c r="BF514" s="6" t="s">
        <v>2286</v>
      </c>
      <c r="BG514" s="6" t="s">
        <v>6514</v>
      </c>
      <c r="BH514" s="6" t="s">
        <v>6515</v>
      </c>
    </row>
    <row r="515" spans="1:60" ht="32" customHeight="1" x14ac:dyDescent="0.35">
      <c r="A515" s="13" t="s">
        <v>285</v>
      </c>
      <c r="B515" s="6" t="s">
        <v>3901</v>
      </c>
      <c r="C515" s="5" t="s">
        <v>1652</v>
      </c>
      <c r="D515" s="5" t="s">
        <v>2183</v>
      </c>
      <c r="E515" s="5" t="s">
        <v>286</v>
      </c>
      <c r="F515" s="5" t="s">
        <v>2788</v>
      </c>
      <c r="G515" s="5" t="s">
        <v>6516</v>
      </c>
      <c r="H515" s="5" t="s">
        <v>6517</v>
      </c>
      <c r="I515" s="5" t="s">
        <v>6518</v>
      </c>
      <c r="J515" s="16" t="s">
        <v>94</v>
      </c>
      <c r="K515" s="17" t="s">
        <v>163</v>
      </c>
      <c r="L515" s="5" t="s">
        <v>6519</v>
      </c>
      <c r="M515" s="6" t="s">
        <v>1493</v>
      </c>
      <c r="N515" s="6" t="s">
        <v>2170</v>
      </c>
      <c r="O515" s="6" t="s">
        <v>94</v>
      </c>
      <c r="P515" s="5" t="s">
        <v>2272</v>
      </c>
      <c r="Q515" s="17" t="s">
        <v>163</v>
      </c>
      <c r="R515" s="5" t="s">
        <v>6520</v>
      </c>
      <c r="S515" s="6" t="s">
        <v>2438</v>
      </c>
      <c r="T515" s="5" t="s">
        <v>2439</v>
      </c>
      <c r="U515" s="6"/>
      <c r="V515" s="6" t="s">
        <v>2440</v>
      </c>
      <c r="W515" s="6" t="s">
        <v>1699</v>
      </c>
      <c r="X515" s="5" t="s">
        <v>228</v>
      </c>
      <c r="Y515" s="5" t="s">
        <v>2170</v>
      </c>
      <c r="Z515" s="5" t="str">
        <f t="shared" si="16"/>
        <v>Critical</v>
      </c>
      <c r="AA515" s="5" t="s">
        <v>1302</v>
      </c>
      <c r="AB515" s="6" t="s">
        <v>1302</v>
      </c>
      <c r="AC515" s="6" t="s">
        <v>99</v>
      </c>
      <c r="AD515" s="5" t="s">
        <v>1805</v>
      </c>
      <c r="AE515" s="5" t="s">
        <v>1720</v>
      </c>
      <c r="AF515" s="5" t="s">
        <v>1720</v>
      </c>
      <c r="AG515" s="5" t="s">
        <v>1720</v>
      </c>
      <c r="AH515" s="5" t="s">
        <v>1720</v>
      </c>
      <c r="AI515" s="6" t="str">
        <f t="shared" si="17"/>
        <v>No</v>
      </c>
      <c r="AJ515" s="6" t="s">
        <v>2279</v>
      </c>
      <c r="AK515" s="6" t="s">
        <v>94</v>
      </c>
      <c r="AL515" s="6">
        <f>MATCH(AA515,{"Low","Medium","High"},0)*MATCH(AB515,{"Low","Medium","High"},0)*INDEX({3,2,2,1,1},MATCH(X515,{"Core","Vertical extension","Differentiator","Future","Adjacent"},0))</f>
        <v>27</v>
      </c>
      <c r="AM515" s="5"/>
      <c r="AN515" s="5"/>
      <c r="AO515" s="5">
        <v>2</v>
      </c>
      <c r="AP515" s="5"/>
      <c r="AQ515" s="5"/>
      <c r="AR515" s="5" t="s">
        <v>6521</v>
      </c>
      <c r="AS515" s="51">
        <v>46300</v>
      </c>
      <c r="AT515" s="5" t="s">
        <v>2760</v>
      </c>
      <c r="AU515" s="6" t="s">
        <v>2282</v>
      </c>
      <c r="AV515" s="6" t="s">
        <v>2794</v>
      </c>
      <c r="AW515" s="6" t="s">
        <v>2794</v>
      </c>
      <c r="AX515" s="6" t="s">
        <v>2284</v>
      </c>
      <c r="AY515" s="6" t="s">
        <v>2285</v>
      </c>
      <c r="AZ515" s="6"/>
      <c r="BA515" s="6" t="s">
        <v>6522</v>
      </c>
      <c r="BB515" s="6"/>
      <c r="BC515" s="6" t="s">
        <v>127</v>
      </c>
      <c r="BD515" s="6" t="s">
        <v>127</v>
      </c>
      <c r="BE515" s="6" t="s">
        <v>1477</v>
      </c>
      <c r="BF515" s="6" t="s">
        <v>288</v>
      </c>
      <c r="BG515" s="6" t="s">
        <v>6523</v>
      </c>
      <c r="BH515" s="6" t="s">
        <v>289</v>
      </c>
    </row>
    <row r="516" spans="1:60" ht="32" customHeight="1" x14ac:dyDescent="0.35">
      <c r="A516" s="13" t="s">
        <v>292</v>
      </c>
      <c r="B516" s="6" t="s">
        <v>3901</v>
      </c>
      <c r="C516" s="5" t="s">
        <v>1652</v>
      </c>
      <c r="D516" s="5" t="s">
        <v>2183</v>
      </c>
      <c r="E516" s="5" t="s">
        <v>293</v>
      </c>
      <c r="F516" s="5" t="s">
        <v>2788</v>
      </c>
      <c r="G516" s="5" t="s">
        <v>3734</v>
      </c>
      <c r="H516" s="5" t="s">
        <v>6524</v>
      </c>
      <c r="I516" s="5" t="s">
        <v>6525</v>
      </c>
      <c r="J516" s="16" t="s">
        <v>94</v>
      </c>
      <c r="K516" s="17" t="s">
        <v>95</v>
      </c>
      <c r="L516" s="5" t="s">
        <v>6526</v>
      </c>
      <c r="M516" s="6" t="s">
        <v>1493</v>
      </c>
      <c r="N516" s="6" t="s">
        <v>2170</v>
      </c>
      <c r="O516" s="6" t="s">
        <v>94</v>
      </c>
      <c r="P516" s="5" t="s">
        <v>2272</v>
      </c>
      <c r="Q516" s="17" t="s">
        <v>163</v>
      </c>
      <c r="R516" s="5" t="s">
        <v>6527</v>
      </c>
      <c r="S516" s="6" t="s">
        <v>2438</v>
      </c>
      <c r="T516" s="5" t="s">
        <v>2439</v>
      </c>
      <c r="U516" s="6"/>
      <c r="V516" s="6" t="s">
        <v>2440</v>
      </c>
      <c r="W516" s="6" t="s">
        <v>1699</v>
      </c>
      <c r="X516" s="5" t="s">
        <v>228</v>
      </c>
      <c r="Y516" s="5" t="s">
        <v>2170</v>
      </c>
      <c r="Z516" s="5" t="str">
        <f t="shared" si="16"/>
        <v>Critical</v>
      </c>
      <c r="AA516" s="5" t="s">
        <v>1302</v>
      </c>
      <c r="AB516" s="6" t="s">
        <v>1302</v>
      </c>
      <c r="AC516" s="6" t="s">
        <v>99</v>
      </c>
      <c r="AD516" s="5" t="s">
        <v>1805</v>
      </c>
      <c r="AE516" s="5" t="s">
        <v>1720</v>
      </c>
      <c r="AF516" s="5" t="s">
        <v>1720</v>
      </c>
      <c r="AG516" s="5" t="s">
        <v>1720</v>
      </c>
      <c r="AH516" s="5" t="s">
        <v>1720</v>
      </c>
      <c r="AI516" s="6" t="str">
        <f t="shared" si="17"/>
        <v>No</v>
      </c>
      <c r="AJ516" s="6" t="s">
        <v>2279</v>
      </c>
      <c r="AK516" s="6" t="s">
        <v>94</v>
      </c>
      <c r="AL516" s="6">
        <f>MATCH(AA516,{"Low","Medium","High"},0)*MATCH(AB516,{"Low","Medium","High"},0)*INDEX({3,2,2,1,1},MATCH(X516,{"Core","Vertical extension","Differentiator","Future","Adjacent"},0))</f>
        <v>27</v>
      </c>
      <c r="AM516" s="5"/>
      <c r="AN516" s="5"/>
      <c r="AO516" s="5">
        <v>2</v>
      </c>
      <c r="AP516" s="5"/>
      <c r="AQ516" s="5"/>
      <c r="AR516" s="5" t="s">
        <v>6528</v>
      </c>
      <c r="AS516" s="51">
        <v>46300</v>
      </c>
      <c r="AT516" s="5" t="s">
        <v>2760</v>
      </c>
      <c r="AU516" s="6" t="s">
        <v>2282</v>
      </c>
      <c r="AV516" s="6" t="s">
        <v>2794</v>
      </c>
      <c r="AW516" s="6" t="s">
        <v>2794</v>
      </c>
      <c r="AX516" s="6" t="s">
        <v>2284</v>
      </c>
      <c r="AY516" s="6" t="s">
        <v>2285</v>
      </c>
      <c r="AZ516" s="6"/>
      <c r="BA516" s="6" t="s">
        <v>6529</v>
      </c>
      <c r="BB516" s="6"/>
      <c r="BC516" s="6" t="s">
        <v>127</v>
      </c>
      <c r="BD516" s="6" t="s">
        <v>127</v>
      </c>
      <c r="BE516" s="6" t="s">
        <v>1477</v>
      </c>
      <c r="BF516" s="6" t="s">
        <v>288</v>
      </c>
      <c r="BG516" s="6" t="s">
        <v>6530</v>
      </c>
      <c r="BH516" s="6" t="s">
        <v>294</v>
      </c>
    </row>
    <row r="517" spans="1:60" ht="32" customHeight="1" x14ac:dyDescent="0.35">
      <c r="A517" s="13" t="s">
        <v>6531</v>
      </c>
      <c r="B517" s="6" t="s">
        <v>3901</v>
      </c>
      <c r="C517" s="5" t="s">
        <v>1652</v>
      </c>
      <c r="D517" s="5" t="s">
        <v>2183</v>
      </c>
      <c r="E517" s="5" t="s">
        <v>6532</v>
      </c>
      <c r="F517" s="5" t="s">
        <v>3209</v>
      </c>
      <c r="G517" s="5" t="s">
        <v>2595</v>
      </c>
      <c r="H517" s="5" t="s">
        <v>6533</v>
      </c>
      <c r="I517" s="5" t="s">
        <v>6534</v>
      </c>
      <c r="J517" s="16" t="s">
        <v>94</v>
      </c>
      <c r="K517" s="17" t="s">
        <v>1477</v>
      </c>
      <c r="L517" s="5" t="s">
        <v>6535</v>
      </c>
      <c r="M517" s="6" t="s">
        <v>1493</v>
      </c>
      <c r="N517" s="6" t="s">
        <v>2170</v>
      </c>
      <c r="O517" s="6" t="s">
        <v>94</v>
      </c>
      <c r="P517" s="5" t="s">
        <v>2272</v>
      </c>
      <c r="Q517" s="17" t="s">
        <v>2273</v>
      </c>
      <c r="R517" s="5" t="s">
        <v>6536</v>
      </c>
      <c r="S517" s="6" t="s">
        <v>2438</v>
      </c>
      <c r="T517" s="5" t="s">
        <v>2439</v>
      </c>
      <c r="U517" s="6"/>
      <c r="V517" s="6" t="s">
        <v>2440</v>
      </c>
      <c r="W517" s="6" t="s">
        <v>1699</v>
      </c>
      <c r="X517" s="5" t="s">
        <v>228</v>
      </c>
      <c r="Y517" s="5" t="s">
        <v>2170</v>
      </c>
      <c r="Z517" s="5" t="str">
        <f t="shared" si="16"/>
        <v>Critical</v>
      </c>
      <c r="AA517" s="5" t="s">
        <v>1302</v>
      </c>
      <c r="AB517" s="6" t="s">
        <v>1302</v>
      </c>
      <c r="AC517" s="6" t="s">
        <v>99</v>
      </c>
      <c r="AD517" s="5" t="s">
        <v>2278</v>
      </c>
      <c r="AE517" s="5" t="s">
        <v>1720</v>
      </c>
      <c r="AF517" s="5" t="s">
        <v>1720</v>
      </c>
      <c r="AG517" s="5" t="s">
        <v>1720</v>
      </c>
      <c r="AH517" s="5" t="s">
        <v>1720</v>
      </c>
      <c r="AI517" s="6" t="str">
        <f t="shared" si="17"/>
        <v>No</v>
      </c>
      <c r="AJ517" s="6" t="s">
        <v>2279</v>
      </c>
      <c r="AK517" s="6" t="s">
        <v>94</v>
      </c>
      <c r="AL517" s="6">
        <f>MATCH(AA517,{"Low","Medium","High"},0)*MATCH(AB517,{"Low","Medium","High"},0)*INDEX({3,2,2,1,1},MATCH(X517,{"Core","Vertical extension","Differentiator","Future","Adjacent"},0))</f>
        <v>27</v>
      </c>
      <c r="AM517" s="5"/>
      <c r="AN517" s="5"/>
      <c r="AO517" s="5"/>
      <c r="AP517" s="5"/>
      <c r="AQ517" s="5"/>
      <c r="AR517" s="5" t="s">
        <v>6537</v>
      </c>
      <c r="AS517" s="5" t="s">
        <v>1462</v>
      </c>
      <c r="AT517" s="5" t="s">
        <v>2281</v>
      </c>
      <c r="AU517" s="6" t="s">
        <v>2282</v>
      </c>
      <c r="AV517" s="6" t="s">
        <v>2283</v>
      </c>
      <c r="AW517" s="6" t="s">
        <v>2283</v>
      </c>
      <c r="AX517" s="6" t="s">
        <v>2284</v>
      </c>
      <c r="AY517" s="6" t="s">
        <v>2285</v>
      </c>
      <c r="AZ517" s="6"/>
      <c r="BA517" s="6"/>
      <c r="BB517" s="6"/>
      <c r="BC517" s="6" t="s">
        <v>127</v>
      </c>
      <c r="BD517" s="6" t="s">
        <v>127</v>
      </c>
      <c r="BE517" s="6" t="s">
        <v>1477</v>
      </c>
      <c r="BF517" s="6" t="s">
        <v>2286</v>
      </c>
      <c r="BG517" s="6" t="s">
        <v>6538</v>
      </c>
      <c r="BH517" s="6" t="s">
        <v>6539</v>
      </c>
    </row>
    <row r="518" spans="1:60" ht="32" customHeight="1" x14ac:dyDescent="0.35">
      <c r="A518" s="13" t="s">
        <v>6540</v>
      </c>
      <c r="B518" s="6" t="s">
        <v>3901</v>
      </c>
      <c r="C518" s="5" t="s">
        <v>1652</v>
      </c>
      <c r="D518" s="5" t="s">
        <v>2183</v>
      </c>
      <c r="E518" s="5" t="s">
        <v>6541</v>
      </c>
      <c r="F518" s="5" t="s">
        <v>3209</v>
      </c>
      <c r="G518" s="5" t="s">
        <v>6542</v>
      </c>
      <c r="H518" s="5" t="s">
        <v>6543</v>
      </c>
      <c r="I518" s="5" t="s">
        <v>6544</v>
      </c>
      <c r="J518" s="16" t="s">
        <v>94</v>
      </c>
      <c r="K518" s="17" t="s">
        <v>1477</v>
      </c>
      <c r="L518" s="5" t="s">
        <v>6545</v>
      </c>
      <c r="M518" s="6" t="s">
        <v>1493</v>
      </c>
      <c r="N518" s="6" t="s">
        <v>2170</v>
      </c>
      <c r="O518" s="6" t="s">
        <v>94</v>
      </c>
      <c r="P518" s="5" t="s">
        <v>2272</v>
      </c>
      <c r="Q518" s="17" t="s">
        <v>2273</v>
      </c>
      <c r="R518" s="5" t="s">
        <v>6546</v>
      </c>
      <c r="S518" s="6" t="s">
        <v>2438</v>
      </c>
      <c r="T518" s="5" t="s">
        <v>2439</v>
      </c>
      <c r="U518" s="6"/>
      <c r="V518" s="6" t="s">
        <v>2440</v>
      </c>
      <c r="W518" s="6" t="s">
        <v>1699</v>
      </c>
      <c r="X518" s="5" t="s">
        <v>228</v>
      </c>
      <c r="Y518" s="5" t="s">
        <v>2170</v>
      </c>
      <c r="Z518" s="5" t="str">
        <f t="shared" si="16"/>
        <v>Critical</v>
      </c>
      <c r="AA518" s="5" t="s">
        <v>1302</v>
      </c>
      <c r="AB518" s="6" t="s">
        <v>1302</v>
      </c>
      <c r="AC518" s="6" t="s">
        <v>99</v>
      </c>
      <c r="AD518" s="5" t="s">
        <v>2278</v>
      </c>
      <c r="AE518" s="5" t="s">
        <v>1720</v>
      </c>
      <c r="AF518" s="5" t="s">
        <v>1720</v>
      </c>
      <c r="AG518" s="5" t="s">
        <v>1720</v>
      </c>
      <c r="AH518" s="5" t="s">
        <v>1720</v>
      </c>
      <c r="AI518" s="6" t="str">
        <f t="shared" si="17"/>
        <v>No</v>
      </c>
      <c r="AJ518" s="6" t="s">
        <v>2298</v>
      </c>
      <c r="AK518" s="6" t="s">
        <v>94</v>
      </c>
      <c r="AL518" s="6">
        <f>MATCH(AA518,{"Low","Medium","High"},0)*MATCH(AB518,{"Low","Medium","High"},0)*INDEX({3,2,2,1,1},MATCH(X518,{"Core","Vertical extension","Differentiator","Future","Adjacent"},0))</f>
        <v>27</v>
      </c>
      <c r="AM518" s="5"/>
      <c r="AN518" s="5"/>
      <c r="AO518" s="5"/>
      <c r="AP518" s="5"/>
      <c r="AQ518" s="5"/>
      <c r="AR518" s="5"/>
      <c r="AS518" s="5"/>
      <c r="AT518" s="5"/>
      <c r="AU518" s="6" t="s">
        <v>2317</v>
      </c>
      <c r="AV518" s="6" t="s">
        <v>2283</v>
      </c>
      <c r="AW518" s="6" t="s">
        <v>2283</v>
      </c>
      <c r="AX518" s="6" t="s">
        <v>2284</v>
      </c>
      <c r="AY518" s="6" t="s">
        <v>2285</v>
      </c>
      <c r="AZ518" s="6"/>
      <c r="BA518" s="6"/>
      <c r="BB518" s="6"/>
      <c r="BC518" s="6" t="s">
        <v>127</v>
      </c>
      <c r="BD518" s="6" t="s">
        <v>127</v>
      </c>
      <c r="BE518" s="6" t="s">
        <v>1477</v>
      </c>
      <c r="BF518" s="6" t="s">
        <v>2286</v>
      </c>
      <c r="BG518" s="6" t="s">
        <v>6547</v>
      </c>
      <c r="BH518" s="6" t="s">
        <v>6548</v>
      </c>
    </row>
    <row r="519" spans="1:60" ht="32" customHeight="1" x14ac:dyDescent="0.35">
      <c r="A519" s="13" t="s">
        <v>6549</v>
      </c>
      <c r="B519" s="6" t="s">
        <v>3901</v>
      </c>
      <c r="C519" s="5" t="s">
        <v>1652</v>
      </c>
      <c r="D519" s="5" t="s">
        <v>2183</v>
      </c>
      <c r="E519" s="5" t="s">
        <v>6550</v>
      </c>
      <c r="F519" s="5" t="s">
        <v>2973</v>
      </c>
      <c r="G519" s="5" t="s">
        <v>6551</v>
      </c>
      <c r="H519" s="5" t="s">
        <v>6552</v>
      </c>
      <c r="I519" s="5" t="s">
        <v>6553</v>
      </c>
      <c r="J519" s="16" t="s">
        <v>94</v>
      </c>
      <c r="K519" s="17" t="s">
        <v>1477</v>
      </c>
      <c r="L519" s="5" t="s">
        <v>6554</v>
      </c>
      <c r="M519" s="6" t="s">
        <v>1493</v>
      </c>
      <c r="N519" s="6" t="s">
        <v>2170</v>
      </c>
      <c r="O519" s="6" t="s">
        <v>94</v>
      </c>
      <c r="P519" s="5" t="s">
        <v>2272</v>
      </c>
      <c r="Q519" s="17" t="s">
        <v>2273</v>
      </c>
      <c r="R519" s="5" t="s">
        <v>6555</v>
      </c>
      <c r="S519" s="6" t="s">
        <v>2438</v>
      </c>
      <c r="T519" s="5" t="s">
        <v>2439</v>
      </c>
      <c r="U519" s="6"/>
      <c r="V519" s="6" t="s">
        <v>2440</v>
      </c>
      <c r="W519" s="6" t="s">
        <v>1699</v>
      </c>
      <c r="X519" s="5" t="s">
        <v>228</v>
      </c>
      <c r="Y519" s="5" t="s">
        <v>2170</v>
      </c>
      <c r="Z519" s="5" t="str">
        <f t="shared" si="16"/>
        <v>Critical</v>
      </c>
      <c r="AA519" s="5" t="s">
        <v>1302</v>
      </c>
      <c r="AB519" s="6" t="s">
        <v>1302</v>
      </c>
      <c r="AC519" s="6" t="s">
        <v>99</v>
      </c>
      <c r="AD519" s="5" t="s">
        <v>2278</v>
      </c>
      <c r="AE519" s="5" t="s">
        <v>1720</v>
      </c>
      <c r="AF519" s="5" t="s">
        <v>1720</v>
      </c>
      <c r="AG519" s="5" t="s">
        <v>1720</v>
      </c>
      <c r="AH519" s="5" t="s">
        <v>1720</v>
      </c>
      <c r="AI519" s="6" t="str">
        <f t="shared" si="17"/>
        <v>No</v>
      </c>
      <c r="AJ519" s="6" t="s">
        <v>2279</v>
      </c>
      <c r="AK519" s="6" t="s">
        <v>94</v>
      </c>
      <c r="AL519" s="6">
        <f>MATCH(AA519,{"Low","Medium","High"},0)*MATCH(AB519,{"Low","Medium","High"},0)*INDEX({3,2,2,1,1},MATCH(X519,{"Core","Vertical extension","Differentiator","Future","Adjacent"},0))</f>
        <v>27</v>
      </c>
      <c r="AM519" s="5"/>
      <c r="AN519" s="5"/>
      <c r="AO519" s="5"/>
      <c r="AP519" s="5"/>
      <c r="AQ519" s="5"/>
      <c r="AR519" s="5" t="s">
        <v>6556</v>
      </c>
      <c r="AS519" s="5" t="s">
        <v>1462</v>
      </c>
      <c r="AT519" s="5" t="s">
        <v>2281</v>
      </c>
      <c r="AU519" s="6" t="s">
        <v>2282</v>
      </c>
      <c r="AV519" s="6" t="s">
        <v>76</v>
      </c>
      <c r="AW519" s="6" t="s">
        <v>76</v>
      </c>
      <c r="AX519" s="6" t="s">
        <v>2284</v>
      </c>
      <c r="AY519" s="6" t="s">
        <v>2285</v>
      </c>
      <c r="AZ519" s="6"/>
      <c r="BA519" s="6"/>
      <c r="BB519" s="6"/>
      <c r="BC519" s="6" t="s">
        <v>127</v>
      </c>
      <c r="BD519" s="6" t="s">
        <v>127</v>
      </c>
      <c r="BE519" s="6" t="s">
        <v>1477</v>
      </c>
      <c r="BF519" s="6" t="s">
        <v>2286</v>
      </c>
      <c r="BG519" s="6" t="s">
        <v>6557</v>
      </c>
      <c r="BH519" s="6" t="s">
        <v>6558</v>
      </c>
    </row>
    <row r="520" spans="1:60" ht="32" customHeight="1" x14ac:dyDescent="0.35">
      <c r="A520" s="13" t="s">
        <v>6559</v>
      </c>
      <c r="B520" s="6" t="s">
        <v>3901</v>
      </c>
      <c r="C520" s="5" t="s">
        <v>1652</v>
      </c>
      <c r="D520" s="5" t="s">
        <v>2183</v>
      </c>
      <c r="E520" s="5" t="s">
        <v>6560</v>
      </c>
      <c r="F520" s="5" t="s">
        <v>2973</v>
      </c>
      <c r="G520" s="5" t="s">
        <v>2507</v>
      </c>
      <c r="H520" s="5" t="s">
        <v>6561</v>
      </c>
      <c r="I520" s="5" t="s">
        <v>6562</v>
      </c>
      <c r="J520" s="17" t="s">
        <v>162</v>
      </c>
      <c r="K520" s="17" t="s">
        <v>163</v>
      </c>
      <c r="L520" s="5" t="s">
        <v>6563</v>
      </c>
      <c r="M520" s="6" t="s">
        <v>1493</v>
      </c>
      <c r="N520" s="6" t="s">
        <v>2170</v>
      </c>
      <c r="O520" s="6" t="s">
        <v>162</v>
      </c>
      <c r="P520" s="5" t="s">
        <v>2272</v>
      </c>
      <c r="Q520" s="17" t="s">
        <v>163</v>
      </c>
      <c r="R520" s="5" t="s">
        <v>6564</v>
      </c>
      <c r="S520" s="6" t="s">
        <v>2438</v>
      </c>
      <c r="T520" s="5" t="s">
        <v>2439</v>
      </c>
      <c r="U520" s="6"/>
      <c r="V520" s="6" t="s">
        <v>2440</v>
      </c>
      <c r="W520" s="6" t="s">
        <v>1699</v>
      </c>
      <c r="X520" s="5" t="s">
        <v>228</v>
      </c>
      <c r="Y520" s="5" t="s">
        <v>2170</v>
      </c>
      <c r="Z520" s="5" t="str">
        <f t="shared" si="16"/>
        <v>Critical</v>
      </c>
      <c r="AA520" s="5" t="s">
        <v>1302</v>
      </c>
      <c r="AB520" s="6" t="s">
        <v>1302</v>
      </c>
      <c r="AC520" s="6" t="s">
        <v>135</v>
      </c>
      <c r="AD520" s="5" t="s">
        <v>1805</v>
      </c>
      <c r="AE520" s="5" t="s">
        <v>1720</v>
      </c>
      <c r="AF520" s="5" t="s">
        <v>1720</v>
      </c>
      <c r="AG520" s="5" t="s">
        <v>1720</v>
      </c>
      <c r="AH520" s="5" t="s">
        <v>1720</v>
      </c>
      <c r="AI520" s="6" t="str">
        <f t="shared" si="17"/>
        <v>No</v>
      </c>
      <c r="AJ520" s="6" t="s">
        <v>287</v>
      </c>
      <c r="AK520" s="6" t="s">
        <v>162</v>
      </c>
      <c r="AL520" s="6">
        <f>MATCH(AA520,{"Low","Medium","High"},0)*MATCH(AB520,{"Low","Medium","High"},0)*INDEX({3,2,2,1,1},MATCH(X520,{"Core","Vertical extension","Differentiator","Future","Adjacent"},0))</f>
        <v>27</v>
      </c>
      <c r="AM520" s="5"/>
      <c r="AN520" s="5"/>
      <c r="AO520" s="5"/>
      <c r="AP520" s="5"/>
      <c r="AQ520" s="5"/>
      <c r="AR520" s="5"/>
      <c r="AS520" s="5"/>
      <c r="AT520" s="5"/>
      <c r="AU520" s="6" t="s">
        <v>2317</v>
      </c>
      <c r="AV520" s="6" t="s">
        <v>76</v>
      </c>
      <c r="AW520" s="6" t="s">
        <v>76</v>
      </c>
      <c r="AX520" s="6" t="s">
        <v>2284</v>
      </c>
      <c r="AY520" s="6" t="s">
        <v>2285</v>
      </c>
      <c r="AZ520" s="6"/>
      <c r="BA520" s="6"/>
      <c r="BB520" s="6"/>
      <c r="BC520" s="6" t="s">
        <v>127</v>
      </c>
      <c r="BD520" s="6" t="s">
        <v>127</v>
      </c>
      <c r="BE520" s="6" t="s">
        <v>1477</v>
      </c>
      <c r="BF520" s="6" t="s">
        <v>288</v>
      </c>
      <c r="BG520" s="6" t="s">
        <v>6565</v>
      </c>
      <c r="BH520" s="6" t="s">
        <v>6566</v>
      </c>
    </row>
    <row r="521" spans="1:60" ht="32" customHeight="1" x14ac:dyDescent="0.35">
      <c r="A521" s="13" t="s">
        <v>6567</v>
      </c>
      <c r="B521" s="6" t="s">
        <v>3901</v>
      </c>
      <c r="C521" s="5" t="s">
        <v>1652</v>
      </c>
      <c r="D521" s="5" t="s">
        <v>2183</v>
      </c>
      <c r="E521" s="5" t="s">
        <v>6568</v>
      </c>
      <c r="F521" s="5" t="s">
        <v>2973</v>
      </c>
      <c r="G521" s="5" t="s">
        <v>6569</v>
      </c>
      <c r="H521" s="5" t="s">
        <v>6570</v>
      </c>
      <c r="I521" s="5" t="s">
        <v>6571</v>
      </c>
      <c r="J521" s="17" t="s">
        <v>162</v>
      </c>
      <c r="K521" s="17" t="s">
        <v>95</v>
      </c>
      <c r="L521" s="5" t="s">
        <v>6572</v>
      </c>
      <c r="M521" s="6" t="s">
        <v>1493</v>
      </c>
      <c r="N521" s="6" t="s">
        <v>2170</v>
      </c>
      <c r="O521" s="6" t="s">
        <v>162</v>
      </c>
      <c r="P521" s="5" t="s">
        <v>2272</v>
      </c>
      <c r="Q521" s="17" t="s">
        <v>95</v>
      </c>
      <c r="R521" s="5" t="s">
        <v>6573</v>
      </c>
      <c r="S521" s="6" t="s">
        <v>2438</v>
      </c>
      <c r="T521" s="5" t="s">
        <v>2439</v>
      </c>
      <c r="U521" s="6"/>
      <c r="V521" s="6" t="s">
        <v>2440</v>
      </c>
      <c r="W521" s="6" t="s">
        <v>1699</v>
      </c>
      <c r="X521" s="5" t="s">
        <v>228</v>
      </c>
      <c r="Y521" s="5" t="s">
        <v>2170</v>
      </c>
      <c r="Z521" s="5" t="str">
        <f t="shared" si="16"/>
        <v>Critical</v>
      </c>
      <c r="AA521" s="5" t="s">
        <v>1302</v>
      </c>
      <c r="AB521" s="6" t="s">
        <v>1302</v>
      </c>
      <c r="AC521" s="6" t="s">
        <v>135</v>
      </c>
      <c r="AD521" s="5" t="s">
        <v>95</v>
      </c>
      <c r="AE521" s="5" t="s">
        <v>1720</v>
      </c>
      <c r="AF521" s="5" t="s">
        <v>1720</v>
      </c>
      <c r="AG521" s="5" t="s">
        <v>1720</v>
      </c>
      <c r="AH521" s="5" t="s">
        <v>1720</v>
      </c>
      <c r="AI521" s="6" t="str">
        <f t="shared" si="17"/>
        <v>No</v>
      </c>
      <c r="AJ521" s="6" t="s">
        <v>229</v>
      </c>
      <c r="AK521" s="6" t="s">
        <v>162</v>
      </c>
      <c r="AL521" s="6">
        <f>MATCH(AA521,{"Low","Medium","High"},0)*MATCH(AB521,{"Low","Medium","High"},0)*INDEX({3,2,2,1,1},MATCH(X521,{"Core","Vertical extension","Differentiator","Future","Adjacent"},0))</f>
        <v>27</v>
      </c>
      <c r="AM521" s="5"/>
      <c r="AN521" s="5"/>
      <c r="AO521" s="5"/>
      <c r="AP521" s="5"/>
      <c r="AQ521" s="5"/>
      <c r="AR521" s="5"/>
      <c r="AS521" s="5"/>
      <c r="AT521" s="5"/>
      <c r="AU521" s="6" t="s">
        <v>2317</v>
      </c>
      <c r="AV521" s="6" t="s">
        <v>76</v>
      </c>
      <c r="AW521" s="6" t="s">
        <v>76</v>
      </c>
      <c r="AX521" s="6" t="s">
        <v>2284</v>
      </c>
      <c r="AY521" s="6" t="s">
        <v>2285</v>
      </c>
      <c r="AZ521" s="6"/>
      <c r="BA521" s="6"/>
      <c r="BB521" s="6"/>
      <c r="BC521" s="6" t="s">
        <v>127</v>
      </c>
      <c r="BD521" s="6" t="s">
        <v>127</v>
      </c>
      <c r="BE521" s="6" t="s">
        <v>1477</v>
      </c>
      <c r="BF521" s="6" t="s">
        <v>95</v>
      </c>
      <c r="BG521" s="6" t="s">
        <v>6574</v>
      </c>
      <c r="BH521" s="6" t="s">
        <v>6575</v>
      </c>
    </row>
    <row r="522" spans="1:60" ht="32" customHeight="1" x14ac:dyDescent="0.35">
      <c r="A522" s="13" t="s">
        <v>6576</v>
      </c>
      <c r="B522" s="6" t="s">
        <v>3901</v>
      </c>
      <c r="C522" s="5" t="s">
        <v>1652</v>
      </c>
      <c r="D522" s="5" t="s">
        <v>2183</v>
      </c>
      <c r="E522" s="5" t="s">
        <v>6577</v>
      </c>
      <c r="F522" s="5" t="s">
        <v>2973</v>
      </c>
      <c r="G522" s="5" t="s">
        <v>2396</v>
      </c>
      <c r="H522" s="5" t="s">
        <v>6578</v>
      </c>
      <c r="I522" s="5" t="s">
        <v>6579</v>
      </c>
      <c r="J522" s="17" t="s">
        <v>162</v>
      </c>
      <c r="K522" s="17" t="s">
        <v>95</v>
      </c>
      <c r="L522" s="5" t="s">
        <v>6580</v>
      </c>
      <c r="M522" s="6" t="s">
        <v>1493</v>
      </c>
      <c r="N522" s="6" t="s">
        <v>2170</v>
      </c>
      <c r="O522" s="6" t="s">
        <v>162</v>
      </c>
      <c r="P522" s="5" t="s">
        <v>2272</v>
      </c>
      <c r="Q522" s="17" t="s">
        <v>95</v>
      </c>
      <c r="R522" s="5" t="s">
        <v>6581</v>
      </c>
      <c r="S522" s="6" t="s">
        <v>2438</v>
      </c>
      <c r="T522" s="5" t="s">
        <v>2439</v>
      </c>
      <c r="U522" s="6"/>
      <c r="V522" s="6" t="s">
        <v>2440</v>
      </c>
      <c r="W522" s="6" t="s">
        <v>1699</v>
      </c>
      <c r="X522" s="5" t="s">
        <v>228</v>
      </c>
      <c r="Y522" s="5" t="s">
        <v>2170</v>
      </c>
      <c r="Z522" s="5" t="str">
        <f t="shared" si="16"/>
        <v>Critical</v>
      </c>
      <c r="AA522" s="5" t="s">
        <v>1302</v>
      </c>
      <c r="AB522" s="6" t="s">
        <v>1302</v>
      </c>
      <c r="AC522" s="6" t="s">
        <v>135</v>
      </c>
      <c r="AD522" s="5" t="s">
        <v>95</v>
      </c>
      <c r="AE522" s="5" t="s">
        <v>1720</v>
      </c>
      <c r="AF522" s="5" t="s">
        <v>1720</v>
      </c>
      <c r="AG522" s="5" t="s">
        <v>1720</v>
      </c>
      <c r="AH522" s="5" t="s">
        <v>1720</v>
      </c>
      <c r="AI522" s="6" t="str">
        <f t="shared" si="17"/>
        <v>No</v>
      </c>
      <c r="AJ522" s="6" t="s">
        <v>229</v>
      </c>
      <c r="AK522" s="6" t="s">
        <v>162</v>
      </c>
      <c r="AL522" s="6">
        <f>MATCH(AA522,{"Low","Medium","High"},0)*MATCH(AB522,{"Low","Medium","High"},0)*INDEX({3,2,2,1,1},MATCH(X522,{"Core","Vertical extension","Differentiator","Future","Adjacent"},0))</f>
        <v>27</v>
      </c>
      <c r="AM522" s="5"/>
      <c r="AN522" s="5"/>
      <c r="AO522" s="5"/>
      <c r="AP522" s="5"/>
      <c r="AQ522" s="5"/>
      <c r="AR522" s="5"/>
      <c r="AS522" s="5"/>
      <c r="AT522" s="5"/>
      <c r="AU522" s="6" t="s">
        <v>2317</v>
      </c>
      <c r="AV522" s="6" t="s">
        <v>76</v>
      </c>
      <c r="AW522" s="6" t="s">
        <v>76</v>
      </c>
      <c r="AX522" s="6" t="s">
        <v>2284</v>
      </c>
      <c r="AY522" s="6" t="s">
        <v>2285</v>
      </c>
      <c r="AZ522" s="6"/>
      <c r="BA522" s="6"/>
      <c r="BB522" s="6"/>
      <c r="BC522" s="6" t="s">
        <v>127</v>
      </c>
      <c r="BD522" s="6" t="s">
        <v>127</v>
      </c>
      <c r="BE522" s="6" t="s">
        <v>1477</v>
      </c>
      <c r="BF522" s="6" t="s">
        <v>95</v>
      </c>
      <c r="BG522" s="6" t="s">
        <v>6582</v>
      </c>
      <c r="BH522" s="6" t="s">
        <v>6583</v>
      </c>
    </row>
    <row r="523" spans="1:60" ht="32" customHeight="1" x14ac:dyDescent="0.35">
      <c r="A523" s="13" t="s">
        <v>169</v>
      </c>
      <c r="B523" s="6" t="s">
        <v>3901</v>
      </c>
      <c r="C523" s="5" t="s">
        <v>1652</v>
      </c>
      <c r="D523" s="5" t="s">
        <v>2183</v>
      </c>
      <c r="E523" s="5" t="s">
        <v>2146</v>
      </c>
      <c r="F523" s="5" t="s">
        <v>2973</v>
      </c>
      <c r="G523" s="5" t="s">
        <v>6584</v>
      </c>
      <c r="H523" s="5" t="s">
        <v>6585</v>
      </c>
      <c r="I523" s="5" t="s">
        <v>6586</v>
      </c>
      <c r="J523" s="17" t="s">
        <v>162</v>
      </c>
      <c r="K523" s="16" t="s">
        <v>95</v>
      </c>
      <c r="L523" s="5" t="s">
        <v>6587</v>
      </c>
      <c r="M523" s="6" t="s">
        <v>1493</v>
      </c>
      <c r="N523" s="6" t="s">
        <v>2170</v>
      </c>
      <c r="O523" s="6" t="s">
        <v>162</v>
      </c>
      <c r="P523" s="5" t="s">
        <v>2272</v>
      </c>
      <c r="Q523" s="16" t="s">
        <v>163</v>
      </c>
      <c r="R523" s="5" t="s">
        <v>6588</v>
      </c>
      <c r="S523" s="6" t="s">
        <v>2438</v>
      </c>
      <c r="T523" s="5" t="s">
        <v>2439</v>
      </c>
      <c r="U523" s="6"/>
      <c r="V523" s="6" t="s">
        <v>2440</v>
      </c>
      <c r="W523" s="6" t="s">
        <v>1699</v>
      </c>
      <c r="X523" s="5" t="s">
        <v>228</v>
      </c>
      <c r="Y523" s="5" t="s">
        <v>2170</v>
      </c>
      <c r="Z523" s="5" t="str">
        <f t="shared" si="16"/>
        <v>Critical</v>
      </c>
      <c r="AA523" s="5" t="s">
        <v>1302</v>
      </c>
      <c r="AB523" s="6" t="s">
        <v>1302</v>
      </c>
      <c r="AC523" s="6" t="s">
        <v>135</v>
      </c>
      <c r="AD523" s="5" t="s">
        <v>1805</v>
      </c>
      <c r="AE523" s="5" t="s">
        <v>1720</v>
      </c>
      <c r="AF523" s="5" t="s">
        <v>1720</v>
      </c>
      <c r="AG523" s="5" t="s">
        <v>1720</v>
      </c>
      <c r="AH523" s="5" t="s">
        <v>1720</v>
      </c>
      <c r="AI523" s="6" t="str">
        <f t="shared" si="17"/>
        <v>No</v>
      </c>
      <c r="AJ523" s="6" t="s">
        <v>229</v>
      </c>
      <c r="AK523" s="6" t="s">
        <v>162</v>
      </c>
      <c r="AL523" s="6">
        <f>MATCH(AA523,{"Low","Medium","High"},0)*MATCH(AB523,{"Low","Medium","High"},0)*INDEX({3,2,2,1,1},MATCH(X523,{"Core","Vertical extension","Differentiator","Future","Adjacent"},0))</f>
        <v>27</v>
      </c>
      <c r="AM523" s="5"/>
      <c r="AN523" s="5"/>
      <c r="AO523" s="5"/>
      <c r="AP523" s="5"/>
      <c r="AQ523" s="5"/>
      <c r="AR523" s="5"/>
      <c r="AS523" s="5"/>
      <c r="AT523" s="5"/>
      <c r="AU523" s="6" t="s">
        <v>2317</v>
      </c>
      <c r="AV523" s="6" t="s">
        <v>76</v>
      </c>
      <c r="AW523" s="6" t="s">
        <v>76</v>
      </c>
      <c r="AX523" s="6" t="s">
        <v>2284</v>
      </c>
      <c r="AY523" s="6" t="s">
        <v>2285</v>
      </c>
      <c r="AZ523" s="6"/>
      <c r="BA523" s="6"/>
      <c r="BB523" s="6"/>
      <c r="BC523" s="6" t="s">
        <v>127</v>
      </c>
      <c r="BD523" s="6" t="s">
        <v>127</v>
      </c>
      <c r="BE523" s="6" t="s">
        <v>163</v>
      </c>
      <c r="BF523" s="6" t="s">
        <v>288</v>
      </c>
      <c r="BG523" s="6" t="s">
        <v>6589</v>
      </c>
      <c r="BH523" s="6" t="s">
        <v>6590</v>
      </c>
    </row>
    <row r="524" spans="1:60" ht="32" customHeight="1" x14ac:dyDescent="0.35">
      <c r="A524" s="13" t="s">
        <v>6591</v>
      </c>
      <c r="B524" s="6" t="s">
        <v>3901</v>
      </c>
      <c r="C524" s="5" t="s">
        <v>1652</v>
      </c>
      <c r="D524" s="5" t="s">
        <v>2192</v>
      </c>
      <c r="E524" s="5" t="s">
        <v>6592</v>
      </c>
      <c r="F524" s="5" t="s">
        <v>6593</v>
      </c>
      <c r="G524" s="5" t="s">
        <v>6594</v>
      </c>
      <c r="H524" s="5" t="s">
        <v>6595</v>
      </c>
      <c r="I524" s="5" t="s">
        <v>6596</v>
      </c>
      <c r="J524" s="17" t="s">
        <v>162</v>
      </c>
      <c r="K524" s="17" t="s">
        <v>95</v>
      </c>
      <c r="L524" s="5" t="s">
        <v>6597</v>
      </c>
      <c r="M524" s="6" t="s">
        <v>1493</v>
      </c>
      <c r="N524" s="6" t="s">
        <v>2170</v>
      </c>
      <c r="O524" s="6" t="s">
        <v>162</v>
      </c>
      <c r="P524" s="5" t="s">
        <v>2272</v>
      </c>
      <c r="Q524" s="17" t="s">
        <v>95</v>
      </c>
      <c r="R524" s="5" t="s">
        <v>6598</v>
      </c>
      <c r="S524" s="6" t="s">
        <v>2371</v>
      </c>
      <c r="T524" s="5" t="s">
        <v>2372</v>
      </c>
      <c r="U524" s="6"/>
      <c r="V524" s="6" t="s">
        <v>2373</v>
      </c>
      <c r="W524" s="6" t="s">
        <v>1699</v>
      </c>
      <c r="X524" s="5" t="s">
        <v>228</v>
      </c>
      <c r="Y524" s="5" t="s">
        <v>2170</v>
      </c>
      <c r="Z524" s="5" t="str">
        <f t="shared" si="16"/>
        <v>Critical</v>
      </c>
      <c r="AA524" s="5" t="s">
        <v>1302</v>
      </c>
      <c r="AB524" s="6" t="s">
        <v>1319</v>
      </c>
      <c r="AC524" s="6" t="s">
        <v>135</v>
      </c>
      <c r="AD524" s="5" t="s">
        <v>95</v>
      </c>
      <c r="AE524" s="5" t="s">
        <v>1720</v>
      </c>
      <c r="AF524" s="5" t="s">
        <v>1720</v>
      </c>
      <c r="AG524" s="5" t="s">
        <v>1720</v>
      </c>
      <c r="AH524" s="5" t="s">
        <v>1720</v>
      </c>
      <c r="AI524" s="6" t="str">
        <f t="shared" si="17"/>
        <v>No</v>
      </c>
      <c r="AJ524" s="6" t="s">
        <v>229</v>
      </c>
      <c r="AK524" s="6" t="s">
        <v>162</v>
      </c>
      <c r="AL524" s="6">
        <f>MATCH(AA524,{"Low","Medium","High"},0)*MATCH(AB524,{"Low","Medium","High"},0)*INDEX({3,2,2,1,1},MATCH(X524,{"Core","Vertical extension","Differentiator","Future","Adjacent"},0))</f>
        <v>18</v>
      </c>
      <c r="AM524" s="5"/>
      <c r="AN524" s="5"/>
      <c r="AO524" s="5"/>
      <c r="AP524" s="5"/>
      <c r="AQ524" s="5"/>
      <c r="AR524" s="5"/>
      <c r="AS524" s="5"/>
      <c r="AT524" s="5"/>
      <c r="AU524" s="6" t="s">
        <v>2317</v>
      </c>
      <c r="AV524" s="6" t="s">
        <v>3968</v>
      </c>
      <c r="AW524" s="6" t="s">
        <v>3968</v>
      </c>
      <c r="AX524" s="6" t="s">
        <v>2284</v>
      </c>
      <c r="AY524" s="6" t="s">
        <v>2285</v>
      </c>
      <c r="AZ524" s="6"/>
      <c r="BA524" s="6"/>
      <c r="BB524" s="6"/>
      <c r="BC524" s="6" t="s">
        <v>127</v>
      </c>
      <c r="BD524" s="6" t="s">
        <v>127</v>
      </c>
      <c r="BE524" s="6" t="s">
        <v>1477</v>
      </c>
      <c r="BF524" s="6" t="s">
        <v>95</v>
      </c>
      <c r="BG524" s="6" t="s">
        <v>6599</v>
      </c>
      <c r="BH524" s="6" t="s">
        <v>6600</v>
      </c>
    </row>
    <row r="525" spans="1:60" ht="32" customHeight="1" x14ac:dyDescent="0.35">
      <c r="A525" s="13" t="s">
        <v>6601</v>
      </c>
      <c r="B525" s="6" t="s">
        <v>3901</v>
      </c>
      <c r="C525" s="5" t="s">
        <v>1652</v>
      </c>
      <c r="D525" s="5" t="s">
        <v>2192</v>
      </c>
      <c r="E525" s="5" t="s">
        <v>6602</v>
      </c>
      <c r="F525" s="5" t="s">
        <v>6603</v>
      </c>
      <c r="G525" s="5" t="s">
        <v>2396</v>
      </c>
      <c r="H525" s="5" t="s">
        <v>6604</v>
      </c>
      <c r="I525" s="5" t="s">
        <v>6605</v>
      </c>
      <c r="J525" s="17" t="s">
        <v>162</v>
      </c>
      <c r="K525" s="17" t="s">
        <v>95</v>
      </c>
      <c r="L525" s="5" t="s">
        <v>6606</v>
      </c>
      <c r="M525" s="6" t="s">
        <v>1493</v>
      </c>
      <c r="N525" s="6" t="s">
        <v>2170</v>
      </c>
      <c r="O525" s="6" t="s">
        <v>162</v>
      </c>
      <c r="P525" s="5" t="s">
        <v>2272</v>
      </c>
      <c r="Q525" s="17" t="s">
        <v>95</v>
      </c>
      <c r="R525" s="5" t="s">
        <v>6607</v>
      </c>
      <c r="S525" s="6" t="s">
        <v>2371</v>
      </c>
      <c r="T525" s="5" t="s">
        <v>2372</v>
      </c>
      <c r="U525" s="6"/>
      <c r="V525" s="6" t="s">
        <v>2373</v>
      </c>
      <c r="W525" s="6" t="s">
        <v>1699</v>
      </c>
      <c r="X525" s="5" t="s">
        <v>228</v>
      </c>
      <c r="Y525" s="5" t="s">
        <v>2170</v>
      </c>
      <c r="Z525" s="5" t="str">
        <f t="shared" si="16"/>
        <v>Critical</v>
      </c>
      <c r="AA525" s="5" t="s">
        <v>1302</v>
      </c>
      <c r="AB525" s="6" t="s">
        <v>1319</v>
      </c>
      <c r="AC525" s="6" t="s">
        <v>135</v>
      </c>
      <c r="AD525" s="5" t="s">
        <v>95</v>
      </c>
      <c r="AE525" s="5" t="s">
        <v>1720</v>
      </c>
      <c r="AF525" s="5" t="s">
        <v>1720</v>
      </c>
      <c r="AG525" s="5" t="s">
        <v>1720</v>
      </c>
      <c r="AH525" s="5" t="s">
        <v>1720</v>
      </c>
      <c r="AI525" s="6" t="str">
        <f t="shared" si="17"/>
        <v>No</v>
      </c>
      <c r="AJ525" s="6" t="s">
        <v>229</v>
      </c>
      <c r="AK525" s="6" t="s">
        <v>162</v>
      </c>
      <c r="AL525" s="6">
        <f>MATCH(AA525,{"Low","Medium","High"},0)*MATCH(AB525,{"Low","Medium","High"},0)*INDEX({3,2,2,1,1},MATCH(X525,{"Core","Vertical extension","Differentiator","Future","Adjacent"},0))</f>
        <v>18</v>
      </c>
      <c r="AM525" s="5"/>
      <c r="AN525" s="5"/>
      <c r="AO525" s="5"/>
      <c r="AP525" s="5"/>
      <c r="AQ525" s="5"/>
      <c r="AR525" s="5"/>
      <c r="AS525" s="5"/>
      <c r="AT525" s="5"/>
      <c r="AU525" s="6" t="s">
        <v>2317</v>
      </c>
      <c r="AV525" s="6" t="s">
        <v>76</v>
      </c>
      <c r="AW525" s="6" t="s">
        <v>76</v>
      </c>
      <c r="AX525" s="6" t="s">
        <v>2284</v>
      </c>
      <c r="AY525" s="6" t="s">
        <v>2285</v>
      </c>
      <c r="AZ525" s="6"/>
      <c r="BA525" s="6"/>
      <c r="BB525" s="6"/>
      <c r="BC525" s="6" t="s">
        <v>127</v>
      </c>
      <c r="BD525" s="6" t="s">
        <v>127</v>
      </c>
      <c r="BE525" s="6" t="s">
        <v>1477</v>
      </c>
      <c r="BF525" s="6" t="s">
        <v>95</v>
      </c>
      <c r="BG525" s="6" t="s">
        <v>6608</v>
      </c>
      <c r="BH525" s="6" t="s">
        <v>6609</v>
      </c>
    </row>
    <row r="526" spans="1:60" ht="32" customHeight="1" x14ac:dyDescent="0.35">
      <c r="A526" s="13" t="s">
        <v>6610</v>
      </c>
      <c r="B526" s="6" t="s">
        <v>3901</v>
      </c>
      <c r="C526" s="5" t="s">
        <v>1652</v>
      </c>
      <c r="D526" s="5" t="s">
        <v>2192</v>
      </c>
      <c r="E526" s="5" t="s">
        <v>6611</v>
      </c>
      <c r="F526" s="5" t="s">
        <v>3336</v>
      </c>
      <c r="G526" s="5" t="s">
        <v>6612</v>
      </c>
      <c r="H526" s="5" t="s">
        <v>6613</v>
      </c>
      <c r="I526" s="5" t="s">
        <v>6614</v>
      </c>
      <c r="J526" s="17" t="s">
        <v>162</v>
      </c>
      <c r="K526" s="17" t="s">
        <v>163</v>
      </c>
      <c r="L526" s="5" t="s">
        <v>6615</v>
      </c>
      <c r="M526" s="6" t="s">
        <v>1493</v>
      </c>
      <c r="N526" s="6" t="s">
        <v>2170</v>
      </c>
      <c r="O526" s="6" t="s">
        <v>162</v>
      </c>
      <c r="P526" s="5" t="s">
        <v>2272</v>
      </c>
      <c r="Q526" s="17" t="s">
        <v>163</v>
      </c>
      <c r="R526" s="5" t="s">
        <v>6616</v>
      </c>
      <c r="S526" s="6" t="s">
        <v>2371</v>
      </c>
      <c r="T526" s="5" t="s">
        <v>2372</v>
      </c>
      <c r="U526" s="6"/>
      <c r="V526" s="6" t="s">
        <v>2373</v>
      </c>
      <c r="W526" s="6" t="s">
        <v>1699</v>
      </c>
      <c r="X526" s="5" t="s">
        <v>228</v>
      </c>
      <c r="Y526" s="5" t="s">
        <v>2170</v>
      </c>
      <c r="Z526" s="5" t="str">
        <f t="shared" si="16"/>
        <v>Critical</v>
      </c>
      <c r="AA526" s="5" t="s">
        <v>1302</v>
      </c>
      <c r="AB526" s="6" t="s">
        <v>1319</v>
      </c>
      <c r="AC526" s="6" t="s">
        <v>135</v>
      </c>
      <c r="AD526" s="5" t="s">
        <v>1805</v>
      </c>
      <c r="AE526" s="5" t="s">
        <v>1720</v>
      </c>
      <c r="AF526" s="5" t="s">
        <v>1720</v>
      </c>
      <c r="AG526" s="5" t="s">
        <v>1720</v>
      </c>
      <c r="AH526" s="5" t="s">
        <v>1720</v>
      </c>
      <c r="AI526" s="6" t="str">
        <f t="shared" si="17"/>
        <v>No</v>
      </c>
      <c r="AJ526" s="6" t="s">
        <v>287</v>
      </c>
      <c r="AK526" s="6" t="s">
        <v>162</v>
      </c>
      <c r="AL526" s="6">
        <f>MATCH(AA526,{"Low","Medium","High"},0)*MATCH(AB526,{"Low","Medium","High"},0)*INDEX({3,2,2,1,1},MATCH(X526,{"Core","Vertical extension","Differentiator","Future","Adjacent"},0))</f>
        <v>18</v>
      </c>
      <c r="AM526" s="5"/>
      <c r="AN526" s="5"/>
      <c r="AO526" s="5"/>
      <c r="AP526" s="5"/>
      <c r="AQ526" s="5"/>
      <c r="AR526" s="5"/>
      <c r="AS526" s="5"/>
      <c r="AT526" s="5"/>
      <c r="AU526" s="6" t="s">
        <v>2317</v>
      </c>
      <c r="AV526" s="6" t="s">
        <v>76</v>
      </c>
      <c r="AW526" s="6" t="s">
        <v>76</v>
      </c>
      <c r="AX526" s="6" t="s">
        <v>2284</v>
      </c>
      <c r="AY526" s="6" t="s">
        <v>2285</v>
      </c>
      <c r="AZ526" s="6"/>
      <c r="BA526" s="6"/>
      <c r="BB526" s="6"/>
      <c r="BC526" s="6" t="s">
        <v>127</v>
      </c>
      <c r="BD526" s="6" t="s">
        <v>127</v>
      </c>
      <c r="BE526" s="6" t="s">
        <v>1477</v>
      </c>
      <c r="BF526" s="6" t="s">
        <v>288</v>
      </c>
      <c r="BG526" s="6" t="s">
        <v>6617</v>
      </c>
      <c r="BH526" s="6" t="s">
        <v>6618</v>
      </c>
    </row>
    <row r="527" spans="1:60" ht="32" customHeight="1" x14ac:dyDescent="0.35">
      <c r="A527" s="13" t="s">
        <v>6619</v>
      </c>
      <c r="B527" s="6" t="s">
        <v>3901</v>
      </c>
      <c r="C527" s="5" t="s">
        <v>1652</v>
      </c>
      <c r="D527" s="5" t="s">
        <v>2192</v>
      </c>
      <c r="E527" s="5" t="s">
        <v>6620</v>
      </c>
      <c r="F527" s="5" t="s">
        <v>2973</v>
      </c>
      <c r="G527" s="5" t="s">
        <v>2396</v>
      </c>
      <c r="H527" s="5" t="s">
        <v>6621</v>
      </c>
      <c r="I527" s="5" t="s">
        <v>6622</v>
      </c>
      <c r="J527" s="19" t="s">
        <v>204</v>
      </c>
      <c r="K527" s="17" t="s">
        <v>95</v>
      </c>
      <c r="L527" s="5" t="s">
        <v>6623</v>
      </c>
      <c r="M527" s="6" t="s">
        <v>1493</v>
      </c>
      <c r="N527" s="6" t="s">
        <v>2170</v>
      </c>
      <c r="O527" s="6" t="s">
        <v>204</v>
      </c>
      <c r="P527" s="5" t="s">
        <v>2524</v>
      </c>
      <c r="Q527" s="17" t="s">
        <v>163</v>
      </c>
      <c r="R527" s="5" t="s">
        <v>6624</v>
      </c>
      <c r="S527" s="6" t="s">
        <v>2371</v>
      </c>
      <c r="T527" s="5" t="s">
        <v>2372</v>
      </c>
      <c r="U527" s="6"/>
      <c r="V527" s="6" t="s">
        <v>2373</v>
      </c>
      <c r="W527" s="6" t="s">
        <v>1699</v>
      </c>
      <c r="X527" s="5" t="s">
        <v>228</v>
      </c>
      <c r="Y527" s="5" t="s">
        <v>2170</v>
      </c>
      <c r="Z527" s="5" t="str">
        <f t="shared" si="16"/>
        <v>Critical</v>
      </c>
      <c r="AA527" s="5" t="s">
        <v>1302</v>
      </c>
      <c r="AB527" s="6" t="s">
        <v>1319</v>
      </c>
      <c r="AC527" s="6" t="s">
        <v>32</v>
      </c>
      <c r="AD527" s="5" t="s">
        <v>1805</v>
      </c>
      <c r="AE527" s="5" t="s">
        <v>1720</v>
      </c>
      <c r="AF527" s="5" t="s">
        <v>1720</v>
      </c>
      <c r="AG527" s="5" t="s">
        <v>1720</v>
      </c>
      <c r="AH527" s="5" t="s">
        <v>1720</v>
      </c>
      <c r="AI527" s="6" t="str">
        <f t="shared" si="17"/>
        <v>No</v>
      </c>
      <c r="AJ527" s="6" t="s">
        <v>229</v>
      </c>
      <c r="AK527" s="6" t="s">
        <v>204</v>
      </c>
      <c r="AL527" s="6">
        <f>MATCH(AA527,{"Low","Medium","High"},0)*MATCH(AB527,{"Low","Medium","High"},0)*INDEX({3,2,2,1,1},MATCH(X527,{"Core","Vertical extension","Differentiator","Future","Adjacent"},0))</f>
        <v>18</v>
      </c>
      <c r="AM527" s="5"/>
      <c r="AN527" s="5"/>
      <c r="AO527" s="5"/>
      <c r="AP527" s="5"/>
      <c r="AQ527" s="5"/>
      <c r="AR527" s="5"/>
      <c r="AS527" s="5"/>
      <c r="AT527" s="5"/>
      <c r="AU527" s="6" t="s">
        <v>2317</v>
      </c>
      <c r="AV527" s="6" t="s">
        <v>76</v>
      </c>
      <c r="AW527" s="6" t="s">
        <v>76</v>
      </c>
      <c r="AX527" s="6" t="s">
        <v>2374</v>
      </c>
      <c r="AY527" s="6" t="s">
        <v>2285</v>
      </c>
      <c r="AZ527" s="6"/>
      <c r="BA527" s="6"/>
      <c r="BB527" s="6"/>
      <c r="BC527" s="6" t="s">
        <v>127</v>
      </c>
      <c r="BD527" s="6" t="s">
        <v>127</v>
      </c>
      <c r="BE527" s="6" t="s">
        <v>1477</v>
      </c>
      <c r="BF527" s="6" t="s">
        <v>288</v>
      </c>
      <c r="BG527" s="6" t="s">
        <v>6625</v>
      </c>
      <c r="BH527" s="6" t="s">
        <v>6626</v>
      </c>
    </row>
    <row r="528" spans="1:60" ht="32" customHeight="1" x14ac:dyDescent="0.35">
      <c r="A528" s="13" t="s">
        <v>297</v>
      </c>
      <c r="B528" s="6" t="s">
        <v>3901</v>
      </c>
      <c r="C528" s="5" t="s">
        <v>1652</v>
      </c>
      <c r="D528" s="5" t="s">
        <v>2192</v>
      </c>
      <c r="E528" s="5" t="s">
        <v>298</v>
      </c>
      <c r="F528" s="5" t="s">
        <v>6627</v>
      </c>
      <c r="G528" s="5" t="s">
        <v>4012</v>
      </c>
      <c r="H528" s="5" t="s">
        <v>6628</v>
      </c>
      <c r="I528" s="5" t="s">
        <v>6629</v>
      </c>
      <c r="J528" s="16" t="s">
        <v>94</v>
      </c>
      <c r="K528" s="17" t="s">
        <v>95</v>
      </c>
      <c r="L528" s="5" t="s">
        <v>6630</v>
      </c>
      <c r="M528" s="6" t="s">
        <v>1493</v>
      </c>
      <c r="N528" s="6" t="s">
        <v>2170</v>
      </c>
      <c r="O528" s="6" t="s">
        <v>94</v>
      </c>
      <c r="P528" s="5" t="s">
        <v>2272</v>
      </c>
      <c r="Q528" s="17" t="s">
        <v>95</v>
      </c>
      <c r="R528" s="5" t="s">
        <v>6631</v>
      </c>
      <c r="S528" s="6" t="s">
        <v>2371</v>
      </c>
      <c r="T528" s="5" t="s">
        <v>2372</v>
      </c>
      <c r="U528" s="6"/>
      <c r="V528" s="6" t="s">
        <v>2373</v>
      </c>
      <c r="W528" s="6" t="s">
        <v>1699</v>
      </c>
      <c r="X528" s="5" t="s">
        <v>228</v>
      </c>
      <c r="Y528" s="5" t="s">
        <v>2170</v>
      </c>
      <c r="Z528" s="5" t="str">
        <f t="shared" si="16"/>
        <v>Critical</v>
      </c>
      <c r="AA528" s="5" t="s">
        <v>1302</v>
      </c>
      <c r="AB528" s="6" t="s">
        <v>1319</v>
      </c>
      <c r="AC528" s="6" t="s">
        <v>99</v>
      </c>
      <c r="AD528" s="5" t="s">
        <v>95</v>
      </c>
      <c r="AE528" s="5" t="s">
        <v>1720</v>
      </c>
      <c r="AF528" s="5" t="s">
        <v>1720</v>
      </c>
      <c r="AG528" s="5" t="s">
        <v>1720</v>
      </c>
      <c r="AH528" s="5" t="s">
        <v>1720</v>
      </c>
      <c r="AI528" s="6" t="str">
        <f t="shared" si="17"/>
        <v>No</v>
      </c>
      <c r="AJ528" s="6" t="s">
        <v>229</v>
      </c>
      <c r="AK528" s="6" t="s">
        <v>94</v>
      </c>
      <c r="AL528" s="6">
        <f>MATCH(AA528,{"Low","Medium","High"},0)*MATCH(AB528,{"Low","Medium","High"},0)*INDEX({3,2,2,1,1},MATCH(X528,{"Core","Vertical extension","Differentiator","Future","Adjacent"},0))</f>
        <v>18</v>
      </c>
      <c r="AM528" s="5"/>
      <c r="AN528" s="5"/>
      <c r="AO528" s="5">
        <v>3</v>
      </c>
      <c r="AP528" s="5"/>
      <c r="AQ528" s="5"/>
      <c r="AR528" s="5" t="s">
        <v>6632</v>
      </c>
      <c r="AS528" s="51">
        <v>46300</v>
      </c>
      <c r="AT528" s="5" t="s">
        <v>2760</v>
      </c>
      <c r="AU528" s="6" t="s">
        <v>95</v>
      </c>
      <c r="AV528" s="6" t="s">
        <v>3968</v>
      </c>
      <c r="AW528" s="6" t="s">
        <v>3968</v>
      </c>
      <c r="AX528" s="6" t="s">
        <v>2284</v>
      </c>
      <c r="AY528" s="6" t="s">
        <v>2285</v>
      </c>
      <c r="AZ528" s="6"/>
      <c r="BA528" s="6" t="s">
        <v>6633</v>
      </c>
      <c r="BB528" s="6"/>
      <c r="BC528" s="6" t="s">
        <v>127</v>
      </c>
      <c r="BD528" s="6" t="s">
        <v>127</v>
      </c>
      <c r="BE528" s="6" t="s">
        <v>1477</v>
      </c>
      <c r="BF528" s="6" t="s">
        <v>95</v>
      </c>
      <c r="BG528" s="6" t="s">
        <v>6634</v>
      </c>
      <c r="BH528" s="6" t="s">
        <v>299</v>
      </c>
    </row>
    <row r="529" spans="1:60" ht="32" customHeight="1" x14ac:dyDescent="0.35">
      <c r="A529" s="13" t="s">
        <v>6635</v>
      </c>
      <c r="B529" s="6" t="s">
        <v>3901</v>
      </c>
      <c r="C529" s="5" t="s">
        <v>1652</v>
      </c>
      <c r="D529" s="5" t="s">
        <v>2195</v>
      </c>
      <c r="E529" s="5" t="s">
        <v>6636</v>
      </c>
      <c r="F529" s="5" t="s">
        <v>2828</v>
      </c>
      <c r="G529" s="5" t="s">
        <v>2396</v>
      </c>
      <c r="H529" s="5" t="s">
        <v>6637</v>
      </c>
      <c r="I529" s="5" t="s">
        <v>6638</v>
      </c>
      <c r="J529" s="17" t="s">
        <v>162</v>
      </c>
      <c r="K529" s="17" t="s">
        <v>95</v>
      </c>
      <c r="L529" s="5" t="s">
        <v>6639</v>
      </c>
      <c r="M529" s="6" t="s">
        <v>1493</v>
      </c>
      <c r="N529" s="6" t="s">
        <v>2170</v>
      </c>
      <c r="O529" s="6" t="s">
        <v>162</v>
      </c>
      <c r="P529" s="5" t="s">
        <v>2272</v>
      </c>
      <c r="Q529" s="17" t="s">
        <v>95</v>
      </c>
      <c r="R529" s="5" t="s">
        <v>6640</v>
      </c>
      <c r="S529" s="6" t="s">
        <v>2295</v>
      </c>
      <c r="T529" s="5" t="s">
        <v>2296</v>
      </c>
      <c r="U529" s="6"/>
      <c r="V529" s="6" t="s">
        <v>2297</v>
      </c>
      <c r="W529" s="6" t="s">
        <v>1697</v>
      </c>
      <c r="X529" s="5" t="s">
        <v>228</v>
      </c>
      <c r="Y529" s="5" t="s">
        <v>2170</v>
      </c>
      <c r="Z529" s="5" t="str">
        <f t="shared" si="16"/>
        <v>High</v>
      </c>
      <c r="AA529" s="5" t="s">
        <v>1302</v>
      </c>
      <c r="AB529" s="6" t="s">
        <v>1355</v>
      </c>
      <c r="AC529" s="6" t="s">
        <v>135</v>
      </c>
      <c r="AD529" s="5" t="s">
        <v>95</v>
      </c>
      <c r="AE529" s="5" t="s">
        <v>1720</v>
      </c>
      <c r="AF529" s="5" t="s">
        <v>1720</v>
      </c>
      <c r="AG529" s="5" t="s">
        <v>1720</v>
      </c>
      <c r="AH529" s="5" t="s">
        <v>1720</v>
      </c>
      <c r="AI529" s="6" t="str">
        <f t="shared" si="17"/>
        <v>No</v>
      </c>
      <c r="AJ529" s="6" t="s">
        <v>229</v>
      </c>
      <c r="AK529" s="6" t="s">
        <v>162</v>
      </c>
      <c r="AL529" s="6">
        <f>MATCH(AA529,{"Low","Medium","High"},0)*MATCH(AB529,{"Low","Medium","High"},0)*INDEX({3,2,2,1,1},MATCH(X529,{"Core","Vertical extension","Differentiator","Future","Adjacent"},0))</f>
        <v>9</v>
      </c>
      <c r="AM529" s="5"/>
      <c r="AN529" s="5"/>
      <c r="AO529" s="5"/>
      <c r="AP529" s="5"/>
      <c r="AQ529" s="5"/>
      <c r="AR529" s="5"/>
      <c r="AS529" s="5"/>
      <c r="AT529" s="5"/>
      <c r="AU529" s="6" t="s">
        <v>2317</v>
      </c>
      <c r="AV529" s="6" t="s">
        <v>76</v>
      </c>
      <c r="AW529" s="6" t="s">
        <v>76</v>
      </c>
      <c r="AX529" s="6" t="s">
        <v>2284</v>
      </c>
      <c r="AY529" s="6" t="s">
        <v>2285</v>
      </c>
      <c r="AZ529" s="6"/>
      <c r="BA529" s="6"/>
      <c r="BB529" s="6"/>
      <c r="BC529" s="6" t="s">
        <v>127</v>
      </c>
      <c r="BD529" s="6" t="s">
        <v>127</v>
      </c>
      <c r="BE529" s="6" t="s">
        <v>1477</v>
      </c>
      <c r="BF529" s="6" t="s">
        <v>95</v>
      </c>
      <c r="BG529" s="6" t="s">
        <v>6641</v>
      </c>
      <c r="BH529" s="6" t="s">
        <v>6642</v>
      </c>
    </row>
    <row r="530" spans="1:60" ht="32" customHeight="1" x14ac:dyDescent="0.35">
      <c r="A530" s="13" t="s">
        <v>6643</v>
      </c>
      <c r="B530" s="6" t="s">
        <v>3901</v>
      </c>
      <c r="C530" s="5" t="s">
        <v>1652</v>
      </c>
      <c r="D530" s="5" t="s">
        <v>2195</v>
      </c>
      <c r="E530" s="5" t="s">
        <v>6644</v>
      </c>
      <c r="F530" s="5" t="s">
        <v>2828</v>
      </c>
      <c r="G530" s="5" t="s">
        <v>6645</v>
      </c>
      <c r="H530" s="5" t="s">
        <v>6646</v>
      </c>
      <c r="I530" s="5" t="s">
        <v>6647</v>
      </c>
      <c r="J530" s="17" t="s">
        <v>162</v>
      </c>
      <c r="K530" s="17" t="s">
        <v>163</v>
      </c>
      <c r="L530" s="5" t="s">
        <v>6648</v>
      </c>
      <c r="M530" s="6" t="s">
        <v>1493</v>
      </c>
      <c r="N530" s="6" t="s">
        <v>2170</v>
      </c>
      <c r="O530" s="6" t="s">
        <v>162</v>
      </c>
      <c r="P530" s="5" t="s">
        <v>2272</v>
      </c>
      <c r="Q530" s="17" t="s">
        <v>163</v>
      </c>
      <c r="R530" s="5" t="s">
        <v>6649</v>
      </c>
      <c r="S530" s="6" t="s">
        <v>2295</v>
      </c>
      <c r="T530" s="5" t="s">
        <v>2296</v>
      </c>
      <c r="U530" s="6"/>
      <c r="V530" s="6" t="s">
        <v>2297</v>
      </c>
      <c r="W530" s="6" t="s">
        <v>1697</v>
      </c>
      <c r="X530" s="5" t="s">
        <v>228</v>
      </c>
      <c r="Y530" s="5" t="s">
        <v>2170</v>
      </c>
      <c r="Z530" s="5" t="str">
        <f t="shared" si="16"/>
        <v>High</v>
      </c>
      <c r="AA530" s="5" t="s">
        <v>1302</v>
      </c>
      <c r="AB530" s="6" t="s">
        <v>1355</v>
      </c>
      <c r="AC530" s="6" t="s">
        <v>135</v>
      </c>
      <c r="AD530" s="5" t="s">
        <v>1805</v>
      </c>
      <c r="AE530" s="5" t="s">
        <v>1720</v>
      </c>
      <c r="AF530" s="5" t="s">
        <v>1720</v>
      </c>
      <c r="AG530" s="5" t="s">
        <v>1720</v>
      </c>
      <c r="AH530" s="5" t="s">
        <v>1720</v>
      </c>
      <c r="AI530" s="6" t="str">
        <f t="shared" si="17"/>
        <v>No</v>
      </c>
      <c r="AJ530" s="6" t="s">
        <v>287</v>
      </c>
      <c r="AK530" s="6" t="s">
        <v>162</v>
      </c>
      <c r="AL530" s="6">
        <f>MATCH(AA530,{"Low","Medium","High"},0)*MATCH(AB530,{"Low","Medium","High"},0)*INDEX({3,2,2,1,1},MATCH(X530,{"Core","Vertical extension","Differentiator","Future","Adjacent"},0))</f>
        <v>9</v>
      </c>
      <c r="AM530" s="5"/>
      <c r="AN530" s="5"/>
      <c r="AO530" s="5"/>
      <c r="AP530" s="5"/>
      <c r="AQ530" s="5"/>
      <c r="AR530" s="5"/>
      <c r="AS530" s="5"/>
      <c r="AT530" s="5"/>
      <c r="AU530" s="6" t="s">
        <v>2317</v>
      </c>
      <c r="AV530" s="6" t="s">
        <v>76</v>
      </c>
      <c r="AW530" s="6" t="s">
        <v>76</v>
      </c>
      <c r="AX530" s="6" t="s">
        <v>2284</v>
      </c>
      <c r="AY530" s="6" t="s">
        <v>2285</v>
      </c>
      <c r="AZ530" s="6"/>
      <c r="BA530" s="6"/>
      <c r="BB530" s="6"/>
      <c r="BC530" s="6" t="s">
        <v>127</v>
      </c>
      <c r="BD530" s="6" t="s">
        <v>127</v>
      </c>
      <c r="BE530" s="6" t="s">
        <v>1477</v>
      </c>
      <c r="BF530" s="6" t="s">
        <v>288</v>
      </c>
      <c r="BG530" s="6" t="s">
        <v>6650</v>
      </c>
      <c r="BH530" s="6" t="s">
        <v>6651</v>
      </c>
    </row>
    <row r="531" spans="1:60" ht="32" customHeight="1" x14ac:dyDescent="0.35">
      <c r="A531" s="13" t="s">
        <v>302</v>
      </c>
      <c r="B531" s="6" t="s">
        <v>3901</v>
      </c>
      <c r="C531" s="5" t="s">
        <v>1652</v>
      </c>
      <c r="D531" s="5" t="s">
        <v>2195</v>
      </c>
      <c r="E531" s="5" t="s">
        <v>303</v>
      </c>
      <c r="F531" s="5" t="s">
        <v>2973</v>
      </c>
      <c r="G531" s="5" t="s">
        <v>6652</v>
      </c>
      <c r="H531" s="5" t="s">
        <v>6653</v>
      </c>
      <c r="I531" s="5" t="s">
        <v>6654</v>
      </c>
      <c r="J531" s="16" t="s">
        <v>94</v>
      </c>
      <c r="K531" s="17" t="s">
        <v>95</v>
      </c>
      <c r="L531" s="5" t="s">
        <v>6655</v>
      </c>
      <c r="M531" s="6" t="s">
        <v>1493</v>
      </c>
      <c r="N531" s="6" t="s">
        <v>2170</v>
      </c>
      <c r="O531" s="6" t="s">
        <v>94</v>
      </c>
      <c r="P531" s="5" t="s">
        <v>2272</v>
      </c>
      <c r="Q531" s="17" t="s">
        <v>95</v>
      </c>
      <c r="R531" s="5" t="s">
        <v>6656</v>
      </c>
      <c r="S531" s="6" t="s">
        <v>2295</v>
      </c>
      <c r="T531" s="5" t="s">
        <v>2296</v>
      </c>
      <c r="U531" s="6"/>
      <c r="V531" s="6" t="s">
        <v>2297</v>
      </c>
      <c r="W531" s="6" t="s">
        <v>1697</v>
      </c>
      <c r="X531" s="5" t="s">
        <v>228</v>
      </c>
      <c r="Y531" s="5" t="s">
        <v>2170</v>
      </c>
      <c r="Z531" s="5" t="str">
        <f t="shared" si="16"/>
        <v>High</v>
      </c>
      <c r="AA531" s="5" t="s">
        <v>1302</v>
      </c>
      <c r="AB531" s="6" t="s">
        <v>1355</v>
      </c>
      <c r="AC531" s="6" t="s">
        <v>99</v>
      </c>
      <c r="AD531" s="5" t="s">
        <v>95</v>
      </c>
      <c r="AE531" s="5" t="s">
        <v>1720</v>
      </c>
      <c r="AF531" s="5" t="s">
        <v>1720</v>
      </c>
      <c r="AG531" s="5" t="s">
        <v>1720</v>
      </c>
      <c r="AH531" s="5" t="s">
        <v>1720</v>
      </c>
      <c r="AI531" s="6" t="str">
        <f t="shared" si="17"/>
        <v>No</v>
      </c>
      <c r="AJ531" s="6" t="s">
        <v>229</v>
      </c>
      <c r="AK531" s="6" t="s">
        <v>94</v>
      </c>
      <c r="AL531" s="6">
        <f>MATCH(AA531,{"Low","Medium","High"},0)*MATCH(AB531,{"Low","Medium","High"},0)*INDEX({3,2,2,1,1},MATCH(X531,{"Core","Vertical extension","Differentiator","Future","Adjacent"},0))</f>
        <v>9</v>
      </c>
      <c r="AM531" s="5"/>
      <c r="AN531" s="5"/>
      <c r="AO531" s="5">
        <v>3</v>
      </c>
      <c r="AP531" s="5"/>
      <c r="AQ531" s="5"/>
      <c r="AR531" s="5" t="s">
        <v>6657</v>
      </c>
      <c r="AS531" s="51">
        <v>46300</v>
      </c>
      <c r="AT531" s="5" t="s">
        <v>2760</v>
      </c>
      <c r="AU531" s="6" t="s">
        <v>95</v>
      </c>
      <c r="AV531" s="6" t="s">
        <v>76</v>
      </c>
      <c r="AW531" s="6" t="s">
        <v>76</v>
      </c>
      <c r="AX531" s="6" t="s">
        <v>2284</v>
      </c>
      <c r="AY531" s="6" t="s">
        <v>2285</v>
      </c>
      <c r="AZ531" s="6"/>
      <c r="BA531" s="6" t="s">
        <v>6658</v>
      </c>
      <c r="BB531" s="6"/>
      <c r="BC531" s="6" t="s">
        <v>127</v>
      </c>
      <c r="BD531" s="6" t="s">
        <v>127</v>
      </c>
      <c r="BE531" s="6" t="s">
        <v>1477</v>
      </c>
      <c r="BF531" s="6" t="s">
        <v>95</v>
      </c>
      <c r="BG531" s="6" t="s">
        <v>6659</v>
      </c>
      <c r="BH531" s="6" t="s">
        <v>304</v>
      </c>
    </row>
    <row r="532" spans="1:60" ht="32" customHeight="1" x14ac:dyDescent="0.35">
      <c r="A532" s="13" t="s">
        <v>6660</v>
      </c>
      <c r="B532" s="6" t="s">
        <v>3901</v>
      </c>
      <c r="C532" s="5" t="s">
        <v>1652</v>
      </c>
      <c r="D532" s="5" t="s">
        <v>2195</v>
      </c>
      <c r="E532" s="5" t="s">
        <v>6661</v>
      </c>
      <c r="F532" s="5" t="s">
        <v>2828</v>
      </c>
      <c r="G532" s="5" t="s">
        <v>2396</v>
      </c>
      <c r="H532" s="5" t="s">
        <v>6662</v>
      </c>
      <c r="I532" s="5" t="s">
        <v>6663</v>
      </c>
      <c r="J532" s="17" t="s">
        <v>162</v>
      </c>
      <c r="K532" s="17" t="s">
        <v>95</v>
      </c>
      <c r="L532" s="5" t="s">
        <v>6664</v>
      </c>
      <c r="M532" s="6" t="s">
        <v>1493</v>
      </c>
      <c r="N532" s="6" t="s">
        <v>2170</v>
      </c>
      <c r="O532" s="6" t="s">
        <v>162</v>
      </c>
      <c r="P532" s="5" t="s">
        <v>2272</v>
      </c>
      <c r="Q532" s="17" t="s">
        <v>95</v>
      </c>
      <c r="R532" s="5" t="s">
        <v>6665</v>
      </c>
      <c r="S532" s="6" t="s">
        <v>2295</v>
      </c>
      <c r="T532" s="5" t="s">
        <v>2296</v>
      </c>
      <c r="U532" s="6"/>
      <c r="V532" s="6" t="s">
        <v>2297</v>
      </c>
      <c r="W532" s="6" t="s">
        <v>1697</v>
      </c>
      <c r="X532" s="5" t="s">
        <v>228</v>
      </c>
      <c r="Y532" s="5" t="s">
        <v>2170</v>
      </c>
      <c r="Z532" s="5" t="str">
        <f t="shared" si="16"/>
        <v>High</v>
      </c>
      <c r="AA532" s="5" t="s">
        <v>1302</v>
      </c>
      <c r="AB532" s="6" t="s">
        <v>1355</v>
      </c>
      <c r="AC532" s="6" t="s">
        <v>135</v>
      </c>
      <c r="AD532" s="5" t="s">
        <v>95</v>
      </c>
      <c r="AE532" s="5" t="s">
        <v>1720</v>
      </c>
      <c r="AF532" s="5" t="s">
        <v>1720</v>
      </c>
      <c r="AG532" s="5" t="s">
        <v>1720</v>
      </c>
      <c r="AH532" s="5" t="s">
        <v>1720</v>
      </c>
      <c r="AI532" s="6" t="str">
        <f t="shared" si="17"/>
        <v>No</v>
      </c>
      <c r="AJ532" s="6" t="s">
        <v>229</v>
      </c>
      <c r="AK532" s="6" t="s">
        <v>162</v>
      </c>
      <c r="AL532" s="6">
        <f>MATCH(AA532,{"Low","Medium","High"},0)*MATCH(AB532,{"Low","Medium","High"},0)*INDEX({3,2,2,1,1},MATCH(X532,{"Core","Vertical extension","Differentiator","Future","Adjacent"},0))</f>
        <v>9</v>
      </c>
      <c r="AM532" s="5"/>
      <c r="AN532" s="5"/>
      <c r="AO532" s="5"/>
      <c r="AP532" s="5"/>
      <c r="AQ532" s="5"/>
      <c r="AR532" s="5"/>
      <c r="AS532" s="5"/>
      <c r="AT532" s="5"/>
      <c r="AU532" s="6" t="s">
        <v>2317</v>
      </c>
      <c r="AV532" s="6" t="s">
        <v>76</v>
      </c>
      <c r="AW532" s="6" t="s">
        <v>76</v>
      </c>
      <c r="AX532" s="6" t="s">
        <v>2284</v>
      </c>
      <c r="AY532" s="6" t="s">
        <v>2285</v>
      </c>
      <c r="AZ532" s="6"/>
      <c r="BA532" s="6"/>
      <c r="BB532" s="6"/>
      <c r="BC532" s="6" t="s">
        <v>127</v>
      </c>
      <c r="BD532" s="6" t="s">
        <v>127</v>
      </c>
      <c r="BE532" s="6" t="s">
        <v>1477</v>
      </c>
      <c r="BF532" s="6" t="s">
        <v>95</v>
      </c>
      <c r="BG532" s="6" t="s">
        <v>6666</v>
      </c>
      <c r="BH532" s="6" t="s">
        <v>6667</v>
      </c>
    </row>
    <row r="533" spans="1:60" ht="32" customHeight="1" x14ac:dyDescent="0.35">
      <c r="A533" s="13" t="s">
        <v>6668</v>
      </c>
      <c r="B533" s="6" t="s">
        <v>3901</v>
      </c>
      <c r="C533" s="5" t="s">
        <v>1652</v>
      </c>
      <c r="D533" s="5" t="s">
        <v>2195</v>
      </c>
      <c r="E533" s="5" t="s">
        <v>6669</v>
      </c>
      <c r="F533" s="5" t="s">
        <v>2973</v>
      </c>
      <c r="G533" s="5" t="s">
        <v>6670</v>
      </c>
      <c r="H533" s="5" t="s">
        <v>6671</v>
      </c>
      <c r="I533" s="5" t="s">
        <v>6672</v>
      </c>
      <c r="J533" s="17" t="s">
        <v>162</v>
      </c>
      <c r="K533" s="17" t="s">
        <v>1477</v>
      </c>
      <c r="L533" s="5" t="s">
        <v>6673</v>
      </c>
      <c r="M533" s="6" t="s">
        <v>1493</v>
      </c>
      <c r="N533" s="6" t="s">
        <v>2170</v>
      </c>
      <c r="O533" s="6" t="s">
        <v>162</v>
      </c>
      <c r="P533" s="5" t="s">
        <v>2272</v>
      </c>
      <c r="Q533" s="17" t="s">
        <v>2273</v>
      </c>
      <c r="R533" s="5" t="s">
        <v>6674</v>
      </c>
      <c r="S533" s="6" t="s">
        <v>2295</v>
      </c>
      <c r="T533" s="5" t="s">
        <v>2296</v>
      </c>
      <c r="U533" s="6"/>
      <c r="V533" s="6" t="s">
        <v>2297</v>
      </c>
      <c r="W533" s="6" t="s">
        <v>1697</v>
      </c>
      <c r="X533" s="5" t="s">
        <v>228</v>
      </c>
      <c r="Y533" s="5" t="s">
        <v>2170</v>
      </c>
      <c r="Z533" s="5" t="str">
        <f t="shared" si="16"/>
        <v>High</v>
      </c>
      <c r="AA533" s="5" t="s">
        <v>1302</v>
      </c>
      <c r="AB533" s="6" t="s">
        <v>1355</v>
      </c>
      <c r="AC533" s="6" t="s">
        <v>135</v>
      </c>
      <c r="AD533" s="5" t="s">
        <v>2278</v>
      </c>
      <c r="AE533" s="5" t="s">
        <v>1720</v>
      </c>
      <c r="AF533" s="5" t="s">
        <v>1720</v>
      </c>
      <c r="AG533" s="5" t="s">
        <v>1720</v>
      </c>
      <c r="AH533" s="5" t="s">
        <v>1720</v>
      </c>
      <c r="AI533" s="6" t="str">
        <f t="shared" si="17"/>
        <v>No</v>
      </c>
      <c r="AJ533" s="6" t="s">
        <v>2298</v>
      </c>
      <c r="AK533" s="6" t="s">
        <v>162</v>
      </c>
      <c r="AL533" s="6">
        <f>MATCH(AA533,{"Low","Medium","High"},0)*MATCH(AB533,{"Low","Medium","High"},0)*INDEX({3,2,2,1,1},MATCH(X533,{"Core","Vertical extension","Differentiator","Future","Adjacent"},0))</f>
        <v>9</v>
      </c>
      <c r="AM533" s="5"/>
      <c r="AN533" s="5"/>
      <c r="AO533" s="5"/>
      <c r="AP533" s="5"/>
      <c r="AQ533" s="5"/>
      <c r="AR533" s="5"/>
      <c r="AS533" s="5"/>
      <c r="AT533" s="5"/>
      <c r="AU533" s="6" t="s">
        <v>2317</v>
      </c>
      <c r="AV533" s="6" t="s">
        <v>76</v>
      </c>
      <c r="AW533" s="6" t="s">
        <v>76</v>
      </c>
      <c r="AX533" s="6" t="s">
        <v>2284</v>
      </c>
      <c r="AY533" s="6" t="s">
        <v>2285</v>
      </c>
      <c r="AZ533" s="6"/>
      <c r="BA533" s="6"/>
      <c r="BB533" s="6"/>
      <c r="BC533" s="6" t="s">
        <v>127</v>
      </c>
      <c r="BD533" s="6" t="s">
        <v>127</v>
      </c>
      <c r="BE533" s="6" t="s">
        <v>1477</v>
      </c>
      <c r="BF533" s="6" t="s">
        <v>2286</v>
      </c>
      <c r="BG533" s="6" t="s">
        <v>6675</v>
      </c>
      <c r="BH533" s="6" t="s">
        <v>6676</v>
      </c>
    </row>
    <row r="534" spans="1:60" ht="32" customHeight="1" x14ac:dyDescent="0.35">
      <c r="A534" s="13" t="s">
        <v>6677</v>
      </c>
      <c r="B534" s="6" t="s">
        <v>3901</v>
      </c>
      <c r="C534" s="5" t="s">
        <v>1652</v>
      </c>
      <c r="D534" s="5" t="s">
        <v>2193</v>
      </c>
      <c r="E534" s="5" t="s">
        <v>6678</v>
      </c>
      <c r="F534" s="5" t="s">
        <v>6679</v>
      </c>
      <c r="G534" s="5" t="s">
        <v>2507</v>
      </c>
      <c r="H534" s="5" t="s">
        <v>6680</v>
      </c>
      <c r="I534" s="5" t="s">
        <v>6681</v>
      </c>
      <c r="J534" s="17" t="s">
        <v>162</v>
      </c>
      <c r="K534" s="17" t="s">
        <v>1477</v>
      </c>
      <c r="L534" s="5" t="s">
        <v>6682</v>
      </c>
      <c r="M534" s="6" t="s">
        <v>1493</v>
      </c>
      <c r="N534" s="6" t="s">
        <v>2170</v>
      </c>
      <c r="O534" s="6" t="s">
        <v>162</v>
      </c>
      <c r="P534" s="5" t="s">
        <v>2272</v>
      </c>
      <c r="Q534" s="17" t="s">
        <v>2273</v>
      </c>
      <c r="R534" s="5" t="s">
        <v>6683</v>
      </c>
      <c r="S534" s="6" t="s">
        <v>2470</v>
      </c>
      <c r="T534" s="5" t="s">
        <v>2471</v>
      </c>
      <c r="U534" s="6"/>
      <c r="V534" s="6" t="s">
        <v>2472</v>
      </c>
      <c r="W534" s="6" t="s">
        <v>1697</v>
      </c>
      <c r="X534" s="5" t="s">
        <v>228</v>
      </c>
      <c r="Y534" s="5" t="s">
        <v>2170</v>
      </c>
      <c r="Z534" s="5" t="str">
        <f t="shared" si="16"/>
        <v>Medium</v>
      </c>
      <c r="AA534" s="5" t="s">
        <v>1319</v>
      </c>
      <c r="AB534" s="6" t="s">
        <v>1355</v>
      </c>
      <c r="AC534" s="6" t="s">
        <v>135</v>
      </c>
      <c r="AD534" s="5" t="s">
        <v>2278</v>
      </c>
      <c r="AE534" s="5" t="s">
        <v>1720</v>
      </c>
      <c r="AF534" s="5" t="s">
        <v>1720</v>
      </c>
      <c r="AG534" s="5" t="s">
        <v>1720</v>
      </c>
      <c r="AH534" s="5" t="s">
        <v>1720</v>
      </c>
      <c r="AI534" s="6" t="str">
        <f t="shared" si="17"/>
        <v>No</v>
      </c>
      <c r="AJ534" s="6" t="s">
        <v>2298</v>
      </c>
      <c r="AK534" s="6" t="s">
        <v>162</v>
      </c>
      <c r="AL534" s="6">
        <f>MATCH(AA534,{"Low","Medium","High"},0)*MATCH(AB534,{"Low","Medium","High"},0)*INDEX({3,2,2,1,1},MATCH(X534,{"Core","Vertical extension","Differentiator","Future","Adjacent"},0))</f>
        <v>6</v>
      </c>
      <c r="AM534" s="5"/>
      <c r="AN534" s="5"/>
      <c r="AO534" s="5"/>
      <c r="AP534" s="5"/>
      <c r="AQ534" s="5"/>
      <c r="AR534" s="5"/>
      <c r="AS534" s="5"/>
      <c r="AT534" s="5"/>
      <c r="AU534" s="6" t="s">
        <v>2317</v>
      </c>
      <c r="AV534" s="6" t="s">
        <v>76</v>
      </c>
      <c r="AW534" s="6" t="s">
        <v>76</v>
      </c>
      <c r="AX534" s="6" t="s">
        <v>2284</v>
      </c>
      <c r="AY534" s="6" t="s">
        <v>2285</v>
      </c>
      <c r="AZ534" s="6"/>
      <c r="BA534" s="6"/>
      <c r="BB534" s="6"/>
      <c r="BC534" s="6" t="s">
        <v>127</v>
      </c>
      <c r="BD534" s="6" t="s">
        <v>127</v>
      </c>
      <c r="BE534" s="6" t="s">
        <v>1477</v>
      </c>
      <c r="BF534" s="6" t="s">
        <v>2286</v>
      </c>
      <c r="BG534" s="6" t="s">
        <v>6684</v>
      </c>
      <c r="BH534" s="6" t="s">
        <v>6685</v>
      </c>
    </row>
    <row r="535" spans="1:60" ht="32" customHeight="1" x14ac:dyDescent="0.35">
      <c r="A535" s="13" t="s">
        <v>6686</v>
      </c>
      <c r="B535" s="6" t="s">
        <v>3901</v>
      </c>
      <c r="C535" s="5" t="s">
        <v>1652</v>
      </c>
      <c r="D535" s="5" t="s">
        <v>2187</v>
      </c>
      <c r="E535" s="5" t="s">
        <v>6687</v>
      </c>
      <c r="F535" s="5" t="s">
        <v>6688</v>
      </c>
      <c r="G535" s="5" t="s">
        <v>1669</v>
      </c>
      <c r="H535" s="5" t="s">
        <v>6689</v>
      </c>
      <c r="I535" s="5" t="s">
        <v>6690</v>
      </c>
      <c r="J535" s="17" t="s">
        <v>162</v>
      </c>
      <c r="K535" s="17" t="s">
        <v>1477</v>
      </c>
      <c r="L535" s="5" t="s">
        <v>6691</v>
      </c>
      <c r="M535" s="6" t="s">
        <v>1493</v>
      </c>
      <c r="N535" s="6" t="s">
        <v>2170</v>
      </c>
      <c r="O535" s="6" t="s">
        <v>162</v>
      </c>
      <c r="P535" s="5" t="s">
        <v>2272</v>
      </c>
      <c r="Q535" s="17" t="s">
        <v>2273</v>
      </c>
      <c r="R535" s="5" t="s">
        <v>6692</v>
      </c>
      <c r="S535" s="6" t="s">
        <v>2345</v>
      </c>
      <c r="T535" s="5" t="s">
        <v>2346</v>
      </c>
      <c r="U535" s="6"/>
      <c r="V535" s="6" t="s">
        <v>2347</v>
      </c>
      <c r="W535" s="6" t="s">
        <v>1697</v>
      </c>
      <c r="X535" s="5" t="s">
        <v>228</v>
      </c>
      <c r="Y535" s="5" t="s">
        <v>2170</v>
      </c>
      <c r="Z535" s="5" t="str">
        <f t="shared" si="16"/>
        <v>High</v>
      </c>
      <c r="AA535" s="5" t="s">
        <v>1302</v>
      </c>
      <c r="AB535" s="6" t="s">
        <v>1355</v>
      </c>
      <c r="AC535" s="6" t="s">
        <v>135</v>
      </c>
      <c r="AD535" s="5" t="s">
        <v>2278</v>
      </c>
      <c r="AE535" s="5" t="s">
        <v>1720</v>
      </c>
      <c r="AF535" s="5" t="s">
        <v>1720</v>
      </c>
      <c r="AG535" s="5" t="s">
        <v>1720</v>
      </c>
      <c r="AH535" s="5" t="s">
        <v>1720</v>
      </c>
      <c r="AI535" s="6" t="str">
        <f t="shared" si="17"/>
        <v>No</v>
      </c>
      <c r="AJ535" s="6" t="s">
        <v>2298</v>
      </c>
      <c r="AK535" s="6" t="s">
        <v>162</v>
      </c>
      <c r="AL535" s="6">
        <f>MATCH(AA535,{"Low","Medium","High"},0)*MATCH(AB535,{"Low","Medium","High"},0)*INDEX({3,2,2,1,1},MATCH(X535,{"Core","Vertical extension","Differentiator","Future","Adjacent"},0))</f>
        <v>9</v>
      </c>
      <c r="AM535" s="5"/>
      <c r="AN535" s="5"/>
      <c r="AO535" s="5"/>
      <c r="AP535" s="5"/>
      <c r="AQ535" s="5"/>
      <c r="AR535" s="5"/>
      <c r="AS535" s="5"/>
      <c r="AT535" s="5"/>
      <c r="AU535" s="6" t="s">
        <v>2317</v>
      </c>
      <c r="AV535" s="6" t="s">
        <v>3968</v>
      </c>
      <c r="AW535" s="6" t="s">
        <v>3968</v>
      </c>
      <c r="AX535" s="6" t="s">
        <v>2284</v>
      </c>
      <c r="AY535" s="6" t="s">
        <v>2285</v>
      </c>
      <c r="AZ535" s="6"/>
      <c r="BA535" s="6"/>
      <c r="BB535" s="6"/>
      <c r="BC535" s="6" t="s">
        <v>127</v>
      </c>
      <c r="BD535" s="6" t="s">
        <v>127</v>
      </c>
      <c r="BE535" s="6" t="s">
        <v>1477</v>
      </c>
      <c r="BF535" s="6" t="s">
        <v>2286</v>
      </c>
      <c r="BG535" s="6" t="s">
        <v>6693</v>
      </c>
      <c r="BH535" s="6" t="s">
        <v>6694</v>
      </c>
    </row>
    <row r="536" spans="1:60" ht="32" customHeight="1" x14ac:dyDescent="0.35">
      <c r="A536" s="13" t="s">
        <v>6695</v>
      </c>
      <c r="B536" s="6" t="s">
        <v>3901</v>
      </c>
      <c r="C536" s="5" t="s">
        <v>1652</v>
      </c>
      <c r="D536" s="5" t="s">
        <v>2189</v>
      </c>
      <c r="E536" s="5" t="s">
        <v>6696</v>
      </c>
      <c r="F536" s="5" t="s">
        <v>6697</v>
      </c>
      <c r="G536" s="5" t="s">
        <v>2813</v>
      </c>
      <c r="H536" s="5" t="s">
        <v>6698</v>
      </c>
      <c r="I536" s="5" t="s">
        <v>6699</v>
      </c>
      <c r="J536" s="17" t="s">
        <v>162</v>
      </c>
      <c r="K536" s="17" t="s">
        <v>1477</v>
      </c>
      <c r="L536" s="5" t="s">
        <v>6700</v>
      </c>
      <c r="M536" s="6" t="s">
        <v>1493</v>
      </c>
      <c r="N536" s="6" t="s">
        <v>2170</v>
      </c>
      <c r="O536" s="6" t="s">
        <v>162</v>
      </c>
      <c r="P536" s="5" t="s">
        <v>2272</v>
      </c>
      <c r="Q536" s="18" t="s">
        <v>1482</v>
      </c>
      <c r="R536" s="5" t="s">
        <v>3387</v>
      </c>
      <c r="S536" s="6" t="s">
        <v>2325</v>
      </c>
      <c r="T536" s="5" t="s">
        <v>2326</v>
      </c>
      <c r="U536" s="6"/>
      <c r="V536" s="6" t="s">
        <v>2327</v>
      </c>
      <c r="W536" s="6" t="s">
        <v>1699</v>
      </c>
      <c r="X536" s="5" t="s">
        <v>228</v>
      </c>
      <c r="Y536" s="5" t="s">
        <v>2170</v>
      </c>
      <c r="Z536" s="5" t="str">
        <f t="shared" si="16"/>
        <v>Medium</v>
      </c>
      <c r="AA536" s="5" t="s">
        <v>1319</v>
      </c>
      <c r="AB536" s="6" t="s">
        <v>1355</v>
      </c>
      <c r="AC536" s="6" t="s">
        <v>135</v>
      </c>
      <c r="AD536" s="5" t="s">
        <v>2278</v>
      </c>
      <c r="AE536" s="5" t="s">
        <v>1720</v>
      </c>
      <c r="AF536" s="5" t="s">
        <v>1720</v>
      </c>
      <c r="AG536" s="5" t="s">
        <v>1720</v>
      </c>
      <c r="AH536" s="5" t="s">
        <v>1720</v>
      </c>
      <c r="AI536" s="6" t="str">
        <f t="shared" si="17"/>
        <v>No</v>
      </c>
      <c r="AJ536" s="6" t="s">
        <v>2298</v>
      </c>
      <c r="AK536" s="6" t="s">
        <v>162</v>
      </c>
      <c r="AL536" s="6">
        <f>MATCH(AA536,{"Low","Medium","High"},0)*MATCH(AB536,{"Low","Medium","High"},0)*INDEX({3,2,2,1,1},MATCH(X536,{"Core","Vertical extension","Differentiator","Future","Adjacent"},0))</f>
        <v>6</v>
      </c>
      <c r="AM536" s="5"/>
      <c r="AN536" s="5"/>
      <c r="AO536" s="5"/>
      <c r="AP536" s="5"/>
      <c r="AQ536" s="5"/>
      <c r="AR536" s="5"/>
      <c r="AS536" s="5"/>
      <c r="AT536" s="5"/>
      <c r="AU536" s="6" t="s">
        <v>2317</v>
      </c>
      <c r="AV536" s="6" t="s">
        <v>3968</v>
      </c>
      <c r="AW536" s="6" t="s">
        <v>3968</v>
      </c>
      <c r="AX536" s="6" t="s">
        <v>2284</v>
      </c>
      <c r="AY536" s="6" t="s">
        <v>2285</v>
      </c>
      <c r="AZ536" s="6"/>
      <c r="BA536" s="6" t="s">
        <v>3388</v>
      </c>
      <c r="BB536" s="6" t="s">
        <v>3389</v>
      </c>
      <c r="BC536" s="6" t="s">
        <v>127</v>
      </c>
      <c r="BD536" s="6" t="s">
        <v>127</v>
      </c>
      <c r="BE536" s="6"/>
      <c r="BF536" s="6"/>
      <c r="BG536" s="6"/>
      <c r="BH536" s="6"/>
    </row>
    <row r="537" spans="1:60" ht="32" customHeight="1" x14ac:dyDescent="0.35">
      <c r="A537" s="13" t="s">
        <v>6701</v>
      </c>
      <c r="B537" s="6" t="s">
        <v>3901</v>
      </c>
      <c r="C537" s="5" t="s">
        <v>1652</v>
      </c>
      <c r="D537" s="5" t="s">
        <v>2189</v>
      </c>
      <c r="E537" s="5" t="s">
        <v>6702</v>
      </c>
      <c r="F537" s="5" t="s">
        <v>6703</v>
      </c>
      <c r="G537" s="5" t="s">
        <v>2813</v>
      </c>
      <c r="H537" s="5" t="s">
        <v>6704</v>
      </c>
      <c r="I537" s="5" t="s">
        <v>6705</v>
      </c>
      <c r="J537" s="19" t="s">
        <v>204</v>
      </c>
      <c r="K537" s="17" t="s">
        <v>95</v>
      </c>
      <c r="L537" s="5" t="s">
        <v>6706</v>
      </c>
      <c r="M537" s="6" t="s">
        <v>1493</v>
      </c>
      <c r="N537" s="6" t="s">
        <v>2170</v>
      </c>
      <c r="O537" s="6" t="s">
        <v>204</v>
      </c>
      <c r="P537" s="5" t="s">
        <v>2272</v>
      </c>
      <c r="Q537" s="17" t="s">
        <v>95</v>
      </c>
      <c r="R537" s="5" t="s">
        <v>6707</v>
      </c>
      <c r="S537" s="6" t="s">
        <v>2325</v>
      </c>
      <c r="T537" s="5" t="s">
        <v>2326</v>
      </c>
      <c r="U537" s="6"/>
      <c r="V537" s="6" t="s">
        <v>2327</v>
      </c>
      <c r="W537" s="6" t="s">
        <v>1699</v>
      </c>
      <c r="X537" s="5" t="s">
        <v>228</v>
      </c>
      <c r="Y537" s="5" t="s">
        <v>2170</v>
      </c>
      <c r="Z537" s="5" t="str">
        <f t="shared" si="16"/>
        <v>Medium</v>
      </c>
      <c r="AA537" s="5" t="s">
        <v>1319</v>
      </c>
      <c r="AB537" s="6" t="s">
        <v>1355</v>
      </c>
      <c r="AC537" s="6" t="s">
        <v>32</v>
      </c>
      <c r="AD537" s="5" t="s">
        <v>95</v>
      </c>
      <c r="AE537" s="5" t="s">
        <v>1720</v>
      </c>
      <c r="AF537" s="5" t="s">
        <v>1720</v>
      </c>
      <c r="AG537" s="5" t="s">
        <v>1720</v>
      </c>
      <c r="AH537" s="5" t="s">
        <v>1720</v>
      </c>
      <c r="AI537" s="6" t="str">
        <f t="shared" si="17"/>
        <v>No</v>
      </c>
      <c r="AJ537" s="6" t="s">
        <v>229</v>
      </c>
      <c r="AK537" s="6" t="s">
        <v>204</v>
      </c>
      <c r="AL537" s="6">
        <f>MATCH(AA537,{"Low","Medium","High"},0)*MATCH(AB537,{"Low","Medium","High"},0)*INDEX({3,2,2,1,1},MATCH(X537,{"Core","Vertical extension","Differentiator","Future","Adjacent"},0))</f>
        <v>6</v>
      </c>
      <c r="AM537" s="5"/>
      <c r="AN537" s="5"/>
      <c r="AO537" s="5"/>
      <c r="AP537" s="5"/>
      <c r="AQ537" s="5"/>
      <c r="AR537" s="5"/>
      <c r="AS537" s="5"/>
      <c r="AT537" s="5"/>
      <c r="AU537" s="6" t="s">
        <v>2317</v>
      </c>
      <c r="AV537" s="6" t="s">
        <v>3968</v>
      </c>
      <c r="AW537" s="6" t="s">
        <v>3968</v>
      </c>
      <c r="AX537" s="6" t="s">
        <v>2284</v>
      </c>
      <c r="AY537" s="6" t="s">
        <v>2285</v>
      </c>
      <c r="AZ537" s="6"/>
      <c r="BA537" s="6"/>
      <c r="BB537" s="6"/>
      <c r="BC537" s="6" t="s">
        <v>127</v>
      </c>
      <c r="BD537" s="6" t="s">
        <v>127</v>
      </c>
      <c r="BE537" s="6" t="s">
        <v>1477</v>
      </c>
      <c r="BF537" s="6" t="s">
        <v>95</v>
      </c>
      <c r="BG537" s="6" t="s">
        <v>6708</v>
      </c>
      <c r="BH537" s="6" t="s">
        <v>6709</v>
      </c>
    </row>
    <row r="538" spans="1:60" ht="32" customHeight="1" x14ac:dyDescent="0.35">
      <c r="A538" s="13" t="s">
        <v>6710</v>
      </c>
      <c r="B538" s="6" t="s">
        <v>3901</v>
      </c>
      <c r="C538" s="5" t="s">
        <v>1652</v>
      </c>
      <c r="D538" s="5" t="s">
        <v>2193</v>
      </c>
      <c r="E538" s="5" t="s">
        <v>6711</v>
      </c>
      <c r="F538" s="5" t="s">
        <v>6712</v>
      </c>
      <c r="G538" s="5" t="s">
        <v>1669</v>
      </c>
      <c r="H538" s="5" t="s">
        <v>6713</v>
      </c>
      <c r="I538" s="5" t="s">
        <v>6714</v>
      </c>
      <c r="J538" s="19" t="s">
        <v>204</v>
      </c>
      <c r="K538" s="17" t="s">
        <v>163</v>
      </c>
      <c r="L538" s="5" t="s">
        <v>6715</v>
      </c>
      <c r="M538" s="6" t="s">
        <v>1493</v>
      </c>
      <c r="N538" s="6" t="s">
        <v>2170</v>
      </c>
      <c r="O538" s="6" t="s">
        <v>204</v>
      </c>
      <c r="P538" s="5" t="s">
        <v>2272</v>
      </c>
      <c r="Q538" s="17" t="s">
        <v>163</v>
      </c>
      <c r="R538" s="5" t="s">
        <v>6716</v>
      </c>
      <c r="S538" s="6" t="s">
        <v>2470</v>
      </c>
      <c r="T538" s="5" t="s">
        <v>2471</v>
      </c>
      <c r="U538" s="6"/>
      <c r="V538" s="6" t="s">
        <v>2472</v>
      </c>
      <c r="W538" s="6" t="s">
        <v>1697</v>
      </c>
      <c r="X538" s="5" t="s">
        <v>228</v>
      </c>
      <c r="Y538" s="5" t="s">
        <v>2170</v>
      </c>
      <c r="Z538" s="5" t="str">
        <f t="shared" si="16"/>
        <v>Medium</v>
      </c>
      <c r="AA538" s="5" t="s">
        <v>1319</v>
      </c>
      <c r="AB538" s="6" t="s">
        <v>1355</v>
      </c>
      <c r="AC538" s="6" t="s">
        <v>32</v>
      </c>
      <c r="AD538" s="5" t="s">
        <v>1805</v>
      </c>
      <c r="AE538" s="5" t="s">
        <v>1720</v>
      </c>
      <c r="AF538" s="5" t="s">
        <v>1720</v>
      </c>
      <c r="AG538" s="5" t="s">
        <v>1720</v>
      </c>
      <c r="AH538" s="5" t="s">
        <v>1720</v>
      </c>
      <c r="AI538" s="6" t="str">
        <f t="shared" si="17"/>
        <v>No</v>
      </c>
      <c r="AJ538" s="6" t="s">
        <v>287</v>
      </c>
      <c r="AK538" s="6" t="s">
        <v>204</v>
      </c>
      <c r="AL538" s="6">
        <f>MATCH(AA538,{"Low","Medium","High"},0)*MATCH(AB538,{"Low","Medium","High"},0)*INDEX({3,2,2,1,1},MATCH(X538,{"Core","Vertical extension","Differentiator","Future","Adjacent"},0))</f>
        <v>6</v>
      </c>
      <c r="AM538" s="5"/>
      <c r="AN538" s="5"/>
      <c r="AO538" s="5"/>
      <c r="AP538" s="5"/>
      <c r="AQ538" s="5"/>
      <c r="AR538" s="5"/>
      <c r="AS538" s="5"/>
      <c r="AT538" s="5"/>
      <c r="AU538" s="6" t="s">
        <v>2317</v>
      </c>
      <c r="AV538" s="6" t="s">
        <v>3968</v>
      </c>
      <c r="AW538" s="6" t="s">
        <v>3968</v>
      </c>
      <c r="AX538" s="6" t="s">
        <v>2284</v>
      </c>
      <c r="AY538" s="6" t="s">
        <v>2285</v>
      </c>
      <c r="AZ538" s="6"/>
      <c r="BA538" s="6"/>
      <c r="BB538" s="6"/>
      <c r="BC538" s="6" t="s">
        <v>127</v>
      </c>
      <c r="BD538" s="6" t="s">
        <v>127</v>
      </c>
      <c r="BE538" s="6" t="s">
        <v>1477</v>
      </c>
      <c r="BF538" s="6" t="s">
        <v>288</v>
      </c>
      <c r="BG538" s="6" t="s">
        <v>3533</v>
      </c>
      <c r="BH538" s="6" t="s">
        <v>6717</v>
      </c>
    </row>
    <row r="539" spans="1:60" ht="32" customHeight="1" x14ac:dyDescent="0.35">
      <c r="A539" s="13" t="s">
        <v>6718</v>
      </c>
      <c r="B539" s="6" t="s">
        <v>3901</v>
      </c>
      <c r="C539" s="5" t="s">
        <v>1652</v>
      </c>
      <c r="D539" s="5" t="s">
        <v>2201</v>
      </c>
      <c r="E539" s="5" t="s">
        <v>6719</v>
      </c>
      <c r="F539" s="5" t="s">
        <v>2788</v>
      </c>
      <c r="G539" s="5" t="s">
        <v>2846</v>
      </c>
      <c r="H539" s="5" t="s">
        <v>6720</v>
      </c>
      <c r="I539" s="5" t="s">
        <v>6721</v>
      </c>
      <c r="J539" s="17" t="s">
        <v>162</v>
      </c>
      <c r="K539" s="17" t="s">
        <v>95</v>
      </c>
      <c r="L539" s="5" t="s">
        <v>6722</v>
      </c>
      <c r="M539" s="6" t="s">
        <v>1493</v>
      </c>
      <c r="N539" s="6" t="s">
        <v>2170</v>
      </c>
      <c r="O539" s="6" t="s">
        <v>162</v>
      </c>
      <c r="P539" s="5" t="s">
        <v>2272</v>
      </c>
      <c r="Q539" s="17" t="s">
        <v>95</v>
      </c>
      <c r="R539" s="5" t="s">
        <v>6723</v>
      </c>
      <c r="S539" s="6" t="s">
        <v>6358</v>
      </c>
      <c r="T539" s="5" t="s">
        <v>6359</v>
      </c>
      <c r="U539" s="6"/>
      <c r="V539" s="6" t="s">
        <v>2277</v>
      </c>
      <c r="W539" s="6" t="s">
        <v>1697</v>
      </c>
      <c r="X539" s="5" t="s">
        <v>228</v>
      </c>
      <c r="Y539" s="5" t="s">
        <v>2170</v>
      </c>
      <c r="Z539" s="5" t="str">
        <f t="shared" si="16"/>
        <v>Medium</v>
      </c>
      <c r="AA539" s="5" t="s">
        <v>1319</v>
      </c>
      <c r="AB539" s="6" t="s">
        <v>1355</v>
      </c>
      <c r="AC539" s="6" t="s">
        <v>135</v>
      </c>
      <c r="AD539" s="5" t="s">
        <v>95</v>
      </c>
      <c r="AE539" s="5" t="s">
        <v>1720</v>
      </c>
      <c r="AF539" s="5" t="s">
        <v>1720</v>
      </c>
      <c r="AG539" s="5" t="s">
        <v>1720</v>
      </c>
      <c r="AH539" s="5" t="s">
        <v>1720</v>
      </c>
      <c r="AI539" s="6" t="str">
        <f t="shared" si="17"/>
        <v>No</v>
      </c>
      <c r="AJ539" s="6" t="s">
        <v>229</v>
      </c>
      <c r="AK539" s="6" t="s">
        <v>162</v>
      </c>
      <c r="AL539" s="6">
        <f>MATCH(AA539,{"Low","Medium","High"},0)*MATCH(AB539,{"Low","Medium","High"},0)*INDEX({3,2,2,1,1},MATCH(X539,{"Core","Vertical extension","Differentiator","Future","Adjacent"},0))</f>
        <v>6</v>
      </c>
      <c r="AM539" s="5"/>
      <c r="AN539" s="5"/>
      <c r="AO539" s="5"/>
      <c r="AP539" s="5"/>
      <c r="AQ539" s="5"/>
      <c r="AR539" s="5"/>
      <c r="AS539" s="5"/>
      <c r="AT539" s="5"/>
      <c r="AU539" s="6" t="s">
        <v>2317</v>
      </c>
      <c r="AV539" s="6" t="s">
        <v>2794</v>
      </c>
      <c r="AW539" s="6" t="s">
        <v>2794</v>
      </c>
      <c r="AX539" s="6" t="s">
        <v>2284</v>
      </c>
      <c r="AY539" s="6" t="s">
        <v>2285</v>
      </c>
      <c r="AZ539" s="6"/>
      <c r="BA539" s="6"/>
      <c r="BB539" s="6"/>
      <c r="BC539" s="6" t="s">
        <v>127</v>
      </c>
      <c r="BD539" s="6" t="s">
        <v>127</v>
      </c>
      <c r="BE539" s="6" t="s">
        <v>1477</v>
      </c>
      <c r="BF539" s="6" t="s">
        <v>95</v>
      </c>
      <c r="BG539" s="6" t="s">
        <v>6724</v>
      </c>
      <c r="BH539" s="6" t="s">
        <v>6725</v>
      </c>
    </row>
    <row r="540" spans="1:60" ht="32" customHeight="1" x14ac:dyDescent="0.35">
      <c r="A540" s="13" t="s">
        <v>6726</v>
      </c>
      <c r="B540" s="6" t="s">
        <v>3901</v>
      </c>
      <c r="C540" s="5" t="s">
        <v>1652</v>
      </c>
      <c r="D540" s="5" t="s">
        <v>2201</v>
      </c>
      <c r="E540" s="5" t="s">
        <v>6727</v>
      </c>
      <c r="F540" s="5" t="s">
        <v>2788</v>
      </c>
      <c r="G540" s="5" t="s">
        <v>3734</v>
      </c>
      <c r="H540" s="5" t="s">
        <v>6728</v>
      </c>
      <c r="I540" s="5" t="s">
        <v>6729</v>
      </c>
      <c r="J540" s="17" t="s">
        <v>162</v>
      </c>
      <c r="K540" s="17" t="s">
        <v>163</v>
      </c>
      <c r="L540" s="5" t="s">
        <v>6730</v>
      </c>
      <c r="M540" s="6" t="s">
        <v>1493</v>
      </c>
      <c r="N540" s="6" t="s">
        <v>2170</v>
      </c>
      <c r="O540" s="6" t="s">
        <v>162</v>
      </c>
      <c r="P540" s="5" t="s">
        <v>2272</v>
      </c>
      <c r="Q540" s="17" t="s">
        <v>163</v>
      </c>
      <c r="R540" s="5" t="s">
        <v>6731</v>
      </c>
      <c r="S540" s="6" t="s">
        <v>6358</v>
      </c>
      <c r="T540" s="5" t="s">
        <v>6359</v>
      </c>
      <c r="U540" s="6"/>
      <c r="V540" s="6" t="s">
        <v>2277</v>
      </c>
      <c r="W540" s="6" t="s">
        <v>1697</v>
      </c>
      <c r="X540" s="5" t="s">
        <v>228</v>
      </c>
      <c r="Y540" s="5" t="s">
        <v>2170</v>
      </c>
      <c r="Z540" s="5" t="str">
        <f t="shared" si="16"/>
        <v>Medium</v>
      </c>
      <c r="AA540" s="5" t="s">
        <v>1319</v>
      </c>
      <c r="AB540" s="6" t="s">
        <v>1355</v>
      </c>
      <c r="AC540" s="6" t="s">
        <v>135</v>
      </c>
      <c r="AD540" s="5" t="s">
        <v>1805</v>
      </c>
      <c r="AE540" s="5" t="s">
        <v>1720</v>
      </c>
      <c r="AF540" s="5" t="s">
        <v>1720</v>
      </c>
      <c r="AG540" s="5" t="s">
        <v>1720</v>
      </c>
      <c r="AH540" s="5" t="s">
        <v>1720</v>
      </c>
      <c r="AI540" s="6" t="str">
        <f t="shared" si="17"/>
        <v>No</v>
      </c>
      <c r="AJ540" s="6" t="s">
        <v>287</v>
      </c>
      <c r="AK540" s="6" t="s">
        <v>162</v>
      </c>
      <c r="AL540" s="6">
        <f>MATCH(AA540,{"Low","Medium","High"},0)*MATCH(AB540,{"Low","Medium","High"},0)*INDEX({3,2,2,1,1},MATCH(X540,{"Core","Vertical extension","Differentiator","Future","Adjacent"},0))</f>
        <v>6</v>
      </c>
      <c r="AM540" s="5"/>
      <c r="AN540" s="5"/>
      <c r="AO540" s="5"/>
      <c r="AP540" s="5"/>
      <c r="AQ540" s="5"/>
      <c r="AR540" s="5"/>
      <c r="AS540" s="5"/>
      <c r="AT540" s="5"/>
      <c r="AU540" s="6" t="s">
        <v>2317</v>
      </c>
      <c r="AV540" s="6" t="s">
        <v>2794</v>
      </c>
      <c r="AW540" s="6" t="s">
        <v>2794</v>
      </c>
      <c r="AX540" s="6" t="s">
        <v>2284</v>
      </c>
      <c r="AY540" s="6" t="s">
        <v>2285</v>
      </c>
      <c r="AZ540" s="6"/>
      <c r="BA540" s="6"/>
      <c r="BB540" s="6"/>
      <c r="BC540" s="6" t="s">
        <v>127</v>
      </c>
      <c r="BD540" s="6" t="s">
        <v>127</v>
      </c>
      <c r="BE540" s="6" t="s">
        <v>1477</v>
      </c>
      <c r="BF540" s="6" t="s">
        <v>288</v>
      </c>
      <c r="BG540" s="6" t="s">
        <v>6732</v>
      </c>
      <c r="BH540" s="6" t="s">
        <v>6733</v>
      </c>
    </row>
    <row r="541" spans="1:60" ht="32" customHeight="1" x14ac:dyDescent="0.35">
      <c r="A541" s="13" t="s">
        <v>6734</v>
      </c>
      <c r="B541" s="6" t="s">
        <v>3901</v>
      </c>
      <c r="C541" s="5" t="s">
        <v>1652</v>
      </c>
      <c r="D541" s="5" t="s">
        <v>2201</v>
      </c>
      <c r="E541" s="5" t="s">
        <v>6735</v>
      </c>
      <c r="F541" s="5" t="s">
        <v>2788</v>
      </c>
      <c r="G541" s="5" t="s">
        <v>3734</v>
      </c>
      <c r="H541" s="5" t="s">
        <v>6736</v>
      </c>
      <c r="I541" s="5" t="s">
        <v>6737</v>
      </c>
      <c r="J541" s="17" t="s">
        <v>162</v>
      </c>
      <c r="K541" s="17" t="s">
        <v>1477</v>
      </c>
      <c r="L541" s="5" t="s">
        <v>6738</v>
      </c>
      <c r="M541" s="6" t="s">
        <v>1493</v>
      </c>
      <c r="N541" s="6" t="s">
        <v>2170</v>
      </c>
      <c r="O541" s="6" t="s">
        <v>162</v>
      </c>
      <c r="P541" s="5" t="s">
        <v>2272</v>
      </c>
      <c r="Q541" s="17" t="s">
        <v>2273</v>
      </c>
      <c r="R541" s="5" t="s">
        <v>6739</v>
      </c>
      <c r="S541" s="6" t="s">
        <v>6358</v>
      </c>
      <c r="T541" s="5" t="s">
        <v>6359</v>
      </c>
      <c r="U541" s="6"/>
      <c r="V541" s="6" t="s">
        <v>2277</v>
      </c>
      <c r="W541" s="6" t="s">
        <v>1697</v>
      </c>
      <c r="X541" s="5" t="s">
        <v>228</v>
      </c>
      <c r="Y541" s="5" t="s">
        <v>2170</v>
      </c>
      <c r="Z541" s="5" t="str">
        <f t="shared" si="16"/>
        <v>Medium</v>
      </c>
      <c r="AA541" s="5" t="s">
        <v>1319</v>
      </c>
      <c r="AB541" s="6" t="s">
        <v>1355</v>
      </c>
      <c r="AC541" s="6" t="s">
        <v>135</v>
      </c>
      <c r="AD541" s="5" t="s">
        <v>2278</v>
      </c>
      <c r="AE541" s="5" t="s">
        <v>1720</v>
      </c>
      <c r="AF541" s="5" t="s">
        <v>1720</v>
      </c>
      <c r="AG541" s="5" t="s">
        <v>1720</v>
      </c>
      <c r="AH541" s="5" t="s">
        <v>1720</v>
      </c>
      <c r="AI541" s="6" t="str">
        <f t="shared" si="17"/>
        <v>No</v>
      </c>
      <c r="AJ541" s="6" t="s">
        <v>2298</v>
      </c>
      <c r="AK541" s="6" t="s">
        <v>162</v>
      </c>
      <c r="AL541" s="6">
        <f>MATCH(AA541,{"Low","Medium","High"},0)*MATCH(AB541,{"Low","Medium","High"},0)*INDEX({3,2,2,1,1},MATCH(X541,{"Core","Vertical extension","Differentiator","Future","Adjacent"},0))</f>
        <v>6</v>
      </c>
      <c r="AM541" s="5"/>
      <c r="AN541" s="5"/>
      <c r="AO541" s="5"/>
      <c r="AP541" s="5"/>
      <c r="AQ541" s="5"/>
      <c r="AR541" s="5"/>
      <c r="AS541" s="5"/>
      <c r="AT541" s="5"/>
      <c r="AU541" s="6" t="s">
        <v>2317</v>
      </c>
      <c r="AV541" s="6" t="s">
        <v>2794</v>
      </c>
      <c r="AW541" s="6" t="s">
        <v>2794</v>
      </c>
      <c r="AX541" s="6" t="s">
        <v>2284</v>
      </c>
      <c r="AY541" s="6" t="s">
        <v>2285</v>
      </c>
      <c r="AZ541" s="6"/>
      <c r="BA541" s="6"/>
      <c r="BB541" s="6"/>
      <c r="BC541" s="6" t="s">
        <v>127</v>
      </c>
      <c r="BD541" s="6" t="s">
        <v>127</v>
      </c>
      <c r="BE541" s="6" t="s">
        <v>1477</v>
      </c>
      <c r="BF541" s="6" t="s">
        <v>2286</v>
      </c>
      <c r="BG541" s="6" t="s">
        <v>6740</v>
      </c>
      <c r="BH541" s="6" t="s">
        <v>6741</v>
      </c>
    </row>
    <row r="542" spans="1:60" ht="32" customHeight="1" x14ac:dyDescent="0.35">
      <c r="A542" s="13" t="s">
        <v>6742</v>
      </c>
      <c r="B542" s="6" t="s">
        <v>3901</v>
      </c>
      <c r="C542" s="5" t="s">
        <v>1652</v>
      </c>
      <c r="D542" s="5" t="s">
        <v>2201</v>
      </c>
      <c r="E542" s="5" t="s">
        <v>6743</v>
      </c>
      <c r="F542" s="5" t="s">
        <v>3734</v>
      </c>
      <c r="G542" s="5" t="s">
        <v>6373</v>
      </c>
      <c r="H542" s="5" t="s">
        <v>6744</v>
      </c>
      <c r="I542" s="5" t="s">
        <v>6745</v>
      </c>
      <c r="J542" s="17" t="s">
        <v>162</v>
      </c>
      <c r="K542" s="17" t="s">
        <v>95</v>
      </c>
      <c r="L542" s="5" t="s">
        <v>6746</v>
      </c>
      <c r="M542" s="6" t="s">
        <v>1493</v>
      </c>
      <c r="N542" s="6" t="s">
        <v>2170</v>
      </c>
      <c r="O542" s="6" t="s">
        <v>162</v>
      </c>
      <c r="P542" s="5" t="s">
        <v>2272</v>
      </c>
      <c r="Q542" s="17" t="s">
        <v>95</v>
      </c>
      <c r="R542" s="5" t="s">
        <v>6747</v>
      </c>
      <c r="S542" s="6" t="s">
        <v>6358</v>
      </c>
      <c r="T542" s="5" t="s">
        <v>6359</v>
      </c>
      <c r="U542" s="6"/>
      <c r="V542" s="6" t="s">
        <v>2277</v>
      </c>
      <c r="W542" s="6" t="s">
        <v>1697</v>
      </c>
      <c r="X542" s="5" t="s">
        <v>228</v>
      </c>
      <c r="Y542" s="5" t="s">
        <v>2170</v>
      </c>
      <c r="Z542" s="5" t="str">
        <f t="shared" si="16"/>
        <v>Medium</v>
      </c>
      <c r="AA542" s="5" t="s">
        <v>1319</v>
      </c>
      <c r="AB542" s="6" t="s">
        <v>1355</v>
      </c>
      <c r="AC542" s="6" t="s">
        <v>135</v>
      </c>
      <c r="AD542" s="5" t="s">
        <v>95</v>
      </c>
      <c r="AE542" s="5" t="s">
        <v>1720</v>
      </c>
      <c r="AF542" s="5" t="s">
        <v>1720</v>
      </c>
      <c r="AG542" s="5" t="s">
        <v>1720</v>
      </c>
      <c r="AH542" s="5" t="s">
        <v>1720</v>
      </c>
      <c r="AI542" s="6" t="str">
        <f t="shared" si="17"/>
        <v>No</v>
      </c>
      <c r="AJ542" s="6" t="s">
        <v>229</v>
      </c>
      <c r="AK542" s="6" t="s">
        <v>162</v>
      </c>
      <c r="AL542" s="6">
        <f>MATCH(AA542,{"Low","Medium","High"},0)*MATCH(AB542,{"Low","Medium","High"},0)*INDEX({3,2,2,1,1},MATCH(X542,{"Core","Vertical extension","Differentiator","Future","Adjacent"},0))</f>
        <v>6</v>
      </c>
      <c r="AM542" s="5"/>
      <c r="AN542" s="5"/>
      <c r="AO542" s="5"/>
      <c r="AP542" s="5"/>
      <c r="AQ542" s="5"/>
      <c r="AR542" s="5"/>
      <c r="AS542" s="5"/>
      <c r="AT542" s="5"/>
      <c r="AU542" s="6" t="s">
        <v>2317</v>
      </c>
      <c r="AV542" s="6" t="s">
        <v>2794</v>
      </c>
      <c r="AW542" s="6" t="s">
        <v>2794</v>
      </c>
      <c r="AX542" s="6" t="s">
        <v>2284</v>
      </c>
      <c r="AY542" s="6" t="s">
        <v>2285</v>
      </c>
      <c r="AZ542" s="6"/>
      <c r="BA542" s="6" t="s">
        <v>3949</v>
      </c>
      <c r="BB542" s="6" t="s">
        <v>3950</v>
      </c>
      <c r="BC542" s="6" t="s">
        <v>127</v>
      </c>
      <c r="BD542" s="6" t="s">
        <v>127</v>
      </c>
      <c r="BE542" s="6" t="s">
        <v>1477</v>
      </c>
      <c r="BF542" s="6" t="s">
        <v>95</v>
      </c>
      <c r="BG542" s="6" t="s">
        <v>6748</v>
      </c>
      <c r="BH542" s="6" t="s">
        <v>6749</v>
      </c>
    </row>
    <row r="543" spans="1:60" ht="32" customHeight="1" x14ac:dyDescent="0.35">
      <c r="A543" s="13" t="s">
        <v>6750</v>
      </c>
      <c r="B543" s="6" t="s">
        <v>3901</v>
      </c>
      <c r="C543" s="5" t="s">
        <v>1652</v>
      </c>
      <c r="D543" s="5" t="s">
        <v>2201</v>
      </c>
      <c r="E543" s="5" t="s">
        <v>6751</v>
      </c>
      <c r="F543" s="5" t="s">
        <v>3734</v>
      </c>
      <c r="G543" s="5" t="s">
        <v>2396</v>
      </c>
      <c r="H543" s="5" t="s">
        <v>6752</v>
      </c>
      <c r="I543" s="5" t="s">
        <v>6753</v>
      </c>
      <c r="J543" s="17" t="s">
        <v>162</v>
      </c>
      <c r="K543" s="17" t="s">
        <v>95</v>
      </c>
      <c r="L543" s="5" t="s">
        <v>6754</v>
      </c>
      <c r="M543" s="6" t="s">
        <v>1493</v>
      </c>
      <c r="N543" s="6" t="s">
        <v>2170</v>
      </c>
      <c r="O543" s="6" t="s">
        <v>162</v>
      </c>
      <c r="P543" s="5" t="s">
        <v>2272</v>
      </c>
      <c r="Q543" s="17" t="s">
        <v>95</v>
      </c>
      <c r="R543" s="5" t="s">
        <v>6755</v>
      </c>
      <c r="S543" s="6" t="s">
        <v>6358</v>
      </c>
      <c r="T543" s="5" t="s">
        <v>6359</v>
      </c>
      <c r="U543" s="6"/>
      <c r="V543" s="6" t="s">
        <v>2277</v>
      </c>
      <c r="W543" s="6" t="s">
        <v>1697</v>
      </c>
      <c r="X543" s="5" t="s">
        <v>228</v>
      </c>
      <c r="Y543" s="5" t="s">
        <v>2170</v>
      </c>
      <c r="Z543" s="5" t="str">
        <f t="shared" si="16"/>
        <v>Medium</v>
      </c>
      <c r="AA543" s="5" t="s">
        <v>1319</v>
      </c>
      <c r="AB543" s="6" t="s">
        <v>1355</v>
      </c>
      <c r="AC543" s="6" t="s">
        <v>135</v>
      </c>
      <c r="AD543" s="5" t="s">
        <v>95</v>
      </c>
      <c r="AE543" s="5" t="s">
        <v>1720</v>
      </c>
      <c r="AF543" s="5" t="s">
        <v>1720</v>
      </c>
      <c r="AG543" s="5" t="s">
        <v>1720</v>
      </c>
      <c r="AH543" s="5" t="s">
        <v>1720</v>
      </c>
      <c r="AI543" s="6" t="str">
        <f t="shared" si="17"/>
        <v>No</v>
      </c>
      <c r="AJ543" s="6" t="s">
        <v>229</v>
      </c>
      <c r="AK543" s="6" t="s">
        <v>162</v>
      </c>
      <c r="AL543" s="6">
        <f>MATCH(AA543,{"Low","Medium","High"},0)*MATCH(AB543,{"Low","Medium","High"},0)*INDEX({3,2,2,1,1},MATCH(X543,{"Core","Vertical extension","Differentiator","Future","Adjacent"},0))</f>
        <v>6</v>
      </c>
      <c r="AM543" s="5"/>
      <c r="AN543" s="5"/>
      <c r="AO543" s="5"/>
      <c r="AP543" s="5"/>
      <c r="AQ543" s="5"/>
      <c r="AR543" s="5"/>
      <c r="AS543" s="5"/>
      <c r="AT543" s="5"/>
      <c r="AU543" s="6" t="s">
        <v>2317</v>
      </c>
      <c r="AV543" s="6" t="s">
        <v>2794</v>
      </c>
      <c r="AW543" s="6" t="s">
        <v>2794</v>
      </c>
      <c r="AX543" s="6" t="s">
        <v>2284</v>
      </c>
      <c r="AY543" s="6" t="s">
        <v>2285</v>
      </c>
      <c r="AZ543" s="6"/>
      <c r="BA543" s="6"/>
      <c r="BB543" s="6"/>
      <c r="BC543" s="6" t="s">
        <v>127</v>
      </c>
      <c r="BD543" s="6" t="s">
        <v>127</v>
      </c>
      <c r="BE543" s="6" t="s">
        <v>1477</v>
      </c>
      <c r="BF543" s="6" t="s">
        <v>95</v>
      </c>
      <c r="BG543" s="6" t="s">
        <v>6756</v>
      </c>
      <c r="BH543" s="6" t="s">
        <v>6757</v>
      </c>
    </row>
    <row r="544" spans="1:60" ht="32" customHeight="1" x14ac:dyDescent="0.35">
      <c r="A544" s="13" t="s">
        <v>6758</v>
      </c>
      <c r="B544" s="6" t="s">
        <v>3901</v>
      </c>
      <c r="C544" s="5" t="s">
        <v>1652</v>
      </c>
      <c r="D544" s="5" t="s">
        <v>2201</v>
      </c>
      <c r="E544" s="5" t="s">
        <v>6759</v>
      </c>
      <c r="F544" s="5" t="s">
        <v>6760</v>
      </c>
      <c r="G544" s="5" t="s">
        <v>3734</v>
      </c>
      <c r="H544" s="5" t="s">
        <v>6761</v>
      </c>
      <c r="I544" s="5" t="s">
        <v>6762</v>
      </c>
      <c r="J544" s="17" t="s">
        <v>162</v>
      </c>
      <c r="K544" s="17" t="s">
        <v>95</v>
      </c>
      <c r="L544" s="5" t="s">
        <v>6763</v>
      </c>
      <c r="M544" s="6" t="s">
        <v>1493</v>
      </c>
      <c r="N544" s="6" t="s">
        <v>2170</v>
      </c>
      <c r="O544" s="6" t="s">
        <v>162</v>
      </c>
      <c r="P544" s="5" t="s">
        <v>2272</v>
      </c>
      <c r="Q544" s="17" t="s">
        <v>95</v>
      </c>
      <c r="R544" s="5" t="s">
        <v>6764</v>
      </c>
      <c r="S544" s="6" t="s">
        <v>6358</v>
      </c>
      <c r="T544" s="5" t="s">
        <v>6359</v>
      </c>
      <c r="U544" s="6"/>
      <c r="V544" s="6" t="s">
        <v>2277</v>
      </c>
      <c r="W544" s="6" t="s">
        <v>1697</v>
      </c>
      <c r="X544" s="5" t="s">
        <v>228</v>
      </c>
      <c r="Y544" s="5" t="s">
        <v>2170</v>
      </c>
      <c r="Z544" s="5" t="str">
        <f t="shared" si="16"/>
        <v>Medium</v>
      </c>
      <c r="AA544" s="5" t="s">
        <v>1319</v>
      </c>
      <c r="AB544" s="6" t="s">
        <v>1355</v>
      </c>
      <c r="AC544" s="6" t="s">
        <v>135</v>
      </c>
      <c r="AD544" s="5" t="s">
        <v>95</v>
      </c>
      <c r="AE544" s="5" t="s">
        <v>1720</v>
      </c>
      <c r="AF544" s="5" t="s">
        <v>1720</v>
      </c>
      <c r="AG544" s="5" t="s">
        <v>1720</v>
      </c>
      <c r="AH544" s="5" t="s">
        <v>1720</v>
      </c>
      <c r="AI544" s="6" t="str">
        <f t="shared" si="17"/>
        <v>No</v>
      </c>
      <c r="AJ544" s="6" t="s">
        <v>229</v>
      </c>
      <c r="AK544" s="6" t="s">
        <v>162</v>
      </c>
      <c r="AL544" s="6">
        <f>MATCH(AA544,{"Low","Medium","High"},0)*MATCH(AB544,{"Low","Medium","High"},0)*INDEX({3,2,2,1,1},MATCH(X544,{"Core","Vertical extension","Differentiator","Future","Adjacent"},0))</f>
        <v>6</v>
      </c>
      <c r="AM544" s="5"/>
      <c r="AN544" s="5"/>
      <c r="AO544" s="5"/>
      <c r="AP544" s="5"/>
      <c r="AQ544" s="5"/>
      <c r="AR544" s="5"/>
      <c r="AS544" s="5"/>
      <c r="AT544" s="5"/>
      <c r="AU544" s="6" t="s">
        <v>2317</v>
      </c>
      <c r="AV544" s="6" t="s">
        <v>76</v>
      </c>
      <c r="AW544" s="6" t="s">
        <v>76</v>
      </c>
      <c r="AX544" s="6" t="s">
        <v>2284</v>
      </c>
      <c r="AY544" s="6" t="s">
        <v>2285</v>
      </c>
      <c r="AZ544" s="6"/>
      <c r="BA544" s="6"/>
      <c r="BB544" s="6"/>
      <c r="BC544" s="6" t="s">
        <v>127</v>
      </c>
      <c r="BD544" s="6" t="s">
        <v>127</v>
      </c>
      <c r="BE544" s="6" t="s">
        <v>1477</v>
      </c>
      <c r="BF544" s="6" t="s">
        <v>95</v>
      </c>
      <c r="BG544" s="6" t="s">
        <v>6765</v>
      </c>
      <c r="BH544" s="6" t="s">
        <v>6766</v>
      </c>
    </row>
    <row r="545" spans="1:60" ht="32" customHeight="1" x14ac:dyDescent="0.35">
      <c r="A545" s="13" t="s">
        <v>6767</v>
      </c>
      <c r="B545" s="6" t="s">
        <v>3901</v>
      </c>
      <c r="C545" s="5" t="s">
        <v>1652</v>
      </c>
      <c r="D545" s="5" t="s">
        <v>2201</v>
      </c>
      <c r="E545" s="5" t="s">
        <v>6768</v>
      </c>
      <c r="F545" s="5" t="s">
        <v>6769</v>
      </c>
      <c r="G545" s="5" t="s">
        <v>2312</v>
      </c>
      <c r="H545" s="5" t="s">
        <v>6770</v>
      </c>
      <c r="I545" s="5" t="s">
        <v>6771</v>
      </c>
      <c r="J545" s="19" t="s">
        <v>204</v>
      </c>
      <c r="K545" s="17" t="s">
        <v>1477</v>
      </c>
      <c r="L545" s="5" t="s">
        <v>6772</v>
      </c>
      <c r="M545" s="6" t="s">
        <v>1493</v>
      </c>
      <c r="N545" s="6" t="s">
        <v>2170</v>
      </c>
      <c r="O545" s="6" t="s">
        <v>204</v>
      </c>
      <c r="P545" s="5" t="s">
        <v>2524</v>
      </c>
      <c r="Q545" s="17" t="s">
        <v>2273</v>
      </c>
      <c r="R545" s="5" t="s">
        <v>6773</v>
      </c>
      <c r="S545" s="6" t="s">
        <v>6358</v>
      </c>
      <c r="T545" s="5" t="s">
        <v>6359</v>
      </c>
      <c r="U545" s="6"/>
      <c r="V545" s="6" t="s">
        <v>2277</v>
      </c>
      <c r="W545" s="6" t="s">
        <v>1697</v>
      </c>
      <c r="X545" s="5" t="s">
        <v>228</v>
      </c>
      <c r="Y545" s="5" t="s">
        <v>2170</v>
      </c>
      <c r="Z545" s="5" t="str">
        <f t="shared" si="16"/>
        <v>Medium</v>
      </c>
      <c r="AA545" s="5" t="s">
        <v>1319</v>
      </c>
      <c r="AB545" s="6" t="s">
        <v>1355</v>
      </c>
      <c r="AC545" s="6" t="s">
        <v>32</v>
      </c>
      <c r="AD545" s="5" t="s">
        <v>2278</v>
      </c>
      <c r="AE545" s="5" t="s">
        <v>1720</v>
      </c>
      <c r="AF545" s="5" t="s">
        <v>1720</v>
      </c>
      <c r="AG545" s="5" t="s">
        <v>1720</v>
      </c>
      <c r="AH545" s="5" t="s">
        <v>1720</v>
      </c>
      <c r="AI545" s="6" t="str">
        <f t="shared" si="17"/>
        <v>No</v>
      </c>
      <c r="AJ545" s="6" t="s">
        <v>2298</v>
      </c>
      <c r="AK545" s="6" t="s">
        <v>204</v>
      </c>
      <c r="AL545" s="6">
        <f>MATCH(AA545,{"Low","Medium","High"},0)*MATCH(AB545,{"Low","Medium","High"},0)*INDEX({3,2,2,1,1},MATCH(X545,{"Core","Vertical extension","Differentiator","Future","Adjacent"},0))</f>
        <v>6</v>
      </c>
      <c r="AM545" s="5"/>
      <c r="AN545" s="5"/>
      <c r="AO545" s="5"/>
      <c r="AP545" s="5"/>
      <c r="AQ545" s="5"/>
      <c r="AR545" s="5"/>
      <c r="AS545" s="5"/>
      <c r="AT545" s="5"/>
      <c r="AU545" s="6" t="s">
        <v>2317</v>
      </c>
      <c r="AV545" s="6" t="s">
        <v>2813</v>
      </c>
      <c r="AW545" s="6" t="s">
        <v>2813</v>
      </c>
      <c r="AX545" s="6" t="s">
        <v>2374</v>
      </c>
      <c r="AY545" s="6" t="s">
        <v>2285</v>
      </c>
      <c r="AZ545" s="6"/>
      <c r="BA545" s="6"/>
      <c r="BB545" s="6"/>
      <c r="BC545" s="6" t="s">
        <v>127</v>
      </c>
      <c r="BD545" s="6" t="s">
        <v>127</v>
      </c>
      <c r="BE545" s="6" t="s">
        <v>1477</v>
      </c>
      <c r="BF545" s="6" t="s">
        <v>2286</v>
      </c>
      <c r="BG545" s="6" t="s">
        <v>6774</v>
      </c>
      <c r="BH545" s="6" t="s">
        <v>6775</v>
      </c>
    </row>
    <row r="546" spans="1:60" ht="32" customHeight="1" x14ac:dyDescent="0.35">
      <c r="A546" s="13" t="s">
        <v>6776</v>
      </c>
      <c r="B546" s="6" t="s">
        <v>3901</v>
      </c>
      <c r="C546" s="5" t="s">
        <v>1652</v>
      </c>
      <c r="D546" s="5" t="s">
        <v>2185</v>
      </c>
      <c r="E546" s="5" t="s">
        <v>6777</v>
      </c>
      <c r="F546" s="5" t="s">
        <v>3173</v>
      </c>
      <c r="G546" s="5" t="s">
        <v>2973</v>
      </c>
      <c r="H546" s="5" t="s">
        <v>6778</v>
      </c>
      <c r="I546" s="5" t="s">
        <v>6779</v>
      </c>
      <c r="J546" s="16" t="s">
        <v>94</v>
      </c>
      <c r="K546" s="17" t="s">
        <v>1477</v>
      </c>
      <c r="L546" s="5" t="s">
        <v>6780</v>
      </c>
      <c r="M546" s="6" t="s">
        <v>1493</v>
      </c>
      <c r="N546" s="6" t="s">
        <v>2170</v>
      </c>
      <c r="O546" s="6" t="s">
        <v>94</v>
      </c>
      <c r="P546" s="5" t="s">
        <v>2272</v>
      </c>
      <c r="Q546" s="17" t="s">
        <v>2273</v>
      </c>
      <c r="R546" s="5" t="s">
        <v>6781</v>
      </c>
      <c r="S546" s="6" t="s">
        <v>2409</v>
      </c>
      <c r="T546" s="5" t="s">
        <v>2185</v>
      </c>
      <c r="U546" s="6"/>
      <c r="V546" s="6" t="s">
        <v>2410</v>
      </c>
      <c r="W546" s="6" t="s">
        <v>1699</v>
      </c>
      <c r="X546" s="5" t="s">
        <v>228</v>
      </c>
      <c r="Y546" s="5" t="s">
        <v>2170</v>
      </c>
      <c r="Z546" s="5" t="str">
        <f t="shared" si="16"/>
        <v>Critical</v>
      </c>
      <c r="AA546" s="5" t="s">
        <v>1302</v>
      </c>
      <c r="AB546" s="6" t="s">
        <v>1319</v>
      </c>
      <c r="AC546" s="6" t="s">
        <v>99</v>
      </c>
      <c r="AD546" s="5" t="s">
        <v>2278</v>
      </c>
      <c r="AE546" s="5" t="s">
        <v>1720</v>
      </c>
      <c r="AF546" s="5" t="s">
        <v>1720</v>
      </c>
      <c r="AG546" s="5" t="s">
        <v>1720</v>
      </c>
      <c r="AH546" s="5" t="s">
        <v>1720</v>
      </c>
      <c r="AI546" s="6" t="str">
        <f t="shared" si="17"/>
        <v>No</v>
      </c>
      <c r="AJ546" s="6" t="s">
        <v>2298</v>
      </c>
      <c r="AK546" s="6" t="s">
        <v>94</v>
      </c>
      <c r="AL546" s="6">
        <f>MATCH(AA546,{"Low","Medium","High"},0)*MATCH(AB546,{"Low","Medium","High"},0)*INDEX({3,2,2,1,1},MATCH(X546,{"Core","Vertical extension","Differentiator","Future","Adjacent"},0))</f>
        <v>18</v>
      </c>
      <c r="AM546" s="5"/>
      <c r="AN546" s="5"/>
      <c r="AO546" s="5"/>
      <c r="AP546" s="5"/>
      <c r="AQ546" s="5"/>
      <c r="AR546" s="5" t="s">
        <v>6782</v>
      </c>
      <c r="AS546" s="5" t="s">
        <v>1462</v>
      </c>
      <c r="AT546" s="5" t="s">
        <v>2281</v>
      </c>
      <c r="AU546" s="6" t="s">
        <v>95</v>
      </c>
      <c r="AV546" s="6" t="s">
        <v>2898</v>
      </c>
      <c r="AW546" s="6" t="s">
        <v>2898</v>
      </c>
      <c r="AX546" s="6" t="s">
        <v>2284</v>
      </c>
      <c r="AY546" s="6" t="s">
        <v>2411</v>
      </c>
      <c r="AZ546" s="6"/>
      <c r="BA546" s="6"/>
      <c r="BB546" s="6"/>
      <c r="BC546" s="6" t="s">
        <v>127</v>
      </c>
      <c r="BD546" s="6" t="s">
        <v>127</v>
      </c>
      <c r="BE546" s="6" t="s">
        <v>1477</v>
      </c>
      <c r="BF546" s="6" t="s">
        <v>2286</v>
      </c>
      <c r="BG546" s="6" t="s">
        <v>6783</v>
      </c>
      <c r="BH546" s="6" t="s">
        <v>6784</v>
      </c>
    </row>
    <row r="547" spans="1:60" ht="32" customHeight="1" x14ac:dyDescent="0.35">
      <c r="A547" s="13" t="s">
        <v>6785</v>
      </c>
      <c r="B547" s="6" t="s">
        <v>3901</v>
      </c>
      <c r="C547" s="5" t="s">
        <v>1652</v>
      </c>
      <c r="D547" s="5" t="s">
        <v>2185</v>
      </c>
      <c r="E547" s="5" t="s">
        <v>6786</v>
      </c>
      <c r="F547" s="5" t="s">
        <v>3173</v>
      </c>
      <c r="G547" s="5" t="s">
        <v>3044</v>
      </c>
      <c r="H547" s="5" t="s">
        <v>6787</v>
      </c>
      <c r="I547" s="5" t="s">
        <v>6788</v>
      </c>
      <c r="J547" s="17" t="s">
        <v>162</v>
      </c>
      <c r="K547" s="17" t="s">
        <v>95</v>
      </c>
      <c r="L547" s="5" t="s">
        <v>6789</v>
      </c>
      <c r="M547" s="6" t="s">
        <v>1493</v>
      </c>
      <c r="N547" s="6" t="s">
        <v>2170</v>
      </c>
      <c r="O547" s="6" t="s">
        <v>162</v>
      </c>
      <c r="P547" s="5" t="s">
        <v>2272</v>
      </c>
      <c r="Q547" s="17" t="s">
        <v>95</v>
      </c>
      <c r="R547" s="5" t="s">
        <v>6790</v>
      </c>
      <c r="S547" s="6" t="s">
        <v>2409</v>
      </c>
      <c r="T547" s="5" t="s">
        <v>2185</v>
      </c>
      <c r="U547" s="6"/>
      <c r="V547" s="6" t="s">
        <v>3411</v>
      </c>
      <c r="W547" s="6" t="s">
        <v>1699</v>
      </c>
      <c r="X547" s="5" t="s">
        <v>228</v>
      </c>
      <c r="Y547" s="5" t="s">
        <v>2170</v>
      </c>
      <c r="Z547" s="5" t="str">
        <f t="shared" si="16"/>
        <v>High</v>
      </c>
      <c r="AA547" s="5" t="s">
        <v>1319</v>
      </c>
      <c r="AB547" s="6" t="s">
        <v>1319</v>
      </c>
      <c r="AC547" s="6" t="s">
        <v>135</v>
      </c>
      <c r="AD547" s="5" t="s">
        <v>95</v>
      </c>
      <c r="AE547" s="5" t="s">
        <v>1720</v>
      </c>
      <c r="AF547" s="5" t="s">
        <v>1720</v>
      </c>
      <c r="AG547" s="5" t="s">
        <v>1720</v>
      </c>
      <c r="AH547" s="5" t="s">
        <v>1720</v>
      </c>
      <c r="AI547" s="6" t="str">
        <f t="shared" si="17"/>
        <v>No</v>
      </c>
      <c r="AJ547" s="6" t="s">
        <v>229</v>
      </c>
      <c r="AK547" s="6" t="s">
        <v>162</v>
      </c>
      <c r="AL547" s="6">
        <f>MATCH(AA547,{"Low","Medium","High"},0)*MATCH(AB547,{"Low","Medium","High"},0)*INDEX({3,2,2,1,1},MATCH(X547,{"Core","Vertical extension","Differentiator","Future","Adjacent"},0))</f>
        <v>12</v>
      </c>
      <c r="AM547" s="5"/>
      <c r="AN547" s="5"/>
      <c r="AO547" s="5"/>
      <c r="AP547" s="5"/>
      <c r="AQ547" s="5"/>
      <c r="AR547" s="5"/>
      <c r="AS547" s="5"/>
      <c r="AT547" s="5"/>
      <c r="AU547" s="6" t="s">
        <v>2317</v>
      </c>
      <c r="AV547" s="6" t="s">
        <v>2898</v>
      </c>
      <c r="AW547" s="6" t="s">
        <v>2898</v>
      </c>
      <c r="AX547" s="6" t="s">
        <v>2284</v>
      </c>
      <c r="AY547" s="6" t="s">
        <v>2411</v>
      </c>
      <c r="AZ547" s="6"/>
      <c r="BA547" s="6"/>
      <c r="BB547" s="6"/>
      <c r="BC547" s="6" t="s">
        <v>127</v>
      </c>
      <c r="BD547" s="6" t="s">
        <v>127</v>
      </c>
      <c r="BE547" s="6" t="s">
        <v>1477</v>
      </c>
      <c r="BF547" s="6" t="s">
        <v>95</v>
      </c>
      <c r="BG547" s="6" t="s">
        <v>6791</v>
      </c>
      <c r="BH547" s="6" t="s">
        <v>6792</v>
      </c>
    </row>
    <row r="548" spans="1:60" ht="32" customHeight="1" x14ac:dyDescent="0.35">
      <c r="A548" s="13" t="s">
        <v>6793</v>
      </c>
      <c r="B548" s="6" t="s">
        <v>3901</v>
      </c>
      <c r="C548" s="5" t="s">
        <v>1652</v>
      </c>
      <c r="D548" s="5" t="s">
        <v>2196</v>
      </c>
      <c r="E548" s="5" t="s">
        <v>6794</v>
      </c>
      <c r="F548" s="5" t="s">
        <v>6795</v>
      </c>
      <c r="G548" s="5" t="s">
        <v>6796</v>
      </c>
      <c r="H548" s="5" t="s">
        <v>6797</v>
      </c>
      <c r="I548" s="5" t="s">
        <v>6798</v>
      </c>
      <c r="J548" s="17" t="s">
        <v>162</v>
      </c>
      <c r="K548" s="17" t="s">
        <v>163</v>
      </c>
      <c r="L548" s="5" t="s">
        <v>6799</v>
      </c>
      <c r="M548" s="6" t="s">
        <v>1493</v>
      </c>
      <c r="N548" s="6" t="s">
        <v>2170</v>
      </c>
      <c r="O548" s="6" t="s">
        <v>162</v>
      </c>
      <c r="P548" s="5" t="s">
        <v>2272</v>
      </c>
      <c r="Q548" s="17" t="s">
        <v>163</v>
      </c>
      <c r="R548" s="5" t="s">
        <v>6800</v>
      </c>
      <c r="S548" s="6" t="s">
        <v>2358</v>
      </c>
      <c r="T548" s="5" t="s">
        <v>2359</v>
      </c>
      <c r="U548" s="6"/>
      <c r="V548" s="6" t="s">
        <v>2360</v>
      </c>
      <c r="W548" s="6" t="s">
        <v>1703</v>
      </c>
      <c r="X548" s="5" t="s">
        <v>228</v>
      </c>
      <c r="Y548" s="5" t="s">
        <v>2170</v>
      </c>
      <c r="Z548" s="5" t="str">
        <f t="shared" si="16"/>
        <v>Medium</v>
      </c>
      <c r="AA548" s="5" t="s">
        <v>1319</v>
      </c>
      <c r="AB548" s="6" t="s">
        <v>1355</v>
      </c>
      <c r="AC548" s="6" t="s">
        <v>32</v>
      </c>
      <c r="AD548" s="5" t="s">
        <v>1805</v>
      </c>
      <c r="AE548" s="5" t="s">
        <v>1720</v>
      </c>
      <c r="AF548" s="5" t="s">
        <v>1720</v>
      </c>
      <c r="AG548" s="5" t="s">
        <v>1720</v>
      </c>
      <c r="AH548" s="5" t="s">
        <v>1720</v>
      </c>
      <c r="AI548" s="6" t="str">
        <f t="shared" si="17"/>
        <v>No</v>
      </c>
      <c r="AJ548" s="6" t="s">
        <v>287</v>
      </c>
      <c r="AK548" s="6" t="s">
        <v>204</v>
      </c>
      <c r="AL548" s="6">
        <f>MATCH(AA548,{"Low","Medium","High"},0)*MATCH(AB548,{"Low","Medium","High"},0)*INDEX({3,2,2,1,1},MATCH(X548,{"Core","Vertical extension","Differentiator","Future","Adjacent"},0))</f>
        <v>6</v>
      </c>
      <c r="AM548" s="5"/>
      <c r="AN548" s="5"/>
      <c r="AO548" s="5"/>
      <c r="AP548" s="5"/>
      <c r="AQ548" s="5"/>
      <c r="AR548" s="5"/>
      <c r="AS548" s="5"/>
      <c r="AT548" s="5"/>
      <c r="AU548" s="6" t="s">
        <v>2317</v>
      </c>
      <c r="AV548" s="6" t="s">
        <v>2804</v>
      </c>
      <c r="AW548" s="6" t="s">
        <v>2804</v>
      </c>
      <c r="AX548" s="6" t="s">
        <v>2284</v>
      </c>
      <c r="AY548" s="6" t="s">
        <v>2285</v>
      </c>
      <c r="AZ548" s="6"/>
      <c r="BA548" s="6"/>
      <c r="BB548" s="6"/>
      <c r="BC548" s="6" t="s">
        <v>127</v>
      </c>
      <c r="BD548" s="6" t="s">
        <v>127</v>
      </c>
      <c r="BE548" s="6" t="s">
        <v>1477</v>
      </c>
      <c r="BF548" s="6" t="s">
        <v>288</v>
      </c>
      <c r="BG548" s="6" t="s">
        <v>6801</v>
      </c>
      <c r="BH548" s="6" t="s">
        <v>6802</v>
      </c>
    </row>
    <row r="549" spans="1:60" ht="32" customHeight="1" x14ac:dyDescent="0.35">
      <c r="A549" s="13" t="s">
        <v>6803</v>
      </c>
      <c r="B549" s="6" t="s">
        <v>3901</v>
      </c>
      <c r="C549" s="5" t="s">
        <v>1652</v>
      </c>
      <c r="D549" s="5" t="s">
        <v>2196</v>
      </c>
      <c r="E549" s="5" t="s">
        <v>6804</v>
      </c>
      <c r="F549" s="5" t="s">
        <v>6805</v>
      </c>
      <c r="G549" s="5" t="s">
        <v>2312</v>
      </c>
      <c r="H549" s="5" t="s">
        <v>6806</v>
      </c>
      <c r="I549" s="5" t="s">
        <v>6807</v>
      </c>
      <c r="J549" s="19" t="s">
        <v>204</v>
      </c>
      <c r="K549" s="17" t="s">
        <v>95</v>
      </c>
      <c r="L549" s="5" t="s">
        <v>6808</v>
      </c>
      <c r="M549" s="6" t="s">
        <v>1493</v>
      </c>
      <c r="N549" s="6" t="s">
        <v>2170</v>
      </c>
      <c r="O549" s="6" t="s">
        <v>204</v>
      </c>
      <c r="P549" s="5" t="s">
        <v>2272</v>
      </c>
      <c r="Q549" s="17" t="s">
        <v>95</v>
      </c>
      <c r="R549" s="5" t="s">
        <v>6809</v>
      </c>
      <c r="S549" s="6" t="s">
        <v>2358</v>
      </c>
      <c r="T549" s="5" t="s">
        <v>2359</v>
      </c>
      <c r="U549" s="6"/>
      <c r="V549" s="6" t="s">
        <v>2360</v>
      </c>
      <c r="W549" s="6" t="s">
        <v>1703</v>
      </c>
      <c r="X549" s="5" t="s">
        <v>228</v>
      </c>
      <c r="Y549" s="5" t="s">
        <v>2170</v>
      </c>
      <c r="Z549" s="5" t="str">
        <f t="shared" si="16"/>
        <v>Medium</v>
      </c>
      <c r="AA549" s="5" t="s">
        <v>1319</v>
      </c>
      <c r="AB549" s="6" t="s">
        <v>1355</v>
      </c>
      <c r="AC549" s="6" t="s">
        <v>32</v>
      </c>
      <c r="AD549" s="5" t="s">
        <v>95</v>
      </c>
      <c r="AE549" s="5" t="s">
        <v>1720</v>
      </c>
      <c r="AF549" s="5" t="s">
        <v>1720</v>
      </c>
      <c r="AG549" s="5" t="s">
        <v>1720</v>
      </c>
      <c r="AH549" s="5" t="s">
        <v>1720</v>
      </c>
      <c r="AI549" s="6" t="str">
        <f t="shared" si="17"/>
        <v>No</v>
      </c>
      <c r="AJ549" s="6" t="s">
        <v>229</v>
      </c>
      <c r="AK549" s="6" t="s">
        <v>204</v>
      </c>
      <c r="AL549" s="6">
        <f>MATCH(AA549,{"Low","Medium","High"},0)*MATCH(AB549,{"Low","Medium","High"},0)*INDEX({3,2,2,1,1},MATCH(X549,{"Core","Vertical extension","Differentiator","Future","Adjacent"},0))</f>
        <v>6</v>
      </c>
      <c r="AM549" s="5"/>
      <c r="AN549" s="5"/>
      <c r="AO549" s="5"/>
      <c r="AP549" s="5"/>
      <c r="AQ549" s="5"/>
      <c r="AR549" s="5"/>
      <c r="AS549" s="5"/>
      <c r="AT549" s="5"/>
      <c r="AU549" s="6" t="s">
        <v>2317</v>
      </c>
      <c r="AV549" s="6" t="s">
        <v>2283</v>
      </c>
      <c r="AW549" s="6" t="s">
        <v>2283</v>
      </c>
      <c r="AX549" s="6" t="s">
        <v>2284</v>
      </c>
      <c r="AY549" s="6" t="s">
        <v>2285</v>
      </c>
      <c r="AZ549" s="6"/>
      <c r="BA549" s="6"/>
      <c r="BB549" s="6"/>
      <c r="BC549" s="6" t="s">
        <v>127</v>
      </c>
      <c r="BD549" s="6" t="s">
        <v>127</v>
      </c>
      <c r="BE549" s="6" t="s">
        <v>1477</v>
      </c>
      <c r="BF549" s="6" t="s">
        <v>95</v>
      </c>
      <c r="BG549" s="6" t="s">
        <v>6810</v>
      </c>
      <c r="BH549" s="6" t="s">
        <v>6811</v>
      </c>
    </row>
    <row r="550" spans="1:60" ht="32" customHeight="1" x14ac:dyDescent="0.35">
      <c r="A550" s="13" t="s">
        <v>6812</v>
      </c>
      <c r="B550" s="6" t="s">
        <v>3901</v>
      </c>
      <c r="C550" s="5" t="s">
        <v>1652</v>
      </c>
      <c r="D550" s="5" t="s">
        <v>2185</v>
      </c>
      <c r="E550" s="5" t="s">
        <v>6813</v>
      </c>
      <c r="F550" s="5" t="s">
        <v>6814</v>
      </c>
      <c r="G550" s="5" t="s">
        <v>2396</v>
      </c>
      <c r="H550" s="5" t="s">
        <v>6815</v>
      </c>
      <c r="I550" s="5" t="s">
        <v>6816</v>
      </c>
      <c r="J550" s="17" t="s">
        <v>162</v>
      </c>
      <c r="K550" s="17" t="s">
        <v>95</v>
      </c>
      <c r="L550" s="5" t="s">
        <v>6817</v>
      </c>
      <c r="M550" s="6" t="s">
        <v>1493</v>
      </c>
      <c r="N550" s="6" t="s">
        <v>2170</v>
      </c>
      <c r="O550" s="6" t="s">
        <v>162</v>
      </c>
      <c r="P550" s="5" t="s">
        <v>2272</v>
      </c>
      <c r="Q550" s="17" t="s">
        <v>95</v>
      </c>
      <c r="R550" s="5" t="s">
        <v>6818</v>
      </c>
      <c r="S550" s="6" t="s">
        <v>2409</v>
      </c>
      <c r="T550" s="5" t="s">
        <v>2185</v>
      </c>
      <c r="U550" s="6"/>
      <c r="V550" s="6" t="s">
        <v>2410</v>
      </c>
      <c r="W550" s="6" t="s">
        <v>1699</v>
      </c>
      <c r="X550" s="5" t="s">
        <v>228</v>
      </c>
      <c r="Y550" s="5" t="s">
        <v>2170</v>
      </c>
      <c r="Z550" s="5" t="str">
        <f t="shared" si="16"/>
        <v>High</v>
      </c>
      <c r="AA550" s="5" t="s">
        <v>1319</v>
      </c>
      <c r="AB550" s="6" t="s">
        <v>1319</v>
      </c>
      <c r="AC550" s="6" t="s">
        <v>135</v>
      </c>
      <c r="AD550" s="5" t="s">
        <v>95</v>
      </c>
      <c r="AE550" s="5" t="s">
        <v>1720</v>
      </c>
      <c r="AF550" s="5" t="s">
        <v>1720</v>
      </c>
      <c r="AG550" s="5" t="s">
        <v>1720</v>
      </c>
      <c r="AH550" s="5" t="s">
        <v>1720</v>
      </c>
      <c r="AI550" s="6" t="str">
        <f t="shared" si="17"/>
        <v>No</v>
      </c>
      <c r="AJ550" s="6" t="s">
        <v>229</v>
      </c>
      <c r="AK550" s="6" t="s">
        <v>162</v>
      </c>
      <c r="AL550" s="6">
        <f>MATCH(AA550,{"Low","Medium","High"},0)*MATCH(AB550,{"Low","Medium","High"},0)*INDEX({3,2,2,1,1},MATCH(X550,{"Core","Vertical extension","Differentiator","Future","Adjacent"},0))</f>
        <v>12</v>
      </c>
      <c r="AM550" s="5"/>
      <c r="AN550" s="5"/>
      <c r="AO550" s="5"/>
      <c r="AP550" s="5"/>
      <c r="AQ550" s="5"/>
      <c r="AR550" s="5"/>
      <c r="AS550" s="5"/>
      <c r="AT550" s="5"/>
      <c r="AU550" s="6" t="s">
        <v>2317</v>
      </c>
      <c r="AV550" s="6" t="s">
        <v>2898</v>
      </c>
      <c r="AW550" s="6" t="s">
        <v>2898</v>
      </c>
      <c r="AX550" s="6" t="s">
        <v>2284</v>
      </c>
      <c r="AY550" s="6" t="s">
        <v>2411</v>
      </c>
      <c r="AZ550" s="6"/>
      <c r="BA550" s="6"/>
      <c r="BB550" s="6"/>
      <c r="BC550" s="6" t="s">
        <v>127</v>
      </c>
      <c r="BD550" s="6" t="s">
        <v>127</v>
      </c>
      <c r="BE550" s="6" t="s">
        <v>1477</v>
      </c>
      <c r="BF550" s="6" t="s">
        <v>95</v>
      </c>
      <c r="BG550" s="6" t="s">
        <v>6819</v>
      </c>
      <c r="BH550" s="6" t="s">
        <v>6820</v>
      </c>
    </row>
    <row r="551" spans="1:60" ht="32" customHeight="1" x14ac:dyDescent="0.35">
      <c r="A551" s="13" t="s">
        <v>6821</v>
      </c>
      <c r="B551" s="6" t="s">
        <v>3901</v>
      </c>
      <c r="C551" s="5" t="s">
        <v>1652</v>
      </c>
      <c r="D551" s="5" t="s">
        <v>2194</v>
      </c>
      <c r="E551" s="5" t="s">
        <v>6822</v>
      </c>
      <c r="F551" s="5" t="s">
        <v>2973</v>
      </c>
      <c r="G551" s="5" t="s">
        <v>6823</v>
      </c>
      <c r="H551" s="5" t="s">
        <v>6824</v>
      </c>
      <c r="I551" s="5" t="s">
        <v>6825</v>
      </c>
      <c r="J551" s="16" t="s">
        <v>94</v>
      </c>
      <c r="K551" s="17" t="s">
        <v>1477</v>
      </c>
      <c r="L551" s="5" t="s">
        <v>6826</v>
      </c>
      <c r="M551" s="6" t="s">
        <v>1493</v>
      </c>
      <c r="N551" s="6" t="s">
        <v>2170</v>
      </c>
      <c r="O551" s="6" t="s">
        <v>94</v>
      </c>
      <c r="P551" s="5" t="s">
        <v>2272</v>
      </c>
      <c r="Q551" s="17" t="s">
        <v>2273</v>
      </c>
      <c r="R551" s="5" t="s">
        <v>6827</v>
      </c>
      <c r="S551" s="6" t="s">
        <v>2449</v>
      </c>
      <c r="T551" s="5" t="s">
        <v>2450</v>
      </c>
      <c r="U551" s="6"/>
      <c r="V551" s="6" t="s">
        <v>2440</v>
      </c>
      <c r="W551" s="6" t="s">
        <v>1699</v>
      </c>
      <c r="X551" s="5" t="s">
        <v>228</v>
      </c>
      <c r="Y551" s="5" t="s">
        <v>2170</v>
      </c>
      <c r="Z551" s="5" t="str">
        <f t="shared" si="16"/>
        <v>High</v>
      </c>
      <c r="AA551" s="5" t="s">
        <v>1302</v>
      </c>
      <c r="AB551" s="6" t="s">
        <v>1355</v>
      </c>
      <c r="AC551" s="6" t="s">
        <v>99</v>
      </c>
      <c r="AD551" s="5" t="s">
        <v>2278</v>
      </c>
      <c r="AE551" s="5" t="s">
        <v>1720</v>
      </c>
      <c r="AF551" s="5" t="s">
        <v>1720</v>
      </c>
      <c r="AG551" s="5" t="s">
        <v>1720</v>
      </c>
      <c r="AH551" s="5" t="s">
        <v>1720</v>
      </c>
      <c r="AI551" s="6" t="str">
        <f t="shared" si="17"/>
        <v>No</v>
      </c>
      <c r="AJ551" s="6" t="s">
        <v>2279</v>
      </c>
      <c r="AK551" s="6" t="s">
        <v>94</v>
      </c>
      <c r="AL551" s="6">
        <f>MATCH(AA551,{"Low","Medium","High"},0)*MATCH(AB551,{"Low","Medium","High"},0)*INDEX({3,2,2,1,1},MATCH(X551,{"Core","Vertical extension","Differentiator","Future","Adjacent"},0))</f>
        <v>9</v>
      </c>
      <c r="AM551" s="5"/>
      <c r="AN551" s="5"/>
      <c r="AO551" s="5"/>
      <c r="AP551" s="5"/>
      <c r="AQ551" s="5"/>
      <c r="AR551" s="5" t="s">
        <v>6828</v>
      </c>
      <c r="AS551" s="5" t="s">
        <v>1462</v>
      </c>
      <c r="AT551" s="5" t="s">
        <v>2281</v>
      </c>
      <c r="AU551" s="6" t="s">
        <v>2282</v>
      </c>
      <c r="AV551" s="6" t="s">
        <v>76</v>
      </c>
      <c r="AW551" s="6" t="s">
        <v>76</v>
      </c>
      <c r="AX551" s="6" t="s">
        <v>2284</v>
      </c>
      <c r="AY551" s="6" t="s">
        <v>2285</v>
      </c>
      <c r="AZ551" s="6"/>
      <c r="BA551" s="6"/>
      <c r="BB551" s="6"/>
      <c r="BC551" s="6" t="s">
        <v>127</v>
      </c>
      <c r="BD551" s="6" t="s">
        <v>127</v>
      </c>
      <c r="BE551" s="6" t="s">
        <v>1477</v>
      </c>
      <c r="BF551" s="6" t="s">
        <v>2286</v>
      </c>
      <c r="BG551" s="6" t="s">
        <v>6829</v>
      </c>
      <c r="BH551" s="6" t="s">
        <v>6830</v>
      </c>
    </row>
    <row r="552" spans="1:60" ht="32" customHeight="1" x14ac:dyDescent="0.35">
      <c r="A552" s="13" t="s">
        <v>6831</v>
      </c>
      <c r="B552" s="6" t="s">
        <v>3901</v>
      </c>
      <c r="C552" s="5" t="s">
        <v>1652</v>
      </c>
      <c r="D552" s="5" t="s">
        <v>2204</v>
      </c>
      <c r="E552" s="5" t="s">
        <v>6832</v>
      </c>
      <c r="F552" s="5" t="s">
        <v>2973</v>
      </c>
      <c r="G552" s="5" t="s">
        <v>2813</v>
      </c>
      <c r="H552" s="5" t="s">
        <v>6833</v>
      </c>
      <c r="I552" s="5" t="s">
        <v>6834</v>
      </c>
      <c r="J552" s="17" t="s">
        <v>162</v>
      </c>
      <c r="K552" s="17" t="s">
        <v>1477</v>
      </c>
      <c r="L552" s="5" t="s">
        <v>6835</v>
      </c>
      <c r="M552" s="6" t="s">
        <v>1493</v>
      </c>
      <c r="N552" s="6" t="s">
        <v>2170</v>
      </c>
      <c r="O552" s="6" t="s">
        <v>162</v>
      </c>
      <c r="P552" s="5" t="s">
        <v>2272</v>
      </c>
      <c r="Q552" s="17" t="s">
        <v>2273</v>
      </c>
      <c r="R552" s="5" t="s">
        <v>6836</v>
      </c>
      <c r="S552" s="6" t="s">
        <v>6442</v>
      </c>
      <c r="T552" s="5" t="s">
        <v>6443</v>
      </c>
      <c r="U552" s="6"/>
      <c r="V552" s="6" t="s">
        <v>2440</v>
      </c>
      <c r="W552" s="6" t="s">
        <v>1699</v>
      </c>
      <c r="X552" s="5" t="s">
        <v>228</v>
      </c>
      <c r="Y552" s="5" t="s">
        <v>2170</v>
      </c>
      <c r="Z552" s="5" t="str">
        <f t="shared" si="16"/>
        <v>Critical</v>
      </c>
      <c r="AA552" s="5" t="s">
        <v>1302</v>
      </c>
      <c r="AB552" s="6" t="s">
        <v>1302</v>
      </c>
      <c r="AC552" s="6" t="s">
        <v>135</v>
      </c>
      <c r="AD552" s="5" t="s">
        <v>2278</v>
      </c>
      <c r="AE552" s="5" t="s">
        <v>1720</v>
      </c>
      <c r="AF552" s="5" t="s">
        <v>1720</v>
      </c>
      <c r="AG552" s="5" t="s">
        <v>1720</v>
      </c>
      <c r="AH552" s="5" t="s">
        <v>1720</v>
      </c>
      <c r="AI552" s="6" t="str">
        <f t="shared" si="17"/>
        <v>No</v>
      </c>
      <c r="AJ552" s="6" t="s">
        <v>2298</v>
      </c>
      <c r="AK552" s="6" t="s">
        <v>162</v>
      </c>
      <c r="AL552" s="6">
        <f>MATCH(AA552,{"Low","Medium","High"},0)*MATCH(AB552,{"Low","Medium","High"},0)*INDEX({3,2,2,1,1},MATCH(X552,{"Core","Vertical extension","Differentiator","Future","Adjacent"},0))</f>
        <v>27</v>
      </c>
      <c r="AM552" s="5"/>
      <c r="AN552" s="5"/>
      <c r="AO552" s="5"/>
      <c r="AP552" s="5"/>
      <c r="AQ552" s="5"/>
      <c r="AR552" s="5"/>
      <c r="AS552" s="5"/>
      <c r="AT552" s="5"/>
      <c r="AU552" s="6" t="s">
        <v>2317</v>
      </c>
      <c r="AV552" s="6" t="s">
        <v>76</v>
      </c>
      <c r="AW552" s="6" t="s">
        <v>76</v>
      </c>
      <c r="AX552" s="6" t="s">
        <v>2284</v>
      </c>
      <c r="AY552" s="6" t="s">
        <v>2285</v>
      </c>
      <c r="AZ552" s="6"/>
      <c r="BA552" s="6" t="s">
        <v>6837</v>
      </c>
      <c r="BB552" s="6" t="s">
        <v>6838</v>
      </c>
      <c r="BC552" s="6" t="s">
        <v>127</v>
      </c>
      <c r="BD552" s="6" t="s">
        <v>127</v>
      </c>
      <c r="BE552" s="6" t="s">
        <v>1477</v>
      </c>
      <c r="BF552" s="6" t="s">
        <v>2286</v>
      </c>
      <c r="BG552" s="6" t="s">
        <v>6839</v>
      </c>
      <c r="BH552" s="6" t="s">
        <v>6840</v>
      </c>
    </row>
    <row r="553" spans="1:60" ht="32" customHeight="1" x14ac:dyDescent="0.35">
      <c r="A553" s="13" t="s">
        <v>6841</v>
      </c>
      <c r="B553" s="6" t="s">
        <v>3901</v>
      </c>
      <c r="C553" s="5" t="s">
        <v>1652</v>
      </c>
      <c r="D553" s="5" t="s">
        <v>2204</v>
      </c>
      <c r="E553" s="5" t="s">
        <v>6842</v>
      </c>
      <c r="F553" s="5" t="s">
        <v>2973</v>
      </c>
      <c r="G553" s="5" t="s">
        <v>2974</v>
      </c>
      <c r="H553" s="5" t="s">
        <v>6843</v>
      </c>
      <c r="I553" s="5" t="s">
        <v>6844</v>
      </c>
      <c r="J553" s="17" t="s">
        <v>162</v>
      </c>
      <c r="K553" s="17" t="s">
        <v>1477</v>
      </c>
      <c r="L553" s="5" t="s">
        <v>6845</v>
      </c>
      <c r="M553" s="6" t="s">
        <v>1493</v>
      </c>
      <c r="N553" s="6" t="s">
        <v>2170</v>
      </c>
      <c r="O553" s="6" t="s">
        <v>162</v>
      </c>
      <c r="P553" s="5" t="s">
        <v>2272</v>
      </c>
      <c r="Q553" s="17" t="s">
        <v>2273</v>
      </c>
      <c r="R553" s="5" t="s">
        <v>6846</v>
      </c>
      <c r="S553" s="6" t="s">
        <v>6442</v>
      </c>
      <c r="T553" s="5" t="s">
        <v>6443</v>
      </c>
      <c r="U553" s="6"/>
      <c r="V553" s="6" t="s">
        <v>2440</v>
      </c>
      <c r="W553" s="6" t="s">
        <v>1699</v>
      </c>
      <c r="X553" s="5" t="s">
        <v>228</v>
      </c>
      <c r="Y553" s="5" t="s">
        <v>2170</v>
      </c>
      <c r="Z553" s="5" t="str">
        <f t="shared" si="16"/>
        <v>Critical</v>
      </c>
      <c r="AA553" s="5" t="s">
        <v>1302</v>
      </c>
      <c r="AB553" s="6" t="s">
        <v>1302</v>
      </c>
      <c r="AC553" s="6" t="s">
        <v>135</v>
      </c>
      <c r="AD553" s="5" t="s">
        <v>2278</v>
      </c>
      <c r="AE553" s="5" t="s">
        <v>1720</v>
      </c>
      <c r="AF553" s="5" t="s">
        <v>1720</v>
      </c>
      <c r="AG553" s="5" t="s">
        <v>1720</v>
      </c>
      <c r="AH553" s="5" t="s">
        <v>1720</v>
      </c>
      <c r="AI553" s="6" t="str">
        <f t="shared" si="17"/>
        <v>No</v>
      </c>
      <c r="AJ553" s="6" t="s">
        <v>2298</v>
      </c>
      <c r="AK553" s="6" t="s">
        <v>162</v>
      </c>
      <c r="AL553" s="6">
        <f>MATCH(AA553,{"Low","Medium","High"},0)*MATCH(AB553,{"Low","Medium","High"},0)*INDEX({3,2,2,1,1},MATCH(X553,{"Core","Vertical extension","Differentiator","Future","Adjacent"},0))</f>
        <v>27</v>
      </c>
      <c r="AM553" s="5"/>
      <c r="AN553" s="5"/>
      <c r="AO553" s="5"/>
      <c r="AP553" s="5"/>
      <c r="AQ553" s="5"/>
      <c r="AR553" s="5"/>
      <c r="AS553" s="5"/>
      <c r="AT553" s="5"/>
      <c r="AU553" s="6" t="s">
        <v>2317</v>
      </c>
      <c r="AV553" s="6" t="s">
        <v>76</v>
      </c>
      <c r="AW553" s="6" t="s">
        <v>76</v>
      </c>
      <c r="AX553" s="6" t="s">
        <v>2284</v>
      </c>
      <c r="AY553" s="6" t="s">
        <v>2285</v>
      </c>
      <c r="AZ553" s="6"/>
      <c r="BA553" s="6"/>
      <c r="BB553" s="6"/>
      <c r="BC553" s="6" t="s">
        <v>127</v>
      </c>
      <c r="BD553" s="6" t="s">
        <v>127</v>
      </c>
      <c r="BE553" s="6" t="s">
        <v>1477</v>
      </c>
      <c r="BF553" s="6" t="s">
        <v>2286</v>
      </c>
      <c r="BG553" s="6" t="s">
        <v>6847</v>
      </c>
      <c r="BH553" s="6" t="s">
        <v>6848</v>
      </c>
    </row>
    <row r="554" spans="1:60" ht="32" customHeight="1" x14ac:dyDescent="0.35">
      <c r="A554" s="13" t="s">
        <v>6849</v>
      </c>
      <c r="B554" s="6" t="s">
        <v>3901</v>
      </c>
      <c r="C554" s="5" t="s">
        <v>1652</v>
      </c>
      <c r="D554" s="5" t="s">
        <v>2204</v>
      </c>
      <c r="E554" s="5" t="s">
        <v>6850</v>
      </c>
      <c r="F554" s="5" t="s">
        <v>2973</v>
      </c>
      <c r="G554" s="5" t="s">
        <v>2983</v>
      </c>
      <c r="H554" s="5" t="s">
        <v>6851</v>
      </c>
      <c r="I554" s="5" t="s">
        <v>6852</v>
      </c>
      <c r="J554" s="17" t="s">
        <v>162</v>
      </c>
      <c r="K554" s="17" t="s">
        <v>1477</v>
      </c>
      <c r="L554" s="5" t="s">
        <v>6853</v>
      </c>
      <c r="M554" s="6" t="s">
        <v>1493</v>
      </c>
      <c r="N554" s="6" t="s">
        <v>2170</v>
      </c>
      <c r="O554" s="6" t="s">
        <v>162</v>
      </c>
      <c r="P554" s="5" t="s">
        <v>2272</v>
      </c>
      <c r="Q554" s="17" t="s">
        <v>2273</v>
      </c>
      <c r="R554" s="5" t="s">
        <v>6854</v>
      </c>
      <c r="S554" s="6" t="s">
        <v>6442</v>
      </c>
      <c r="T554" s="5" t="s">
        <v>6443</v>
      </c>
      <c r="U554" s="6"/>
      <c r="V554" s="6" t="s">
        <v>2440</v>
      </c>
      <c r="W554" s="6" t="s">
        <v>1699</v>
      </c>
      <c r="X554" s="5" t="s">
        <v>228</v>
      </c>
      <c r="Y554" s="5" t="s">
        <v>2170</v>
      </c>
      <c r="Z554" s="5" t="str">
        <f t="shared" si="16"/>
        <v>Critical</v>
      </c>
      <c r="AA554" s="5" t="s">
        <v>1302</v>
      </c>
      <c r="AB554" s="6" t="s">
        <v>1302</v>
      </c>
      <c r="AC554" s="6" t="s">
        <v>135</v>
      </c>
      <c r="AD554" s="5" t="s">
        <v>2278</v>
      </c>
      <c r="AE554" s="5" t="s">
        <v>1720</v>
      </c>
      <c r="AF554" s="5" t="s">
        <v>1720</v>
      </c>
      <c r="AG554" s="5" t="s">
        <v>1720</v>
      </c>
      <c r="AH554" s="5" t="s">
        <v>1720</v>
      </c>
      <c r="AI554" s="6" t="str">
        <f t="shared" si="17"/>
        <v>No</v>
      </c>
      <c r="AJ554" s="6" t="s">
        <v>2298</v>
      </c>
      <c r="AK554" s="6" t="s">
        <v>162</v>
      </c>
      <c r="AL554" s="6">
        <f>MATCH(AA554,{"Low","Medium","High"},0)*MATCH(AB554,{"Low","Medium","High"},0)*INDEX({3,2,2,1,1},MATCH(X554,{"Core","Vertical extension","Differentiator","Future","Adjacent"},0))</f>
        <v>27</v>
      </c>
      <c r="AM554" s="5"/>
      <c r="AN554" s="5"/>
      <c r="AO554" s="5"/>
      <c r="AP554" s="5"/>
      <c r="AQ554" s="5"/>
      <c r="AR554" s="5"/>
      <c r="AS554" s="5"/>
      <c r="AT554" s="5"/>
      <c r="AU554" s="6" t="s">
        <v>2317</v>
      </c>
      <c r="AV554" s="6" t="s">
        <v>76</v>
      </c>
      <c r="AW554" s="6" t="s">
        <v>76</v>
      </c>
      <c r="AX554" s="6" t="s">
        <v>2284</v>
      </c>
      <c r="AY554" s="6" t="s">
        <v>2285</v>
      </c>
      <c r="AZ554" s="6"/>
      <c r="BA554" s="6"/>
      <c r="BB554" s="6"/>
      <c r="BC554" s="6" t="s">
        <v>127</v>
      </c>
      <c r="BD554" s="6" t="s">
        <v>127</v>
      </c>
      <c r="BE554" s="6" t="s">
        <v>1477</v>
      </c>
      <c r="BF554" s="6" t="s">
        <v>2286</v>
      </c>
      <c r="BG554" s="6" t="s">
        <v>6855</v>
      </c>
      <c r="BH554" s="6" t="s">
        <v>6856</v>
      </c>
    </row>
    <row r="555" spans="1:60" ht="32" customHeight="1" x14ac:dyDescent="0.35">
      <c r="A555" s="13" t="s">
        <v>6857</v>
      </c>
      <c r="B555" s="6" t="s">
        <v>3901</v>
      </c>
      <c r="C555" s="5" t="s">
        <v>1652</v>
      </c>
      <c r="D555" s="5" t="s">
        <v>2204</v>
      </c>
      <c r="E555" s="5" t="s">
        <v>6858</v>
      </c>
      <c r="F555" s="5" t="s">
        <v>2973</v>
      </c>
      <c r="G555" s="5" t="s">
        <v>2974</v>
      </c>
      <c r="H555" s="5" t="s">
        <v>6859</v>
      </c>
      <c r="I555" s="5" t="s">
        <v>6860</v>
      </c>
      <c r="J555" s="17" t="s">
        <v>162</v>
      </c>
      <c r="K555" s="17" t="s">
        <v>1477</v>
      </c>
      <c r="L555" s="5" t="s">
        <v>6861</v>
      </c>
      <c r="M555" s="6" t="s">
        <v>1493</v>
      </c>
      <c r="N555" s="6" t="s">
        <v>2170</v>
      </c>
      <c r="O555" s="6" t="s">
        <v>162</v>
      </c>
      <c r="P555" s="5" t="s">
        <v>2272</v>
      </c>
      <c r="Q555" s="17" t="s">
        <v>2273</v>
      </c>
      <c r="R555" s="5" t="s">
        <v>6862</v>
      </c>
      <c r="S555" s="6" t="s">
        <v>6442</v>
      </c>
      <c r="T555" s="5" t="s">
        <v>6443</v>
      </c>
      <c r="U555" s="6"/>
      <c r="V555" s="6" t="s">
        <v>2440</v>
      </c>
      <c r="W555" s="6" t="s">
        <v>1699</v>
      </c>
      <c r="X555" s="5" t="s">
        <v>228</v>
      </c>
      <c r="Y555" s="5" t="s">
        <v>2170</v>
      </c>
      <c r="Z555" s="5" t="str">
        <f t="shared" si="16"/>
        <v>Critical</v>
      </c>
      <c r="AA555" s="5" t="s">
        <v>1302</v>
      </c>
      <c r="AB555" s="6" t="s">
        <v>1302</v>
      </c>
      <c r="AC555" s="6" t="s">
        <v>135</v>
      </c>
      <c r="AD555" s="5" t="s">
        <v>2278</v>
      </c>
      <c r="AE555" s="5" t="s">
        <v>1720</v>
      </c>
      <c r="AF555" s="5" t="s">
        <v>1720</v>
      </c>
      <c r="AG555" s="5" t="s">
        <v>1720</v>
      </c>
      <c r="AH555" s="5" t="s">
        <v>1720</v>
      </c>
      <c r="AI555" s="6" t="str">
        <f t="shared" si="17"/>
        <v>No</v>
      </c>
      <c r="AJ555" s="6" t="s">
        <v>2298</v>
      </c>
      <c r="AK555" s="6" t="s">
        <v>162</v>
      </c>
      <c r="AL555" s="6">
        <f>MATCH(AA555,{"Low","Medium","High"},0)*MATCH(AB555,{"Low","Medium","High"},0)*INDEX({3,2,2,1,1},MATCH(X555,{"Core","Vertical extension","Differentiator","Future","Adjacent"},0))</f>
        <v>27</v>
      </c>
      <c r="AM555" s="5"/>
      <c r="AN555" s="5"/>
      <c r="AO555" s="5"/>
      <c r="AP555" s="5"/>
      <c r="AQ555" s="5"/>
      <c r="AR555" s="5"/>
      <c r="AS555" s="5"/>
      <c r="AT555" s="5"/>
      <c r="AU555" s="6" t="s">
        <v>2317</v>
      </c>
      <c r="AV555" s="6" t="s">
        <v>76</v>
      </c>
      <c r="AW555" s="6" t="s">
        <v>76</v>
      </c>
      <c r="AX555" s="6" t="s">
        <v>2284</v>
      </c>
      <c r="AY555" s="6" t="s">
        <v>2285</v>
      </c>
      <c r="AZ555" s="6"/>
      <c r="BA555" s="6"/>
      <c r="BB555" s="6"/>
      <c r="BC555" s="6" t="s">
        <v>127</v>
      </c>
      <c r="BD555" s="6" t="s">
        <v>127</v>
      </c>
      <c r="BE555" s="6" t="s">
        <v>1477</v>
      </c>
      <c r="BF555" s="6" t="s">
        <v>2286</v>
      </c>
      <c r="BG555" s="6" t="s">
        <v>6863</v>
      </c>
      <c r="BH555" s="6" t="s">
        <v>6864</v>
      </c>
    </row>
    <row r="556" spans="1:60" ht="32" customHeight="1" x14ac:dyDescent="0.35">
      <c r="A556" s="13" t="s">
        <v>6865</v>
      </c>
      <c r="B556" s="6" t="s">
        <v>3901</v>
      </c>
      <c r="C556" s="5" t="s">
        <v>1652</v>
      </c>
      <c r="D556" s="5" t="s">
        <v>2183</v>
      </c>
      <c r="E556" s="5" t="s">
        <v>6866</v>
      </c>
      <c r="F556" s="5" t="s">
        <v>2973</v>
      </c>
      <c r="G556" s="5" t="s">
        <v>6867</v>
      </c>
      <c r="H556" s="5" t="s">
        <v>6868</v>
      </c>
      <c r="I556" s="5" t="s">
        <v>6869</v>
      </c>
      <c r="J556" s="17" t="s">
        <v>162</v>
      </c>
      <c r="K556" s="17" t="s">
        <v>1477</v>
      </c>
      <c r="L556" s="5" t="s">
        <v>6870</v>
      </c>
      <c r="M556" s="6" t="s">
        <v>1493</v>
      </c>
      <c r="N556" s="6" t="s">
        <v>2170</v>
      </c>
      <c r="O556" s="6" t="s">
        <v>162</v>
      </c>
      <c r="P556" s="5" t="s">
        <v>2272</v>
      </c>
      <c r="Q556" s="17" t="s">
        <v>2273</v>
      </c>
      <c r="R556" s="5" t="s">
        <v>6871</v>
      </c>
      <c r="S556" s="6" t="s">
        <v>2438</v>
      </c>
      <c r="T556" s="5" t="s">
        <v>2439</v>
      </c>
      <c r="U556" s="6"/>
      <c r="V556" s="6" t="s">
        <v>2440</v>
      </c>
      <c r="W556" s="6" t="s">
        <v>1699</v>
      </c>
      <c r="X556" s="5" t="s">
        <v>228</v>
      </c>
      <c r="Y556" s="5" t="s">
        <v>2170</v>
      </c>
      <c r="Z556" s="5" t="str">
        <f t="shared" si="16"/>
        <v>Critical</v>
      </c>
      <c r="AA556" s="5" t="s">
        <v>1302</v>
      </c>
      <c r="AB556" s="6" t="s">
        <v>1302</v>
      </c>
      <c r="AC556" s="6" t="s">
        <v>135</v>
      </c>
      <c r="AD556" s="5" t="s">
        <v>2278</v>
      </c>
      <c r="AE556" s="5" t="s">
        <v>1720</v>
      </c>
      <c r="AF556" s="5" t="s">
        <v>1720</v>
      </c>
      <c r="AG556" s="5" t="s">
        <v>1720</v>
      </c>
      <c r="AH556" s="5" t="s">
        <v>1720</v>
      </c>
      <c r="AI556" s="6" t="str">
        <f t="shared" si="17"/>
        <v>No</v>
      </c>
      <c r="AJ556" s="6" t="s">
        <v>2298</v>
      </c>
      <c r="AK556" s="6" t="s">
        <v>162</v>
      </c>
      <c r="AL556" s="6">
        <f>MATCH(AA556,{"Low","Medium","High"},0)*MATCH(AB556,{"Low","Medium","High"},0)*INDEX({3,2,2,1,1},MATCH(X556,{"Core","Vertical extension","Differentiator","Future","Adjacent"},0))</f>
        <v>27</v>
      </c>
      <c r="AM556" s="5"/>
      <c r="AN556" s="5"/>
      <c r="AO556" s="5"/>
      <c r="AP556" s="5"/>
      <c r="AQ556" s="5"/>
      <c r="AR556" s="5"/>
      <c r="AS556" s="5"/>
      <c r="AT556" s="5"/>
      <c r="AU556" s="6" t="s">
        <v>2317</v>
      </c>
      <c r="AV556" s="6" t="s">
        <v>76</v>
      </c>
      <c r="AW556" s="6" t="s">
        <v>76</v>
      </c>
      <c r="AX556" s="6" t="s">
        <v>2284</v>
      </c>
      <c r="AY556" s="6" t="s">
        <v>2285</v>
      </c>
      <c r="AZ556" s="6"/>
      <c r="BA556" s="6"/>
      <c r="BB556" s="6"/>
      <c r="BC556" s="6" t="s">
        <v>127</v>
      </c>
      <c r="BD556" s="6" t="s">
        <v>127</v>
      </c>
      <c r="BE556" s="6" t="s">
        <v>1477</v>
      </c>
      <c r="BF556" s="6" t="s">
        <v>2286</v>
      </c>
      <c r="BG556" s="6" t="s">
        <v>6872</v>
      </c>
      <c r="BH556" s="6" t="s">
        <v>6873</v>
      </c>
    </row>
    <row r="557" spans="1:60" ht="32" customHeight="1" x14ac:dyDescent="0.35">
      <c r="A557" s="13" t="s">
        <v>6874</v>
      </c>
      <c r="B557" s="6" t="s">
        <v>3901</v>
      </c>
      <c r="C557" s="5" t="s">
        <v>1652</v>
      </c>
      <c r="D557" s="5" t="s">
        <v>2183</v>
      </c>
      <c r="E557" s="5" t="s">
        <v>6875</v>
      </c>
      <c r="F557" s="5" t="s">
        <v>2973</v>
      </c>
      <c r="G557" s="5" t="s">
        <v>6876</v>
      </c>
      <c r="H557" s="5" t="s">
        <v>6877</v>
      </c>
      <c r="I557" s="5" t="s">
        <v>6878</v>
      </c>
      <c r="J557" s="17" t="s">
        <v>162</v>
      </c>
      <c r="K557" s="17" t="s">
        <v>95</v>
      </c>
      <c r="L557" s="5" t="s">
        <v>6879</v>
      </c>
      <c r="M557" s="6" t="s">
        <v>1493</v>
      </c>
      <c r="N557" s="6" t="s">
        <v>2170</v>
      </c>
      <c r="O557" s="6" t="s">
        <v>162</v>
      </c>
      <c r="P557" s="5" t="s">
        <v>2272</v>
      </c>
      <c r="Q557" s="17" t="s">
        <v>95</v>
      </c>
      <c r="R557" s="5" t="s">
        <v>6880</v>
      </c>
      <c r="S557" s="6" t="s">
        <v>2438</v>
      </c>
      <c r="T557" s="5" t="s">
        <v>2439</v>
      </c>
      <c r="U557" s="6"/>
      <c r="V557" s="6" t="s">
        <v>2440</v>
      </c>
      <c r="W557" s="6" t="s">
        <v>1699</v>
      </c>
      <c r="X557" s="5" t="s">
        <v>228</v>
      </c>
      <c r="Y557" s="5" t="s">
        <v>2170</v>
      </c>
      <c r="Z557" s="5" t="str">
        <f t="shared" si="16"/>
        <v>Critical</v>
      </c>
      <c r="AA557" s="5" t="s">
        <v>1302</v>
      </c>
      <c r="AB557" s="6" t="s">
        <v>1302</v>
      </c>
      <c r="AC557" s="6" t="s">
        <v>135</v>
      </c>
      <c r="AD557" s="5" t="s">
        <v>95</v>
      </c>
      <c r="AE557" s="5" t="s">
        <v>1720</v>
      </c>
      <c r="AF557" s="5" t="s">
        <v>1720</v>
      </c>
      <c r="AG557" s="5" t="s">
        <v>1720</v>
      </c>
      <c r="AH557" s="5" t="s">
        <v>1720</v>
      </c>
      <c r="AI557" s="6" t="str">
        <f t="shared" si="17"/>
        <v>No</v>
      </c>
      <c r="AJ557" s="6" t="s">
        <v>229</v>
      </c>
      <c r="AK557" s="6" t="s">
        <v>162</v>
      </c>
      <c r="AL557" s="6">
        <f>MATCH(AA557,{"Low","Medium","High"},0)*MATCH(AB557,{"Low","Medium","High"},0)*INDEX({3,2,2,1,1},MATCH(X557,{"Core","Vertical extension","Differentiator","Future","Adjacent"},0))</f>
        <v>27</v>
      </c>
      <c r="AM557" s="5"/>
      <c r="AN557" s="5"/>
      <c r="AO557" s="5"/>
      <c r="AP557" s="5"/>
      <c r="AQ557" s="5"/>
      <c r="AR557" s="5"/>
      <c r="AS557" s="5"/>
      <c r="AT557" s="5"/>
      <c r="AU557" s="6" t="s">
        <v>2317</v>
      </c>
      <c r="AV557" s="6" t="s">
        <v>76</v>
      </c>
      <c r="AW557" s="6" t="s">
        <v>76</v>
      </c>
      <c r="AX557" s="6" t="s">
        <v>2284</v>
      </c>
      <c r="AY557" s="6" t="s">
        <v>2285</v>
      </c>
      <c r="AZ557" s="6"/>
      <c r="BA557" s="6"/>
      <c r="BB557" s="6"/>
      <c r="BC557" s="6" t="s">
        <v>127</v>
      </c>
      <c r="BD557" s="6" t="s">
        <v>127</v>
      </c>
      <c r="BE557" s="6" t="s">
        <v>1477</v>
      </c>
      <c r="BF557" s="6" t="s">
        <v>95</v>
      </c>
      <c r="BG557" s="6" t="s">
        <v>6881</v>
      </c>
      <c r="BH557" s="6" t="s">
        <v>6882</v>
      </c>
    </row>
    <row r="558" spans="1:60" ht="32" customHeight="1" x14ac:dyDescent="0.35">
      <c r="A558" s="13" t="s">
        <v>6883</v>
      </c>
      <c r="B558" s="6" t="s">
        <v>3901</v>
      </c>
      <c r="C558" s="5" t="s">
        <v>1652</v>
      </c>
      <c r="D558" s="5" t="s">
        <v>2183</v>
      </c>
      <c r="E558" s="5" t="s">
        <v>6884</v>
      </c>
      <c r="F558" s="5" t="s">
        <v>2973</v>
      </c>
      <c r="G558" s="5" t="s">
        <v>2974</v>
      </c>
      <c r="H558" s="5" t="s">
        <v>6885</v>
      </c>
      <c r="I558" s="5" t="s">
        <v>6886</v>
      </c>
      <c r="J558" s="17" t="s">
        <v>162</v>
      </c>
      <c r="K558" s="17" t="s">
        <v>95</v>
      </c>
      <c r="L558" s="5" t="s">
        <v>6887</v>
      </c>
      <c r="M558" s="6" t="s">
        <v>1493</v>
      </c>
      <c r="N558" s="6" t="s">
        <v>2170</v>
      </c>
      <c r="O558" s="6" t="s">
        <v>162</v>
      </c>
      <c r="P558" s="5" t="s">
        <v>2272</v>
      </c>
      <c r="Q558" s="17" t="s">
        <v>95</v>
      </c>
      <c r="R558" s="5" t="s">
        <v>6888</v>
      </c>
      <c r="S558" s="6" t="s">
        <v>2438</v>
      </c>
      <c r="T558" s="5" t="s">
        <v>2439</v>
      </c>
      <c r="U558" s="6"/>
      <c r="V558" s="6" t="s">
        <v>2440</v>
      </c>
      <c r="W558" s="6" t="s">
        <v>1699</v>
      </c>
      <c r="X558" s="5" t="s">
        <v>228</v>
      </c>
      <c r="Y558" s="5" t="s">
        <v>2170</v>
      </c>
      <c r="Z558" s="5" t="str">
        <f t="shared" si="16"/>
        <v>Critical</v>
      </c>
      <c r="AA558" s="5" t="s">
        <v>1302</v>
      </c>
      <c r="AB558" s="6" t="s">
        <v>1302</v>
      </c>
      <c r="AC558" s="6" t="s">
        <v>135</v>
      </c>
      <c r="AD558" s="5" t="s">
        <v>95</v>
      </c>
      <c r="AE558" s="5" t="s">
        <v>1720</v>
      </c>
      <c r="AF558" s="5" t="s">
        <v>1720</v>
      </c>
      <c r="AG558" s="5" t="s">
        <v>1720</v>
      </c>
      <c r="AH558" s="5" t="s">
        <v>1720</v>
      </c>
      <c r="AI558" s="6" t="str">
        <f t="shared" si="17"/>
        <v>No</v>
      </c>
      <c r="AJ558" s="6" t="s">
        <v>229</v>
      </c>
      <c r="AK558" s="6" t="s">
        <v>162</v>
      </c>
      <c r="AL558" s="6">
        <f>MATCH(AA558,{"Low","Medium","High"},0)*MATCH(AB558,{"Low","Medium","High"},0)*INDEX({3,2,2,1,1},MATCH(X558,{"Core","Vertical extension","Differentiator","Future","Adjacent"},0))</f>
        <v>27</v>
      </c>
      <c r="AM558" s="5"/>
      <c r="AN558" s="5"/>
      <c r="AO558" s="5"/>
      <c r="AP558" s="5"/>
      <c r="AQ558" s="5"/>
      <c r="AR558" s="5"/>
      <c r="AS558" s="5"/>
      <c r="AT558" s="5"/>
      <c r="AU558" s="6" t="s">
        <v>2317</v>
      </c>
      <c r="AV558" s="6" t="s">
        <v>76</v>
      </c>
      <c r="AW558" s="6" t="s">
        <v>76</v>
      </c>
      <c r="AX558" s="6" t="s">
        <v>2284</v>
      </c>
      <c r="AY558" s="6" t="s">
        <v>2285</v>
      </c>
      <c r="AZ558" s="6"/>
      <c r="BA558" s="6"/>
      <c r="BB558" s="6"/>
      <c r="BC558" s="6" t="s">
        <v>127</v>
      </c>
      <c r="BD558" s="6" t="s">
        <v>127</v>
      </c>
      <c r="BE558" s="6" t="s">
        <v>1477</v>
      </c>
      <c r="BF558" s="6" t="s">
        <v>95</v>
      </c>
      <c r="BG558" s="6" t="s">
        <v>6889</v>
      </c>
      <c r="BH558" s="6" t="s">
        <v>6890</v>
      </c>
    </row>
    <row r="559" spans="1:60" ht="32" customHeight="1" x14ac:dyDescent="0.35">
      <c r="A559" s="13" t="s">
        <v>6891</v>
      </c>
      <c r="B559" s="6" t="s">
        <v>3901</v>
      </c>
      <c r="C559" s="5" t="s">
        <v>1652</v>
      </c>
      <c r="D559" s="5" t="s">
        <v>2183</v>
      </c>
      <c r="E559" s="5" t="s">
        <v>6892</v>
      </c>
      <c r="F559" s="5" t="s">
        <v>6893</v>
      </c>
      <c r="G559" s="5" t="s">
        <v>6876</v>
      </c>
      <c r="H559" s="5" t="s">
        <v>6894</v>
      </c>
      <c r="I559" s="5" t="s">
        <v>6895</v>
      </c>
      <c r="J559" s="17" t="s">
        <v>162</v>
      </c>
      <c r="K559" s="17" t="s">
        <v>1477</v>
      </c>
      <c r="L559" s="5" t="s">
        <v>6896</v>
      </c>
      <c r="M559" s="6" t="s">
        <v>1493</v>
      </c>
      <c r="N559" s="6" t="s">
        <v>2170</v>
      </c>
      <c r="O559" s="6" t="s">
        <v>162</v>
      </c>
      <c r="P559" s="5" t="s">
        <v>2272</v>
      </c>
      <c r="Q559" s="17" t="s">
        <v>2273</v>
      </c>
      <c r="R559" s="5" t="s">
        <v>6897</v>
      </c>
      <c r="S559" s="6" t="s">
        <v>2438</v>
      </c>
      <c r="T559" s="5" t="s">
        <v>2439</v>
      </c>
      <c r="U559" s="6"/>
      <c r="V559" s="6" t="s">
        <v>2440</v>
      </c>
      <c r="W559" s="6" t="s">
        <v>1699</v>
      </c>
      <c r="X559" s="5" t="s">
        <v>228</v>
      </c>
      <c r="Y559" s="5" t="s">
        <v>2170</v>
      </c>
      <c r="Z559" s="5" t="str">
        <f t="shared" si="16"/>
        <v>Critical</v>
      </c>
      <c r="AA559" s="5" t="s">
        <v>1302</v>
      </c>
      <c r="AB559" s="6" t="s">
        <v>1302</v>
      </c>
      <c r="AC559" s="6" t="s">
        <v>135</v>
      </c>
      <c r="AD559" s="5" t="s">
        <v>2278</v>
      </c>
      <c r="AE559" s="5" t="s">
        <v>1720</v>
      </c>
      <c r="AF559" s="5" t="s">
        <v>1720</v>
      </c>
      <c r="AG559" s="5" t="s">
        <v>1720</v>
      </c>
      <c r="AH559" s="5" t="s">
        <v>1720</v>
      </c>
      <c r="AI559" s="6" t="str">
        <f t="shared" si="17"/>
        <v>No</v>
      </c>
      <c r="AJ559" s="6" t="s">
        <v>2298</v>
      </c>
      <c r="AK559" s="6" t="s">
        <v>162</v>
      </c>
      <c r="AL559" s="6">
        <f>MATCH(AA559,{"Low","Medium","High"},0)*MATCH(AB559,{"Low","Medium","High"},0)*INDEX({3,2,2,1,1},MATCH(X559,{"Core","Vertical extension","Differentiator","Future","Adjacent"},0))</f>
        <v>27</v>
      </c>
      <c r="AM559" s="5"/>
      <c r="AN559" s="5"/>
      <c r="AO559" s="5"/>
      <c r="AP559" s="5"/>
      <c r="AQ559" s="5"/>
      <c r="AR559" s="5"/>
      <c r="AS559" s="5"/>
      <c r="AT559" s="5"/>
      <c r="AU559" s="6" t="s">
        <v>2317</v>
      </c>
      <c r="AV559" s="6" t="s">
        <v>74</v>
      </c>
      <c r="AW559" s="6" t="s">
        <v>74</v>
      </c>
      <c r="AX559" s="6" t="s">
        <v>2284</v>
      </c>
      <c r="AY559" s="6" t="s">
        <v>2285</v>
      </c>
      <c r="AZ559" s="6"/>
      <c r="BA559" s="6"/>
      <c r="BB559" s="6"/>
      <c r="BC559" s="6" t="s">
        <v>127</v>
      </c>
      <c r="BD559" s="6" t="s">
        <v>127</v>
      </c>
      <c r="BE559" s="6" t="s">
        <v>1477</v>
      </c>
      <c r="BF559" s="6" t="s">
        <v>2286</v>
      </c>
      <c r="BG559" s="6" t="s">
        <v>6898</v>
      </c>
      <c r="BH559" s="6" t="s">
        <v>6899</v>
      </c>
    </row>
    <row r="560" spans="1:60" ht="32" customHeight="1" x14ac:dyDescent="0.35">
      <c r="A560" s="13" t="s">
        <v>6900</v>
      </c>
      <c r="B560" s="6" t="s">
        <v>3901</v>
      </c>
      <c r="C560" s="5" t="s">
        <v>1652</v>
      </c>
      <c r="D560" s="5" t="s">
        <v>2183</v>
      </c>
      <c r="E560" s="5" t="s">
        <v>6901</v>
      </c>
      <c r="F560" s="5" t="s">
        <v>2973</v>
      </c>
      <c r="G560" s="5" t="s">
        <v>2974</v>
      </c>
      <c r="H560" s="5" t="s">
        <v>6902</v>
      </c>
      <c r="I560" s="5" t="s">
        <v>6903</v>
      </c>
      <c r="J560" s="19" t="s">
        <v>204</v>
      </c>
      <c r="K560" s="17" t="s">
        <v>163</v>
      </c>
      <c r="L560" s="5" t="s">
        <v>6904</v>
      </c>
      <c r="M560" s="6" t="s">
        <v>1493</v>
      </c>
      <c r="N560" s="6" t="s">
        <v>2170</v>
      </c>
      <c r="O560" s="6" t="s">
        <v>204</v>
      </c>
      <c r="P560" s="5" t="s">
        <v>2272</v>
      </c>
      <c r="Q560" s="17" t="s">
        <v>163</v>
      </c>
      <c r="R560" s="5" t="s">
        <v>6905</v>
      </c>
      <c r="S560" s="6" t="s">
        <v>2438</v>
      </c>
      <c r="T560" s="5" t="s">
        <v>2439</v>
      </c>
      <c r="U560" s="6"/>
      <c r="V560" s="6" t="s">
        <v>2440</v>
      </c>
      <c r="W560" s="6" t="s">
        <v>1699</v>
      </c>
      <c r="X560" s="5" t="s">
        <v>228</v>
      </c>
      <c r="Y560" s="5" t="s">
        <v>2170</v>
      </c>
      <c r="Z560" s="5" t="str">
        <f t="shared" si="16"/>
        <v>Critical</v>
      </c>
      <c r="AA560" s="5" t="s">
        <v>1302</v>
      </c>
      <c r="AB560" s="6" t="s">
        <v>1302</v>
      </c>
      <c r="AC560" s="6" t="s">
        <v>32</v>
      </c>
      <c r="AD560" s="5" t="s">
        <v>1805</v>
      </c>
      <c r="AE560" s="5" t="s">
        <v>1720</v>
      </c>
      <c r="AF560" s="5" t="s">
        <v>1720</v>
      </c>
      <c r="AG560" s="5" t="s">
        <v>1720</v>
      </c>
      <c r="AH560" s="5" t="s">
        <v>1720</v>
      </c>
      <c r="AI560" s="6" t="str">
        <f t="shared" si="17"/>
        <v>No</v>
      </c>
      <c r="AJ560" s="6" t="s">
        <v>287</v>
      </c>
      <c r="AK560" s="6" t="s">
        <v>204</v>
      </c>
      <c r="AL560" s="6">
        <f>MATCH(AA560,{"Low","Medium","High"},0)*MATCH(AB560,{"Low","Medium","High"},0)*INDEX({3,2,2,1,1},MATCH(X560,{"Core","Vertical extension","Differentiator","Future","Adjacent"},0))</f>
        <v>27</v>
      </c>
      <c r="AM560" s="5"/>
      <c r="AN560" s="5"/>
      <c r="AO560" s="5"/>
      <c r="AP560" s="5"/>
      <c r="AQ560" s="5"/>
      <c r="AR560" s="5"/>
      <c r="AS560" s="5"/>
      <c r="AT560" s="5"/>
      <c r="AU560" s="6" t="s">
        <v>2317</v>
      </c>
      <c r="AV560" s="6" t="s">
        <v>76</v>
      </c>
      <c r="AW560" s="6" t="s">
        <v>76</v>
      </c>
      <c r="AX560" s="6" t="s">
        <v>2284</v>
      </c>
      <c r="AY560" s="6" t="s">
        <v>2285</v>
      </c>
      <c r="AZ560" s="6"/>
      <c r="BA560" s="6"/>
      <c r="BB560" s="6"/>
      <c r="BC560" s="6" t="s">
        <v>127</v>
      </c>
      <c r="BD560" s="6" t="s">
        <v>127</v>
      </c>
      <c r="BE560" s="6" t="s">
        <v>1477</v>
      </c>
      <c r="BF560" s="6" t="s">
        <v>288</v>
      </c>
      <c r="BG560" s="6" t="s">
        <v>6906</v>
      </c>
      <c r="BH560" s="6" t="s">
        <v>6907</v>
      </c>
    </row>
    <row r="561" spans="1:60" ht="32" customHeight="1" x14ac:dyDescent="0.35">
      <c r="A561" s="13" t="s">
        <v>6908</v>
      </c>
      <c r="B561" s="6" t="s">
        <v>3901</v>
      </c>
      <c r="C561" s="5" t="s">
        <v>1652</v>
      </c>
      <c r="D561" s="5" t="s">
        <v>2183</v>
      </c>
      <c r="E561" s="5" t="s">
        <v>6909</v>
      </c>
      <c r="F561" s="5" t="s">
        <v>2267</v>
      </c>
      <c r="G561" s="5" t="s">
        <v>2396</v>
      </c>
      <c r="H561" s="5" t="s">
        <v>6910</v>
      </c>
      <c r="I561" s="5" t="s">
        <v>6911</v>
      </c>
      <c r="J561" s="17" t="s">
        <v>162</v>
      </c>
      <c r="K561" s="17" t="s">
        <v>95</v>
      </c>
      <c r="L561" s="5" t="s">
        <v>6912</v>
      </c>
      <c r="M561" s="6" t="s">
        <v>1493</v>
      </c>
      <c r="N561" s="6" t="s">
        <v>2170</v>
      </c>
      <c r="O561" s="6" t="s">
        <v>162</v>
      </c>
      <c r="P561" s="5" t="s">
        <v>2272</v>
      </c>
      <c r="Q561" s="17" t="s">
        <v>95</v>
      </c>
      <c r="R561" s="5" t="s">
        <v>6913</v>
      </c>
      <c r="S561" s="6" t="s">
        <v>2438</v>
      </c>
      <c r="T561" s="5" t="s">
        <v>2439</v>
      </c>
      <c r="U561" s="6"/>
      <c r="V561" s="6" t="s">
        <v>2440</v>
      </c>
      <c r="W561" s="6" t="s">
        <v>1699</v>
      </c>
      <c r="X561" s="5" t="s">
        <v>228</v>
      </c>
      <c r="Y561" s="5" t="s">
        <v>2170</v>
      </c>
      <c r="Z561" s="5" t="str">
        <f t="shared" si="16"/>
        <v>Critical</v>
      </c>
      <c r="AA561" s="5" t="s">
        <v>1302</v>
      </c>
      <c r="AB561" s="6" t="s">
        <v>1302</v>
      </c>
      <c r="AC561" s="6" t="s">
        <v>135</v>
      </c>
      <c r="AD561" s="5" t="s">
        <v>95</v>
      </c>
      <c r="AE561" s="5" t="s">
        <v>1720</v>
      </c>
      <c r="AF561" s="5" t="s">
        <v>1720</v>
      </c>
      <c r="AG561" s="5" t="s">
        <v>1720</v>
      </c>
      <c r="AH561" s="5" t="s">
        <v>1720</v>
      </c>
      <c r="AI561" s="6" t="str">
        <f t="shared" si="17"/>
        <v>No</v>
      </c>
      <c r="AJ561" s="6" t="s">
        <v>229</v>
      </c>
      <c r="AK561" s="6" t="s">
        <v>162</v>
      </c>
      <c r="AL561" s="6">
        <f>MATCH(AA561,{"Low","Medium","High"},0)*MATCH(AB561,{"Low","Medium","High"},0)*INDEX({3,2,2,1,1},MATCH(X561,{"Core","Vertical extension","Differentiator","Future","Adjacent"},0))</f>
        <v>27</v>
      </c>
      <c r="AM561" s="5"/>
      <c r="AN561" s="5"/>
      <c r="AO561" s="5"/>
      <c r="AP561" s="5"/>
      <c r="AQ561" s="5"/>
      <c r="AR561" s="5"/>
      <c r="AS561" s="5"/>
      <c r="AT561" s="5"/>
      <c r="AU561" s="6" t="s">
        <v>2317</v>
      </c>
      <c r="AV561" s="6" t="s">
        <v>2283</v>
      </c>
      <c r="AW561" s="6" t="s">
        <v>2283</v>
      </c>
      <c r="AX561" s="6" t="s">
        <v>2284</v>
      </c>
      <c r="AY561" s="6" t="s">
        <v>2285</v>
      </c>
      <c r="AZ561" s="6"/>
      <c r="BA561" s="6"/>
      <c r="BB561" s="6"/>
      <c r="BC561" s="6" t="s">
        <v>127</v>
      </c>
      <c r="BD561" s="6" t="s">
        <v>127</v>
      </c>
      <c r="BE561" s="6" t="s">
        <v>1477</v>
      </c>
      <c r="BF561" s="6" t="s">
        <v>95</v>
      </c>
      <c r="BG561" s="6" t="s">
        <v>6914</v>
      </c>
      <c r="BH561" s="6" t="s">
        <v>6915</v>
      </c>
    </row>
    <row r="562" spans="1:60" ht="32" customHeight="1" x14ac:dyDescent="0.35">
      <c r="A562" s="13" t="s">
        <v>115</v>
      </c>
      <c r="B562" s="6" t="s">
        <v>6916</v>
      </c>
      <c r="C562" s="5" t="s">
        <v>3973</v>
      </c>
      <c r="D562" s="5" t="s">
        <v>2189</v>
      </c>
      <c r="E562" s="5" t="s">
        <v>307</v>
      </c>
      <c r="F562" s="5" t="s">
        <v>6917</v>
      </c>
      <c r="G562" s="5" t="s">
        <v>2973</v>
      </c>
      <c r="H562" s="5" t="s">
        <v>6918</v>
      </c>
      <c r="I562" s="5" t="s">
        <v>6919</v>
      </c>
      <c r="J562" s="16" t="s">
        <v>94</v>
      </c>
      <c r="K562" s="20" t="s">
        <v>95</v>
      </c>
      <c r="L562" s="5" t="s">
        <v>6920</v>
      </c>
      <c r="M562" s="6" t="s">
        <v>1494</v>
      </c>
      <c r="N562" s="6" t="s">
        <v>2172</v>
      </c>
      <c r="O562" s="6" t="s">
        <v>94</v>
      </c>
      <c r="P562" s="5" t="s">
        <v>2272</v>
      </c>
      <c r="Q562" s="20" t="s">
        <v>95</v>
      </c>
      <c r="R562" s="5" t="s">
        <v>6921</v>
      </c>
      <c r="S562" s="6" t="s">
        <v>2325</v>
      </c>
      <c r="T562" s="5" t="s">
        <v>2326</v>
      </c>
      <c r="U562" s="6"/>
      <c r="V562" s="6" t="s">
        <v>2327</v>
      </c>
      <c r="W562" s="6" t="s">
        <v>1699</v>
      </c>
      <c r="X562" s="5" t="s">
        <v>228</v>
      </c>
      <c r="Y562" s="5" t="s">
        <v>1850</v>
      </c>
      <c r="Z562" s="5" t="str">
        <f t="shared" si="16"/>
        <v>High</v>
      </c>
      <c r="AA562" s="5" t="s">
        <v>1302</v>
      </c>
      <c r="AB562" s="6" t="s">
        <v>1355</v>
      </c>
      <c r="AC562" s="6" t="s">
        <v>99</v>
      </c>
      <c r="AD562" s="5" t="s">
        <v>95</v>
      </c>
      <c r="AE562" s="5" t="s">
        <v>1720</v>
      </c>
      <c r="AF562" s="5" t="s">
        <v>1720</v>
      </c>
      <c r="AG562" s="5" t="s">
        <v>1720</v>
      </c>
      <c r="AH562" s="5" t="s">
        <v>1720</v>
      </c>
      <c r="AI562" s="6" t="str">
        <f t="shared" si="17"/>
        <v>No</v>
      </c>
      <c r="AJ562" s="6" t="s">
        <v>229</v>
      </c>
      <c r="AK562" s="6" t="s">
        <v>94</v>
      </c>
      <c r="AL562" s="6">
        <f>MATCH(AA562,{"Low","Medium","High"},0)*MATCH(AB562,{"Low","Medium","High"},0)*INDEX({3,2,2,1,1},MATCH(X562,{"Core","Vertical extension","Differentiator","Future","Adjacent"},0))</f>
        <v>9</v>
      </c>
      <c r="AM562" s="5"/>
      <c r="AN562" s="5"/>
      <c r="AO562" s="5">
        <v>3</v>
      </c>
      <c r="AP562" s="5"/>
      <c r="AQ562" s="5"/>
      <c r="AR562" s="5" t="s">
        <v>6922</v>
      </c>
      <c r="AS562" s="51">
        <v>46300</v>
      </c>
      <c r="AT562" s="5" t="s">
        <v>2760</v>
      </c>
      <c r="AU562" s="6" t="s">
        <v>95</v>
      </c>
      <c r="AV562" s="6" t="s">
        <v>3968</v>
      </c>
      <c r="AW562" s="6" t="s">
        <v>3968</v>
      </c>
      <c r="AX562" s="6" t="s">
        <v>2284</v>
      </c>
      <c r="AY562" s="6" t="s">
        <v>2285</v>
      </c>
      <c r="AZ562" s="6"/>
      <c r="BA562" s="6" t="s">
        <v>6923</v>
      </c>
      <c r="BB562" s="6" t="s">
        <v>6924</v>
      </c>
      <c r="BC562" s="6" t="s">
        <v>127</v>
      </c>
      <c r="BD562" s="6" t="s">
        <v>127</v>
      </c>
      <c r="BE562" s="6" t="s">
        <v>95</v>
      </c>
      <c r="BF562" s="6" t="s">
        <v>95</v>
      </c>
      <c r="BG562" s="6" t="s">
        <v>6925</v>
      </c>
      <c r="BH562" s="6" t="s">
        <v>308</v>
      </c>
    </row>
    <row r="563" spans="1:60" ht="32" customHeight="1" x14ac:dyDescent="0.35">
      <c r="A563" s="13" t="s">
        <v>180</v>
      </c>
      <c r="B563" s="6" t="s">
        <v>6916</v>
      </c>
      <c r="C563" s="5" t="s">
        <v>6926</v>
      </c>
      <c r="D563" s="5" t="s">
        <v>2187</v>
      </c>
      <c r="E563" s="5" t="s">
        <v>2133</v>
      </c>
      <c r="F563" s="5" t="s">
        <v>6927</v>
      </c>
      <c r="G563" s="5" t="s">
        <v>6248</v>
      </c>
      <c r="H563" s="5" t="s">
        <v>6928</v>
      </c>
      <c r="I563" s="5" t="s">
        <v>6929</v>
      </c>
      <c r="J563" s="17" t="s">
        <v>162</v>
      </c>
      <c r="K563" s="20" t="s">
        <v>95</v>
      </c>
      <c r="L563" s="5" t="s">
        <v>6930</v>
      </c>
      <c r="M563" s="6" t="s">
        <v>1494</v>
      </c>
      <c r="N563" s="6" t="s">
        <v>2172</v>
      </c>
      <c r="O563" s="6" t="s">
        <v>162</v>
      </c>
      <c r="P563" s="5" t="s">
        <v>2272</v>
      </c>
      <c r="Q563" s="20" t="s">
        <v>95</v>
      </c>
      <c r="R563" s="5" t="s">
        <v>6931</v>
      </c>
      <c r="S563" s="6" t="s">
        <v>2345</v>
      </c>
      <c r="T563" s="5" t="s">
        <v>2346</v>
      </c>
      <c r="U563" s="6"/>
      <c r="V563" s="6" t="s">
        <v>2347</v>
      </c>
      <c r="W563" s="6" t="s">
        <v>1697</v>
      </c>
      <c r="X563" s="5" t="s">
        <v>228</v>
      </c>
      <c r="Y563" s="5" t="s">
        <v>1850</v>
      </c>
      <c r="Z563" s="5" t="str">
        <f t="shared" si="16"/>
        <v>High</v>
      </c>
      <c r="AA563" s="5" t="s">
        <v>1302</v>
      </c>
      <c r="AB563" s="6" t="s">
        <v>1355</v>
      </c>
      <c r="AC563" s="6" t="s">
        <v>135</v>
      </c>
      <c r="AD563" s="5" t="s">
        <v>95</v>
      </c>
      <c r="AE563" s="5" t="s">
        <v>1720</v>
      </c>
      <c r="AF563" s="5" t="s">
        <v>1720</v>
      </c>
      <c r="AG563" s="5" t="s">
        <v>1720</v>
      </c>
      <c r="AH563" s="5" t="s">
        <v>1720</v>
      </c>
      <c r="AI563" s="6" t="str">
        <f t="shared" si="17"/>
        <v>No</v>
      </c>
      <c r="AJ563" s="6" t="s">
        <v>229</v>
      </c>
      <c r="AK563" s="6" t="s">
        <v>162</v>
      </c>
      <c r="AL563" s="6">
        <f>MATCH(AA563,{"Low","Medium","High"},0)*MATCH(AB563,{"Low","Medium","High"},0)*INDEX({3,2,2,1,1},MATCH(X563,{"Core","Vertical extension","Differentiator","Future","Adjacent"},0))</f>
        <v>9</v>
      </c>
      <c r="AM563" s="5"/>
      <c r="AN563" s="5"/>
      <c r="AO563" s="5"/>
      <c r="AP563" s="5"/>
      <c r="AQ563" s="5"/>
      <c r="AR563" s="5" t="s">
        <v>6932</v>
      </c>
      <c r="AS563" s="51">
        <v>46300</v>
      </c>
      <c r="AT563" s="5" t="s">
        <v>2760</v>
      </c>
      <c r="AU563" s="6" t="s">
        <v>95</v>
      </c>
      <c r="AV563" s="6" t="s">
        <v>3968</v>
      </c>
      <c r="AW563" s="6" t="s">
        <v>3968</v>
      </c>
      <c r="AX563" s="6" t="s">
        <v>2284</v>
      </c>
      <c r="AY563" s="6" t="s">
        <v>2285</v>
      </c>
      <c r="AZ563" s="6"/>
      <c r="BA563" s="6" t="s">
        <v>6933</v>
      </c>
      <c r="BB563" s="6" t="s">
        <v>2349</v>
      </c>
      <c r="BC563" s="6" t="s">
        <v>127</v>
      </c>
      <c r="BD563" s="6" t="s">
        <v>127</v>
      </c>
      <c r="BE563" s="6" t="s">
        <v>95</v>
      </c>
      <c r="BF563" s="6" t="s">
        <v>95</v>
      </c>
      <c r="BG563" s="6" t="s">
        <v>6934</v>
      </c>
      <c r="BH563" s="6" t="s">
        <v>6935</v>
      </c>
    </row>
    <row r="564" spans="1:60" ht="32" customHeight="1" x14ac:dyDescent="0.35">
      <c r="A564" s="13" t="s">
        <v>6936</v>
      </c>
      <c r="B564" s="6" t="s">
        <v>6916</v>
      </c>
      <c r="C564" s="5" t="s">
        <v>6937</v>
      </c>
      <c r="D564" s="5" t="s">
        <v>2196</v>
      </c>
      <c r="E564" s="5" t="s">
        <v>6938</v>
      </c>
      <c r="F564" s="5" t="s">
        <v>6939</v>
      </c>
      <c r="G564" s="5" t="s">
        <v>3209</v>
      </c>
      <c r="H564" s="5" t="s">
        <v>6940</v>
      </c>
      <c r="I564" s="5" t="s">
        <v>6941</v>
      </c>
      <c r="J564" s="17" t="s">
        <v>162</v>
      </c>
      <c r="K564" s="17" t="s">
        <v>95</v>
      </c>
      <c r="L564" s="5" t="s">
        <v>6942</v>
      </c>
      <c r="M564" s="6" t="s">
        <v>1494</v>
      </c>
      <c r="N564" s="6" t="s">
        <v>2172</v>
      </c>
      <c r="O564" s="6" t="s">
        <v>162</v>
      </c>
      <c r="P564" s="5" t="s">
        <v>2272</v>
      </c>
      <c r="Q564" s="17" t="s">
        <v>95</v>
      </c>
      <c r="R564" s="5" t="s">
        <v>6943</v>
      </c>
      <c r="S564" s="6" t="s">
        <v>2358</v>
      </c>
      <c r="T564" s="5" t="s">
        <v>2359</v>
      </c>
      <c r="U564" s="6"/>
      <c r="V564" s="6" t="s">
        <v>2360</v>
      </c>
      <c r="W564" s="6" t="s">
        <v>1703</v>
      </c>
      <c r="X564" s="5" t="s">
        <v>228</v>
      </c>
      <c r="Y564" s="5" t="s">
        <v>1850</v>
      </c>
      <c r="Z564" s="5" t="str">
        <f t="shared" si="16"/>
        <v>Medium</v>
      </c>
      <c r="AA564" s="5" t="s">
        <v>1319</v>
      </c>
      <c r="AB564" s="6" t="s">
        <v>1355</v>
      </c>
      <c r="AC564" s="6" t="s">
        <v>32</v>
      </c>
      <c r="AD564" s="5" t="s">
        <v>95</v>
      </c>
      <c r="AE564" s="5" t="s">
        <v>1720</v>
      </c>
      <c r="AF564" s="5" t="s">
        <v>1720</v>
      </c>
      <c r="AG564" s="5" t="s">
        <v>1720</v>
      </c>
      <c r="AH564" s="5" t="s">
        <v>1720</v>
      </c>
      <c r="AI564" s="6" t="str">
        <f t="shared" si="17"/>
        <v>No</v>
      </c>
      <c r="AJ564" s="6" t="s">
        <v>229</v>
      </c>
      <c r="AK564" s="6" t="s">
        <v>204</v>
      </c>
      <c r="AL564" s="6">
        <f>MATCH(AA564,{"Low","Medium","High"},0)*MATCH(AB564,{"Low","Medium","High"},0)*INDEX({3,2,2,1,1},MATCH(X564,{"Core","Vertical extension","Differentiator","Future","Adjacent"},0))</f>
        <v>6</v>
      </c>
      <c r="AM564" s="5"/>
      <c r="AN564" s="5"/>
      <c r="AO564" s="5"/>
      <c r="AP564" s="5"/>
      <c r="AQ564" s="5"/>
      <c r="AR564" s="5"/>
      <c r="AS564" s="5"/>
      <c r="AT564" s="5"/>
      <c r="AU564" s="6" t="s">
        <v>2317</v>
      </c>
      <c r="AV564" s="6" t="s">
        <v>3968</v>
      </c>
      <c r="AW564" s="6" t="s">
        <v>3968</v>
      </c>
      <c r="AX564" s="6" t="s">
        <v>2284</v>
      </c>
      <c r="AY564" s="6" t="s">
        <v>2285</v>
      </c>
      <c r="AZ564" s="6"/>
      <c r="BA564" s="6"/>
      <c r="BB564" s="6"/>
      <c r="BC564" s="6" t="s">
        <v>127</v>
      </c>
      <c r="BD564" s="6" t="s">
        <v>127</v>
      </c>
      <c r="BE564" s="6" t="s">
        <v>1477</v>
      </c>
      <c r="BF564" s="6" t="s">
        <v>95</v>
      </c>
      <c r="BG564" s="6" t="s">
        <v>2708</v>
      </c>
      <c r="BH564" s="6" t="s">
        <v>6944</v>
      </c>
    </row>
    <row r="565" spans="1:60" ht="32" customHeight="1" x14ac:dyDescent="0.35">
      <c r="A565" s="13" t="s">
        <v>6945</v>
      </c>
      <c r="B565" s="6" t="s">
        <v>6916</v>
      </c>
      <c r="C565" s="5" t="s">
        <v>6946</v>
      </c>
      <c r="D565" s="5" t="s">
        <v>2185</v>
      </c>
      <c r="E565" s="5" t="s">
        <v>6947</v>
      </c>
      <c r="F565" s="5" t="s">
        <v>6055</v>
      </c>
      <c r="G565" s="5" t="s">
        <v>3209</v>
      </c>
      <c r="H565" s="5" t="s">
        <v>6948</v>
      </c>
      <c r="I565" s="5" t="s">
        <v>6949</v>
      </c>
      <c r="J565" s="17" t="s">
        <v>162</v>
      </c>
      <c r="K565" s="17" t="s">
        <v>95</v>
      </c>
      <c r="L565" s="5" t="s">
        <v>6950</v>
      </c>
      <c r="M565" s="6" t="s">
        <v>1494</v>
      </c>
      <c r="N565" s="6" t="s">
        <v>2172</v>
      </c>
      <c r="O565" s="6" t="s">
        <v>162</v>
      </c>
      <c r="P565" s="5" t="s">
        <v>2272</v>
      </c>
      <c r="Q565" s="17" t="s">
        <v>95</v>
      </c>
      <c r="R565" s="5" t="s">
        <v>6951</v>
      </c>
      <c r="S565" s="6" t="s">
        <v>2409</v>
      </c>
      <c r="T565" s="5" t="s">
        <v>2185</v>
      </c>
      <c r="U565" s="6"/>
      <c r="V565" s="6" t="s">
        <v>2277</v>
      </c>
      <c r="W565" s="6" t="s">
        <v>1699</v>
      </c>
      <c r="X565" s="5" t="s">
        <v>228</v>
      </c>
      <c r="Y565" s="5" t="s">
        <v>1850</v>
      </c>
      <c r="Z565" s="5" t="str">
        <f t="shared" si="16"/>
        <v>High</v>
      </c>
      <c r="AA565" s="5" t="s">
        <v>1319</v>
      </c>
      <c r="AB565" s="6" t="s">
        <v>1319</v>
      </c>
      <c r="AC565" s="6" t="s">
        <v>135</v>
      </c>
      <c r="AD565" s="5" t="s">
        <v>95</v>
      </c>
      <c r="AE565" s="5" t="s">
        <v>1720</v>
      </c>
      <c r="AF565" s="5" t="s">
        <v>1720</v>
      </c>
      <c r="AG565" s="5" t="s">
        <v>1720</v>
      </c>
      <c r="AH565" s="5" t="s">
        <v>1720</v>
      </c>
      <c r="AI565" s="6" t="str">
        <f t="shared" si="17"/>
        <v>No</v>
      </c>
      <c r="AJ565" s="6" t="s">
        <v>229</v>
      </c>
      <c r="AK565" s="6" t="s">
        <v>162</v>
      </c>
      <c r="AL565" s="6">
        <f>MATCH(AA565,{"Low","Medium","High"},0)*MATCH(AB565,{"Low","Medium","High"},0)*INDEX({3,2,2,1,1},MATCH(X565,{"Core","Vertical extension","Differentiator","Future","Adjacent"},0))</f>
        <v>12</v>
      </c>
      <c r="AM565" s="5"/>
      <c r="AN565" s="5"/>
      <c r="AO565" s="5"/>
      <c r="AP565" s="5"/>
      <c r="AQ565" s="5"/>
      <c r="AR565" s="5"/>
      <c r="AS565" s="5"/>
      <c r="AT565" s="5"/>
      <c r="AU565" s="6" t="s">
        <v>2317</v>
      </c>
      <c r="AV565" s="6" t="s">
        <v>3968</v>
      </c>
      <c r="AW565" s="6" t="s">
        <v>3968</v>
      </c>
      <c r="AX565" s="6" t="s">
        <v>2284</v>
      </c>
      <c r="AY565" s="6" t="s">
        <v>2411</v>
      </c>
      <c r="AZ565" s="6"/>
      <c r="BA565" s="6"/>
      <c r="BB565" s="6"/>
      <c r="BC565" s="6" t="s">
        <v>127</v>
      </c>
      <c r="BD565" s="6" t="s">
        <v>127</v>
      </c>
      <c r="BE565" s="6" t="s">
        <v>1477</v>
      </c>
      <c r="BF565" s="6" t="s">
        <v>95</v>
      </c>
      <c r="BG565" s="6" t="s">
        <v>6952</v>
      </c>
      <c r="BH565" s="6" t="s">
        <v>6953</v>
      </c>
    </row>
    <row r="566" spans="1:60" ht="32" customHeight="1" x14ac:dyDescent="0.35">
      <c r="A566" s="13" t="s">
        <v>6954</v>
      </c>
      <c r="B566" s="6" t="s">
        <v>6916</v>
      </c>
      <c r="C566" s="5" t="s">
        <v>6955</v>
      </c>
      <c r="D566" s="5" t="s">
        <v>2185</v>
      </c>
      <c r="E566" s="5" t="s">
        <v>6956</v>
      </c>
      <c r="F566" s="5" t="s">
        <v>4432</v>
      </c>
      <c r="G566" s="5" t="s">
        <v>6957</v>
      </c>
      <c r="H566" s="5" t="s">
        <v>6958</v>
      </c>
      <c r="I566" s="5" t="s">
        <v>6959</v>
      </c>
      <c r="J566" s="16" t="s">
        <v>94</v>
      </c>
      <c r="K566" s="17" t="s">
        <v>1477</v>
      </c>
      <c r="L566" s="5" t="s">
        <v>6960</v>
      </c>
      <c r="M566" s="6" t="s">
        <v>1494</v>
      </c>
      <c r="N566" s="6" t="s">
        <v>2172</v>
      </c>
      <c r="O566" s="6" t="s">
        <v>94</v>
      </c>
      <c r="P566" s="5" t="s">
        <v>2272</v>
      </c>
      <c r="Q566" s="17" t="s">
        <v>2273</v>
      </c>
      <c r="R566" s="5" t="s">
        <v>6961</v>
      </c>
      <c r="S566" s="6" t="s">
        <v>2409</v>
      </c>
      <c r="T566" s="5" t="s">
        <v>2185</v>
      </c>
      <c r="U566" s="6"/>
      <c r="V566" s="6" t="s">
        <v>2277</v>
      </c>
      <c r="W566" s="6" t="s">
        <v>1699</v>
      </c>
      <c r="X566" s="5" t="s">
        <v>228</v>
      </c>
      <c r="Y566" s="5" t="s">
        <v>1850</v>
      </c>
      <c r="Z566" s="5" t="str">
        <f t="shared" si="16"/>
        <v>Critical</v>
      </c>
      <c r="AA566" s="5" t="s">
        <v>1302</v>
      </c>
      <c r="AB566" s="6" t="s">
        <v>1319</v>
      </c>
      <c r="AC566" s="6" t="s">
        <v>99</v>
      </c>
      <c r="AD566" s="5" t="s">
        <v>2278</v>
      </c>
      <c r="AE566" s="5" t="s">
        <v>1720</v>
      </c>
      <c r="AF566" s="5" t="s">
        <v>1720</v>
      </c>
      <c r="AG566" s="5" t="s">
        <v>1720</v>
      </c>
      <c r="AH566" s="5" t="s">
        <v>1720</v>
      </c>
      <c r="AI566" s="6" t="str">
        <f t="shared" si="17"/>
        <v>No</v>
      </c>
      <c r="AJ566" s="6" t="s">
        <v>2298</v>
      </c>
      <c r="AK566" s="6" t="s">
        <v>94</v>
      </c>
      <c r="AL566" s="6">
        <f>MATCH(AA566,{"Low","Medium","High"},0)*MATCH(AB566,{"Low","Medium","High"},0)*INDEX({3,2,2,1,1},MATCH(X566,{"Core","Vertical extension","Differentiator","Future","Adjacent"},0))</f>
        <v>18</v>
      </c>
      <c r="AM566" s="5"/>
      <c r="AN566" s="5"/>
      <c r="AO566" s="5"/>
      <c r="AP566" s="5"/>
      <c r="AQ566" s="5"/>
      <c r="AR566" s="5" t="s">
        <v>6962</v>
      </c>
      <c r="AS566" s="5" t="s">
        <v>1462</v>
      </c>
      <c r="AT566" s="5" t="s">
        <v>2281</v>
      </c>
      <c r="AU566" s="6" t="s">
        <v>95</v>
      </c>
      <c r="AV566" s="6" t="s">
        <v>3968</v>
      </c>
      <c r="AW566" s="6" t="s">
        <v>3968</v>
      </c>
      <c r="AX566" s="6" t="s">
        <v>2284</v>
      </c>
      <c r="AY566" s="6" t="s">
        <v>2411</v>
      </c>
      <c r="AZ566" s="6"/>
      <c r="BA566" s="6"/>
      <c r="BB566" s="6"/>
      <c r="BC566" s="6" t="s">
        <v>127</v>
      </c>
      <c r="BD566" s="6" t="s">
        <v>127</v>
      </c>
      <c r="BE566" s="6" t="s">
        <v>1477</v>
      </c>
      <c r="BF566" s="6" t="s">
        <v>2286</v>
      </c>
      <c r="BG566" s="6" t="s">
        <v>6963</v>
      </c>
      <c r="BH566" s="6" t="s">
        <v>6964</v>
      </c>
    </row>
    <row r="567" spans="1:60" ht="32" customHeight="1" x14ac:dyDescent="0.35">
      <c r="A567" s="13" t="s">
        <v>6965</v>
      </c>
      <c r="B567" s="6" t="s">
        <v>6916</v>
      </c>
      <c r="C567" s="5" t="s">
        <v>6966</v>
      </c>
      <c r="D567" s="5" t="s">
        <v>2198</v>
      </c>
      <c r="E567" s="5" t="s">
        <v>6967</v>
      </c>
      <c r="F567" s="5" t="s">
        <v>6968</v>
      </c>
      <c r="G567" s="5" t="s">
        <v>2396</v>
      </c>
      <c r="H567" s="5" t="s">
        <v>6969</v>
      </c>
      <c r="I567" s="5" t="s">
        <v>6970</v>
      </c>
      <c r="J567" s="17" t="s">
        <v>162</v>
      </c>
      <c r="K567" s="17" t="s">
        <v>95</v>
      </c>
      <c r="L567" s="5" t="s">
        <v>6971</v>
      </c>
      <c r="M567" s="6" t="s">
        <v>1494</v>
      </c>
      <c r="N567" s="6" t="s">
        <v>2172</v>
      </c>
      <c r="O567" s="6" t="s">
        <v>162</v>
      </c>
      <c r="P567" s="5" t="s">
        <v>2272</v>
      </c>
      <c r="Q567" s="17" t="s">
        <v>95</v>
      </c>
      <c r="R567" s="5" t="s">
        <v>6972</v>
      </c>
      <c r="S567" s="6" t="s">
        <v>2401</v>
      </c>
      <c r="T567" s="5" t="s">
        <v>2402</v>
      </c>
      <c r="U567" s="6"/>
      <c r="V567" s="6" t="s">
        <v>2403</v>
      </c>
      <c r="W567" s="6" t="s">
        <v>1703</v>
      </c>
      <c r="X567" s="5" t="s">
        <v>228</v>
      </c>
      <c r="Y567" s="5" t="s">
        <v>1850</v>
      </c>
      <c r="Z567" s="5" t="str">
        <f t="shared" si="16"/>
        <v>Medium</v>
      </c>
      <c r="AA567" s="5" t="s">
        <v>1319</v>
      </c>
      <c r="AB567" s="6" t="s">
        <v>1355</v>
      </c>
      <c r="AC567" s="6" t="s">
        <v>32</v>
      </c>
      <c r="AD567" s="5" t="s">
        <v>95</v>
      </c>
      <c r="AE567" s="5" t="s">
        <v>1720</v>
      </c>
      <c r="AF567" s="5" t="s">
        <v>1720</v>
      </c>
      <c r="AG567" s="5" t="s">
        <v>1720</v>
      </c>
      <c r="AH567" s="5" t="s">
        <v>1720</v>
      </c>
      <c r="AI567" s="6" t="str">
        <f t="shared" si="17"/>
        <v>No</v>
      </c>
      <c r="AJ567" s="6" t="s">
        <v>229</v>
      </c>
      <c r="AK567" s="6" t="s">
        <v>204</v>
      </c>
      <c r="AL567" s="6">
        <f>MATCH(AA567,{"Low","Medium","High"},0)*MATCH(AB567,{"Low","Medium","High"},0)*INDEX({3,2,2,1,1},MATCH(X567,{"Core","Vertical extension","Differentiator","Future","Adjacent"},0))</f>
        <v>6</v>
      </c>
      <c r="AM567" s="5"/>
      <c r="AN567" s="5"/>
      <c r="AO567" s="5"/>
      <c r="AP567" s="5"/>
      <c r="AQ567" s="5"/>
      <c r="AR567" s="5"/>
      <c r="AS567" s="5"/>
      <c r="AT567" s="5"/>
      <c r="AU567" s="6" t="s">
        <v>2317</v>
      </c>
      <c r="AV567" s="6" t="s">
        <v>3968</v>
      </c>
      <c r="AW567" s="6" t="s">
        <v>3968</v>
      </c>
      <c r="AX567" s="6" t="s">
        <v>2284</v>
      </c>
      <c r="AY567" s="6" t="s">
        <v>2285</v>
      </c>
      <c r="AZ567" s="6"/>
      <c r="BA567" s="6"/>
      <c r="BB567" s="6"/>
      <c r="BC567" s="6" t="s">
        <v>127</v>
      </c>
      <c r="BD567" s="6" t="s">
        <v>127</v>
      </c>
      <c r="BE567" s="6" t="s">
        <v>1477</v>
      </c>
      <c r="BF567" s="6" t="s">
        <v>95</v>
      </c>
      <c r="BG567" s="6" t="s">
        <v>6973</v>
      </c>
      <c r="BH567" s="6" t="s">
        <v>6974</v>
      </c>
    </row>
    <row r="568" spans="1:60" ht="32" customHeight="1" x14ac:dyDescent="0.35">
      <c r="A568" s="13" t="s">
        <v>6975</v>
      </c>
      <c r="B568" s="6" t="s">
        <v>6916</v>
      </c>
      <c r="C568" s="5" t="s">
        <v>4021</v>
      </c>
      <c r="D568" s="5" t="s">
        <v>2192</v>
      </c>
      <c r="E568" s="5" t="s">
        <v>6976</v>
      </c>
      <c r="F568" s="5" t="s">
        <v>6977</v>
      </c>
      <c r="G568" s="5" t="s">
        <v>3336</v>
      </c>
      <c r="H568" s="5" t="s">
        <v>6978</v>
      </c>
      <c r="I568" s="5" t="s">
        <v>6979</v>
      </c>
      <c r="J568" s="17" t="s">
        <v>162</v>
      </c>
      <c r="K568" s="17" t="s">
        <v>1477</v>
      </c>
      <c r="L568" s="5" t="s">
        <v>6980</v>
      </c>
      <c r="M568" s="6" t="s">
        <v>1494</v>
      </c>
      <c r="N568" s="6" t="s">
        <v>2172</v>
      </c>
      <c r="O568" s="6" t="s">
        <v>162</v>
      </c>
      <c r="P568" s="5" t="s">
        <v>2272</v>
      </c>
      <c r="Q568" s="18" t="s">
        <v>1482</v>
      </c>
      <c r="R568" s="5" t="s">
        <v>6981</v>
      </c>
      <c r="S568" s="6" t="s">
        <v>2371</v>
      </c>
      <c r="T568" s="5" t="s">
        <v>2372</v>
      </c>
      <c r="U568" s="6"/>
      <c r="V568" s="6" t="s">
        <v>2373</v>
      </c>
      <c r="W568" s="6" t="s">
        <v>1699</v>
      </c>
      <c r="X568" s="5" t="s">
        <v>228</v>
      </c>
      <c r="Y568" s="5" t="s">
        <v>1850</v>
      </c>
      <c r="Z568" s="5" t="str">
        <f t="shared" si="16"/>
        <v>Critical</v>
      </c>
      <c r="AA568" s="5" t="s">
        <v>1302</v>
      </c>
      <c r="AB568" s="6" t="s">
        <v>1319</v>
      </c>
      <c r="AC568" s="6" t="s">
        <v>135</v>
      </c>
      <c r="AD568" s="5" t="s">
        <v>2278</v>
      </c>
      <c r="AE568" s="5" t="s">
        <v>1720</v>
      </c>
      <c r="AF568" s="5" t="s">
        <v>1720</v>
      </c>
      <c r="AG568" s="5" t="s">
        <v>1720</v>
      </c>
      <c r="AH568" s="5" t="s">
        <v>1720</v>
      </c>
      <c r="AI568" s="6" t="str">
        <f t="shared" si="17"/>
        <v>No</v>
      </c>
      <c r="AJ568" s="6" t="s">
        <v>2298</v>
      </c>
      <c r="AK568" s="6" t="s">
        <v>162</v>
      </c>
      <c r="AL568" s="6">
        <f>MATCH(AA568,{"Low","Medium","High"},0)*MATCH(AB568,{"Low","Medium","High"},0)*INDEX({3,2,2,1,1},MATCH(X568,{"Core","Vertical extension","Differentiator","Future","Adjacent"},0))</f>
        <v>18</v>
      </c>
      <c r="AM568" s="5"/>
      <c r="AN568" s="5"/>
      <c r="AO568" s="5"/>
      <c r="AP568" s="5"/>
      <c r="AQ568" s="5"/>
      <c r="AR568" s="5"/>
      <c r="AS568" s="5"/>
      <c r="AT568" s="5"/>
      <c r="AU568" s="6" t="s">
        <v>2317</v>
      </c>
      <c r="AV568" s="6" t="s">
        <v>3968</v>
      </c>
      <c r="AW568" s="6" t="s">
        <v>3968</v>
      </c>
      <c r="AX568" s="6" t="s">
        <v>2284</v>
      </c>
      <c r="AY568" s="6" t="s">
        <v>2285</v>
      </c>
      <c r="AZ568" s="6"/>
      <c r="BA568" s="6"/>
      <c r="BB568" s="6"/>
      <c r="BC568" s="6" t="s">
        <v>127</v>
      </c>
      <c r="BD568" s="6" t="s">
        <v>127</v>
      </c>
      <c r="BE568" s="6"/>
      <c r="BF568" s="6"/>
      <c r="BG568" s="6"/>
      <c r="BH568" s="6"/>
    </row>
    <row r="569" spans="1:60" ht="32" customHeight="1" x14ac:dyDescent="0.35">
      <c r="A569" s="13" t="s">
        <v>310</v>
      </c>
      <c r="B569" s="6" t="s">
        <v>6916</v>
      </c>
      <c r="C569" s="5" t="s">
        <v>6982</v>
      </c>
      <c r="D569" s="5" t="s">
        <v>2185</v>
      </c>
      <c r="E569" s="5" t="s">
        <v>311</v>
      </c>
      <c r="F569" s="5" t="s">
        <v>6983</v>
      </c>
      <c r="G569" s="5" t="s">
        <v>3173</v>
      </c>
      <c r="H569" s="5" t="s">
        <v>6984</v>
      </c>
      <c r="I569" s="5" t="s">
        <v>6985</v>
      </c>
      <c r="J569" s="16" t="s">
        <v>94</v>
      </c>
      <c r="K569" s="17" t="s">
        <v>95</v>
      </c>
      <c r="L569" s="5" t="s">
        <v>6986</v>
      </c>
      <c r="M569" s="6" t="s">
        <v>1494</v>
      </c>
      <c r="N569" s="6" t="s">
        <v>2172</v>
      </c>
      <c r="O569" s="6" t="s">
        <v>94</v>
      </c>
      <c r="P569" s="5" t="s">
        <v>2272</v>
      </c>
      <c r="Q569" s="17" t="s">
        <v>95</v>
      </c>
      <c r="R569" s="5" t="s">
        <v>6987</v>
      </c>
      <c r="S569" s="6" t="s">
        <v>2409</v>
      </c>
      <c r="T569" s="5" t="s">
        <v>2185</v>
      </c>
      <c r="U569" s="6"/>
      <c r="V569" s="6" t="s">
        <v>2347</v>
      </c>
      <c r="W569" s="6" t="s">
        <v>1699</v>
      </c>
      <c r="X569" s="5" t="s">
        <v>228</v>
      </c>
      <c r="Y569" s="5" t="s">
        <v>1850</v>
      </c>
      <c r="Z569" s="5" t="str">
        <f t="shared" si="16"/>
        <v>Critical</v>
      </c>
      <c r="AA569" s="5" t="s">
        <v>1302</v>
      </c>
      <c r="AB569" s="6" t="s">
        <v>1319</v>
      </c>
      <c r="AC569" s="6" t="s">
        <v>99</v>
      </c>
      <c r="AD569" s="5" t="s">
        <v>95</v>
      </c>
      <c r="AE569" s="5" t="s">
        <v>1720</v>
      </c>
      <c r="AF569" s="5" t="s">
        <v>1720</v>
      </c>
      <c r="AG569" s="5" t="s">
        <v>1720</v>
      </c>
      <c r="AH569" s="5" t="s">
        <v>1720</v>
      </c>
      <c r="AI569" s="6" t="str">
        <f t="shared" si="17"/>
        <v>No</v>
      </c>
      <c r="AJ569" s="6" t="s">
        <v>229</v>
      </c>
      <c r="AK569" s="6" t="s">
        <v>94</v>
      </c>
      <c r="AL569" s="6">
        <f>MATCH(AA569,{"Low","Medium","High"},0)*MATCH(AB569,{"Low","Medium","High"},0)*INDEX({3,2,2,1,1},MATCH(X569,{"Core","Vertical extension","Differentiator","Future","Adjacent"},0))</f>
        <v>18</v>
      </c>
      <c r="AM569" s="5"/>
      <c r="AN569" s="5"/>
      <c r="AO569" s="5">
        <v>4</v>
      </c>
      <c r="AP569" s="5"/>
      <c r="AQ569" s="5"/>
      <c r="AR569" s="5" t="s">
        <v>6988</v>
      </c>
      <c r="AS569" s="51">
        <v>46300</v>
      </c>
      <c r="AT569" s="5" t="s">
        <v>2760</v>
      </c>
      <c r="AU569" s="6" t="s">
        <v>95</v>
      </c>
      <c r="AV569" s="6" t="s">
        <v>3968</v>
      </c>
      <c r="AW569" s="6" t="s">
        <v>3968</v>
      </c>
      <c r="AX569" s="6" t="s">
        <v>2284</v>
      </c>
      <c r="AY569" s="6" t="s">
        <v>2411</v>
      </c>
      <c r="AZ569" s="6"/>
      <c r="BA569" s="6" t="s">
        <v>6989</v>
      </c>
      <c r="BB569" s="6"/>
      <c r="BC569" s="6" t="s">
        <v>127</v>
      </c>
      <c r="BD569" s="6" t="s">
        <v>127</v>
      </c>
      <c r="BE569" s="6" t="s">
        <v>1477</v>
      </c>
      <c r="BF569" s="6" t="s">
        <v>95</v>
      </c>
      <c r="BG569" s="6" t="s">
        <v>6990</v>
      </c>
      <c r="BH569" s="6" t="s">
        <v>312</v>
      </c>
    </row>
    <row r="570" spans="1:60" ht="32" customHeight="1" x14ac:dyDescent="0.35">
      <c r="A570" s="13" t="s">
        <v>6991</v>
      </c>
      <c r="B570" s="6" t="s">
        <v>6916</v>
      </c>
      <c r="C570" s="5" t="s">
        <v>6992</v>
      </c>
      <c r="D570" s="5" t="s">
        <v>2185</v>
      </c>
      <c r="E570" s="5" t="s">
        <v>6993</v>
      </c>
      <c r="F570" s="5" t="s">
        <v>6994</v>
      </c>
      <c r="G570" s="5" t="s">
        <v>6995</v>
      </c>
      <c r="H570" s="5" t="s">
        <v>6996</v>
      </c>
      <c r="I570" s="5" t="s">
        <v>6997</v>
      </c>
      <c r="J570" s="21" t="s">
        <v>213</v>
      </c>
      <c r="K570" s="17" t="s">
        <v>95</v>
      </c>
      <c r="L570" s="5" t="s">
        <v>6998</v>
      </c>
      <c r="M570" s="6" t="s">
        <v>1494</v>
      </c>
      <c r="N570" s="6" t="s">
        <v>2172</v>
      </c>
      <c r="O570" s="6" t="s">
        <v>204</v>
      </c>
      <c r="P570" s="5" t="s">
        <v>6999</v>
      </c>
      <c r="Q570" s="17" t="s">
        <v>95</v>
      </c>
      <c r="R570" s="5" t="s">
        <v>7000</v>
      </c>
      <c r="S570" s="6" t="s">
        <v>2409</v>
      </c>
      <c r="T570" s="5" t="s">
        <v>2185</v>
      </c>
      <c r="U570" s="6"/>
      <c r="V570" s="6" t="s">
        <v>2277</v>
      </c>
      <c r="W570" s="6" t="s">
        <v>1699</v>
      </c>
      <c r="X570" s="5" t="s">
        <v>415</v>
      </c>
      <c r="Y570" s="5" t="s">
        <v>1850</v>
      </c>
      <c r="Z570" s="5" t="str">
        <f t="shared" si="16"/>
        <v>Low</v>
      </c>
      <c r="AA570" s="5" t="s">
        <v>1355</v>
      </c>
      <c r="AB570" s="6" t="s">
        <v>1319</v>
      </c>
      <c r="AC570" s="6" t="s">
        <v>32</v>
      </c>
      <c r="AD570" s="5" t="s">
        <v>95</v>
      </c>
      <c r="AE570" s="5" t="s">
        <v>1720</v>
      </c>
      <c r="AF570" s="5" t="s">
        <v>1720</v>
      </c>
      <c r="AG570" s="5" t="s">
        <v>1720</v>
      </c>
      <c r="AH570" s="5" t="s">
        <v>1720</v>
      </c>
      <c r="AI570" s="6" t="str">
        <f t="shared" si="17"/>
        <v>No</v>
      </c>
      <c r="AJ570" s="6" t="s">
        <v>229</v>
      </c>
      <c r="AK570" s="6" t="s">
        <v>213</v>
      </c>
      <c r="AL570" s="6">
        <f>MATCH(AA570,{"Low","Medium","High"},0)*MATCH(AB570,{"Low","Medium","High"},0)*INDEX({3,2,2,1,1},MATCH(X570,{"Core","Vertical extension","Differentiator","Future","Adjacent"},0))</f>
        <v>2</v>
      </c>
      <c r="AM570" s="5"/>
      <c r="AN570" s="5"/>
      <c r="AO570" s="5"/>
      <c r="AP570" s="5"/>
      <c r="AQ570" s="5"/>
      <c r="AR570" s="5"/>
      <c r="AS570" s="5"/>
      <c r="AT570" s="5"/>
      <c r="AU570" s="6" t="s">
        <v>2317</v>
      </c>
      <c r="AV570" s="6" t="s">
        <v>3968</v>
      </c>
      <c r="AW570" s="6" t="s">
        <v>3968</v>
      </c>
      <c r="AX570" s="6" t="s">
        <v>7001</v>
      </c>
      <c r="AY570" s="6" t="s">
        <v>2411</v>
      </c>
      <c r="AZ570" s="6"/>
      <c r="BA570" s="6"/>
      <c r="BB570" s="6"/>
      <c r="BC570" s="6" t="s">
        <v>127</v>
      </c>
      <c r="BD570" s="6" t="s">
        <v>127</v>
      </c>
      <c r="BE570" s="6" t="s">
        <v>1477</v>
      </c>
      <c r="BF570" s="6" t="s">
        <v>95</v>
      </c>
      <c r="BG570" s="6" t="s">
        <v>7002</v>
      </c>
      <c r="BH570" s="6" t="s">
        <v>7003</v>
      </c>
    </row>
    <row r="571" spans="1:60" ht="32" customHeight="1" x14ac:dyDescent="0.35">
      <c r="A571" s="13" t="s">
        <v>315</v>
      </c>
      <c r="B571" s="6" t="s">
        <v>6916</v>
      </c>
      <c r="C571" s="5" t="s">
        <v>7004</v>
      </c>
      <c r="D571" s="5" t="s">
        <v>2185</v>
      </c>
      <c r="E571" s="5" t="s">
        <v>316</v>
      </c>
      <c r="F571" s="5" t="s">
        <v>7005</v>
      </c>
      <c r="G571" s="5" t="s">
        <v>3173</v>
      </c>
      <c r="H571" s="5" t="s">
        <v>7006</v>
      </c>
      <c r="I571" s="5" t="s">
        <v>7007</v>
      </c>
      <c r="J571" s="16" t="s">
        <v>94</v>
      </c>
      <c r="K571" s="17" t="s">
        <v>95</v>
      </c>
      <c r="L571" s="5" t="s">
        <v>7008</v>
      </c>
      <c r="M571" s="6" t="s">
        <v>1494</v>
      </c>
      <c r="N571" s="6" t="s">
        <v>2172</v>
      </c>
      <c r="O571" s="6" t="s">
        <v>94</v>
      </c>
      <c r="P571" s="5" t="s">
        <v>2272</v>
      </c>
      <c r="Q571" s="17" t="s">
        <v>95</v>
      </c>
      <c r="R571" s="5" t="s">
        <v>7009</v>
      </c>
      <c r="S571" s="6" t="s">
        <v>2409</v>
      </c>
      <c r="T571" s="5" t="s">
        <v>2185</v>
      </c>
      <c r="U571" s="6"/>
      <c r="V571" s="6" t="s">
        <v>3411</v>
      </c>
      <c r="W571" s="6" t="s">
        <v>1699</v>
      </c>
      <c r="X571" s="5" t="s">
        <v>228</v>
      </c>
      <c r="Y571" s="5" t="s">
        <v>1850</v>
      </c>
      <c r="Z571" s="5" t="str">
        <f t="shared" si="16"/>
        <v>Critical</v>
      </c>
      <c r="AA571" s="5" t="s">
        <v>1302</v>
      </c>
      <c r="AB571" s="6" t="s">
        <v>1319</v>
      </c>
      <c r="AC571" s="6" t="s">
        <v>99</v>
      </c>
      <c r="AD571" s="5" t="s">
        <v>95</v>
      </c>
      <c r="AE571" s="5" t="s">
        <v>1720</v>
      </c>
      <c r="AF571" s="5" t="s">
        <v>1720</v>
      </c>
      <c r="AG571" s="5" t="s">
        <v>1720</v>
      </c>
      <c r="AH571" s="5" t="s">
        <v>1720</v>
      </c>
      <c r="AI571" s="6" t="str">
        <f t="shared" si="17"/>
        <v>No</v>
      </c>
      <c r="AJ571" s="6" t="s">
        <v>229</v>
      </c>
      <c r="AK571" s="6" t="s">
        <v>94</v>
      </c>
      <c r="AL571" s="6">
        <f>MATCH(AA571,{"Low","Medium","High"},0)*MATCH(AB571,{"Low","Medium","High"},0)*INDEX({3,2,2,1,1},MATCH(X571,{"Core","Vertical extension","Differentiator","Future","Adjacent"},0))</f>
        <v>18</v>
      </c>
      <c r="AM571" s="5"/>
      <c r="AN571" s="5"/>
      <c r="AO571" s="5">
        <v>3</v>
      </c>
      <c r="AP571" s="5"/>
      <c r="AQ571" s="5"/>
      <c r="AR571" s="5" t="s">
        <v>7010</v>
      </c>
      <c r="AS571" s="5" t="s">
        <v>1462</v>
      </c>
      <c r="AT571" s="5" t="s">
        <v>2281</v>
      </c>
      <c r="AU571" s="6" t="s">
        <v>95</v>
      </c>
      <c r="AV571" s="6" t="s">
        <v>3968</v>
      </c>
      <c r="AW571" s="6" t="s">
        <v>3968</v>
      </c>
      <c r="AX571" s="6" t="s">
        <v>2284</v>
      </c>
      <c r="AY571" s="6" t="s">
        <v>2411</v>
      </c>
      <c r="AZ571" s="6"/>
      <c r="BA571" s="6" t="s">
        <v>7011</v>
      </c>
      <c r="BB571" s="6"/>
      <c r="BC571" s="6" t="s">
        <v>127</v>
      </c>
      <c r="BD571" s="6" t="s">
        <v>127</v>
      </c>
      <c r="BE571" s="6" t="s">
        <v>1477</v>
      </c>
      <c r="BF571" s="6" t="s">
        <v>95</v>
      </c>
      <c r="BG571" s="6" t="s">
        <v>7012</v>
      </c>
      <c r="BH571" s="6" t="s">
        <v>317</v>
      </c>
    </row>
    <row r="572" spans="1:60" ht="32" customHeight="1" x14ac:dyDescent="0.35">
      <c r="A572" s="13" t="s">
        <v>7013</v>
      </c>
      <c r="B572" s="6" t="s">
        <v>6916</v>
      </c>
      <c r="C572" s="5" t="s">
        <v>7014</v>
      </c>
      <c r="D572" s="5" t="s">
        <v>2194</v>
      </c>
      <c r="E572" s="5" t="s">
        <v>7015</v>
      </c>
      <c r="F572" s="5" t="s">
        <v>7016</v>
      </c>
      <c r="G572" s="5" t="s">
        <v>2312</v>
      </c>
      <c r="H572" s="5" t="s">
        <v>7017</v>
      </c>
      <c r="I572" s="5" t="s">
        <v>7018</v>
      </c>
      <c r="J572" s="21" t="s">
        <v>213</v>
      </c>
      <c r="K572" s="17" t="s">
        <v>163</v>
      </c>
      <c r="L572" s="5" t="s">
        <v>7019</v>
      </c>
      <c r="M572" s="6" t="s">
        <v>1494</v>
      </c>
      <c r="N572" s="6" t="s">
        <v>2172</v>
      </c>
      <c r="O572" s="6" t="s">
        <v>204</v>
      </c>
      <c r="P572" s="5" t="s">
        <v>6999</v>
      </c>
      <c r="Q572" s="17" t="s">
        <v>163</v>
      </c>
      <c r="R572" s="5" t="s">
        <v>7020</v>
      </c>
      <c r="S572" s="6" t="s">
        <v>2449</v>
      </c>
      <c r="T572" s="5" t="s">
        <v>2450</v>
      </c>
      <c r="U572" s="6"/>
      <c r="V572" s="6" t="s">
        <v>2440</v>
      </c>
      <c r="W572" s="6" t="s">
        <v>1699</v>
      </c>
      <c r="X572" s="5" t="s">
        <v>415</v>
      </c>
      <c r="Y572" s="5" t="s">
        <v>1850</v>
      </c>
      <c r="Z572" s="5" t="str">
        <f t="shared" si="16"/>
        <v>Low</v>
      </c>
      <c r="AA572" s="5" t="s">
        <v>1355</v>
      </c>
      <c r="AB572" s="6" t="s">
        <v>1355</v>
      </c>
      <c r="AC572" s="6" t="s">
        <v>32</v>
      </c>
      <c r="AD572" s="5" t="s">
        <v>1805</v>
      </c>
      <c r="AE572" s="5" t="s">
        <v>1720</v>
      </c>
      <c r="AF572" s="5" t="s">
        <v>1720</v>
      </c>
      <c r="AG572" s="5" t="s">
        <v>1720</v>
      </c>
      <c r="AH572" s="5" t="s">
        <v>1720</v>
      </c>
      <c r="AI572" s="6" t="str">
        <f t="shared" si="17"/>
        <v>No</v>
      </c>
      <c r="AJ572" s="6" t="s">
        <v>287</v>
      </c>
      <c r="AK572" s="6" t="s">
        <v>213</v>
      </c>
      <c r="AL572" s="6">
        <f>MATCH(AA572,{"Low","Medium","High"},0)*MATCH(AB572,{"Low","Medium","High"},0)*INDEX({3,2,2,1,1},MATCH(X572,{"Core","Vertical extension","Differentiator","Future","Adjacent"},0))</f>
        <v>1</v>
      </c>
      <c r="AM572" s="5"/>
      <c r="AN572" s="5"/>
      <c r="AO572" s="5"/>
      <c r="AP572" s="5"/>
      <c r="AQ572" s="5"/>
      <c r="AR572" s="5"/>
      <c r="AS572" s="5"/>
      <c r="AT572" s="5"/>
      <c r="AU572" s="6" t="s">
        <v>2317</v>
      </c>
      <c r="AV572" s="6" t="s">
        <v>3968</v>
      </c>
      <c r="AW572" s="6" t="s">
        <v>3968</v>
      </c>
      <c r="AX572" s="6" t="s">
        <v>7001</v>
      </c>
      <c r="AY572" s="6" t="s">
        <v>2285</v>
      </c>
      <c r="AZ572" s="6"/>
      <c r="BA572" s="6"/>
      <c r="BB572" s="6"/>
      <c r="BC572" s="6" t="s">
        <v>127</v>
      </c>
      <c r="BD572" s="6" t="s">
        <v>127</v>
      </c>
      <c r="BE572" s="6" t="s">
        <v>1477</v>
      </c>
      <c r="BF572" s="6" t="s">
        <v>288</v>
      </c>
      <c r="BG572" s="6" t="s">
        <v>7021</v>
      </c>
      <c r="BH572" s="6" t="s">
        <v>7022</v>
      </c>
    </row>
    <row r="573" spans="1:60" ht="32" customHeight="1" x14ac:dyDescent="0.35">
      <c r="A573" s="13" t="s">
        <v>320</v>
      </c>
      <c r="B573" s="6" t="s">
        <v>6916</v>
      </c>
      <c r="C573" s="5" t="s">
        <v>7023</v>
      </c>
      <c r="D573" s="5" t="s">
        <v>2185</v>
      </c>
      <c r="E573" s="5" t="s">
        <v>321</v>
      </c>
      <c r="F573" s="5" t="s">
        <v>7024</v>
      </c>
      <c r="G573" s="5" t="s">
        <v>7025</v>
      </c>
      <c r="H573" s="5" t="s">
        <v>7026</v>
      </c>
      <c r="I573" s="5" t="s">
        <v>7027</v>
      </c>
      <c r="J573" s="16" t="s">
        <v>94</v>
      </c>
      <c r="K573" s="17" t="s">
        <v>95</v>
      </c>
      <c r="L573" s="5" t="s">
        <v>7028</v>
      </c>
      <c r="M573" s="6" t="s">
        <v>1494</v>
      </c>
      <c r="N573" s="6" t="s">
        <v>2172</v>
      </c>
      <c r="O573" s="6" t="s">
        <v>94</v>
      </c>
      <c r="P573" s="5" t="s">
        <v>2272</v>
      </c>
      <c r="Q573" s="17" t="s">
        <v>95</v>
      </c>
      <c r="R573" s="5" t="s">
        <v>7029</v>
      </c>
      <c r="S573" s="6" t="s">
        <v>2409</v>
      </c>
      <c r="T573" s="5" t="s">
        <v>2185</v>
      </c>
      <c r="U573" s="6"/>
      <c r="V573" s="6" t="s">
        <v>2410</v>
      </c>
      <c r="W573" s="6" t="s">
        <v>1699</v>
      </c>
      <c r="X573" s="5" t="s">
        <v>228</v>
      </c>
      <c r="Y573" s="5" t="s">
        <v>1850</v>
      </c>
      <c r="Z573" s="5" t="str">
        <f t="shared" si="16"/>
        <v>Critical</v>
      </c>
      <c r="AA573" s="5" t="s">
        <v>1302</v>
      </c>
      <c r="AB573" s="6" t="s">
        <v>1319</v>
      </c>
      <c r="AC573" s="6" t="s">
        <v>99</v>
      </c>
      <c r="AD573" s="5" t="s">
        <v>95</v>
      </c>
      <c r="AE573" s="5" t="s">
        <v>1720</v>
      </c>
      <c r="AF573" s="5" t="s">
        <v>1720</v>
      </c>
      <c r="AG573" s="5" t="s">
        <v>1720</v>
      </c>
      <c r="AH573" s="5" t="s">
        <v>1720</v>
      </c>
      <c r="AI573" s="6" t="str">
        <f t="shared" si="17"/>
        <v>No</v>
      </c>
      <c r="AJ573" s="6" t="s">
        <v>229</v>
      </c>
      <c r="AK573" s="6" t="s">
        <v>94</v>
      </c>
      <c r="AL573" s="6">
        <f>MATCH(AA573,{"Low","Medium","High"},0)*MATCH(AB573,{"Low","Medium","High"},0)*INDEX({3,2,2,1,1},MATCH(X573,{"Core","Vertical extension","Differentiator","Future","Adjacent"},0))</f>
        <v>18</v>
      </c>
      <c r="AM573" s="5"/>
      <c r="AN573" s="5"/>
      <c r="AO573" s="5">
        <v>2</v>
      </c>
      <c r="AP573" s="5"/>
      <c r="AQ573" s="5"/>
      <c r="AR573" s="5" t="s">
        <v>7030</v>
      </c>
      <c r="AS573" s="51">
        <v>46300</v>
      </c>
      <c r="AT573" s="5" t="s">
        <v>2760</v>
      </c>
      <c r="AU573" s="6" t="s">
        <v>95</v>
      </c>
      <c r="AV573" s="6" t="s">
        <v>3968</v>
      </c>
      <c r="AW573" s="6" t="s">
        <v>3968</v>
      </c>
      <c r="AX573" s="6" t="s">
        <v>2284</v>
      </c>
      <c r="AY573" s="6" t="s">
        <v>2411</v>
      </c>
      <c r="AZ573" s="6"/>
      <c r="BA573" s="6" t="s">
        <v>7031</v>
      </c>
      <c r="BB573" s="6"/>
      <c r="BC573" s="6" t="s">
        <v>127</v>
      </c>
      <c r="BD573" s="6" t="s">
        <v>127</v>
      </c>
      <c r="BE573" s="6" t="s">
        <v>1477</v>
      </c>
      <c r="BF573" s="6" t="s">
        <v>95</v>
      </c>
      <c r="BG573" s="6" t="s">
        <v>7032</v>
      </c>
      <c r="BH573" s="6" t="s">
        <v>322</v>
      </c>
    </row>
    <row r="574" spans="1:60" ht="32" customHeight="1" x14ac:dyDescent="0.35">
      <c r="A574" s="13" t="s">
        <v>7033</v>
      </c>
      <c r="B574" s="6" t="s">
        <v>6916</v>
      </c>
      <c r="C574" s="5" t="s">
        <v>6917</v>
      </c>
      <c r="D574" s="5" t="s">
        <v>2195</v>
      </c>
      <c r="E574" s="5" t="s">
        <v>7034</v>
      </c>
      <c r="F574" s="5" t="s">
        <v>7035</v>
      </c>
      <c r="G574" s="5" t="s">
        <v>1822</v>
      </c>
      <c r="H574" s="5" t="s">
        <v>7036</v>
      </c>
      <c r="I574" s="5" t="s">
        <v>7037</v>
      </c>
      <c r="J574" s="16" t="s">
        <v>94</v>
      </c>
      <c r="K574" s="17" t="s">
        <v>1477</v>
      </c>
      <c r="L574" s="5" t="s">
        <v>7038</v>
      </c>
      <c r="M574" s="6" t="s">
        <v>1494</v>
      </c>
      <c r="N574" s="6" t="s">
        <v>2172</v>
      </c>
      <c r="O574" s="6" t="s">
        <v>94</v>
      </c>
      <c r="P574" s="5" t="s">
        <v>2272</v>
      </c>
      <c r="Q574" s="17" t="s">
        <v>2273</v>
      </c>
      <c r="R574" s="5" t="s">
        <v>7039</v>
      </c>
      <c r="S574" s="6" t="s">
        <v>2295</v>
      </c>
      <c r="T574" s="5" t="s">
        <v>2296</v>
      </c>
      <c r="U574" s="6"/>
      <c r="V574" s="6" t="s">
        <v>2297</v>
      </c>
      <c r="W574" s="6" t="s">
        <v>1697</v>
      </c>
      <c r="X574" s="5" t="s">
        <v>228</v>
      </c>
      <c r="Y574" s="5" t="s">
        <v>1850</v>
      </c>
      <c r="Z574" s="5" t="str">
        <f t="shared" si="16"/>
        <v>High</v>
      </c>
      <c r="AA574" s="5" t="s">
        <v>1302</v>
      </c>
      <c r="AB574" s="6" t="s">
        <v>1355</v>
      </c>
      <c r="AC574" s="6" t="s">
        <v>99</v>
      </c>
      <c r="AD574" s="5" t="s">
        <v>2278</v>
      </c>
      <c r="AE574" s="5" t="s">
        <v>1720</v>
      </c>
      <c r="AF574" s="5" t="s">
        <v>1720</v>
      </c>
      <c r="AG574" s="5" t="s">
        <v>1720</v>
      </c>
      <c r="AH574" s="5" t="s">
        <v>1720</v>
      </c>
      <c r="AI574" s="6" t="str">
        <f t="shared" si="17"/>
        <v>No</v>
      </c>
      <c r="AJ574" s="6" t="s">
        <v>2279</v>
      </c>
      <c r="AK574" s="6" t="s">
        <v>94</v>
      </c>
      <c r="AL574" s="6">
        <f>MATCH(AA574,{"Low","Medium","High"},0)*MATCH(AB574,{"Low","Medium","High"},0)*INDEX({3,2,2,1,1},MATCH(X574,{"Core","Vertical extension","Differentiator","Future","Adjacent"},0))</f>
        <v>9</v>
      </c>
      <c r="AM574" s="5"/>
      <c r="AN574" s="5"/>
      <c r="AO574" s="5"/>
      <c r="AP574" s="5"/>
      <c r="AQ574" s="5"/>
      <c r="AR574" s="5" t="s">
        <v>7040</v>
      </c>
      <c r="AS574" s="5" t="s">
        <v>1462</v>
      </c>
      <c r="AT574" s="5" t="s">
        <v>2281</v>
      </c>
      <c r="AU574" s="6" t="s">
        <v>2282</v>
      </c>
      <c r="AV574" s="6" t="s">
        <v>3968</v>
      </c>
      <c r="AW574" s="6" t="s">
        <v>3968</v>
      </c>
      <c r="AX574" s="6" t="s">
        <v>2284</v>
      </c>
      <c r="AY574" s="6" t="s">
        <v>2285</v>
      </c>
      <c r="AZ574" s="6"/>
      <c r="BA574" s="6"/>
      <c r="BB574" s="6"/>
      <c r="BC574" s="6" t="s">
        <v>127</v>
      </c>
      <c r="BD574" s="6" t="s">
        <v>127</v>
      </c>
      <c r="BE574" s="6" t="s">
        <v>1477</v>
      </c>
      <c r="BF574" s="6" t="s">
        <v>2286</v>
      </c>
      <c r="BG574" s="6" t="s">
        <v>7041</v>
      </c>
      <c r="BH574" s="6" t="s">
        <v>7042</v>
      </c>
    </row>
    <row r="575" spans="1:60" ht="32" customHeight="1" x14ac:dyDescent="0.35">
      <c r="A575" s="13" t="s">
        <v>174</v>
      </c>
      <c r="B575" s="6" t="s">
        <v>6916</v>
      </c>
      <c r="C575" s="5" t="s">
        <v>7043</v>
      </c>
      <c r="D575" s="5" t="s">
        <v>2189</v>
      </c>
      <c r="E575" s="5" t="s">
        <v>2134</v>
      </c>
      <c r="F575" s="5" t="s">
        <v>7044</v>
      </c>
      <c r="G575" s="5" t="s">
        <v>2813</v>
      </c>
      <c r="H575" s="5" t="s">
        <v>7045</v>
      </c>
      <c r="I575" s="5" t="s">
        <v>7046</v>
      </c>
      <c r="J575" s="17" t="s">
        <v>162</v>
      </c>
      <c r="K575" s="16" t="s">
        <v>163</v>
      </c>
      <c r="L575" s="5" t="s">
        <v>7047</v>
      </c>
      <c r="M575" s="6" t="s">
        <v>1494</v>
      </c>
      <c r="N575" s="6" t="s">
        <v>2172</v>
      </c>
      <c r="O575" s="6" t="s">
        <v>162</v>
      </c>
      <c r="P575" s="5" t="s">
        <v>2272</v>
      </c>
      <c r="Q575" s="16" t="s">
        <v>163</v>
      </c>
      <c r="R575" s="5" t="s">
        <v>7048</v>
      </c>
      <c r="S575" s="6" t="s">
        <v>2325</v>
      </c>
      <c r="T575" s="5" t="s">
        <v>2326</v>
      </c>
      <c r="U575" s="6"/>
      <c r="V575" s="6" t="s">
        <v>2327</v>
      </c>
      <c r="W575" s="6" t="s">
        <v>1699</v>
      </c>
      <c r="X575" s="5" t="s">
        <v>228</v>
      </c>
      <c r="Y575" s="5" t="s">
        <v>1850</v>
      </c>
      <c r="Z575" s="5" t="str">
        <f t="shared" si="16"/>
        <v>Medium</v>
      </c>
      <c r="AA575" s="5" t="s">
        <v>1319</v>
      </c>
      <c r="AB575" s="6" t="s">
        <v>1355</v>
      </c>
      <c r="AC575" s="6" t="s">
        <v>135</v>
      </c>
      <c r="AD575" s="5" t="s">
        <v>95</v>
      </c>
      <c r="AE575" s="5" t="s">
        <v>1720</v>
      </c>
      <c r="AF575" s="5" t="s">
        <v>1720</v>
      </c>
      <c r="AG575" s="5" t="s">
        <v>1720</v>
      </c>
      <c r="AH575" s="5" t="s">
        <v>1720</v>
      </c>
      <c r="AI575" s="6" t="str">
        <f t="shared" si="17"/>
        <v>No</v>
      </c>
      <c r="AJ575" s="6" t="s">
        <v>229</v>
      </c>
      <c r="AK575" s="6" t="s">
        <v>162</v>
      </c>
      <c r="AL575" s="6">
        <f>MATCH(AA575,{"Low","Medium","High"},0)*MATCH(AB575,{"Low","Medium","High"},0)*INDEX({3,2,2,1,1},MATCH(X575,{"Core","Vertical extension","Differentiator","Future","Adjacent"},0))</f>
        <v>6</v>
      </c>
      <c r="AM575" s="5"/>
      <c r="AN575" s="5"/>
      <c r="AO575" s="5"/>
      <c r="AP575" s="5"/>
      <c r="AQ575" s="5"/>
      <c r="AR575" s="5" t="s">
        <v>7049</v>
      </c>
      <c r="AS575" s="51">
        <v>46300</v>
      </c>
      <c r="AT575" s="5" t="s">
        <v>2760</v>
      </c>
      <c r="AU575" s="6" t="s">
        <v>95</v>
      </c>
      <c r="AV575" s="6" t="s">
        <v>3968</v>
      </c>
      <c r="AW575" s="6" t="s">
        <v>3968</v>
      </c>
      <c r="AX575" s="6" t="s">
        <v>2284</v>
      </c>
      <c r="AY575" s="6" t="s">
        <v>2285</v>
      </c>
      <c r="AZ575" s="6"/>
      <c r="BA575" s="6" t="s">
        <v>7050</v>
      </c>
      <c r="BB575" s="6" t="s">
        <v>4259</v>
      </c>
      <c r="BC575" s="6" t="s">
        <v>127</v>
      </c>
      <c r="BD575" s="6" t="s">
        <v>127</v>
      </c>
      <c r="BE575" s="6" t="s">
        <v>163</v>
      </c>
      <c r="BF575" s="6" t="s">
        <v>95</v>
      </c>
      <c r="BG575" s="6" t="s">
        <v>7051</v>
      </c>
      <c r="BH575" s="6" t="s">
        <v>7052</v>
      </c>
    </row>
    <row r="576" spans="1:60" ht="32" customHeight="1" x14ac:dyDescent="0.35">
      <c r="A576" s="13" t="s">
        <v>7053</v>
      </c>
      <c r="B576" s="6" t="s">
        <v>6916</v>
      </c>
      <c r="C576" s="5" t="s">
        <v>7054</v>
      </c>
      <c r="D576" s="5" t="s">
        <v>2187</v>
      </c>
      <c r="E576" s="5" t="s">
        <v>7055</v>
      </c>
      <c r="F576" s="5" t="s">
        <v>4432</v>
      </c>
      <c r="G576" s="5" t="s">
        <v>7056</v>
      </c>
      <c r="H576" s="5" t="s">
        <v>7057</v>
      </c>
      <c r="I576" s="5" t="s">
        <v>7058</v>
      </c>
      <c r="J576" s="16" t="s">
        <v>94</v>
      </c>
      <c r="K576" s="17" t="s">
        <v>1477</v>
      </c>
      <c r="L576" s="5" t="s">
        <v>7059</v>
      </c>
      <c r="M576" s="6" t="s">
        <v>1494</v>
      </c>
      <c r="N576" s="6" t="s">
        <v>2172</v>
      </c>
      <c r="O576" s="6" t="s">
        <v>94</v>
      </c>
      <c r="P576" s="5" t="s">
        <v>2272</v>
      </c>
      <c r="Q576" s="18" t="s">
        <v>1482</v>
      </c>
      <c r="R576" s="5" t="s">
        <v>2648</v>
      </c>
      <c r="S576" s="6" t="s">
        <v>2345</v>
      </c>
      <c r="T576" s="5" t="s">
        <v>2346</v>
      </c>
      <c r="U576" s="6"/>
      <c r="V576" s="6" t="s">
        <v>2347</v>
      </c>
      <c r="W576" s="6" t="s">
        <v>1697</v>
      </c>
      <c r="X576" s="5" t="s">
        <v>228</v>
      </c>
      <c r="Y576" s="5" t="s">
        <v>1850</v>
      </c>
      <c r="Z576" s="5" t="str">
        <f t="shared" si="16"/>
        <v>High</v>
      </c>
      <c r="AA576" s="5" t="s">
        <v>1302</v>
      </c>
      <c r="AB576" s="6" t="s">
        <v>1355</v>
      </c>
      <c r="AC576" s="6" t="s">
        <v>99</v>
      </c>
      <c r="AD576" s="5" t="s">
        <v>2278</v>
      </c>
      <c r="AE576" s="5" t="s">
        <v>1720</v>
      </c>
      <c r="AF576" s="5" t="s">
        <v>1720</v>
      </c>
      <c r="AG576" s="5" t="s">
        <v>1720</v>
      </c>
      <c r="AH576" s="5" t="s">
        <v>1720</v>
      </c>
      <c r="AI576" s="6" t="str">
        <f t="shared" si="17"/>
        <v>No</v>
      </c>
      <c r="AJ576" s="6" t="s">
        <v>2279</v>
      </c>
      <c r="AK576" s="6" t="s">
        <v>94</v>
      </c>
      <c r="AL576" s="6">
        <f>MATCH(AA576,{"Low","Medium","High"},0)*MATCH(AB576,{"Low","Medium","High"},0)*INDEX({3,2,2,1,1},MATCH(X576,{"Core","Vertical extension","Differentiator","Future","Adjacent"},0))</f>
        <v>9</v>
      </c>
      <c r="AM576" s="5"/>
      <c r="AN576" s="5"/>
      <c r="AO576" s="5"/>
      <c r="AP576" s="5"/>
      <c r="AQ576" s="5"/>
      <c r="AR576" s="5" t="s">
        <v>7060</v>
      </c>
      <c r="AS576" s="5" t="s">
        <v>1462</v>
      </c>
      <c r="AT576" s="5" t="s">
        <v>2281</v>
      </c>
      <c r="AU576" s="6" t="s">
        <v>2282</v>
      </c>
      <c r="AV576" s="6" t="s">
        <v>3968</v>
      </c>
      <c r="AW576" s="6" t="s">
        <v>3968</v>
      </c>
      <c r="AX576" s="6" t="s">
        <v>2284</v>
      </c>
      <c r="AY576" s="6" t="s">
        <v>2285</v>
      </c>
      <c r="AZ576" s="6"/>
      <c r="BA576" s="6" t="s">
        <v>2348</v>
      </c>
      <c r="BB576" s="6" t="s">
        <v>2349</v>
      </c>
      <c r="BC576" s="6" t="s">
        <v>127</v>
      </c>
      <c r="BD576" s="6" t="s">
        <v>127</v>
      </c>
      <c r="BE576" s="6"/>
      <c r="BF576" s="6"/>
      <c r="BG576" s="6"/>
      <c r="BH576" s="6"/>
    </row>
    <row r="577" spans="1:60" ht="32" customHeight="1" x14ac:dyDescent="0.35">
      <c r="A577" s="13" t="s">
        <v>7061</v>
      </c>
      <c r="B577" s="6" t="s">
        <v>6916</v>
      </c>
      <c r="C577" s="5" t="s">
        <v>7062</v>
      </c>
      <c r="D577" s="5" t="s">
        <v>2191</v>
      </c>
      <c r="E577" s="5" t="s">
        <v>7063</v>
      </c>
      <c r="F577" s="5" t="s">
        <v>7064</v>
      </c>
      <c r="G577" s="5" t="s">
        <v>3209</v>
      </c>
      <c r="H577" s="5" t="s">
        <v>7065</v>
      </c>
      <c r="I577" s="5" t="s">
        <v>7066</v>
      </c>
      <c r="J577" s="17" t="s">
        <v>162</v>
      </c>
      <c r="K577" s="17" t="s">
        <v>163</v>
      </c>
      <c r="L577" s="5" t="s">
        <v>7067</v>
      </c>
      <c r="M577" s="6" t="s">
        <v>1494</v>
      </c>
      <c r="N577" s="6" t="s">
        <v>2172</v>
      </c>
      <c r="O577" s="6" t="s">
        <v>162</v>
      </c>
      <c r="P577" s="5" t="s">
        <v>2272</v>
      </c>
      <c r="Q577" s="17" t="s">
        <v>163</v>
      </c>
      <c r="R577" s="5" t="s">
        <v>7068</v>
      </c>
      <c r="S577" s="6" t="s">
        <v>2275</v>
      </c>
      <c r="T577" s="5" t="s">
        <v>2276</v>
      </c>
      <c r="U577" s="6"/>
      <c r="V577" s="6" t="s">
        <v>2277</v>
      </c>
      <c r="W577" s="6" t="s">
        <v>1697</v>
      </c>
      <c r="X577" s="5" t="s">
        <v>228</v>
      </c>
      <c r="Y577" s="5" t="s">
        <v>1850</v>
      </c>
      <c r="Z577" s="5" t="str">
        <f t="shared" si="16"/>
        <v>Medium</v>
      </c>
      <c r="AA577" s="5" t="s">
        <v>1319</v>
      </c>
      <c r="AB577" s="6" t="s">
        <v>1355</v>
      </c>
      <c r="AC577" s="6" t="s">
        <v>135</v>
      </c>
      <c r="AD577" s="5" t="s">
        <v>1805</v>
      </c>
      <c r="AE577" s="5" t="s">
        <v>1720</v>
      </c>
      <c r="AF577" s="5" t="s">
        <v>1720</v>
      </c>
      <c r="AG577" s="5" t="s">
        <v>1720</v>
      </c>
      <c r="AH577" s="5" t="s">
        <v>1720</v>
      </c>
      <c r="AI577" s="6" t="str">
        <f t="shared" si="17"/>
        <v>No</v>
      </c>
      <c r="AJ577" s="6" t="s">
        <v>287</v>
      </c>
      <c r="AK577" s="6" t="s">
        <v>162</v>
      </c>
      <c r="AL577" s="6">
        <f>MATCH(AA577,{"Low","Medium","High"},0)*MATCH(AB577,{"Low","Medium","High"},0)*INDEX({3,2,2,1,1},MATCH(X577,{"Core","Vertical extension","Differentiator","Future","Adjacent"},0))</f>
        <v>6</v>
      </c>
      <c r="AM577" s="5"/>
      <c r="AN577" s="5"/>
      <c r="AO577" s="5"/>
      <c r="AP577" s="5"/>
      <c r="AQ577" s="5"/>
      <c r="AR577" s="5"/>
      <c r="AS577" s="5"/>
      <c r="AT577" s="5"/>
      <c r="AU577" s="6" t="s">
        <v>2317</v>
      </c>
      <c r="AV577" s="6" t="s">
        <v>3968</v>
      </c>
      <c r="AW577" s="6" t="s">
        <v>3968</v>
      </c>
      <c r="AX577" s="6" t="s">
        <v>2284</v>
      </c>
      <c r="AY577" s="6" t="s">
        <v>2285</v>
      </c>
      <c r="AZ577" s="6"/>
      <c r="BA577" s="6"/>
      <c r="BB577" s="6"/>
      <c r="BC577" s="6" t="s">
        <v>127</v>
      </c>
      <c r="BD577" s="6" t="s">
        <v>127</v>
      </c>
      <c r="BE577" s="6" t="s">
        <v>1477</v>
      </c>
      <c r="BF577" s="6" t="s">
        <v>288</v>
      </c>
      <c r="BG577" s="6" t="s">
        <v>7069</v>
      </c>
      <c r="BH577" s="6" t="s">
        <v>7070</v>
      </c>
    </row>
    <row r="578" spans="1:60" ht="32" customHeight="1" x14ac:dyDescent="0.35">
      <c r="A578" s="13" t="s">
        <v>7071</v>
      </c>
      <c r="B578" s="6" t="s">
        <v>6916</v>
      </c>
      <c r="C578" s="5" t="s">
        <v>7072</v>
      </c>
      <c r="D578" s="5" t="s">
        <v>2185</v>
      </c>
      <c r="E578" s="5" t="s">
        <v>7073</v>
      </c>
      <c r="F578" s="5" t="s">
        <v>7074</v>
      </c>
      <c r="G578" s="5" t="s">
        <v>5739</v>
      </c>
      <c r="H578" s="5" t="s">
        <v>7075</v>
      </c>
      <c r="I578" s="5" t="s">
        <v>7076</v>
      </c>
      <c r="J578" s="17" t="s">
        <v>162</v>
      </c>
      <c r="K578" s="17" t="s">
        <v>163</v>
      </c>
      <c r="L578" s="5" t="s">
        <v>7077</v>
      </c>
      <c r="M578" s="6" t="s">
        <v>1494</v>
      </c>
      <c r="N578" s="6" t="s">
        <v>2172</v>
      </c>
      <c r="O578" s="6" t="s">
        <v>162</v>
      </c>
      <c r="P578" s="5" t="s">
        <v>2272</v>
      </c>
      <c r="Q578" s="17" t="s">
        <v>163</v>
      </c>
      <c r="R578" s="5" t="s">
        <v>7078</v>
      </c>
      <c r="S578" s="6" t="s">
        <v>2409</v>
      </c>
      <c r="T578" s="5" t="s">
        <v>2185</v>
      </c>
      <c r="U578" s="6"/>
      <c r="V578" s="6" t="s">
        <v>2410</v>
      </c>
      <c r="W578" s="6" t="s">
        <v>1699</v>
      </c>
      <c r="X578" s="5" t="s">
        <v>228</v>
      </c>
      <c r="Y578" s="5" t="s">
        <v>1850</v>
      </c>
      <c r="Z578" s="5" t="str">
        <f t="shared" ref="Z578:Z641" si="18">IF(AL578&gt;=18,"Critical",IF(AL578&gt;=9,"High",IF(AL578&gt;=4,"Medium","Low")))</f>
        <v>High</v>
      </c>
      <c r="AA578" s="5" t="s">
        <v>1319</v>
      </c>
      <c r="AB578" s="6" t="s">
        <v>1319</v>
      </c>
      <c r="AC578" s="6" t="s">
        <v>135</v>
      </c>
      <c r="AD578" s="5" t="s">
        <v>1805</v>
      </c>
      <c r="AE578" s="5" t="s">
        <v>1720</v>
      </c>
      <c r="AF578" s="5" t="s">
        <v>1720</v>
      </c>
      <c r="AG578" s="5" t="s">
        <v>1720</v>
      </c>
      <c r="AH578" s="5" t="s">
        <v>1720</v>
      </c>
      <c r="AI578" s="6" t="str">
        <f t="shared" ref="AI578:AI641" si="19">IF(AND(AU578="Pass",AE578&lt;&gt;"Not verified",AF578&lt;&gt;"Not verified",AG578&lt;&gt;"Not verified",AH578&lt;&gt;"Not verified",BC578="Yes",BD578="Yes"),"Yes","No")</f>
        <v>No</v>
      </c>
      <c r="AJ578" s="6" t="s">
        <v>287</v>
      </c>
      <c r="AK578" s="6" t="s">
        <v>162</v>
      </c>
      <c r="AL578" s="6">
        <f>MATCH(AA578,{"Low","Medium","High"},0)*MATCH(AB578,{"Low","Medium","High"},0)*INDEX({3,2,2,1,1},MATCH(X578,{"Core","Vertical extension","Differentiator","Future","Adjacent"},0))</f>
        <v>12</v>
      </c>
      <c r="AM578" s="5"/>
      <c r="AN578" s="5"/>
      <c r="AO578" s="5"/>
      <c r="AP578" s="5"/>
      <c r="AQ578" s="5"/>
      <c r="AR578" s="5"/>
      <c r="AS578" s="5"/>
      <c r="AT578" s="5"/>
      <c r="AU578" s="6" t="s">
        <v>2317</v>
      </c>
      <c r="AV578" s="6" t="s">
        <v>3968</v>
      </c>
      <c r="AW578" s="6" t="s">
        <v>3968</v>
      </c>
      <c r="AX578" s="6" t="s">
        <v>2284</v>
      </c>
      <c r="AY578" s="6" t="s">
        <v>2411</v>
      </c>
      <c r="AZ578" s="6"/>
      <c r="BA578" s="6"/>
      <c r="BB578" s="6"/>
      <c r="BC578" s="6" t="s">
        <v>127</v>
      </c>
      <c r="BD578" s="6" t="s">
        <v>127</v>
      </c>
      <c r="BE578" s="6" t="s">
        <v>1477</v>
      </c>
      <c r="BF578" s="6" t="s">
        <v>288</v>
      </c>
      <c r="BG578" s="6" t="s">
        <v>7079</v>
      </c>
      <c r="BH578" s="6" t="s">
        <v>7080</v>
      </c>
    </row>
    <row r="579" spans="1:60" ht="32" customHeight="1" x14ac:dyDescent="0.35">
      <c r="A579" s="13" t="s">
        <v>7081</v>
      </c>
      <c r="B579" s="6" t="s">
        <v>6916</v>
      </c>
      <c r="C579" s="5" t="s">
        <v>7082</v>
      </c>
      <c r="D579" s="5" t="s">
        <v>2187</v>
      </c>
      <c r="E579" s="5" t="s">
        <v>7083</v>
      </c>
      <c r="F579" s="5" t="s">
        <v>7084</v>
      </c>
      <c r="G579" s="5" t="s">
        <v>2973</v>
      </c>
      <c r="H579" s="5" t="s">
        <v>7085</v>
      </c>
      <c r="I579" s="5" t="s">
        <v>7086</v>
      </c>
      <c r="J579" s="17" t="s">
        <v>162</v>
      </c>
      <c r="K579" s="17" t="s">
        <v>163</v>
      </c>
      <c r="L579" s="5" t="s">
        <v>7087</v>
      </c>
      <c r="M579" s="6" t="s">
        <v>1494</v>
      </c>
      <c r="N579" s="6" t="s">
        <v>2172</v>
      </c>
      <c r="O579" s="6" t="s">
        <v>162</v>
      </c>
      <c r="P579" s="5" t="s">
        <v>2272</v>
      </c>
      <c r="Q579" s="17" t="s">
        <v>163</v>
      </c>
      <c r="R579" s="5" t="s">
        <v>7088</v>
      </c>
      <c r="S579" s="6" t="s">
        <v>2345</v>
      </c>
      <c r="T579" s="5" t="s">
        <v>2346</v>
      </c>
      <c r="U579" s="6"/>
      <c r="V579" s="6" t="s">
        <v>2347</v>
      </c>
      <c r="W579" s="6" t="s">
        <v>1697</v>
      </c>
      <c r="X579" s="5" t="s">
        <v>228</v>
      </c>
      <c r="Y579" s="5" t="s">
        <v>1850</v>
      </c>
      <c r="Z579" s="5" t="str">
        <f t="shared" si="18"/>
        <v>High</v>
      </c>
      <c r="AA579" s="5" t="s">
        <v>1302</v>
      </c>
      <c r="AB579" s="6" t="s">
        <v>1355</v>
      </c>
      <c r="AC579" s="6" t="s">
        <v>135</v>
      </c>
      <c r="AD579" s="5" t="s">
        <v>1805</v>
      </c>
      <c r="AE579" s="5" t="s">
        <v>1720</v>
      </c>
      <c r="AF579" s="5" t="s">
        <v>1720</v>
      </c>
      <c r="AG579" s="5" t="s">
        <v>1720</v>
      </c>
      <c r="AH579" s="5" t="s">
        <v>1720</v>
      </c>
      <c r="AI579" s="6" t="str">
        <f t="shared" si="19"/>
        <v>No</v>
      </c>
      <c r="AJ579" s="6" t="s">
        <v>287</v>
      </c>
      <c r="AK579" s="6" t="s">
        <v>162</v>
      </c>
      <c r="AL579" s="6">
        <f>MATCH(AA579,{"Low","Medium","High"},0)*MATCH(AB579,{"Low","Medium","High"},0)*INDEX({3,2,2,1,1},MATCH(X579,{"Core","Vertical extension","Differentiator","Future","Adjacent"},0))</f>
        <v>9</v>
      </c>
      <c r="AM579" s="5"/>
      <c r="AN579" s="5"/>
      <c r="AO579" s="5"/>
      <c r="AP579" s="5"/>
      <c r="AQ579" s="5"/>
      <c r="AR579" s="5"/>
      <c r="AS579" s="5"/>
      <c r="AT579" s="5"/>
      <c r="AU579" s="6" t="s">
        <v>2317</v>
      </c>
      <c r="AV579" s="6" t="s">
        <v>3968</v>
      </c>
      <c r="AW579" s="6" t="s">
        <v>3968</v>
      </c>
      <c r="AX579" s="6" t="s">
        <v>2284</v>
      </c>
      <c r="AY579" s="6" t="s">
        <v>2285</v>
      </c>
      <c r="AZ579" s="6"/>
      <c r="BA579" s="6"/>
      <c r="BB579" s="6"/>
      <c r="BC579" s="6" t="s">
        <v>127</v>
      </c>
      <c r="BD579" s="6" t="s">
        <v>127</v>
      </c>
      <c r="BE579" s="6" t="s">
        <v>1477</v>
      </c>
      <c r="BF579" s="6" t="s">
        <v>288</v>
      </c>
      <c r="BG579" s="6" t="s">
        <v>7089</v>
      </c>
      <c r="BH579" s="6" t="s">
        <v>7090</v>
      </c>
    </row>
    <row r="580" spans="1:60" ht="32" customHeight="1" x14ac:dyDescent="0.35">
      <c r="A580" s="13" t="s">
        <v>122</v>
      </c>
      <c r="B580" s="6" t="s">
        <v>6916</v>
      </c>
      <c r="C580" s="5" t="s">
        <v>7091</v>
      </c>
      <c r="D580" s="5" t="s">
        <v>2185</v>
      </c>
      <c r="E580" s="5" t="s">
        <v>2135</v>
      </c>
      <c r="F580" s="5" t="s">
        <v>7092</v>
      </c>
      <c r="G580" s="5" t="s">
        <v>3867</v>
      </c>
      <c r="H580" s="5" t="s">
        <v>7093</v>
      </c>
      <c r="I580" s="5" t="s">
        <v>7094</v>
      </c>
      <c r="J580" s="16" t="s">
        <v>94</v>
      </c>
      <c r="K580" s="16" t="s">
        <v>124</v>
      </c>
      <c r="L580" s="5" t="s">
        <v>7095</v>
      </c>
      <c r="M580" s="6" t="s">
        <v>1494</v>
      </c>
      <c r="N580" s="6" t="s">
        <v>2172</v>
      </c>
      <c r="O580" s="6" t="s">
        <v>94</v>
      </c>
      <c r="P580" s="5" t="s">
        <v>2272</v>
      </c>
      <c r="Q580" s="16" t="s">
        <v>1482</v>
      </c>
      <c r="R580" s="5" t="s">
        <v>7096</v>
      </c>
      <c r="S580" s="6" t="s">
        <v>2409</v>
      </c>
      <c r="T580" s="5" t="s">
        <v>2185</v>
      </c>
      <c r="U580" s="6"/>
      <c r="V580" s="6" t="s">
        <v>2440</v>
      </c>
      <c r="W580" s="6" t="s">
        <v>1699</v>
      </c>
      <c r="X580" s="5" t="s">
        <v>228</v>
      </c>
      <c r="Y580" s="5" t="s">
        <v>1850</v>
      </c>
      <c r="Z580" s="5" t="str">
        <f t="shared" si="18"/>
        <v>Critical</v>
      </c>
      <c r="AA580" s="5" t="s">
        <v>1302</v>
      </c>
      <c r="AB580" s="6" t="s">
        <v>1319</v>
      </c>
      <c r="AC580" s="6" t="s">
        <v>99</v>
      </c>
      <c r="AD580" s="5" t="s">
        <v>2278</v>
      </c>
      <c r="AE580" s="5" t="s">
        <v>7097</v>
      </c>
      <c r="AF580" s="5" t="s">
        <v>1720</v>
      </c>
      <c r="AG580" s="5" t="s">
        <v>1720</v>
      </c>
      <c r="AH580" s="5" t="s">
        <v>1720</v>
      </c>
      <c r="AI580" s="6" t="str">
        <f t="shared" si="19"/>
        <v>No</v>
      </c>
      <c r="AJ580" s="6" t="s">
        <v>2279</v>
      </c>
      <c r="AK580" s="6" t="s">
        <v>94</v>
      </c>
      <c r="AL580" s="6">
        <f>MATCH(AA580,{"Low","Medium","High"},0)*MATCH(AB580,{"Low","Medium","High"},0)*INDEX({3,2,2,1,1},MATCH(X580,{"Core","Vertical extension","Differentiator","Future","Adjacent"},0))</f>
        <v>18</v>
      </c>
      <c r="AM580" s="5"/>
      <c r="AN580" s="5"/>
      <c r="AO580" s="5"/>
      <c r="AP580" s="5"/>
      <c r="AQ580" s="5"/>
      <c r="AR580" s="5" t="s">
        <v>7098</v>
      </c>
      <c r="AS580" s="51">
        <v>46300</v>
      </c>
      <c r="AT580" s="5" t="s">
        <v>2760</v>
      </c>
      <c r="AU580" s="6" t="s">
        <v>95</v>
      </c>
      <c r="AV580" s="6" t="s">
        <v>3968</v>
      </c>
      <c r="AW580" s="6" t="s">
        <v>3968</v>
      </c>
      <c r="AX580" s="6" t="s">
        <v>2284</v>
      </c>
      <c r="AY580" s="6" t="s">
        <v>2411</v>
      </c>
      <c r="AZ580" s="6"/>
      <c r="BA580" s="6" t="s">
        <v>7099</v>
      </c>
      <c r="BB580" s="6"/>
      <c r="BC580" s="6" t="s">
        <v>127</v>
      </c>
      <c r="BD580" s="6" t="s">
        <v>127</v>
      </c>
      <c r="BE580" s="6"/>
      <c r="BF580" s="6"/>
      <c r="BG580" s="6"/>
      <c r="BH580" s="6"/>
    </row>
    <row r="581" spans="1:60" ht="32" customHeight="1" x14ac:dyDescent="0.35">
      <c r="A581" s="13" t="s">
        <v>7100</v>
      </c>
      <c r="B581" s="6" t="s">
        <v>6916</v>
      </c>
      <c r="C581" s="5" t="s">
        <v>7101</v>
      </c>
      <c r="D581" s="5" t="s">
        <v>2183</v>
      </c>
      <c r="E581" s="5" t="s">
        <v>7102</v>
      </c>
      <c r="F581" s="5" t="s">
        <v>7103</v>
      </c>
      <c r="G581" s="5" t="s">
        <v>2788</v>
      </c>
      <c r="H581" s="5" t="s">
        <v>7104</v>
      </c>
      <c r="I581" s="5" t="s">
        <v>7105</v>
      </c>
      <c r="J581" s="16" t="s">
        <v>94</v>
      </c>
      <c r="K581" s="17" t="s">
        <v>1477</v>
      </c>
      <c r="L581" s="5" t="s">
        <v>7106</v>
      </c>
      <c r="M581" s="6" t="s">
        <v>1494</v>
      </c>
      <c r="N581" s="6" t="s">
        <v>2172</v>
      </c>
      <c r="O581" s="6" t="s">
        <v>162</v>
      </c>
      <c r="P581" s="5" t="s">
        <v>7107</v>
      </c>
      <c r="Q581" s="18" t="s">
        <v>1482</v>
      </c>
      <c r="R581" s="5" t="s">
        <v>7108</v>
      </c>
      <c r="S581" s="6" t="s">
        <v>2438</v>
      </c>
      <c r="T581" s="5" t="s">
        <v>2439</v>
      </c>
      <c r="U581" s="6"/>
      <c r="V581" s="6" t="s">
        <v>2440</v>
      </c>
      <c r="W581" s="6" t="s">
        <v>1699</v>
      </c>
      <c r="X581" s="5" t="s">
        <v>228</v>
      </c>
      <c r="Y581" s="5" t="s">
        <v>1850</v>
      </c>
      <c r="Z581" s="5" t="str">
        <f t="shared" si="18"/>
        <v>Critical</v>
      </c>
      <c r="AA581" s="5" t="s">
        <v>1302</v>
      </c>
      <c r="AB581" s="6" t="s">
        <v>1302</v>
      </c>
      <c r="AC581" s="6" t="s">
        <v>99</v>
      </c>
      <c r="AD581" s="5" t="s">
        <v>2278</v>
      </c>
      <c r="AE581" s="5" t="s">
        <v>1720</v>
      </c>
      <c r="AF581" s="5" t="s">
        <v>1720</v>
      </c>
      <c r="AG581" s="5" t="s">
        <v>1720</v>
      </c>
      <c r="AH581" s="5" t="s">
        <v>1720</v>
      </c>
      <c r="AI581" s="6" t="str">
        <f t="shared" si="19"/>
        <v>No</v>
      </c>
      <c r="AJ581" s="6" t="s">
        <v>2298</v>
      </c>
      <c r="AK581" s="6" t="s">
        <v>94</v>
      </c>
      <c r="AL581" s="6">
        <f>MATCH(AA581,{"Low","Medium","High"},0)*MATCH(AB581,{"Low","Medium","High"},0)*INDEX({3,2,2,1,1},MATCH(X581,{"Core","Vertical extension","Differentiator","Future","Adjacent"},0))</f>
        <v>27</v>
      </c>
      <c r="AM581" s="5"/>
      <c r="AN581" s="5"/>
      <c r="AO581" s="5"/>
      <c r="AP581" s="5"/>
      <c r="AQ581" s="5"/>
      <c r="AR581" s="5"/>
      <c r="AS581" s="5"/>
      <c r="AT581" s="5"/>
      <c r="AU581" s="6" t="s">
        <v>2317</v>
      </c>
      <c r="AV581" s="6" t="s">
        <v>3968</v>
      </c>
      <c r="AW581" s="6" t="s">
        <v>3968</v>
      </c>
      <c r="AX581" s="6" t="s">
        <v>7001</v>
      </c>
      <c r="AY581" s="6" t="s">
        <v>2285</v>
      </c>
      <c r="AZ581" s="6"/>
      <c r="BA581" s="6"/>
      <c r="BB581" s="6"/>
      <c r="BC581" s="6" t="s">
        <v>127</v>
      </c>
      <c r="BD581" s="6" t="s">
        <v>127</v>
      </c>
      <c r="BE581" s="6"/>
      <c r="BF581" s="6"/>
      <c r="BG581" s="6"/>
      <c r="BH581" s="6"/>
    </row>
    <row r="582" spans="1:60" ht="32" customHeight="1" x14ac:dyDescent="0.35">
      <c r="A582" s="13" t="s">
        <v>186</v>
      </c>
      <c r="B582" s="6" t="s">
        <v>7109</v>
      </c>
      <c r="C582" s="5" t="s">
        <v>7110</v>
      </c>
      <c r="D582" s="5" t="s">
        <v>2191</v>
      </c>
      <c r="E582" s="5" t="s">
        <v>2140</v>
      </c>
      <c r="F582" s="5" t="s">
        <v>2267</v>
      </c>
      <c r="G582" s="5" t="s">
        <v>2312</v>
      </c>
      <c r="H582" s="5" t="s">
        <v>7111</v>
      </c>
      <c r="I582" s="5" t="s">
        <v>7112</v>
      </c>
      <c r="J582" s="17" t="s">
        <v>162</v>
      </c>
      <c r="K582" s="20" t="s">
        <v>95</v>
      </c>
      <c r="L582" s="5" t="s">
        <v>7113</v>
      </c>
      <c r="M582" s="6" t="s">
        <v>1494</v>
      </c>
      <c r="N582" s="6" t="s">
        <v>2168</v>
      </c>
      <c r="O582" s="6" t="s">
        <v>162</v>
      </c>
      <c r="P582" s="5" t="s">
        <v>2272</v>
      </c>
      <c r="Q582" s="20" t="s">
        <v>95</v>
      </c>
      <c r="R582" s="5" t="s">
        <v>7114</v>
      </c>
      <c r="S582" s="6" t="s">
        <v>2275</v>
      </c>
      <c r="T582" s="5" t="s">
        <v>2276</v>
      </c>
      <c r="U582" s="6"/>
      <c r="V582" s="6" t="s">
        <v>2277</v>
      </c>
      <c r="W582" s="6" t="s">
        <v>1697</v>
      </c>
      <c r="X582" s="5" t="s">
        <v>327</v>
      </c>
      <c r="Y582" s="5" t="s">
        <v>2168</v>
      </c>
      <c r="Z582" s="5" t="str">
        <f t="shared" si="18"/>
        <v>Medium</v>
      </c>
      <c r="AA582" s="5" t="s">
        <v>1319</v>
      </c>
      <c r="AB582" s="6" t="s">
        <v>1355</v>
      </c>
      <c r="AC582" s="6" t="s">
        <v>32</v>
      </c>
      <c r="AD582" s="5" t="s">
        <v>95</v>
      </c>
      <c r="AE582" s="5" t="s">
        <v>1720</v>
      </c>
      <c r="AF582" s="5" t="s">
        <v>1720</v>
      </c>
      <c r="AG582" s="5" t="s">
        <v>1720</v>
      </c>
      <c r="AH582" s="5" t="s">
        <v>1720</v>
      </c>
      <c r="AI582" s="6" t="str">
        <f t="shared" si="19"/>
        <v>No</v>
      </c>
      <c r="AJ582" s="6" t="s">
        <v>229</v>
      </c>
      <c r="AK582" s="6" t="s">
        <v>204</v>
      </c>
      <c r="AL582" s="6">
        <f>MATCH(AA582,{"Low","Medium","High"},0)*MATCH(AB582,{"Low","Medium","High"},0)*INDEX({3,2,2,1,1},MATCH(X582,{"Core","Vertical extension","Differentiator","Future","Adjacent"},0))</f>
        <v>4</v>
      </c>
      <c r="AM582" s="5"/>
      <c r="AN582" s="5"/>
      <c r="AO582" s="5"/>
      <c r="AP582" s="5"/>
      <c r="AQ582" s="5"/>
      <c r="AR582" s="5" t="s">
        <v>7115</v>
      </c>
      <c r="AS582" s="51">
        <v>46300</v>
      </c>
      <c r="AT582" s="5" t="s">
        <v>2760</v>
      </c>
      <c r="AU582" s="6" t="s">
        <v>95</v>
      </c>
      <c r="AV582" s="6" t="s">
        <v>2283</v>
      </c>
      <c r="AW582" s="6" t="s">
        <v>2283</v>
      </c>
      <c r="AX582" s="6" t="s">
        <v>2284</v>
      </c>
      <c r="AY582" s="6" t="s">
        <v>2285</v>
      </c>
      <c r="AZ582" s="6"/>
      <c r="BA582" s="6" t="s">
        <v>7116</v>
      </c>
      <c r="BB582" s="6"/>
      <c r="BC582" s="6" t="s">
        <v>127</v>
      </c>
      <c r="BD582" s="6" t="s">
        <v>127</v>
      </c>
      <c r="BE582" s="6" t="s">
        <v>95</v>
      </c>
      <c r="BF582" s="6" t="s">
        <v>95</v>
      </c>
      <c r="BG582" s="6" t="s">
        <v>7117</v>
      </c>
      <c r="BH582" s="6" t="s">
        <v>7118</v>
      </c>
    </row>
    <row r="583" spans="1:60" ht="32" customHeight="1" x14ac:dyDescent="0.35">
      <c r="A583" s="13" t="s">
        <v>192</v>
      </c>
      <c r="B583" s="6" t="s">
        <v>7109</v>
      </c>
      <c r="C583" s="5" t="s">
        <v>7110</v>
      </c>
      <c r="D583" s="5" t="s">
        <v>2191</v>
      </c>
      <c r="E583" s="5" t="s">
        <v>2141</v>
      </c>
      <c r="F583" s="5" t="s">
        <v>2267</v>
      </c>
      <c r="G583" s="5" t="s">
        <v>2268</v>
      </c>
      <c r="H583" s="5" t="s">
        <v>7119</v>
      </c>
      <c r="I583" s="5" t="s">
        <v>7120</v>
      </c>
      <c r="J583" s="17" t="s">
        <v>162</v>
      </c>
      <c r="K583" s="20" t="s">
        <v>95</v>
      </c>
      <c r="L583" s="5" t="s">
        <v>7121</v>
      </c>
      <c r="M583" s="6" t="s">
        <v>1494</v>
      </c>
      <c r="N583" s="6" t="s">
        <v>2168</v>
      </c>
      <c r="O583" s="6" t="s">
        <v>162</v>
      </c>
      <c r="P583" s="5" t="s">
        <v>2272</v>
      </c>
      <c r="Q583" s="20" t="s">
        <v>95</v>
      </c>
      <c r="R583" s="5" t="s">
        <v>7122</v>
      </c>
      <c r="S583" s="6" t="s">
        <v>2275</v>
      </c>
      <c r="T583" s="5" t="s">
        <v>2276</v>
      </c>
      <c r="U583" s="6"/>
      <c r="V583" s="6" t="s">
        <v>2277</v>
      </c>
      <c r="W583" s="6" t="s">
        <v>1697</v>
      </c>
      <c r="X583" s="5" t="s">
        <v>327</v>
      </c>
      <c r="Y583" s="5" t="s">
        <v>2168</v>
      </c>
      <c r="Z583" s="5" t="str">
        <f t="shared" si="18"/>
        <v>Medium</v>
      </c>
      <c r="AA583" s="5" t="s">
        <v>1319</v>
      </c>
      <c r="AB583" s="6" t="s">
        <v>1355</v>
      </c>
      <c r="AC583" s="6" t="s">
        <v>32</v>
      </c>
      <c r="AD583" s="5" t="s">
        <v>2278</v>
      </c>
      <c r="AE583" s="5" t="s">
        <v>1720</v>
      </c>
      <c r="AF583" s="5" t="s">
        <v>1720</v>
      </c>
      <c r="AG583" s="5" t="s">
        <v>1720</v>
      </c>
      <c r="AH583" s="5" t="s">
        <v>1720</v>
      </c>
      <c r="AI583" s="6" t="str">
        <f t="shared" si="19"/>
        <v>No</v>
      </c>
      <c r="AJ583" s="6" t="s">
        <v>229</v>
      </c>
      <c r="AK583" s="6" t="s">
        <v>204</v>
      </c>
      <c r="AL583" s="6">
        <f>MATCH(AA583,{"Low","Medium","High"},0)*MATCH(AB583,{"Low","Medium","High"},0)*INDEX({3,2,2,1,1},MATCH(X583,{"Core","Vertical extension","Differentiator","Future","Adjacent"},0))</f>
        <v>4</v>
      </c>
      <c r="AM583" s="5"/>
      <c r="AN583" s="5"/>
      <c r="AO583" s="5"/>
      <c r="AP583" s="5"/>
      <c r="AQ583" s="5"/>
      <c r="AR583" s="5" t="s">
        <v>7123</v>
      </c>
      <c r="AS583" s="51">
        <v>46300</v>
      </c>
      <c r="AT583" s="5" t="s">
        <v>2760</v>
      </c>
      <c r="AU583" s="6" t="s">
        <v>95</v>
      </c>
      <c r="AV583" s="6" t="s">
        <v>2283</v>
      </c>
      <c r="AW583" s="6" t="s">
        <v>2283</v>
      </c>
      <c r="AX583" s="6" t="s">
        <v>2284</v>
      </c>
      <c r="AY583" s="6" t="s">
        <v>2285</v>
      </c>
      <c r="AZ583" s="6"/>
      <c r="BA583" s="6" t="s">
        <v>7124</v>
      </c>
      <c r="BB583" s="6"/>
      <c r="BC583" s="6" t="s">
        <v>127</v>
      </c>
      <c r="BD583" s="6" t="s">
        <v>127</v>
      </c>
      <c r="BE583" s="6" t="s">
        <v>95</v>
      </c>
      <c r="BF583" s="6" t="s">
        <v>2286</v>
      </c>
      <c r="BG583" s="6" t="s">
        <v>7117</v>
      </c>
      <c r="BH583" s="6" t="s">
        <v>7125</v>
      </c>
    </row>
    <row r="584" spans="1:60" ht="32" customHeight="1" x14ac:dyDescent="0.35">
      <c r="A584" s="13" t="s">
        <v>7126</v>
      </c>
      <c r="B584" s="6" t="s">
        <v>7109</v>
      </c>
      <c r="C584" s="5" t="s">
        <v>7127</v>
      </c>
      <c r="D584" s="5" t="s">
        <v>2185</v>
      </c>
      <c r="E584" s="5" t="s">
        <v>7128</v>
      </c>
      <c r="F584" s="5" t="s">
        <v>7129</v>
      </c>
      <c r="G584" s="5" t="s">
        <v>2312</v>
      </c>
      <c r="H584" s="5" t="s">
        <v>7130</v>
      </c>
      <c r="I584" s="5" t="s">
        <v>7131</v>
      </c>
      <c r="J584" s="17" t="s">
        <v>162</v>
      </c>
      <c r="K584" s="17" t="s">
        <v>163</v>
      </c>
      <c r="L584" s="5" t="s">
        <v>7132</v>
      </c>
      <c r="M584" s="6" t="s">
        <v>1494</v>
      </c>
      <c r="N584" s="6" t="s">
        <v>2171</v>
      </c>
      <c r="O584" s="6" t="s">
        <v>162</v>
      </c>
      <c r="P584" s="5" t="s">
        <v>2272</v>
      </c>
      <c r="Q584" s="17" t="s">
        <v>163</v>
      </c>
      <c r="R584" s="5" t="s">
        <v>7133</v>
      </c>
      <c r="S584" s="6" t="s">
        <v>2409</v>
      </c>
      <c r="T584" s="5" t="s">
        <v>2185</v>
      </c>
      <c r="U584" s="6"/>
      <c r="V584" s="6" t="s">
        <v>2410</v>
      </c>
      <c r="W584" s="6" t="s">
        <v>1699</v>
      </c>
      <c r="X584" s="5" t="s">
        <v>327</v>
      </c>
      <c r="Y584" s="5" t="s">
        <v>7134</v>
      </c>
      <c r="Z584" s="5" t="str">
        <f t="shared" si="18"/>
        <v>Medium</v>
      </c>
      <c r="AA584" s="5" t="s">
        <v>1319</v>
      </c>
      <c r="AB584" s="6" t="s">
        <v>1319</v>
      </c>
      <c r="AC584" s="6" t="s">
        <v>32</v>
      </c>
      <c r="AD584" s="5" t="s">
        <v>1805</v>
      </c>
      <c r="AE584" s="5" t="s">
        <v>1720</v>
      </c>
      <c r="AF584" s="5" t="s">
        <v>1720</v>
      </c>
      <c r="AG584" s="5" t="s">
        <v>1720</v>
      </c>
      <c r="AH584" s="5" t="s">
        <v>1720</v>
      </c>
      <c r="AI584" s="6" t="str">
        <f t="shared" si="19"/>
        <v>No</v>
      </c>
      <c r="AJ584" s="6" t="s">
        <v>287</v>
      </c>
      <c r="AK584" s="6" t="s">
        <v>204</v>
      </c>
      <c r="AL584" s="6">
        <f>MATCH(AA584,{"Low","Medium","High"},0)*MATCH(AB584,{"Low","Medium","High"},0)*INDEX({3,2,2,1,1},MATCH(X584,{"Core","Vertical extension","Differentiator","Future","Adjacent"},0))</f>
        <v>8</v>
      </c>
      <c r="AM584" s="5"/>
      <c r="AN584" s="5"/>
      <c r="AO584" s="5"/>
      <c r="AP584" s="5"/>
      <c r="AQ584" s="5"/>
      <c r="AR584" s="5"/>
      <c r="AS584" s="5"/>
      <c r="AT584" s="5"/>
      <c r="AU584" s="6" t="s">
        <v>2317</v>
      </c>
      <c r="AV584" s="6" t="s">
        <v>2813</v>
      </c>
      <c r="AW584" s="6" t="s">
        <v>2813</v>
      </c>
      <c r="AX584" s="6" t="s">
        <v>2284</v>
      </c>
      <c r="AY584" s="6" t="s">
        <v>2411</v>
      </c>
      <c r="AZ584" s="6"/>
      <c r="BA584" s="6"/>
      <c r="BB584" s="6"/>
      <c r="BC584" s="6" t="s">
        <v>127</v>
      </c>
      <c r="BD584" s="6" t="s">
        <v>127</v>
      </c>
      <c r="BE584" s="6" t="s">
        <v>1477</v>
      </c>
      <c r="BF584" s="6" t="s">
        <v>288</v>
      </c>
      <c r="BG584" s="6" t="s">
        <v>7135</v>
      </c>
      <c r="BH584" s="6" t="s">
        <v>7136</v>
      </c>
    </row>
    <row r="585" spans="1:60" ht="32" customHeight="1" x14ac:dyDescent="0.35">
      <c r="A585" s="13" t="s">
        <v>7137</v>
      </c>
      <c r="B585" s="6" t="s">
        <v>7109</v>
      </c>
      <c r="C585" s="5" t="s">
        <v>7127</v>
      </c>
      <c r="D585" s="5" t="s">
        <v>2191</v>
      </c>
      <c r="E585" s="5" t="s">
        <v>7138</v>
      </c>
      <c r="F585" s="5" t="s">
        <v>7139</v>
      </c>
      <c r="G585" s="5" t="s">
        <v>2312</v>
      </c>
      <c r="H585" s="5" t="s">
        <v>7140</v>
      </c>
      <c r="I585" s="5" t="s">
        <v>7141</v>
      </c>
      <c r="J585" s="17" t="s">
        <v>162</v>
      </c>
      <c r="K585" s="17" t="s">
        <v>163</v>
      </c>
      <c r="L585" s="5" t="s">
        <v>7142</v>
      </c>
      <c r="M585" s="6" t="s">
        <v>1494</v>
      </c>
      <c r="N585" s="6" t="s">
        <v>2171</v>
      </c>
      <c r="O585" s="6" t="s">
        <v>162</v>
      </c>
      <c r="P585" s="5" t="s">
        <v>2272</v>
      </c>
      <c r="Q585" s="17" t="s">
        <v>163</v>
      </c>
      <c r="R585" s="5" t="s">
        <v>7143</v>
      </c>
      <c r="S585" s="6" t="s">
        <v>2275</v>
      </c>
      <c r="T585" s="5" t="s">
        <v>2276</v>
      </c>
      <c r="U585" s="6"/>
      <c r="V585" s="6" t="s">
        <v>2277</v>
      </c>
      <c r="W585" s="6" t="s">
        <v>1697</v>
      </c>
      <c r="X585" s="5" t="s">
        <v>327</v>
      </c>
      <c r="Y585" s="5" t="s">
        <v>7134</v>
      </c>
      <c r="Z585" s="5" t="str">
        <f t="shared" si="18"/>
        <v>Medium</v>
      </c>
      <c r="AA585" s="5" t="s">
        <v>1319</v>
      </c>
      <c r="AB585" s="6" t="s">
        <v>1355</v>
      </c>
      <c r="AC585" s="6" t="s">
        <v>32</v>
      </c>
      <c r="AD585" s="5" t="s">
        <v>1805</v>
      </c>
      <c r="AE585" s="5" t="s">
        <v>1720</v>
      </c>
      <c r="AF585" s="5" t="s">
        <v>1720</v>
      </c>
      <c r="AG585" s="5" t="s">
        <v>1720</v>
      </c>
      <c r="AH585" s="5" t="s">
        <v>1720</v>
      </c>
      <c r="AI585" s="6" t="str">
        <f t="shared" si="19"/>
        <v>No</v>
      </c>
      <c r="AJ585" s="6" t="s">
        <v>287</v>
      </c>
      <c r="AK585" s="6" t="s">
        <v>204</v>
      </c>
      <c r="AL585" s="6">
        <f>MATCH(AA585,{"Low","Medium","High"},0)*MATCH(AB585,{"Low","Medium","High"},0)*INDEX({3,2,2,1,1},MATCH(X585,{"Core","Vertical extension","Differentiator","Future","Adjacent"},0))</f>
        <v>4</v>
      </c>
      <c r="AM585" s="5"/>
      <c r="AN585" s="5"/>
      <c r="AO585" s="5"/>
      <c r="AP585" s="5"/>
      <c r="AQ585" s="5"/>
      <c r="AR585" s="5"/>
      <c r="AS585" s="5"/>
      <c r="AT585" s="5"/>
      <c r="AU585" s="6" t="s">
        <v>2317</v>
      </c>
      <c r="AV585" s="6" t="s">
        <v>76</v>
      </c>
      <c r="AW585" s="6" t="s">
        <v>76</v>
      </c>
      <c r="AX585" s="6" t="s">
        <v>2284</v>
      </c>
      <c r="AY585" s="6" t="s">
        <v>2285</v>
      </c>
      <c r="AZ585" s="6"/>
      <c r="BA585" s="6"/>
      <c r="BB585" s="6"/>
      <c r="BC585" s="6" t="s">
        <v>127</v>
      </c>
      <c r="BD585" s="6" t="s">
        <v>127</v>
      </c>
      <c r="BE585" s="6" t="s">
        <v>1477</v>
      </c>
      <c r="BF585" s="6" t="s">
        <v>288</v>
      </c>
      <c r="BG585" s="6" t="s">
        <v>7144</v>
      </c>
      <c r="BH585" s="6" t="s">
        <v>7145</v>
      </c>
    </row>
    <row r="586" spans="1:60" ht="32" customHeight="1" x14ac:dyDescent="0.35">
      <c r="A586" s="13" t="s">
        <v>7146</v>
      </c>
      <c r="B586" s="6" t="s">
        <v>7109</v>
      </c>
      <c r="C586" s="5" t="s">
        <v>3043</v>
      </c>
      <c r="D586" s="5" t="s">
        <v>2189</v>
      </c>
      <c r="E586" s="5" t="s">
        <v>7147</v>
      </c>
      <c r="F586" s="5" t="s">
        <v>7148</v>
      </c>
      <c r="G586" s="5" t="s">
        <v>2312</v>
      </c>
      <c r="H586" s="5" t="s">
        <v>7149</v>
      </c>
      <c r="I586" s="5" t="s">
        <v>7150</v>
      </c>
      <c r="J586" s="17" t="s">
        <v>162</v>
      </c>
      <c r="K586" s="17" t="s">
        <v>95</v>
      </c>
      <c r="L586" s="5" t="s">
        <v>7151</v>
      </c>
      <c r="M586" s="6" t="s">
        <v>1494</v>
      </c>
      <c r="N586" s="6" t="s">
        <v>2168</v>
      </c>
      <c r="O586" s="6" t="s">
        <v>162</v>
      </c>
      <c r="P586" s="5" t="s">
        <v>2272</v>
      </c>
      <c r="Q586" s="17" t="s">
        <v>95</v>
      </c>
      <c r="R586" s="5" t="s">
        <v>7152</v>
      </c>
      <c r="S586" s="6" t="s">
        <v>2325</v>
      </c>
      <c r="T586" s="5" t="s">
        <v>2326</v>
      </c>
      <c r="U586" s="6"/>
      <c r="V586" s="6" t="s">
        <v>2327</v>
      </c>
      <c r="W586" s="6" t="s">
        <v>1699</v>
      </c>
      <c r="X586" s="5" t="s">
        <v>327</v>
      </c>
      <c r="Y586" s="5" t="s">
        <v>760</v>
      </c>
      <c r="Z586" s="5" t="str">
        <f t="shared" si="18"/>
        <v>Medium</v>
      </c>
      <c r="AA586" s="5" t="s">
        <v>1319</v>
      </c>
      <c r="AB586" s="6" t="s">
        <v>1355</v>
      </c>
      <c r="AC586" s="6" t="s">
        <v>32</v>
      </c>
      <c r="AD586" s="5" t="s">
        <v>95</v>
      </c>
      <c r="AE586" s="5" t="s">
        <v>1720</v>
      </c>
      <c r="AF586" s="5" t="s">
        <v>1720</v>
      </c>
      <c r="AG586" s="5" t="s">
        <v>1720</v>
      </c>
      <c r="AH586" s="5" t="s">
        <v>1720</v>
      </c>
      <c r="AI586" s="6" t="str">
        <f t="shared" si="19"/>
        <v>No</v>
      </c>
      <c r="AJ586" s="6" t="s">
        <v>229</v>
      </c>
      <c r="AK586" s="6" t="s">
        <v>204</v>
      </c>
      <c r="AL586" s="6">
        <f>MATCH(AA586,{"Low","Medium","High"},0)*MATCH(AB586,{"Low","Medium","High"},0)*INDEX({3,2,2,1,1},MATCH(X586,{"Core","Vertical extension","Differentiator","Future","Adjacent"},0))</f>
        <v>4</v>
      </c>
      <c r="AM586" s="5"/>
      <c r="AN586" s="5"/>
      <c r="AO586" s="5"/>
      <c r="AP586" s="5"/>
      <c r="AQ586" s="5"/>
      <c r="AR586" s="5"/>
      <c r="AS586" s="5"/>
      <c r="AT586" s="5"/>
      <c r="AU586" s="6" t="s">
        <v>2317</v>
      </c>
      <c r="AV586" s="6" t="s">
        <v>2813</v>
      </c>
      <c r="AW586" s="6" t="s">
        <v>2813</v>
      </c>
      <c r="AX586" s="6" t="s">
        <v>2284</v>
      </c>
      <c r="AY586" s="6" t="s">
        <v>2285</v>
      </c>
      <c r="AZ586" s="6"/>
      <c r="BA586" s="6"/>
      <c r="BB586" s="6"/>
      <c r="BC586" s="6" t="s">
        <v>127</v>
      </c>
      <c r="BD586" s="6" t="s">
        <v>127</v>
      </c>
      <c r="BE586" s="6" t="s">
        <v>1477</v>
      </c>
      <c r="BF586" s="6" t="s">
        <v>95</v>
      </c>
      <c r="BG586" s="6" t="s">
        <v>7153</v>
      </c>
      <c r="BH586" s="6" t="s">
        <v>7154</v>
      </c>
    </row>
    <row r="587" spans="1:60" ht="32" customHeight="1" x14ac:dyDescent="0.35">
      <c r="A587" s="13" t="s">
        <v>196</v>
      </c>
      <c r="B587" s="6" t="s">
        <v>7109</v>
      </c>
      <c r="C587" s="5" t="s">
        <v>7127</v>
      </c>
      <c r="D587" s="5" t="s">
        <v>2189</v>
      </c>
      <c r="E587" s="5" t="s">
        <v>2142</v>
      </c>
      <c r="F587" s="5" t="s">
        <v>7155</v>
      </c>
      <c r="G587" s="5" t="s">
        <v>2312</v>
      </c>
      <c r="H587" s="5" t="s">
        <v>7156</v>
      </c>
      <c r="I587" s="5" t="s">
        <v>7157</v>
      </c>
      <c r="J587" s="17" t="s">
        <v>162</v>
      </c>
      <c r="K587" s="16" t="s">
        <v>95</v>
      </c>
      <c r="L587" s="5" t="s">
        <v>7158</v>
      </c>
      <c r="M587" s="6" t="s">
        <v>1494</v>
      </c>
      <c r="N587" s="6" t="s">
        <v>2171</v>
      </c>
      <c r="O587" s="6" t="s">
        <v>162</v>
      </c>
      <c r="P587" s="5" t="s">
        <v>2272</v>
      </c>
      <c r="Q587" s="16" t="s">
        <v>163</v>
      </c>
      <c r="R587" s="5" t="s">
        <v>7159</v>
      </c>
      <c r="S587" s="6" t="s">
        <v>2325</v>
      </c>
      <c r="T587" s="5" t="s">
        <v>2326</v>
      </c>
      <c r="U587" s="6"/>
      <c r="V587" s="6" t="s">
        <v>2327</v>
      </c>
      <c r="W587" s="6" t="s">
        <v>1699</v>
      </c>
      <c r="X587" s="5" t="s">
        <v>327</v>
      </c>
      <c r="Y587" s="5" t="s">
        <v>7134</v>
      </c>
      <c r="Z587" s="5" t="str">
        <f t="shared" si="18"/>
        <v>Medium</v>
      </c>
      <c r="AA587" s="5" t="s">
        <v>1319</v>
      </c>
      <c r="AB587" s="6" t="s">
        <v>1355</v>
      </c>
      <c r="AC587" s="6" t="s">
        <v>32</v>
      </c>
      <c r="AD587" s="5" t="s">
        <v>1805</v>
      </c>
      <c r="AE587" s="5" t="s">
        <v>1720</v>
      </c>
      <c r="AF587" s="5" t="s">
        <v>1720</v>
      </c>
      <c r="AG587" s="5" t="s">
        <v>1720</v>
      </c>
      <c r="AH587" s="5" t="s">
        <v>1720</v>
      </c>
      <c r="AI587" s="6" t="str">
        <f t="shared" si="19"/>
        <v>No</v>
      </c>
      <c r="AJ587" s="6" t="s">
        <v>229</v>
      </c>
      <c r="AK587" s="6" t="s">
        <v>204</v>
      </c>
      <c r="AL587" s="6">
        <f>MATCH(AA587,{"Low","Medium","High"},0)*MATCH(AB587,{"Low","Medium","High"},0)*INDEX({3,2,2,1,1},MATCH(X587,{"Core","Vertical extension","Differentiator","Future","Adjacent"},0))</f>
        <v>4</v>
      </c>
      <c r="AM587" s="5"/>
      <c r="AN587" s="5"/>
      <c r="AO587" s="5"/>
      <c r="AP587" s="5"/>
      <c r="AQ587" s="5"/>
      <c r="AR587" s="5"/>
      <c r="AS587" s="5"/>
      <c r="AT587" s="5"/>
      <c r="AU587" s="6" t="s">
        <v>2317</v>
      </c>
      <c r="AV587" s="6" t="s">
        <v>2813</v>
      </c>
      <c r="AW587" s="6" t="s">
        <v>2813</v>
      </c>
      <c r="AX587" s="6" t="s">
        <v>2284</v>
      </c>
      <c r="AY587" s="6" t="s">
        <v>2285</v>
      </c>
      <c r="AZ587" s="6"/>
      <c r="BA587" s="6" t="s">
        <v>7160</v>
      </c>
      <c r="BB587" s="6"/>
      <c r="BC587" s="6" t="s">
        <v>127</v>
      </c>
      <c r="BD587" s="6" t="s">
        <v>127</v>
      </c>
      <c r="BE587" s="6" t="s">
        <v>163</v>
      </c>
      <c r="BF587" s="6" t="s">
        <v>288</v>
      </c>
      <c r="BG587" s="6" t="s">
        <v>7161</v>
      </c>
      <c r="BH587" s="6" t="s">
        <v>7162</v>
      </c>
    </row>
    <row r="588" spans="1:60" ht="32" customHeight="1" x14ac:dyDescent="0.35">
      <c r="A588" s="13" t="s">
        <v>7163</v>
      </c>
      <c r="B588" s="6" t="s">
        <v>7109</v>
      </c>
      <c r="C588" s="5" t="s">
        <v>4012</v>
      </c>
      <c r="D588" s="5" t="s">
        <v>2191</v>
      </c>
      <c r="E588" s="5" t="s">
        <v>7164</v>
      </c>
      <c r="F588" s="5" t="s">
        <v>3209</v>
      </c>
      <c r="G588" s="5" t="s">
        <v>2396</v>
      </c>
      <c r="H588" s="5" t="s">
        <v>7165</v>
      </c>
      <c r="I588" s="5" t="s">
        <v>7166</v>
      </c>
      <c r="J588" s="17" t="s">
        <v>162</v>
      </c>
      <c r="K588" s="17" t="s">
        <v>95</v>
      </c>
      <c r="L588" s="5" t="s">
        <v>7167</v>
      </c>
      <c r="M588" s="6" t="s">
        <v>1494</v>
      </c>
      <c r="N588" s="6" t="s">
        <v>2168</v>
      </c>
      <c r="O588" s="6" t="s">
        <v>162</v>
      </c>
      <c r="P588" s="5" t="s">
        <v>2272</v>
      </c>
      <c r="Q588" s="17" t="s">
        <v>95</v>
      </c>
      <c r="R588" s="5" t="s">
        <v>7168</v>
      </c>
      <c r="S588" s="6" t="s">
        <v>2275</v>
      </c>
      <c r="T588" s="5" t="s">
        <v>2276</v>
      </c>
      <c r="U588" s="6"/>
      <c r="V588" s="6" t="s">
        <v>2277</v>
      </c>
      <c r="W588" s="6" t="s">
        <v>1697</v>
      </c>
      <c r="X588" s="5" t="s">
        <v>327</v>
      </c>
      <c r="Y588" s="5" t="s">
        <v>2168</v>
      </c>
      <c r="Z588" s="5" t="str">
        <f t="shared" si="18"/>
        <v>Medium</v>
      </c>
      <c r="AA588" s="5" t="s">
        <v>1319</v>
      </c>
      <c r="AB588" s="6" t="s">
        <v>1355</v>
      </c>
      <c r="AC588" s="6" t="s">
        <v>32</v>
      </c>
      <c r="AD588" s="5" t="s">
        <v>95</v>
      </c>
      <c r="AE588" s="5" t="s">
        <v>1720</v>
      </c>
      <c r="AF588" s="5" t="s">
        <v>1720</v>
      </c>
      <c r="AG588" s="5" t="s">
        <v>1720</v>
      </c>
      <c r="AH588" s="5" t="s">
        <v>1720</v>
      </c>
      <c r="AI588" s="6" t="str">
        <f t="shared" si="19"/>
        <v>No</v>
      </c>
      <c r="AJ588" s="6" t="s">
        <v>229</v>
      </c>
      <c r="AK588" s="6" t="s">
        <v>204</v>
      </c>
      <c r="AL588" s="6">
        <f>MATCH(AA588,{"Low","Medium","High"},0)*MATCH(AB588,{"Low","Medium","High"},0)*INDEX({3,2,2,1,1},MATCH(X588,{"Core","Vertical extension","Differentiator","Future","Adjacent"},0))</f>
        <v>4</v>
      </c>
      <c r="AM588" s="5"/>
      <c r="AN588" s="5"/>
      <c r="AO588" s="5"/>
      <c r="AP588" s="5"/>
      <c r="AQ588" s="5"/>
      <c r="AR588" s="5"/>
      <c r="AS588" s="5"/>
      <c r="AT588" s="5"/>
      <c r="AU588" s="6" t="s">
        <v>2317</v>
      </c>
      <c r="AV588" s="6" t="s">
        <v>2283</v>
      </c>
      <c r="AW588" s="6" t="s">
        <v>2283</v>
      </c>
      <c r="AX588" s="6" t="s">
        <v>2284</v>
      </c>
      <c r="AY588" s="6" t="s">
        <v>2285</v>
      </c>
      <c r="AZ588" s="6"/>
      <c r="BA588" s="6"/>
      <c r="BB588" s="6"/>
      <c r="BC588" s="6" t="s">
        <v>127</v>
      </c>
      <c r="BD588" s="6" t="s">
        <v>127</v>
      </c>
      <c r="BE588" s="6" t="s">
        <v>1477</v>
      </c>
      <c r="BF588" s="6" t="s">
        <v>95</v>
      </c>
      <c r="BG588" s="6" t="s">
        <v>7169</v>
      </c>
      <c r="BH588" s="6" t="s">
        <v>7170</v>
      </c>
    </row>
    <row r="589" spans="1:60" ht="32" customHeight="1" x14ac:dyDescent="0.35">
      <c r="A589" s="13" t="s">
        <v>202</v>
      </c>
      <c r="B589" s="6" t="s">
        <v>7109</v>
      </c>
      <c r="C589" s="5" t="s">
        <v>4319</v>
      </c>
      <c r="D589" s="5" t="s">
        <v>2187</v>
      </c>
      <c r="E589" s="5" t="s">
        <v>2143</v>
      </c>
      <c r="F589" s="5" t="s">
        <v>7171</v>
      </c>
      <c r="G589" s="5" t="s">
        <v>2312</v>
      </c>
      <c r="H589" s="5" t="s">
        <v>7172</v>
      </c>
      <c r="I589" s="5" t="s">
        <v>7173</v>
      </c>
      <c r="J589" s="19" t="s">
        <v>204</v>
      </c>
      <c r="K589" s="16" t="s">
        <v>163</v>
      </c>
      <c r="L589" s="5" t="s">
        <v>7174</v>
      </c>
      <c r="M589" s="6" t="s">
        <v>1494</v>
      </c>
      <c r="N589" s="6" t="s">
        <v>2168</v>
      </c>
      <c r="O589" s="6" t="s">
        <v>204</v>
      </c>
      <c r="P589" s="5" t="s">
        <v>2272</v>
      </c>
      <c r="Q589" s="16" t="s">
        <v>163</v>
      </c>
      <c r="R589" s="5" t="s">
        <v>7175</v>
      </c>
      <c r="S589" s="6" t="s">
        <v>2345</v>
      </c>
      <c r="T589" s="5" t="s">
        <v>2346</v>
      </c>
      <c r="U589" s="6"/>
      <c r="V589" s="6" t="s">
        <v>2347</v>
      </c>
      <c r="W589" s="6" t="s">
        <v>1697</v>
      </c>
      <c r="X589" s="5" t="s">
        <v>327</v>
      </c>
      <c r="Y589" s="5" t="s">
        <v>2168</v>
      </c>
      <c r="Z589" s="5" t="str">
        <f t="shared" si="18"/>
        <v>Medium</v>
      </c>
      <c r="AA589" s="5" t="s">
        <v>1302</v>
      </c>
      <c r="AB589" s="6" t="s">
        <v>1355</v>
      </c>
      <c r="AC589" s="6" t="s">
        <v>32</v>
      </c>
      <c r="AD589" s="5" t="s">
        <v>1805</v>
      </c>
      <c r="AE589" s="5" t="s">
        <v>1720</v>
      </c>
      <c r="AF589" s="5" t="s">
        <v>1720</v>
      </c>
      <c r="AG589" s="5" t="s">
        <v>1720</v>
      </c>
      <c r="AH589" s="5" t="s">
        <v>1720</v>
      </c>
      <c r="AI589" s="6" t="str">
        <f t="shared" si="19"/>
        <v>No</v>
      </c>
      <c r="AJ589" s="6" t="s">
        <v>287</v>
      </c>
      <c r="AK589" s="6" t="s">
        <v>204</v>
      </c>
      <c r="AL589" s="6">
        <f>MATCH(AA589,{"Low","Medium","High"},0)*MATCH(AB589,{"Low","Medium","High"},0)*INDEX({3,2,2,1,1},MATCH(X589,{"Core","Vertical extension","Differentiator","Future","Adjacent"},0))</f>
        <v>6</v>
      </c>
      <c r="AM589" s="5"/>
      <c r="AN589" s="5"/>
      <c r="AO589" s="5"/>
      <c r="AP589" s="5"/>
      <c r="AQ589" s="5"/>
      <c r="AR589" s="5"/>
      <c r="AS589" s="5"/>
      <c r="AT589" s="5"/>
      <c r="AU589" s="6" t="s">
        <v>2317</v>
      </c>
      <c r="AV589" s="6" t="s">
        <v>2784</v>
      </c>
      <c r="AW589" s="6" t="s">
        <v>2784</v>
      </c>
      <c r="AX589" s="6" t="s">
        <v>2284</v>
      </c>
      <c r="AY589" s="6" t="s">
        <v>2285</v>
      </c>
      <c r="AZ589" s="6"/>
      <c r="BA589" s="6"/>
      <c r="BB589" s="6"/>
      <c r="BC589" s="6" t="s">
        <v>127</v>
      </c>
      <c r="BD589" s="6" t="s">
        <v>127</v>
      </c>
      <c r="BE589" s="6" t="s">
        <v>163</v>
      </c>
      <c r="BF589" s="6" t="s">
        <v>288</v>
      </c>
      <c r="BG589" s="6" t="s">
        <v>7176</v>
      </c>
      <c r="BH589" s="6" t="s">
        <v>7177</v>
      </c>
    </row>
    <row r="590" spans="1:60" ht="32" customHeight="1" x14ac:dyDescent="0.35">
      <c r="A590" s="13" t="s">
        <v>7178</v>
      </c>
      <c r="B590" s="6" t="s">
        <v>7109</v>
      </c>
      <c r="C590" s="5" t="s">
        <v>2973</v>
      </c>
      <c r="D590" s="5" t="s">
        <v>2194</v>
      </c>
      <c r="E590" s="5" t="s">
        <v>7179</v>
      </c>
      <c r="F590" s="5" t="s">
        <v>2973</v>
      </c>
      <c r="G590" s="5" t="s">
        <v>2312</v>
      </c>
      <c r="H590" s="5" t="s">
        <v>7180</v>
      </c>
      <c r="I590" s="5" t="s">
        <v>7181</v>
      </c>
      <c r="J590" s="17" t="s">
        <v>162</v>
      </c>
      <c r="K590" s="17" t="s">
        <v>163</v>
      </c>
      <c r="L590" s="5" t="s">
        <v>7182</v>
      </c>
      <c r="M590" s="6" t="s">
        <v>1494</v>
      </c>
      <c r="N590" s="6" t="s">
        <v>2168</v>
      </c>
      <c r="O590" s="6" t="s">
        <v>162</v>
      </c>
      <c r="P590" s="5" t="s">
        <v>2272</v>
      </c>
      <c r="Q590" s="17" t="s">
        <v>163</v>
      </c>
      <c r="R590" s="5" t="s">
        <v>7183</v>
      </c>
      <c r="S590" s="6" t="s">
        <v>2449</v>
      </c>
      <c r="T590" s="5" t="s">
        <v>2450</v>
      </c>
      <c r="U590" s="6"/>
      <c r="V590" s="6" t="s">
        <v>2440</v>
      </c>
      <c r="W590" s="6" t="s">
        <v>1699</v>
      </c>
      <c r="X590" s="5" t="s">
        <v>327</v>
      </c>
      <c r="Y590" s="5" t="s">
        <v>1824</v>
      </c>
      <c r="Z590" s="5" t="str">
        <f t="shared" si="18"/>
        <v>Medium</v>
      </c>
      <c r="AA590" s="5" t="s">
        <v>1319</v>
      </c>
      <c r="AB590" s="6" t="s">
        <v>1355</v>
      </c>
      <c r="AC590" s="6" t="s">
        <v>32</v>
      </c>
      <c r="AD590" s="5" t="s">
        <v>1805</v>
      </c>
      <c r="AE590" s="5" t="s">
        <v>1720</v>
      </c>
      <c r="AF590" s="5" t="s">
        <v>1720</v>
      </c>
      <c r="AG590" s="5" t="s">
        <v>1720</v>
      </c>
      <c r="AH590" s="5" t="s">
        <v>1720</v>
      </c>
      <c r="AI590" s="6" t="str">
        <f t="shared" si="19"/>
        <v>No</v>
      </c>
      <c r="AJ590" s="6" t="s">
        <v>287</v>
      </c>
      <c r="AK590" s="6" t="s">
        <v>204</v>
      </c>
      <c r="AL590" s="6">
        <f>MATCH(AA590,{"Low","Medium","High"},0)*MATCH(AB590,{"Low","Medium","High"},0)*INDEX({3,2,2,1,1},MATCH(X590,{"Core","Vertical extension","Differentiator","Future","Adjacent"},0))</f>
        <v>4</v>
      </c>
      <c r="AM590" s="5"/>
      <c r="AN590" s="5"/>
      <c r="AO590" s="5"/>
      <c r="AP590" s="5"/>
      <c r="AQ590" s="5"/>
      <c r="AR590" s="5"/>
      <c r="AS590" s="5"/>
      <c r="AT590" s="5"/>
      <c r="AU590" s="6" t="s">
        <v>2317</v>
      </c>
      <c r="AV590" s="6" t="s">
        <v>76</v>
      </c>
      <c r="AW590" s="6" t="s">
        <v>76</v>
      </c>
      <c r="AX590" s="6" t="s">
        <v>2284</v>
      </c>
      <c r="AY590" s="6" t="s">
        <v>2285</v>
      </c>
      <c r="AZ590" s="6"/>
      <c r="BA590" s="6"/>
      <c r="BB590" s="6"/>
      <c r="BC590" s="6" t="s">
        <v>127</v>
      </c>
      <c r="BD590" s="6" t="s">
        <v>127</v>
      </c>
      <c r="BE590" s="6" t="s">
        <v>1477</v>
      </c>
      <c r="BF590" s="6" t="s">
        <v>288</v>
      </c>
      <c r="BG590" s="6" t="s">
        <v>7184</v>
      </c>
      <c r="BH590" s="6" t="s">
        <v>7185</v>
      </c>
    </row>
    <row r="591" spans="1:60" ht="32" customHeight="1" x14ac:dyDescent="0.35">
      <c r="A591" s="13" t="s">
        <v>208</v>
      </c>
      <c r="B591" s="6" t="s">
        <v>7109</v>
      </c>
      <c r="C591" s="5" t="s">
        <v>7127</v>
      </c>
      <c r="D591" s="5" t="s">
        <v>2185</v>
      </c>
      <c r="E591" s="5" t="s">
        <v>2144</v>
      </c>
      <c r="F591" s="5" t="s">
        <v>7129</v>
      </c>
      <c r="G591" s="5" t="s">
        <v>2312</v>
      </c>
      <c r="H591" s="5" t="s">
        <v>7186</v>
      </c>
      <c r="I591" s="5" t="s">
        <v>7187</v>
      </c>
      <c r="J591" s="17" t="s">
        <v>162</v>
      </c>
      <c r="K591" s="16" t="s">
        <v>163</v>
      </c>
      <c r="L591" s="5" t="s">
        <v>7188</v>
      </c>
      <c r="M591" s="6" t="s">
        <v>1494</v>
      </c>
      <c r="N591" s="6" t="s">
        <v>2171</v>
      </c>
      <c r="O591" s="6" t="s">
        <v>162</v>
      </c>
      <c r="P591" s="5" t="s">
        <v>2272</v>
      </c>
      <c r="Q591" s="16" t="s">
        <v>163</v>
      </c>
      <c r="R591" s="5" t="s">
        <v>7189</v>
      </c>
      <c r="S591" s="6" t="s">
        <v>2409</v>
      </c>
      <c r="T591" s="5" t="s">
        <v>2185</v>
      </c>
      <c r="U591" s="6"/>
      <c r="V591" s="6" t="s">
        <v>2410</v>
      </c>
      <c r="W591" s="6" t="s">
        <v>1699</v>
      </c>
      <c r="X591" s="5" t="s">
        <v>327</v>
      </c>
      <c r="Y591" s="5" t="s">
        <v>7134</v>
      </c>
      <c r="Z591" s="5" t="str">
        <f t="shared" si="18"/>
        <v>Medium</v>
      </c>
      <c r="AA591" s="5" t="s">
        <v>1319</v>
      </c>
      <c r="AB591" s="6" t="s">
        <v>1319</v>
      </c>
      <c r="AC591" s="6" t="s">
        <v>32</v>
      </c>
      <c r="AD591" s="5" t="s">
        <v>1805</v>
      </c>
      <c r="AE591" s="5" t="s">
        <v>1720</v>
      </c>
      <c r="AF591" s="5" t="s">
        <v>1720</v>
      </c>
      <c r="AG591" s="5" t="s">
        <v>1720</v>
      </c>
      <c r="AH591" s="5" t="s">
        <v>1720</v>
      </c>
      <c r="AI591" s="6" t="str">
        <f t="shared" si="19"/>
        <v>No</v>
      </c>
      <c r="AJ591" s="6" t="s">
        <v>229</v>
      </c>
      <c r="AK591" s="6" t="s">
        <v>204</v>
      </c>
      <c r="AL591" s="6">
        <f>MATCH(AA591,{"Low","Medium","High"},0)*MATCH(AB591,{"Low","Medium","High"},0)*INDEX({3,2,2,1,1},MATCH(X591,{"Core","Vertical extension","Differentiator","Future","Adjacent"},0))</f>
        <v>8</v>
      </c>
      <c r="AM591" s="5"/>
      <c r="AN591" s="5"/>
      <c r="AO591" s="5"/>
      <c r="AP591" s="5"/>
      <c r="AQ591" s="5"/>
      <c r="AR591" s="5"/>
      <c r="AS591" s="5"/>
      <c r="AT591" s="5"/>
      <c r="AU591" s="6" t="s">
        <v>2317</v>
      </c>
      <c r="AV591" s="6" t="s">
        <v>2813</v>
      </c>
      <c r="AW591" s="6" t="s">
        <v>2813</v>
      </c>
      <c r="AX591" s="6" t="s">
        <v>2284</v>
      </c>
      <c r="AY591" s="6" t="s">
        <v>2411</v>
      </c>
      <c r="AZ591" s="6"/>
      <c r="BA591" s="6" t="s">
        <v>7190</v>
      </c>
      <c r="BB591" s="6"/>
      <c r="BC591" s="6" t="s">
        <v>127</v>
      </c>
      <c r="BD591" s="6" t="s">
        <v>127</v>
      </c>
      <c r="BE591" s="6" t="s">
        <v>163</v>
      </c>
      <c r="BF591" s="6" t="s">
        <v>288</v>
      </c>
      <c r="BG591" s="6" t="s">
        <v>7191</v>
      </c>
      <c r="BH591" s="6" t="s">
        <v>7192</v>
      </c>
    </row>
    <row r="592" spans="1:60" ht="32" customHeight="1" x14ac:dyDescent="0.35">
      <c r="A592" s="13" t="s">
        <v>211</v>
      </c>
      <c r="B592" s="6" t="s">
        <v>7109</v>
      </c>
      <c r="C592" s="5" t="s">
        <v>3043</v>
      </c>
      <c r="D592" s="5" t="s">
        <v>2189</v>
      </c>
      <c r="E592" s="5" t="s">
        <v>2145</v>
      </c>
      <c r="F592" s="5" t="s">
        <v>3318</v>
      </c>
      <c r="G592" s="5" t="s">
        <v>7193</v>
      </c>
      <c r="H592" s="5" t="s">
        <v>7194</v>
      </c>
      <c r="I592" s="5" t="s">
        <v>7195</v>
      </c>
      <c r="J592" s="21" t="s">
        <v>213</v>
      </c>
      <c r="K592" s="16" t="s">
        <v>95</v>
      </c>
      <c r="L592" s="5" t="s">
        <v>7196</v>
      </c>
      <c r="M592" s="6" t="s">
        <v>1494</v>
      </c>
      <c r="N592" s="6" t="s">
        <v>2168</v>
      </c>
      <c r="O592" s="6" t="s">
        <v>204</v>
      </c>
      <c r="P592" s="5" t="s">
        <v>7197</v>
      </c>
      <c r="Q592" s="16" t="s">
        <v>163</v>
      </c>
      <c r="R592" s="5" t="s">
        <v>7198</v>
      </c>
      <c r="S592" s="6" t="s">
        <v>2325</v>
      </c>
      <c r="T592" s="5" t="s">
        <v>2326</v>
      </c>
      <c r="U592" s="6"/>
      <c r="V592" s="6" t="s">
        <v>2327</v>
      </c>
      <c r="W592" s="6" t="s">
        <v>1699</v>
      </c>
      <c r="X592" s="5" t="s">
        <v>415</v>
      </c>
      <c r="Y592" s="5" t="s">
        <v>760</v>
      </c>
      <c r="Z592" s="5" t="str">
        <f t="shared" si="18"/>
        <v>Low</v>
      </c>
      <c r="AA592" s="5" t="s">
        <v>1355</v>
      </c>
      <c r="AB592" s="6" t="s">
        <v>1355</v>
      </c>
      <c r="AC592" s="6" t="s">
        <v>32</v>
      </c>
      <c r="AD592" s="5" t="s">
        <v>1805</v>
      </c>
      <c r="AE592" s="5" t="s">
        <v>1720</v>
      </c>
      <c r="AF592" s="5" t="s">
        <v>1720</v>
      </c>
      <c r="AG592" s="5" t="s">
        <v>1720</v>
      </c>
      <c r="AH592" s="5" t="s">
        <v>1720</v>
      </c>
      <c r="AI592" s="6" t="str">
        <f t="shared" si="19"/>
        <v>No</v>
      </c>
      <c r="AJ592" s="6" t="s">
        <v>229</v>
      </c>
      <c r="AK592" s="6" t="s">
        <v>213</v>
      </c>
      <c r="AL592" s="6">
        <f>MATCH(AA592,{"Low","Medium","High"},0)*MATCH(AB592,{"Low","Medium","High"},0)*INDEX({3,2,2,1,1},MATCH(X592,{"Core","Vertical extension","Differentiator","Future","Adjacent"},0))</f>
        <v>1</v>
      </c>
      <c r="AM592" s="5"/>
      <c r="AN592" s="5"/>
      <c r="AO592" s="5"/>
      <c r="AP592" s="5"/>
      <c r="AQ592" s="5"/>
      <c r="AR592" s="5"/>
      <c r="AS592" s="5"/>
      <c r="AT592" s="5"/>
      <c r="AU592" s="6" t="s">
        <v>2317</v>
      </c>
      <c r="AV592" s="6" t="s">
        <v>2813</v>
      </c>
      <c r="AW592" s="6" t="s">
        <v>2813</v>
      </c>
      <c r="AX592" s="6" t="s">
        <v>7199</v>
      </c>
      <c r="AY592" s="6" t="s">
        <v>2285</v>
      </c>
      <c r="AZ592" s="6"/>
      <c r="BA592" s="6" t="s">
        <v>7200</v>
      </c>
      <c r="BB592" s="6"/>
      <c r="BC592" s="6" t="s">
        <v>127</v>
      </c>
      <c r="BD592" s="6" t="s">
        <v>127</v>
      </c>
      <c r="BE592" s="6" t="s">
        <v>163</v>
      </c>
      <c r="BF592" s="6" t="s">
        <v>288</v>
      </c>
      <c r="BG592" s="6" t="s">
        <v>7201</v>
      </c>
      <c r="BH592" s="6" t="s">
        <v>7202</v>
      </c>
    </row>
    <row r="593" spans="1:60" ht="32" customHeight="1" x14ac:dyDescent="0.35">
      <c r="A593" s="13" t="s">
        <v>7203</v>
      </c>
      <c r="B593" s="6" t="s">
        <v>7109</v>
      </c>
      <c r="C593" s="5" t="s">
        <v>2496</v>
      </c>
      <c r="D593" s="5" t="s">
        <v>2191</v>
      </c>
      <c r="E593" s="5" t="s">
        <v>7204</v>
      </c>
      <c r="F593" s="5" t="s">
        <v>3209</v>
      </c>
      <c r="G593" s="5" t="s">
        <v>2312</v>
      </c>
      <c r="H593" s="5" t="s">
        <v>7205</v>
      </c>
      <c r="I593" s="5" t="s">
        <v>7206</v>
      </c>
      <c r="J593" s="21" t="s">
        <v>213</v>
      </c>
      <c r="K593" s="17" t="s">
        <v>95</v>
      </c>
      <c r="L593" s="5" t="s">
        <v>7207</v>
      </c>
      <c r="M593" s="6" t="s">
        <v>1494</v>
      </c>
      <c r="N593" s="6" t="s">
        <v>2168</v>
      </c>
      <c r="O593" s="6" t="s">
        <v>204</v>
      </c>
      <c r="P593" s="5" t="s">
        <v>6999</v>
      </c>
      <c r="Q593" s="17" t="s">
        <v>163</v>
      </c>
      <c r="R593" s="5" t="s">
        <v>7208</v>
      </c>
      <c r="S593" s="6" t="s">
        <v>2275</v>
      </c>
      <c r="T593" s="5" t="s">
        <v>2276</v>
      </c>
      <c r="U593" s="6"/>
      <c r="V593" s="6" t="s">
        <v>2277</v>
      </c>
      <c r="W593" s="6" t="s">
        <v>1697</v>
      </c>
      <c r="X593" s="5" t="s">
        <v>415</v>
      </c>
      <c r="Y593" s="5" t="s">
        <v>2168</v>
      </c>
      <c r="Z593" s="5" t="str">
        <f t="shared" si="18"/>
        <v>Low</v>
      </c>
      <c r="AA593" s="5" t="s">
        <v>1355</v>
      </c>
      <c r="AB593" s="6" t="s">
        <v>1355</v>
      </c>
      <c r="AC593" s="6" t="s">
        <v>32</v>
      </c>
      <c r="AD593" s="5" t="s">
        <v>1805</v>
      </c>
      <c r="AE593" s="5" t="s">
        <v>1720</v>
      </c>
      <c r="AF593" s="5" t="s">
        <v>1720</v>
      </c>
      <c r="AG593" s="5" t="s">
        <v>1720</v>
      </c>
      <c r="AH593" s="5" t="s">
        <v>1720</v>
      </c>
      <c r="AI593" s="6" t="str">
        <f t="shared" si="19"/>
        <v>No</v>
      </c>
      <c r="AJ593" s="6" t="s">
        <v>229</v>
      </c>
      <c r="AK593" s="6" t="s">
        <v>213</v>
      </c>
      <c r="AL593" s="6">
        <f>MATCH(AA593,{"Low","Medium","High"},0)*MATCH(AB593,{"Low","Medium","High"},0)*INDEX({3,2,2,1,1},MATCH(X593,{"Core","Vertical extension","Differentiator","Future","Adjacent"},0))</f>
        <v>1</v>
      </c>
      <c r="AM593" s="5"/>
      <c r="AN593" s="5"/>
      <c r="AO593" s="5"/>
      <c r="AP593" s="5"/>
      <c r="AQ593" s="5"/>
      <c r="AR593" s="5"/>
      <c r="AS593" s="5"/>
      <c r="AT593" s="5"/>
      <c r="AU593" s="6" t="s">
        <v>2317</v>
      </c>
      <c r="AV593" s="6" t="s">
        <v>2283</v>
      </c>
      <c r="AW593" s="6" t="s">
        <v>2283</v>
      </c>
      <c r="AX593" s="6" t="s">
        <v>7001</v>
      </c>
      <c r="AY593" s="6" t="s">
        <v>2285</v>
      </c>
      <c r="AZ593" s="6"/>
      <c r="BA593" s="6"/>
      <c r="BB593" s="6"/>
      <c r="BC593" s="6" t="s">
        <v>127</v>
      </c>
      <c r="BD593" s="6" t="s">
        <v>127</v>
      </c>
      <c r="BE593" s="6" t="s">
        <v>1477</v>
      </c>
      <c r="BF593" s="6" t="s">
        <v>288</v>
      </c>
      <c r="BG593" s="6" t="s">
        <v>7209</v>
      </c>
      <c r="BH593" s="6" t="s">
        <v>7210</v>
      </c>
    </row>
    <row r="594" spans="1:60" ht="32" customHeight="1" x14ac:dyDescent="0.35">
      <c r="A594" s="13" t="s">
        <v>7211</v>
      </c>
      <c r="B594" s="6" t="s">
        <v>7109</v>
      </c>
      <c r="C594" s="5" t="s">
        <v>3417</v>
      </c>
      <c r="D594" s="5" t="s">
        <v>2200</v>
      </c>
      <c r="E594" s="5" t="s">
        <v>7212</v>
      </c>
      <c r="F594" s="5" t="s">
        <v>3417</v>
      </c>
      <c r="G594" s="5" t="s">
        <v>2799</v>
      </c>
      <c r="H594" s="5" t="s">
        <v>7213</v>
      </c>
      <c r="I594" s="5" t="s">
        <v>7214</v>
      </c>
      <c r="J594" s="19" t="s">
        <v>204</v>
      </c>
      <c r="K594" s="17" t="s">
        <v>163</v>
      </c>
      <c r="L594" s="5" t="s">
        <v>7215</v>
      </c>
      <c r="M594" s="6" t="s">
        <v>1494</v>
      </c>
      <c r="N594" s="6" t="s">
        <v>2168</v>
      </c>
      <c r="O594" s="6" t="s">
        <v>204</v>
      </c>
      <c r="P594" s="5" t="s">
        <v>2524</v>
      </c>
      <c r="Q594" s="17" t="s">
        <v>163</v>
      </c>
      <c r="R594" s="5" t="s">
        <v>7216</v>
      </c>
      <c r="S594" s="6" t="s">
        <v>3423</v>
      </c>
      <c r="T594" s="5" t="s">
        <v>3424</v>
      </c>
      <c r="U594" s="6"/>
      <c r="V594" s="6" t="s">
        <v>3425</v>
      </c>
      <c r="W594" s="6" t="s">
        <v>1701</v>
      </c>
      <c r="X594" s="5" t="s">
        <v>327</v>
      </c>
      <c r="Y594" s="5" t="s">
        <v>3426</v>
      </c>
      <c r="Z594" s="5" t="str">
        <f t="shared" si="18"/>
        <v>Medium</v>
      </c>
      <c r="AA594" s="5" t="s">
        <v>1319</v>
      </c>
      <c r="AB594" s="6" t="s">
        <v>1355</v>
      </c>
      <c r="AC594" s="6" t="s">
        <v>32</v>
      </c>
      <c r="AD594" s="5" t="s">
        <v>1805</v>
      </c>
      <c r="AE594" s="5" t="s">
        <v>1720</v>
      </c>
      <c r="AF594" s="5" t="s">
        <v>1720</v>
      </c>
      <c r="AG594" s="5" t="s">
        <v>1720</v>
      </c>
      <c r="AH594" s="5" t="s">
        <v>1720</v>
      </c>
      <c r="AI594" s="6" t="str">
        <f t="shared" si="19"/>
        <v>No</v>
      </c>
      <c r="AJ594" s="6" t="s">
        <v>287</v>
      </c>
      <c r="AK594" s="6" t="s">
        <v>204</v>
      </c>
      <c r="AL594" s="6">
        <f>MATCH(AA594,{"Low","Medium","High"},0)*MATCH(AB594,{"Low","Medium","High"},0)*INDEX({3,2,2,1,1},MATCH(X594,{"Core","Vertical extension","Differentiator","Future","Adjacent"},0))</f>
        <v>4</v>
      </c>
      <c r="AM594" s="5"/>
      <c r="AN594" s="5"/>
      <c r="AO594" s="5"/>
      <c r="AP594" s="5"/>
      <c r="AQ594" s="5"/>
      <c r="AR594" s="5"/>
      <c r="AS594" s="5"/>
      <c r="AT594" s="5"/>
      <c r="AU594" s="6" t="s">
        <v>2317</v>
      </c>
      <c r="AV594" s="6" t="s">
        <v>2804</v>
      </c>
      <c r="AW594" s="6" t="s">
        <v>2804</v>
      </c>
      <c r="AX594" s="6" t="s">
        <v>2374</v>
      </c>
      <c r="AY594" s="6" t="s">
        <v>2285</v>
      </c>
      <c r="AZ594" s="6"/>
      <c r="BA594" s="6"/>
      <c r="BB594" s="6"/>
      <c r="BC594" s="6" t="s">
        <v>127</v>
      </c>
      <c r="BD594" s="6" t="s">
        <v>127</v>
      </c>
      <c r="BE594" s="6" t="s">
        <v>1477</v>
      </c>
      <c r="BF594" s="6" t="s">
        <v>288</v>
      </c>
      <c r="BG594" s="6" t="s">
        <v>7217</v>
      </c>
      <c r="BH594" s="6" t="s">
        <v>7218</v>
      </c>
    </row>
    <row r="595" spans="1:60" ht="32" customHeight="1" x14ac:dyDescent="0.35">
      <c r="A595" s="13" t="s">
        <v>7219</v>
      </c>
      <c r="B595" s="6" t="s">
        <v>7109</v>
      </c>
      <c r="C595" s="5" t="s">
        <v>7127</v>
      </c>
      <c r="D595" s="5" t="s">
        <v>2191</v>
      </c>
      <c r="E595" s="5" t="s">
        <v>7220</v>
      </c>
      <c r="F595" s="5" t="s">
        <v>4012</v>
      </c>
      <c r="G595" s="5" t="s">
        <v>7221</v>
      </c>
      <c r="H595" s="5" t="s">
        <v>7222</v>
      </c>
      <c r="I595" s="5" t="s">
        <v>7223</v>
      </c>
      <c r="J595" s="17" t="s">
        <v>162</v>
      </c>
      <c r="K595" s="17" t="s">
        <v>95</v>
      </c>
      <c r="L595" s="5" t="s">
        <v>7224</v>
      </c>
      <c r="M595" s="6" t="s">
        <v>1494</v>
      </c>
      <c r="N595" s="6" t="s">
        <v>2171</v>
      </c>
      <c r="O595" s="6" t="s">
        <v>162</v>
      </c>
      <c r="P595" s="5" t="s">
        <v>2272</v>
      </c>
      <c r="Q595" s="17" t="s">
        <v>95</v>
      </c>
      <c r="R595" s="5" t="s">
        <v>7225</v>
      </c>
      <c r="S595" s="6" t="s">
        <v>2275</v>
      </c>
      <c r="T595" s="5" t="s">
        <v>2276</v>
      </c>
      <c r="U595" s="6"/>
      <c r="V595" s="6" t="s">
        <v>2277</v>
      </c>
      <c r="W595" s="6" t="s">
        <v>1697</v>
      </c>
      <c r="X595" s="5" t="s">
        <v>327</v>
      </c>
      <c r="Y595" s="5" t="s">
        <v>7134</v>
      </c>
      <c r="Z595" s="5" t="str">
        <f t="shared" si="18"/>
        <v>Medium</v>
      </c>
      <c r="AA595" s="5" t="s">
        <v>1319</v>
      </c>
      <c r="AB595" s="6" t="s">
        <v>1355</v>
      </c>
      <c r="AC595" s="6" t="s">
        <v>32</v>
      </c>
      <c r="AD595" s="5" t="s">
        <v>95</v>
      </c>
      <c r="AE595" s="5" t="s">
        <v>1720</v>
      </c>
      <c r="AF595" s="5" t="s">
        <v>1720</v>
      </c>
      <c r="AG595" s="5" t="s">
        <v>1720</v>
      </c>
      <c r="AH595" s="5" t="s">
        <v>1720</v>
      </c>
      <c r="AI595" s="6" t="str">
        <f t="shared" si="19"/>
        <v>No</v>
      </c>
      <c r="AJ595" s="6" t="s">
        <v>229</v>
      </c>
      <c r="AK595" s="6" t="s">
        <v>204</v>
      </c>
      <c r="AL595" s="6">
        <f>MATCH(AA595,{"Low","Medium","High"},0)*MATCH(AB595,{"Low","Medium","High"},0)*INDEX({3,2,2,1,1},MATCH(X595,{"Core","Vertical extension","Differentiator","Future","Adjacent"},0))</f>
        <v>4</v>
      </c>
      <c r="AM595" s="5"/>
      <c r="AN595" s="5"/>
      <c r="AO595" s="5"/>
      <c r="AP595" s="5"/>
      <c r="AQ595" s="5"/>
      <c r="AR595" s="5"/>
      <c r="AS595" s="5"/>
      <c r="AT595" s="5"/>
      <c r="AU595" s="6" t="s">
        <v>2317</v>
      </c>
      <c r="AV595" s="6" t="s">
        <v>2283</v>
      </c>
      <c r="AW595" s="6" t="s">
        <v>2283</v>
      </c>
      <c r="AX595" s="6" t="s">
        <v>2284</v>
      </c>
      <c r="AY595" s="6" t="s">
        <v>2285</v>
      </c>
      <c r="AZ595" s="6"/>
      <c r="BA595" s="6"/>
      <c r="BB595" s="6"/>
      <c r="BC595" s="6" t="s">
        <v>127</v>
      </c>
      <c r="BD595" s="6" t="s">
        <v>127</v>
      </c>
      <c r="BE595" s="6" t="s">
        <v>1477</v>
      </c>
      <c r="BF595" s="6" t="s">
        <v>95</v>
      </c>
      <c r="BG595" s="6" t="s">
        <v>7226</v>
      </c>
      <c r="BH595" s="6" t="s">
        <v>7227</v>
      </c>
    </row>
    <row r="596" spans="1:60" ht="32" customHeight="1" x14ac:dyDescent="0.35">
      <c r="A596" s="13" t="s">
        <v>7228</v>
      </c>
      <c r="B596" s="6" t="s">
        <v>7109</v>
      </c>
      <c r="C596" s="5" t="s">
        <v>3043</v>
      </c>
      <c r="D596" s="5" t="s">
        <v>2189</v>
      </c>
      <c r="E596" s="5" t="s">
        <v>7229</v>
      </c>
      <c r="F596" s="5" t="s">
        <v>2813</v>
      </c>
      <c r="G596" s="5" t="s">
        <v>2312</v>
      </c>
      <c r="H596" s="5" t="s">
        <v>7230</v>
      </c>
      <c r="I596" s="5" t="s">
        <v>7231</v>
      </c>
      <c r="J596" s="17" t="s">
        <v>162</v>
      </c>
      <c r="K596" s="17" t="s">
        <v>95</v>
      </c>
      <c r="L596" s="5" t="s">
        <v>7232</v>
      </c>
      <c r="M596" s="6" t="s">
        <v>1494</v>
      </c>
      <c r="N596" s="6" t="s">
        <v>2168</v>
      </c>
      <c r="O596" s="6" t="s">
        <v>162</v>
      </c>
      <c r="P596" s="5" t="s">
        <v>2272</v>
      </c>
      <c r="Q596" s="17" t="s">
        <v>95</v>
      </c>
      <c r="R596" s="5" t="s">
        <v>7233</v>
      </c>
      <c r="S596" s="6" t="s">
        <v>2325</v>
      </c>
      <c r="T596" s="5" t="s">
        <v>2326</v>
      </c>
      <c r="U596" s="6"/>
      <c r="V596" s="6" t="s">
        <v>2327</v>
      </c>
      <c r="W596" s="6" t="s">
        <v>1699</v>
      </c>
      <c r="X596" s="5" t="s">
        <v>327</v>
      </c>
      <c r="Y596" s="5" t="s">
        <v>760</v>
      </c>
      <c r="Z596" s="5" t="str">
        <f t="shared" si="18"/>
        <v>Medium</v>
      </c>
      <c r="AA596" s="5" t="s">
        <v>1319</v>
      </c>
      <c r="AB596" s="6" t="s">
        <v>1355</v>
      </c>
      <c r="AC596" s="6" t="s">
        <v>32</v>
      </c>
      <c r="AD596" s="5" t="s">
        <v>95</v>
      </c>
      <c r="AE596" s="5" t="s">
        <v>1720</v>
      </c>
      <c r="AF596" s="5" t="s">
        <v>1720</v>
      </c>
      <c r="AG596" s="5" t="s">
        <v>1720</v>
      </c>
      <c r="AH596" s="5" t="s">
        <v>1720</v>
      </c>
      <c r="AI596" s="6" t="str">
        <f t="shared" si="19"/>
        <v>No</v>
      </c>
      <c r="AJ596" s="6" t="s">
        <v>229</v>
      </c>
      <c r="AK596" s="6" t="s">
        <v>204</v>
      </c>
      <c r="AL596" s="6">
        <f>MATCH(AA596,{"Low","Medium","High"},0)*MATCH(AB596,{"Low","Medium","High"},0)*INDEX({3,2,2,1,1},MATCH(X596,{"Core","Vertical extension","Differentiator","Future","Adjacent"},0))</f>
        <v>4</v>
      </c>
      <c r="AM596" s="5"/>
      <c r="AN596" s="5"/>
      <c r="AO596" s="5"/>
      <c r="AP596" s="5"/>
      <c r="AQ596" s="5"/>
      <c r="AR596" s="5"/>
      <c r="AS596" s="5"/>
      <c r="AT596" s="5"/>
      <c r="AU596" s="6" t="s">
        <v>2317</v>
      </c>
      <c r="AV596" s="6" t="s">
        <v>2813</v>
      </c>
      <c r="AW596" s="6" t="s">
        <v>2813</v>
      </c>
      <c r="AX596" s="6" t="s">
        <v>2284</v>
      </c>
      <c r="AY596" s="6" t="s">
        <v>2285</v>
      </c>
      <c r="AZ596" s="6"/>
      <c r="BA596" s="6"/>
      <c r="BB596" s="6"/>
      <c r="BC596" s="6" t="s">
        <v>127</v>
      </c>
      <c r="BD596" s="6" t="s">
        <v>127</v>
      </c>
      <c r="BE596" s="6" t="s">
        <v>1477</v>
      </c>
      <c r="BF596" s="6" t="s">
        <v>95</v>
      </c>
      <c r="BG596" s="6" t="s">
        <v>7234</v>
      </c>
      <c r="BH596" s="6" t="s">
        <v>7235</v>
      </c>
    </row>
    <row r="597" spans="1:60" ht="32" customHeight="1" x14ac:dyDescent="0.35">
      <c r="A597" s="13" t="s">
        <v>325</v>
      </c>
      <c r="B597" s="6" t="s">
        <v>7109</v>
      </c>
      <c r="C597" s="5" t="s">
        <v>7127</v>
      </c>
      <c r="D597" s="5" t="s">
        <v>2185</v>
      </c>
      <c r="E597" s="5" t="s">
        <v>326</v>
      </c>
      <c r="F597" s="5" t="s">
        <v>7129</v>
      </c>
      <c r="G597" s="5" t="s">
        <v>3173</v>
      </c>
      <c r="H597" s="5" t="s">
        <v>7236</v>
      </c>
      <c r="I597" s="5" t="s">
        <v>7237</v>
      </c>
      <c r="J597" s="16" t="s">
        <v>94</v>
      </c>
      <c r="K597" s="17" t="s">
        <v>163</v>
      </c>
      <c r="L597" s="5" t="s">
        <v>7238</v>
      </c>
      <c r="M597" s="6" t="s">
        <v>1494</v>
      </c>
      <c r="N597" s="6" t="s">
        <v>2171</v>
      </c>
      <c r="O597" s="6" t="s">
        <v>94</v>
      </c>
      <c r="P597" s="5" t="s">
        <v>2272</v>
      </c>
      <c r="Q597" s="17" t="s">
        <v>163</v>
      </c>
      <c r="R597" s="5" t="s">
        <v>7239</v>
      </c>
      <c r="S597" s="6" t="s">
        <v>2409</v>
      </c>
      <c r="T597" s="5" t="s">
        <v>2185</v>
      </c>
      <c r="U597" s="6"/>
      <c r="V597" s="6" t="s">
        <v>7240</v>
      </c>
      <c r="W597" s="6" t="s">
        <v>1699</v>
      </c>
      <c r="X597" s="5" t="s">
        <v>327</v>
      </c>
      <c r="Y597" s="5" t="s">
        <v>7134</v>
      </c>
      <c r="Z597" s="5" t="str">
        <f t="shared" si="18"/>
        <v>High</v>
      </c>
      <c r="AA597" s="5" t="s">
        <v>1302</v>
      </c>
      <c r="AB597" s="6" t="s">
        <v>1319</v>
      </c>
      <c r="AC597" s="6" t="s">
        <v>135</v>
      </c>
      <c r="AD597" s="5" t="s">
        <v>1805</v>
      </c>
      <c r="AE597" s="5" t="s">
        <v>1720</v>
      </c>
      <c r="AF597" s="5" t="s">
        <v>1720</v>
      </c>
      <c r="AG597" s="5" t="s">
        <v>1720</v>
      </c>
      <c r="AH597" s="5" t="s">
        <v>1720</v>
      </c>
      <c r="AI597" s="6" t="str">
        <f t="shared" si="19"/>
        <v>No</v>
      </c>
      <c r="AJ597" s="6" t="s">
        <v>229</v>
      </c>
      <c r="AK597" s="6" t="s">
        <v>94</v>
      </c>
      <c r="AL597" s="6">
        <f>MATCH(AA597,{"Low","Medium","High"},0)*MATCH(AB597,{"Low","Medium","High"},0)*INDEX({3,2,2,1,1},MATCH(X597,{"Core","Vertical extension","Differentiator","Future","Adjacent"},0))</f>
        <v>12</v>
      </c>
      <c r="AM597" s="5"/>
      <c r="AN597" s="5"/>
      <c r="AO597" s="5">
        <v>1</v>
      </c>
      <c r="AP597" s="5"/>
      <c r="AQ597" s="5"/>
      <c r="AR597" s="5" t="s">
        <v>7241</v>
      </c>
      <c r="AS597" s="51">
        <v>46300</v>
      </c>
      <c r="AT597" s="5" t="s">
        <v>2760</v>
      </c>
      <c r="AU597" s="6" t="s">
        <v>95</v>
      </c>
      <c r="AV597" s="6" t="s">
        <v>2813</v>
      </c>
      <c r="AW597" s="6" t="s">
        <v>2813</v>
      </c>
      <c r="AX597" s="6" t="s">
        <v>2284</v>
      </c>
      <c r="AY597" s="6" t="s">
        <v>2411</v>
      </c>
      <c r="AZ597" s="6"/>
      <c r="BA597" s="6" t="s">
        <v>7242</v>
      </c>
      <c r="BB597" s="6"/>
      <c r="BC597" s="6" t="s">
        <v>127</v>
      </c>
      <c r="BD597" s="6" t="s">
        <v>127</v>
      </c>
      <c r="BE597" s="6" t="s">
        <v>1477</v>
      </c>
      <c r="BF597" s="6" t="s">
        <v>288</v>
      </c>
      <c r="BG597" s="6" t="s">
        <v>7243</v>
      </c>
      <c r="BH597" s="6" t="s">
        <v>328</v>
      </c>
    </row>
    <row r="598" spans="1:60" ht="32" customHeight="1" x14ac:dyDescent="0.35">
      <c r="A598" s="13" t="s">
        <v>7244</v>
      </c>
      <c r="B598" s="6" t="s">
        <v>7109</v>
      </c>
      <c r="C598" s="5" t="s">
        <v>2496</v>
      </c>
      <c r="D598" s="5" t="s">
        <v>2191</v>
      </c>
      <c r="E598" s="5" t="s">
        <v>7245</v>
      </c>
      <c r="F598" s="5" t="s">
        <v>2267</v>
      </c>
      <c r="G598" s="5" t="s">
        <v>2312</v>
      </c>
      <c r="H598" s="5" t="s">
        <v>7246</v>
      </c>
      <c r="I598" s="5" t="s">
        <v>7247</v>
      </c>
      <c r="J598" s="17" t="s">
        <v>162</v>
      </c>
      <c r="K598" s="17" t="s">
        <v>163</v>
      </c>
      <c r="L598" s="5" t="s">
        <v>7248</v>
      </c>
      <c r="M598" s="6" t="s">
        <v>1494</v>
      </c>
      <c r="N598" s="6" t="s">
        <v>2168</v>
      </c>
      <c r="O598" s="6" t="s">
        <v>162</v>
      </c>
      <c r="P598" s="5" t="s">
        <v>2272</v>
      </c>
      <c r="Q598" s="17" t="s">
        <v>163</v>
      </c>
      <c r="R598" s="5" t="s">
        <v>7249</v>
      </c>
      <c r="S598" s="6" t="s">
        <v>2275</v>
      </c>
      <c r="T598" s="5" t="s">
        <v>2276</v>
      </c>
      <c r="U598" s="6"/>
      <c r="V598" s="6" t="s">
        <v>2277</v>
      </c>
      <c r="W598" s="6" t="s">
        <v>1697</v>
      </c>
      <c r="X598" s="5" t="s">
        <v>327</v>
      </c>
      <c r="Y598" s="5" t="s">
        <v>2168</v>
      </c>
      <c r="Z598" s="5" t="str">
        <f t="shared" si="18"/>
        <v>Medium</v>
      </c>
      <c r="AA598" s="5" t="s">
        <v>1319</v>
      </c>
      <c r="AB598" s="6" t="s">
        <v>1355</v>
      </c>
      <c r="AC598" s="6" t="s">
        <v>32</v>
      </c>
      <c r="AD598" s="5" t="s">
        <v>1805</v>
      </c>
      <c r="AE598" s="5" t="s">
        <v>1720</v>
      </c>
      <c r="AF598" s="5" t="s">
        <v>1720</v>
      </c>
      <c r="AG598" s="5" t="s">
        <v>1720</v>
      </c>
      <c r="AH598" s="5" t="s">
        <v>1720</v>
      </c>
      <c r="AI598" s="6" t="str">
        <f t="shared" si="19"/>
        <v>No</v>
      </c>
      <c r="AJ598" s="6" t="s">
        <v>287</v>
      </c>
      <c r="AK598" s="6" t="s">
        <v>204</v>
      </c>
      <c r="AL598" s="6">
        <f>MATCH(AA598,{"Low","Medium","High"},0)*MATCH(AB598,{"Low","Medium","High"},0)*INDEX({3,2,2,1,1},MATCH(X598,{"Core","Vertical extension","Differentiator","Future","Adjacent"},0))</f>
        <v>4</v>
      </c>
      <c r="AM598" s="5"/>
      <c r="AN598" s="5"/>
      <c r="AO598" s="5"/>
      <c r="AP598" s="5"/>
      <c r="AQ598" s="5"/>
      <c r="AR598" s="5"/>
      <c r="AS598" s="5"/>
      <c r="AT598" s="5"/>
      <c r="AU598" s="6" t="s">
        <v>2317</v>
      </c>
      <c r="AV598" s="6" t="s">
        <v>2283</v>
      </c>
      <c r="AW598" s="6" t="s">
        <v>2283</v>
      </c>
      <c r="AX598" s="6" t="s">
        <v>2284</v>
      </c>
      <c r="AY598" s="6" t="s">
        <v>2285</v>
      </c>
      <c r="AZ598" s="6"/>
      <c r="BA598" s="6"/>
      <c r="BB598" s="6"/>
      <c r="BC598" s="6" t="s">
        <v>127</v>
      </c>
      <c r="BD598" s="6" t="s">
        <v>127</v>
      </c>
      <c r="BE598" s="6" t="s">
        <v>1477</v>
      </c>
      <c r="BF598" s="6" t="s">
        <v>288</v>
      </c>
      <c r="BG598" s="6" t="s">
        <v>7250</v>
      </c>
      <c r="BH598" s="6" t="s">
        <v>7251</v>
      </c>
    </row>
    <row r="599" spans="1:60" ht="32" customHeight="1" x14ac:dyDescent="0.35">
      <c r="A599" s="13" t="s">
        <v>7252</v>
      </c>
      <c r="B599" s="6" t="s">
        <v>7109</v>
      </c>
      <c r="C599" s="5" t="s">
        <v>7127</v>
      </c>
      <c r="D599" s="5" t="s">
        <v>2191</v>
      </c>
      <c r="E599" s="5" t="s">
        <v>7253</v>
      </c>
      <c r="F599" s="5" t="s">
        <v>3209</v>
      </c>
      <c r="G599" s="5" t="s">
        <v>2396</v>
      </c>
      <c r="H599" s="5" t="s">
        <v>7254</v>
      </c>
      <c r="I599" s="5" t="s">
        <v>7255</v>
      </c>
      <c r="J599" s="17" t="s">
        <v>162</v>
      </c>
      <c r="K599" s="17" t="s">
        <v>163</v>
      </c>
      <c r="L599" s="5" t="s">
        <v>7256</v>
      </c>
      <c r="M599" s="6" t="s">
        <v>1494</v>
      </c>
      <c r="N599" s="6" t="s">
        <v>2171</v>
      </c>
      <c r="O599" s="6" t="s">
        <v>162</v>
      </c>
      <c r="P599" s="5" t="s">
        <v>2272</v>
      </c>
      <c r="Q599" s="17" t="s">
        <v>163</v>
      </c>
      <c r="R599" s="5" t="s">
        <v>7257</v>
      </c>
      <c r="S599" s="6" t="s">
        <v>2275</v>
      </c>
      <c r="T599" s="5" t="s">
        <v>2276</v>
      </c>
      <c r="U599" s="6"/>
      <c r="V599" s="6" t="s">
        <v>2277</v>
      </c>
      <c r="W599" s="6" t="s">
        <v>1697</v>
      </c>
      <c r="X599" s="5" t="s">
        <v>327</v>
      </c>
      <c r="Y599" s="5" t="s">
        <v>7134</v>
      </c>
      <c r="Z599" s="5" t="str">
        <f t="shared" si="18"/>
        <v>Medium</v>
      </c>
      <c r="AA599" s="5" t="s">
        <v>1319</v>
      </c>
      <c r="AB599" s="6" t="s">
        <v>1355</v>
      </c>
      <c r="AC599" s="6" t="s">
        <v>32</v>
      </c>
      <c r="AD599" s="5" t="s">
        <v>1805</v>
      </c>
      <c r="AE599" s="5" t="s">
        <v>1720</v>
      </c>
      <c r="AF599" s="5" t="s">
        <v>1720</v>
      </c>
      <c r="AG599" s="5" t="s">
        <v>1720</v>
      </c>
      <c r="AH599" s="5" t="s">
        <v>1720</v>
      </c>
      <c r="AI599" s="6" t="str">
        <f t="shared" si="19"/>
        <v>No</v>
      </c>
      <c r="AJ599" s="6" t="s">
        <v>287</v>
      </c>
      <c r="AK599" s="6" t="s">
        <v>204</v>
      </c>
      <c r="AL599" s="6">
        <f>MATCH(AA599,{"Low","Medium","High"},0)*MATCH(AB599,{"Low","Medium","High"},0)*INDEX({3,2,2,1,1},MATCH(X599,{"Core","Vertical extension","Differentiator","Future","Adjacent"},0))</f>
        <v>4</v>
      </c>
      <c r="AM599" s="5"/>
      <c r="AN599" s="5"/>
      <c r="AO599" s="5"/>
      <c r="AP599" s="5"/>
      <c r="AQ599" s="5"/>
      <c r="AR599" s="5"/>
      <c r="AS599" s="5"/>
      <c r="AT599" s="5"/>
      <c r="AU599" s="6" t="s">
        <v>2317</v>
      </c>
      <c r="AV599" s="6" t="s">
        <v>2283</v>
      </c>
      <c r="AW599" s="6" t="s">
        <v>2283</v>
      </c>
      <c r="AX599" s="6" t="s">
        <v>2284</v>
      </c>
      <c r="AY599" s="6" t="s">
        <v>2285</v>
      </c>
      <c r="AZ599" s="6"/>
      <c r="BA599" s="6"/>
      <c r="BB599" s="6"/>
      <c r="BC599" s="6" t="s">
        <v>127</v>
      </c>
      <c r="BD599" s="6" t="s">
        <v>127</v>
      </c>
      <c r="BE599" s="6" t="s">
        <v>1477</v>
      </c>
      <c r="BF599" s="6" t="s">
        <v>288</v>
      </c>
      <c r="BG599" s="6" t="s">
        <v>7258</v>
      </c>
      <c r="BH599" s="6" t="s">
        <v>7259</v>
      </c>
    </row>
    <row r="600" spans="1:60" ht="32" customHeight="1" x14ac:dyDescent="0.35">
      <c r="A600" s="13" t="s">
        <v>7260</v>
      </c>
      <c r="B600" s="6" t="s">
        <v>7109</v>
      </c>
      <c r="C600" s="5" t="s">
        <v>2973</v>
      </c>
      <c r="D600" s="5" t="s">
        <v>2183</v>
      </c>
      <c r="E600" s="5" t="s">
        <v>7261</v>
      </c>
      <c r="F600" s="5" t="s">
        <v>2973</v>
      </c>
      <c r="G600" s="5" t="s">
        <v>2507</v>
      </c>
      <c r="H600" s="5" t="s">
        <v>7262</v>
      </c>
      <c r="I600" s="5" t="s">
        <v>7263</v>
      </c>
      <c r="J600" s="17" t="s">
        <v>162</v>
      </c>
      <c r="K600" s="17" t="s">
        <v>163</v>
      </c>
      <c r="L600" s="5" t="s">
        <v>7264</v>
      </c>
      <c r="M600" s="6" t="s">
        <v>1494</v>
      </c>
      <c r="N600" s="6" t="s">
        <v>2168</v>
      </c>
      <c r="O600" s="6" t="s">
        <v>162</v>
      </c>
      <c r="P600" s="5" t="s">
        <v>2272</v>
      </c>
      <c r="Q600" s="17" t="s">
        <v>163</v>
      </c>
      <c r="R600" s="5" t="s">
        <v>7265</v>
      </c>
      <c r="S600" s="6" t="s">
        <v>2438</v>
      </c>
      <c r="T600" s="5" t="s">
        <v>2439</v>
      </c>
      <c r="U600" s="6"/>
      <c r="V600" s="6" t="s">
        <v>2440</v>
      </c>
      <c r="W600" s="6" t="s">
        <v>1699</v>
      </c>
      <c r="X600" s="5" t="s">
        <v>327</v>
      </c>
      <c r="Y600" s="5" t="s">
        <v>1824</v>
      </c>
      <c r="Z600" s="5" t="str">
        <f t="shared" si="18"/>
        <v>Critical</v>
      </c>
      <c r="AA600" s="5" t="s">
        <v>1302</v>
      </c>
      <c r="AB600" s="6" t="s">
        <v>1302</v>
      </c>
      <c r="AC600" s="6" t="s">
        <v>32</v>
      </c>
      <c r="AD600" s="5" t="s">
        <v>1805</v>
      </c>
      <c r="AE600" s="5" t="s">
        <v>1720</v>
      </c>
      <c r="AF600" s="5" t="s">
        <v>1720</v>
      </c>
      <c r="AG600" s="5" t="s">
        <v>1720</v>
      </c>
      <c r="AH600" s="5" t="s">
        <v>1720</v>
      </c>
      <c r="AI600" s="6" t="str">
        <f t="shared" si="19"/>
        <v>No</v>
      </c>
      <c r="AJ600" s="6" t="s">
        <v>287</v>
      </c>
      <c r="AK600" s="6" t="s">
        <v>204</v>
      </c>
      <c r="AL600" s="6">
        <f>MATCH(AA600,{"Low","Medium","High"},0)*MATCH(AB600,{"Low","Medium","High"},0)*INDEX({3,2,2,1,1},MATCH(X600,{"Core","Vertical extension","Differentiator","Future","Adjacent"},0))</f>
        <v>18</v>
      </c>
      <c r="AM600" s="5"/>
      <c r="AN600" s="5"/>
      <c r="AO600" s="5"/>
      <c r="AP600" s="5"/>
      <c r="AQ600" s="5"/>
      <c r="AR600" s="5"/>
      <c r="AS600" s="5"/>
      <c r="AT600" s="5"/>
      <c r="AU600" s="6" t="s">
        <v>2317</v>
      </c>
      <c r="AV600" s="6" t="s">
        <v>76</v>
      </c>
      <c r="AW600" s="6" t="s">
        <v>76</v>
      </c>
      <c r="AX600" s="6" t="s">
        <v>2284</v>
      </c>
      <c r="AY600" s="6" t="s">
        <v>2285</v>
      </c>
      <c r="AZ600" s="6"/>
      <c r="BA600" s="6"/>
      <c r="BB600" s="6"/>
      <c r="BC600" s="6" t="s">
        <v>127</v>
      </c>
      <c r="BD600" s="6" t="s">
        <v>127</v>
      </c>
      <c r="BE600" s="6" t="s">
        <v>1477</v>
      </c>
      <c r="BF600" s="6" t="s">
        <v>288</v>
      </c>
      <c r="BG600" s="6" t="s">
        <v>7266</v>
      </c>
      <c r="BH600" s="6" t="s">
        <v>7267</v>
      </c>
    </row>
    <row r="601" spans="1:60" ht="32" customHeight="1" x14ac:dyDescent="0.35">
      <c r="A601" s="13" t="s">
        <v>7268</v>
      </c>
      <c r="B601" s="6" t="s">
        <v>7109</v>
      </c>
      <c r="C601" s="5" t="s">
        <v>7127</v>
      </c>
      <c r="D601" s="5" t="s">
        <v>2198</v>
      </c>
      <c r="E601" s="5" t="s">
        <v>7269</v>
      </c>
      <c r="F601" s="5" t="s">
        <v>7270</v>
      </c>
      <c r="G601" s="5" t="s">
        <v>2813</v>
      </c>
      <c r="H601" s="5" t="s">
        <v>7271</v>
      </c>
      <c r="I601" s="5" t="s">
        <v>7272</v>
      </c>
      <c r="J601" s="19" t="s">
        <v>204</v>
      </c>
      <c r="K601" s="17" t="s">
        <v>163</v>
      </c>
      <c r="L601" s="5" t="s">
        <v>7273</v>
      </c>
      <c r="M601" s="6" t="s">
        <v>1494</v>
      </c>
      <c r="N601" s="6" t="s">
        <v>2171</v>
      </c>
      <c r="O601" s="6" t="s">
        <v>204</v>
      </c>
      <c r="P601" s="5" t="s">
        <v>2272</v>
      </c>
      <c r="Q601" s="17" t="s">
        <v>163</v>
      </c>
      <c r="R601" s="5" t="s">
        <v>7274</v>
      </c>
      <c r="S601" s="6" t="s">
        <v>2401</v>
      </c>
      <c r="T601" s="5" t="s">
        <v>2402</v>
      </c>
      <c r="U601" s="6"/>
      <c r="V601" s="6" t="s">
        <v>2403</v>
      </c>
      <c r="W601" s="6" t="s">
        <v>1703</v>
      </c>
      <c r="X601" s="5" t="s">
        <v>327</v>
      </c>
      <c r="Y601" s="5" t="s">
        <v>7134</v>
      </c>
      <c r="Z601" s="5" t="str">
        <f t="shared" si="18"/>
        <v>Medium</v>
      </c>
      <c r="AA601" s="5" t="s">
        <v>1319</v>
      </c>
      <c r="AB601" s="6" t="s">
        <v>1355</v>
      </c>
      <c r="AC601" s="6" t="s">
        <v>32</v>
      </c>
      <c r="AD601" s="5" t="s">
        <v>1805</v>
      </c>
      <c r="AE601" s="5" t="s">
        <v>1720</v>
      </c>
      <c r="AF601" s="5" t="s">
        <v>1720</v>
      </c>
      <c r="AG601" s="5" t="s">
        <v>1720</v>
      </c>
      <c r="AH601" s="5" t="s">
        <v>1720</v>
      </c>
      <c r="AI601" s="6" t="str">
        <f t="shared" si="19"/>
        <v>No</v>
      </c>
      <c r="AJ601" s="6" t="s">
        <v>287</v>
      </c>
      <c r="AK601" s="6" t="s">
        <v>204</v>
      </c>
      <c r="AL601" s="6">
        <f>MATCH(AA601,{"Low","Medium","High"},0)*MATCH(AB601,{"Low","Medium","High"},0)*INDEX({3,2,2,1,1},MATCH(X601,{"Core","Vertical extension","Differentiator","Future","Adjacent"},0))</f>
        <v>4</v>
      </c>
      <c r="AM601" s="5"/>
      <c r="AN601" s="5"/>
      <c r="AO601" s="5"/>
      <c r="AP601" s="5"/>
      <c r="AQ601" s="5"/>
      <c r="AR601" s="5"/>
      <c r="AS601" s="5"/>
      <c r="AT601" s="5"/>
      <c r="AU601" s="6" t="s">
        <v>2317</v>
      </c>
      <c r="AV601" s="6" t="s">
        <v>76</v>
      </c>
      <c r="AW601" s="6" t="s">
        <v>76</v>
      </c>
      <c r="AX601" s="6" t="s">
        <v>2284</v>
      </c>
      <c r="AY601" s="6" t="s">
        <v>2285</v>
      </c>
      <c r="AZ601" s="6"/>
      <c r="BA601" s="6"/>
      <c r="BB601" s="6"/>
      <c r="BC601" s="6" t="s">
        <v>127</v>
      </c>
      <c r="BD601" s="6" t="s">
        <v>127</v>
      </c>
      <c r="BE601" s="6" t="s">
        <v>1477</v>
      </c>
      <c r="BF601" s="6" t="s">
        <v>288</v>
      </c>
      <c r="BG601" s="6" t="s">
        <v>7275</v>
      </c>
      <c r="BH601" s="6" t="s">
        <v>7276</v>
      </c>
    </row>
    <row r="602" spans="1:60" ht="32" customHeight="1" x14ac:dyDescent="0.35">
      <c r="A602" s="13" t="s">
        <v>7277</v>
      </c>
      <c r="B602" s="6" t="s">
        <v>7278</v>
      </c>
      <c r="C602" s="5" t="s">
        <v>7279</v>
      </c>
      <c r="D602" s="5" t="s">
        <v>2183</v>
      </c>
      <c r="E602" s="5" t="s">
        <v>7280</v>
      </c>
      <c r="F602" s="5" t="s">
        <v>7281</v>
      </c>
      <c r="G602" s="5" t="s">
        <v>3209</v>
      </c>
      <c r="H602" s="5" t="s">
        <v>7282</v>
      </c>
      <c r="I602" s="5" t="s">
        <v>7283</v>
      </c>
      <c r="J602" s="16" t="s">
        <v>94</v>
      </c>
      <c r="K602" s="17" t="s">
        <v>1477</v>
      </c>
      <c r="L602" s="5" t="s">
        <v>7284</v>
      </c>
      <c r="M602" s="6" t="s">
        <v>1494</v>
      </c>
      <c r="N602" s="6" t="s">
        <v>2171</v>
      </c>
      <c r="O602" s="6" t="s">
        <v>94</v>
      </c>
      <c r="P602" s="5" t="s">
        <v>2272</v>
      </c>
      <c r="Q602" s="18" t="s">
        <v>1482</v>
      </c>
      <c r="R602" s="5" t="s">
        <v>2666</v>
      </c>
      <c r="S602" s="6" t="s">
        <v>2438</v>
      </c>
      <c r="T602" s="5" t="s">
        <v>2439</v>
      </c>
      <c r="U602" s="6"/>
      <c r="V602" s="6" t="s">
        <v>2440</v>
      </c>
      <c r="W602" s="6" t="s">
        <v>1699</v>
      </c>
      <c r="X602" s="5" t="s">
        <v>228</v>
      </c>
      <c r="Y602" s="5" t="s">
        <v>7134</v>
      </c>
      <c r="Z602" s="5" t="str">
        <f t="shared" si="18"/>
        <v>Critical</v>
      </c>
      <c r="AA602" s="5" t="s">
        <v>1302</v>
      </c>
      <c r="AB602" s="6" t="s">
        <v>1302</v>
      </c>
      <c r="AC602" s="6" t="s">
        <v>99</v>
      </c>
      <c r="AD602" s="5" t="s">
        <v>2278</v>
      </c>
      <c r="AE602" s="5" t="s">
        <v>1720</v>
      </c>
      <c r="AF602" s="5" t="s">
        <v>1720</v>
      </c>
      <c r="AG602" s="5" t="s">
        <v>1720</v>
      </c>
      <c r="AH602" s="5" t="s">
        <v>1720</v>
      </c>
      <c r="AI602" s="6" t="str">
        <f t="shared" si="19"/>
        <v>No</v>
      </c>
      <c r="AJ602" s="6" t="s">
        <v>2298</v>
      </c>
      <c r="AK602" s="6" t="s">
        <v>94</v>
      </c>
      <c r="AL602" s="6">
        <f>MATCH(AA602,{"Low","Medium","High"},0)*MATCH(AB602,{"Low","Medium","High"},0)*INDEX({3,2,2,1,1},MATCH(X602,{"Core","Vertical extension","Differentiator","Future","Adjacent"},0))</f>
        <v>27</v>
      </c>
      <c r="AM602" s="5"/>
      <c r="AN602" s="5"/>
      <c r="AO602" s="5"/>
      <c r="AP602" s="5"/>
      <c r="AQ602" s="5"/>
      <c r="AR602" s="5" t="s">
        <v>7285</v>
      </c>
      <c r="AS602" s="5" t="s">
        <v>1462</v>
      </c>
      <c r="AT602" s="5" t="s">
        <v>2281</v>
      </c>
      <c r="AU602" s="6" t="s">
        <v>95</v>
      </c>
      <c r="AV602" s="6" t="s">
        <v>3968</v>
      </c>
      <c r="AW602" s="6" t="s">
        <v>3968</v>
      </c>
      <c r="AX602" s="6" t="s">
        <v>2284</v>
      </c>
      <c r="AY602" s="6" t="s">
        <v>2285</v>
      </c>
      <c r="AZ602" s="6"/>
      <c r="BA602" s="6" t="s">
        <v>2299</v>
      </c>
      <c r="BB602" s="6" t="s">
        <v>2300</v>
      </c>
      <c r="BC602" s="6" t="s">
        <v>127</v>
      </c>
      <c r="BD602" s="6" t="s">
        <v>127</v>
      </c>
      <c r="BE602" s="6"/>
      <c r="BF602" s="6"/>
      <c r="BG602" s="6"/>
      <c r="BH602" s="6"/>
    </row>
    <row r="603" spans="1:60" ht="32" customHeight="1" x14ac:dyDescent="0.35">
      <c r="A603" s="13" t="s">
        <v>331</v>
      </c>
      <c r="B603" s="6" t="s">
        <v>7278</v>
      </c>
      <c r="C603" s="5" t="s">
        <v>7279</v>
      </c>
      <c r="D603" s="5" t="s">
        <v>2183</v>
      </c>
      <c r="E603" s="5" t="s">
        <v>332</v>
      </c>
      <c r="F603" s="5" t="s">
        <v>7286</v>
      </c>
      <c r="G603" s="5" t="s">
        <v>2973</v>
      </c>
      <c r="H603" s="5" t="s">
        <v>7287</v>
      </c>
      <c r="I603" s="5" t="s">
        <v>7288</v>
      </c>
      <c r="J603" s="16" t="s">
        <v>94</v>
      </c>
      <c r="K603" s="17" t="s">
        <v>95</v>
      </c>
      <c r="L603" s="5" t="s">
        <v>7289</v>
      </c>
      <c r="M603" s="6" t="s">
        <v>1494</v>
      </c>
      <c r="N603" s="6" t="s">
        <v>2171</v>
      </c>
      <c r="O603" s="6" t="s">
        <v>94</v>
      </c>
      <c r="P603" s="5" t="s">
        <v>2272</v>
      </c>
      <c r="Q603" s="17" t="s">
        <v>95</v>
      </c>
      <c r="R603" s="5" t="s">
        <v>7290</v>
      </c>
      <c r="S603" s="6" t="s">
        <v>2438</v>
      </c>
      <c r="T603" s="5" t="s">
        <v>2439</v>
      </c>
      <c r="U603" s="6"/>
      <c r="V603" s="6" t="s">
        <v>2440</v>
      </c>
      <c r="W603" s="6" t="s">
        <v>1699</v>
      </c>
      <c r="X603" s="5" t="s">
        <v>228</v>
      </c>
      <c r="Y603" s="5" t="s">
        <v>7134</v>
      </c>
      <c r="Z603" s="5" t="str">
        <f t="shared" si="18"/>
        <v>Critical</v>
      </c>
      <c r="AA603" s="5" t="s">
        <v>1302</v>
      </c>
      <c r="AB603" s="6" t="s">
        <v>1302</v>
      </c>
      <c r="AC603" s="6" t="s">
        <v>99</v>
      </c>
      <c r="AD603" s="5" t="s">
        <v>95</v>
      </c>
      <c r="AE603" s="5" t="s">
        <v>1720</v>
      </c>
      <c r="AF603" s="5" t="s">
        <v>1720</v>
      </c>
      <c r="AG603" s="5" t="s">
        <v>1720</v>
      </c>
      <c r="AH603" s="5" t="s">
        <v>1720</v>
      </c>
      <c r="AI603" s="6" t="str">
        <f t="shared" si="19"/>
        <v>No</v>
      </c>
      <c r="AJ603" s="6" t="s">
        <v>229</v>
      </c>
      <c r="AK603" s="6" t="s">
        <v>94</v>
      </c>
      <c r="AL603" s="6">
        <f>MATCH(AA603,{"Low","Medium","High"},0)*MATCH(AB603,{"Low","Medium","High"},0)*INDEX({3,2,2,1,1},MATCH(X603,{"Core","Vertical extension","Differentiator","Future","Adjacent"},0))</f>
        <v>27</v>
      </c>
      <c r="AM603" s="5"/>
      <c r="AN603" s="5"/>
      <c r="AO603" s="5">
        <v>4</v>
      </c>
      <c r="AP603" s="5"/>
      <c r="AQ603" s="5"/>
      <c r="AR603" s="5" t="s">
        <v>7291</v>
      </c>
      <c r="AS603" s="51">
        <v>46300</v>
      </c>
      <c r="AT603" s="5" t="s">
        <v>2760</v>
      </c>
      <c r="AU603" s="6" t="s">
        <v>95</v>
      </c>
      <c r="AV603" s="6" t="s">
        <v>3073</v>
      </c>
      <c r="AW603" s="6" t="s">
        <v>3073</v>
      </c>
      <c r="AX603" s="6" t="s">
        <v>2284</v>
      </c>
      <c r="AY603" s="6" t="s">
        <v>2285</v>
      </c>
      <c r="AZ603" s="6"/>
      <c r="BA603" s="6" t="s">
        <v>7292</v>
      </c>
      <c r="BB603" s="6"/>
      <c r="BC603" s="6" t="s">
        <v>127</v>
      </c>
      <c r="BD603" s="6" t="s">
        <v>127</v>
      </c>
      <c r="BE603" s="6" t="s">
        <v>1477</v>
      </c>
      <c r="BF603" s="6" t="s">
        <v>95</v>
      </c>
      <c r="BG603" s="6" t="s">
        <v>7293</v>
      </c>
      <c r="BH603" s="6" t="s">
        <v>333</v>
      </c>
    </row>
    <row r="604" spans="1:60" ht="32" customHeight="1" x14ac:dyDescent="0.35">
      <c r="A604" s="13" t="s">
        <v>130</v>
      </c>
      <c r="B604" s="6" t="s">
        <v>7278</v>
      </c>
      <c r="C604" s="5" t="s">
        <v>7279</v>
      </c>
      <c r="D604" s="5" t="s">
        <v>2183</v>
      </c>
      <c r="E604" s="5" t="s">
        <v>336</v>
      </c>
      <c r="F604" s="5" t="s">
        <v>7294</v>
      </c>
      <c r="G604" s="5" t="s">
        <v>2973</v>
      </c>
      <c r="H604" s="5" t="s">
        <v>7295</v>
      </c>
      <c r="I604" s="5" t="s">
        <v>7296</v>
      </c>
      <c r="J604" s="16" t="s">
        <v>94</v>
      </c>
      <c r="K604" s="16" t="s">
        <v>95</v>
      </c>
      <c r="L604" s="5" t="s">
        <v>7297</v>
      </c>
      <c r="M604" s="6" t="s">
        <v>1494</v>
      </c>
      <c r="N604" s="6" t="s">
        <v>2171</v>
      </c>
      <c r="O604" s="6" t="s">
        <v>94</v>
      </c>
      <c r="P604" s="5" t="s">
        <v>2272</v>
      </c>
      <c r="Q604" s="16" t="s">
        <v>95</v>
      </c>
      <c r="R604" s="5" t="s">
        <v>7298</v>
      </c>
      <c r="S604" s="6" t="s">
        <v>2438</v>
      </c>
      <c r="T604" s="5" t="s">
        <v>2439</v>
      </c>
      <c r="U604" s="6"/>
      <c r="V604" s="6" t="s">
        <v>2440</v>
      </c>
      <c r="W604" s="6" t="s">
        <v>1699</v>
      </c>
      <c r="X604" s="5" t="s">
        <v>228</v>
      </c>
      <c r="Y604" s="5" t="s">
        <v>7134</v>
      </c>
      <c r="Z604" s="5" t="str">
        <f t="shared" si="18"/>
        <v>Critical</v>
      </c>
      <c r="AA604" s="5" t="s">
        <v>1302</v>
      </c>
      <c r="AB604" s="6" t="s">
        <v>1302</v>
      </c>
      <c r="AC604" s="6" t="s">
        <v>99</v>
      </c>
      <c r="AD604" s="5" t="s">
        <v>95</v>
      </c>
      <c r="AE604" s="5" t="s">
        <v>1720</v>
      </c>
      <c r="AF604" s="5" t="s">
        <v>1720</v>
      </c>
      <c r="AG604" s="5" t="s">
        <v>1720</v>
      </c>
      <c r="AH604" s="5" t="s">
        <v>1720</v>
      </c>
      <c r="AI604" s="6" t="str">
        <f t="shared" si="19"/>
        <v>No</v>
      </c>
      <c r="AJ604" s="6" t="s">
        <v>229</v>
      </c>
      <c r="AK604" s="6" t="s">
        <v>94</v>
      </c>
      <c r="AL604" s="6">
        <f>MATCH(AA604,{"Low","Medium","High"},0)*MATCH(AB604,{"Low","Medium","High"},0)*INDEX({3,2,2,1,1},MATCH(X604,{"Core","Vertical extension","Differentiator","Future","Adjacent"},0))</f>
        <v>27</v>
      </c>
      <c r="AM604" s="5"/>
      <c r="AN604" s="5"/>
      <c r="AO604" s="5">
        <v>3</v>
      </c>
      <c r="AP604" s="5"/>
      <c r="AQ604" s="5"/>
      <c r="AR604" s="5" t="s">
        <v>7299</v>
      </c>
      <c r="AS604" s="51">
        <v>46300</v>
      </c>
      <c r="AT604" s="5" t="s">
        <v>2760</v>
      </c>
      <c r="AU604" s="6" t="s">
        <v>95</v>
      </c>
      <c r="AV604" s="6" t="s">
        <v>3968</v>
      </c>
      <c r="AW604" s="6" t="s">
        <v>3968</v>
      </c>
      <c r="AX604" s="6" t="s">
        <v>2284</v>
      </c>
      <c r="AY604" s="6" t="s">
        <v>2285</v>
      </c>
      <c r="AZ604" s="6"/>
      <c r="BA604" s="6" t="s">
        <v>7300</v>
      </c>
      <c r="BB604" s="6"/>
      <c r="BC604" s="6" t="s">
        <v>127</v>
      </c>
      <c r="BD604" s="6" t="s">
        <v>127</v>
      </c>
      <c r="BE604" s="6" t="s">
        <v>95</v>
      </c>
      <c r="BF604" s="6" t="s">
        <v>95</v>
      </c>
      <c r="BG604" s="6" t="s">
        <v>3257</v>
      </c>
      <c r="BH604" s="6" t="s">
        <v>337</v>
      </c>
    </row>
    <row r="605" spans="1:60" ht="32" customHeight="1" x14ac:dyDescent="0.35">
      <c r="A605" s="13" t="s">
        <v>339</v>
      </c>
      <c r="B605" s="6" t="s">
        <v>7278</v>
      </c>
      <c r="C605" s="5" t="s">
        <v>7279</v>
      </c>
      <c r="D605" s="5" t="s">
        <v>2183</v>
      </c>
      <c r="E605" s="5" t="s">
        <v>340</v>
      </c>
      <c r="F605" s="5" t="s">
        <v>4062</v>
      </c>
      <c r="G605" s="5" t="s">
        <v>2973</v>
      </c>
      <c r="H605" s="5" t="s">
        <v>7301</v>
      </c>
      <c r="I605" s="5" t="s">
        <v>7302</v>
      </c>
      <c r="J605" s="16" t="s">
        <v>94</v>
      </c>
      <c r="K605" s="17" t="s">
        <v>95</v>
      </c>
      <c r="L605" s="5" t="s">
        <v>7303</v>
      </c>
      <c r="M605" s="6" t="s">
        <v>1494</v>
      </c>
      <c r="N605" s="6" t="s">
        <v>2171</v>
      </c>
      <c r="O605" s="6" t="s">
        <v>94</v>
      </c>
      <c r="P605" s="5" t="s">
        <v>2272</v>
      </c>
      <c r="Q605" s="17" t="s">
        <v>95</v>
      </c>
      <c r="R605" s="5" t="s">
        <v>7304</v>
      </c>
      <c r="S605" s="6" t="s">
        <v>2438</v>
      </c>
      <c r="T605" s="5" t="s">
        <v>2439</v>
      </c>
      <c r="U605" s="6"/>
      <c r="V605" s="6" t="s">
        <v>2440</v>
      </c>
      <c r="W605" s="6" t="s">
        <v>1699</v>
      </c>
      <c r="X605" s="5" t="s">
        <v>228</v>
      </c>
      <c r="Y605" s="5" t="s">
        <v>7134</v>
      </c>
      <c r="Z605" s="5" t="str">
        <f t="shared" si="18"/>
        <v>Critical</v>
      </c>
      <c r="AA605" s="5" t="s">
        <v>1302</v>
      </c>
      <c r="AB605" s="6" t="s">
        <v>1302</v>
      </c>
      <c r="AC605" s="6" t="s">
        <v>99</v>
      </c>
      <c r="AD605" s="5" t="s">
        <v>95</v>
      </c>
      <c r="AE605" s="5" t="s">
        <v>1720</v>
      </c>
      <c r="AF605" s="5" t="s">
        <v>1720</v>
      </c>
      <c r="AG605" s="5" t="s">
        <v>1720</v>
      </c>
      <c r="AH605" s="5" t="s">
        <v>1720</v>
      </c>
      <c r="AI605" s="6" t="str">
        <f t="shared" si="19"/>
        <v>No</v>
      </c>
      <c r="AJ605" s="6" t="s">
        <v>229</v>
      </c>
      <c r="AK605" s="6" t="s">
        <v>94</v>
      </c>
      <c r="AL605" s="6">
        <f>MATCH(AA605,{"Low","Medium","High"},0)*MATCH(AB605,{"Low","Medium","High"},0)*INDEX({3,2,2,1,1},MATCH(X605,{"Core","Vertical extension","Differentiator","Future","Adjacent"},0))</f>
        <v>27</v>
      </c>
      <c r="AM605" s="5"/>
      <c r="AN605" s="5"/>
      <c r="AO605" s="5">
        <v>5</v>
      </c>
      <c r="AP605" s="5"/>
      <c r="AQ605" s="5"/>
      <c r="AR605" s="5" t="s">
        <v>7305</v>
      </c>
      <c r="AS605" s="51">
        <v>46300</v>
      </c>
      <c r="AT605" s="5" t="s">
        <v>2760</v>
      </c>
      <c r="AU605" s="6" t="s">
        <v>95</v>
      </c>
      <c r="AV605" s="6" t="s">
        <v>3968</v>
      </c>
      <c r="AW605" s="6" t="s">
        <v>3968</v>
      </c>
      <c r="AX605" s="6" t="s">
        <v>2284</v>
      </c>
      <c r="AY605" s="6" t="s">
        <v>2285</v>
      </c>
      <c r="AZ605" s="6"/>
      <c r="BA605" s="6" t="s">
        <v>7306</v>
      </c>
      <c r="BB605" s="6"/>
      <c r="BC605" s="6" t="s">
        <v>127</v>
      </c>
      <c r="BD605" s="6" t="s">
        <v>127</v>
      </c>
      <c r="BE605" s="6" t="s">
        <v>1477</v>
      </c>
      <c r="BF605" s="6" t="s">
        <v>95</v>
      </c>
      <c r="BG605" s="6" t="s">
        <v>7307</v>
      </c>
      <c r="BH605" s="6" t="s">
        <v>341</v>
      </c>
    </row>
    <row r="606" spans="1:60" ht="32" customHeight="1" x14ac:dyDescent="0.35">
      <c r="A606" s="13" t="s">
        <v>7308</v>
      </c>
      <c r="B606" s="6" t="s">
        <v>7278</v>
      </c>
      <c r="C606" s="5" t="s">
        <v>7279</v>
      </c>
      <c r="D606" s="5" t="s">
        <v>2183</v>
      </c>
      <c r="E606" s="5" t="s">
        <v>7309</v>
      </c>
      <c r="F606" s="5" t="s">
        <v>4062</v>
      </c>
      <c r="G606" s="5" t="s">
        <v>7139</v>
      </c>
      <c r="H606" s="5" t="s">
        <v>7310</v>
      </c>
      <c r="I606" s="5" t="s">
        <v>7311</v>
      </c>
      <c r="J606" s="16" t="s">
        <v>94</v>
      </c>
      <c r="K606" s="17" t="s">
        <v>1477</v>
      </c>
      <c r="L606" s="5" t="s">
        <v>7312</v>
      </c>
      <c r="M606" s="6" t="s">
        <v>1494</v>
      </c>
      <c r="N606" s="6" t="s">
        <v>2171</v>
      </c>
      <c r="O606" s="6" t="s">
        <v>94</v>
      </c>
      <c r="P606" s="5" t="s">
        <v>2272</v>
      </c>
      <c r="Q606" s="17" t="s">
        <v>2273</v>
      </c>
      <c r="R606" s="5" t="s">
        <v>7313</v>
      </c>
      <c r="S606" s="6" t="s">
        <v>2438</v>
      </c>
      <c r="T606" s="5" t="s">
        <v>2439</v>
      </c>
      <c r="U606" s="6"/>
      <c r="V606" s="6" t="s">
        <v>2440</v>
      </c>
      <c r="W606" s="6" t="s">
        <v>1699</v>
      </c>
      <c r="X606" s="5" t="s">
        <v>228</v>
      </c>
      <c r="Y606" s="5" t="s">
        <v>7134</v>
      </c>
      <c r="Z606" s="5" t="str">
        <f t="shared" si="18"/>
        <v>Critical</v>
      </c>
      <c r="AA606" s="5" t="s">
        <v>1302</v>
      </c>
      <c r="AB606" s="6" t="s">
        <v>1302</v>
      </c>
      <c r="AC606" s="6" t="s">
        <v>99</v>
      </c>
      <c r="AD606" s="5" t="s">
        <v>2278</v>
      </c>
      <c r="AE606" s="5" t="s">
        <v>1720</v>
      </c>
      <c r="AF606" s="5" t="s">
        <v>1720</v>
      </c>
      <c r="AG606" s="5" t="s">
        <v>1720</v>
      </c>
      <c r="AH606" s="5" t="s">
        <v>1720</v>
      </c>
      <c r="AI606" s="6" t="str">
        <f t="shared" si="19"/>
        <v>No</v>
      </c>
      <c r="AJ606" s="6" t="s">
        <v>2298</v>
      </c>
      <c r="AK606" s="6" t="s">
        <v>94</v>
      </c>
      <c r="AL606" s="6">
        <f>MATCH(AA606,{"Low","Medium","High"},0)*MATCH(AB606,{"Low","Medium","High"},0)*INDEX({3,2,2,1,1},MATCH(X606,{"Core","Vertical extension","Differentiator","Future","Adjacent"},0))</f>
        <v>27</v>
      </c>
      <c r="AM606" s="5"/>
      <c r="AN606" s="5"/>
      <c r="AO606" s="5"/>
      <c r="AP606" s="5"/>
      <c r="AQ606" s="5"/>
      <c r="AR606" s="5" t="s">
        <v>7314</v>
      </c>
      <c r="AS606" s="5" t="s">
        <v>1462</v>
      </c>
      <c r="AT606" s="5" t="s">
        <v>2281</v>
      </c>
      <c r="AU606" s="6" t="s">
        <v>95</v>
      </c>
      <c r="AV606" s="6" t="s">
        <v>3968</v>
      </c>
      <c r="AW606" s="6" t="s">
        <v>3968</v>
      </c>
      <c r="AX606" s="6" t="s">
        <v>2284</v>
      </c>
      <c r="AY606" s="6" t="s">
        <v>2285</v>
      </c>
      <c r="AZ606" s="6"/>
      <c r="BA606" s="6"/>
      <c r="BB606" s="6"/>
      <c r="BC606" s="6" t="s">
        <v>127</v>
      </c>
      <c r="BD606" s="6" t="s">
        <v>127</v>
      </c>
      <c r="BE606" s="6" t="s">
        <v>1477</v>
      </c>
      <c r="BF606" s="6" t="s">
        <v>2286</v>
      </c>
      <c r="BG606" s="6" t="s">
        <v>7315</v>
      </c>
      <c r="BH606" s="6" t="s">
        <v>7316</v>
      </c>
    </row>
    <row r="607" spans="1:60" ht="32" customHeight="1" x14ac:dyDescent="0.35">
      <c r="A607" s="13" t="s">
        <v>344</v>
      </c>
      <c r="B607" s="6" t="s">
        <v>7278</v>
      </c>
      <c r="C607" s="5" t="s">
        <v>7279</v>
      </c>
      <c r="D607" s="5" t="s">
        <v>2183</v>
      </c>
      <c r="E607" s="5" t="s">
        <v>345</v>
      </c>
      <c r="F607" s="5" t="s">
        <v>7317</v>
      </c>
      <c r="G607" s="5" t="s">
        <v>2788</v>
      </c>
      <c r="H607" s="5" t="s">
        <v>7318</v>
      </c>
      <c r="I607" s="5" t="s">
        <v>7319</v>
      </c>
      <c r="J607" s="16" t="s">
        <v>94</v>
      </c>
      <c r="K607" s="17" t="s">
        <v>163</v>
      </c>
      <c r="L607" s="5" t="s">
        <v>7320</v>
      </c>
      <c r="M607" s="6" t="s">
        <v>1494</v>
      </c>
      <c r="N607" s="6" t="s">
        <v>2171</v>
      </c>
      <c r="O607" s="6" t="s">
        <v>94</v>
      </c>
      <c r="P607" s="5" t="s">
        <v>2272</v>
      </c>
      <c r="Q607" s="17" t="s">
        <v>163</v>
      </c>
      <c r="R607" s="5" t="s">
        <v>7321</v>
      </c>
      <c r="S607" s="6" t="s">
        <v>2438</v>
      </c>
      <c r="T607" s="5" t="s">
        <v>2439</v>
      </c>
      <c r="U607" s="6"/>
      <c r="V607" s="6" t="s">
        <v>2440</v>
      </c>
      <c r="W607" s="6" t="s">
        <v>1699</v>
      </c>
      <c r="X607" s="5" t="s">
        <v>228</v>
      </c>
      <c r="Y607" s="5" t="s">
        <v>7134</v>
      </c>
      <c r="Z607" s="5" t="str">
        <f t="shared" si="18"/>
        <v>Critical</v>
      </c>
      <c r="AA607" s="5" t="s">
        <v>1302</v>
      </c>
      <c r="AB607" s="6" t="s">
        <v>1302</v>
      </c>
      <c r="AC607" s="6" t="s">
        <v>99</v>
      </c>
      <c r="AD607" s="5" t="s">
        <v>1805</v>
      </c>
      <c r="AE607" s="5" t="s">
        <v>1720</v>
      </c>
      <c r="AF607" s="5" t="s">
        <v>1720</v>
      </c>
      <c r="AG607" s="5" t="s">
        <v>1720</v>
      </c>
      <c r="AH607" s="5" t="s">
        <v>1720</v>
      </c>
      <c r="AI607" s="6" t="str">
        <f t="shared" si="19"/>
        <v>No</v>
      </c>
      <c r="AJ607" s="6" t="s">
        <v>229</v>
      </c>
      <c r="AK607" s="6" t="s">
        <v>94</v>
      </c>
      <c r="AL607" s="6">
        <f>MATCH(AA607,{"Low","Medium","High"},0)*MATCH(AB607,{"Low","Medium","High"},0)*INDEX({3,2,2,1,1},MATCH(X607,{"Core","Vertical extension","Differentiator","Future","Adjacent"},0))</f>
        <v>27</v>
      </c>
      <c r="AM607" s="5"/>
      <c r="AN607" s="5"/>
      <c r="AO607" s="5">
        <v>3</v>
      </c>
      <c r="AP607" s="5"/>
      <c r="AQ607" s="5"/>
      <c r="AR607" s="5" t="s">
        <v>7322</v>
      </c>
      <c r="AS607" s="51">
        <v>46300</v>
      </c>
      <c r="AT607" s="5" t="s">
        <v>2760</v>
      </c>
      <c r="AU607" s="6" t="s">
        <v>95</v>
      </c>
      <c r="AV607" s="6" t="s">
        <v>3968</v>
      </c>
      <c r="AW607" s="6" t="s">
        <v>3968</v>
      </c>
      <c r="AX607" s="6" t="s">
        <v>2284</v>
      </c>
      <c r="AY607" s="6" t="s">
        <v>2285</v>
      </c>
      <c r="AZ607" s="6"/>
      <c r="BA607" s="6" t="s">
        <v>7323</v>
      </c>
      <c r="BB607" s="6"/>
      <c r="BC607" s="6" t="s">
        <v>127</v>
      </c>
      <c r="BD607" s="6" t="s">
        <v>127</v>
      </c>
      <c r="BE607" s="6" t="s">
        <v>1477</v>
      </c>
      <c r="BF607" s="6" t="s">
        <v>288</v>
      </c>
      <c r="BG607" s="6" t="s">
        <v>7324</v>
      </c>
      <c r="BH607" s="6" t="s">
        <v>346</v>
      </c>
    </row>
    <row r="608" spans="1:60" ht="32" customHeight="1" x14ac:dyDescent="0.35">
      <c r="A608" s="13" t="s">
        <v>349</v>
      </c>
      <c r="B608" s="6" t="s">
        <v>7278</v>
      </c>
      <c r="C608" s="5" t="s">
        <v>7279</v>
      </c>
      <c r="D608" s="5" t="s">
        <v>2183</v>
      </c>
      <c r="E608" s="5" t="s">
        <v>350</v>
      </c>
      <c r="F608" s="5" t="s">
        <v>7325</v>
      </c>
      <c r="G608" s="5" t="s">
        <v>2973</v>
      </c>
      <c r="H608" s="5" t="s">
        <v>7326</v>
      </c>
      <c r="I608" s="5" t="s">
        <v>7327</v>
      </c>
      <c r="J608" s="16" t="s">
        <v>94</v>
      </c>
      <c r="K608" s="17" t="s">
        <v>95</v>
      </c>
      <c r="L608" s="5" t="s">
        <v>7328</v>
      </c>
      <c r="M608" s="6" t="s">
        <v>1494</v>
      </c>
      <c r="N608" s="6" t="s">
        <v>2171</v>
      </c>
      <c r="O608" s="6" t="s">
        <v>162</v>
      </c>
      <c r="P608" s="5" t="s">
        <v>7107</v>
      </c>
      <c r="Q608" s="17" t="s">
        <v>163</v>
      </c>
      <c r="R608" s="5" t="s">
        <v>7329</v>
      </c>
      <c r="S608" s="6" t="s">
        <v>2438</v>
      </c>
      <c r="T608" s="5" t="s">
        <v>2439</v>
      </c>
      <c r="U608" s="6"/>
      <c r="V608" s="6" t="s">
        <v>2440</v>
      </c>
      <c r="W608" s="6" t="s">
        <v>1699</v>
      </c>
      <c r="X608" s="5" t="s">
        <v>228</v>
      </c>
      <c r="Y608" s="5" t="s">
        <v>7134</v>
      </c>
      <c r="Z608" s="5" t="str">
        <f t="shared" si="18"/>
        <v>Critical</v>
      </c>
      <c r="AA608" s="5" t="s">
        <v>1302</v>
      </c>
      <c r="AB608" s="6" t="s">
        <v>1302</v>
      </c>
      <c r="AC608" s="6" t="s">
        <v>99</v>
      </c>
      <c r="AD608" s="5" t="s">
        <v>1805</v>
      </c>
      <c r="AE608" s="5" t="s">
        <v>1720</v>
      </c>
      <c r="AF608" s="5" t="s">
        <v>1720</v>
      </c>
      <c r="AG608" s="5" t="s">
        <v>1720</v>
      </c>
      <c r="AH608" s="5" t="s">
        <v>1720</v>
      </c>
      <c r="AI608" s="6" t="str">
        <f t="shared" si="19"/>
        <v>No</v>
      </c>
      <c r="AJ608" s="6" t="s">
        <v>229</v>
      </c>
      <c r="AK608" s="6" t="s">
        <v>94</v>
      </c>
      <c r="AL608" s="6">
        <f>MATCH(AA608,{"Low","Medium","High"},0)*MATCH(AB608,{"Low","Medium","High"},0)*INDEX({3,2,2,1,1},MATCH(X608,{"Core","Vertical extension","Differentiator","Future","Adjacent"},0))</f>
        <v>27</v>
      </c>
      <c r="AM608" s="5"/>
      <c r="AN608" s="5"/>
      <c r="AO608" s="5">
        <v>3</v>
      </c>
      <c r="AP608" s="5"/>
      <c r="AQ608" s="5"/>
      <c r="AR608" s="5" t="s">
        <v>7330</v>
      </c>
      <c r="AS608" s="51">
        <v>46300</v>
      </c>
      <c r="AT608" s="5" t="s">
        <v>2760</v>
      </c>
      <c r="AU608" s="6" t="s">
        <v>95</v>
      </c>
      <c r="AV608" s="6" t="s">
        <v>3968</v>
      </c>
      <c r="AW608" s="6" t="s">
        <v>3968</v>
      </c>
      <c r="AX608" s="6" t="s">
        <v>7001</v>
      </c>
      <c r="AY608" s="6" t="s">
        <v>2285</v>
      </c>
      <c r="AZ608" s="6"/>
      <c r="BA608" s="6" t="s">
        <v>7331</v>
      </c>
      <c r="BB608" s="6"/>
      <c r="BC608" s="6" t="s">
        <v>127</v>
      </c>
      <c r="BD608" s="6" t="s">
        <v>127</v>
      </c>
      <c r="BE608" s="6" t="s">
        <v>1477</v>
      </c>
      <c r="BF608" s="6" t="s">
        <v>288</v>
      </c>
      <c r="BG608" s="6" t="s">
        <v>7332</v>
      </c>
      <c r="BH608" s="6" t="s">
        <v>351</v>
      </c>
    </row>
    <row r="609" spans="1:60" ht="32" customHeight="1" x14ac:dyDescent="0.35">
      <c r="A609" s="13" t="s">
        <v>7333</v>
      </c>
      <c r="B609" s="6" t="s">
        <v>7278</v>
      </c>
      <c r="C609" s="5" t="s">
        <v>7279</v>
      </c>
      <c r="D609" s="5" t="s">
        <v>2183</v>
      </c>
      <c r="E609" s="5" t="s">
        <v>7334</v>
      </c>
      <c r="F609" s="5" t="s">
        <v>7335</v>
      </c>
      <c r="G609" s="5" t="s">
        <v>2629</v>
      </c>
      <c r="H609" s="5" t="s">
        <v>7336</v>
      </c>
      <c r="I609" s="5" t="s">
        <v>7337</v>
      </c>
      <c r="J609" s="16" t="s">
        <v>94</v>
      </c>
      <c r="K609" s="17" t="s">
        <v>1477</v>
      </c>
      <c r="L609" s="5" t="s">
        <v>7338</v>
      </c>
      <c r="M609" s="6" t="s">
        <v>1494</v>
      </c>
      <c r="N609" s="6" t="s">
        <v>2171</v>
      </c>
      <c r="O609" s="6" t="s">
        <v>94</v>
      </c>
      <c r="P609" s="5" t="s">
        <v>2272</v>
      </c>
      <c r="Q609" s="18" t="s">
        <v>1482</v>
      </c>
      <c r="R609" s="5" t="s">
        <v>7339</v>
      </c>
      <c r="S609" s="6" t="s">
        <v>2438</v>
      </c>
      <c r="T609" s="5" t="s">
        <v>2439</v>
      </c>
      <c r="U609" s="6"/>
      <c r="V609" s="6" t="s">
        <v>2440</v>
      </c>
      <c r="W609" s="6" t="s">
        <v>1699</v>
      </c>
      <c r="X609" s="5" t="s">
        <v>228</v>
      </c>
      <c r="Y609" s="5" t="s">
        <v>7134</v>
      </c>
      <c r="Z609" s="5" t="str">
        <f t="shared" si="18"/>
        <v>Critical</v>
      </c>
      <c r="AA609" s="5" t="s">
        <v>1302</v>
      </c>
      <c r="AB609" s="6" t="s">
        <v>1302</v>
      </c>
      <c r="AC609" s="6" t="s">
        <v>99</v>
      </c>
      <c r="AD609" s="5" t="s">
        <v>2278</v>
      </c>
      <c r="AE609" s="5" t="s">
        <v>1720</v>
      </c>
      <c r="AF609" s="5" t="s">
        <v>1720</v>
      </c>
      <c r="AG609" s="5" t="s">
        <v>1720</v>
      </c>
      <c r="AH609" s="5" t="s">
        <v>1720</v>
      </c>
      <c r="AI609" s="6" t="str">
        <f t="shared" si="19"/>
        <v>No</v>
      </c>
      <c r="AJ609" s="6" t="s">
        <v>2279</v>
      </c>
      <c r="AK609" s="6" t="s">
        <v>94</v>
      </c>
      <c r="AL609" s="6">
        <f>MATCH(AA609,{"Low","Medium","High"},0)*MATCH(AB609,{"Low","Medium","High"},0)*INDEX({3,2,2,1,1},MATCH(X609,{"Core","Vertical extension","Differentiator","Future","Adjacent"},0))</f>
        <v>27</v>
      </c>
      <c r="AM609" s="5"/>
      <c r="AN609" s="5"/>
      <c r="AO609" s="5"/>
      <c r="AP609" s="5"/>
      <c r="AQ609" s="5"/>
      <c r="AR609" s="5" t="s">
        <v>2733</v>
      </c>
      <c r="AS609" s="5" t="s">
        <v>1462</v>
      </c>
      <c r="AT609" s="5" t="s">
        <v>2281</v>
      </c>
      <c r="AU609" s="6" t="s">
        <v>2282</v>
      </c>
      <c r="AV609" s="6" t="s">
        <v>3968</v>
      </c>
      <c r="AW609" s="6" t="s">
        <v>3968</v>
      </c>
      <c r="AX609" s="6" t="s">
        <v>2284</v>
      </c>
      <c r="AY609" s="6" t="s">
        <v>2285</v>
      </c>
      <c r="AZ609" s="6"/>
      <c r="BA609" s="6" t="s">
        <v>7340</v>
      </c>
      <c r="BB609" s="6" t="s">
        <v>7341</v>
      </c>
      <c r="BC609" s="6" t="s">
        <v>127</v>
      </c>
      <c r="BD609" s="6" t="s">
        <v>127</v>
      </c>
      <c r="BE609" s="6"/>
      <c r="BF609" s="6"/>
      <c r="BG609" s="6"/>
      <c r="BH609" s="6"/>
    </row>
    <row r="610" spans="1:60" ht="32" customHeight="1" x14ac:dyDescent="0.35">
      <c r="A610" s="13" t="s">
        <v>354</v>
      </c>
      <c r="B610" s="6" t="s">
        <v>7278</v>
      </c>
      <c r="C610" s="5" t="s">
        <v>7279</v>
      </c>
      <c r="D610" s="5" t="s">
        <v>2183</v>
      </c>
      <c r="E610" s="5" t="s">
        <v>355</v>
      </c>
      <c r="F610" s="5" t="s">
        <v>7342</v>
      </c>
      <c r="G610" s="5" t="s">
        <v>2644</v>
      </c>
      <c r="H610" s="5" t="s">
        <v>7343</v>
      </c>
      <c r="I610" s="5" t="s">
        <v>7344</v>
      </c>
      <c r="J610" s="16" t="s">
        <v>94</v>
      </c>
      <c r="K610" s="17" t="s">
        <v>95</v>
      </c>
      <c r="L610" s="5" t="s">
        <v>7345</v>
      </c>
      <c r="M610" s="6" t="s">
        <v>1494</v>
      </c>
      <c r="N610" s="6" t="s">
        <v>2171</v>
      </c>
      <c r="O610" s="6" t="s">
        <v>94</v>
      </c>
      <c r="P610" s="5" t="s">
        <v>2272</v>
      </c>
      <c r="Q610" s="17" t="s">
        <v>163</v>
      </c>
      <c r="R610" s="5" t="s">
        <v>7346</v>
      </c>
      <c r="S610" s="6" t="s">
        <v>2438</v>
      </c>
      <c r="T610" s="5" t="s">
        <v>2439</v>
      </c>
      <c r="U610" s="6"/>
      <c r="V610" s="6" t="s">
        <v>2440</v>
      </c>
      <c r="W610" s="6" t="s">
        <v>1699</v>
      </c>
      <c r="X610" s="5" t="s">
        <v>228</v>
      </c>
      <c r="Y610" s="5" t="s">
        <v>7134</v>
      </c>
      <c r="Z610" s="5" t="str">
        <f t="shared" si="18"/>
        <v>Critical</v>
      </c>
      <c r="AA610" s="5" t="s">
        <v>1302</v>
      </c>
      <c r="AB610" s="6" t="s">
        <v>1302</v>
      </c>
      <c r="AC610" s="6" t="s">
        <v>99</v>
      </c>
      <c r="AD610" s="5" t="s">
        <v>1805</v>
      </c>
      <c r="AE610" s="5" t="s">
        <v>1720</v>
      </c>
      <c r="AF610" s="5" t="s">
        <v>1720</v>
      </c>
      <c r="AG610" s="5" t="s">
        <v>1720</v>
      </c>
      <c r="AH610" s="5" t="s">
        <v>1720</v>
      </c>
      <c r="AI610" s="6" t="str">
        <f t="shared" si="19"/>
        <v>No</v>
      </c>
      <c r="AJ610" s="6" t="s">
        <v>2279</v>
      </c>
      <c r="AK610" s="6" t="s">
        <v>94</v>
      </c>
      <c r="AL610" s="6">
        <f>MATCH(AA610,{"Low","Medium","High"},0)*MATCH(AB610,{"Low","Medium","High"},0)*INDEX({3,2,2,1,1},MATCH(X610,{"Core","Vertical extension","Differentiator","Future","Adjacent"},0))</f>
        <v>27</v>
      </c>
      <c r="AM610" s="5"/>
      <c r="AN610" s="5"/>
      <c r="AO610" s="5">
        <v>5</v>
      </c>
      <c r="AP610" s="5"/>
      <c r="AQ610" s="5"/>
      <c r="AR610" s="5" t="s">
        <v>7347</v>
      </c>
      <c r="AS610" s="51">
        <v>46300</v>
      </c>
      <c r="AT610" s="5" t="s">
        <v>2760</v>
      </c>
      <c r="AU610" s="6" t="s">
        <v>2282</v>
      </c>
      <c r="AV610" s="6" t="s">
        <v>2636</v>
      </c>
      <c r="AW610" s="6" t="s">
        <v>2636</v>
      </c>
      <c r="AX610" s="6" t="s">
        <v>2284</v>
      </c>
      <c r="AY610" s="6" t="s">
        <v>2285</v>
      </c>
      <c r="AZ610" s="6"/>
      <c r="BA610" s="6" t="s">
        <v>7348</v>
      </c>
      <c r="BB610" s="6"/>
      <c r="BC610" s="6" t="s">
        <v>127</v>
      </c>
      <c r="BD610" s="6" t="s">
        <v>127</v>
      </c>
      <c r="BE610" s="6" t="s">
        <v>1477</v>
      </c>
      <c r="BF610" s="6" t="s">
        <v>288</v>
      </c>
      <c r="BG610" s="6" t="s">
        <v>7349</v>
      </c>
      <c r="BH610" s="6" t="s">
        <v>356</v>
      </c>
    </row>
    <row r="611" spans="1:60" ht="32" customHeight="1" x14ac:dyDescent="0.35">
      <c r="A611" s="13" t="s">
        <v>7350</v>
      </c>
      <c r="B611" s="6" t="s">
        <v>7278</v>
      </c>
      <c r="C611" s="5" t="s">
        <v>7279</v>
      </c>
      <c r="D611" s="5" t="s">
        <v>2183</v>
      </c>
      <c r="E611" s="5" t="s">
        <v>7351</v>
      </c>
      <c r="F611" s="5" t="s">
        <v>7335</v>
      </c>
      <c r="G611" s="5" t="s">
        <v>7352</v>
      </c>
      <c r="H611" s="5" t="s">
        <v>7353</v>
      </c>
      <c r="I611" s="5" t="s">
        <v>7354</v>
      </c>
      <c r="J611" s="16" t="s">
        <v>94</v>
      </c>
      <c r="K611" s="17" t="s">
        <v>1477</v>
      </c>
      <c r="L611" s="5" t="s">
        <v>7355</v>
      </c>
      <c r="M611" s="6" t="s">
        <v>1494</v>
      </c>
      <c r="N611" s="6" t="s">
        <v>2171</v>
      </c>
      <c r="O611" s="6" t="s">
        <v>94</v>
      </c>
      <c r="P611" s="5" t="s">
        <v>2272</v>
      </c>
      <c r="Q611" s="18" t="s">
        <v>1482</v>
      </c>
      <c r="R611" s="5" t="s">
        <v>7339</v>
      </c>
      <c r="S611" s="6" t="s">
        <v>2438</v>
      </c>
      <c r="T611" s="5" t="s">
        <v>2439</v>
      </c>
      <c r="U611" s="6"/>
      <c r="V611" s="6" t="s">
        <v>2440</v>
      </c>
      <c r="W611" s="6" t="s">
        <v>1699</v>
      </c>
      <c r="X611" s="5" t="s">
        <v>228</v>
      </c>
      <c r="Y611" s="5" t="s">
        <v>7134</v>
      </c>
      <c r="Z611" s="5" t="str">
        <f t="shared" si="18"/>
        <v>Critical</v>
      </c>
      <c r="AA611" s="5" t="s">
        <v>1302</v>
      </c>
      <c r="AB611" s="6" t="s">
        <v>1302</v>
      </c>
      <c r="AC611" s="6" t="s">
        <v>99</v>
      </c>
      <c r="AD611" s="5" t="s">
        <v>2278</v>
      </c>
      <c r="AE611" s="5" t="s">
        <v>1720</v>
      </c>
      <c r="AF611" s="5" t="s">
        <v>1720</v>
      </c>
      <c r="AG611" s="5" t="s">
        <v>1720</v>
      </c>
      <c r="AH611" s="5" t="s">
        <v>1720</v>
      </c>
      <c r="AI611" s="6" t="str">
        <f t="shared" si="19"/>
        <v>No</v>
      </c>
      <c r="AJ611" s="6" t="s">
        <v>2298</v>
      </c>
      <c r="AK611" s="6" t="s">
        <v>94</v>
      </c>
      <c r="AL611" s="6">
        <f>MATCH(AA611,{"Low","Medium","High"},0)*MATCH(AB611,{"Low","Medium","High"},0)*INDEX({3,2,2,1,1},MATCH(X611,{"Core","Vertical extension","Differentiator","Future","Adjacent"},0))</f>
        <v>27</v>
      </c>
      <c r="AM611" s="5"/>
      <c r="AN611" s="5"/>
      <c r="AO611" s="5"/>
      <c r="AP611" s="5"/>
      <c r="AQ611" s="5"/>
      <c r="AR611" s="5"/>
      <c r="AS611" s="5"/>
      <c r="AT611" s="5"/>
      <c r="AU611" s="6" t="s">
        <v>2317</v>
      </c>
      <c r="AV611" s="6" t="s">
        <v>3968</v>
      </c>
      <c r="AW611" s="6" t="s">
        <v>3968</v>
      </c>
      <c r="AX611" s="6" t="s">
        <v>2284</v>
      </c>
      <c r="AY611" s="6" t="s">
        <v>2285</v>
      </c>
      <c r="AZ611" s="6"/>
      <c r="BA611" s="6" t="s">
        <v>7340</v>
      </c>
      <c r="BB611" s="6" t="s">
        <v>7341</v>
      </c>
      <c r="BC611" s="6" t="s">
        <v>127</v>
      </c>
      <c r="BD611" s="6" t="s">
        <v>127</v>
      </c>
      <c r="BE611" s="6"/>
      <c r="BF611" s="6"/>
      <c r="BG611" s="6"/>
      <c r="BH611" s="6"/>
    </row>
    <row r="612" spans="1:60" ht="32" customHeight="1" x14ac:dyDescent="0.35">
      <c r="A612" s="13" t="s">
        <v>7356</v>
      </c>
      <c r="B612" s="6" t="s">
        <v>7278</v>
      </c>
      <c r="C612" s="5" t="s">
        <v>7279</v>
      </c>
      <c r="D612" s="5" t="s">
        <v>2183</v>
      </c>
      <c r="E612" s="5" t="s">
        <v>7357</v>
      </c>
      <c r="F612" s="5" t="s">
        <v>7335</v>
      </c>
      <c r="G612" s="5" t="s">
        <v>6373</v>
      </c>
      <c r="H612" s="5" t="s">
        <v>7358</v>
      </c>
      <c r="I612" s="5" t="s">
        <v>7359</v>
      </c>
      <c r="J612" s="17" t="s">
        <v>162</v>
      </c>
      <c r="K612" s="17" t="s">
        <v>163</v>
      </c>
      <c r="L612" s="5" t="s">
        <v>7360</v>
      </c>
      <c r="M612" s="6" t="s">
        <v>1494</v>
      </c>
      <c r="N612" s="6" t="s">
        <v>2171</v>
      </c>
      <c r="O612" s="6" t="s">
        <v>162</v>
      </c>
      <c r="P612" s="5" t="s">
        <v>2272</v>
      </c>
      <c r="Q612" s="17" t="s">
        <v>163</v>
      </c>
      <c r="R612" s="5" t="s">
        <v>7361</v>
      </c>
      <c r="S612" s="6" t="s">
        <v>2438</v>
      </c>
      <c r="T612" s="5" t="s">
        <v>2439</v>
      </c>
      <c r="U612" s="6"/>
      <c r="V612" s="6" t="s">
        <v>2440</v>
      </c>
      <c r="W612" s="6" t="s">
        <v>1699</v>
      </c>
      <c r="X612" s="5" t="s">
        <v>228</v>
      </c>
      <c r="Y612" s="5" t="s">
        <v>7134</v>
      </c>
      <c r="Z612" s="5" t="str">
        <f t="shared" si="18"/>
        <v>Critical</v>
      </c>
      <c r="AA612" s="5" t="s">
        <v>1302</v>
      </c>
      <c r="AB612" s="6" t="s">
        <v>1302</v>
      </c>
      <c r="AC612" s="6" t="s">
        <v>135</v>
      </c>
      <c r="AD612" s="5" t="s">
        <v>1805</v>
      </c>
      <c r="AE612" s="5" t="s">
        <v>1720</v>
      </c>
      <c r="AF612" s="5" t="s">
        <v>1720</v>
      </c>
      <c r="AG612" s="5" t="s">
        <v>1720</v>
      </c>
      <c r="AH612" s="5" t="s">
        <v>1720</v>
      </c>
      <c r="AI612" s="6" t="str">
        <f t="shared" si="19"/>
        <v>No</v>
      </c>
      <c r="AJ612" s="6" t="s">
        <v>287</v>
      </c>
      <c r="AK612" s="6" t="s">
        <v>162</v>
      </c>
      <c r="AL612" s="6">
        <f>MATCH(AA612,{"Low","Medium","High"},0)*MATCH(AB612,{"Low","Medium","High"},0)*INDEX({3,2,2,1,1},MATCH(X612,{"Core","Vertical extension","Differentiator","Future","Adjacent"},0))</f>
        <v>27</v>
      </c>
      <c r="AM612" s="5"/>
      <c r="AN612" s="5"/>
      <c r="AO612" s="5"/>
      <c r="AP612" s="5"/>
      <c r="AQ612" s="5"/>
      <c r="AR612" s="5"/>
      <c r="AS612" s="5"/>
      <c r="AT612" s="5"/>
      <c r="AU612" s="6" t="s">
        <v>2317</v>
      </c>
      <c r="AV612" s="6" t="s">
        <v>3968</v>
      </c>
      <c r="AW612" s="6" t="s">
        <v>3968</v>
      </c>
      <c r="AX612" s="6" t="s">
        <v>2284</v>
      </c>
      <c r="AY612" s="6" t="s">
        <v>2285</v>
      </c>
      <c r="AZ612" s="6"/>
      <c r="BA612" s="6"/>
      <c r="BB612" s="6"/>
      <c r="BC612" s="6" t="s">
        <v>127</v>
      </c>
      <c r="BD612" s="6" t="s">
        <v>127</v>
      </c>
      <c r="BE612" s="6" t="s">
        <v>1477</v>
      </c>
      <c r="BF612" s="6" t="s">
        <v>288</v>
      </c>
      <c r="BG612" s="6" t="s">
        <v>7362</v>
      </c>
      <c r="BH612" s="6" t="s">
        <v>7363</v>
      </c>
    </row>
    <row r="613" spans="1:60" ht="32" customHeight="1" x14ac:dyDescent="0.35">
      <c r="A613" s="13" t="s">
        <v>7364</v>
      </c>
      <c r="B613" s="6" t="s">
        <v>7278</v>
      </c>
      <c r="C613" s="5" t="s">
        <v>7279</v>
      </c>
      <c r="D613" s="5" t="s">
        <v>2183</v>
      </c>
      <c r="E613" s="5" t="s">
        <v>7365</v>
      </c>
      <c r="F613" s="5" t="s">
        <v>2973</v>
      </c>
      <c r="G613" s="5" t="s">
        <v>7366</v>
      </c>
      <c r="H613" s="5" t="s">
        <v>7367</v>
      </c>
      <c r="I613" s="5" t="s">
        <v>7368</v>
      </c>
      <c r="J613" s="17" t="s">
        <v>162</v>
      </c>
      <c r="K613" s="17" t="s">
        <v>95</v>
      </c>
      <c r="L613" s="5" t="s">
        <v>7369</v>
      </c>
      <c r="M613" s="6" t="s">
        <v>1494</v>
      </c>
      <c r="N613" s="6" t="s">
        <v>2171</v>
      </c>
      <c r="O613" s="6" t="s">
        <v>162</v>
      </c>
      <c r="P613" s="5" t="s">
        <v>2272</v>
      </c>
      <c r="Q613" s="17" t="s">
        <v>95</v>
      </c>
      <c r="R613" s="5" t="s">
        <v>7370</v>
      </c>
      <c r="S613" s="6" t="s">
        <v>2438</v>
      </c>
      <c r="T613" s="5" t="s">
        <v>2439</v>
      </c>
      <c r="U613" s="6"/>
      <c r="V613" s="6" t="s">
        <v>2440</v>
      </c>
      <c r="W613" s="6" t="s">
        <v>1699</v>
      </c>
      <c r="X613" s="5" t="s">
        <v>228</v>
      </c>
      <c r="Y613" s="5" t="s">
        <v>7134</v>
      </c>
      <c r="Z613" s="5" t="str">
        <f t="shared" si="18"/>
        <v>Critical</v>
      </c>
      <c r="AA613" s="5" t="s">
        <v>1302</v>
      </c>
      <c r="AB613" s="6" t="s">
        <v>1302</v>
      </c>
      <c r="AC613" s="6" t="s">
        <v>135</v>
      </c>
      <c r="AD613" s="5" t="s">
        <v>95</v>
      </c>
      <c r="AE613" s="5" t="s">
        <v>1720</v>
      </c>
      <c r="AF613" s="5" t="s">
        <v>1720</v>
      </c>
      <c r="AG613" s="5" t="s">
        <v>1720</v>
      </c>
      <c r="AH613" s="5" t="s">
        <v>1720</v>
      </c>
      <c r="AI613" s="6" t="str">
        <f t="shared" si="19"/>
        <v>No</v>
      </c>
      <c r="AJ613" s="6" t="s">
        <v>229</v>
      </c>
      <c r="AK613" s="6" t="s">
        <v>162</v>
      </c>
      <c r="AL613" s="6">
        <f>MATCH(AA613,{"Low","Medium","High"},0)*MATCH(AB613,{"Low","Medium","High"},0)*INDEX({3,2,2,1,1},MATCH(X613,{"Core","Vertical extension","Differentiator","Future","Adjacent"},0))</f>
        <v>27</v>
      </c>
      <c r="AM613" s="5"/>
      <c r="AN613" s="5"/>
      <c r="AO613" s="5"/>
      <c r="AP613" s="5"/>
      <c r="AQ613" s="5"/>
      <c r="AR613" s="5"/>
      <c r="AS613" s="5"/>
      <c r="AT613" s="5"/>
      <c r="AU613" s="6" t="s">
        <v>2317</v>
      </c>
      <c r="AV613" s="6" t="s">
        <v>76</v>
      </c>
      <c r="AW613" s="6" t="s">
        <v>76</v>
      </c>
      <c r="AX613" s="6" t="s">
        <v>2284</v>
      </c>
      <c r="AY613" s="6" t="s">
        <v>2285</v>
      </c>
      <c r="AZ613" s="6"/>
      <c r="BA613" s="6"/>
      <c r="BB613" s="6"/>
      <c r="BC613" s="6" t="s">
        <v>127</v>
      </c>
      <c r="BD613" s="6" t="s">
        <v>127</v>
      </c>
      <c r="BE613" s="6" t="s">
        <v>1477</v>
      </c>
      <c r="BF613" s="6" t="s">
        <v>95</v>
      </c>
      <c r="BG613" s="6" t="s">
        <v>7371</v>
      </c>
      <c r="BH613" s="6" t="s">
        <v>7372</v>
      </c>
    </row>
    <row r="614" spans="1:60" ht="32" customHeight="1" x14ac:dyDescent="0.35">
      <c r="A614" s="13" t="s">
        <v>7373</v>
      </c>
      <c r="B614" s="6" t="s">
        <v>7278</v>
      </c>
      <c r="C614" s="5" t="s">
        <v>7279</v>
      </c>
      <c r="D614" s="5" t="s">
        <v>2183</v>
      </c>
      <c r="E614" s="5" t="s">
        <v>7374</v>
      </c>
      <c r="F614" s="5" t="s">
        <v>2973</v>
      </c>
      <c r="G614" s="5" t="s">
        <v>7375</v>
      </c>
      <c r="H614" s="5" t="s">
        <v>7376</v>
      </c>
      <c r="I614" s="5" t="s">
        <v>7377</v>
      </c>
      <c r="J614" s="17" t="s">
        <v>162</v>
      </c>
      <c r="K614" s="17" t="s">
        <v>95</v>
      </c>
      <c r="L614" s="5" t="s">
        <v>7378</v>
      </c>
      <c r="M614" s="6" t="s">
        <v>1494</v>
      </c>
      <c r="N614" s="6" t="s">
        <v>2171</v>
      </c>
      <c r="O614" s="6" t="s">
        <v>162</v>
      </c>
      <c r="P614" s="5" t="s">
        <v>2272</v>
      </c>
      <c r="Q614" s="17" t="s">
        <v>95</v>
      </c>
      <c r="R614" s="5" t="s">
        <v>7379</v>
      </c>
      <c r="S614" s="6" t="s">
        <v>2438</v>
      </c>
      <c r="T614" s="5" t="s">
        <v>2439</v>
      </c>
      <c r="U614" s="6"/>
      <c r="V614" s="6" t="s">
        <v>2440</v>
      </c>
      <c r="W614" s="6" t="s">
        <v>1699</v>
      </c>
      <c r="X614" s="5" t="s">
        <v>228</v>
      </c>
      <c r="Y614" s="5" t="s">
        <v>7134</v>
      </c>
      <c r="Z614" s="5" t="str">
        <f t="shared" si="18"/>
        <v>Critical</v>
      </c>
      <c r="AA614" s="5" t="s">
        <v>1302</v>
      </c>
      <c r="AB614" s="6" t="s">
        <v>1302</v>
      </c>
      <c r="AC614" s="6" t="s">
        <v>135</v>
      </c>
      <c r="AD614" s="5" t="s">
        <v>95</v>
      </c>
      <c r="AE614" s="5" t="s">
        <v>1720</v>
      </c>
      <c r="AF614" s="5" t="s">
        <v>1720</v>
      </c>
      <c r="AG614" s="5" t="s">
        <v>1720</v>
      </c>
      <c r="AH614" s="5" t="s">
        <v>1720</v>
      </c>
      <c r="AI614" s="6" t="str">
        <f t="shared" si="19"/>
        <v>No</v>
      </c>
      <c r="AJ614" s="6" t="s">
        <v>229</v>
      </c>
      <c r="AK614" s="6" t="s">
        <v>162</v>
      </c>
      <c r="AL614" s="6">
        <f>MATCH(AA614,{"Low","Medium","High"},0)*MATCH(AB614,{"Low","Medium","High"},0)*INDEX({3,2,2,1,1},MATCH(X614,{"Core","Vertical extension","Differentiator","Future","Adjacent"},0))</f>
        <v>27</v>
      </c>
      <c r="AM614" s="5"/>
      <c r="AN614" s="5"/>
      <c r="AO614" s="5"/>
      <c r="AP614" s="5"/>
      <c r="AQ614" s="5"/>
      <c r="AR614" s="5"/>
      <c r="AS614" s="5"/>
      <c r="AT614" s="5"/>
      <c r="AU614" s="6" t="s">
        <v>2317</v>
      </c>
      <c r="AV614" s="6" t="s">
        <v>76</v>
      </c>
      <c r="AW614" s="6" t="s">
        <v>76</v>
      </c>
      <c r="AX614" s="6" t="s">
        <v>2284</v>
      </c>
      <c r="AY614" s="6" t="s">
        <v>2285</v>
      </c>
      <c r="AZ614" s="6"/>
      <c r="BA614" s="6"/>
      <c r="BB614" s="6"/>
      <c r="BC614" s="6" t="s">
        <v>127</v>
      </c>
      <c r="BD614" s="6" t="s">
        <v>127</v>
      </c>
      <c r="BE614" s="6" t="s">
        <v>1477</v>
      </c>
      <c r="BF614" s="6" t="s">
        <v>95</v>
      </c>
      <c r="BG614" s="6" t="s">
        <v>7380</v>
      </c>
      <c r="BH614" s="6" t="s">
        <v>7381</v>
      </c>
    </row>
    <row r="615" spans="1:60" ht="32" customHeight="1" x14ac:dyDescent="0.35">
      <c r="A615" s="13" t="s">
        <v>160</v>
      </c>
      <c r="B615" s="6" t="s">
        <v>7278</v>
      </c>
      <c r="C615" s="5" t="s">
        <v>7279</v>
      </c>
      <c r="D615" s="5" t="s">
        <v>2183</v>
      </c>
      <c r="E615" s="5" t="s">
        <v>2130</v>
      </c>
      <c r="F615" s="5" t="s">
        <v>7382</v>
      </c>
      <c r="G615" s="5" t="s">
        <v>7383</v>
      </c>
      <c r="H615" s="5" t="s">
        <v>7384</v>
      </c>
      <c r="I615" s="5" t="s">
        <v>7385</v>
      </c>
      <c r="J615" s="17" t="s">
        <v>162</v>
      </c>
      <c r="K615" s="16" t="s">
        <v>95</v>
      </c>
      <c r="L615" s="5" t="s">
        <v>7386</v>
      </c>
      <c r="M615" s="6" t="s">
        <v>1494</v>
      </c>
      <c r="N615" s="6" t="s">
        <v>2171</v>
      </c>
      <c r="O615" s="6" t="s">
        <v>162</v>
      </c>
      <c r="P615" s="5" t="s">
        <v>2272</v>
      </c>
      <c r="Q615" s="16" t="s">
        <v>163</v>
      </c>
      <c r="R615" s="5" t="s">
        <v>7387</v>
      </c>
      <c r="S615" s="6" t="s">
        <v>2438</v>
      </c>
      <c r="T615" s="5" t="s">
        <v>2439</v>
      </c>
      <c r="U615" s="6"/>
      <c r="V615" s="6" t="s">
        <v>2440</v>
      </c>
      <c r="W615" s="6" t="s">
        <v>1699</v>
      </c>
      <c r="X615" s="5" t="s">
        <v>228</v>
      </c>
      <c r="Y615" s="5" t="s">
        <v>7134</v>
      </c>
      <c r="Z615" s="5" t="str">
        <f t="shared" si="18"/>
        <v>Critical</v>
      </c>
      <c r="AA615" s="5" t="s">
        <v>1302</v>
      </c>
      <c r="AB615" s="6" t="s">
        <v>1302</v>
      </c>
      <c r="AC615" s="6" t="s">
        <v>135</v>
      </c>
      <c r="AD615" s="5" t="s">
        <v>1805</v>
      </c>
      <c r="AE615" s="5" t="s">
        <v>1720</v>
      </c>
      <c r="AF615" s="5" t="s">
        <v>1720</v>
      </c>
      <c r="AG615" s="5" t="s">
        <v>1720</v>
      </c>
      <c r="AH615" s="5" t="s">
        <v>1720</v>
      </c>
      <c r="AI615" s="6" t="str">
        <f t="shared" si="19"/>
        <v>No</v>
      </c>
      <c r="AJ615" s="6" t="s">
        <v>229</v>
      </c>
      <c r="AK615" s="6" t="s">
        <v>162</v>
      </c>
      <c r="AL615" s="6">
        <f>MATCH(AA615,{"Low","Medium","High"},0)*MATCH(AB615,{"Low","Medium","High"},0)*INDEX({3,2,2,1,1},MATCH(X615,{"Core","Vertical extension","Differentiator","Future","Adjacent"},0))</f>
        <v>27</v>
      </c>
      <c r="AM615" s="5"/>
      <c r="AN615" s="5"/>
      <c r="AO615" s="5"/>
      <c r="AP615" s="5"/>
      <c r="AQ615" s="5"/>
      <c r="AR615" s="5"/>
      <c r="AS615" s="5"/>
      <c r="AT615" s="5"/>
      <c r="AU615" s="6" t="s">
        <v>2317</v>
      </c>
      <c r="AV615" s="6" t="s">
        <v>3968</v>
      </c>
      <c r="AW615" s="6" t="s">
        <v>3968</v>
      </c>
      <c r="AX615" s="6" t="s">
        <v>2284</v>
      </c>
      <c r="AY615" s="6" t="s">
        <v>2285</v>
      </c>
      <c r="AZ615" s="6"/>
      <c r="BA615" s="6"/>
      <c r="BB615" s="6"/>
      <c r="BC615" s="6" t="s">
        <v>127</v>
      </c>
      <c r="BD615" s="6" t="s">
        <v>127</v>
      </c>
      <c r="BE615" s="6" t="s">
        <v>163</v>
      </c>
      <c r="BF615" s="6" t="s">
        <v>288</v>
      </c>
      <c r="BG615" s="6" t="s">
        <v>7388</v>
      </c>
      <c r="BH615" s="6" t="s">
        <v>7389</v>
      </c>
    </row>
    <row r="616" spans="1:60" ht="32" customHeight="1" x14ac:dyDescent="0.35">
      <c r="A616" s="13" t="s">
        <v>7390</v>
      </c>
      <c r="B616" s="6" t="s">
        <v>7278</v>
      </c>
      <c r="C616" s="5" t="s">
        <v>7279</v>
      </c>
      <c r="D616" s="5" t="s">
        <v>2183</v>
      </c>
      <c r="E616" s="5" t="s">
        <v>7391</v>
      </c>
      <c r="F616" s="5" t="s">
        <v>4062</v>
      </c>
      <c r="G616" s="5" t="s">
        <v>7392</v>
      </c>
      <c r="H616" s="5" t="s">
        <v>7393</v>
      </c>
      <c r="I616" s="5" t="s">
        <v>7394</v>
      </c>
      <c r="J616" s="17" t="s">
        <v>162</v>
      </c>
      <c r="K616" s="17" t="s">
        <v>163</v>
      </c>
      <c r="L616" s="5" t="s">
        <v>7395</v>
      </c>
      <c r="M616" s="6" t="s">
        <v>1494</v>
      </c>
      <c r="N616" s="6" t="s">
        <v>2171</v>
      </c>
      <c r="O616" s="6" t="s">
        <v>162</v>
      </c>
      <c r="P616" s="5" t="s">
        <v>2272</v>
      </c>
      <c r="Q616" s="17" t="s">
        <v>163</v>
      </c>
      <c r="R616" s="5" t="s">
        <v>7396</v>
      </c>
      <c r="S616" s="6" t="s">
        <v>2438</v>
      </c>
      <c r="T616" s="5" t="s">
        <v>2439</v>
      </c>
      <c r="U616" s="6"/>
      <c r="V616" s="6" t="s">
        <v>2440</v>
      </c>
      <c r="W616" s="6" t="s">
        <v>1699</v>
      </c>
      <c r="X616" s="5" t="s">
        <v>228</v>
      </c>
      <c r="Y616" s="5" t="s">
        <v>7134</v>
      </c>
      <c r="Z616" s="5" t="str">
        <f t="shared" si="18"/>
        <v>Critical</v>
      </c>
      <c r="AA616" s="5" t="s">
        <v>1302</v>
      </c>
      <c r="AB616" s="6" t="s">
        <v>1302</v>
      </c>
      <c r="AC616" s="6" t="s">
        <v>135</v>
      </c>
      <c r="AD616" s="5" t="s">
        <v>1805</v>
      </c>
      <c r="AE616" s="5" t="s">
        <v>1720</v>
      </c>
      <c r="AF616" s="5" t="s">
        <v>1720</v>
      </c>
      <c r="AG616" s="5" t="s">
        <v>1720</v>
      </c>
      <c r="AH616" s="5" t="s">
        <v>1720</v>
      </c>
      <c r="AI616" s="6" t="str">
        <f t="shared" si="19"/>
        <v>No</v>
      </c>
      <c r="AJ616" s="6" t="s">
        <v>287</v>
      </c>
      <c r="AK616" s="6" t="s">
        <v>162</v>
      </c>
      <c r="AL616" s="6">
        <f>MATCH(AA616,{"Low","Medium","High"},0)*MATCH(AB616,{"Low","Medium","High"},0)*INDEX({3,2,2,1,1},MATCH(X616,{"Core","Vertical extension","Differentiator","Future","Adjacent"},0))</f>
        <v>27</v>
      </c>
      <c r="AM616" s="5"/>
      <c r="AN616" s="5"/>
      <c r="AO616" s="5"/>
      <c r="AP616" s="5"/>
      <c r="AQ616" s="5"/>
      <c r="AR616" s="5"/>
      <c r="AS616" s="5"/>
      <c r="AT616" s="5"/>
      <c r="AU616" s="6" t="s">
        <v>2317</v>
      </c>
      <c r="AV616" s="6" t="s">
        <v>3968</v>
      </c>
      <c r="AW616" s="6" t="s">
        <v>3968</v>
      </c>
      <c r="AX616" s="6" t="s">
        <v>2284</v>
      </c>
      <c r="AY616" s="6" t="s">
        <v>2285</v>
      </c>
      <c r="AZ616" s="6"/>
      <c r="BA616" s="6"/>
      <c r="BB616" s="6"/>
      <c r="BC616" s="6" t="s">
        <v>127</v>
      </c>
      <c r="BD616" s="6" t="s">
        <v>127</v>
      </c>
      <c r="BE616" s="6" t="s">
        <v>1477</v>
      </c>
      <c r="BF616" s="6" t="s">
        <v>288</v>
      </c>
      <c r="BG616" s="6" t="s">
        <v>7397</v>
      </c>
      <c r="BH616" s="6" t="s">
        <v>7398</v>
      </c>
    </row>
    <row r="617" spans="1:60" ht="32" customHeight="1" x14ac:dyDescent="0.35">
      <c r="A617" s="13" t="s">
        <v>359</v>
      </c>
      <c r="B617" s="6" t="s">
        <v>7278</v>
      </c>
      <c r="C617" s="5" t="s">
        <v>7279</v>
      </c>
      <c r="D617" s="5" t="s">
        <v>2185</v>
      </c>
      <c r="E617" s="5" t="s">
        <v>360</v>
      </c>
      <c r="F617" s="5" t="s">
        <v>3867</v>
      </c>
      <c r="G617" s="5" t="s">
        <v>3043</v>
      </c>
      <c r="H617" s="5" t="s">
        <v>7399</v>
      </c>
      <c r="I617" s="5" t="s">
        <v>7400</v>
      </c>
      <c r="J617" s="16" t="s">
        <v>94</v>
      </c>
      <c r="K617" s="17" t="s">
        <v>95</v>
      </c>
      <c r="L617" s="5" t="s">
        <v>7401</v>
      </c>
      <c r="M617" s="6" t="s">
        <v>1494</v>
      </c>
      <c r="N617" s="6" t="s">
        <v>2171</v>
      </c>
      <c r="O617" s="6" t="s">
        <v>94</v>
      </c>
      <c r="P617" s="5" t="s">
        <v>2272</v>
      </c>
      <c r="Q617" s="17" t="s">
        <v>95</v>
      </c>
      <c r="R617" s="5" t="s">
        <v>7402</v>
      </c>
      <c r="S617" s="6" t="s">
        <v>2409</v>
      </c>
      <c r="T617" s="5" t="s">
        <v>2185</v>
      </c>
      <c r="U617" s="6"/>
      <c r="V617" s="6" t="s">
        <v>2410</v>
      </c>
      <c r="W617" s="6" t="s">
        <v>1699</v>
      </c>
      <c r="X617" s="5" t="s">
        <v>228</v>
      </c>
      <c r="Y617" s="5" t="s">
        <v>7134</v>
      </c>
      <c r="Z617" s="5" t="str">
        <f t="shared" si="18"/>
        <v>Critical</v>
      </c>
      <c r="AA617" s="5" t="s">
        <v>1302</v>
      </c>
      <c r="AB617" s="6" t="s">
        <v>1319</v>
      </c>
      <c r="AC617" s="6" t="s">
        <v>99</v>
      </c>
      <c r="AD617" s="5" t="s">
        <v>95</v>
      </c>
      <c r="AE617" s="5" t="s">
        <v>1720</v>
      </c>
      <c r="AF617" s="5" t="s">
        <v>1720</v>
      </c>
      <c r="AG617" s="5" t="s">
        <v>1720</v>
      </c>
      <c r="AH617" s="5" t="s">
        <v>1720</v>
      </c>
      <c r="AI617" s="6" t="str">
        <f t="shared" si="19"/>
        <v>No</v>
      </c>
      <c r="AJ617" s="6" t="s">
        <v>2279</v>
      </c>
      <c r="AK617" s="6" t="s">
        <v>94</v>
      </c>
      <c r="AL617" s="6">
        <f>MATCH(AA617,{"Low","Medium","High"},0)*MATCH(AB617,{"Low","Medium","High"},0)*INDEX({3,2,2,1,1},MATCH(X617,{"Core","Vertical extension","Differentiator","Future","Adjacent"},0))</f>
        <v>18</v>
      </c>
      <c r="AM617" s="5"/>
      <c r="AN617" s="5"/>
      <c r="AO617" s="5"/>
      <c r="AP617" s="5"/>
      <c r="AQ617" s="5"/>
      <c r="AR617" s="5" t="s">
        <v>7403</v>
      </c>
      <c r="AS617" s="51">
        <v>46300</v>
      </c>
      <c r="AT617" s="5" t="s">
        <v>2760</v>
      </c>
      <c r="AU617" s="6" t="s">
        <v>2282</v>
      </c>
      <c r="AV617" s="6" t="s">
        <v>3073</v>
      </c>
      <c r="AW617" s="6" t="s">
        <v>3073</v>
      </c>
      <c r="AX617" s="6" t="s">
        <v>2284</v>
      </c>
      <c r="AY617" s="6" t="s">
        <v>2411</v>
      </c>
      <c r="AZ617" s="6"/>
      <c r="BA617" s="6" t="s">
        <v>7404</v>
      </c>
      <c r="BB617" s="6"/>
      <c r="BC617" s="6" t="s">
        <v>127</v>
      </c>
      <c r="BD617" s="6" t="s">
        <v>127</v>
      </c>
      <c r="BE617" s="6" t="s">
        <v>1477</v>
      </c>
      <c r="BF617" s="6" t="s">
        <v>95</v>
      </c>
      <c r="BG617" s="6" t="s">
        <v>7405</v>
      </c>
      <c r="BH617" s="6" t="s">
        <v>361</v>
      </c>
    </row>
    <row r="618" spans="1:60" ht="32" customHeight="1" x14ac:dyDescent="0.35">
      <c r="A618" s="13" t="s">
        <v>7406</v>
      </c>
      <c r="B618" s="6" t="s">
        <v>7278</v>
      </c>
      <c r="C618" s="5" t="s">
        <v>7279</v>
      </c>
      <c r="D618" s="5" t="s">
        <v>2183</v>
      </c>
      <c r="E618" s="5" t="s">
        <v>7407</v>
      </c>
      <c r="F618" s="5" t="s">
        <v>2973</v>
      </c>
      <c r="G618" s="5" t="s">
        <v>2974</v>
      </c>
      <c r="H618" s="5" t="s">
        <v>7408</v>
      </c>
      <c r="I618" s="5" t="s">
        <v>7409</v>
      </c>
      <c r="J618" s="21" t="s">
        <v>213</v>
      </c>
      <c r="K618" s="17" t="s">
        <v>163</v>
      </c>
      <c r="L618" s="5" t="s">
        <v>7410</v>
      </c>
      <c r="M618" s="6" t="s">
        <v>1494</v>
      </c>
      <c r="N618" s="6" t="s">
        <v>2171</v>
      </c>
      <c r="O618" s="6" t="s">
        <v>204</v>
      </c>
      <c r="P618" s="5" t="s">
        <v>6999</v>
      </c>
      <c r="Q618" s="17" t="s">
        <v>163</v>
      </c>
      <c r="R618" s="5" t="s">
        <v>7411</v>
      </c>
      <c r="S618" s="6" t="s">
        <v>2438</v>
      </c>
      <c r="T618" s="5" t="s">
        <v>2439</v>
      </c>
      <c r="U618" s="6"/>
      <c r="V618" s="6" t="s">
        <v>2440</v>
      </c>
      <c r="W618" s="6" t="s">
        <v>1699</v>
      </c>
      <c r="X618" s="5" t="s">
        <v>415</v>
      </c>
      <c r="Y618" s="5" t="s">
        <v>7134</v>
      </c>
      <c r="Z618" s="5" t="str">
        <f t="shared" si="18"/>
        <v>High</v>
      </c>
      <c r="AA618" s="5" t="s">
        <v>1302</v>
      </c>
      <c r="AB618" s="6" t="s">
        <v>1302</v>
      </c>
      <c r="AC618" s="6" t="s">
        <v>32</v>
      </c>
      <c r="AD618" s="5" t="s">
        <v>1805</v>
      </c>
      <c r="AE618" s="5" t="s">
        <v>1720</v>
      </c>
      <c r="AF618" s="5" t="s">
        <v>1720</v>
      </c>
      <c r="AG618" s="5" t="s">
        <v>1720</v>
      </c>
      <c r="AH618" s="5" t="s">
        <v>1720</v>
      </c>
      <c r="AI618" s="6" t="str">
        <f t="shared" si="19"/>
        <v>No</v>
      </c>
      <c r="AJ618" s="6" t="s">
        <v>287</v>
      </c>
      <c r="AK618" s="6" t="s">
        <v>213</v>
      </c>
      <c r="AL618" s="6">
        <f>MATCH(AA618,{"Low","Medium","High"},0)*MATCH(AB618,{"Low","Medium","High"},0)*INDEX({3,2,2,1,1},MATCH(X618,{"Core","Vertical extension","Differentiator","Future","Adjacent"},0))</f>
        <v>9</v>
      </c>
      <c r="AM618" s="5"/>
      <c r="AN618" s="5"/>
      <c r="AO618" s="5"/>
      <c r="AP618" s="5"/>
      <c r="AQ618" s="5"/>
      <c r="AR618" s="5"/>
      <c r="AS618" s="5"/>
      <c r="AT618" s="5"/>
      <c r="AU618" s="6" t="s">
        <v>2317</v>
      </c>
      <c r="AV618" s="6" t="s">
        <v>76</v>
      </c>
      <c r="AW618" s="6" t="s">
        <v>76</v>
      </c>
      <c r="AX618" s="6" t="s">
        <v>7001</v>
      </c>
      <c r="AY618" s="6" t="s">
        <v>2285</v>
      </c>
      <c r="AZ618" s="6"/>
      <c r="BA618" s="6"/>
      <c r="BB618" s="6"/>
      <c r="BC618" s="6" t="s">
        <v>127</v>
      </c>
      <c r="BD618" s="6" t="s">
        <v>127</v>
      </c>
      <c r="BE618" s="6" t="s">
        <v>1477</v>
      </c>
      <c r="BF618" s="6" t="s">
        <v>288</v>
      </c>
      <c r="BG618" s="6" t="s">
        <v>7412</v>
      </c>
      <c r="BH618" s="6" t="s">
        <v>7413</v>
      </c>
    </row>
    <row r="619" spans="1:60" ht="32" customHeight="1" x14ac:dyDescent="0.35">
      <c r="A619" s="13" t="s">
        <v>364</v>
      </c>
      <c r="B619" s="6" t="s">
        <v>7278</v>
      </c>
      <c r="C619" s="5" t="s">
        <v>7279</v>
      </c>
      <c r="D619" s="5" t="s">
        <v>2183</v>
      </c>
      <c r="E619" s="5" t="s">
        <v>365</v>
      </c>
      <c r="F619" s="5" t="s">
        <v>2788</v>
      </c>
      <c r="G619" s="5" t="s">
        <v>3734</v>
      </c>
      <c r="H619" s="5" t="s">
        <v>7414</v>
      </c>
      <c r="I619" s="5" t="s">
        <v>7415</v>
      </c>
      <c r="J619" s="16" t="s">
        <v>94</v>
      </c>
      <c r="K619" s="17" t="s">
        <v>163</v>
      </c>
      <c r="L619" s="5" t="s">
        <v>7416</v>
      </c>
      <c r="M619" s="6" t="s">
        <v>1494</v>
      </c>
      <c r="N619" s="6" t="s">
        <v>2171</v>
      </c>
      <c r="O619" s="6" t="s">
        <v>162</v>
      </c>
      <c r="P619" s="5" t="s">
        <v>7107</v>
      </c>
      <c r="Q619" s="17" t="s">
        <v>163</v>
      </c>
      <c r="R619" s="5" t="s">
        <v>7417</v>
      </c>
      <c r="S619" s="6" t="s">
        <v>2438</v>
      </c>
      <c r="T619" s="5" t="s">
        <v>2439</v>
      </c>
      <c r="U619" s="6"/>
      <c r="V619" s="6" t="s">
        <v>2440</v>
      </c>
      <c r="W619" s="6" t="s">
        <v>1699</v>
      </c>
      <c r="X619" s="5" t="s">
        <v>228</v>
      </c>
      <c r="Y619" s="5" t="s">
        <v>7134</v>
      </c>
      <c r="Z619" s="5" t="str">
        <f t="shared" si="18"/>
        <v>Critical</v>
      </c>
      <c r="AA619" s="5" t="s">
        <v>1302</v>
      </c>
      <c r="AB619" s="6" t="s">
        <v>1302</v>
      </c>
      <c r="AC619" s="6" t="s">
        <v>99</v>
      </c>
      <c r="AD619" s="5" t="s">
        <v>1805</v>
      </c>
      <c r="AE619" s="5" t="s">
        <v>1720</v>
      </c>
      <c r="AF619" s="5" t="s">
        <v>1720</v>
      </c>
      <c r="AG619" s="5" t="s">
        <v>1720</v>
      </c>
      <c r="AH619" s="5" t="s">
        <v>1720</v>
      </c>
      <c r="AI619" s="6" t="str">
        <f t="shared" si="19"/>
        <v>No</v>
      </c>
      <c r="AJ619" s="6" t="s">
        <v>229</v>
      </c>
      <c r="AK619" s="6" t="s">
        <v>94</v>
      </c>
      <c r="AL619" s="6">
        <f>MATCH(AA619,{"Low","Medium","High"},0)*MATCH(AB619,{"Low","Medium","High"},0)*INDEX({3,2,2,1,1},MATCH(X619,{"Core","Vertical extension","Differentiator","Future","Adjacent"},0))</f>
        <v>27</v>
      </c>
      <c r="AM619" s="5"/>
      <c r="AN619" s="5"/>
      <c r="AO619" s="5">
        <v>2</v>
      </c>
      <c r="AP619" s="5"/>
      <c r="AQ619" s="5"/>
      <c r="AR619" s="5" t="s">
        <v>7418</v>
      </c>
      <c r="AS619" s="51">
        <v>46300</v>
      </c>
      <c r="AT619" s="5" t="s">
        <v>2760</v>
      </c>
      <c r="AU619" s="6" t="s">
        <v>95</v>
      </c>
      <c r="AV619" s="6" t="s">
        <v>2794</v>
      </c>
      <c r="AW619" s="6" t="s">
        <v>2794</v>
      </c>
      <c r="AX619" s="6" t="s">
        <v>7001</v>
      </c>
      <c r="AY619" s="6" t="s">
        <v>2285</v>
      </c>
      <c r="AZ619" s="6"/>
      <c r="BA619" s="6" t="s">
        <v>7419</v>
      </c>
      <c r="BB619" s="6"/>
      <c r="BC619" s="6" t="s">
        <v>127</v>
      </c>
      <c r="BD619" s="6" t="s">
        <v>127</v>
      </c>
      <c r="BE619" s="6" t="s">
        <v>1477</v>
      </c>
      <c r="BF619" s="6" t="s">
        <v>288</v>
      </c>
      <c r="BG619" s="6" t="s">
        <v>7420</v>
      </c>
      <c r="BH619" s="6" t="s">
        <v>366</v>
      </c>
    </row>
    <row r="620" spans="1:60" ht="32" customHeight="1" x14ac:dyDescent="0.35">
      <c r="A620" s="13" t="s">
        <v>7421</v>
      </c>
      <c r="B620" s="6" t="s">
        <v>7278</v>
      </c>
      <c r="C620" s="5" t="s">
        <v>7279</v>
      </c>
      <c r="D620" s="5" t="s">
        <v>2183</v>
      </c>
      <c r="E620" s="5" t="s">
        <v>7422</v>
      </c>
      <c r="F620" s="5" t="s">
        <v>7423</v>
      </c>
      <c r="G620" s="5" t="s">
        <v>2973</v>
      </c>
      <c r="H620" s="5" t="s">
        <v>7424</v>
      </c>
      <c r="I620" s="5" t="s">
        <v>7425</v>
      </c>
      <c r="J620" s="21" t="s">
        <v>213</v>
      </c>
      <c r="K620" s="17" t="s">
        <v>163</v>
      </c>
      <c r="L620" s="5" t="s">
        <v>7426</v>
      </c>
      <c r="M620" s="6" t="s">
        <v>1494</v>
      </c>
      <c r="N620" s="6" t="s">
        <v>2171</v>
      </c>
      <c r="O620" s="6" t="s">
        <v>204</v>
      </c>
      <c r="P620" s="5" t="s">
        <v>6999</v>
      </c>
      <c r="Q620" s="17" t="s">
        <v>163</v>
      </c>
      <c r="R620" s="5" t="s">
        <v>7427</v>
      </c>
      <c r="S620" s="6" t="s">
        <v>2438</v>
      </c>
      <c r="T620" s="5" t="s">
        <v>2439</v>
      </c>
      <c r="U620" s="6"/>
      <c r="V620" s="6" t="s">
        <v>2440</v>
      </c>
      <c r="W620" s="6" t="s">
        <v>1699</v>
      </c>
      <c r="X620" s="5" t="s">
        <v>415</v>
      </c>
      <c r="Y620" s="5" t="s">
        <v>7134</v>
      </c>
      <c r="Z620" s="5" t="str">
        <f t="shared" si="18"/>
        <v>High</v>
      </c>
      <c r="AA620" s="5" t="s">
        <v>1302</v>
      </c>
      <c r="AB620" s="6" t="s">
        <v>1302</v>
      </c>
      <c r="AC620" s="6" t="s">
        <v>32</v>
      </c>
      <c r="AD620" s="5" t="s">
        <v>1805</v>
      </c>
      <c r="AE620" s="5" t="s">
        <v>1720</v>
      </c>
      <c r="AF620" s="5" t="s">
        <v>1720</v>
      </c>
      <c r="AG620" s="5" t="s">
        <v>1720</v>
      </c>
      <c r="AH620" s="5" t="s">
        <v>1720</v>
      </c>
      <c r="AI620" s="6" t="str">
        <f t="shared" si="19"/>
        <v>No</v>
      </c>
      <c r="AJ620" s="6" t="s">
        <v>287</v>
      </c>
      <c r="AK620" s="6" t="s">
        <v>213</v>
      </c>
      <c r="AL620" s="6">
        <f>MATCH(AA620,{"Low","Medium","High"},0)*MATCH(AB620,{"Low","Medium","High"},0)*INDEX({3,2,2,1,1},MATCH(X620,{"Core","Vertical extension","Differentiator","Future","Adjacent"},0))</f>
        <v>9</v>
      </c>
      <c r="AM620" s="5"/>
      <c r="AN620" s="5"/>
      <c r="AO620" s="5"/>
      <c r="AP620" s="5"/>
      <c r="AQ620" s="5"/>
      <c r="AR620" s="5"/>
      <c r="AS620" s="5"/>
      <c r="AT620" s="5"/>
      <c r="AU620" s="6" t="s">
        <v>2317</v>
      </c>
      <c r="AV620" s="6" t="s">
        <v>2898</v>
      </c>
      <c r="AW620" s="6" t="s">
        <v>2898</v>
      </c>
      <c r="AX620" s="6" t="s">
        <v>7001</v>
      </c>
      <c r="AY620" s="6" t="s">
        <v>2285</v>
      </c>
      <c r="AZ620" s="6"/>
      <c r="BA620" s="6"/>
      <c r="BB620" s="6"/>
      <c r="BC620" s="6" t="s">
        <v>127</v>
      </c>
      <c r="BD620" s="6" t="s">
        <v>127</v>
      </c>
      <c r="BE620" s="6" t="s">
        <v>1477</v>
      </c>
      <c r="BF620" s="6" t="s">
        <v>288</v>
      </c>
      <c r="BG620" s="6" t="s">
        <v>7428</v>
      </c>
      <c r="BH620" s="6" t="s">
        <v>7429</v>
      </c>
    </row>
    <row r="621" spans="1:60" ht="32" customHeight="1" x14ac:dyDescent="0.35">
      <c r="A621" s="13" t="s">
        <v>7430</v>
      </c>
      <c r="B621" s="6" t="s">
        <v>7278</v>
      </c>
      <c r="C621" s="5" t="s">
        <v>7279</v>
      </c>
      <c r="D621" s="5" t="s">
        <v>2185</v>
      </c>
      <c r="E621" s="5" t="s">
        <v>7431</v>
      </c>
      <c r="F621" s="5" t="s">
        <v>7432</v>
      </c>
      <c r="G621" s="5" t="s">
        <v>2396</v>
      </c>
      <c r="H621" s="5" t="s">
        <v>7433</v>
      </c>
      <c r="I621" s="5" t="s">
        <v>7434</v>
      </c>
      <c r="J621" s="17" t="s">
        <v>162</v>
      </c>
      <c r="K621" s="17" t="s">
        <v>95</v>
      </c>
      <c r="L621" s="5" t="s">
        <v>7435</v>
      </c>
      <c r="M621" s="6" t="s">
        <v>1494</v>
      </c>
      <c r="N621" s="6" t="s">
        <v>2171</v>
      </c>
      <c r="O621" s="6" t="s">
        <v>162</v>
      </c>
      <c r="P621" s="5" t="s">
        <v>2272</v>
      </c>
      <c r="Q621" s="17" t="s">
        <v>95</v>
      </c>
      <c r="R621" s="5" t="s">
        <v>7436</v>
      </c>
      <c r="S621" s="6" t="s">
        <v>2409</v>
      </c>
      <c r="T621" s="5" t="s">
        <v>2185</v>
      </c>
      <c r="U621" s="6"/>
      <c r="V621" s="6" t="s">
        <v>2373</v>
      </c>
      <c r="W621" s="6" t="s">
        <v>1699</v>
      </c>
      <c r="X621" s="5" t="s">
        <v>228</v>
      </c>
      <c r="Y621" s="5" t="s">
        <v>7134</v>
      </c>
      <c r="Z621" s="5" t="str">
        <f t="shared" si="18"/>
        <v>High</v>
      </c>
      <c r="AA621" s="5" t="s">
        <v>1319</v>
      </c>
      <c r="AB621" s="6" t="s">
        <v>1319</v>
      </c>
      <c r="AC621" s="6" t="s">
        <v>135</v>
      </c>
      <c r="AD621" s="5" t="s">
        <v>95</v>
      </c>
      <c r="AE621" s="5" t="s">
        <v>1720</v>
      </c>
      <c r="AF621" s="5" t="s">
        <v>1720</v>
      </c>
      <c r="AG621" s="5" t="s">
        <v>1720</v>
      </c>
      <c r="AH621" s="5" t="s">
        <v>1720</v>
      </c>
      <c r="AI621" s="6" t="str">
        <f t="shared" si="19"/>
        <v>No</v>
      </c>
      <c r="AJ621" s="6" t="s">
        <v>229</v>
      </c>
      <c r="AK621" s="6" t="s">
        <v>162</v>
      </c>
      <c r="AL621" s="6">
        <f>MATCH(AA621,{"Low","Medium","High"},0)*MATCH(AB621,{"Low","Medium","High"},0)*INDEX({3,2,2,1,1},MATCH(X621,{"Core","Vertical extension","Differentiator","Future","Adjacent"},0))</f>
        <v>12</v>
      </c>
      <c r="AM621" s="5"/>
      <c r="AN621" s="5"/>
      <c r="AO621" s="5"/>
      <c r="AP621" s="5"/>
      <c r="AQ621" s="5"/>
      <c r="AR621" s="5"/>
      <c r="AS621" s="5"/>
      <c r="AT621" s="5"/>
      <c r="AU621" s="6" t="s">
        <v>2317</v>
      </c>
      <c r="AV621" s="6" t="s">
        <v>2898</v>
      </c>
      <c r="AW621" s="6" t="s">
        <v>2898</v>
      </c>
      <c r="AX621" s="6" t="s">
        <v>2284</v>
      </c>
      <c r="AY621" s="6" t="s">
        <v>2411</v>
      </c>
      <c r="AZ621" s="6"/>
      <c r="BA621" s="6"/>
      <c r="BB621" s="6"/>
      <c r="BC621" s="6" t="s">
        <v>127</v>
      </c>
      <c r="BD621" s="6" t="s">
        <v>127</v>
      </c>
      <c r="BE621" s="6" t="s">
        <v>1477</v>
      </c>
      <c r="BF621" s="6" t="s">
        <v>95</v>
      </c>
      <c r="BG621" s="6" t="s">
        <v>7437</v>
      </c>
      <c r="BH621" s="6" t="s">
        <v>7438</v>
      </c>
    </row>
    <row r="622" spans="1:60" ht="32" customHeight="1" x14ac:dyDescent="0.35">
      <c r="A622" s="13" t="s">
        <v>7439</v>
      </c>
      <c r="B622" s="6" t="s">
        <v>7440</v>
      </c>
      <c r="C622" s="5" t="s">
        <v>3173</v>
      </c>
      <c r="D622" s="5" t="s">
        <v>2185</v>
      </c>
      <c r="E622" s="5" t="s">
        <v>7441</v>
      </c>
      <c r="F622" s="5" t="s">
        <v>7442</v>
      </c>
      <c r="G622" s="5" t="s">
        <v>3173</v>
      </c>
      <c r="H622" s="5" t="s">
        <v>7443</v>
      </c>
      <c r="I622" s="5" t="s">
        <v>7444</v>
      </c>
      <c r="J622" s="16" t="s">
        <v>94</v>
      </c>
      <c r="K622" s="17" t="s">
        <v>1477</v>
      </c>
      <c r="L622" s="5" t="s">
        <v>7445</v>
      </c>
      <c r="M622" s="6" t="s">
        <v>1494</v>
      </c>
      <c r="N622" s="6" t="s">
        <v>2171</v>
      </c>
      <c r="O622" s="6" t="s">
        <v>94</v>
      </c>
      <c r="P622" s="5" t="s">
        <v>2272</v>
      </c>
      <c r="Q622" s="18" t="s">
        <v>1482</v>
      </c>
      <c r="R622" s="5" t="s">
        <v>7446</v>
      </c>
      <c r="S622" s="6" t="s">
        <v>2409</v>
      </c>
      <c r="T622" s="5" t="s">
        <v>2185</v>
      </c>
      <c r="U622" s="6"/>
      <c r="V622" s="6" t="s">
        <v>2410</v>
      </c>
      <c r="W622" s="6" t="s">
        <v>1699</v>
      </c>
      <c r="X622" s="5" t="s">
        <v>228</v>
      </c>
      <c r="Y622" s="5" t="s">
        <v>1850</v>
      </c>
      <c r="Z622" s="5" t="str">
        <f t="shared" si="18"/>
        <v>Critical</v>
      </c>
      <c r="AA622" s="5" t="s">
        <v>1302</v>
      </c>
      <c r="AB622" s="6" t="s">
        <v>1319</v>
      </c>
      <c r="AC622" s="6" t="s">
        <v>99</v>
      </c>
      <c r="AD622" s="5" t="s">
        <v>2278</v>
      </c>
      <c r="AE622" s="5" t="s">
        <v>1720</v>
      </c>
      <c r="AF622" s="5" t="s">
        <v>1720</v>
      </c>
      <c r="AG622" s="5" t="s">
        <v>1720</v>
      </c>
      <c r="AH622" s="5" t="s">
        <v>1720</v>
      </c>
      <c r="AI622" s="6" t="str">
        <f t="shared" si="19"/>
        <v>No</v>
      </c>
      <c r="AJ622" s="6" t="s">
        <v>2298</v>
      </c>
      <c r="AK622" s="6" t="s">
        <v>94</v>
      </c>
      <c r="AL622" s="6">
        <f>MATCH(AA622,{"Low","Medium","High"},0)*MATCH(AB622,{"Low","Medium","High"},0)*INDEX({3,2,2,1,1},MATCH(X622,{"Core","Vertical extension","Differentiator","Future","Adjacent"},0))</f>
        <v>18</v>
      </c>
      <c r="AM622" s="5"/>
      <c r="AN622" s="5"/>
      <c r="AO622" s="5"/>
      <c r="AP622" s="5"/>
      <c r="AQ622" s="5"/>
      <c r="AR622" s="5" t="s">
        <v>7447</v>
      </c>
      <c r="AS622" s="5" t="s">
        <v>1462</v>
      </c>
      <c r="AT622" s="5" t="s">
        <v>2281</v>
      </c>
      <c r="AU622" s="6" t="s">
        <v>95</v>
      </c>
      <c r="AV622" s="6" t="s">
        <v>2898</v>
      </c>
      <c r="AW622" s="6" t="s">
        <v>3968</v>
      </c>
      <c r="AX622" s="6" t="s">
        <v>2284</v>
      </c>
      <c r="AY622" s="6" t="s">
        <v>2411</v>
      </c>
      <c r="AZ622" s="6"/>
      <c r="BA622" s="6"/>
      <c r="BB622" s="6"/>
      <c r="BC622" s="6" t="s">
        <v>127</v>
      </c>
      <c r="BD622" s="6" t="s">
        <v>127</v>
      </c>
      <c r="BE622" s="6"/>
      <c r="BF622" s="6"/>
      <c r="BG622" s="6"/>
      <c r="BH622" s="6"/>
    </row>
    <row r="623" spans="1:60" ht="32" customHeight="1" x14ac:dyDescent="0.35">
      <c r="A623" s="13" t="s">
        <v>369</v>
      </c>
      <c r="B623" s="6" t="s">
        <v>7440</v>
      </c>
      <c r="C623" s="5" t="s">
        <v>3173</v>
      </c>
      <c r="D623" s="5" t="s">
        <v>2185</v>
      </c>
      <c r="E623" s="5" t="s">
        <v>370</v>
      </c>
      <c r="F623" s="5" t="s">
        <v>7448</v>
      </c>
      <c r="G623" s="5" t="s">
        <v>7449</v>
      </c>
      <c r="H623" s="5" t="s">
        <v>7450</v>
      </c>
      <c r="I623" s="5" t="s">
        <v>7451</v>
      </c>
      <c r="J623" s="16" t="s">
        <v>94</v>
      </c>
      <c r="K623" s="17" t="s">
        <v>163</v>
      </c>
      <c r="L623" s="5" t="s">
        <v>7452</v>
      </c>
      <c r="M623" s="6" t="s">
        <v>1494</v>
      </c>
      <c r="N623" s="6" t="s">
        <v>2171</v>
      </c>
      <c r="O623" s="6" t="s">
        <v>94</v>
      </c>
      <c r="P623" s="5" t="s">
        <v>2272</v>
      </c>
      <c r="Q623" s="17" t="s">
        <v>163</v>
      </c>
      <c r="R623" s="5" t="s">
        <v>7453</v>
      </c>
      <c r="S623" s="6" t="s">
        <v>2409</v>
      </c>
      <c r="T623" s="5" t="s">
        <v>2185</v>
      </c>
      <c r="U623" s="6"/>
      <c r="V623" s="6" t="s">
        <v>2410</v>
      </c>
      <c r="W623" s="6" t="s">
        <v>1699</v>
      </c>
      <c r="X623" s="5" t="s">
        <v>228</v>
      </c>
      <c r="Y623" s="5" t="s">
        <v>1850</v>
      </c>
      <c r="Z623" s="5" t="str">
        <f t="shared" si="18"/>
        <v>Critical</v>
      </c>
      <c r="AA623" s="5" t="s">
        <v>1302</v>
      </c>
      <c r="AB623" s="6" t="s">
        <v>1319</v>
      </c>
      <c r="AC623" s="6" t="s">
        <v>99</v>
      </c>
      <c r="AD623" s="5" t="s">
        <v>1805</v>
      </c>
      <c r="AE623" s="5" t="s">
        <v>1720</v>
      </c>
      <c r="AF623" s="5" t="s">
        <v>1720</v>
      </c>
      <c r="AG623" s="5" t="s">
        <v>1720</v>
      </c>
      <c r="AH623" s="5" t="s">
        <v>1720</v>
      </c>
      <c r="AI623" s="6" t="str">
        <f t="shared" si="19"/>
        <v>No</v>
      </c>
      <c r="AJ623" s="6" t="s">
        <v>229</v>
      </c>
      <c r="AK623" s="6" t="s">
        <v>94</v>
      </c>
      <c r="AL623" s="6">
        <f>MATCH(AA623,{"Low","Medium","High"},0)*MATCH(AB623,{"Low","Medium","High"},0)*INDEX({3,2,2,1,1},MATCH(X623,{"Core","Vertical extension","Differentiator","Future","Adjacent"},0))</f>
        <v>18</v>
      </c>
      <c r="AM623" s="5"/>
      <c r="AN623" s="5"/>
      <c r="AO623" s="5">
        <v>2</v>
      </c>
      <c r="AP623" s="5"/>
      <c r="AQ623" s="5"/>
      <c r="AR623" s="5" t="s">
        <v>7454</v>
      </c>
      <c r="AS623" s="51">
        <v>46300</v>
      </c>
      <c r="AT623" s="5" t="s">
        <v>2760</v>
      </c>
      <c r="AU623" s="6" t="s">
        <v>95</v>
      </c>
      <c r="AV623" s="6" t="s">
        <v>2898</v>
      </c>
      <c r="AW623" s="6" t="s">
        <v>3968</v>
      </c>
      <c r="AX623" s="6" t="s">
        <v>2284</v>
      </c>
      <c r="AY623" s="6" t="s">
        <v>2411</v>
      </c>
      <c r="AZ623" s="6"/>
      <c r="BA623" s="6" t="s">
        <v>7455</v>
      </c>
      <c r="BB623" s="6"/>
      <c r="BC623" s="6" t="s">
        <v>127</v>
      </c>
      <c r="BD623" s="6" t="s">
        <v>127</v>
      </c>
      <c r="BE623" s="6" t="s">
        <v>1477</v>
      </c>
      <c r="BF623" s="6" t="s">
        <v>288</v>
      </c>
      <c r="BG623" s="6" t="s">
        <v>7456</v>
      </c>
      <c r="BH623" s="6" t="s">
        <v>371</v>
      </c>
    </row>
    <row r="624" spans="1:60" ht="32" customHeight="1" x14ac:dyDescent="0.35">
      <c r="A624" s="13" t="s">
        <v>7457</v>
      </c>
      <c r="B624" s="6" t="s">
        <v>7440</v>
      </c>
      <c r="C624" s="5" t="s">
        <v>3173</v>
      </c>
      <c r="D624" s="5" t="s">
        <v>2185</v>
      </c>
      <c r="E624" s="5" t="s">
        <v>7458</v>
      </c>
      <c r="F624" s="5" t="s">
        <v>7459</v>
      </c>
      <c r="G624" s="5" t="s">
        <v>7460</v>
      </c>
      <c r="H624" s="5" t="s">
        <v>7461</v>
      </c>
      <c r="I624" s="5" t="s">
        <v>7462</v>
      </c>
      <c r="J624" s="16" t="s">
        <v>94</v>
      </c>
      <c r="K624" s="17" t="s">
        <v>1477</v>
      </c>
      <c r="L624" s="5" t="s">
        <v>7463</v>
      </c>
      <c r="M624" s="6" t="s">
        <v>1494</v>
      </c>
      <c r="N624" s="6" t="s">
        <v>2171</v>
      </c>
      <c r="O624" s="6" t="s">
        <v>94</v>
      </c>
      <c r="P624" s="5" t="s">
        <v>2272</v>
      </c>
      <c r="Q624" s="17" t="s">
        <v>2273</v>
      </c>
      <c r="R624" s="5" t="s">
        <v>7464</v>
      </c>
      <c r="S624" s="6" t="s">
        <v>2409</v>
      </c>
      <c r="T624" s="5" t="s">
        <v>2185</v>
      </c>
      <c r="U624" s="6"/>
      <c r="V624" s="6" t="s">
        <v>2410</v>
      </c>
      <c r="W624" s="6" t="s">
        <v>1699</v>
      </c>
      <c r="X624" s="5" t="s">
        <v>228</v>
      </c>
      <c r="Y624" s="5" t="s">
        <v>1850</v>
      </c>
      <c r="Z624" s="5" t="str">
        <f t="shared" si="18"/>
        <v>Critical</v>
      </c>
      <c r="AA624" s="5" t="s">
        <v>1302</v>
      </c>
      <c r="AB624" s="6" t="s">
        <v>1319</v>
      </c>
      <c r="AC624" s="6" t="s">
        <v>99</v>
      </c>
      <c r="AD624" s="5" t="s">
        <v>2278</v>
      </c>
      <c r="AE624" s="5" t="s">
        <v>1720</v>
      </c>
      <c r="AF624" s="5" t="s">
        <v>1720</v>
      </c>
      <c r="AG624" s="5" t="s">
        <v>1720</v>
      </c>
      <c r="AH624" s="5" t="s">
        <v>1720</v>
      </c>
      <c r="AI624" s="6" t="str">
        <f t="shared" si="19"/>
        <v>No</v>
      </c>
      <c r="AJ624" s="6" t="s">
        <v>2279</v>
      </c>
      <c r="AK624" s="6" t="s">
        <v>94</v>
      </c>
      <c r="AL624" s="6">
        <f>MATCH(AA624,{"Low","Medium","High"},0)*MATCH(AB624,{"Low","Medium","High"},0)*INDEX({3,2,2,1,1},MATCH(X624,{"Core","Vertical extension","Differentiator","Future","Adjacent"},0))</f>
        <v>18</v>
      </c>
      <c r="AM624" s="5"/>
      <c r="AN624" s="5"/>
      <c r="AO624" s="5"/>
      <c r="AP624" s="5"/>
      <c r="AQ624" s="5"/>
      <c r="AR624" s="5" t="s">
        <v>7465</v>
      </c>
      <c r="AS624" s="5" t="s">
        <v>1462</v>
      </c>
      <c r="AT624" s="5" t="s">
        <v>2281</v>
      </c>
      <c r="AU624" s="6" t="s">
        <v>2282</v>
      </c>
      <c r="AV624" s="6" t="s">
        <v>2898</v>
      </c>
      <c r="AW624" s="6" t="s">
        <v>3968</v>
      </c>
      <c r="AX624" s="6" t="s">
        <v>2284</v>
      </c>
      <c r="AY624" s="6" t="s">
        <v>2411</v>
      </c>
      <c r="AZ624" s="6"/>
      <c r="BA624" s="6"/>
      <c r="BB624" s="6"/>
      <c r="BC624" s="6" t="s">
        <v>127</v>
      </c>
      <c r="BD624" s="6" t="s">
        <v>127</v>
      </c>
      <c r="BE624" s="6" t="s">
        <v>1477</v>
      </c>
      <c r="BF624" s="6" t="s">
        <v>2286</v>
      </c>
      <c r="BG624" s="6" t="s">
        <v>7466</v>
      </c>
      <c r="BH624" s="6" t="s">
        <v>7467</v>
      </c>
    </row>
    <row r="625" spans="1:60" ht="32" customHeight="1" x14ac:dyDescent="0.35">
      <c r="A625" s="13" t="s">
        <v>138</v>
      </c>
      <c r="B625" s="6" t="s">
        <v>7440</v>
      </c>
      <c r="C625" s="5" t="s">
        <v>3173</v>
      </c>
      <c r="D625" s="5" t="s">
        <v>2185</v>
      </c>
      <c r="E625" s="5" t="s">
        <v>374</v>
      </c>
      <c r="F625" s="5" t="s">
        <v>7468</v>
      </c>
      <c r="G625" s="5" t="s">
        <v>5496</v>
      </c>
      <c r="H625" s="5" t="s">
        <v>7469</v>
      </c>
      <c r="I625" s="5" t="s">
        <v>7470</v>
      </c>
      <c r="J625" s="16" t="s">
        <v>94</v>
      </c>
      <c r="K625" s="16" t="s">
        <v>95</v>
      </c>
      <c r="L625" s="5" t="s">
        <v>7471</v>
      </c>
      <c r="M625" s="6" t="s">
        <v>1494</v>
      </c>
      <c r="N625" s="6" t="s">
        <v>2171</v>
      </c>
      <c r="O625" s="6" t="s">
        <v>94</v>
      </c>
      <c r="P625" s="5" t="s">
        <v>2272</v>
      </c>
      <c r="Q625" s="16" t="s">
        <v>95</v>
      </c>
      <c r="R625" s="5" t="s">
        <v>7472</v>
      </c>
      <c r="S625" s="6" t="s">
        <v>2409</v>
      </c>
      <c r="T625" s="5" t="s">
        <v>2185</v>
      </c>
      <c r="U625" s="6"/>
      <c r="V625" s="6" t="s">
        <v>2410</v>
      </c>
      <c r="W625" s="6" t="s">
        <v>1699</v>
      </c>
      <c r="X625" s="5" t="s">
        <v>228</v>
      </c>
      <c r="Y625" s="5" t="s">
        <v>1850</v>
      </c>
      <c r="Z625" s="5" t="str">
        <f t="shared" si="18"/>
        <v>Critical</v>
      </c>
      <c r="AA625" s="5" t="s">
        <v>1302</v>
      </c>
      <c r="AB625" s="6" t="s">
        <v>1319</v>
      </c>
      <c r="AC625" s="6" t="s">
        <v>99</v>
      </c>
      <c r="AD625" s="5" t="s">
        <v>95</v>
      </c>
      <c r="AE625" s="5" t="s">
        <v>1720</v>
      </c>
      <c r="AF625" s="5" t="s">
        <v>1720</v>
      </c>
      <c r="AG625" s="5" t="s">
        <v>7473</v>
      </c>
      <c r="AH625" s="5" t="s">
        <v>1720</v>
      </c>
      <c r="AI625" s="6" t="str">
        <f t="shared" si="19"/>
        <v>No</v>
      </c>
      <c r="AJ625" s="6" t="s">
        <v>2279</v>
      </c>
      <c r="AK625" s="6" t="s">
        <v>94</v>
      </c>
      <c r="AL625" s="6">
        <f>MATCH(AA625,{"Low","Medium","High"},0)*MATCH(AB625,{"Low","Medium","High"},0)*INDEX({3,2,2,1,1},MATCH(X625,{"Core","Vertical extension","Differentiator","Future","Adjacent"},0))</f>
        <v>18</v>
      </c>
      <c r="AM625" s="5"/>
      <c r="AN625" s="5"/>
      <c r="AO625" s="5">
        <v>1.5</v>
      </c>
      <c r="AP625" s="5"/>
      <c r="AQ625" s="5"/>
      <c r="AR625" s="5" t="s">
        <v>7474</v>
      </c>
      <c r="AS625" s="51">
        <v>46300</v>
      </c>
      <c r="AT625" s="5" t="s">
        <v>2760</v>
      </c>
      <c r="AU625" s="6" t="s">
        <v>2282</v>
      </c>
      <c r="AV625" s="6" t="s">
        <v>2898</v>
      </c>
      <c r="AW625" s="6" t="s">
        <v>3968</v>
      </c>
      <c r="AX625" s="6" t="s">
        <v>2284</v>
      </c>
      <c r="AY625" s="6" t="s">
        <v>2411</v>
      </c>
      <c r="AZ625" s="6"/>
      <c r="BA625" s="6" t="s">
        <v>7475</v>
      </c>
      <c r="BB625" s="6"/>
      <c r="BC625" s="6" t="s">
        <v>127</v>
      </c>
      <c r="BD625" s="6" t="s">
        <v>127</v>
      </c>
      <c r="BE625" s="6" t="s">
        <v>95</v>
      </c>
      <c r="BF625" s="6" t="s">
        <v>95</v>
      </c>
      <c r="BG625" s="6" t="s">
        <v>7476</v>
      </c>
      <c r="BH625" s="6" t="s">
        <v>375</v>
      </c>
    </row>
    <row r="626" spans="1:60" ht="32" customHeight="1" x14ac:dyDescent="0.35">
      <c r="A626" s="13" t="s">
        <v>377</v>
      </c>
      <c r="B626" s="6" t="s">
        <v>7440</v>
      </c>
      <c r="C626" s="5" t="s">
        <v>3173</v>
      </c>
      <c r="D626" s="5" t="s">
        <v>2185</v>
      </c>
      <c r="E626" s="5" t="s">
        <v>378</v>
      </c>
      <c r="F626" s="5" t="s">
        <v>7468</v>
      </c>
      <c r="G626" s="5" t="s">
        <v>7477</v>
      </c>
      <c r="H626" s="5" t="s">
        <v>7478</v>
      </c>
      <c r="I626" s="5" t="s">
        <v>7479</v>
      </c>
      <c r="J626" s="16" t="s">
        <v>94</v>
      </c>
      <c r="K626" s="17" t="s">
        <v>95</v>
      </c>
      <c r="L626" s="5" t="s">
        <v>7480</v>
      </c>
      <c r="M626" s="6" t="s">
        <v>1494</v>
      </c>
      <c r="N626" s="6" t="s">
        <v>2171</v>
      </c>
      <c r="O626" s="6" t="s">
        <v>94</v>
      </c>
      <c r="P626" s="5" t="s">
        <v>2272</v>
      </c>
      <c r="Q626" s="17" t="s">
        <v>95</v>
      </c>
      <c r="R626" s="5" t="s">
        <v>7481</v>
      </c>
      <c r="S626" s="6" t="s">
        <v>2409</v>
      </c>
      <c r="T626" s="5" t="s">
        <v>2185</v>
      </c>
      <c r="U626" s="6"/>
      <c r="V626" s="6" t="s">
        <v>2410</v>
      </c>
      <c r="W626" s="6" t="s">
        <v>1699</v>
      </c>
      <c r="X626" s="5" t="s">
        <v>228</v>
      </c>
      <c r="Y626" s="5" t="s">
        <v>1850</v>
      </c>
      <c r="Z626" s="5" t="str">
        <f t="shared" si="18"/>
        <v>Critical</v>
      </c>
      <c r="AA626" s="5" t="s">
        <v>1302</v>
      </c>
      <c r="AB626" s="6" t="s">
        <v>1319</v>
      </c>
      <c r="AC626" s="6" t="s">
        <v>99</v>
      </c>
      <c r="AD626" s="5" t="s">
        <v>95</v>
      </c>
      <c r="AE626" s="5" t="s">
        <v>1720</v>
      </c>
      <c r="AF626" s="5" t="s">
        <v>1720</v>
      </c>
      <c r="AG626" s="5" t="s">
        <v>1720</v>
      </c>
      <c r="AH626" s="5" t="s">
        <v>1720</v>
      </c>
      <c r="AI626" s="6" t="str">
        <f t="shared" si="19"/>
        <v>No</v>
      </c>
      <c r="AJ626" s="6" t="s">
        <v>2279</v>
      </c>
      <c r="AK626" s="6" t="s">
        <v>94</v>
      </c>
      <c r="AL626" s="6">
        <f>MATCH(AA626,{"Low","Medium","High"},0)*MATCH(AB626,{"Low","Medium","High"},0)*INDEX({3,2,2,1,1},MATCH(X626,{"Core","Vertical extension","Differentiator","Future","Adjacent"},0))</f>
        <v>18</v>
      </c>
      <c r="AM626" s="5"/>
      <c r="AN626" s="5"/>
      <c r="AO626" s="5">
        <v>3</v>
      </c>
      <c r="AP626" s="5"/>
      <c r="AQ626" s="5"/>
      <c r="AR626" s="5" t="s">
        <v>7482</v>
      </c>
      <c r="AS626" s="51">
        <v>46300</v>
      </c>
      <c r="AT626" s="5" t="s">
        <v>2760</v>
      </c>
      <c r="AU626" s="6" t="s">
        <v>2282</v>
      </c>
      <c r="AV626" s="6" t="s">
        <v>2898</v>
      </c>
      <c r="AW626" s="6" t="s">
        <v>3968</v>
      </c>
      <c r="AX626" s="6" t="s">
        <v>2284</v>
      </c>
      <c r="AY626" s="6" t="s">
        <v>2411</v>
      </c>
      <c r="AZ626" s="6"/>
      <c r="BA626" s="6" t="s">
        <v>7483</v>
      </c>
      <c r="BB626" s="6"/>
      <c r="BC626" s="6" t="s">
        <v>127</v>
      </c>
      <c r="BD626" s="6" t="s">
        <v>127</v>
      </c>
      <c r="BE626" s="6" t="s">
        <v>1477</v>
      </c>
      <c r="BF626" s="6" t="s">
        <v>95</v>
      </c>
      <c r="BG626" s="6" t="s">
        <v>7484</v>
      </c>
      <c r="BH626" s="6" t="s">
        <v>379</v>
      </c>
    </row>
    <row r="627" spans="1:60" ht="32" customHeight="1" x14ac:dyDescent="0.35">
      <c r="A627" s="13" t="s">
        <v>382</v>
      </c>
      <c r="B627" s="6" t="s">
        <v>7440</v>
      </c>
      <c r="C627" s="5" t="s">
        <v>3173</v>
      </c>
      <c r="D627" s="5" t="s">
        <v>2185</v>
      </c>
      <c r="E627" s="5" t="s">
        <v>383</v>
      </c>
      <c r="F627" s="5" t="s">
        <v>7485</v>
      </c>
      <c r="G627" s="5" t="s">
        <v>7486</v>
      </c>
      <c r="H627" s="5" t="s">
        <v>7487</v>
      </c>
      <c r="I627" s="5" t="s">
        <v>7488</v>
      </c>
      <c r="J627" s="16" t="s">
        <v>94</v>
      </c>
      <c r="K627" s="17" t="s">
        <v>95</v>
      </c>
      <c r="L627" s="5" t="s">
        <v>7489</v>
      </c>
      <c r="M627" s="6" t="s">
        <v>1494</v>
      </c>
      <c r="N627" s="6" t="s">
        <v>2171</v>
      </c>
      <c r="O627" s="6" t="s">
        <v>94</v>
      </c>
      <c r="P627" s="5" t="s">
        <v>2272</v>
      </c>
      <c r="Q627" s="17" t="s">
        <v>95</v>
      </c>
      <c r="R627" s="5" t="s">
        <v>7490</v>
      </c>
      <c r="S627" s="6" t="s">
        <v>2409</v>
      </c>
      <c r="T627" s="5" t="s">
        <v>2185</v>
      </c>
      <c r="U627" s="6"/>
      <c r="V627" s="6" t="s">
        <v>2410</v>
      </c>
      <c r="W627" s="6" t="s">
        <v>1699</v>
      </c>
      <c r="X627" s="5" t="s">
        <v>228</v>
      </c>
      <c r="Y627" s="5" t="s">
        <v>1850</v>
      </c>
      <c r="Z627" s="5" t="str">
        <f t="shared" si="18"/>
        <v>Critical</v>
      </c>
      <c r="AA627" s="5" t="s">
        <v>1302</v>
      </c>
      <c r="AB627" s="6" t="s">
        <v>1319</v>
      </c>
      <c r="AC627" s="6" t="s">
        <v>99</v>
      </c>
      <c r="AD627" s="5" t="s">
        <v>95</v>
      </c>
      <c r="AE627" s="5" t="s">
        <v>1720</v>
      </c>
      <c r="AF627" s="5" t="s">
        <v>1720</v>
      </c>
      <c r="AG627" s="5" t="s">
        <v>1720</v>
      </c>
      <c r="AH627" s="5" t="s">
        <v>1720</v>
      </c>
      <c r="AI627" s="6" t="str">
        <f t="shared" si="19"/>
        <v>No</v>
      </c>
      <c r="AJ627" s="6" t="s">
        <v>229</v>
      </c>
      <c r="AK627" s="6" t="s">
        <v>94</v>
      </c>
      <c r="AL627" s="6">
        <f>MATCH(AA627,{"Low","Medium","High"},0)*MATCH(AB627,{"Low","Medium","High"},0)*INDEX({3,2,2,1,1},MATCH(X627,{"Core","Vertical extension","Differentiator","Future","Adjacent"},0))</f>
        <v>18</v>
      </c>
      <c r="AM627" s="5"/>
      <c r="AN627" s="5"/>
      <c r="AO627" s="5">
        <v>2</v>
      </c>
      <c r="AP627" s="5"/>
      <c r="AQ627" s="5"/>
      <c r="AR627" s="5" t="s">
        <v>7491</v>
      </c>
      <c r="AS627" s="51">
        <v>46300</v>
      </c>
      <c r="AT627" s="5" t="s">
        <v>2760</v>
      </c>
      <c r="AU627" s="6" t="s">
        <v>95</v>
      </c>
      <c r="AV627" s="6" t="s">
        <v>2898</v>
      </c>
      <c r="AW627" s="6" t="s">
        <v>2771</v>
      </c>
      <c r="AX627" s="6" t="s">
        <v>2284</v>
      </c>
      <c r="AY627" s="6" t="s">
        <v>2411</v>
      </c>
      <c r="AZ627" s="6"/>
      <c r="BA627" s="6" t="s">
        <v>7492</v>
      </c>
      <c r="BB627" s="6"/>
      <c r="BC627" s="6" t="s">
        <v>127</v>
      </c>
      <c r="BD627" s="6" t="s">
        <v>127</v>
      </c>
      <c r="BE627" s="6" t="s">
        <v>1477</v>
      </c>
      <c r="BF627" s="6" t="s">
        <v>95</v>
      </c>
      <c r="BG627" s="6" t="s">
        <v>7493</v>
      </c>
      <c r="BH627" s="6" t="s">
        <v>384</v>
      </c>
    </row>
    <row r="628" spans="1:60" ht="32" customHeight="1" x14ac:dyDescent="0.35">
      <c r="A628" s="13" t="s">
        <v>7494</v>
      </c>
      <c r="B628" s="6" t="s">
        <v>7440</v>
      </c>
      <c r="C628" s="5" t="s">
        <v>3173</v>
      </c>
      <c r="D628" s="5" t="s">
        <v>2185</v>
      </c>
      <c r="E628" s="5" t="s">
        <v>7495</v>
      </c>
      <c r="F628" s="5" t="s">
        <v>7496</v>
      </c>
      <c r="G628" s="5" t="s">
        <v>7497</v>
      </c>
      <c r="H628" s="5" t="s">
        <v>7498</v>
      </c>
      <c r="I628" s="5" t="s">
        <v>7499</v>
      </c>
      <c r="J628" s="17" t="s">
        <v>162</v>
      </c>
      <c r="K628" s="17" t="s">
        <v>163</v>
      </c>
      <c r="L628" s="5" t="s">
        <v>7500</v>
      </c>
      <c r="M628" s="6" t="s">
        <v>1494</v>
      </c>
      <c r="N628" s="6" t="s">
        <v>2171</v>
      </c>
      <c r="O628" s="6" t="s">
        <v>162</v>
      </c>
      <c r="P628" s="5" t="s">
        <v>2272</v>
      </c>
      <c r="Q628" s="17" t="s">
        <v>163</v>
      </c>
      <c r="R628" s="5" t="s">
        <v>7501</v>
      </c>
      <c r="S628" s="6" t="s">
        <v>2409</v>
      </c>
      <c r="T628" s="5" t="s">
        <v>2185</v>
      </c>
      <c r="U628" s="6"/>
      <c r="V628" s="6" t="s">
        <v>2410</v>
      </c>
      <c r="W628" s="6" t="s">
        <v>1699</v>
      </c>
      <c r="X628" s="5" t="s">
        <v>228</v>
      </c>
      <c r="Y628" s="5" t="s">
        <v>1850</v>
      </c>
      <c r="Z628" s="5" t="str">
        <f t="shared" si="18"/>
        <v>High</v>
      </c>
      <c r="AA628" s="5" t="s">
        <v>1319</v>
      </c>
      <c r="AB628" s="6" t="s">
        <v>1319</v>
      </c>
      <c r="AC628" s="6" t="s">
        <v>135</v>
      </c>
      <c r="AD628" s="5" t="s">
        <v>1805</v>
      </c>
      <c r="AE628" s="5" t="s">
        <v>1720</v>
      </c>
      <c r="AF628" s="5" t="s">
        <v>1720</v>
      </c>
      <c r="AG628" s="5" t="s">
        <v>1720</v>
      </c>
      <c r="AH628" s="5" t="s">
        <v>1720</v>
      </c>
      <c r="AI628" s="6" t="str">
        <f t="shared" si="19"/>
        <v>No</v>
      </c>
      <c r="AJ628" s="6" t="s">
        <v>287</v>
      </c>
      <c r="AK628" s="6" t="s">
        <v>162</v>
      </c>
      <c r="AL628" s="6">
        <f>MATCH(AA628,{"Low","Medium","High"},0)*MATCH(AB628,{"Low","Medium","High"},0)*INDEX({3,2,2,1,1},MATCH(X628,{"Core","Vertical extension","Differentiator","Future","Adjacent"},0))</f>
        <v>12</v>
      </c>
      <c r="AM628" s="5"/>
      <c r="AN628" s="5"/>
      <c r="AO628" s="5"/>
      <c r="AP628" s="5"/>
      <c r="AQ628" s="5"/>
      <c r="AR628" s="5"/>
      <c r="AS628" s="5"/>
      <c r="AT628" s="5"/>
      <c r="AU628" s="6" t="s">
        <v>2317</v>
      </c>
      <c r="AV628" s="6" t="s">
        <v>2898</v>
      </c>
      <c r="AW628" s="6" t="s">
        <v>3968</v>
      </c>
      <c r="AX628" s="6" t="s">
        <v>2284</v>
      </c>
      <c r="AY628" s="6" t="s">
        <v>2411</v>
      </c>
      <c r="AZ628" s="6"/>
      <c r="BA628" s="6"/>
      <c r="BB628" s="6"/>
      <c r="BC628" s="6" t="s">
        <v>127</v>
      </c>
      <c r="BD628" s="6" t="s">
        <v>127</v>
      </c>
      <c r="BE628" s="6" t="s">
        <v>1477</v>
      </c>
      <c r="BF628" s="6" t="s">
        <v>288</v>
      </c>
      <c r="BG628" s="6" t="s">
        <v>7502</v>
      </c>
      <c r="BH628" s="6" t="s">
        <v>7503</v>
      </c>
    </row>
    <row r="629" spans="1:60" ht="32" customHeight="1" x14ac:dyDescent="0.35">
      <c r="A629" s="13" t="s">
        <v>387</v>
      </c>
      <c r="B629" s="6" t="s">
        <v>7440</v>
      </c>
      <c r="C629" s="5" t="s">
        <v>3173</v>
      </c>
      <c r="D629" s="5" t="s">
        <v>2185</v>
      </c>
      <c r="E629" s="5" t="s">
        <v>388</v>
      </c>
      <c r="F629" s="5" t="s">
        <v>7504</v>
      </c>
      <c r="G629" s="5" t="s">
        <v>7505</v>
      </c>
      <c r="H629" s="5" t="s">
        <v>7506</v>
      </c>
      <c r="I629" s="5" t="s">
        <v>7507</v>
      </c>
      <c r="J629" s="16" t="s">
        <v>94</v>
      </c>
      <c r="K629" s="17" t="s">
        <v>95</v>
      </c>
      <c r="L629" s="5" t="s">
        <v>7508</v>
      </c>
      <c r="M629" s="6" t="s">
        <v>1494</v>
      </c>
      <c r="N629" s="6" t="s">
        <v>2171</v>
      </c>
      <c r="O629" s="6" t="s">
        <v>94</v>
      </c>
      <c r="P629" s="5" t="s">
        <v>2272</v>
      </c>
      <c r="Q629" s="17" t="s">
        <v>95</v>
      </c>
      <c r="R629" s="5" t="s">
        <v>7509</v>
      </c>
      <c r="S629" s="6" t="s">
        <v>2409</v>
      </c>
      <c r="T629" s="5" t="s">
        <v>2185</v>
      </c>
      <c r="U629" s="6"/>
      <c r="V629" s="6" t="s">
        <v>2440</v>
      </c>
      <c r="W629" s="6" t="s">
        <v>1699</v>
      </c>
      <c r="X629" s="5" t="s">
        <v>228</v>
      </c>
      <c r="Y629" s="5" t="s">
        <v>1850</v>
      </c>
      <c r="Z629" s="5" t="str">
        <f t="shared" si="18"/>
        <v>Critical</v>
      </c>
      <c r="AA629" s="5" t="s">
        <v>1302</v>
      </c>
      <c r="AB629" s="6" t="s">
        <v>1319</v>
      </c>
      <c r="AC629" s="6" t="s">
        <v>99</v>
      </c>
      <c r="AD629" s="5" t="s">
        <v>95</v>
      </c>
      <c r="AE629" s="5" t="s">
        <v>1720</v>
      </c>
      <c r="AF629" s="5" t="s">
        <v>1720</v>
      </c>
      <c r="AG629" s="5" t="s">
        <v>1720</v>
      </c>
      <c r="AH629" s="5" t="s">
        <v>1720</v>
      </c>
      <c r="AI629" s="6" t="str">
        <f t="shared" si="19"/>
        <v>No</v>
      </c>
      <c r="AJ629" s="6" t="s">
        <v>229</v>
      </c>
      <c r="AK629" s="6" t="s">
        <v>94</v>
      </c>
      <c r="AL629" s="6">
        <f>MATCH(AA629,{"Low","Medium","High"},0)*MATCH(AB629,{"Low","Medium","High"},0)*INDEX({3,2,2,1,1},MATCH(X629,{"Core","Vertical extension","Differentiator","Future","Adjacent"},0))</f>
        <v>18</v>
      </c>
      <c r="AM629" s="5"/>
      <c r="AN629" s="5"/>
      <c r="AO629" s="5">
        <v>3</v>
      </c>
      <c r="AP629" s="5"/>
      <c r="AQ629" s="5"/>
      <c r="AR629" s="5" t="s">
        <v>7510</v>
      </c>
      <c r="AS629" s="51">
        <v>46300</v>
      </c>
      <c r="AT629" s="5" t="s">
        <v>2760</v>
      </c>
      <c r="AU629" s="6" t="s">
        <v>95</v>
      </c>
      <c r="AV629" s="6" t="s">
        <v>2898</v>
      </c>
      <c r="AW629" s="6" t="s">
        <v>3968</v>
      </c>
      <c r="AX629" s="6" t="s">
        <v>2284</v>
      </c>
      <c r="AY629" s="6" t="s">
        <v>2411</v>
      </c>
      <c r="AZ629" s="6"/>
      <c r="BA629" s="6" t="s">
        <v>7511</v>
      </c>
      <c r="BB629" s="6"/>
      <c r="BC629" s="6" t="s">
        <v>127</v>
      </c>
      <c r="BD629" s="6" t="s">
        <v>127</v>
      </c>
      <c r="BE629" s="6" t="s">
        <v>1477</v>
      </c>
      <c r="BF629" s="6" t="s">
        <v>95</v>
      </c>
      <c r="BG629" s="6" t="s">
        <v>7512</v>
      </c>
      <c r="BH629" s="6" t="s">
        <v>389</v>
      </c>
    </row>
    <row r="630" spans="1:60" ht="32" customHeight="1" x14ac:dyDescent="0.35">
      <c r="A630" s="13" t="s">
        <v>7513</v>
      </c>
      <c r="B630" s="6" t="s">
        <v>7440</v>
      </c>
      <c r="C630" s="5" t="s">
        <v>3173</v>
      </c>
      <c r="D630" s="5" t="s">
        <v>2185</v>
      </c>
      <c r="E630" s="5" t="s">
        <v>7514</v>
      </c>
      <c r="F630" s="5" t="s">
        <v>7515</v>
      </c>
      <c r="G630" s="5" t="s">
        <v>5739</v>
      </c>
      <c r="H630" s="5" t="s">
        <v>7516</v>
      </c>
      <c r="I630" s="5" t="s">
        <v>7517</v>
      </c>
      <c r="J630" s="17" t="s">
        <v>162</v>
      </c>
      <c r="K630" s="17" t="s">
        <v>95</v>
      </c>
      <c r="L630" s="5" t="s">
        <v>7518</v>
      </c>
      <c r="M630" s="6" t="s">
        <v>1494</v>
      </c>
      <c r="N630" s="6" t="s">
        <v>2171</v>
      </c>
      <c r="O630" s="6" t="s">
        <v>162</v>
      </c>
      <c r="P630" s="5" t="s">
        <v>2272</v>
      </c>
      <c r="Q630" s="17" t="s">
        <v>95</v>
      </c>
      <c r="R630" s="5" t="s">
        <v>7519</v>
      </c>
      <c r="S630" s="6" t="s">
        <v>2409</v>
      </c>
      <c r="T630" s="5" t="s">
        <v>2185</v>
      </c>
      <c r="U630" s="6"/>
      <c r="V630" s="6" t="s">
        <v>2410</v>
      </c>
      <c r="W630" s="6" t="s">
        <v>1699</v>
      </c>
      <c r="X630" s="5" t="s">
        <v>228</v>
      </c>
      <c r="Y630" s="5" t="s">
        <v>1850</v>
      </c>
      <c r="Z630" s="5" t="str">
        <f t="shared" si="18"/>
        <v>High</v>
      </c>
      <c r="AA630" s="5" t="s">
        <v>1319</v>
      </c>
      <c r="AB630" s="6" t="s">
        <v>1319</v>
      </c>
      <c r="AC630" s="6" t="s">
        <v>135</v>
      </c>
      <c r="AD630" s="5" t="s">
        <v>95</v>
      </c>
      <c r="AE630" s="5" t="s">
        <v>1720</v>
      </c>
      <c r="AF630" s="5" t="s">
        <v>1720</v>
      </c>
      <c r="AG630" s="5" t="s">
        <v>1720</v>
      </c>
      <c r="AH630" s="5" t="s">
        <v>1720</v>
      </c>
      <c r="AI630" s="6" t="str">
        <f t="shared" si="19"/>
        <v>No</v>
      </c>
      <c r="AJ630" s="6" t="s">
        <v>229</v>
      </c>
      <c r="AK630" s="6" t="s">
        <v>162</v>
      </c>
      <c r="AL630" s="6">
        <f>MATCH(AA630,{"Low","Medium","High"},0)*MATCH(AB630,{"Low","Medium","High"},0)*INDEX({3,2,2,1,1},MATCH(X630,{"Core","Vertical extension","Differentiator","Future","Adjacent"},0))</f>
        <v>12</v>
      </c>
      <c r="AM630" s="5"/>
      <c r="AN630" s="5"/>
      <c r="AO630" s="5"/>
      <c r="AP630" s="5"/>
      <c r="AQ630" s="5"/>
      <c r="AR630" s="5"/>
      <c r="AS630" s="5"/>
      <c r="AT630" s="5"/>
      <c r="AU630" s="6" t="s">
        <v>2317</v>
      </c>
      <c r="AV630" s="6" t="s">
        <v>2898</v>
      </c>
      <c r="AW630" s="6" t="s">
        <v>2771</v>
      </c>
      <c r="AX630" s="6" t="s">
        <v>2284</v>
      </c>
      <c r="AY630" s="6" t="s">
        <v>2411</v>
      </c>
      <c r="AZ630" s="6"/>
      <c r="BA630" s="6"/>
      <c r="BB630" s="6"/>
      <c r="BC630" s="6" t="s">
        <v>127</v>
      </c>
      <c r="BD630" s="6" t="s">
        <v>127</v>
      </c>
      <c r="BE630" s="6" t="s">
        <v>1477</v>
      </c>
      <c r="BF630" s="6" t="s">
        <v>95</v>
      </c>
      <c r="BG630" s="6" t="s">
        <v>7520</v>
      </c>
      <c r="BH630" s="6" t="s">
        <v>7521</v>
      </c>
    </row>
    <row r="631" spans="1:60" ht="32" customHeight="1" x14ac:dyDescent="0.35">
      <c r="A631" s="13" t="s">
        <v>7522</v>
      </c>
      <c r="B631" s="6" t="s">
        <v>7440</v>
      </c>
      <c r="C631" s="5" t="s">
        <v>3173</v>
      </c>
      <c r="D631" s="5" t="s">
        <v>2185</v>
      </c>
      <c r="E631" s="5" t="s">
        <v>7523</v>
      </c>
      <c r="F631" s="5" t="s">
        <v>7524</v>
      </c>
      <c r="G631" s="5" t="s">
        <v>7525</v>
      </c>
      <c r="H631" s="5" t="s">
        <v>7526</v>
      </c>
      <c r="I631" s="5" t="s">
        <v>7527</v>
      </c>
      <c r="J631" s="16" t="s">
        <v>94</v>
      </c>
      <c r="K631" s="17" t="s">
        <v>1477</v>
      </c>
      <c r="L631" s="5" t="s">
        <v>7528</v>
      </c>
      <c r="M631" s="6" t="s">
        <v>1494</v>
      </c>
      <c r="N631" s="6" t="s">
        <v>2171</v>
      </c>
      <c r="O631" s="6" t="s">
        <v>94</v>
      </c>
      <c r="P631" s="5" t="s">
        <v>2272</v>
      </c>
      <c r="Q631" s="17" t="s">
        <v>2273</v>
      </c>
      <c r="R631" s="5" t="s">
        <v>7529</v>
      </c>
      <c r="S631" s="6" t="s">
        <v>2409</v>
      </c>
      <c r="T631" s="5" t="s">
        <v>2185</v>
      </c>
      <c r="U631" s="6"/>
      <c r="V631" s="6" t="s">
        <v>2410</v>
      </c>
      <c r="W631" s="6" t="s">
        <v>1699</v>
      </c>
      <c r="X631" s="5" t="s">
        <v>228</v>
      </c>
      <c r="Y631" s="5" t="s">
        <v>1850</v>
      </c>
      <c r="Z631" s="5" t="str">
        <f t="shared" si="18"/>
        <v>Critical</v>
      </c>
      <c r="AA631" s="5" t="s">
        <v>1302</v>
      </c>
      <c r="AB631" s="6" t="s">
        <v>1319</v>
      </c>
      <c r="AC631" s="6" t="s">
        <v>99</v>
      </c>
      <c r="AD631" s="5" t="s">
        <v>2278</v>
      </c>
      <c r="AE631" s="5" t="s">
        <v>1720</v>
      </c>
      <c r="AF631" s="5" t="s">
        <v>1720</v>
      </c>
      <c r="AG631" s="5" t="s">
        <v>1720</v>
      </c>
      <c r="AH631" s="5" t="s">
        <v>1720</v>
      </c>
      <c r="AI631" s="6" t="str">
        <f t="shared" si="19"/>
        <v>No</v>
      </c>
      <c r="AJ631" s="6" t="s">
        <v>2298</v>
      </c>
      <c r="AK631" s="6" t="s">
        <v>94</v>
      </c>
      <c r="AL631" s="6">
        <f>MATCH(AA631,{"Low","Medium","High"},0)*MATCH(AB631,{"Low","Medium","High"},0)*INDEX({3,2,2,1,1},MATCH(X631,{"Core","Vertical extension","Differentiator","Future","Adjacent"},0))</f>
        <v>18</v>
      </c>
      <c r="AM631" s="5"/>
      <c r="AN631" s="5"/>
      <c r="AO631" s="5"/>
      <c r="AP631" s="5"/>
      <c r="AQ631" s="5"/>
      <c r="AR631" s="5"/>
      <c r="AS631" s="5"/>
      <c r="AT631" s="5"/>
      <c r="AU631" s="6" t="s">
        <v>2317</v>
      </c>
      <c r="AV631" s="6" t="s">
        <v>2898</v>
      </c>
      <c r="AW631" s="6" t="s">
        <v>3968</v>
      </c>
      <c r="AX631" s="6" t="s">
        <v>2284</v>
      </c>
      <c r="AY631" s="6" t="s">
        <v>2411</v>
      </c>
      <c r="AZ631" s="6"/>
      <c r="BA631" s="6"/>
      <c r="BB631" s="6"/>
      <c r="BC631" s="6" t="s">
        <v>127</v>
      </c>
      <c r="BD631" s="6" t="s">
        <v>127</v>
      </c>
      <c r="BE631" s="6" t="s">
        <v>1477</v>
      </c>
      <c r="BF631" s="6" t="s">
        <v>2286</v>
      </c>
      <c r="BG631" s="6" t="s">
        <v>7530</v>
      </c>
      <c r="BH631" s="6" t="s">
        <v>7531</v>
      </c>
    </row>
    <row r="632" spans="1:60" ht="32" customHeight="1" x14ac:dyDescent="0.35">
      <c r="A632" s="13" t="s">
        <v>7532</v>
      </c>
      <c r="B632" s="6" t="s">
        <v>7440</v>
      </c>
      <c r="C632" s="5" t="s">
        <v>3173</v>
      </c>
      <c r="D632" s="5" t="s">
        <v>2185</v>
      </c>
      <c r="E632" s="5" t="s">
        <v>7533</v>
      </c>
      <c r="F632" s="5" t="s">
        <v>7459</v>
      </c>
      <c r="G632" s="5" t="s">
        <v>7534</v>
      </c>
      <c r="H632" s="5" t="s">
        <v>7535</v>
      </c>
      <c r="I632" s="5" t="s">
        <v>7536</v>
      </c>
      <c r="J632" s="17" t="s">
        <v>162</v>
      </c>
      <c r="K632" s="17" t="s">
        <v>163</v>
      </c>
      <c r="L632" s="5" t="s">
        <v>7537</v>
      </c>
      <c r="M632" s="6" t="s">
        <v>1494</v>
      </c>
      <c r="N632" s="6" t="s">
        <v>2171</v>
      </c>
      <c r="O632" s="6" t="s">
        <v>162</v>
      </c>
      <c r="P632" s="5" t="s">
        <v>2272</v>
      </c>
      <c r="Q632" s="17" t="s">
        <v>163</v>
      </c>
      <c r="R632" s="5" t="s">
        <v>7538</v>
      </c>
      <c r="S632" s="6" t="s">
        <v>2409</v>
      </c>
      <c r="T632" s="5" t="s">
        <v>2185</v>
      </c>
      <c r="U632" s="6"/>
      <c r="V632" s="6" t="s">
        <v>2410</v>
      </c>
      <c r="W632" s="6" t="s">
        <v>1699</v>
      </c>
      <c r="X632" s="5" t="s">
        <v>228</v>
      </c>
      <c r="Y632" s="5" t="s">
        <v>1850</v>
      </c>
      <c r="Z632" s="5" t="str">
        <f t="shared" si="18"/>
        <v>High</v>
      </c>
      <c r="AA632" s="5" t="s">
        <v>1319</v>
      </c>
      <c r="AB632" s="6" t="s">
        <v>1319</v>
      </c>
      <c r="AC632" s="6" t="s">
        <v>135</v>
      </c>
      <c r="AD632" s="5" t="s">
        <v>1805</v>
      </c>
      <c r="AE632" s="5" t="s">
        <v>1720</v>
      </c>
      <c r="AF632" s="5" t="s">
        <v>1720</v>
      </c>
      <c r="AG632" s="5" t="s">
        <v>1720</v>
      </c>
      <c r="AH632" s="5" t="s">
        <v>1720</v>
      </c>
      <c r="AI632" s="6" t="str">
        <f t="shared" si="19"/>
        <v>No</v>
      </c>
      <c r="AJ632" s="6" t="s">
        <v>287</v>
      </c>
      <c r="AK632" s="6" t="s">
        <v>162</v>
      </c>
      <c r="AL632" s="6">
        <f>MATCH(AA632,{"Low","Medium","High"},0)*MATCH(AB632,{"Low","Medium","High"},0)*INDEX({3,2,2,1,1},MATCH(X632,{"Core","Vertical extension","Differentiator","Future","Adjacent"},0))</f>
        <v>12</v>
      </c>
      <c r="AM632" s="5"/>
      <c r="AN632" s="5"/>
      <c r="AO632" s="5"/>
      <c r="AP632" s="5"/>
      <c r="AQ632" s="5"/>
      <c r="AR632" s="5"/>
      <c r="AS632" s="5"/>
      <c r="AT632" s="5"/>
      <c r="AU632" s="6" t="s">
        <v>2317</v>
      </c>
      <c r="AV632" s="6" t="s">
        <v>2898</v>
      </c>
      <c r="AW632" s="6" t="s">
        <v>3968</v>
      </c>
      <c r="AX632" s="6" t="s">
        <v>2284</v>
      </c>
      <c r="AY632" s="6" t="s">
        <v>2411</v>
      </c>
      <c r="AZ632" s="6"/>
      <c r="BA632" s="6"/>
      <c r="BB632" s="6"/>
      <c r="BC632" s="6" t="s">
        <v>127</v>
      </c>
      <c r="BD632" s="6" t="s">
        <v>127</v>
      </c>
      <c r="BE632" s="6" t="s">
        <v>1477</v>
      </c>
      <c r="BF632" s="6" t="s">
        <v>288</v>
      </c>
      <c r="BG632" s="6" t="s">
        <v>7539</v>
      </c>
      <c r="BH632" s="6" t="s">
        <v>7540</v>
      </c>
    </row>
    <row r="633" spans="1:60" ht="32" customHeight="1" x14ac:dyDescent="0.35">
      <c r="A633" s="13" t="s">
        <v>7541</v>
      </c>
      <c r="B633" s="6" t="s">
        <v>7440</v>
      </c>
      <c r="C633" s="5" t="s">
        <v>3173</v>
      </c>
      <c r="D633" s="5" t="s">
        <v>2185</v>
      </c>
      <c r="E633" s="5" t="s">
        <v>7542</v>
      </c>
      <c r="F633" s="5" t="s">
        <v>7543</v>
      </c>
      <c r="G633" s="5" t="s">
        <v>2312</v>
      </c>
      <c r="H633" s="5" t="s">
        <v>7544</v>
      </c>
      <c r="I633" s="5" t="s">
        <v>7545</v>
      </c>
      <c r="J633" s="17" t="s">
        <v>162</v>
      </c>
      <c r="K633" s="17" t="s">
        <v>1477</v>
      </c>
      <c r="L633" s="5" t="s">
        <v>7546</v>
      </c>
      <c r="M633" s="6" t="s">
        <v>1494</v>
      </c>
      <c r="N633" s="6" t="s">
        <v>2171</v>
      </c>
      <c r="O633" s="6" t="s">
        <v>162</v>
      </c>
      <c r="P633" s="5" t="s">
        <v>2272</v>
      </c>
      <c r="Q633" s="17" t="s">
        <v>2273</v>
      </c>
      <c r="R633" s="5" t="s">
        <v>7547</v>
      </c>
      <c r="S633" s="6" t="s">
        <v>2409</v>
      </c>
      <c r="T633" s="5" t="s">
        <v>2185</v>
      </c>
      <c r="U633" s="6"/>
      <c r="V633" s="6" t="s">
        <v>2440</v>
      </c>
      <c r="W633" s="6" t="s">
        <v>1699</v>
      </c>
      <c r="X633" s="5" t="s">
        <v>228</v>
      </c>
      <c r="Y633" s="5" t="s">
        <v>1850</v>
      </c>
      <c r="Z633" s="5" t="str">
        <f t="shared" si="18"/>
        <v>High</v>
      </c>
      <c r="AA633" s="5" t="s">
        <v>1319</v>
      </c>
      <c r="AB633" s="6" t="s">
        <v>1319</v>
      </c>
      <c r="AC633" s="6" t="s">
        <v>135</v>
      </c>
      <c r="AD633" s="5" t="s">
        <v>2278</v>
      </c>
      <c r="AE633" s="5" t="s">
        <v>1720</v>
      </c>
      <c r="AF633" s="5" t="s">
        <v>1720</v>
      </c>
      <c r="AG633" s="5" t="s">
        <v>1720</v>
      </c>
      <c r="AH633" s="5" t="s">
        <v>1720</v>
      </c>
      <c r="AI633" s="6" t="str">
        <f t="shared" si="19"/>
        <v>No</v>
      </c>
      <c r="AJ633" s="6" t="s">
        <v>2298</v>
      </c>
      <c r="AK633" s="6" t="s">
        <v>162</v>
      </c>
      <c r="AL633" s="6">
        <f>MATCH(AA633,{"Low","Medium","High"},0)*MATCH(AB633,{"Low","Medium","High"},0)*INDEX({3,2,2,1,1},MATCH(X633,{"Core","Vertical extension","Differentiator","Future","Adjacent"},0))</f>
        <v>12</v>
      </c>
      <c r="AM633" s="5"/>
      <c r="AN633" s="5"/>
      <c r="AO633" s="5"/>
      <c r="AP633" s="5"/>
      <c r="AQ633" s="5"/>
      <c r="AR633" s="5"/>
      <c r="AS633" s="5"/>
      <c r="AT633" s="5"/>
      <c r="AU633" s="6" t="s">
        <v>2317</v>
      </c>
      <c r="AV633" s="6" t="s">
        <v>2898</v>
      </c>
      <c r="AW633" s="6" t="s">
        <v>3968</v>
      </c>
      <c r="AX633" s="6" t="s">
        <v>2284</v>
      </c>
      <c r="AY633" s="6" t="s">
        <v>2411</v>
      </c>
      <c r="AZ633" s="6"/>
      <c r="BA633" s="6"/>
      <c r="BB633" s="6"/>
      <c r="BC633" s="6" t="s">
        <v>127</v>
      </c>
      <c r="BD633" s="6" t="s">
        <v>127</v>
      </c>
      <c r="BE633" s="6" t="s">
        <v>1477</v>
      </c>
      <c r="BF633" s="6" t="s">
        <v>2286</v>
      </c>
      <c r="BG633" s="6" t="s">
        <v>7548</v>
      </c>
      <c r="BH633" s="6" t="s">
        <v>7549</v>
      </c>
    </row>
    <row r="634" spans="1:60" ht="32" customHeight="1" x14ac:dyDescent="0.35">
      <c r="A634" s="13" t="s">
        <v>7550</v>
      </c>
      <c r="B634" s="6" t="s">
        <v>7440</v>
      </c>
      <c r="C634" s="5" t="s">
        <v>3173</v>
      </c>
      <c r="D634" s="5" t="s">
        <v>2185</v>
      </c>
      <c r="E634" s="5" t="s">
        <v>7551</v>
      </c>
      <c r="F634" s="5" t="s">
        <v>7552</v>
      </c>
      <c r="G634" s="5" t="s">
        <v>7486</v>
      </c>
      <c r="H634" s="5" t="s">
        <v>7553</v>
      </c>
      <c r="I634" s="5" t="s">
        <v>7554</v>
      </c>
      <c r="J634" s="17" t="s">
        <v>162</v>
      </c>
      <c r="K634" s="17" t="s">
        <v>1477</v>
      </c>
      <c r="L634" s="5" t="s">
        <v>7555</v>
      </c>
      <c r="M634" s="6" t="s">
        <v>1494</v>
      </c>
      <c r="N634" s="6" t="s">
        <v>2171</v>
      </c>
      <c r="O634" s="6" t="s">
        <v>162</v>
      </c>
      <c r="P634" s="5" t="s">
        <v>2272</v>
      </c>
      <c r="Q634" s="17" t="s">
        <v>2273</v>
      </c>
      <c r="R634" s="5" t="s">
        <v>7556</v>
      </c>
      <c r="S634" s="6" t="s">
        <v>2409</v>
      </c>
      <c r="T634" s="5" t="s">
        <v>2185</v>
      </c>
      <c r="U634" s="6"/>
      <c r="V634" s="6" t="s">
        <v>2297</v>
      </c>
      <c r="W634" s="6" t="s">
        <v>1699</v>
      </c>
      <c r="X634" s="5" t="s">
        <v>228</v>
      </c>
      <c r="Y634" s="5" t="s">
        <v>1850</v>
      </c>
      <c r="Z634" s="5" t="str">
        <f t="shared" si="18"/>
        <v>High</v>
      </c>
      <c r="AA634" s="5" t="s">
        <v>1319</v>
      </c>
      <c r="AB634" s="6" t="s">
        <v>1319</v>
      </c>
      <c r="AC634" s="6" t="s">
        <v>135</v>
      </c>
      <c r="AD634" s="5" t="s">
        <v>2278</v>
      </c>
      <c r="AE634" s="5" t="s">
        <v>1720</v>
      </c>
      <c r="AF634" s="5" t="s">
        <v>1720</v>
      </c>
      <c r="AG634" s="5" t="s">
        <v>1720</v>
      </c>
      <c r="AH634" s="5" t="s">
        <v>1720</v>
      </c>
      <c r="AI634" s="6" t="str">
        <f t="shared" si="19"/>
        <v>No</v>
      </c>
      <c r="AJ634" s="6" t="s">
        <v>2298</v>
      </c>
      <c r="AK634" s="6" t="s">
        <v>162</v>
      </c>
      <c r="AL634" s="6">
        <f>MATCH(AA634,{"Low","Medium","High"},0)*MATCH(AB634,{"Low","Medium","High"},0)*INDEX({3,2,2,1,1},MATCH(X634,{"Core","Vertical extension","Differentiator","Future","Adjacent"},0))</f>
        <v>12</v>
      </c>
      <c r="AM634" s="5"/>
      <c r="AN634" s="5"/>
      <c r="AO634" s="5"/>
      <c r="AP634" s="5"/>
      <c r="AQ634" s="5"/>
      <c r="AR634" s="5"/>
      <c r="AS634" s="5"/>
      <c r="AT634" s="5"/>
      <c r="AU634" s="6" t="s">
        <v>2317</v>
      </c>
      <c r="AV634" s="6" t="s">
        <v>2898</v>
      </c>
      <c r="AW634" s="6" t="s">
        <v>3968</v>
      </c>
      <c r="AX634" s="6" t="s">
        <v>2284</v>
      </c>
      <c r="AY634" s="6" t="s">
        <v>2411</v>
      </c>
      <c r="AZ634" s="6"/>
      <c r="BA634" s="6"/>
      <c r="BB634" s="6"/>
      <c r="BC634" s="6" t="s">
        <v>127</v>
      </c>
      <c r="BD634" s="6" t="s">
        <v>127</v>
      </c>
      <c r="BE634" s="6" t="s">
        <v>1477</v>
      </c>
      <c r="BF634" s="6" t="s">
        <v>2286</v>
      </c>
      <c r="BG634" s="6" t="s">
        <v>7557</v>
      </c>
      <c r="BH634" s="6" t="s">
        <v>7558</v>
      </c>
    </row>
    <row r="635" spans="1:60" ht="32" customHeight="1" x14ac:dyDescent="0.35">
      <c r="A635" s="13" t="s">
        <v>7559</v>
      </c>
      <c r="B635" s="6" t="s">
        <v>7440</v>
      </c>
      <c r="C635" s="5" t="s">
        <v>3173</v>
      </c>
      <c r="D635" s="5" t="s">
        <v>2185</v>
      </c>
      <c r="E635" s="5" t="s">
        <v>7560</v>
      </c>
      <c r="F635" s="5" t="s">
        <v>7496</v>
      </c>
      <c r="G635" s="5" t="s">
        <v>3173</v>
      </c>
      <c r="H635" s="5" t="s">
        <v>7561</v>
      </c>
      <c r="I635" s="5" t="s">
        <v>7562</v>
      </c>
      <c r="J635" s="17" t="s">
        <v>162</v>
      </c>
      <c r="K635" s="17" t="s">
        <v>95</v>
      </c>
      <c r="L635" s="5" t="s">
        <v>7563</v>
      </c>
      <c r="M635" s="6" t="s">
        <v>1494</v>
      </c>
      <c r="N635" s="6" t="s">
        <v>2171</v>
      </c>
      <c r="O635" s="6" t="s">
        <v>162</v>
      </c>
      <c r="P635" s="5" t="s">
        <v>2272</v>
      </c>
      <c r="Q635" s="17" t="s">
        <v>95</v>
      </c>
      <c r="R635" s="5" t="s">
        <v>7564</v>
      </c>
      <c r="S635" s="6" t="s">
        <v>2409</v>
      </c>
      <c r="T635" s="5" t="s">
        <v>2185</v>
      </c>
      <c r="U635" s="6"/>
      <c r="V635" s="6" t="s">
        <v>2410</v>
      </c>
      <c r="W635" s="6" t="s">
        <v>1699</v>
      </c>
      <c r="X635" s="5" t="s">
        <v>228</v>
      </c>
      <c r="Y635" s="5" t="s">
        <v>1850</v>
      </c>
      <c r="Z635" s="5" t="str">
        <f t="shared" si="18"/>
        <v>High</v>
      </c>
      <c r="AA635" s="5" t="s">
        <v>1319</v>
      </c>
      <c r="AB635" s="6" t="s">
        <v>1319</v>
      </c>
      <c r="AC635" s="6" t="s">
        <v>135</v>
      </c>
      <c r="AD635" s="5" t="s">
        <v>95</v>
      </c>
      <c r="AE635" s="5" t="s">
        <v>1720</v>
      </c>
      <c r="AF635" s="5" t="s">
        <v>1720</v>
      </c>
      <c r="AG635" s="5" t="s">
        <v>1720</v>
      </c>
      <c r="AH635" s="5" t="s">
        <v>1720</v>
      </c>
      <c r="AI635" s="6" t="str">
        <f t="shared" si="19"/>
        <v>No</v>
      </c>
      <c r="AJ635" s="6" t="s">
        <v>229</v>
      </c>
      <c r="AK635" s="6" t="s">
        <v>162</v>
      </c>
      <c r="AL635" s="6">
        <f>MATCH(AA635,{"Low","Medium","High"},0)*MATCH(AB635,{"Low","Medium","High"},0)*INDEX({3,2,2,1,1},MATCH(X635,{"Core","Vertical extension","Differentiator","Future","Adjacent"},0))</f>
        <v>12</v>
      </c>
      <c r="AM635" s="5"/>
      <c r="AN635" s="5"/>
      <c r="AO635" s="5"/>
      <c r="AP635" s="5"/>
      <c r="AQ635" s="5"/>
      <c r="AR635" s="5"/>
      <c r="AS635" s="5"/>
      <c r="AT635" s="5"/>
      <c r="AU635" s="6" t="s">
        <v>2317</v>
      </c>
      <c r="AV635" s="6" t="s">
        <v>2898</v>
      </c>
      <c r="AW635" s="6" t="s">
        <v>3968</v>
      </c>
      <c r="AX635" s="6" t="s">
        <v>2284</v>
      </c>
      <c r="AY635" s="6" t="s">
        <v>2411</v>
      </c>
      <c r="AZ635" s="6"/>
      <c r="BA635" s="6"/>
      <c r="BB635" s="6"/>
      <c r="BC635" s="6" t="s">
        <v>127</v>
      </c>
      <c r="BD635" s="6" t="s">
        <v>127</v>
      </c>
      <c r="BE635" s="6" t="s">
        <v>1477</v>
      </c>
      <c r="BF635" s="6" t="s">
        <v>95</v>
      </c>
      <c r="BG635" s="6" t="s">
        <v>7565</v>
      </c>
      <c r="BH635" s="6" t="s">
        <v>7566</v>
      </c>
    </row>
    <row r="636" spans="1:60" ht="32" customHeight="1" x14ac:dyDescent="0.35">
      <c r="A636" s="13" t="s">
        <v>7567</v>
      </c>
      <c r="B636" s="6" t="s">
        <v>7440</v>
      </c>
      <c r="C636" s="5" t="s">
        <v>3173</v>
      </c>
      <c r="D636" s="5" t="s">
        <v>2185</v>
      </c>
      <c r="E636" s="5" t="s">
        <v>7568</v>
      </c>
      <c r="F636" s="5" t="s">
        <v>7569</v>
      </c>
      <c r="G636" s="5" t="s">
        <v>7570</v>
      </c>
      <c r="H636" s="5" t="s">
        <v>7571</v>
      </c>
      <c r="I636" s="5" t="s">
        <v>7572</v>
      </c>
      <c r="J636" s="21" t="s">
        <v>213</v>
      </c>
      <c r="K636" s="17" t="s">
        <v>1477</v>
      </c>
      <c r="L636" s="5" t="s">
        <v>7573</v>
      </c>
      <c r="M636" s="6" t="s">
        <v>1494</v>
      </c>
      <c r="N636" s="6" t="s">
        <v>2171</v>
      </c>
      <c r="O636" s="6" t="s">
        <v>204</v>
      </c>
      <c r="P636" s="5" t="s">
        <v>6999</v>
      </c>
      <c r="Q636" s="18" t="s">
        <v>1482</v>
      </c>
      <c r="R636" s="5" t="s">
        <v>7574</v>
      </c>
      <c r="S636" s="6" t="s">
        <v>2409</v>
      </c>
      <c r="T636" s="5" t="s">
        <v>2185</v>
      </c>
      <c r="U636" s="6"/>
      <c r="V636" s="6" t="s">
        <v>2410</v>
      </c>
      <c r="W636" s="6" t="s">
        <v>1699</v>
      </c>
      <c r="X636" s="5" t="s">
        <v>415</v>
      </c>
      <c r="Y636" s="5" t="s">
        <v>1850</v>
      </c>
      <c r="Z636" s="5" t="str">
        <f t="shared" si="18"/>
        <v>Low</v>
      </c>
      <c r="AA636" s="5" t="s">
        <v>1355</v>
      </c>
      <c r="AB636" s="6" t="s">
        <v>1319</v>
      </c>
      <c r="AC636" s="6" t="s">
        <v>32</v>
      </c>
      <c r="AD636" s="5" t="s">
        <v>2278</v>
      </c>
      <c r="AE636" s="5" t="s">
        <v>1720</v>
      </c>
      <c r="AF636" s="5" t="s">
        <v>1720</v>
      </c>
      <c r="AG636" s="5" t="s">
        <v>1720</v>
      </c>
      <c r="AH636" s="5" t="s">
        <v>1720</v>
      </c>
      <c r="AI636" s="6" t="str">
        <f t="shared" si="19"/>
        <v>No</v>
      </c>
      <c r="AJ636" s="6" t="s">
        <v>2298</v>
      </c>
      <c r="AK636" s="6" t="s">
        <v>213</v>
      </c>
      <c r="AL636" s="6">
        <f>MATCH(AA636,{"Low","Medium","High"},0)*MATCH(AB636,{"Low","Medium","High"},0)*INDEX({3,2,2,1,1},MATCH(X636,{"Core","Vertical extension","Differentiator","Future","Adjacent"},0))</f>
        <v>2</v>
      </c>
      <c r="AM636" s="5"/>
      <c r="AN636" s="5"/>
      <c r="AO636" s="5"/>
      <c r="AP636" s="5"/>
      <c r="AQ636" s="5"/>
      <c r="AR636" s="5"/>
      <c r="AS636" s="5"/>
      <c r="AT636" s="5"/>
      <c r="AU636" s="6" t="s">
        <v>2317</v>
      </c>
      <c r="AV636" s="6" t="s">
        <v>2898</v>
      </c>
      <c r="AW636" s="6" t="s">
        <v>3968</v>
      </c>
      <c r="AX636" s="6" t="s">
        <v>7001</v>
      </c>
      <c r="AY636" s="6" t="s">
        <v>2411</v>
      </c>
      <c r="AZ636" s="6"/>
      <c r="BA636" s="6"/>
      <c r="BB636" s="6"/>
      <c r="BC636" s="6" t="s">
        <v>127</v>
      </c>
      <c r="BD636" s="6" t="s">
        <v>127</v>
      </c>
      <c r="BE636" s="6"/>
      <c r="BF636" s="6"/>
      <c r="BG636" s="6"/>
      <c r="BH636" s="6"/>
    </row>
    <row r="637" spans="1:60" ht="32" customHeight="1" x14ac:dyDescent="0.35">
      <c r="A637" s="13" t="s">
        <v>392</v>
      </c>
      <c r="B637" s="6" t="s">
        <v>7575</v>
      </c>
      <c r="C637" s="5" t="s">
        <v>7576</v>
      </c>
      <c r="D637" s="5" t="s">
        <v>2191</v>
      </c>
      <c r="E637" s="5" t="s">
        <v>393</v>
      </c>
      <c r="F637" s="5" t="s">
        <v>7577</v>
      </c>
      <c r="G637" s="5" t="s">
        <v>2268</v>
      </c>
      <c r="H637" s="5" t="s">
        <v>7578</v>
      </c>
      <c r="I637" s="5" t="s">
        <v>7579</v>
      </c>
      <c r="J637" s="16" t="s">
        <v>94</v>
      </c>
      <c r="K637" s="17" t="s">
        <v>95</v>
      </c>
      <c r="L637" s="5" t="s">
        <v>7580</v>
      </c>
      <c r="M637" s="6" t="s">
        <v>1494</v>
      </c>
      <c r="N637" s="6" t="s">
        <v>2171</v>
      </c>
      <c r="O637" s="6" t="s">
        <v>94</v>
      </c>
      <c r="P637" s="5" t="s">
        <v>2272</v>
      </c>
      <c r="Q637" s="17" t="s">
        <v>95</v>
      </c>
      <c r="R637" s="5" t="s">
        <v>7581</v>
      </c>
      <c r="S637" s="6" t="s">
        <v>2275</v>
      </c>
      <c r="T637" s="5" t="s">
        <v>2276</v>
      </c>
      <c r="U637" s="6"/>
      <c r="V637" s="6" t="s">
        <v>2277</v>
      </c>
      <c r="W637" s="6" t="s">
        <v>1697</v>
      </c>
      <c r="X637" s="5" t="s">
        <v>228</v>
      </c>
      <c r="Y637" s="5" t="s">
        <v>7134</v>
      </c>
      <c r="Z637" s="5" t="str">
        <f t="shared" si="18"/>
        <v>High</v>
      </c>
      <c r="AA637" s="5" t="s">
        <v>1302</v>
      </c>
      <c r="AB637" s="6" t="s">
        <v>1355</v>
      </c>
      <c r="AC637" s="6" t="s">
        <v>99</v>
      </c>
      <c r="AD637" s="5" t="s">
        <v>95</v>
      </c>
      <c r="AE637" s="5" t="s">
        <v>1720</v>
      </c>
      <c r="AF637" s="5" t="s">
        <v>1720</v>
      </c>
      <c r="AG637" s="5" t="s">
        <v>1720</v>
      </c>
      <c r="AH637" s="5" t="s">
        <v>1720</v>
      </c>
      <c r="AI637" s="6" t="str">
        <f t="shared" si="19"/>
        <v>No</v>
      </c>
      <c r="AJ637" s="6" t="s">
        <v>229</v>
      </c>
      <c r="AK637" s="6" t="s">
        <v>94</v>
      </c>
      <c r="AL637" s="6">
        <f>MATCH(AA637,{"Low","Medium","High"},0)*MATCH(AB637,{"Low","Medium","High"},0)*INDEX({3,2,2,1,1},MATCH(X637,{"Core","Vertical extension","Differentiator","Future","Adjacent"},0))</f>
        <v>9</v>
      </c>
      <c r="AM637" s="5"/>
      <c r="AN637" s="5"/>
      <c r="AO637" s="5">
        <v>3</v>
      </c>
      <c r="AP637" s="5"/>
      <c r="AQ637" s="5"/>
      <c r="AR637" s="5" t="s">
        <v>7582</v>
      </c>
      <c r="AS637" s="51">
        <v>46300</v>
      </c>
      <c r="AT637" s="5" t="s">
        <v>2760</v>
      </c>
      <c r="AU637" s="6" t="s">
        <v>95</v>
      </c>
      <c r="AV637" s="6" t="s">
        <v>76</v>
      </c>
      <c r="AW637" s="6" t="s">
        <v>76</v>
      </c>
      <c r="AX637" s="6" t="s">
        <v>2284</v>
      </c>
      <c r="AY637" s="6" t="s">
        <v>2285</v>
      </c>
      <c r="AZ637" s="6"/>
      <c r="BA637" s="6" t="s">
        <v>7583</v>
      </c>
      <c r="BB637" s="6"/>
      <c r="BC637" s="6" t="s">
        <v>127</v>
      </c>
      <c r="BD637" s="6" t="s">
        <v>127</v>
      </c>
      <c r="BE637" s="6" t="s">
        <v>1477</v>
      </c>
      <c r="BF637" s="6" t="s">
        <v>95</v>
      </c>
      <c r="BG637" s="6" t="s">
        <v>7584</v>
      </c>
      <c r="BH637" s="6" t="s">
        <v>394</v>
      </c>
    </row>
    <row r="638" spans="1:60" ht="32" customHeight="1" x14ac:dyDescent="0.35">
      <c r="A638" s="13" t="s">
        <v>7585</v>
      </c>
      <c r="B638" s="6" t="s">
        <v>7575</v>
      </c>
      <c r="C638" s="5" t="s">
        <v>7576</v>
      </c>
      <c r="D638" s="5" t="s">
        <v>2187</v>
      </c>
      <c r="E638" s="5" t="s">
        <v>7586</v>
      </c>
      <c r="F638" s="5" t="s">
        <v>3209</v>
      </c>
      <c r="G638" s="5" t="s">
        <v>2312</v>
      </c>
      <c r="H638" s="5" t="s">
        <v>7587</v>
      </c>
      <c r="I638" s="5" t="s">
        <v>7588</v>
      </c>
      <c r="J638" s="17" t="s">
        <v>162</v>
      </c>
      <c r="K638" s="17" t="s">
        <v>1477</v>
      </c>
      <c r="L638" s="5" t="s">
        <v>7589</v>
      </c>
      <c r="M638" s="6" t="s">
        <v>1494</v>
      </c>
      <c r="N638" s="6" t="s">
        <v>2171</v>
      </c>
      <c r="O638" s="6" t="s">
        <v>162</v>
      </c>
      <c r="P638" s="5" t="s">
        <v>2272</v>
      </c>
      <c r="Q638" s="18" t="s">
        <v>1482</v>
      </c>
      <c r="R638" s="5" t="s">
        <v>7590</v>
      </c>
      <c r="S638" s="6" t="s">
        <v>2345</v>
      </c>
      <c r="T638" s="5" t="s">
        <v>2346</v>
      </c>
      <c r="U638" s="6"/>
      <c r="V638" s="6" t="s">
        <v>2347</v>
      </c>
      <c r="W638" s="6" t="s">
        <v>1697</v>
      </c>
      <c r="X638" s="5" t="s">
        <v>228</v>
      </c>
      <c r="Y638" s="5" t="s">
        <v>7134</v>
      </c>
      <c r="Z638" s="5" t="str">
        <f t="shared" si="18"/>
        <v>High</v>
      </c>
      <c r="AA638" s="5" t="s">
        <v>1302</v>
      </c>
      <c r="AB638" s="6" t="s">
        <v>1355</v>
      </c>
      <c r="AC638" s="6" t="s">
        <v>135</v>
      </c>
      <c r="AD638" s="5" t="s">
        <v>2278</v>
      </c>
      <c r="AE638" s="5" t="s">
        <v>1720</v>
      </c>
      <c r="AF638" s="5" t="s">
        <v>1720</v>
      </c>
      <c r="AG638" s="5" t="s">
        <v>1720</v>
      </c>
      <c r="AH638" s="5" t="s">
        <v>1720</v>
      </c>
      <c r="AI638" s="6" t="str">
        <f t="shared" si="19"/>
        <v>No</v>
      </c>
      <c r="AJ638" s="6" t="s">
        <v>2298</v>
      </c>
      <c r="AK638" s="6" t="s">
        <v>162</v>
      </c>
      <c r="AL638" s="6">
        <f>MATCH(AA638,{"Low","Medium","High"},0)*MATCH(AB638,{"Low","Medium","High"},0)*INDEX({3,2,2,1,1},MATCH(X638,{"Core","Vertical extension","Differentiator","Future","Adjacent"},0))</f>
        <v>9</v>
      </c>
      <c r="AM638" s="5"/>
      <c r="AN638" s="5"/>
      <c r="AO638" s="5"/>
      <c r="AP638" s="5"/>
      <c r="AQ638" s="5"/>
      <c r="AR638" s="5"/>
      <c r="AS638" s="5"/>
      <c r="AT638" s="5"/>
      <c r="AU638" s="6" t="s">
        <v>2317</v>
      </c>
      <c r="AV638" s="6" t="s">
        <v>2283</v>
      </c>
      <c r="AW638" s="6" t="s">
        <v>2283</v>
      </c>
      <c r="AX638" s="6" t="s">
        <v>2284</v>
      </c>
      <c r="AY638" s="6" t="s">
        <v>2285</v>
      </c>
      <c r="AZ638" s="6"/>
      <c r="BA638" s="6"/>
      <c r="BB638" s="6"/>
      <c r="BC638" s="6" t="s">
        <v>127</v>
      </c>
      <c r="BD638" s="6" t="s">
        <v>127</v>
      </c>
      <c r="BE638" s="6"/>
      <c r="BF638" s="6"/>
      <c r="BG638" s="6"/>
      <c r="BH638" s="6"/>
    </row>
    <row r="639" spans="1:60" ht="32" customHeight="1" x14ac:dyDescent="0.35">
      <c r="A639" s="13" t="s">
        <v>7591</v>
      </c>
      <c r="B639" s="6" t="s">
        <v>7575</v>
      </c>
      <c r="C639" s="5" t="s">
        <v>7576</v>
      </c>
      <c r="D639" s="5" t="s">
        <v>2191</v>
      </c>
      <c r="E639" s="5" t="s">
        <v>7592</v>
      </c>
      <c r="F639" s="5" t="s">
        <v>3209</v>
      </c>
      <c r="G639" s="5" t="s">
        <v>2396</v>
      </c>
      <c r="H639" s="5" t="s">
        <v>7593</v>
      </c>
      <c r="I639" s="5" t="s">
        <v>7594</v>
      </c>
      <c r="J639" s="16" t="s">
        <v>94</v>
      </c>
      <c r="K639" s="17" t="s">
        <v>1477</v>
      </c>
      <c r="L639" s="5" t="s">
        <v>7595</v>
      </c>
      <c r="M639" s="6" t="s">
        <v>1494</v>
      </c>
      <c r="N639" s="6" t="s">
        <v>2171</v>
      </c>
      <c r="O639" s="6" t="s">
        <v>94</v>
      </c>
      <c r="P639" s="5" t="s">
        <v>2272</v>
      </c>
      <c r="Q639" s="17" t="s">
        <v>2273</v>
      </c>
      <c r="R639" s="5" t="s">
        <v>7596</v>
      </c>
      <c r="S639" s="6" t="s">
        <v>2275</v>
      </c>
      <c r="T639" s="5" t="s">
        <v>2276</v>
      </c>
      <c r="U639" s="6"/>
      <c r="V639" s="6" t="s">
        <v>2277</v>
      </c>
      <c r="W639" s="6" t="s">
        <v>1697</v>
      </c>
      <c r="X639" s="5" t="s">
        <v>228</v>
      </c>
      <c r="Y639" s="5" t="s">
        <v>7134</v>
      </c>
      <c r="Z639" s="5" t="str">
        <f t="shared" si="18"/>
        <v>High</v>
      </c>
      <c r="AA639" s="5" t="s">
        <v>1302</v>
      </c>
      <c r="AB639" s="6" t="s">
        <v>1355</v>
      </c>
      <c r="AC639" s="6" t="s">
        <v>99</v>
      </c>
      <c r="AD639" s="5" t="s">
        <v>2278</v>
      </c>
      <c r="AE639" s="5" t="s">
        <v>1720</v>
      </c>
      <c r="AF639" s="5" t="s">
        <v>1720</v>
      </c>
      <c r="AG639" s="5" t="s">
        <v>1720</v>
      </c>
      <c r="AH639" s="5" t="s">
        <v>1720</v>
      </c>
      <c r="AI639" s="6" t="str">
        <f t="shared" si="19"/>
        <v>No</v>
      </c>
      <c r="AJ639" s="6" t="s">
        <v>2298</v>
      </c>
      <c r="AK639" s="6" t="s">
        <v>94</v>
      </c>
      <c r="AL639" s="6">
        <f>MATCH(AA639,{"Low","Medium","High"},0)*MATCH(AB639,{"Low","Medium","High"},0)*INDEX({3,2,2,1,1},MATCH(X639,{"Core","Vertical extension","Differentiator","Future","Adjacent"},0))</f>
        <v>9</v>
      </c>
      <c r="AM639" s="5"/>
      <c r="AN639" s="5"/>
      <c r="AO639" s="5"/>
      <c r="AP639" s="5"/>
      <c r="AQ639" s="5"/>
      <c r="AR639" s="5"/>
      <c r="AS639" s="5"/>
      <c r="AT639" s="5"/>
      <c r="AU639" s="6" t="s">
        <v>2317</v>
      </c>
      <c r="AV639" s="6" t="s">
        <v>2283</v>
      </c>
      <c r="AW639" s="6" t="s">
        <v>2283</v>
      </c>
      <c r="AX639" s="6" t="s">
        <v>2284</v>
      </c>
      <c r="AY639" s="6" t="s">
        <v>2285</v>
      </c>
      <c r="AZ639" s="6"/>
      <c r="BA639" s="6"/>
      <c r="BB639" s="6"/>
      <c r="BC639" s="6" t="s">
        <v>127</v>
      </c>
      <c r="BD639" s="6" t="s">
        <v>127</v>
      </c>
      <c r="BE639" s="6" t="s">
        <v>1477</v>
      </c>
      <c r="BF639" s="6" t="s">
        <v>2286</v>
      </c>
      <c r="BG639" s="6" t="s">
        <v>7597</v>
      </c>
      <c r="BH639" s="6" t="s">
        <v>7598</v>
      </c>
    </row>
    <row r="640" spans="1:60" ht="32" customHeight="1" x14ac:dyDescent="0.35">
      <c r="A640" s="13" t="s">
        <v>7599</v>
      </c>
      <c r="B640" s="6" t="s">
        <v>7575</v>
      </c>
      <c r="C640" s="5" t="s">
        <v>7576</v>
      </c>
      <c r="D640" s="5" t="s">
        <v>2185</v>
      </c>
      <c r="E640" s="5" t="s">
        <v>7600</v>
      </c>
      <c r="F640" s="5" t="s">
        <v>7601</v>
      </c>
      <c r="G640" s="5" t="s">
        <v>5739</v>
      </c>
      <c r="H640" s="5" t="s">
        <v>7602</v>
      </c>
      <c r="I640" s="5" t="s">
        <v>7603</v>
      </c>
      <c r="J640" s="16" t="s">
        <v>94</v>
      </c>
      <c r="K640" s="17" t="s">
        <v>1477</v>
      </c>
      <c r="L640" s="5" t="s">
        <v>7604</v>
      </c>
      <c r="M640" s="6" t="s">
        <v>1494</v>
      </c>
      <c r="N640" s="6" t="s">
        <v>2171</v>
      </c>
      <c r="O640" s="6" t="s">
        <v>94</v>
      </c>
      <c r="P640" s="5" t="s">
        <v>2272</v>
      </c>
      <c r="Q640" s="17" t="s">
        <v>2273</v>
      </c>
      <c r="R640" s="5" t="s">
        <v>7605</v>
      </c>
      <c r="S640" s="6" t="s">
        <v>2409</v>
      </c>
      <c r="T640" s="5" t="s">
        <v>2185</v>
      </c>
      <c r="U640" s="6"/>
      <c r="V640" s="6" t="s">
        <v>2277</v>
      </c>
      <c r="W640" s="6" t="s">
        <v>1699</v>
      </c>
      <c r="X640" s="5" t="s">
        <v>228</v>
      </c>
      <c r="Y640" s="5" t="s">
        <v>7134</v>
      </c>
      <c r="Z640" s="5" t="str">
        <f t="shared" si="18"/>
        <v>Critical</v>
      </c>
      <c r="AA640" s="5" t="s">
        <v>1302</v>
      </c>
      <c r="AB640" s="6" t="s">
        <v>1319</v>
      </c>
      <c r="AC640" s="6" t="s">
        <v>99</v>
      </c>
      <c r="AD640" s="5" t="s">
        <v>2278</v>
      </c>
      <c r="AE640" s="5" t="s">
        <v>1720</v>
      </c>
      <c r="AF640" s="5" t="s">
        <v>1720</v>
      </c>
      <c r="AG640" s="5" t="s">
        <v>1720</v>
      </c>
      <c r="AH640" s="5" t="s">
        <v>1720</v>
      </c>
      <c r="AI640" s="6" t="str">
        <f t="shared" si="19"/>
        <v>No</v>
      </c>
      <c r="AJ640" s="6" t="s">
        <v>2279</v>
      </c>
      <c r="AK640" s="6" t="s">
        <v>94</v>
      </c>
      <c r="AL640" s="6">
        <f>MATCH(AA640,{"Low","Medium","High"},0)*MATCH(AB640,{"Low","Medium","High"},0)*INDEX({3,2,2,1,1},MATCH(X640,{"Core","Vertical extension","Differentiator","Future","Adjacent"},0))</f>
        <v>18</v>
      </c>
      <c r="AM640" s="5"/>
      <c r="AN640" s="5"/>
      <c r="AO640" s="5"/>
      <c r="AP640" s="5"/>
      <c r="AQ640" s="5"/>
      <c r="AR640" s="5" t="s">
        <v>7606</v>
      </c>
      <c r="AS640" s="5" t="s">
        <v>1462</v>
      </c>
      <c r="AT640" s="5" t="s">
        <v>2281</v>
      </c>
      <c r="AU640" s="6" t="s">
        <v>2282</v>
      </c>
      <c r="AV640" s="6" t="s">
        <v>3968</v>
      </c>
      <c r="AW640" s="6" t="s">
        <v>3968</v>
      </c>
      <c r="AX640" s="6" t="s">
        <v>2284</v>
      </c>
      <c r="AY640" s="6" t="s">
        <v>2411</v>
      </c>
      <c r="AZ640" s="6"/>
      <c r="BA640" s="6"/>
      <c r="BB640" s="6"/>
      <c r="BC640" s="6" t="s">
        <v>127</v>
      </c>
      <c r="BD640" s="6" t="s">
        <v>127</v>
      </c>
      <c r="BE640" s="6" t="s">
        <v>1477</v>
      </c>
      <c r="BF640" s="6" t="s">
        <v>2286</v>
      </c>
      <c r="BG640" s="6" t="s">
        <v>7607</v>
      </c>
      <c r="BH640" s="6" t="s">
        <v>7608</v>
      </c>
    </row>
    <row r="641" spans="1:60" ht="32" customHeight="1" x14ac:dyDescent="0.35">
      <c r="A641" s="13" t="s">
        <v>7609</v>
      </c>
      <c r="B641" s="6" t="s">
        <v>7575</v>
      </c>
      <c r="C641" s="5" t="s">
        <v>7576</v>
      </c>
      <c r="D641" s="5" t="s">
        <v>2189</v>
      </c>
      <c r="E641" s="5" t="s">
        <v>7610</v>
      </c>
      <c r="F641" s="5" t="s">
        <v>7601</v>
      </c>
      <c r="G641" s="5" t="s">
        <v>2973</v>
      </c>
      <c r="H641" s="5" t="s">
        <v>7611</v>
      </c>
      <c r="I641" s="5" t="s">
        <v>7612</v>
      </c>
      <c r="J641" s="17" t="s">
        <v>162</v>
      </c>
      <c r="K641" s="17" t="s">
        <v>1477</v>
      </c>
      <c r="L641" s="5" t="s">
        <v>7613</v>
      </c>
      <c r="M641" s="6" t="s">
        <v>1494</v>
      </c>
      <c r="N641" s="6" t="s">
        <v>2171</v>
      </c>
      <c r="O641" s="6" t="s">
        <v>162</v>
      </c>
      <c r="P641" s="5" t="s">
        <v>2272</v>
      </c>
      <c r="Q641" s="18" t="s">
        <v>1482</v>
      </c>
      <c r="R641" s="5" t="s">
        <v>7614</v>
      </c>
      <c r="S641" s="6" t="s">
        <v>2325</v>
      </c>
      <c r="T641" s="5" t="s">
        <v>2326</v>
      </c>
      <c r="U641" s="6"/>
      <c r="V641" s="6" t="s">
        <v>2327</v>
      </c>
      <c r="W641" s="6" t="s">
        <v>1699</v>
      </c>
      <c r="X641" s="5" t="s">
        <v>228</v>
      </c>
      <c r="Y641" s="5" t="s">
        <v>7134</v>
      </c>
      <c r="Z641" s="5" t="str">
        <f t="shared" si="18"/>
        <v>Medium</v>
      </c>
      <c r="AA641" s="5" t="s">
        <v>1319</v>
      </c>
      <c r="AB641" s="6" t="s">
        <v>1355</v>
      </c>
      <c r="AC641" s="6" t="s">
        <v>135</v>
      </c>
      <c r="AD641" s="5" t="s">
        <v>2278</v>
      </c>
      <c r="AE641" s="5" t="s">
        <v>1720</v>
      </c>
      <c r="AF641" s="5" t="s">
        <v>1720</v>
      </c>
      <c r="AG641" s="5" t="s">
        <v>1720</v>
      </c>
      <c r="AH641" s="5" t="s">
        <v>1720</v>
      </c>
      <c r="AI641" s="6" t="str">
        <f t="shared" si="19"/>
        <v>No</v>
      </c>
      <c r="AJ641" s="6" t="s">
        <v>2298</v>
      </c>
      <c r="AK641" s="6" t="s">
        <v>162</v>
      </c>
      <c r="AL641" s="6">
        <f>MATCH(AA641,{"Low","Medium","High"},0)*MATCH(AB641,{"Low","Medium","High"},0)*INDEX({3,2,2,1,1},MATCH(X641,{"Core","Vertical extension","Differentiator","Future","Adjacent"},0))</f>
        <v>6</v>
      </c>
      <c r="AM641" s="5"/>
      <c r="AN641" s="5"/>
      <c r="AO641" s="5"/>
      <c r="AP641" s="5"/>
      <c r="AQ641" s="5"/>
      <c r="AR641" s="5"/>
      <c r="AS641" s="5"/>
      <c r="AT641" s="5"/>
      <c r="AU641" s="6" t="s">
        <v>2317</v>
      </c>
      <c r="AV641" s="6" t="s">
        <v>3968</v>
      </c>
      <c r="AW641" s="6" t="s">
        <v>3968</v>
      </c>
      <c r="AX641" s="6" t="s">
        <v>2284</v>
      </c>
      <c r="AY641" s="6" t="s">
        <v>2285</v>
      </c>
      <c r="AZ641" s="6"/>
      <c r="BA641" s="6"/>
      <c r="BB641" s="6"/>
      <c r="BC641" s="6" t="s">
        <v>127</v>
      </c>
      <c r="BD641" s="6" t="s">
        <v>127</v>
      </c>
      <c r="BE641" s="6"/>
      <c r="BF641" s="6"/>
      <c r="BG641" s="6"/>
      <c r="BH641" s="6"/>
    </row>
    <row r="642" spans="1:60" ht="32" customHeight="1" x14ac:dyDescent="0.35">
      <c r="A642" s="13" t="s">
        <v>7615</v>
      </c>
      <c r="B642" s="6" t="s">
        <v>7575</v>
      </c>
      <c r="C642" s="5" t="s">
        <v>7576</v>
      </c>
      <c r="D642" s="5" t="s">
        <v>2185</v>
      </c>
      <c r="E642" s="5" t="s">
        <v>7616</v>
      </c>
      <c r="F642" s="5" t="s">
        <v>7617</v>
      </c>
      <c r="G642" s="5" t="s">
        <v>5739</v>
      </c>
      <c r="H642" s="5" t="s">
        <v>7618</v>
      </c>
      <c r="I642" s="5" t="s">
        <v>7619</v>
      </c>
      <c r="J642" s="16" t="s">
        <v>94</v>
      </c>
      <c r="K642" s="17" t="s">
        <v>1477</v>
      </c>
      <c r="L642" s="5" t="s">
        <v>7620</v>
      </c>
      <c r="M642" s="6" t="s">
        <v>1494</v>
      </c>
      <c r="N642" s="6" t="s">
        <v>2171</v>
      </c>
      <c r="O642" s="6" t="s">
        <v>94</v>
      </c>
      <c r="P642" s="5" t="s">
        <v>2272</v>
      </c>
      <c r="Q642" s="18" t="s">
        <v>1482</v>
      </c>
      <c r="R642" s="5" t="s">
        <v>7446</v>
      </c>
      <c r="S642" s="6" t="s">
        <v>2409</v>
      </c>
      <c r="T642" s="5" t="s">
        <v>2185</v>
      </c>
      <c r="U642" s="6"/>
      <c r="V642" s="6" t="s">
        <v>3411</v>
      </c>
      <c r="W642" s="6" t="s">
        <v>1699</v>
      </c>
      <c r="X642" s="5" t="s">
        <v>228</v>
      </c>
      <c r="Y642" s="5" t="s">
        <v>7134</v>
      </c>
      <c r="Z642" s="5" t="str">
        <f t="shared" ref="Z642:Z705" si="20">IF(AL642&gt;=18,"Critical",IF(AL642&gt;=9,"High",IF(AL642&gt;=4,"Medium","Low")))</f>
        <v>Critical</v>
      </c>
      <c r="AA642" s="5" t="s">
        <v>1302</v>
      </c>
      <c r="AB642" s="6" t="s">
        <v>1319</v>
      </c>
      <c r="AC642" s="6" t="s">
        <v>99</v>
      </c>
      <c r="AD642" s="5" t="s">
        <v>2278</v>
      </c>
      <c r="AE642" s="5" t="s">
        <v>1720</v>
      </c>
      <c r="AF642" s="5" t="s">
        <v>1720</v>
      </c>
      <c r="AG642" s="5" t="s">
        <v>1720</v>
      </c>
      <c r="AH642" s="5" t="s">
        <v>1720</v>
      </c>
      <c r="AI642" s="6" t="str">
        <f t="shared" ref="AI642:AI705" si="21">IF(AND(AU642="Pass",AE642&lt;&gt;"Not verified",AF642&lt;&gt;"Not verified",AG642&lt;&gt;"Not verified",AH642&lt;&gt;"Not verified",BC642="Yes",BD642="Yes"),"Yes","No")</f>
        <v>No</v>
      </c>
      <c r="AJ642" s="6" t="s">
        <v>2298</v>
      </c>
      <c r="AK642" s="6" t="s">
        <v>94</v>
      </c>
      <c r="AL642" s="6">
        <f>MATCH(AA642,{"Low","Medium","High"},0)*MATCH(AB642,{"Low","Medium","High"},0)*INDEX({3,2,2,1,1},MATCH(X642,{"Core","Vertical extension","Differentiator","Future","Adjacent"},0))</f>
        <v>18</v>
      </c>
      <c r="AM642" s="5"/>
      <c r="AN642" s="5"/>
      <c r="AO642" s="5"/>
      <c r="AP642" s="5"/>
      <c r="AQ642" s="5"/>
      <c r="AR642" s="5" t="s">
        <v>7621</v>
      </c>
      <c r="AS642" s="5" t="s">
        <v>1462</v>
      </c>
      <c r="AT642" s="5" t="s">
        <v>2281</v>
      </c>
      <c r="AU642" s="6" t="s">
        <v>95</v>
      </c>
      <c r="AV642" s="6" t="s">
        <v>3968</v>
      </c>
      <c r="AW642" s="6" t="s">
        <v>3968</v>
      </c>
      <c r="AX642" s="6" t="s">
        <v>2284</v>
      </c>
      <c r="AY642" s="6" t="s">
        <v>2411</v>
      </c>
      <c r="AZ642" s="6"/>
      <c r="BA642" s="6"/>
      <c r="BB642" s="6"/>
      <c r="BC642" s="6" t="s">
        <v>127</v>
      </c>
      <c r="BD642" s="6" t="s">
        <v>127</v>
      </c>
      <c r="BE642" s="6"/>
      <c r="BF642" s="6"/>
      <c r="BG642" s="6"/>
      <c r="BH642" s="6"/>
    </row>
    <row r="643" spans="1:60" ht="32" customHeight="1" x14ac:dyDescent="0.35">
      <c r="A643" s="13" t="s">
        <v>7622</v>
      </c>
      <c r="B643" s="6" t="s">
        <v>7575</v>
      </c>
      <c r="C643" s="5" t="s">
        <v>7576</v>
      </c>
      <c r="D643" s="5" t="s">
        <v>2185</v>
      </c>
      <c r="E643" s="5" t="s">
        <v>7623</v>
      </c>
      <c r="F643" s="5" t="s">
        <v>7624</v>
      </c>
      <c r="G643" s="5" t="s">
        <v>3209</v>
      </c>
      <c r="H643" s="5" t="s">
        <v>7625</v>
      </c>
      <c r="I643" s="5" t="s">
        <v>7626</v>
      </c>
      <c r="J643" s="17" t="s">
        <v>162</v>
      </c>
      <c r="K643" s="17" t="s">
        <v>1477</v>
      </c>
      <c r="L643" s="5" t="s">
        <v>7627</v>
      </c>
      <c r="M643" s="6" t="s">
        <v>1494</v>
      </c>
      <c r="N643" s="6" t="s">
        <v>2171</v>
      </c>
      <c r="O643" s="6" t="s">
        <v>162</v>
      </c>
      <c r="P643" s="5" t="s">
        <v>2272</v>
      </c>
      <c r="Q643" s="17" t="s">
        <v>2273</v>
      </c>
      <c r="R643" s="5" t="s">
        <v>7628</v>
      </c>
      <c r="S643" s="6" t="s">
        <v>2409</v>
      </c>
      <c r="T643" s="5" t="s">
        <v>2185</v>
      </c>
      <c r="U643" s="6"/>
      <c r="V643" s="6" t="s">
        <v>2403</v>
      </c>
      <c r="W643" s="6" t="s">
        <v>1699</v>
      </c>
      <c r="X643" s="5" t="s">
        <v>228</v>
      </c>
      <c r="Y643" s="5" t="s">
        <v>7134</v>
      </c>
      <c r="Z643" s="5" t="str">
        <f t="shared" si="20"/>
        <v>High</v>
      </c>
      <c r="AA643" s="5" t="s">
        <v>1319</v>
      </c>
      <c r="AB643" s="6" t="s">
        <v>1319</v>
      </c>
      <c r="AC643" s="6" t="s">
        <v>135</v>
      </c>
      <c r="AD643" s="5" t="s">
        <v>2278</v>
      </c>
      <c r="AE643" s="5" t="s">
        <v>1720</v>
      </c>
      <c r="AF643" s="5" t="s">
        <v>1720</v>
      </c>
      <c r="AG643" s="5" t="s">
        <v>1720</v>
      </c>
      <c r="AH643" s="5" t="s">
        <v>1720</v>
      </c>
      <c r="AI643" s="6" t="str">
        <f t="shared" si="21"/>
        <v>No</v>
      </c>
      <c r="AJ643" s="6" t="s">
        <v>2298</v>
      </c>
      <c r="AK643" s="6" t="s">
        <v>162</v>
      </c>
      <c r="AL643" s="6">
        <f>MATCH(AA643,{"Low","Medium","High"},0)*MATCH(AB643,{"Low","Medium","High"},0)*INDEX({3,2,2,1,1},MATCH(X643,{"Core","Vertical extension","Differentiator","Future","Adjacent"},0))</f>
        <v>12</v>
      </c>
      <c r="AM643" s="5"/>
      <c r="AN643" s="5"/>
      <c r="AO643" s="5"/>
      <c r="AP643" s="5"/>
      <c r="AQ643" s="5"/>
      <c r="AR643" s="5"/>
      <c r="AS643" s="5"/>
      <c r="AT643" s="5"/>
      <c r="AU643" s="6" t="s">
        <v>2317</v>
      </c>
      <c r="AV643" s="6" t="s">
        <v>3968</v>
      </c>
      <c r="AW643" s="6" t="s">
        <v>3968</v>
      </c>
      <c r="AX643" s="6" t="s">
        <v>2284</v>
      </c>
      <c r="AY643" s="6" t="s">
        <v>2411</v>
      </c>
      <c r="AZ643" s="6"/>
      <c r="BA643" s="6"/>
      <c r="BB643" s="6"/>
      <c r="BC643" s="6" t="s">
        <v>127</v>
      </c>
      <c r="BD643" s="6" t="s">
        <v>127</v>
      </c>
      <c r="BE643" s="6" t="s">
        <v>1477</v>
      </c>
      <c r="BF643" s="6" t="s">
        <v>2286</v>
      </c>
      <c r="BG643" s="6" t="s">
        <v>7629</v>
      </c>
      <c r="BH643" s="6" t="s">
        <v>7630</v>
      </c>
    </row>
    <row r="644" spans="1:60" ht="32" customHeight="1" x14ac:dyDescent="0.35">
      <c r="A644" s="13" t="s">
        <v>7631</v>
      </c>
      <c r="B644" s="6" t="s">
        <v>7575</v>
      </c>
      <c r="C644" s="5" t="s">
        <v>7576</v>
      </c>
      <c r="D644" s="5" t="s">
        <v>2185</v>
      </c>
      <c r="E644" s="5" t="s">
        <v>7632</v>
      </c>
      <c r="F644" s="5" t="s">
        <v>7617</v>
      </c>
      <c r="G644" s="5" t="s">
        <v>7633</v>
      </c>
      <c r="H644" s="5" t="s">
        <v>7634</v>
      </c>
      <c r="I644" s="5" t="s">
        <v>7635</v>
      </c>
      <c r="J644" s="17" t="s">
        <v>162</v>
      </c>
      <c r="K644" s="17" t="s">
        <v>163</v>
      </c>
      <c r="L644" s="5" t="s">
        <v>7636</v>
      </c>
      <c r="M644" s="6" t="s">
        <v>1494</v>
      </c>
      <c r="N644" s="6" t="s">
        <v>2171</v>
      </c>
      <c r="O644" s="6" t="s">
        <v>162</v>
      </c>
      <c r="P644" s="5" t="s">
        <v>2272</v>
      </c>
      <c r="Q644" s="17" t="s">
        <v>163</v>
      </c>
      <c r="R644" s="5" t="s">
        <v>7637</v>
      </c>
      <c r="S644" s="6" t="s">
        <v>2409</v>
      </c>
      <c r="T644" s="5" t="s">
        <v>2185</v>
      </c>
      <c r="U644" s="6"/>
      <c r="V644" s="6" t="s">
        <v>2347</v>
      </c>
      <c r="W644" s="6" t="s">
        <v>1699</v>
      </c>
      <c r="X644" s="5" t="s">
        <v>228</v>
      </c>
      <c r="Y644" s="5" t="s">
        <v>7134</v>
      </c>
      <c r="Z644" s="5" t="str">
        <f t="shared" si="20"/>
        <v>High</v>
      </c>
      <c r="AA644" s="5" t="s">
        <v>1319</v>
      </c>
      <c r="AB644" s="6" t="s">
        <v>1319</v>
      </c>
      <c r="AC644" s="6" t="s">
        <v>135</v>
      </c>
      <c r="AD644" s="5" t="s">
        <v>1805</v>
      </c>
      <c r="AE644" s="5" t="s">
        <v>1720</v>
      </c>
      <c r="AF644" s="5" t="s">
        <v>1720</v>
      </c>
      <c r="AG644" s="5" t="s">
        <v>1720</v>
      </c>
      <c r="AH644" s="5" t="s">
        <v>1720</v>
      </c>
      <c r="AI644" s="6" t="str">
        <f t="shared" si="21"/>
        <v>No</v>
      </c>
      <c r="AJ644" s="6" t="s">
        <v>287</v>
      </c>
      <c r="AK644" s="6" t="s">
        <v>162</v>
      </c>
      <c r="AL644" s="6">
        <f>MATCH(AA644,{"Low","Medium","High"},0)*MATCH(AB644,{"Low","Medium","High"},0)*INDEX({3,2,2,1,1},MATCH(X644,{"Core","Vertical extension","Differentiator","Future","Adjacent"},0))</f>
        <v>12</v>
      </c>
      <c r="AM644" s="5"/>
      <c r="AN644" s="5"/>
      <c r="AO644" s="5"/>
      <c r="AP644" s="5"/>
      <c r="AQ644" s="5"/>
      <c r="AR644" s="5"/>
      <c r="AS644" s="5"/>
      <c r="AT644" s="5"/>
      <c r="AU644" s="6" t="s">
        <v>2317</v>
      </c>
      <c r="AV644" s="6" t="s">
        <v>3968</v>
      </c>
      <c r="AW644" s="6" t="s">
        <v>3968</v>
      </c>
      <c r="AX644" s="6" t="s">
        <v>2284</v>
      </c>
      <c r="AY644" s="6" t="s">
        <v>2411</v>
      </c>
      <c r="AZ644" s="6"/>
      <c r="BA644" s="6"/>
      <c r="BB644" s="6"/>
      <c r="BC644" s="6" t="s">
        <v>127</v>
      </c>
      <c r="BD644" s="6" t="s">
        <v>127</v>
      </c>
      <c r="BE644" s="6" t="s">
        <v>1477</v>
      </c>
      <c r="BF644" s="6" t="s">
        <v>288</v>
      </c>
      <c r="BG644" s="6" t="s">
        <v>7638</v>
      </c>
      <c r="BH644" s="6" t="s">
        <v>7639</v>
      </c>
    </row>
    <row r="645" spans="1:60" ht="32" customHeight="1" x14ac:dyDescent="0.35">
      <c r="A645" s="13" t="s">
        <v>7640</v>
      </c>
      <c r="B645" s="6" t="s">
        <v>7575</v>
      </c>
      <c r="C645" s="5" t="s">
        <v>7576</v>
      </c>
      <c r="D645" s="5" t="s">
        <v>2185</v>
      </c>
      <c r="E645" s="5" t="s">
        <v>7641</v>
      </c>
      <c r="F645" s="5" t="s">
        <v>7642</v>
      </c>
      <c r="G645" s="5" t="s">
        <v>5739</v>
      </c>
      <c r="H645" s="5" t="s">
        <v>7643</v>
      </c>
      <c r="I645" s="5" t="s">
        <v>7644</v>
      </c>
      <c r="J645" s="21" t="s">
        <v>213</v>
      </c>
      <c r="K645" s="17" t="s">
        <v>163</v>
      </c>
      <c r="L645" s="5" t="s">
        <v>7645</v>
      </c>
      <c r="M645" s="6" t="s">
        <v>1494</v>
      </c>
      <c r="N645" s="6" t="s">
        <v>2171</v>
      </c>
      <c r="O645" s="6" t="s">
        <v>204</v>
      </c>
      <c r="P645" s="5" t="s">
        <v>6999</v>
      </c>
      <c r="Q645" s="17" t="s">
        <v>163</v>
      </c>
      <c r="R645" s="5" t="s">
        <v>7646</v>
      </c>
      <c r="S645" s="6" t="s">
        <v>2409</v>
      </c>
      <c r="T645" s="5" t="s">
        <v>2185</v>
      </c>
      <c r="U645" s="6"/>
      <c r="V645" s="6" t="s">
        <v>3411</v>
      </c>
      <c r="W645" s="6" t="s">
        <v>1699</v>
      </c>
      <c r="X645" s="5" t="s">
        <v>415</v>
      </c>
      <c r="Y645" s="5" t="s">
        <v>7134</v>
      </c>
      <c r="Z645" s="5" t="str">
        <f t="shared" si="20"/>
        <v>Low</v>
      </c>
      <c r="AA645" s="5" t="s">
        <v>1355</v>
      </c>
      <c r="AB645" s="6" t="s">
        <v>1319</v>
      </c>
      <c r="AC645" s="6" t="s">
        <v>32</v>
      </c>
      <c r="AD645" s="5" t="s">
        <v>1805</v>
      </c>
      <c r="AE645" s="5" t="s">
        <v>1720</v>
      </c>
      <c r="AF645" s="5" t="s">
        <v>1720</v>
      </c>
      <c r="AG645" s="5" t="s">
        <v>1720</v>
      </c>
      <c r="AH645" s="5" t="s">
        <v>1720</v>
      </c>
      <c r="AI645" s="6" t="str">
        <f t="shared" si="21"/>
        <v>No</v>
      </c>
      <c r="AJ645" s="6" t="s">
        <v>287</v>
      </c>
      <c r="AK645" s="6" t="s">
        <v>213</v>
      </c>
      <c r="AL645" s="6">
        <f>MATCH(AA645,{"Low","Medium","High"},0)*MATCH(AB645,{"Low","Medium","High"},0)*INDEX({3,2,2,1,1},MATCH(X645,{"Core","Vertical extension","Differentiator","Future","Adjacent"},0))</f>
        <v>2</v>
      </c>
      <c r="AM645" s="5"/>
      <c r="AN645" s="5"/>
      <c r="AO645" s="5"/>
      <c r="AP645" s="5"/>
      <c r="AQ645" s="5"/>
      <c r="AR645" s="5"/>
      <c r="AS645" s="5"/>
      <c r="AT645" s="5"/>
      <c r="AU645" s="6" t="s">
        <v>2317</v>
      </c>
      <c r="AV645" s="6" t="s">
        <v>3968</v>
      </c>
      <c r="AW645" s="6" t="s">
        <v>3968</v>
      </c>
      <c r="AX645" s="6" t="s">
        <v>7001</v>
      </c>
      <c r="AY645" s="6" t="s">
        <v>2411</v>
      </c>
      <c r="AZ645" s="6"/>
      <c r="BA645" s="6"/>
      <c r="BB645" s="6"/>
      <c r="BC645" s="6" t="s">
        <v>127</v>
      </c>
      <c r="BD645" s="6" t="s">
        <v>127</v>
      </c>
      <c r="BE645" s="6" t="s">
        <v>1477</v>
      </c>
      <c r="BF645" s="6" t="s">
        <v>288</v>
      </c>
      <c r="BG645" s="6" t="s">
        <v>7647</v>
      </c>
      <c r="BH645" s="6" t="s">
        <v>7648</v>
      </c>
    </row>
    <row r="646" spans="1:60" ht="32" customHeight="1" x14ac:dyDescent="0.35">
      <c r="A646" s="13" t="s">
        <v>7649</v>
      </c>
      <c r="B646" s="6" t="s">
        <v>7575</v>
      </c>
      <c r="C646" s="5" t="s">
        <v>7576</v>
      </c>
      <c r="D646" s="5" t="s">
        <v>2189</v>
      </c>
      <c r="E646" s="5" t="s">
        <v>7650</v>
      </c>
      <c r="F646" s="5" t="s">
        <v>5441</v>
      </c>
      <c r="G646" s="5" t="s">
        <v>2813</v>
      </c>
      <c r="H646" s="5" t="s">
        <v>7651</v>
      </c>
      <c r="I646" s="5" t="s">
        <v>7652</v>
      </c>
      <c r="J646" s="17" t="s">
        <v>162</v>
      </c>
      <c r="K646" s="17" t="s">
        <v>1477</v>
      </c>
      <c r="L646" s="5" t="s">
        <v>7653</v>
      </c>
      <c r="M646" s="6" t="s">
        <v>1494</v>
      </c>
      <c r="N646" s="6" t="s">
        <v>2171</v>
      </c>
      <c r="O646" s="6" t="s">
        <v>162</v>
      </c>
      <c r="P646" s="5" t="s">
        <v>2272</v>
      </c>
      <c r="Q646" s="18" t="s">
        <v>1482</v>
      </c>
      <c r="R646" s="5" t="s">
        <v>2324</v>
      </c>
      <c r="S646" s="6" t="s">
        <v>2325</v>
      </c>
      <c r="T646" s="5" t="s">
        <v>2326</v>
      </c>
      <c r="U646" s="6"/>
      <c r="V646" s="6" t="s">
        <v>2327</v>
      </c>
      <c r="W646" s="6" t="s">
        <v>1699</v>
      </c>
      <c r="X646" s="5" t="s">
        <v>228</v>
      </c>
      <c r="Y646" s="5" t="s">
        <v>7134</v>
      </c>
      <c r="Z646" s="5" t="str">
        <f t="shared" si="20"/>
        <v>Medium</v>
      </c>
      <c r="AA646" s="5" t="s">
        <v>1319</v>
      </c>
      <c r="AB646" s="6" t="s">
        <v>1355</v>
      </c>
      <c r="AC646" s="6" t="s">
        <v>135</v>
      </c>
      <c r="AD646" s="5" t="s">
        <v>2278</v>
      </c>
      <c r="AE646" s="5" t="s">
        <v>1720</v>
      </c>
      <c r="AF646" s="5" t="s">
        <v>1720</v>
      </c>
      <c r="AG646" s="5" t="s">
        <v>1720</v>
      </c>
      <c r="AH646" s="5" t="s">
        <v>1720</v>
      </c>
      <c r="AI646" s="6" t="str">
        <f t="shared" si="21"/>
        <v>No</v>
      </c>
      <c r="AJ646" s="6" t="s">
        <v>2298</v>
      </c>
      <c r="AK646" s="6" t="s">
        <v>162</v>
      </c>
      <c r="AL646" s="6">
        <f>MATCH(AA646,{"Low","Medium","High"},0)*MATCH(AB646,{"Low","Medium","High"},0)*INDEX({3,2,2,1,1},MATCH(X646,{"Core","Vertical extension","Differentiator","Future","Adjacent"},0))</f>
        <v>6</v>
      </c>
      <c r="AM646" s="5"/>
      <c r="AN646" s="5"/>
      <c r="AO646" s="5"/>
      <c r="AP646" s="5"/>
      <c r="AQ646" s="5"/>
      <c r="AR646" s="5"/>
      <c r="AS646" s="5"/>
      <c r="AT646" s="5"/>
      <c r="AU646" s="6" t="s">
        <v>2317</v>
      </c>
      <c r="AV646" s="6" t="s">
        <v>3968</v>
      </c>
      <c r="AW646" s="6" t="s">
        <v>3968</v>
      </c>
      <c r="AX646" s="6" t="s">
        <v>2284</v>
      </c>
      <c r="AY646" s="6" t="s">
        <v>2285</v>
      </c>
      <c r="AZ646" s="6"/>
      <c r="BA646" s="6" t="s">
        <v>2328</v>
      </c>
      <c r="BB646" s="6" t="s">
        <v>2329</v>
      </c>
      <c r="BC646" s="6" t="s">
        <v>127</v>
      </c>
      <c r="BD646" s="6" t="s">
        <v>127</v>
      </c>
      <c r="BE646" s="6"/>
      <c r="BF646" s="6"/>
      <c r="BG646" s="6"/>
      <c r="BH646" s="6"/>
    </row>
    <row r="647" spans="1:60" ht="32" customHeight="1" x14ac:dyDescent="0.35">
      <c r="A647" s="13" t="s">
        <v>7654</v>
      </c>
      <c r="B647" s="6" t="s">
        <v>7575</v>
      </c>
      <c r="C647" s="5" t="s">
        <v>7576</v>
      </c>
      <c r="D647" s="5" t="s">
        <v>2185</v>
      </c>
      <c r="E647" s="5" t="s">
        <v>7655</v>
      </c>
      <c r="F647" s="5" t="s">
        <v>7656</v>
      </c>
      <c r="G647" s="5" t="s">
        <v>3173</v>
      </c>
      <c r="H647" s="5" t="s">
        <v>7657</v>
      </c>
      <c r="I647" s="5" t="s">
        <v>7658</v>
      </c>
      <c r="J647" s="16" t="s">
        <v>94</v>
      </c>
      <c r="K647" s="17" t="s">
        <v>1477</v>
      </c>
      <c r="L647" s="5" t="s">
        <v>7659</v>
      </c>
      <c r="M647" s="6" t="s">
        <v>1494</v>
      </c>
      <c r="N647" s="6" t="s">
        <v>2171</v>
      </c>
      <c r="O647" s="6" t="s">
        <v>94</v>
      </c>
      <c r="P647" s="5" t="s">
        <v>2272</v>
      </c>
      <c r="Q647" s="17" t="s">
        <v>2273</v>
      </c>
      <c r="R647" s="5" t="s">
        <v>7660</v>
      </c>
      <c r="S647" s="6" t="s">
        <v>2409</v>
      </c>
      <c r="T647" s="5" t="s">
        <v>2185</v>
      </c>
      <c r="U647" s="6"/>
      <c r="V647" s="6" t="s">
        <v>3411</v>
      </c>
      <c r="W647" s="6" t="s">
        <v>1699</v>
      </c>
      <c r="X647" s="5" t="s">
        <v>228</v>
      </c>
      <c r="Y647" s="5" t="s">
        <v>7134</v>
      </c>
      <c r="Z647" s="5" t="str">
        <f t="shared" si="20"/>
        <v>Critical</v>
      </c>
      <c r="AA647" s="5" t="s">
        <v>1302</v>
      </c>
      <c r="AB647" s="6" t="s">
        <v>1319</v>
      </c>
      <c r="AC647" s="6" t="s">
        <v>99</v>
      </c>
      <c r="AD647" s="5" t="s">
        <v>2278</v>
      </c>
      <c r="AE647" s="5" t="s">
        <v>1720</v>
      </c>
      <c r="AF647" s="5" t="s">
        <v>1720</v>
      </c>
      <c r="AG647" s="5" t="s">
        <v>1720</v>
      </c>
      <c r="AH647" s="5" t="s">
        <v>1720</v>
      </c>
      <c r="AI647" s="6" t="str">
        <f t="shared" si="21"/>
        <v>No</v>
      </c>
      <c r="AJ647" s="6" t="s">
        <v>2298</v>
      </c>
      <c r="AK647" s="6" t="s">
        <v>94</v>
      </c>
      <c r="AL647" s="6">
        <f>MATCH(AA647,{"Low","Medium","High"},0)*MATCH(AB647,{"Low","Medium","High"},0)*INDEX({3,2,2,1,1},MATCH(X647,{"Core","Vertical extension","Differentiator","Future","Adjacent"},0))</f>
        <v>18</v>
      </c>
      <c r="AM647" s="5"/>
      <c r="AN647" s="5"/>
      <c r="AO647" s="5"/>
      <c r="AP647" s="5"/>
      <c r="AQ647" s="5"/>
      <c r="AR647" s="5" t="s">
        <v>7661</v>
      </c>
      <c r="AS647" s="5" t="s">
        <v>1462</v>
      </c>
      <c r="AT647" s="5" t="s">
        <v>2281</v>
      </c>
      <c r="AU647" s="6" t="s">
        <v>95</v>
      </c>
      <c r="AV647" s="6" t="s">
        <v>3968</v>
      </c>
      <c r="AW647" s="6" t="s">
        <v>3968</v>
      </c>
      <c r="AX647" s="6" t="s">
        <v>2284</v>
      </c>
      <c r="AY647" s="6" t="s">
        <v>2411</v>
      </c>
      <c r="AZ647" s="6"/>
      <c r="BA647" s="6"/>
      <c r="BB647" s="6"/>
      <c r="BC647" s="6" t="s">
        <v>127</v>
      </c>
      <c r="BD647" s="6" t="s">
        <v>127</v>
      </c>
      <c r="BE647" s="6" t="s">
        <v>1477</v>
      </c>
      <c r="BF647" s="6" t="s">
        <v>2286</v>
      </c>
      <c r="BG647" s="6" t="s">
        <v>7662</v>
      </c>
      <c r="BH647" s="6" t="s">
        <v>7663</v>
      </c>
    </row>
    <row r="648" spans="1:60" ht="32" customHeight="1" x14ac:dyDescent="0.35">
      <c r="A648" s="13" t="s">
        <v>7664</v>
      </c>
      <c r="B648" s="6" t="s">
        <v>7575</v>
      </c>
      <c r="C648" s="5" t="s">
        <v>7576</v>
      </c>
      <c r="D648" s="5" t="s">
        <v>2198</v>
      </c>
      <c r="E648" s="5" t="s">
        <v>7665</v>
      </c>
      <c r="F648" s="5" t="s">
        <v>7666</v>
      </c>
      <c r="G648" s="5" t="s">
        <v>3173</v>
      </c>
      <c r="H648" s="5" t="s">
        <v>7667</v>
      </c>
      <c r="I648" s="5" t="s">
        <v>7668</v>
      </c>
      <c r="J648" s="17" t="s">
        <v>162</v>
      </c>
      <c r="K648" s="17" t="s">
        <v>95</v>
      </c>
      <c r="L648" s="5" t="s">
        <v>7669</v>
      </c>
      <c r="M648" s="6" t="s">
        <v>1494</v>
      </c>
      <c r="N648" s="6" t="s">
        <v>2171</v>
      </c>
      <c r="O648" s="6" t="s">
        <v>162</v>
      </c>
      <c r="P648" s="5" t="s">
        <v>2272</v>
      </c>
      <c r="Q648" s="17" t="s">
        <v>95</v>
      </c>
      <c r="R648" s="5" t="s">
        <v>7670</v>
      </c>
      <c r="S648" s="6" t="s">
        <v>2401</v>
      </c>
      <c r="T648" s="5" t="s">
        <v>2402</v>
      </c>
      <c r="U648" s="6"/>
      <c r="V648" s="6" t="s">
        <v>2403</v>
      </c>
      <c r="W648" s="6" t="s">
        <v>1703</v>
      </c>
      <c r="X648" s="5" t="s">
        <v>228</v>
      </c>
      <c r="Y648" s="5" t="s">
        <v>7134</v>
      </c>
      <c r="Z648" s="5" t="str">
        <f t="shared" si="20"/>
        <v>Medium</v>
      </c>
      <c r="AA648" s="5" t="s">
        <v>1319</v>
      </c>
      <c r="AB648" s="6" t="s">
        <v>1355</v>
      </c>
      <c r="AC648" s="6" t="s">
        <v>32</v>
      </c>
      <c r="AD648" s="5" t="s">
        <v>95</v>
      </c>
      <c r="AE648" s="5" t="s">
        <v>1720</v>
      </c>
      <c r="AF648" s="5" t="s">
        <v>1720</v>
      </c>
      <c r="AG648" s="5" t="s">
        <v>1720</v>
      </c>
      <c r="AH648" s="5" t="s">
        <v>1720</v>
      </c>
      <c r="AI648" s="6" t="str">
        <f t="shared" si="21"/>
        <v>No</v>
      </c>
      <c r="AJ648" s="6" t="s">
        <v>229</v>
      </c>
      <c r="AK648" s="6" t="s">
        <v>204</v>
      </c>
      <c r="AL648" s="6">
        <f>MATCH(AA648,{"Low","Medium","High"},0)*MATCH(AB648,{"Low","Medium","High"},0)*INDEX({3,2,2,1,1},MATCH(X648,{"Core","Vertical extension","Differentiator","Future","Adjacent"},0))</f>
        <v>6</v>
      </c>
      <c r="AM648" s="5"/>
      <c r="AN648" s="5"/>
      <c r="AO648" s="5"/>
      <c r="AP648" s="5"/>
      <c r="AQ648" s="5"/>
      <c r="AR648" s="5"/>
      <c r="AS648" s="5"/>
      <c r="AT648" s="5"/>
      <c r="AU648" s="6" t="s">
        <v>2317</v>
      </c>
      <c r="AV648" s="6" t="s">
        <v>3968</v>
      </c>
      <c r="AW648" s="6" t="s">
        <v>3968</v>
      </c>
      <c r="AX648" s="6" t="s">
        <v>2284</v>
      </c>
      <c r="AY648" s="6" t="s">
        <v>2285</v>
      </c>
      <c r="AZ648" s="6"/>
      <c r="BA648" s="6"/>
      <c r="BB648" s="6"/>
      <c r="BC648" s="6" t="s">
        <v>127</v>
      </c>
      <c r="BD648" s="6" t="s">
        <v>127</v>
      </c>
      <c r="BE648" s="6" t="s">
        <v>1477</v>
      </c>
      <c r="BF648" s="6" t="s">
        <v>95</v>
      </c>
      <c r="BG648" s="6" t="s">
        <v>7671</v>
      </c>
      <c r="BH648" s="6" t="s">
        <v>7672</v>
      </c>
    </row>
    <row r="649" spans="1:60" ht="32" customHeight="1" x14ac:dyDescent="0.35">
      <c r="A649" s="13" t="s">
        <v>7673</v>
      </c>
      <c r="B649" s="6" t="s">
        <v>7575</v>
      </c>
      <c r="C649" s="5" t="s">
        <v>7576</v>
      </c>
      <c r="D649" s="5" t="s">
        <v>2196</v>
      </c>
      <c r="E649" s="5" t="s">
        <v>7674</v>
      </c>
      <c r="F649" s="5" t="s">
        <v>7675</v>
      </c>
      <c r="G649" s="5" t="s">
        <v>5182</v>
      </c>
      <c r="H649" s="5" t="s">
        <v>7676</v>
      </c>
      <c r="I649" s="5" t="s">
        <v>7677</v>
      </c>
      <c r="J649" s="17" t="s">
        <v>162</v>
      </c>
      <c r="K649" s="17" t="s">
        <v>163</v>
      </c>
      <c r="L649" s="5" t="s">
        <v>7678</v>
      </c>
      <c r="M649" s="6" t="s">
        <v>1494</v>
      </c>
      <c r="N649" s="6" t="s">
        <v>2171</v>
      </c>
      <c r="O649" s="6" t="s">
        <v>162</v>
      </c>
      <c r="P649" s="5" t="s">
        <v>2369</v>
      </c>
      <c r="Q649" s="17" t="s">
        <v>163</v>
      </c>
      <c r="R649" s="5" t="s">
        <v>7679</v>
      </c>
      <c r="S649" s="6" t="s">
        <v>2358</v>
      </c>
      <c r="T649" s="5" t="s">
        <v>2359</v>
      </c>
      <c r="U649" s="6"/>
      <c r="V649" s="6" t="s">
        <v>2360</v>
      </c>
      <c r="W649" s="6" t="s">
        <v>1703</v>
      </c>
      <c r="X649" s="5" t="s">
        <v>228</v>
      </c>
      <c r="Y649" s="5" t="s">
        <v>7134</v>
      </c>
      <c r="Z649" s="5" t="str">
        <f t="shared" si="20"/>
        <v>Medium</v>
      </c>
      <c r="AA649" s="5" t="s">
        <v>1319</v>
      </c>
      <c r="AB649" s="6" t="s">
        <v>1355</v>
      </c>
      <c r="AC649" s="6" t="s">
        <v>32</v>
      </c>
      <c r="AD649" s="5" t="s">
        <v>1805</v>
      </c>
      <c r="AE649" s="5" t="s">
        <v>1720</v>
      </c>
      <c r="AF649" s="5" t="s">
        <v>1720</v>
      </c>
      <c r="AG649" s="5" t="s">
        <v>1720</v>
      </c>
      <c r="AH649" s="5" t="s">
        <v>1720</v>
      </c>
      <c r="AI649" s="6" t="str">
        <f t="shared" si="21"/>
        <v>No</v>
      </c>
      <c r="AJ649" s="6" t="s">
        <v>287</v>
      </c>
      <c r="AK649" s="6" t="s">
        <v>204</v>
      </c>
      <c r="AL649" s="6">
        <f>MATCH(AA649,{"Low","Medium","High"},0)*MATCH(AB649,{"Low","Medium","High"},0)*INDEX({3,2,2,1,1},MATCH(X649,{"Core","Vertical extension","Differentiator","Future","Adjacent"},0))</f>
        <v>6</v>
      </c>
      <c r="AM649" s="5"/>
      <c r="AN649" s="5"/>
      <c r="AO649" s="5"/>
      <c r="AP649" s="5"/>
      <c r="AQ649" s="5"/>
      <c r="AR649" s="5"/>
      <c r="AS649" s="5"/>
      <c r="AT649" s="5"/>
      <c r="AU649" s="6" t="s">
        <v>2317</v>
      </c>
      <c r="AV649" s="6" t="s">
        <v>3968</v>
      </c>
      <c r="AW649" s="6" t="s">
        <v>3968</v>
      </c>
      <c r="AX649" s="6" t="s">
        <v>2374</v>
      </c>
      <c r="AY649" s="6" t="s">
        <v>2285</v>
      </c>
      <c r="AZ649" s="6"/>
      <c r="BA649" s="6"/>
      <c r="BB649" s="6"/>
      <c r="BC649" s="6" t="s">
        <v>127</v>
      </c>
      <c r="BD649" s="6" t="s">
        <v>127</v>
      </c>
      <c r="BE649" s="6" t="s">
        <v>1477</v>
      </c>
      <c r="BF649" s="6" t="s">
        <v>288</v>
      </c>
      <c r="BG649" s="6" t="s">
        <v>7680</v>
      </c>
      <c r="BH649" s="6" t="s">
        <v>7681</v>
      </c>
    </row>
    <row r="650" spans="1:60" ht="32" customHeight="1" x14ac:dyDescent="0.35">
      <c r="A650" s="13" t="s">
        <v>7682</v>
      </c>
      <c r="B650" s="6" t="s">
        <v>7575</v>
      </c>
      <c r="C650" s="5" t="s">
        <v>7576</v>
      </c>
      <c r="D650" s="5" t="s">
        <v>2194</v>
      </c>
      <c r="E650" s="5" t="s">
        <v>7683</v>
      </c>
      <c r="F650" s="5" t="s">
        <v>7684</v>
      </c>
      <c r="G650" s="5" t="s">
        <v>7685</v>
      </c>
      <c r="H650" s="5" t="s">
        <v>7686</v>
      </c>
      <c r="I650" s="5" t="s">
        <v>7687</v>
      </c>
      <c r="J650" s="17" t="s">
        <v>162</v>
      </c>
      <c r="K650" s="17" t="s">
        <v>163</v>
      </c>
      <c r="L650" s="5" t="s">
        <v>7688</v>
      </c>
      <c r="M650" s="6" t="s">
        <v>1494</v>
      </c>
      <c r="N650" s="6" t="s">
        <v>2171</v>
      </c>
      <c r="O650" s="6" t="s">
        <v>162</v>
      </c>
      <c r="P650" s="5" t="s">
        <v>2272</v>
      </c>
      <c r="Q650" s="17" t="s">
        <v>163</v>
      </c>
      <c r="R650" s="5" t="s">
        <v>7689</v>
      </c>
      <c r="S650" s="6" t="s">
        <v>2449</v>
      </c>
      <c r="T650" s="5" t="s">
        <v>2450</v>
      </c>
      <c r="U650" s="6"/>
      <c r="V650" s="6" t="s">
        <v>2440</v>
      </c>
      <c r="W650" s="6" t="s">
        <v>1699</v>
      </c>
      <c r="X650" s="5" t="s">
        <v>228</v>
      </c>
      <c r="Y650" s="5" t="s">
        <v>7134</v>
      </c>
      <c r="Z650" s="5" t="str">
        <f t="shared" si="20"/>
        <v>Medium</v>
      </c>
      <c r="AA650" s="5" t="s">
        <v>1319</v>
      </c>
      <c r="AB650" s="6" t="s">
        <v>1355</v>
      </c>
      <c r="AC650" s="6" t="s">
        <v>135</v>
      </c>
      <c r="AD650" s="5" t="s">
        <v>1805</v>
      </c>
      <c r="AE650" s="5" t="s">
        <v>1720</v>
      </c>
      <c r="AF650" s="5" t="s">
        <v>1720</v>
      </c>
      <c r="AG650" s="5" t="s">
        <v>1720</v>
      </c>
      <c r="AH650" s="5" t="s">
        <v>1720</v>
      </c>
      <c r="AI650" s="6" t="str">
        <f t="shared" si="21"/>
        <v>No</v>
      </c>
      <c r="AJ650" s="6" t="s">
        <v>287</v>
      </c>
      <c r="AK650" s="6" t="s">
        <v>162</v>
      </c>
      <c r="AL650" s="6">
        <f>MATCH(AA650,{"Low","Medium","High"},0)*MATCH(AB650,{"Low","Medium","High"},0)*INDEX({3,2,2,1,1},MATCH(X650,{"Core","Vertical extension","Differentiator","Future","Adjacent"},0))</f>
        <v>6</v>
      </c>
      <c r="AM650" s="5"/>
      <c r="AN650" s="5"/>
      <c r="AO650" s="5"/>
      <c r="AP650" s="5"/>
      <c r="AQ650" s="5"/>
      <c r="AR650" s="5"/>
      <c r="AS650" s="5"/>
      <c r="AT650" s="5"/>
      <c r="AU650" s="6" t="s">
        <v>2317</v>
      </c>
      <c r="AV650" s="6" t="s">
        <v>3968</v>
      </c>
      <c r="AW650" s="6" t="s">
        <v>3968</v>
      </c>
      <c r="AX650" s="6" t="s">
        <v>2284</v>
      </c>
      <c r="AY650" s="6" t="s">
        <v>2285</v>
      </c>
      <c r="AZ650" s="6"/>
      <c r="BA650" s="6"/>
      <c r="BB650" s="6"/>
      <c r="BC650" s="6" t="s">
        <v>127</v>
      </c>
      <c r="BD650" s="6" t="s">
        <v>127</v>
      </c>
      <c r="BE650" s="6" t="s">
        <v>1477</v>
      </c>
      <c r="BF650" s="6" t="s">
        <v>288</v>
      </c>
      <c r="BG650" s="6" t="s">
        <v>7690</v>
      </c>
      <c r="BH650" s="6" t="s">
        <v>7691</v>
      </c>
    </row>
    <row r="651" spans="1:60" ht="32" customHeight="1" x14ac:dyDescent="0.35">
      <c r="A651" s="13" t="s">
        <v>7692</v>
      </c>
      <c r="B651" s="6" t="s">
        <v>7575</v>
      </c>
      <c r="C651" s="5" t="s">
        <v>7576</v>
      </c>
      <c r="D651" s="5" t="s">
        <v>2185</v>
      </c>
      <c r="E651" s="5" t="s">
        <v>7693</v>
      </c>
      <c r="F651" s="5" t="s">
        <v>7694</v>
      </c>
      <c r="G651" s="5" t="s">
        <v>3173</v>
      </c>
      <c r="H651" s="5" t="s">
        <v>7695</v>
      </c>
      <c r="I651" s="5" t="s">
        <v>7696</v>
      </c>
      <c r="J651" s="21" t="s">
        <v>213</v>
      </c>
      <c r="K651" s="17" t="s">
        <v>163</v>
      </c>
      <c r="L651" s="5" t="s">
        <v>7697</v>
      </c>
      <c r="M651" s="6" t="s">
        <v>1494</v>
      </c>
      <c r="N651" s="6" t="s">
        <v>2171</v>
      </c>
      <c r="O651" s="6" t="s">
        <v>204</v>
      </c>
      <c r="P651" s="5" t="s">
        <v>6999</v>
      </c>
      <c r="Q651" s="17" t="s">
        <v>163</v>
      </c>
      <c r="R651" s="5" t="s">
        <v>7698</v>
      </c>
      <c r="S651" s="6" t="s">
        <v>2409</v>
      </c>
      <c r="T651" s="5" t="s">
        <v>2185</v>
      </c>
      <c r="U651" s="6"/>
      <c r="V651" s="6" t="s">
        <v>2410</v>
      </c>
      <c r="W651" s="6" t="s">
        <v>1699</v>
      </c>
      <c r="X651" s="5" t="s">
        <v>415</v>
      </c>
      <c r="Y651" s="5" t="s">
        <v>7134</v>
      </c>
      <c r="Z651" s="5" t="str">
        <f t="shared" si="20"/>
        <v>Low</v>
      </c>
      <c r="AA651" s="5" t="s">
        <v>1355</v>
      </c>
      <c r="AB651" s="6" t="s">
        <v>1319</v>
      </c>
      <c r="AC651" s="6" t="s">
        <v>32</v>
      </c>
      <c r="AD651" s="5" t="s">
        <v>1805</v>
      </c>
      <c r="AE651" s="5" t="s">
        <v>1720</v>
      </c>
      <c r="AF651" s="5" t="s">
        <v>1720</v>
      </c>
      <c r="AG651" s="5" t="s">
        <v>1720</v>
      </c>
      <c r="AH651" s="5" t="s">
        <v>1720</v>
      </c>
      <c r="AI651" s="6" t="str">
        <f t="shared" si="21"/>
        <v>No</v>
      </c>
      <c r="AJ651" s="6" t="s">
        <v>287</v>
      </c>
      <c r="AK651" s="6" t="s">
        <v>213</v>
      </c>
      <c r="AL651" s="6">
        <f>MATCH(AA651,{"Low","Medium","High"},0)*MATCH(AB651,{"Low","Medium","High"},0)*INDEX({3,2,2,1,1},MATCH(X651,{"Core","Vertical extension","Differentiator","Future","Adjacent"},0))</f>
        <v>2</v>
      </c>
      <c r="AM651" s="5"/>
      <c r="AN651" s="5"/>
      <c r="AO651" s="5"/>
      <c r="AP651" s="5"/>
      <c r="AQ651" s="5"/>
      <c r="AR651" s="5"/>
      <c r="AS651" s="5"/>
      <c r="AT651" s="5"/>
      <c r="AU651" s="6" t="s">
        <v>2317</v>
      </c>
      <c r="AV651" s="6" t="s">
        <v>2898</v>
      </c>
      <c r="AW651" s="6" t="s">
        <v>2898</v>
      </c>
      <c r="AX651" s="6" t="s">
        <v>7001</v>
      </c>
      <c r="AY651" s="6" t="s">
        <v>2411</v>
      </c>
      <c r="AZ651" s="6"/>
      <c r="BA651" s="6"/>
      <c r="BB651" s="6"/>
      <c r="BC651" s="6" t="s">
        <v>127</v>
      </c>
      <c r="BD651" s="6" t="s">
        <v>127</v>
      </c>
      <c r="BE651" s="6" t="s">
        <v>1477</v>
      </c>
      <c r="BF651" s="6" t="s">
        <v>288</v>
      </c>
      <c r="BG651" s="6" t="s">
        <v>7699</v>
      </c>
      <c r="BH651" s="6" t="s">
        <v>7700</v>
      </c>
    </row>
    <row r="652" spans="1:60" ht="32" customHeight="1" x14ac:dyDescent="0.35">
      <c r="A652" s="13" t="s">
        <v>397</v>
      </c>
      <c r="B652" s="6" t="s">
        <v>7701</v>
      </c>
      <c r="C652" s="5" t="s">
        <v>7702</v>
      </c>
      <c r="D652" s="5" t="s">
        <v>2191</v>
      </c>
      <c r="E652" s="5" t="s">
        <v>398</v>
      </c>
      <c r="F652" s="5" t="s">
        <v>2267</v>
      </c>
      <c r="G652" s="5" t="s">
        <v>2268</v>
      </c>
      <c r="H652" s="5" t="s">
        <v>7703</v>
      </c>
      <c r="I652" s="5" t="s">
        <v>7704</v>
      </c>
      <c r="J652" s="16" t="s">
        <v>94</v>
      </c>
      <c r="K652" s="17" t="s">
        <v>95</v>
      </c>
      <c r="L652" s="5" t="s">
        <v>7705</v>
      </c>
      <c r="M652" s="6" t="s">
        <v>1494</v>
      </c>
      <c r="N652" s="6" t="s">
        <v>2171</v>
      </c>
      <c r="O652" s="6" t="s">
        <v>94</v>
      </c>
      <c r="P652" s="5" t="s">
        <v>2272</v>
      </c>
      <c r="Q652" s="17" t="s">
        <v>95</v>
      </c>
      <c r="R652" s="5" t="s">
        <v>7706</v>
      </c>
      <c r="S652" s="6" t="s">
        <v>2275</v>
      </c>
      <c r="T652" s="5" t="s">
        <v>2276</v>
      </c>
      <c r="U652" s="6"/>
      <c r="V652" s="6" t="s">
        <v>2277</v>
      </c>
      <c r="W652" s="6" t="s">
        <v>1697</v>
      </c>
      <c r="X652" s="5" t="s">
        <v>327</v>
      </c>
      <c r="Y652" s="5" t="s">
        <v>7134</v>
      </c>
      <c r="Z652" s="5" t="str">
        <f t="shared" si="20"/>
        <v>Medium</v>
      </c>
      <c r="AA652" s="5" t="s">
        <v>1302</v>
      </c>
      <c r="AB652" s="6" t="s">
        <v>1355</v>
      </c>
      <c r="AC652" s="6" t="s">
        <v>135</v>
      </c>
      <c r="AD652" s="5" t="s">
        <v>95</v>
      </c>
      <c r="AE652" s="5" t="s">
        <v>1720</v>
      </c>
      <c r="AF652" s="5" t="s">
        <v>1720</v>
      </c>
      <c r="AG652" s="5" t="s">
        <v>1720</v>
      </c>
      <c r="AH652" s="5" t="s">
        <v>1720</v>
      </c>
      <c r="AI652" s="6" t="str">
        <f t="shared" si="21"/>
        <v>No</v>
      </c>
      <c r="AJ652" s="6" t="s">
        <v>229</v>
      </c>
      <c r="AK652" s="6" t="s">
        <v>94</v>
      </c>
      <c r="AL652" s="6">
        <f>MATCH(AA652,{"Low","Medium","High"},0)*MATCH(AB652,{"Low","Medium","High"},0)*INDEX({3,2,2,1,1},MATCH(X652,{"Core","Vertical extension","Differentiator","Future","Adjacent"},0))</f>
        <v>6</v>
      </c>
      <c r="AM652" s="5"/>
      <c r="AN652" s="5"/>
      <c r="AO652" s="5">
        <v>5</v>
      </c>
      <c r="AP652" s="5"/>
      <c r="AQ652" s="5"/>
      <c r="AR652" s="5" t="s">
        <v>7707</v>
      </c>
      <c r="AS652" s="51">
        <v>46300</v>
      </c>
      <c r="AT652" s="5" t="s">
        <v>2760</v>
      </c>
      <c r="AU652" s="6" t="s">
        <v>95</v>
      </c>
      <c r="AV652" s="6" t="s">
        <v>3968</v>
      </c>
      <c r="AW652" s="6" t="s">
        <v>2283</v>
      </c>
      <c r="AX652" s="6" t="s">
        <v>2284</v>
      </c>
      <c r="AY652" s="6" t="s">
        <v>2285</v>
      </c>
      <c r="AZ652" s="6"/>
      <c r="BA652" s="6" t="s">
        <v>7708</v>
      </c>
      <c r="BB652" s="6"/>
      <c r="BC652" s="6" t="s">
        <v>127</v>
      </c>
      <c r="BD652" s="6" t="s">
        <v>127</v>
      </c>
      <c r="BE652" s="6" t="s">
        <v>1477</v>
      </c>
      <c r="BF652" s="6" t="s">
        <v>95</v>
      </c>
      <c r="BG652" s="6" t="s">
        <v>7709</v>
      </c>
      <c r="BH652" s="6" t="s">
        <v>399</v>
      </c>
    </row>
    <row r="653" spans="1:60" ht="32" customHeight="1" x14ac:dyDescent="0.35">
      <c r="A653" s="13" t="s">
        <v>7710</v>
      </c>
      <c r="B653" s="6" t="s">
        <v>7701</v>
      </c>
      <c r="C653" s="5" t="s">
        <v>7702</v>
      </c>
      <c r="D653" s="5" t="s">
        <v>2191</v>
      </c>
      <c r="E653" s="5" t="s">
        <v>7711</v>
      </c>
      <c r="F653" s="5" t="s">
        <v>2267</v>
      </c>
      <c r="G653" s="5" t="s">
        <v>2268</v>
      </c>
      <c r="H653" s="5" t="s">
        <v>7712</v>
      </c>
      <c r="I653" s="5" t="s">
        <v>7713</v>
      </c>
      <c r="J653" s="17" t="s">
        <v>162</v>
      </c>
      <c r="K653" s="17" t="s">
        <v>163</v>
      </c>
      <c r="L653" s="5" t="s">
        <v>7714</v>
      </c>
      <c r="M653" s="6" t="s">
        <v>1494</v>
      </c>
      <c r="N653" s="6" t="s">
        <v>2171</v>
      </c>
      <c r="O653" s="6" t="s">
        <v>162</v>
      </c>
      <c r="P653" s="5" t="s">
        <v>2272</v>
      </c>
      <c r="Q653" s="17" t="s">
        <v>163</v>
      </c>
      <c r="R653" s="5" t="s">
        <v>7715</v>
      </c>
      <c r="S653" s="6" t="s">
        <v>2275</v>
      </c>
      <c r="T653" s="5" t="s">
        <v>2276</v>
      </c>
      <c r="U653" s="6"/>
      <c r="V653" s="6" t="s">
        <v>2277</v>
      </c>
      <c r="W653" s="6" t="s">
        <v>1697</v>
      </c>
      <c r="X653" s="5" t="s">
        <v>327</v>
      </c>
      <c r="Y653" s="5" t="s">
        <v>7134</v>
      </c>
      <c r="Z653" s="5" t="str">
        <f t="shared" si="20"/>
        <v>Medium</v>
      </c>
      <c r="AA653" s="5" t="s">
        <v>1319</v>
      </c>
      <c r="AB653" s="6" t="s">
        <v>1355</v>
      </c>
      <c r="AC653" s="6" t="s">
        <v>32</v>
      </c>
      <c r="AD653" s="5" t="s">
        <v>1805</v>
      </c>
      <c r="AE653" s="5" t="s">
        <v>1720</v>
      </c>
      <c r="AF653" s="5" t="s">
        <v>1720</v>
      </c>
      <c r="AG653" s="5" t="s">
        <v>1720</v>
      </c>
      <c r="AH653" s="5" t="s">
        <v>1720</v>
      </c>
      <c r="AI653" s="6" t="str">
        <f t="shared" si="21"/>
        <v>No</v>
      </c>
      <c r="AJ653" s="6" t="s">
        <v>287</v>
      </c>
      <c r="AK653" s="6" t="s">
        <v>204</v>
      </c>
      <c r="AL653" s="6">
        <f>MATCH(AA653,{"Low","Medium","High"},0)*MATCH(AB653,{"Low","Medium","High"},0)*INDEX({3,2,2,1,1},MATCH(X653,{"Core","Vertical extension","Differentiator","Future","Adjacent"},0))</f>
        <v>4</v>
      </c>
      <c r="AM653" s="5"/>
      <c r="AN653" s="5"/>
      <c r="AO653" s="5"/>
      <c r="AP653" s="5"/>
      <c r="AQ653" s="5"/>
      <c r="AR653" s="5"/>
      <c r="AS653" s="5"/>
      <c r="AT653" s="5"/>
      <c r="AU653" s="6" t="s">
        <v>2317</v>
      </c>
      <c r="AV653" s="6" t="s">
        <v>3968</v>
      </c>
      <c r="AW653" s="6" t="s">
        <v>2283</v>
      </c>
      <c r="AX653" s="6" t="s">
        <v>2284</v>
      </c>
      <c r="AY653" s="6" t="s">
        <v>2285</v>
      </c>
      <c r="AZ653" s="6"/>
      <c r="BA653" s="6"/>
      <c r="BB653" s="6"/>
      <c r="BC653" s="6" t="s">
        <v>127</v>
      </c>
      <c r="BD653" s="6" t="s">
        <v>127</v>
      </c>
      <c r="BE653" s="6" t="s">
        <v>1477</v>
      </c>
      <c r="BF653" s="6" t="s">
        <v>288</v>
      </c>
      <c r="BG653" s="6" t="s">
        <v>7716</v>
      </c>
      <c r="BH653" s="6" t="s">
        <v>7717</v>
      </c>
    </row>
    <row r="654" spans="1:60" ht="32" customHeight="1" x14ac:dyDescent="0.35">
      <c r="A654" s="13" t="s">
        <v>7718</v>
      </c>
      <c r="B654" s="6" t="s">
        <v>7701</v>
      </c>
      <c r="C654" s="5" t="s">
        <v>7702</v>
      </c>
      <c r="D654" s="5" t="s">
        <v>2191</v>
      </c>
      <c r="E654" s="5" t="s">
        <v>7719</v>
      </c>
      <c r="F654" s="5" t="s">
        <v>7720</v>
      </c>
      <c r="G654" s="5" t="s">
        <v>2268</v>
      </c>
      <c r="H654" s="5" t="s">
        <v>7721</v>
      </c>
      <c r="I654" s="5" t="s">
        <v>7722</v>
      </c>
      <c r="J654" s="17" t="s">
        <v>162</v>
      </c>
      <c r="K654" s="17" t="s">
        <v>163</v>
      </c>
      <c r="L654" s="5" t="s">
        <v>7723</v>
      </c>
      <c r="M654" s="6" t="s">
        <v>1494</v>
      </c>
      <c r="N654" s="6" t="s">
        <v>2171</v>
      </c>
      <c r="O654" s="6" t="s">
        <v>162</v>
      </c>
      <c r="P654" s="5" t="s">
        <v>2272</v>
      </c>
      <c r="Q654" s="17" t="s">
        <v>163</v>
      </c>
      <c r="R654" s="5" t="s">
        <v>7724</v>
      </c>
      <c r="S654" s="6" t="s">
        <v>2275</v>
      </c>
      <c r="T654" s="5" t="s">
        <v>2276</v>
      </c>
      <c r="U654" s="6"/>
      <c r="V654" s="6" t="s">
        <v>2277</v>
      </c>
      <c r="W654" s="6" t="s">
        <v>1697</v>
      </c>
      <c r="X654" s="5" t="s">
        <v>327</v>
      </c>
      <c r="Y654" s="5" t="s">
        <v>7134</v>
      </c>
      <c r="Z654" s="5" t="str">
        <f t="shared" si="20"/>
        <v>Medium</v>
      </c>
      <c r="AA654" s="5" t="s">
        <v>1319</v>
      </c>
      <c r="AB654" s="6" t="s">
        <v>1355</v>
      </c>
      <c r="AC654" s="6" t="s">
        <v>32</v>
      </c>
      <c r="AD654" s="5" t="s">
        <v>1805</v>
      </c>
      <c r="AE654" s="5" t="s">
        <v>1720</v>
      </c>
      <c r="AF654" s="5" t="s">
        <v>1720</v>
      </c>
      <c r="AG654" s="5" t="s">
        <v>1720</v>
      </c>
      <c r="AH654" s="5" t="s">
        <v>1720</v>
      </c>
      <c r="AI654" s="6" t="str">
        <f t="shared" si="21"/>
        <v>No</v>
      </c>
      <c r="AJ654" s="6" t="s">
        <v>287</v>
      </c>
      <c r="AK654" s="6" t="s">
        <v>204</v>
      </c>
      <c r="AL654" s="6">
        <f>MATCH(AA654,{"Low","Medium","High"},0)*MATCH(AB654,{"Low","Medium","High"},0)*INDEX({3,2,2,1,1},MATCH(X654,{"Core","Vertical extension","Differentiator","Future","Adjacent"},0))</f>
        <v>4</v>
      </c>
      <c r="AM654" s="5"/>
      <c r="AN654" s="5"/>
      <c r="AO654" s="5"/>
      <c r="AP654" s="5"/>
      <c r="AQ654" s="5"/>
      <c r="AR654" s="5"/>
      <c r="AS654" s="5"/>
      <c r="AT654" s="5"/>
      <c r="AU654" s="6" t="s">
        <v>2317</v>
      </c>
      <c r="AV654" s="6" t="s">
        <v>3968</v>
      </c>
      <c r="AW654" s="6" t="s">
        <v>74</v>
      </c>
      <c r="AX654" s="6" t="s">
        <v>2284</v>
      </c>
      <c r="AY654" s="6" t="s">
        <v>2285</v>
      </c>
      <c r="AZ654" s="6"/>
      <c r="BA654" s="6"/>
      <c r="BB654" s="6"/>
      <c r="BC654" s="6" t="s">
        <v>127</v>
      </c>
      <c r="BD654" s="6" t="s">
        <v>127</v>
      </c>
      <c r="BE654" s="6" t="s">
        <v>1477</v>
      </c>
      <c r="BF654" s="6" t="s">
        <v>288</v>
      </c>
      <c r="BG654" s="6" t="s">
        <v>7725</v>
      </c>
      <c r="BH654" s="6" t="s">
        <v>7726</v>
      </c>
    </row>
    <row r="655" spans="1:60" ht="32" customHeight="1" x14ac:dyDescent="0.35">
      <c r="A655" s="13" t="s">
        <v>7727</v>
      </c>
      <c r="B655" s="6" t="s">
        <v>7701</v>
      </c>
      <c r="C655" s="5" t="s">
        <v>7702</v>
      </c>
      <c r="D655" s="5" t="s">
        <v>2191</v>
      </c>
      <c r="E655" s="5" t="s">
        <v>7728</v>
      </c>
      <c r="F655" s="5" t="s">
        <v>3209</v>
      </c>
      <c r="G655" s="5" t="s">
        <v>2268</v>
      </c>
      <c r="H655" s="5" t="s">
        <v>7729</v>
      </c>
      <c r="I655" s="5" t="s">
        <v>7730</v>
      </c>
      <c r="J655" s="21" t="s">
        <v>213</v>
      </c>
      <c r="K655" s="17" t="s">
        <v>163</v>
      </c>
      <c r="L655" s="5" t="s">
        <v>7731</v>
      </c>
      <c r="M655" s="6" t="s">
        <v>1494</v>
      </c>
      <c r="N655" s="6" t="s">
        <v>2171</v>
      </c>
      <c r="O655" s="6" t="s">
        <v>204</v>
      </c>
      <c r="P655" s="5" t="s">
        <v>6999</v>
      </c>
      <c r="Q655" s="17" t="s">
        <v>163</v>
      </c>
      <c r="R655" s="5" t="s">
        <v>7732</v>
      </c>
      <c r="S655" s="6" t="s">
        <v>2275</v>
      </c>
      <c r="T655" s="5" t="s">
        <v>2276</v>
      </c>
      <c r="U655" s="6"/>
      <c r="V655" s="6" t="s">
        <v>2277</v>
      </c>
      <c r="W655" s="6" t="s">
        <v>1697</v>
      </c>
      <c r="X655" s="5" t="s">
        <v>415</v>
      </c>
      <c r="Y655" s="5" t="s">
        <v>7134</v>
      </c>
      <c r="Z655" s="5" t="str">
        <f t="shared" si="20"/>
        <v>Low</v>
      </c>
      <c r="AA655" s="5" t="s">
        <v>1355</v>
      </c>
      <c r="AB655" s="6" t="s">
        <v>1355</v>
      </c>
      <c r="AC655" s="6" t="s">
        <v>32</v>
      </c>
      <c r="AD655" s="5" t="s">
        <v>1805</v>
      </c>
      <c r="AE655" s="5" t="s">
        <v>1720</v>
      </c>
      <c r="AF655" s="5" t="s">
        <v>1720</v>
      </c>
      <c r="AG655" s="5" t="s">
        <v>1720</v>
      </c>
      <c r="AH655" s="5" t="s">
        <v>1720</v>
      </c>
      <c r="AI655" s="6" t="str">
        <f t="shared" si="21"/>
        <v>No</v>
      </c>
      <c r="AJ655" s="6" t="s">
        <v>287</v>
      </c>
      <c r="AK655" s="6" t="s">
        <v>213</v>
      </c>
      <c r="AL655" s="6">
        <f>MATCH(AA655,{"Low","Medium","High"},0)*MATCH(AB655,{"Low","Medium","High"},0)*INDEX({3,2,2,1,1},MATCH(X655,{"Core","Vertical extension","Differentiator","Future","Adjacent"},0))</f>
        <v>1</v>
      </c>
      <c r="AM655" s="5"/>
      <c r="AN655" s="5"/>
      <c r="AO655" s="5"/>
      <c r="AP655" s="5"/>
      <c r="AQ655" s="5"/>
      <c r="AR655" s="5"/>
      <c r="AS655" s="5"/>
      <c r="AT655" s="5"/>
      <c r="AU655" s="6" t="s">
        <v>2317</v>
      </c>
      <c r="AV655" s="6" t="s">
        <v>3968</v>
      </c>
      <c r="AW655" s="6" t="s">
        <v>2283</v>
      </c>
      <c r="AX655" s="6" t="s">
        <v>7001</v>
      </c>
      <c r="AY655" s="6" t="s">
        <v>2285</v>
      </c>
      <c r="AZ655" s="6"/>
      <c r="BA655" s="6"/>
      <c r="BB655" s="6"/>
      <c r="BC655" s="6" t="s">
        <v>127</v>
      </c>
      <c r="BD655" s="6" t="s">
        <v>127</v>
      </c>
      <c r="BE655" s="6" t="s">
        <v>1477</v>
      </c>
      <c r="BF655" s="6" t="s">
        <v>288</v>
      </c>
      <c r="BG655" s="6" t="s">
        <v>7733</v>
      </c>
      <c r="BH655" s="6" t="s">
        <v>7734</v>
      </c>
    </row>
    <row r="656" spans="1:60" ht="32" customHeight="1" x14ac:dyDescent="0.35">
      <c r="A656" s="13" t="s">
        <v>402</v>
      </c>
      <c r="B656" s="6" t="s">
        <v>7701</v>
      </c>
      <c r="C656" s="5" t="s">
        <v>7702</v>
      </c>
      <c r="D656" s="5" t="s">
        <v>2191</v>
      </c>
      <c r="E656" s="5" t="s">
        <v>403</v>
      </c>
      <c r="F656" s="5" t="s">
        <v>7735</v>
      </c>
      <c r="G656" s="5" t="s">
        <v>2312</v>
      </c>
      <c r="H656" s="5" t="s">
        <v>7736</v>
      </c>
      <c r="I656" s="5" t="s">
        <v>7737</v>
      </c>
      <c r="J656" s="16" t="s">
        <v>94</v>
      </c>
      <c r="K656" s="17" t="s">
        <v>95</v>
      </c>
      <c r="L656" s="5" t="s">
        <v>7738</v>
      </c>
      <c r="M656" s="6" t="s">
        <v>1494</v>
      </c>
      <c r="N656" s="6" t="s">
        <v>2171</v>
      </c>
      <c r="O656" s="6" t="s">
        <v>94</v>
      </c>
      <c r="P656" s="5" t="s">
        <v>2272</v>
      </c>
      <c r="Q656" s="17" t="s">
        <v>95</v>
      </c>
      <c r="R656" s="5" t="s">
        <v>7739</v>
      </c>
      <c r="S656" s="6" t="s">
        <v>2275</v>
      </c>
      <c r="T656" s="5" t="s">
        <v>2276</v>
      </c>
      <c r="U656" s="6"/>
      <c r="V656" s="6" t="s">
        <v>2277</v>
      </c>
      <c r="W656" s="6" t="s">
        <v>1697</v>
      </c>
      <c r="X656" s="5" t="s">
        <v>327</v>
      </c>
      <c r="Y656" s="5" t="s">
        <v>7134</v>
      </c>
      <c r="Z656" s="5" t="str">
        <f t="shared" si="20"/>
        <v>Medium</v>
      </c>
      <c r="AA656" s="5" t="s">
        <v>1302</v>
      </c>
      <c r="AB656" s="6" t="s">
        <v>1355</v>
      </c>
      <c r="AC656" s="6" t="s">
        <v>135</v>
      </c>
      <c r="AD656" s="5" t="s">
        <v>95</v>
      </c>
      <c r="AE656" s="5" t="s">
        <v>1720</v>
      </c>
      <c r="AF656" s="5" t="s">
        <v>1720</v>
      </c>
      <c r="AG656" s="5" t="s">
        <v>1720</v>
      </c>
      <c r="AH656" s="5" t="s">
        <v>1720</v>
      </c>
      <c r="AI656" s="6" t="str">
        <f t="shared" si="21"/>
        <v>No</v>
      </c>
      <c r="AJ656" s="6" t="s">
        <v>229</v>
      </c>
      <c r="AK656" s="6" t="s">
        <v>94</v>
      </c>
      <c r="AL656" s="6">
        <f>MATCH(AA656,{"Low","Medium","High"},0)*MATCH(AB656,{"Low","Medium","High"},0)*INDEX({3,2,2,1,1},MATCH(X656,{"Core","Vertical extension","Differentiator","Future","Adjacent"},0))</f>
        <v>6</v>
      </c>
      <c r="AM656" s="5"/>
      <c r="AN656" s="5"/>
      <c r="AO656" s="5">
        <v>3</v>
      </c>
      <c r="AP656" s="5"/>
      <c r="AQ656" s="5"/>
      <c r="AR656" s="5" t="s">
        <v>7740</v>
      </c>
      <c r="AS656" s="51">
        <v>46300</v>
      </c>
      <c r="AT656" s="5" t="s">
        <v>2760</v>
      </c>
      <c r="AU656" s="6" t="s">
        <v>2317</v>
      </c>
      <c r="AV656" s="6" t="s">
        <v>3968</v>
      </c>
      <c r="AW656" s="6" t="s">
        <v>2283</v>
      </c>
      <c r="AX656" s="6" t="s">
        <v>2284</v>
      </c>
      <c r="AY656" s="6" t="s">
        <v>2285</v>
      </c>
      <c r="AZ656" s="6"/>
      <c r="BA656" s="6" t="s">
        <v>7741</v>
      </c>
      <c r="BB656" s="6"/>
      <c r="BC656" s="6" t="s">
        <v>127</v>
      </c>
      <c r="BD656" s="6" t="s">
        <v>127</v>
      </c>
      <c r="BE656" s="6" t="s">
        <v>1477</v>
      </c>
      <c r="BF656" s="6" t="s">
        <v>95</v>
      </c>
      <c r="BG656" s="6" t="s">
        <v>7742</v>
      </c>
      <c r="BH656" s="6" t="s">
        <v>404</v>
      </c>
    </row>
    <row r="657" spans="1:60" ht="32" customHeight="1" x14ac:dyDescent="0.35">
      <c r="A657" s="13" t="s">
        <v>7743</v>
      </c>
      <c r="B657" s="6" t="s">
        <v>7701</v>
      </c>
      <c r="C657" s="5" t="s">
        <v>7702</v>
      </c>
      <c r="D657" s="5" t="s">
        <v>2187</v>
      </c>
      <c r="E657" s="5" t="s">
        <v>7744</v>
      </c>
      <c r="F657" s="5" t="s">
        <v>2846</v>
      </c>
      <c r="G657" s="5" t="s">
        <v>2312</v>
      </c>
      <c r="H657" s="5" t="s">
        <v>7745</v>
      </c>
      <c r="I657" s="5" t="s">
        <v>7746</v>
      </c>
      <c r="J657" s="17" t="s">
        <v>162</v>
      </c>
      <c r="K657" s="17" t="s">
        <v>95</v>
      </c>
      <c r="L657" s="5" t="s">
        <v>7747</v>
      </c>
      <c r="M657" s="6" t="s">
        <v>1494</v>
      </c>
      <c r="N657" s="6" t="s">
        <v>2171</v>
      </c>
      <c r="O657" s="6" t="s">
        <v>162</v>
      </c>
      <c r="P657" s="5" t="s">
        <v>2272</v>
      </c>
      <c r="Q657" s="17" t="s">
        <v>95</v>
      </c>
      <c r="R657" s="5" t="s">
        <v>7748</v>
      </c>
      <c r="S657" s="6" t="s">
        <v>2345</v>
      </c>
      <c r="T657" s="5" t="s">
        <v>2346</v>
      </c>
      <c r="U657" s="6"/>
      <c r="V657" s="6" t="s">
        <v>2347</v>
      </c>
      <c r="W657" s="6" t="s">
        <v>1697</v>
      </c>
      <c r="X657" s="5" t="s">
        <v>327</v>
      </c>
      <c r="Y657" s="5" t="s">
        <v>7134</v>
      </c>
      <c r="Z657" s="5" t="str">
        <f t="shared" si="20"/>
        <v>Medium</v>
      </c>
      <c r="AA657" s="5" t="s">
        <v>1302</v>
      </c>
      <c r="AB657" s="6" t="s">
        <v>1355</v>
      </c>
      <c r="AC657" s="6" t="s">
        <v>32</v>
      </c>
      <c r="AD657" s="5" t="s">
        <v>95</v>
      </c>
      <c r="AE657" s="5" t="s">
        <v>1720</v>
      </c>
      <c r="AF657" s="5" t="s">
        <v>1720</v>
      </c>
      <c r="AG657" s="5" t="s">
        <v>1720</v>
      </c>
      <c r="AH657" s="5" t="s">
        <v>1720</v>
      </c>
      <c r="AI657" s="6" t="str">
        <f t="shared" si="21"/>
        <v>No</v>
      </c>
      <c r="AJ657" s="6" t="s">
        <v>229</v>
      </c>
      <c r="AK657" s="6" t="s">
        <v>204</v>
      </c>
      <c r="AL657" s="6">
        <f>MATCH(AA657,{"Low","Medium","High"},0)*MATCH(AB657,{"Low","Medium","High"},0)*INDEX({3,2,2,1,1},MATCH(X657,{"Core","Vertical extension","Differentiator","Future","Adjacent"},0))</f>
        <v>6</v>
      </c>
      <c r="AM657" s="5"/>
      <c r="AN657" s="5"/>
      <c r="AO657" s="5"/>
      <c r="AP657" s="5"/>
      <c r="AQ657" s="5"/>
      <c r="AR657" s="5"/>
      <c r="AS657" s="5"/>
      <c r="AT657" s="5"/>
      <c r="AU657" s="6" t="s">
        <v>2317</v>
      </c>
      <c r="AV657" s="6" t="s">
        <v>3968</v>
      </c>
      <c r="AW657" s="6" t="s">
        <v>2784</v>
      </c>
      <c r="AX657" s="6" t="s">
        <v>2284</v>
      </c>
      <c r="AY657" s="6" t="s">
        <v>2285</v>
      </c>
      <c r="AZ657" s="6"/>
      <c r="BA657" s="6"/>
      <c r="BB657" s="6"/>
      <c r="BC657" s="6" t="s">
        <v>127</v>
      </c>
      <c r="BD657" s="6" t="s">
        <v>127</v>
      </c>
      <c r="BE657" s="6" t="s">
        <v>1477</v>
      </c>
      <c r="BF657" s="6" t="s">
        <v>95</v>
      </c>
      <c r="BG657" s="6" t="s">
        <v>7749</v>
      </c>
      <c r="BH657" s="6" t="s">
        <v>7750</v>
      </c>
    </row>
    <row r="658" spans="1:60" ht="32" customHeight="1" x14ac:dyDescent="0.35">
      <c r="A658" s="13" t="s">
        <v>7751</v>
      </c>
      <c r="B658" s="6" t="s">
        <v>7701</v>
      </c>
      <c r="C658" s="5" t="s">
        <v>7752</v>
      </c>
      <c r="D658" s="5" t="s">
        <v>2198</v>
      </c>
      <c r="E658" s="5" t="s">
        <v>7753</v>
      </c>
      <c r="F658" s="5" t="s">
        <v>7754</v>
      </c>
      <c r="G658" s="5" t="s">
        <v>7755</v>
      </c>
      <c r="H658" s="5" t="s">
        <v>7756</v>
      </c>
      <c r="I658" s="5" t="s">
        <v>7757</v>
      </c>
      <c r="J658" s="17" t="s">
        <v>162</v>
      </c>
      <c r="K658" s="17" t="s">
        <v>1477</v>
      </c>
      <c r="L658" s="5" t="s">
        <v>7758</v>
      </c>
      <c r="M658" s="6" t="s">
        <v>1494</v>
      </c>
      <c r="N658" s="6" t="s">
        <v>2171</v>
      </c>
      <c r="O658" s="6" t="s">
        <v>162</v>
      </c>
      <c r="P658" s="5" t="s">
        <v>2272</v>
      </c>
      <c r="Q658" s="18" t="s">
        <v>1482</v>
      </c>
      <c r="R658" s="5" t="s">
        <v>2400</v>
      </c>
      <c r="S658" s="6" t="s">
        <v>2401</v>
      </c>
      <c r="T658" s="5" t="s">
        <v>2402</v>
      </c>
      <c r="U658" s="6"/>
      <c r="V658" s="6" t="s">
        <v>2403</v>
      </c>
      <c r="W658" s="6" t="s">
        <v>1703</v>
      </c>
      <c r="X658" s="5" t="s">
        <v>327</v>
      </c>
      <c r="Y658" s="5" t="s">
        <v>7134</v>
      </c>
      <c r="Z658" s="5" t="str">
        <f t="shared" si="20"/>
        <v>Medium</v>
      </c>
      <c r="AA658" s="5" t="s">
        <v>1319</v>
      </c>
      <c r="AB658" s="6" t="s">
        <v>1355</v>
      </c>
      <c r="AC658" s="6" t="s">
        <v>32</v>
      </c>
      <c r="AD658" s="5" t="s">
        <v>2278</v>
      </c>
      <c r="AE658" s="5" t="s">
        <v>1720</v>
      </c>
      <c r="AF658" s="5" t="s">
        <v>1720</v>
      </c>
      <c r="AG658" s="5" t="s">
        <v>1720</v>
      </c>
      <c r="AH658" s="5" t="s">
        <v>1720</v>
      </c>
      <c r="AI658" s="6" t="str">
        <f t="shared" si="21"/>
        <v>No</v>
      </c>
      <c r="AJ658" s="6" t="s">
        <v>2298</v>
      </c>
      <c r="AK658" s="6" t="s">
        <v>204</v>
      </c>
      <c r="AL658" s="6">
        <f>MATCH(AA658,{"Low","Medium","High"},0)*MATCH(AB658,{"Low","Medium","High"},0)*INDEX({3,2,2,1,1},MATCH(X658,{"Core","Vertical extension","Differentiator","Future","Adjacent"},0))</f>
        <v>4</v>
      </c>
      <c r="AM658" s="5"/>
      <c r="AN658" s="5"/>
      <c r="AO658" s="5"/>
      <c r="AP658" s="5"/>
      <c r="AQ658" s="5"/>
      <c r="AR658" s="5"/>
      <c r="AS658" s="5"/>
      <c r="AT658" s="5"/>
      <c r="AU658" s="6" t="s">
        <v>2317</v>
      </c>
      <c r="AV658" s="6" t="s">
        <v>3968</v>
      </c>
      <c r="AW658" s="6" t="s">
        <v>3968</v>
      </c>
      <c r="AX658" s="6" t="s">
        <v>2284</v>
      </c>
      <c r="AY658" s="6" t="s">
        <v>2285</v>
      </c>
      <c r="AZ658" s="6"/>
      <c r="BA658" s="6"/>
      <c r="BB658" s="6"/>
      <c r="BC658" s="6" t="s">
        <v>127</v>
      </c>
      <c r="BD658" s="6" t="s">
        <v>127</v>
      </c>
      <c r="BE658" s="6"/>
      <c r="BF658" s="6"/>
      <c r="BG658" s="6"/>
      <c r="BH658" s="6"/>
    </row>
    <row r="659" spans="1:60" ht="32" customHeight="1" x14ac:dyDescent="0.35">
      <c r="A659" s="13" t="s">
        <v>7759</v>
      </c>
      <c r="B659" s="6" t="s">
        <v>7701</v>
      </c>
      <c r="C659" s="5" t="s">
        <v>7752</v>
      </c>
      <c r="D659" s="5" t="s">
        <v>2195</v>
      </c>
      <c r="E659" s="5" t="s">
        <v>7760</v>
      </c>
      <c r="F659" s="5" t="s">
        <v>7761</v>
      </c>
      <c r="G659" s="5" t="s">
        <v>2396</v>
      </c>
      <c r="H659" s="5" t="s">
        <v>7762</v>
      </c>
      <c r="I659" s="5" t="s">
        <v>7763</v>
      </c>
      <c r="J659" s="17" t="s">
        <v>162</v>
      </c>
      <c r="K659" s="17" t="s">
        <v>163</v>
      </c>
      <c r="L659" s="5" t="s">
        <v>7764</v>
      </c>
      <c r="M659" s="6" t="s">
        <v>1494</v>
      </c>
      <c r="N659" s="6" t="s">
        <v>2171</v>
      </c>
      <c r="O659" s="6" t="s">
        <v>162</v>
      </c>
      <c r="P659" s="5" t="s">
        <v>2272</v>
      </c>
      <c r="Q659" s="17" t="s">
        <v>163</v>
      </c>
      <c r="R659" s="5" t="s">
        <v>7765</v>
      </c>
      <c r="S659" s="6" t="s">
        <v>2295</v>
      </c>
      <c r="T659" s="5" t="s">
        <v>2296</v>
      </c>
      <c r="U659" s="6"/>
      <c r="V659" s="6" t="s">
        <v>2297</v>
      </c>
      <c r="W659" s="6" t="s">
        <v>1697</v>
      </c>
      <c r="X659" s="5" t="s">
        <v>327</v>
      </c>
      <c r="Y659" s="5" t="s">
        <v>7134</v>
      </c>
      <c r="Z659" s="5" t="str">
        <f t="shared" si="20"/>
        <v>Medium</v>
      </c>
      <c r="AA659" s="5" t="s">
        <v>1302</v>
      </c>
      <c r="AB659" s="6" t="s">
        <v>1355</v>
      </c>
      <c r="AC659" s="6" t="s">
        <v>32</v>
      </c>
      <c r="AD659" s="5" t="s">
        <v>1805</v>
      </c>
      <c r="AE659" s="5" t="s">
        <v>1720</v>
      </c>
      <c r="AF659" s="5" t="s">
        <v>1720</v>
      </c>
      <c r="AG659" s="5" t="s">
        <v>1720</v>
      </c>
      <c r="AH659" s="5" t="s">
        <v>1720</v>
      </c>
      <c r="AI659" s="6" t="str">
        <f t="shared" si="21"/>
        <v>No</v>
      </c>
      <c r="AJ659" s="6" t="s">
        <v>287</v>
      </c>
      <c r="AK659" s="6" t="s">
        <v>204</v>
      </c>
      <c r="AL659" s="6">
        <f>MATCH(AA659,{"Low","Medium","High"},0)*MATCH(AB659,{"Low","Medium","High"},0)*INDEX({3,2,2,1,1},MATCH(X659,{"Core","Vertical extension","Differentiator","Future","Adjacent"},0))</f>
        <v>6</v>
      </c>
      <c r="AM659" s="5"/>
      <c r="AN659" s="5"/>
      <c r="AO659" s="5"/>
      <c r="AP659" s="5"/>
      <c r="AQ659" s="5"/>
      <c r="AR659" s="5"/>
      <c r="AS659" s="5"/>
      <c r="AT659" s="5"/>
      <c r="AU659" s="6" t="s">
        <v>2317</v>
      </c>
      <c r="AV659" s="6" t="s">
        <v>3968</v>
      </c>
      <c r="AW659" s="6" t="s">
        <v>76</v>
      </c>
      <c r="AX659" s="6" t="s">
        <v>2284</v>
      </c>
      <c r="AY659" s="6" t="s">
        <v>2285</v>
      </c>
      <c r="AZ659" s="6"/>
      <c r="BA659" s="6"/>
      <c r="BB659" s="6"/>
      <c r="BC659" s="6" t="s">
        <v>127</v>
      </c>
      <c r="BD659" s="6" t="s">
        <v>127</v>
      </c>
      <c r="BE659" s="6" t="s">
        <v>1477</v>
      </c>
      <c r="BF659" s="6" t="s">
        <v>288</v>
      </c>
      <c r="BG659" s="6" t="s">
        <v>7766</v>
      </c>
      <c r="BH659" s="6" t="s">
        <v>7767</v>
      </c>
    </row>
    <row r="660" spans="1:60" ht="32" customHeight="1" x14ac:dyDescent="0.35">
      <c r="A660" s="13" t="s">
        <v>7768</v>
      </c>
      <c r="B660" s="6" t="s">
        <v>7701</v>
      </c>
      <c r="C660" s="5" t="s">
        <v>7752</v>
      </c>
      <c r="D660" s="5" t="s">
        <v>2195</v>
      </c>
      <c r="E660" s="5" t="s">
        <v>7769</v>
      </c>
      <c r="F660" s="5" t="s">
        <v>1822</v>
      </c>
      <c r="G660" s="5" t="s">
        <v>2396</v>
      </c>
      <c r="H660" s="5" t="s">
        <v>7770</v>
      </c>
      <c r="I660" s="5" t="s">
        <v>7771</v>
      </c>
      <c r="J660" s="17" t="s">
        <v>162</v>
      </c>
      <c r="K660" s="17" t="s">
        <v>163</v>
      </c>
      <c r="L660" s="5" t="s">
        <v>7772</v>
      </c>
      <c r="M660" s="6" t="s">
        <v>1494</v>
      </c>
      <c r="N660" s="6" t="s">
        <v>2171</v>
      </c>
      <c r="O660" s="6" t="s">
        <v>162</v>
      </c>
      <c r="P660" s="5" t="s">
        <v>2272</v>
      </c>
      <c r="Q660" s="17" t="s">
        <v>163</v>
      </c>
      <c r="R660" s="5" t="s">
        <v>7773</v>
      </c>
      <c r="S660" s="6" t="s">
        <v>2295</v>
      </c>
      <c r="T660" s="5" t="s">
        <v>2296</v>
      </c>
      <c r="U660" s="6"/>
      <c r="V660" s="6" t="s">
        <v>2297</v>
      </c>
      <c r="W660" s="6" t="s">
        <v>1697</v>
      </c>
      <c r="X660" s="5" t="s">
        <v>327</v>
      </c>
      <c r="Y660" s="5" t="s">
        <v>7134</v>
      </c>
      <c r="Z660" s="5" t="str">
        <f t="shared" si="20"/>
        <v>Medium</v>
      </c>
      <c r="AA660" s="5" t="s">
        <v>1302</v>
      </c>
      <c r="AB660" s="6" t="s">
        <v>1355</v>
      </c>
      <c r="AC660" s="6" t="s">
        <v>32</v>
      </c>
      <c r="AD660" s="5" t="s">
        <v>1805</v>
      </c>
      <c r="AE660" s="5" t="s">
        <v>1720</v>
      </c>
      <c r="AF660" s="5" t="s">
        <v>1720</v>
      </c>
      <c r="AG660" s="5" t="s">
        <v>1720</v>
      </c>
      <c r="AH660" s="5" t="s">
        <v>1720</v>
      </c>
      <c r="AI660" s="6" t="str">
        <f t="shared" si="21"/>
        <v>No</v>
      </c>
      <c r="AJ660" s="6" t="s">
        <v>287</v>
      </c>
      <c r="AK660" s="6" t="s">
        <v>204</v>
      </c>
      <c r="AL660" s="6">
        <f>MATCH(AA660,{"Low","Medium","High"},0)*MATCH(AB660,{"Low","Medium","High"},0)*INDEX({3,2,2,1,1},MATCH(X660,{"Core","Vertical extension","Differentiator","Future","Adjacent"},0))</f>
        <v>6</v>
      </c>
      <c r="AM660" s="5"/>
      <c r="AN660" s="5"/>
      <c r="AO660" s="5"/>
      <c r="AP660" s="5"/>
      <c r="AQ660" s="5"/>
      <c r="AR660" s="5"/>
      <c r="AS660" s="5"/>
      <c r="AT660" s="5"/>
      <c r="AU660" s="6" t="s">
        <v>2317</v>
      </c>
      <c r="AV660" s="6" t="s">
        <v>3968</v>
      </c>
      <c r="AW660" s="6" t="s">
        <v>76</v>
      </c>
      <c r="AX660" s="6" t="s">
        <v>2284</v>
      </c>
      <c r="AY660" s="6" t="s">
        <v>2285</v>
      </c>
      <c r="AZ660" s="6"/>
      <c r="BA660" s="6"/>
      <c r="BB660" s="6"/>
      <c r="BC660" s="6" t="s">
        <v>127</v>
      </c>
      <c r="BD660" s="6" t="s">
        <v>127</v>
      </c>
      <c r="BE660" s="6" t="s">
        <v>1477</v>
      </c>
      <c r="BF660" s="6" t="s">
        <v>288</v>
      </c>
      <c r="BG660" s="6" t="s">
        <v>7774</v>
      </c>
      <c r="BH660" s="6" t="s">
        <v>7775</v>
      </c>
    </row>
    <row r="661" spans="1:60" ht="32" customHeight="1" x14ac:dyDescent="0.35">
      <c r="A661" s="13" t="s">
        <v>7776</v>
      </c>
      <c r="B661" s="6" t="s">
        <v>7701</v>
      </c>
      <c r="C661" s="5" t="s">
        <v>7752</v>
      </c>
      <c r="D661" s="5" t="s">
        <v>2183</v>
      </c>
      <c r="E661" s="5" t="s">
        <v>7777</v>
      </c>
      <c r="F661" s="5" t="s">
        <v>4062</v>
      </c>
      <c r="G661" s="5" t="s">
        <v>7392</v>
      </c>
      <c r="H661" s="5" t="s">
        <v>7778</v>
      </c>
      <c r="I661" s="5" t="s">
        <v>7779</v>
      </c>
      <c r="J661" s="17" t="s">
        <v>162</v>
      </c>
      <c r="K661" s="17" t="s">
        <v>95</v>
      </c>
      <c r="L661" s="5" t="s">
        <v>7780</v>
      </c>
      <c r="M661" s="6" t="s">
        <v>1494</v>
      </c>
      <c r="N661" s="6" t="s">
        <v>2171</v>
      </c>
      <c r="O661" s="6" t="s">
        <v>162</v>
      </c>
      <c r="P661" s="5" t="s">
        <v>2272</v>
      </c>
      <c r="Q661" s="17" t="s">
        <v>95</v>
      </c>
      <c r="R661" s="5" t="s">
        <v>7781</v>
      </c>
      <c r="S661" s="6" t="s">
        <v>2438</v>
      </c>
      <c r="T661" s="5" t="s">
        <v>2439</v>
      </c>
      <c r="U661" s="6"/>
      <c r="V661" s="6" t="s">
        <v>2440</v>
      </c>
      <c r="W661" s="6" t="s">
        <v>1699</v>
      </c>
      <c r="X661" s="5" t="s">
        <v>327</v>
      </c>
      <c r="Y661" s="5" t="s">
        <v>7134</v>
      </c>
      <c r="Z661" s="5" t="str">
        <f t="shared" si="20"/>
        <v>Critical</v>
      </c>
      <c r="AA661" s="5" t="s">
        <v>1302</v>
      </c>
      <c r="AB661" s="6" t="s">
        <v>1302</v>
      </c>
      <c r="AC661" s="6" t="s">
        <v>32</v>
      </c>
      <c r="AD661" s="5" t="s">
        <v>95</v>
      </c>
      <c r="AE661" s="5" t="s">
        <v>1720</v>
      </c>
      <c r="AF661" s="5" t="s">
        <v>1720</v>
      </c>
      <c r="AG661" s="5" t="s">
        <v>1720</v>
      </c>
      <c r="AH661" s="5" t="s">
        <v>1720</v>
      </c>
      <c r="AI661" s="6" t="str">
        <f t="shared" si="21"/>
        <v>No</v>
      </c>
      <c r="AJ661" s="6" t="s">
        <v>229</v>
      </c>
      <c r="AK661" s="6" t="s">
        <v>204</v>
      </c>
      <c r="AL661" s="6">
        <f>MATCH(AA661,{"Low","Medium","High"},0)*MATCH(AB661,{"Low","Medium","High"},0)*INDEX({3,2,2,1,1},MATCH(X661,{"Core","Vertical extension","Differentiator","Future","Adjacent"},0))</f>
        <v>18</v>
      </c>
      <c r="AM661" s="5"/>
      <c r="AN661" s="5"/>
      <c r="AO661" s="5"/>
      <c r="AP661" s="5"/>
      <c r="AQ661" s="5"/>
      <c r="AR661" s="5"/>
      <c r="AS661" s="5"/>
      <c r="AT661" s="5"/>
      <c r="AU661" s="6" t="s">
        <v>2317</v>
      </c>
      <c r="AV661" s="6" t="s">
        <v>3968</v>
      </c>
      <c r="AW661" s="6" t="s">
        <v>3968</v>
      </c>
      <c r="AX661" s="6" t="s">
        <v>2284</v>
      </c>
      <c r="AY661" s="6" t="s">
        <v>2285</v>
      </c>
      <c r="AZ661" s="6"/>
      <c r="BA661" s="6"/>
      <c r="BB661" s="6"/>
      <c r="BC661" s="6" t="s">
        <v>127</v>
      </c>
      <c r="BD661" s="6" t="s">
        <v>127</v>
      </c>
      <c r="BE661" s="6" t="s">
        <v>1477</v>
      </c>
      <c r="BF661" s="6" t="s">
        <v>95</v>
      </c>
      <c r="BG661" s="6" t="s">
        <v>7782</v>
      </c>
      <c r="BH661" s="6" t="s">
        <v>7783</v>
      </c>
    </row>
    <row r="662" spans="1:60" ht="32" customHeight="1" x14ac:dyDescent="0.35">
      <c r="A662" s="13" t="s">
        <v>7784</v>
      </c>
      <c r="B662" s="6" t="s">
        <v>7701</v>
      </c>
      <c r="C662" s="5" t="s">
        <v>7752</v>
      </c>
      <c r="D662" s="5" t="s">
        <v>2183</v>
      </c>
      <c r="E662" s="5" t="s">
        <v>7785</v>
      </c>
      <c r="F662" s="5" t="s">
        <v>7786</v>
      </c>
      <c r="G662" s="5" t="s">
        <v>6876</v>
      </c>
      <c r="H662" s="5" t="s">
        <v>7787</v>
      </c>
      <c r="I662" s="5" t="s">
        <v>7788</v>
      </c>
      <c r="J662" s="16" t="s">
        <v>94</v>
      </c>
      <c r="K662" s="17" t="s">
        <v>1477</v>
      </c>
      <c r="L662" s="5" t="s">
        <v>7789</v>
      </c>
      <c r="M662" s="6" t="s">
        <v>1494</v>
      </c>
      <c r="N662" s="6" t="s">
        <v>2171</v>
      </c>
      <c r="O662" s="6" t="s">
        <v>94</v>
      </c>
      <c r="P662" s="5" t="s">
        <v>2272</v>
      </c>
      <c r="Q662" s="17" t="s">
        <v>2273</v>
      </c>
      <c r="R662" s="5" t="s">
        <v>7790</v>
      </c>
      <c r="S662" s="6" t="s">
        <v>2438</v>
      </c>
      <c r="T662" s="5" t="s">
        <v>2439</v>
      </c>
      <c r="U662" s="6"/>
      <c r="V662" s="6" t="s">
        <v>2440</v>
      </c>
      <c r="W662" s="6" t="s">
        <v>1699</v>
      </c>
      <c r="X662" s="5" t="s">
        <v>327</v>
      </c>
      <c r="Y662" s="5" t="s">
        <v>7134</v>
      </c>
      <c r="Z662" s="5" t="str">
        <f t="shared" si="20"/>
        <v>Critical</v>
      </c>
      <c r="AA662" s="5" t="s">
        <v>1302</v>
      </c>
      <c r="AB662" s="6" t="s">
        <v>1302</v>
      </c>
      <c r="AC662" s="6" t="s">
        <v>99</v>
      </c>
      <c r="AD662" s="5" t="s">
        <v>2278</v>
      </c>
      <c r="AE662" s="5" t="s">
        <v>1720</v>
      </c>
      <c r="AF662" s="5" t="s">
        <v>1720</v>
      </c>
      <c r="AG662" s="5" t="s">
        <v>1720</v>
      </c>
      <c r="AH662" s="5" t="s">
        <v>1720</v>
      </c>
      <c r="AI662" s="6" t="str">
        <f t="shared" si="21"/>
        <v>No</v>
      </c>
      <c r="AJ662" s="6" t="s">
        <v>2298</v>
      </c>
      <c r="AK662" s="6" t="s">
        <v>94</v>
      </c>
      <c r="AL662" s="6">
        <f>MATCH(AA662,{"Low","Medium","High"},0)*MATCH(AB662,{"Low","Medium","High"},0)*INDEX({3,2,2,1,1},MATCH(X662,{"Core","Vertical extension","Differentiator","Future","Adjacent"},0))</f>
        <v>18</v>
      </c>
      <c r="AM662" s="5"/>
      <c r="AN662" s="5"/>
      <c r="AO662" s="5"/>
      <c r="AP662" s="5"/>
      <c r="AQ662" s="5"/>
      <c r="AR662" s="5" t="s">
        <v>7791</v>
      </c>
      <c r="AS662" s="5" t="s">
        <v>1462</v>
      </c>
      <c r="AT662" s="5" t="s">
        <v>2281</v>
      </c>
      <c r="AU662" s="6" t="s">
        <v>95</v>
      </c>
      <c r="AV662" s="6" t="s">
        <v>3968</v>
      </c>
      <c r="AW662" s="6" t="s">
        <v>3968</v>
      </c>
      <c r="AX662" s="6" t="s">
        <v>2284</v>
      </c>
      <c r="AY662" s="6" t="s">
        <v>2285</v>
      </c>
      <c r="AZ662" s="6"/>
      <c r="BA662" s="6"/>
      <c r="BB662" s="6"/>
      <c r="BC662" s="6" t="s">
        <v>127</v>
      </c>
      <c r="BD662" s="6" t="s">
        <v>127</v>
      </c>
      <c r="BE662" s="6" t="s">
        <v>1477</v>
      </c>
      <c r="BF662" s="6" t="s">
        <v>2286</v>
      </c>
      <c r="BG662" s="6" t="s">
        <v>7792</v>
      </c>
      <c r="BH662" s="6" t="s">
        <v>7793</v>
      </c>
    </row>
    <row r="663" spans="1:60" ht="32" customHeight="1" x14ac:dyDescent="0.35">
      <c r="A663" s="13" t="s">
        <v>7794</v>
      </c>
      <c r="B663" s="6" t="s">
        <v>7701</v>
      </c>
      <c r="C663" s="5" t="s">
        <v>7752</v>
      </c>
      <c r="D663" s="5" t="s">
        <v>2195</v>
      </c>
      <c r="E663" s="5" t="s">
        <v>7795</v>
      </c>
      <c r="F663" s="5" t="s">
        <v>2973</v>
      </c>
      <c r="G663" s="5" t="s">
        <v>7383</v>
      </c>
      <c r="H663" s="5" t="s">
        <v>7796</v>
      </c>
      <c r="I663" s="5" t="s">
        <v>7797</v>
      </c>
      <c r="J663" s="17" t="s">
        <v>162</v>
      </c>
      <c r="K663" s="17" t="s">
        <v>95</v>
      </c>
      <c r="L663" s="5" t="s">
        <v>7798</v>
      </c>
      <c r="M663" s="6" t="s">
        <v>1494</v>
      </c>
      <c r="N663" s="6" t="s">
        <v>2171</v>
      </c>
      <c r="O663" s="6" t="s">
        <v>162</v>
      </c>
      <c r="P663" s="5" t="s">
        <v>2272</v>
      </c>
      <c r="Q663" s="17" t="s">
        <v>95</v>
      </c>
      <c r="R663" s="5" t="s">
        <v>7799</v>
      </c>
      <c r="S663" s="6" t="s">
        <v>2295</v>
      </c>
      <c r="T663" s="5" t="s">
        <v>2296</v>
      </c>
      <c r="U663" s="6"/>
      <c r="V663" s="6" t="s">
        <v>2297</v>
      </c>
      <c r="W663" s="6" t="s">
        <v>1697</v>
      </c>
      <c r="X663" s="5" t="s">
        <v>327</v>
      </c>
      <c r="Y663" s="5" t="s">
        <v>7134</v>
      </c>
      <c r="Z663" s="5" t="str">
        <f t="shared" si="20"/>
        <v>Medium</v>
      </c>
      <c r="AA663" s="5" t="s">
        <v>1302</v>
      </c>
      <c r="AB663" s="6" t="s">
        <v>1355</v>
      </c>
      <c r="AC663" s="6" t="s">
        <v>32</v>
      </c>
      <c r="AD663" s="5" t="s">
        <v>95</v>
      </c>
      <c r="AE663" s="5" t="s">
        <v>1720</v>
      </c>
      <c r="AF663" s="5" t="s">
        <v>1720</v>
      </c>
      <c r="AG663" s="5" t="s">
        <v>1720</v>
      </c>
      <c r="AH663" s="5" t="s">
        <v>1720</v>
      </c>
      <c r="AI663" s="6" t="str">
        <f t="shared" si="21"/>
        <v>No</v>
      </c>
      <c r="AJ663" s="6" t="s">
        <v>229</v>
      </c>
      <c r="AK663" s="6" t="s">
        <v>204</v>
      </c>
      <c r="AL663" s="6">
        <f>MATCH(AA663,{"Low","Medium","High"},0)*MATCH(AB663,{"Low","Medium","High"},0)*INDEX({3,2,2,1,1},MATCH(X663,{"Core","Vertical extension","Differentiator","Future","Adjacent"},0))</f>
        <v>6</v>
      </c>
      <c r="AM663" s="5"/>
      <c r="AN663" s="5"/>
      <c r="AO663" s="5"/>
      <c r="AP663" s="5"/>
      <c r="AQ663" s="5"/>
      <c r="AR663" s="5"/>
      <c r="AS663" s="5"/>
      <c r="AT663" s="5"/>
      <c r="AU663" s="6" t="s">
        <v>2317</v>
      </c>
      <c r="AV663" s="6" t="s">
        <v>3968</v>
      </c>
      <c r="AW663" s="6" t="s">
        <v>76</v>
      </c>
      <c r="AX663" s="6" t="s">
        <v>2284</v>
      </c>
      <c r="AY663" s="6" t="s">
        <v>2285</v>
      </c>
      <c r="AZ663" s="6"/>
      <c r="BA663" s="6"/>
      <c r="BB663" s="6"/>
      <c r="BC663" s="6" t="s">
        <v>127</v>
      </c>
      <c r="BD663" s="6" t="s">
        <v>127</v>
      </c>
      <c r="BE663" s="6" t="s">
        <v>1477</v>
      </c>
      <c r="BF663" s="6" t="s">
        <v>95</v>
      </c>
      <c r="BG663" s="6" t="s">
        <v>7800</v>
      </c>
      <c r="BH663" s="6" t="s">
        <v>7801</v>
      </c>
    </row>
    <row r="664" spans="1:60" ht="32" customHeight="1" x14ac:dyDescent="0.35">
      <c r="A664" s="13" t="s">
        <v>7802</v>
      </c>
      <c r="B664" s="6" t="s">
        <v>7701</v>
      </c>
      <c r="C664" s="5" t="s">
        <v>7752</v>
      </c>
      <c r="D664" s="5" t="s">
        <v>2196</v>
      </c>
      <c r="E664" s="5" t="s">
        <v>7803</v>
      </c>
      <c r="F664" s="5" t="s">
        <v>7139</v>
      </c>
      <c r="G664" s="5" t="s">
        <v>6796</v>
      </c>
      <c r="H664" s="5" t="s">
        <v>7804</v>
      </c>
      <c r="I664" s="5" t="s">
        <v>7805</v>
      </c>
      <c r="J664" s="17" t="s">
        <v>162</v>
      </c>
      <c r="K664" s="17" t="s">
        <v>95</v>
      </c>
      <c r="L664" s="5" t="s">
        <v>7806</v>
      </c>
      <c r="M664" s="6" t="s">
        <v>1494</v>
      </c>
      <c r="N664" s="6" t="s">
        <v>2171</v>
      </c>
      <c r="O664" s="6" t="s">
        <v>162</v>
      </c>
      <c r="P664" s="5" t="s">
        <v>2272</v>
      </c>
      <c r="Q664" s="17" t="s">
        <v>95</v>
      </c>
      <c r="R664" s="5" t="s">
        <v>7807</v>
      </c>
      <c r="S664" s="6" t="s">
        <v>2358</v>
      </c>
      <c r="T664" s="5" t="s">
        <v>2359</v>
      </c>
      <c r="U664" s="6"/>
      <c r="V664" s="6" t="s">
        <v>2360</v>
      </c>
      <c r="W664" s="6" t="s">
        <v>1703</v>
      </c>
      <c r="X664" s="5" t="s">
        <v>327</v>
      </c>
      <c r="Y664" s="5" t="s">
        <v>7134</v>
      </c>
      <c r="Z664" s="5" t="str">
        <f t="shared" si="20"/>
        <v>Medium</v>
      </c>
      <c r="AA664" s="5" t="s">
        <v>1319</v>
      </c>
      <c r="AB664" s="6" t="s">
        <v>1355</v>
      </c>
      <c r="AC664" s="6" t="s">
        <v>32</v>
      </c>
      <c r="AD664" s="5" t="s">
        <v>95</v>
      </c>
      <c r="AE664" s="5" t="s">
        <v>1720</v>
      </c>
      <c r="AF664" s="5" t="s">
        <v>1720</v>
      </c>
      <c r="AG664" s="5" t="s">
        <v>1720</v>
      </c>
      <c r="AH664" s="5" t="s">
        <v>1720</v>
      </c>
      <c r="AI664" s="6" t="str">
        <f t="shared" si="21"/>
        <v>No</v>
      </c>
      <c r="AJ664" s="6" t="s">
        <v>229</v>
      </c>
      <c r="AK664" s="6" t="s">
        <v>204</v>
      </c>
      <c r="AL664" s="6">
        <f>MATCH(AA664,{"Low","Medium","High"},0)*MATCH(AB664,{"Low","Medium","High"},0)*INDEX({3,2,2,1,1},MATCH(X664,{"Core","Vertical extension","Differentiator","Future","Adjacent"},0))</f>
        <v>4</v>
      </c>
      <c r="AM664" s="5"/>
      <c r="AN664" s="5"/>
      <c r="AO664" s="5"/>
      <c r="AP664" s="5"/>
      <c r="AQ664" s="5"/>
      <c r="AR664" s="5"/>
      <c r="AS664" s="5"/>
      <c r="AT664" s="5"/>
      <c r="AU664" s="6" t="s">
        <v>2317</v>
      </c>
      <c r="AV664" s="6" t="s">
        <v>3968</v>
      </c>
      <c r="AW664" s="6" t="s">
        <v>76</v>
      </c>
      <c r="AX664" s="6" t="s">
        <v>2284</v>
      </c>
      <c r="AY664" s="6" t="s">
        <v>2285</v>
      </c>
      <c r="AZ664" s="6"/>
      <c r="BA664" s="6"/>
      <c r="BB664" s="6"/>
      <c r="BC664" s="6" t="s">
        <v>127</v>
      </c>
      <c r="BD664" s="6" t="s">
        <v>127</v>
      </c>
      <c r="BE664" s="6" t="s">
        <v>1477</v>
      </c>
      <c r="BF664" s="6" t="s">
        <v>95</v>
      </c>
      <c r="BG664" s="6" t="s">
        <v>7808</v>
      </c>
      <c r="BH664" s="6" t="s">
        <v>7809</v>
      </c>
    </row>
    <row r="665" spans="1:60" ht="32" customHeight="1" x14ac:dyDescent="0.35">
      <c r="A665" s="13" t="s">
        <v>7810</v>
      </c>
      <c r="B665" s="6" t="s">
        <v>7701</v>
      </c>
      <c r="C665" s="5" t="s">
        <v>7752</v>
      </c>
      <c r="D665" s="5" t="s">
        <v>2201</v>
      </c>
      <c r="E665" s="5" t="s">
        <v>7811</v>
      </c>
      <c r="F665" s="5" t="s">
        <v>2788</v>
      </c>
      <c r="G665" s="5" t="s">
        <v>3734</v>
      </c>
      <c r="H665" s="5" t="s">
        <v>7812</v>
      </c>
      <c r="I665" s="5" t="s">
        <v>7813</v>
      </c>
      <c r="J665" s="21" t="s">
        <v>213</v>
      </c>
      <c r="K665" s="17" t="s">
        <v>95</v>
      </c>
      <c r="L665" s="5" t="s">
        <v>7814</v>
      </c>
      <c r="M665" s="6" t="s">
        <v>1494</v>
      </c>
      <c r="N665" s="6" t="s">
        <v>2171</v>
      </c>
      <c r="O665" s="6" t="s">
        <v>204</v>
      </c>
      <c r="P665" s="5" t="s">
        <v>6999</v>
      </c>
      <c r="Q665" s="17" t="s">
        <v>95</v>
      </c>
      <c r="R665" s="5" t="s">
        <v>7815</v>
      </c>
      <c r="S665" s="6" t="s">
        <v>6358</v>
      </c>
      <c r="T665" s="5" t="s">
        <v>6359</v>
      </c>
      <c r="U665" s="6"/>
      <c r="V665" s="6" t="s">
        <v>2277</v>
      </c>
      <c r="W665" s="6" t="s">
        <v>1697</v>
      </c>
      <c r="X665" s="5" t="s">
        <v>415</v>
      </c>
      <c r="Y665" s="5" t="s">
        <v>7134</v>
      </c>
      <c r="Z665" s="5" t="str">
        <f t="shared" si="20"/>
        <v>Low</v>
      </c>
      <c r="AA665" s="5" t="s">
        <v>1355</v>
      </c>
      <c r="AB665" s="6" t="s">
        <v>1355</v>
      </c>
      <c r="AC665" s="6" t="s">
        <v>32</v>
      </c>
      <c r="AD665" s="5" t="s">
        <v>95</v>
      </c>
      <c r="AE665" s="5" t="s">
        <v>1720</v>
      </c>
      <c r="AF665" s="5" t="s">
        <v>1720</v>
      </c>
      <c r="AG665" s="5" t="s">
        <v>1720</v>
      </c>
      <c r="AH665" s="5" t="s">
        <v>1720</v>
      </c>
      <c r="AI665" s="6" t="str">
        <f t="shared" si="21"/>
        <v>No</v>
      </c>
      <c r="AJ665" s="6" t="s">
        <v>229</v>
      </c>
      <c r="AK665" s="6" t="s">
        <v>213</v>
      </c>
      <c r="AL665" s="6">
        <f>MATCH(AA665,{"Low","Medium","High"},0)*MATCH(AB665,{"Low","Medium","High"},0)*INDEX({3,2,2,1,1},MATCH(X665,{"Core","Vertical extension","Differentiator","Future","Adjacent"},0))</f>
        <v>1</v>
      </c>
      <c r="AM665" s="5"/>
      <c r="AN665" s="5"/>
      <c r="AO665" s="5"/>
      <c r="AP665" s="5"/>
      <c r="AQ665" s="5"/>
      <c r="AR665" s="5"/>
      <c r="AS665" s="5"/>
      <c r="AT665" s="5"/>
      <c r="AU665" s="6" t="s">
        <v>2317</v>
      </c>
      <c r="AV665" s="6" t="s">
        <v>3968</v>
      </c>
      <c r="AW665" s="6" t="s">
        <v>2794</v>
      </c>
      <c r="AX665" s="6" t="s">
        <v>7001</v>
      </c>
      <c r="AY665" s="6" t="s">
        <v>2285</v>
      </c>
      <c r="AZ665" s="6"/>
      <c r="BA665" s="6"/>
      <c r="BB665" s="6"/>
      <c r="BC665" s="6" t="s">
        <v>127</v>
      </c>
      <c r="BD665" s="6" t="s">
        <v>127</v>
      </c>
      <c r="BE665" s="6" t="s">
        <v>1477</v>
      </c>
      <c r="BF665" s="6" t="s">
        <v>95</v>
      </c>
      <c r="BG665" s="6" t="s">
        <v>7816</v>
      </c>
      <c r="BH665" s="6" t="s">
        <v>7817</v>
      </c>
    </row>
    <row r="666" spans="1:60" ht="32" customHeight="1" x14ac:dyDescent="0.35">
      <c r="A666" s="13" t="s">
        <v>7818</v>
      </c>
      <c r="B666" s="6" t="s">
        <v>7701</v>
      </c>
      <c r="C666" s="5" t="s">
        <v>7752</v>
      </c>
      <c r="D666" s="5" t="s">
        <v>2198</v>
      </c>
      <c r="E666" s="5" t="s">
        <v>7819</v>
      </c>
      <c r="F666" s="5" t="s">
        <v>7754</v>
      </c>
      <c r="G666" s="5" t="s">
        <v>2396</v>
      </c>
      <c r="H666" s="5" t="s">
        <v>7820</v>
      </c>
      <c r="I666" s="5" t="s">
        <v>7821</v>
      </c>
      <c r="J666" s="17" t="s">
        <v>162</v>
      </c>
      <c r="K666" s="17" t="s">
        <v>95</v>
      </c>
      <c r="L666" s="5" t="s">
        <v>7822</v>
      </c>
      <c r="M666" s="6" t="s">
        <v>1494</v>
      </c>
      <c r="N666" s="6" t="s">
        <v>2171</v>
      </c>
      <c r="O666" s="6" t="s">
        <v>162</v>
      </c>
      <c r="P666" s="5" t="s">
        <v>2272</v>
      </c>
      <c r="Q666" s="17" t="s">
        <v>95</v>
      </c>
      <c r="R666" s="5" t="s">
        <v>7823</v>
      </c>
      <c r="S666" s="6" t="s">
        <v>2401</v>
      </c>
      <c r="T666" s="5" t="s">
        <v>2402</v>
      </c>
      <c r="U666" s="6"/>
      <c r="V666" s="6" t="s">
        <v>2403</v>
      </c>
      <c r="W666" s="6" t="s">
        <v>1703</v>
      </c>
      <c r="X666" s="5" t="s">
        <v>327</v>
      </c>
      <c r="Y666" s="5" t="s">
        <v>7134</v>
      </c>
      <c r="Z666" s="5" t="str">
        <f t="shared" si="20"/>
        <v>Medium</v>
      </c>
      <c r="AA666" s="5" t="s">
        <v>1319</v>
      </c>
      <c r="AB666" s="6" t="s">
        <v>1355</v>
      </c>
      <c r="AC666" s="6" t="s">
        <v>32</v>
      </c>
      <c r="AD666" s="5" t="s">
        <v>95</v>
      </c>
      <c r="AE666" s="5" t="s">
        <v>1720</v>
      </c>
      <c r="AF666" s="5" t="s">
        <v>1720</v>
      </c>
      <c r="AG666" s="5" t="s">
        <v>1720</v>
      </c>
      <c r="AH666" s="5" t="s">
        <v>1720</v>
      </c>
      <c r="AI666" s="6" t="str">
        <f t="shared" si="21"/>
        <v>No</v>
      </c>
      <c r="AJ666" s="6" t="s">
        <v>229</v>
      </c>
      <c r="AK666" s="6" t="s">
        <v>204</v>
      </c>
      <c r="AL666" s="6">
        <f>MATCH(AA666,{"Low","Medium","High"},0)*MATCH(AB666,{"Low","Medium","High"},0)*INDEX({3,2,2,1,1},MATCH(X666,{"Core","Vertical extension","Differentiator","Future","Adjacent"},0))</f>
        <v>4</v>
      </c>
      <c r="AM666" s="5"/>
      <c r="AN666" s="5"/>
      <c r="AO666" s="5"/>
      <c r="AP666" s="5"/>
      <c r="AQ666" s="5"/>
      <c r="AR666" s="5"/>
      <c r="AS666" s="5"/>
      <c r="AT666" s="5"/>
      <c r="AU666" s="6" t="s">
        <v>2317</v>
      </c>
      <c r="AV666" s="6" t="s">
        <v>3968</v>
      </c>
      <c r="AW666" s="6" t="s">
        <v>3968</v>
      </c>
      <c r="AX666" s="6" t="s">
        <v>2284</v>
      </c>
      <c r="AY666" s="6" t="s">
        <v>2285</v>
      </c>
      <c r="AZ666" s="6"/>
      <c r="BA666" s="6"/>
      <c r="BB666" s="6"/>
      <c r="BC666" s="6" t="s">
        <v>127</v>
      </c>
      <c r="BD666" s="6" t="s">
        <v>127</v>
      </c>
      <c r="BE666" s="6" t="s">
        <v>1477</v>
      </c>
      <c r="BF666" s="6" t="s">
        <v>95</v>
      </c>
      <c r="BG666" s="6" t="s">
        <v>7824</v>
      </c>
      <c r="BH666" s="6" t="s">
        <v>7825</v>
      </c>
    </row>
    <row r="667" spans="1:60" ht="32" customHeight="1" x14ac:dyDescent="0.35">
      <c r="A667" s="13" t="s">
        <v>1143</v>
      </c>
      <c r="B667" s="6" t="s">
        <v>7826</v>
      </c>
      <c r="C667" s="5" t="s">
        <v>7827</v>
      </c>
      <c r="D667" s="5" t="s">
        <v>2185</v>
      </c>
      <c r="E667" s="5" t="s">
        <v>7828</v>
      </c>
      <c r="F667" s="5" t="s">
        <v>7829</v>
      </c>
      <c r="G667" s="5" t="s">
        <v>2312</v>
      </c>
      <c r="H667" s="5" t="s">
        <v>7830</v>
      </c>
      <c r="I667" s="5" t="s">
        <v>7831</v>
      </c>
      <c r="J667" s="16" t="s">
        <v>94</v>
      </c>
      <c r="K667" s="17" t="s">
        <v>1477</v>
      </c>
      <c r="L667" s="5" t="s">
        <v>7832</v>
      </c>
      <c r="M667" s="6" t="s">
        <v>1494</v>
      </c>
      <c r="N667" s="6" t="s">
        <v>2171</v>
      </c>
      <c r="O667" s="6" t="s">
        <v>94</v>
      </c>
      <c r="P667" s="5" t="s">
        <v>2272</v>
      </c>
      <c r="Q667" s="17" t="s">
        <v>2273</v>
      </c>
      <c r="R667" s="5" t="s">
        <v>7833</v>
      </c>
      <c r="S667" s="6" t="s">
        <v>2409</v>
      </c>
      <c r="T667" s="5" t="s">
        <v>2185</v>
      </c>
      <c r="U667" s="6"/>
      <c r="V667" s="6" t="s">
        <v>2410</v>
      </c>
      <c r="W667" s="6" t="s">
        <v>1699</v>
      </c>
      <c r="X667" s="5" t="s">
        <v>409</v>
      </c>
      <c r="Y667" s="5" t="s">
        <v>7134</v>
      </c>
      <c r="Z667" s="5" t="str">
        <f t="shared" si="20"/>
        <v>Medium</v>
      </c>
      <c r="AA667" s="5" t="s">
        <v>1302</v>
      </c>
      <c r="AB667" s="6" t="s">
        <v>1319</v>
      </c>
      <c r="AC667" s="6" t="s">
        <v>99</v>
      </c>
      <c r="AD667" s="5" t="s">
        <v>2278</v>
      </c>
      <c r="AE667" s="5" t="s">
        <v>1720</v>
      </c>
      <c r="AF667" s="5" t="s">
        <v>1720</v>
      </c>
      <c r="AG667" s="5" t="s">
        <v>1720</v>
      </c>
      <c r="AH667" s="5" t="s">
        <v>1720</v>
      </c>
      <c r="AI667" s="6" t="str">
        <f t="shared" si="21"/>
        <v>No</v>
      </c>
      <c r="AJ667" s="6" t="s">
        <v>229</v>
      </c>
      <c r="AK667" s="6" t="s">
        <v>94</v>
      </c>
      <c r="AL667" s="6">
        <f>MATCH(AA667,{"Low","Medium","High"},0)*MATCH(AB667,{"Low","Medium","High"},0)*INDEX({3,2,2,1,1},MATCH(X667,{"Core","Vertical extension","Differentiator","Future","Adjacent"},0))</f>
        <v>6</v>
      </c>
      <c r="AM667" s="5"/>
      <c r="AN667" s="5"/>
      <c r="AO667" s="5"/>
      <c r="AP667" s="5"/>
      <c r="AQ667" s="5"/>
      <c r="AR667" s="5" t="s">
        <v>7834</v>
      </c>
      <c r="AS667" s="51">
        <v>46300</v>
      </c>
      <c r="AT667" s="5" t="s">
        <v>2760</v>
      </c>
      <c r="AU667" s="6" t="s">
        <v>95</v>
      </c>
      <c r="AV667" s="6" t="s">
        <v>2898</v>
      </c>
      <c r="AW667" s="6" t="s">
        <v>2283</v>
      </c>
      <c r="AX667" s="6" t="s">
        <v>2284</v>
      </c>
      <c r="AY667" s="6" t="s">
        <v>2411</v>
      </c>
      <c r="AZ667" s="6"/>
      <c r="BA667" s="6" t="s">
        <v>7835</v>
      </c>
      <c r="BB667" s="6" t="s">
        <v>3180</v>
      </c>
      <c r="BC667" s="6" t="s">
        <v>127</v>
      </c>
      <c r="BD667" s="6" t="s">
        <v>127</v>
      </c>
      <c r="BE667" s="6" t="s">
        <v>1477</v>
      </c>
      <c r="BF667" s="6" t="s">
        <v>2286</v>
      </c>
      <c r="BG667" s="6" t="s">
        <v>7836</v>
      </c>
      <c r="BH667" s="6" t="s">
        <v>7837</v>
      </c>
    </row>
    <row r="668" spans="1:60" ht="32" customHeight="1" x14ac:dyDescent="0.35">
      <c r="A668" s="13" t="s">
        <v>7838</v>
      </c>
      <c r="B668" s="6" t="s">
        <v>7826</v>
      </c>
      <c r="C668" s="5" t="s">
        <v>7827</v>
      </c>
      <c r="D668" s="5" t="s">
        <v>2196</v>
      </c>
      <c r="E668" s="5" t="s">
        <v>7839</v>
      </c>
      <c r="F668" s="5" t="s">
        <v>7840</v>
      </c>
      <c r="G668" s="5" t="s">
        <v>2312</v>
      </c>
      <c r="H668" s="5" t="s">
        <v>7841</v>
      </c>
      <c r="I668" s="5" t="s">
        <v>7842</v>
      </c>
      <c r="J668" s="17" t="s">
        <v>162</v>
      </c>
      <c r="K668" s="17" t="s">
        <v>1477</v>
      </c>
      <c r="L668" s="5" t="s">
        <v>7843</v>
      </c>
      <c r="M668" s="6" t="s">
        <v>1494</v>
      </c>
      <c r="N668" s="6" t="s">
        <v>2171</v>
      </c>
      <c r="O668" s="6" t="s">
        <v>162</v>
      </c>
      <c r="P668" s="5" t="s">
        <v>2272</v>
      </c>
      <c r="Q668" s="17" t="s">
        <v>2273</v>
      </c>
      <c r="R668" s="5" t="s">
        <v>7844</v>
      </c>
      <c r="S668" s="6" t="s">
        <v>2358</v>
      </c>
      <c r="T668" s="5" t="s">
        <v>2359</v>
      </c>
      <c r="U668" s="6"/>
      <c r="V668" s="6" t="s">
        <v>2360</v>
      </c>
      <c r="W668" s="6" t="s">
        <v>1703</v>
      </c>
      <c r="X668" s="5" t="s">
        <v>409</v>
      </c>
      <c r="Y668" s="5" t="s">
        <v>7134</v>
      </c>
      <c r="Z668" s="5" t="str">
        <f t="shared" si="20"/>
        <v>Low</v>
      </c>
      <c r="AA668" s="5" t="s">
        <v>1319</v>
      </c>
      <c r="AB668" s="6" t="s">
        <v>1355</v>
      </c>
      <c r="AC668" s="6" t="s">
        <v>32</v>
      </c>
      <c r="AD668" s="5" t="s">
        <v>2278</v>
      </c>
      <c r="AE668" s="5" t="s">
        <v>1720</v>
      </c>
      <c r="AF668" s="5" t="s">
        <v>1720</v>
      </c>
      <c r="AG668" s="5" t="s">
        <v>1720</v>
      </c>
      <c r="AH668" s="5" t="s">
        <v>1720</v>
      </c>
      <c r="AI668" s="6" t="str">
        <f t="shared" si="21"/>
        <v>No</v>
      </c>
      <c r="AJ668" s="6" t="s">
        <v>2298</v>
      </c>
      <c r="AK668" s="6" t="s">
        <v>204</v>
      </c>
      <c r="AL668" s="6">
        <f>MATCH(AA668,{"Low","Medium","High"},0)*MATCH(AB668,{"Low","Medium","High"},0)*INDEX({3,2,2,1,1},MATCH(X668,{"Core","Vertical extension","Differentiator","Future","Adjacent"},0))</f>
        <v>2</v>
      </c>
      <c r="AM668" s="5"/>
      <c r="AN668" s="5"/>
      <c r="AO668" s="5"/>
      <c r="AP668" s="5"/>
      <c r="AQ668" s="5"/>
      <c r="AR668" s="5"/>
      <c r="AS668" s="5"/>
      <c r="AT668" s="5"/>
      <c r="AU668" s="6" t="s">
        <v>2317</v>
      </c>
      <c r="AV668" s="6" t="s">
        <v>2898</v>
      </c>
      <c r="AW668" s="6" t="s">
        <v>2813</v>
      </c>
      <c r="AX668" s="6" t="s">
        <v>2284</v>
      </c>
      <c r="AY668" s="6" t="s">
        <v>2285</v>
      </c>
      <c r="AZ668" s="6"/>
      <c r="BA668" s="6"/>
      <c r="BB668" s="6"/>
      <c r="BC668" s="6" t="s">
        <v>127</v>
      </c>
      <c r="BD668" s="6" t="s">
        <v>127</v>
      </c>
      <c r="BE668" s="6" t="s">
        <v>1477</v>
      </c>
      <c r="BF668" s="6" t="s">
        <v>2286</v>
      </c>
      <c r="BG668" s="6" t="s">
        <v>7845</v>
      </c>
      <c r="BH668" s="6" t="s">
        <v>7846</v>
      </c>
    </row>
    <row r="669" spans="1:60" ht="32" customHeight="1" x14ac:dyDescent="0.35">
      <c r="A669" s="13" t="s">
        <v>7847</v>
      </c>
      <c r="B669" s="6" t="s">
        <v>7826</v>
      </c>
      <c r="C669" s="5" t="s">
        <v>7827</v>
      </c>
      <c r="D669" s="5" t="s">
        <v>2185</v>
      </c>
      <c r="E669" s="5" t="s">
        <v>7848</v>
      </c>
      <c r="F669" s="5" t="s">
        <v>7849</v>
      </c>
      <c r="G669" s="5" t="s">
        <v>5739</v>
      </c>
      <c r="H669" s="5" t="s">
        <v>7850</v>
      </c>
      <c r="I669" s="5" t="s">
        <v>7851</v>
      </c>
      <c r="J669" s="16" t="s">
        <v>94</v>
      </c>
      <c r="K669" s="17" t="s">
        <v>1477</v>
      </c>
      <c r="L669" s="5" t="s">
        <v>7852</v>
      </c>
      <c r="M669" s="6" t="s">
        <v>1494</v>
      </c>
      <c r="N669" s="6" t="s">
        <v>2171</v>
      </c>
      <c r="O669" s="6" t="s">
        <v>94</v>
      </c>
      <c r="P669" s="5" t="s">
        <v>2272</v>
      </c>
      <c r="Q669" s="17" t="s">
        <v>2273</v>
      </c>
      <c r="R669" s="5" t="s">
        <v>7853</v>
      </c>
      <c r="S669" s="6" t="s">
        <v>2409</v>
      </c>
      <c r="T669" s="5" t="s">
        <v>2185</v>
      </c>
      <c r="U669" s="6"/>
      <c r="V669" s="6" t="s">
        <v>2410</v>
      </c>
      <c r="W669" s="6" t="s">
        <v>1699</v>
      </c>
      <c r="X669" s="5" t="s">
        <v>409</v>
      </c>
      <c r="Y669" s="5" t="s">
        <v>7134</v>
      </c>
      <c r="Z669" s="5" t="str">
        <f t="shared" si="20"/>
        <v>Medium</v>
      </c>
      <c r="AA669" s="5" t="s">
        <v>1302</v>
      </c>
      <c r="AB669" s="6" t="s">
        <v>1319</v>
      </c>
      <c r="AC669" s="6" t="s">
        <v>99</v>
      </c>
      <c r="AD669" s="5" t="s">
        <v>2278</v>
      </c>
      <c r="AE669" s="5" t="s">
        <v>1720</v>
      </c>
      <c r="AF669" s="5" t="s">
        <v>1720</v>
      </c>
      <c r="AG669" s="5" t="s">
        <v>1720</v>
      </c>
      <c r="AH669" s="5" t="s">
        <v>1720</v>
      </c>
      <c r="AI669" s="6" t="str">
        <f t="shared" si="21"/>
        <v>No</v>
      </c>
      <c r="AJ669" s="6" t="s">
        <v>2279</v>
      </c>
      <c r="AK669" s="6" t="s">
        <v>94</v>
      </c>
      <c r="AL669" s="6">
        <f>MATCH(AA669,{"Low","Medium","High"},0)*MATCH(AB669,{"Low","Medium","High"},0)*INDEX({3,2,2,1,1},MATCH(X669,{"Core","Vertical extension","Differentiator","Future","Adjacent"},0))</f>
        <v>6</v>
      </c>
      <c r="AM669" s="5"/>
      <c r="AN669" s="5"/>
      <c r="AO669" s="5"/>
      <c r="AP669" s="5"/>
      <c r="AQ669" s="5"/>
      <c r="AR669" s="5" t="s">
        <v>7854</v>
      </c>
      <c r="AS669" s="5" t="s">
        <v>1462</v>
      </c>
      <c r="AT669" s="5" t="s">
        <v>2281</v>
      </c>
      <c r="AU669" s="6" t="s">
        <v>2282</v>
      </c>
      <c r="AV669" s="6" t="s">
        <v>2898</v>
      </c>
      <c r="AW669" s="6" t="s">
        <v>3968</v>
      </c>
      <c r="AX669" s="6" t="s">
        <v>2284</v>
      </c>
      <c r="AY669" s="6" t="s">
        <v>2411</v>
      </c>
      <c r="AZ669" s="6"/>
      <c r="BA669" s="6"/>
      <c r="BB669" s="6"/>
      <c r="BC669" s="6" t="s">
        <v>127</v>
      </c>
      <c r="BD669" s="6" t="s">
        <v>127</v>
      </c>
      <c r="BE669" s="6" t="s">
        <v>1477</v>
      </c>
      <c r="BF669" s="6" t="s">
        <v>2286</v>
      </c>
      <c r="BG669" s="6" t="s">
        <v>7855</v>
      </c>
      <c r="BH669" s="6" t="s">
        <v>7856</v>
      </c>
    </row>
    <row r="670" spans="1:60" ht="32" customHeight="1" x14ac:dyDescent="0.35">
      <c r="A670" s="13" t="s">
        <v>407</v>
      </c>
      <c r="B670" s="6" t="s">
        <v>7826</v>
      </c>
      <c r="C670" s="5" t="s">
        <v>7827</v>
      </c>
      <c r="D670" s="5" t="s">
        <v>2195</v>
      </c>
      <c r="E670" s="5" t="s">
        <v>408</v>
      </c>
      <c r="F670" s="5" t="s">
        <v>5678</v>
      </c>
      <c r="G670" s="5" t="s">
        <v>2813</v>
      </c>
      <c r="H670" s="5" t="s">
        <v>7857</v>
      </c>
      <c r="I670" s="5" t="s">
        <v>7858</v>
      </c>
      <c r="J670" s="16" t="s">
        <v>94</v>
      </c>
      <c r="K670" s="17" t="s">
        <v>95</v>
      </c>
      <c r="L670" s="5" t="s">
        <v>7859</v>
      </c>
      <c r="M670" s="6" t="s">
        <v>1494</v>
      </c>
      <c r="N670" s="6" t="s">
        <v>2171</v>
      </c>
      <c r="O670" s="6" t="s">
        <v>94</v>
      </c>
      <c r="P670" s="5" t="s">
        <v>2272</v>
      </c>
      <c r="Q670" s="17" t="s">
        <v>95</v>
      </c>
      <c r="R670" s="5" t="s">
        <v>7860</v>
      </c>
      <c r="S670" s="6" t="s">
        <v>2295</v>
      </c>
      <c r="T670" s="5" t="s">
        <v>2296</v>
      </c>
      <c r="U670" s="6"/>
      <c r="V670" s="6" t="s">
        <v>2297</v>
      </c>
      <c r="W670" s="6" t="s">
        <v>1697</v>
      </c>
      <c r="X670" s="5" t="s">
        <v>409</v>
      </c>
      <c r="Y670" s="5" t="s">
        <v>7134</v>
      </c>
      <c r="Z670" s="5" t="str">
        <f t="shared" si="20"/>
        <v>Low</v>
      </c>
      <c r="AA670" s="5" t="s">
        <v>1302</v>
      </c>
      <c r="AB670" s="6" t="s">
        <v>1355</v>
      </c>
      <c r="AC670" s="6" t="s">
        <v>135</v>
      </c>
      <c r="AD670" s="5" t="s">
        <v>95</v>
      </c>
      <c r="AE670" s="5" t="s">
        <v>1720</v>
      </c>
      <c r="AF670" s="5" t="s">
        <v>1720</v>
      </c>
      <c r="AG670" s="5" t="s">
        <v>1720</v>
      </c>
      <c r="AH670" s="5" t="s">
        <v>1720</v>
      </c>
      <c r="AI670" s="6" t="str">
        <f t="shared" si="21"/>
        <v>No</v>
      </c>
      <c r="AJ670" s="6" t="s">
        <v>229</v>
      </c>
      <c r="AK670" s="6" t="s">
        <v>94</v>
      </c>
      <c r="AL670" s="6">
        <f>MATCH(AA670,{"Low","Medium","High"},0)*MATCH(AB670,{"Low","Medium","High"},0)*INDEX({3,2,2,1,1},MATCH(X670,{"Core","Vertical extension","Differentiator","Future","Adjacent"},0))</f>
        <v>3</v>
      </c>
      <c r="AM670" s="5"/>
      <c r="AN670" s="5"/>
      <c r="AO670" s="5">
        <v>5</v>
      </c>
      <c r="AP670" s="5"/>
      <c r="AQ670" s="5"/>
      <c r="AR670" s="5" t="s">
        <v>7861</v>
      </c>
      <c r="AS670" s="51">
        <v>46300</v>
      </c>
      <c r="AT670" s="5" t="s">
        <v>2760</v>
      </c>
      <c r="AU670" s="6" t="s">
        <v>95</v>
      </c>
      <c r="AV670" s="6" t="s">
        <v>2898</v>
      </c>
      <c r="AW670" s="6" t="s">
        <v>3968</v>
      </c>
      <c r="AX670" s="6" t="s">
        <v>2284</v>
      </c>
      <c r="AY670" s="6" t="s">
        <v>2285</v>
      </c>
      <c r="AZ670" s="6"/>
      <c r="BA670" s="6" t="s">
        <v>7862</v>
      </c>
      <c r="BB670" s="6"/>
      <c r="BC670" s="6" t="s">
        <v>127</v>
      </c>
      <c r="BD670" s="6" t="s">
        <v>127</v>
      </c>
      <c r="BE670" s="6" t="s">
        <v>1477</v>
      </c>
      <c r="BF670" s="6" t="s">
        <v>95</v>
      </c>
      <c r="BG670" s="6" t="s">
        <v>7863</v>
      </c>
      <c r="BH670" s="6" t="s">
        <v>410</v>
      </c>
    </row>
    <row r="671" spans="1:60" ht="32" customHeight="1" x14ac:dyDescent="0.35">
      <c r="A671" s="13" t="s">
        <v>7864</v>
      </c>
      <c r="B671" s="6" t="s">
        <v>7826</v>
      </c>
      <c r="C671" s="5" t="s">
        <v>7827</v>
      </c>
      <c r="D671" s="5" t="s">
        <v>2185</v>
      </c>
      <c r="E671" s="5" t="s">
        <v>7865</v>
      </c>
      <c r="F671" s="5" t="s">
        <v>7849</v>
      </c>
      <c r="G671" s="5" t="s">
        <v>2813</v>
      </c>
      <c r="H671" s="5" t="s">
        <v>7866</v>
      </c>
      <c r="I671" s="5" t="s">
        <v>7867</v>
      </c>
      <c r="J671" s="17" t="s">
        <v>162</v>
      </c>
      <c r="K671" s="17" t="s">
        <v>1477</v>
      </c>
      <c r="L671" s="5" t="s">
        <v>7868</v>
      </c>
      <c r="M671" s="6" t="s">
        <v>1494</v>
      </c>
      <c r="N671" s="6" t="s">
        <v>2171</v>
      </c>
      <c r="O671" s="6" t="s">
        <v>162</v>
      </c>
      <c r="P671" s="5" t="s">
        <v>2272</v>
      </c>
      <c r="Q671" s="17" t="s">
        <v>2273</v>
      </c>
      <c r="R671" s="5" t="s">
        <v>7869</v>
      </c>
      <c r="S671" s="6" t="s">
        <v>2409</v>
      </c>
      <c r="T671" s="5" t="s">
        <v>2185</v>
      </c>
      <c r="U671" s="6"/>
      <c r="V671" s="6" t="s">
        <v>2410</v>
      </c>
      <c r="W671" s="6" t="s">
        <v>1699</v>
      </c>
      <c r="X671" s="5" t="s">
        <v>409</v>
      </c>
      <c r="Y671" s="5" t="s">
        <v>7134</v>
      </c>
      <c r="Z671" s="5" t="str">
        <f t="shared" si="20"/>
        <v>Medium</v>
      </c>
      <c r="AA671" s="5" t="s">
        <v>1319</v>
      </c>
      <c r="AB671" s="6" t="s">
        <v>1319</v>
      </c>
      <c r="AC671" s="6" t="s">
        <v>32</v>
      </c>
      <c r="AD671" s="5" t="s">
        <v>2278</v>
      </c>
      <c r="AE671" s="5" t="s">
        <v>1720</v>
      </c>
      <c r="AF671" s="5" t="s">
        <v>1720</v>
      </c>
      <c r="AG671" s="5" t="s">
        <v>1720</v>
      </c>
      <c r="AH671" s="5" t="s">
        <v>1720</v>
      </c>
      <c r="AI671" s="6" t="str">
        <f t="shared" si="21"/>
        <v>No</v>
      </c>
      <c r="AJ671" s="6" t="s">
        <v>2298</v>
      </c>
      <c r="AK671" s="6" t="s">
        <v>204</v>
      </c>
      <c r="AL671" s="6">
        <f>MATCH(AA671,{"Low","Medium","High"},0)*MATCH(AB671,{"Low","Medium","High"},0)*INDEX({3,2,2,1,1},MATCH(X671,{"Core","Vertical extension","Differentiator","Future","Adjacent"},0))</f>
        <v>4</v>
      </c>
      <c r="AM671" s="5"/>
      <c r="AN671" s="5"/>
      <c r="AO671" s="5"/>
      <c r="AP671" s="5"/>
      <c r="AQ671" s="5"/>
      <c r="AR671" s="5"/>
      <c r="AS671" s="5"/>
      <c r="AT671" s="5"/>
      <c r="AU671" s="6" t="s">
        <v>2317</v>
      </c>
      <c r="AV671" s="6" t="s">
        <v>2898</v>
      </c>
      <c r="AW671" s="6" t="s">
        <v>3968</v>
      </c>
      <c r="AX671" s="6" t="s">
        <v>2284</v>
      </c>
      <c r="AY671" s="6" t="s">
        <v>2411</v>
      </c>
      <c r="AZ671" s="6"/>
      <c r="BA671" s="6"/>
      <c r="BB671" s="6"/>
      <c r="BC671" s="6" t="s">
        <v>127</v>
      </c>
      <c r="BD671" s="6" t="s">
        <v>127</v>
      </c>
      <c r="BE671" s="6" t="s">
        <v>1477</v>
      </c>
      <c r="BF671" s="6" t="s">
        <v>2286</v>
      </c>
      <c r="BG671" s="6" t="s">
        <v>7870</v>
      </c>
      <c r="BH671" s="6" t="s">
        <v>7871</v>
      </c>
    </row>
    <row r="672" spans="1:60" ht="32" customHeight="1" x14ac:dyDescent="0.35">
      <c r="A672" s="13" t="s">
        <v>7872</v>
      </c>
      <c r="B672" s="6" t="s">
        <v>7826</v>
      </c>
      <c r="C672" s="5" t="s">
        <v>7827</v>
      </c>
      <c r="D672" s="5" t="s">
        <v>2196</v>
      </c>
      <c r="E672" s="5" t="s">
        <v>7873</v>
      </c>
      <c r="F672" s="5" t="s">
        <v>3173</v>
      </c>
      <c r="G672" s="5" t="s">
        <v>2813</v>
      </c>
      <c r="H672" s="5" t="s">
        <v>7874</v>
      </c>
      <c r="I672" s="5" t="s">
        <v>7875</v>
      </c>
      <c r="J672" s="17" t="s">
        <v>162</v>
      </c>
      <c r="K672" s="17" t="s">
        <v>95</v>
      </c>
      <c r="L672" s="5" t="s">
        <v>7876</v>
      </c>
      <c r="M672" s="6" t="s">
        <v>1494</v>
      </c>
      <c r="N672" s="6" t="s">
        <v>2171</v>
      </c>
      <c r="O672" s="6" t="s">
        <v>162</v>
      </c>
      <c r="P672" s="5" t="s">
        <v>2272</v>
      </c>
      <c r="Q672" s="17" t="s">
        <v>95</v>
      </c>
      <c r="R672" s="5" t="s">
        <v>7877</v>
      </c>
      <c r="S672" s="6" t="s">
        <v>2358</v>
      </c>
      <c r="T672" s="5" t="s">
        <v>2359</v>
      </c>
      <c r="U672" s="6"/>
      <c r="V672" s="6" t="s">
        <v>2360</v>
      </c>
      <c r="W672" s="6" t="s">
        <v>1703</v>
      </c>
      <c r="X672" s="5" t="s">
        <v>409</v>
      </c>
      <c r="Y672" s="5" t="s">
        <v>7134</v>
      </c>
      <c r="Z672" s="5" t="str">
        <f t="shared" si="20"/>
        <v>Low</v>
      </c>
      <c r="AA672" s="5" t="s">
        <v>1319</v>
      </c>
      <c r="AB672" s="6" t="s">
        <v>1355</v>
      </c>
      <c r="AC672" s="6" t="s">
        <v>32</v>
      </c>
      <c r="AD672" s="5" t="s">
        <v>95</v>
      </c>
      <c r="AE672" s="5" t="s">
        <v>1720</v>
      </c>
      <c r="AF672" s="5" t="s">
        <v>1720</v>
      </c>
      <c r="AG672" s="5" t="s">
        <v>1720</v>
      </c>
      <c r="AH672" s="5" t="s">
        <v>1720</v>
      </c>
      <c r="AI672" s="6" t="str">
        <f t="shared" si="21"/>
        <v>No</v>
      </c>
      <c r="AJ672" s="6" t="s">
        <v>229</v>
      </c>
      <c r="AK672" s="6" t="s">
        <v>204</v>
      </c>
      <c r="AL672" s="6">
        <f>MATCH(AA672,{"Low","Medium","High"},0)*MATCH(AB672,{"Low","Medium","High"},0)*INDEX({3,2,2,1,1},MATCH(X672,{"Core","Vertical extension","Differentiator","Future","Adjacent"},0))</f>
        <v>2</v>
      </c>
      <c r="AM672" s="5"/>
      <c r="AN672" s="5"/>
      <c r="AO672" s="5"/>
      <c r="AP672" s="5"/>
      <c r="AQ672" s="5"/>
      <c r="AR672" s="5"/>
      <c r="AS672" s="5"/>
      <c r="AT672" s="5"/>
      <c r="AU672" s="6" t="s">
        <v>2317</v>
      </c>
      <c r="AV672" s="6" t="s">
        <v>2898</v>
      </c>
      <c r="AW672" s="6" t="s">
        <v>2898</v>
      </c>
      <c r="AX672" s="6" t="s">
        <v>2284</v>
      </c>
      <c r="AY672" s="6" t="s">
        <v>2285</v>
      </c>
      <c r="AZ672" s="6"/>
      <c r="BA672" s="6"/>
      <c r="BB672" s="6"/>
      <c r="BC672" s="6" t="s">
        <v>127</v>
      </c>
      <c r="BD672" s="6" t="s">
        <v>127</v>
      </c>
      <c r="BE672" s="6" t="s">
        <v>1477</v>
      </c>
      <c r="BF672" s="6" t="s">
        <v>95</v>
      </c>
      <c r="BG672" s="6" t="s">
        <v>7878</v>
      </c>
      <c r="BH672" s="6" t="s">
        <v>7879</v>
      </c>
    </row>
    <row r="673" spans="1:60" ht="32" customHeight="1" x14ac:dyDescent="0.35">
      <c r="A673" s="13" t="s">
        <v>7880</v>
      </c>
      <c r="B673" s="6" t="s">
        <v>7826</v>
      </c>
      <c r="C673" s="5" t="s">
        <v>7827</v>
      </c>
      <c r="D673" s="5" t="s">
        <v>2194</v>
      </c>
      <c r="E673" s="5" t="s">
        <v>7881</v>
      </c>
      <c r="F673" s="5" t="s">
        <v>2813</v>
      </c>
      <c r="G673" s="5" t="s">
        <v>2312</v>
      </c>
      <c r="H673" s="5" t="s">
        <v>7882</v>
      </c>
      <c r="I673" s="5" t="s">
        <v>7883</v>
      </c>
      <c r="J673" s="17" t="s">
        <v>162</v>
      </c>
      <c r="K673" s="17" t="s">
        <v>1477</v>
      </c>
      <c r="L673" s="5" t="s">
        <v>7884</v>
      </c>
      <c r="M673" s="6" t="s">
        <v>1494</v>
      </c>
      <c r="N673" s="6" t="s">
        <v>2171</v>
      </c>
      <c r="O673" s="6" t="s">
        <v>162</v>
      </c>
      <c r="P673" s="5" t="s">
        <v>2272</v>
      </c>
      <c r="Q673" s="17" t="s">
        <v>2273</v>
      </c>
      <c r="R673" s="5" t="s">
        <v>7885</v>
      </c>
      <c r="S673" s="6" t="s">
        <v>2449</v>
      </c>
      <c r="T673" s="5" t="s">
        <v>2450</v>
      </c>
      <c r="U673" s="6"/>
      <c r="V673" s="6" t="s">
        <v>2440</v>
      </c>
      <c r="W673" s="6" t="s">
        <v>1699</v>
      </c>
      <c r="X673" s="5" t="s">
        <v>409</v>
      </c>
      <c r="Y673" s="5" t="s">
        <v>7134</v>
      </c>
      <c r="Z673" s="5" t="str">
        <f t="shared" si="20"/>
        <v>Low</v>
      </c>
      <c r="AA673" s="5" t="s">
        <v>1319</v>
      </c>
      <c r="AB673" s="6" t="s">
        <v>1355</v>
      </c>
      <c r="AC673" s="6" t="s">
        <v>32</v>
      </c>
      <c r="AD673" s="5" t="s">
        <v>2278</v>
      </c>
      <c r="AE673" s="5" t="s">
        <v>1720</v>
      </c>
      <c r="AF673" s="5" t="s">
        <v>1720</v>
      </c>
      <c r="AG673" s="5" t="s">
        <v>1720</v>
      </c>
      <c r="AH673" s="5" t="s">
        <v>1720</v>
      </c>
      <c r="AI673" s="6" t="str">
        <f t="shared" si="21"/>
        <v>No</v>
      </c>
      <c r="AJ673" s="6" t="s">
        <v>2298</v>
      </c>
      <c r="AK673" s="6" t="s">
        <v>204</v>
      </c>
      <c r="AL673" s="6">
        <f>MATCH(AA673,{"Low","Medium","High"},0)*MATCH(AB673,{"Low","Medium","High"},0)*INDEX({3,2,2,1,1},MATCH(X673,{"Core","Vertical extension","Differentiator","Future","Adjacent"},0))</f>
        <v>2</v>
      </c>
      <c r="AM673" s="5"/>
      <c r="AN673" s="5"/>
      <c r="AO673" s="5"/>
      <c r="AP673" s="5"/>
      <c r="AQ673" s="5"/>
      <c r="AR673" s="5"/>
      <c r="AS673" s="5"/>
      <c r="AT673" s="5"/>
      <c r="AU673" s="6" t="s">
        <v>2317</v>
      </c>
      <c r="AV673" s="6" t="s">
        <v>2898</v>
      </c>
      <c r="AW673" s="6" t="s">
        <v>2813</v>
      </c>
      <c r="AX673" s="6" t="s">
        <v>2284</v>
      </c>
      <c r="AY673" s="6" t="s">
        <v>2285</v>
      </c>
      <c r="AZ673" s="6"/>
      <c r="BA673" s="6"/>
      <c r="BB673" s="6"/>
      <c r="BC673" s="6" t="s">
        <v>127</v>
      </c>
      <c r="BD673" s="6" t="s">
        <v>127</v>
      </c>
      <c r="BE673" s="6" t="s">
        <v>1477</v>
      </c>
      <c r="BF673" s="6" t="s">
        <v>2286</v>
      </c>
      <c r="BG673" s="6" t="s">
        <v>7886</v>
      </c>
      <c r="BH673" s="6" t="s">
        <v>7887</v>
      </c>
    </row>
    <row r="674" spans="1:60" ht="32" customHeight="1" x14ac:dyDescent="0.35">
      <c r="A674" s="13" t="s">
        <v>7888</v>
      </c>
      <c r="B674" s="6" t="s">
        <v>7826</v>
      </c>
      <c r="C674" s="5" t="s">
        <v>7827</v>
      </c>
      <c r="D674" s="5" t="s">
        <v>2185</v>
      </c>
      <c r="E674" s="5" t="s">
        <v>7889</v>
      </c>
      <c r="F674" s="5" t="s">
        <v>3173</v>
      </c>
      <c r="G674" s="5" t="s">
        <v>2813</v>
      </c>
      <c r="H674" s="5" t="s">
        <v>7890</v>
      </c>
      <c r="I674" s="5" t="s">
        <v>7891</v>
      </c>
      <c r="J674" s="17" t="s">
        <v>162</v>
      </c>
      <c r="K674" s="17" t="s">
        <v>95</v>
      </c>
      <c r="L674" s="5" t="s">
        <v>7892</v>
      </c>
      <c r="M674" s="6" t="s">
        <v>1494</v>
      </c>
      <c r="N674" s="6" t="s">
        <v>2171</v>
      </c>
      <c r="O674" s="6" t="s">
        <v>162</v>
      </c>
      <c r="P674" s="5" t="s">
        <v>2272</v>
      </c>
      <c r="Q674" s="17" t="s">
        <v>95</v>
      </c>
      <c r="R674" s="5" t="s">
        <v>7893</v>
      </c>
      <c r="S674" s="6" t="s">
        <v>2409</v>
      </c>
      <c r="T674" s="5" t="s">
        <v>2185</v>
      </c>
      <c r="U674" s="6"/>
      <c r="V674" s="6" t="s">
        <v>2410</v>
      </c>
      <c r="W674" s="6" t="s">
        <v>1699</v>
      </c>
      <c r="X674" s="5" t="s">
        <v>409</v>
      </c>
      <c r="Y674" s="5" t="s">
        <v>7134</v>
      </c>
      <c r="Z674" s="5" t="str">
        <f t="shared" si="20"/>
        <v>Medium</v>
      </c>
      <c r="AA674" s="5" t="s">
        <v>1319</v>
      </c>
      <c r="AB674" s="6" t="s">
        <v>1319</v>
      </c>
      <c r="AC674" s="6" t="s">
        <v>32</v>
      </c>
      <c r="AD674" s="5" t="s">
        <v>95</v>
      </c>
      <c r="AE674" s="5" t="s">
        <v>1720</v>
      </c>
      <c r="AF674" s="5" t="s">
        <v>1720</v>
      </c>
      <c r="AG674" s="5" t="s">
        <v>1720</v>
      </c>
      <c r="AH674" s="5" t="s">
        <v>1720</v>
      </c>
      <c r="AI674" s="6" t="str">
        <f t="shared" si="21"/>
        <v>No</v>
      </c>
      <c r="AJ674" s="6" t="s">
        <v>229</v>
      </c>
      <c r="AK674" s="6" t="s">
        <v>204</v>
      </c>
      <c r="AL674" s="6">
        <f>MATCH(AA674,{"Low","Medium","High"},0)*MATCH(AB674,{"Low","Medium","High"},0)*INDEX({3,2,2,1,1},MATCH(X674,{"Core","Vertical extension","Differentiator","Future","Adjacent"},0))</f>
        <v>4</v>
      </c>
      <c r="AM674" s="5"/>
      <c r="AN674" s="5"/>
      <c r="AO674" s="5"/>
      <c r="AP674" s="5"/>
      <c r="AQ674" s="5"/>
      <c r="AR674" s="5"/>
      <c r="AS674" s="5"/>
      <c r="AT674" s="5"/>
      <c r="AU674" s="6" t="s">
        <v>2317</v>
      </c>
      <c r="AV674" s="6" t="s">
        <v>2898</v>
      </c>
      <c r="AW674" s="6" t="s">
        <v>2898</v>
      </c>
      <c r="AX674" s="6" t="s">
        <v>2284</v>
      </c>
      <c r="AY674" s="6" t="s">
        <v>2411</v>
      </c>
      <c r="AZ674" s="6"/>
      <c r="BA674" s="6"/>
      <c r="BB674" s="6"/>
      <c r="BC674" s="6" t="s">
        <v>127</v>
      </c>
      <c r="BD674" s="6" t="s">
        <v>127</v>
      </c>
      <c r="BE674" s="6" t="s">
        <v>1477</v>
      </c>
      <c r="BF674" s="6" t="s">
        <v>95</v>
      </c>
      <c r="BG674" s="6" t="s">
        <v>7894</v>
      </c>
      <c r="BH674" s="6" t="s">
        <v>7895</v>
      </c>
    </row>
    <row r="675" spans="1:60" ht="32" customHeight="1" x14ac:dyDescent="0.35">
      <c r="A675" s="13" t="s">
        <v>7896</v>
      </c>
      <c r="B675" s="6" t="s">
        <v>7826</v>
      </c>
      <c r="C675" s="5" t="s">
        <v>7827</v>
      </c>
      <c r="D675" s="5" t="s">
        <v>2196</v>
      </c>
      <c r="E675" s="5" t="s">
        <v>7897</v>
      </c>
      <c r="F675" s="5" t="s">
        <v>7898</v>
      </c>
      <c r="G675" s="5" t="s">
        <v>2312</v>
      </c>
      <c r="H675" s="5" t="s">
        <v>7899</v>
      </c>
      <c r="I675" s="5" t="s">
        <v>7900</v>
      </c>
      <c r="J675" s="21" t="s">
        <v>213</v>
      </c>
      <c r="K675" s="17" t="s">
        <v>163</v>
      </c>
      <c r="L675" s="5" t="s">
        <v>7901</v>
      </c>
      <c r="M675" s="6" t="s">
        <v>1494</v>
      </c>
      <c r="N675" s="6" t="s">
        <v>2171</v>
      </c>
      <c r="O675" s="6" t="s">
        <v>204</v>
      </c>
      <c r="P675" s="5" t="s">
        <v>6999</v>
      </c>
      <c r="Q675" s="17" t="s">
        <v>163</v>
      </c>
      <c r="R675" s="5" t="s">
        <v>7902</v>
      </c>
      <c r="S675" s="6" t="s">
        <v>2358</v>
      </c>
      <c r="T675" s="5" t="s">
        <v>2359</v>
      </c>
      <c r="U675" s="6"/>
      <c r="V675" s="6" t="s">
        <v>2360</v>
      </c>
      <c r="W675" s="6" t="s">
        <v>1703</v>
      </c>
      <c r="X675" s="5" t="s">
        <v>415</v>
      </c>
      <c r="Y675" s="5" t="s">
        <v>7134</v>
      </c>
      <c r="Z675" s="5" t="str">
        <f t="shared" si="20"/>
        <v>Low</v>
      </c>
      <c r="AA675" s="5" t="s">
        <v>1355</v>
      </c>
      <c r="AB675" s="6" t="s">
        <v>1355</v>
      </c>
      <c r="AC675" s="6" t="s">
        <v>32</v>
      </c>
      <c r="AD675" s="5" t="s">
        <v>1805</v>
      </c>
      <c r="AE675" s="5" t="s">
        <v>1720</v>
      </c>
      <c r="AF675" s="5" t="s">
        <v>1720</v>
      </c>
      <c r="AG675" s="5" t="s">
        <v>1720</v>
      </c>
      <c r="AH675" s="5" t="s">
        <v>1720</v>
      </c>
      <c r="AI675" s="6" t="str">
        <f t="shared" si="21"/>
        <v>No</v>
      </c>
      <c r="AJ675" s="6" t="s">
        <v>287</v>
      </c>
      <c r="AK675" s="6" t="s">
        <v>213</v>
      </c>
      <c r="AL675" s="6">
        <f>MATCH(AA675,{"Low","Medium","High"},0)*MATCH(AB675,{"Low","Medium","High"},0)*INDEX({3,2,2,1,1},MATCH(X675,{"Core","Vertical extension","Differentiator","Future","Adjacent"},0))</f>
        <v>1</v>
      </c>
      <c r="AM675" s="5"/>
      <c r="AN675" s="5"/>
      <c r="AO675" s="5"/>
      <c r="AP675" s="5"/>
      <c r="AQ675" s="5"/>
      <c r="AR675" s="5"/>
      <c r="AS675" s="5"/>
      <c r="AT675" s="5"/>
      <c r="AU675" s="6" t="s">
        <v>2317</v>
      </c>
      <c r="AV675" s="6" t="s">
        <v>2898</v>
      </c>
      <c r="AW675" s="6" t="s">
        <v>2771</v>
      </c>
      <c r="AX675" s="6" t="s">
        <v>7001</v>
      </c>
      <c r="AY675" s="6" t="s">
        <v>2285</v>
      </c>
      <c r="AZ675" s="6"/>
      <c r="BA675" s="6"/>
      <c r="BB675" s="6"/>
      <c r="BC675" s="6" t="s">
        <v>127</v>
      </c>
      <c r="BD675" s="6" t="s">
        <v>127</v>
      </c>
      <c r="BE675" s="6" t="s">
        <v>1477</v>
      </c>
      <c r="BF675" s="6" t="s">
        <v>288</v>
      </c>
      <c r="BG675" s="6" t="s">
        <v>7903</v>
      </c>
      <c r="BH675" s="6" t="s">
        <v>7904</v>
      </c>
    </row>
    <row r="676" spans="1:60" ht="32" customHeight="1" x14ac:dyDescent="0.35">
      <c r="A676" s="13" t="s">
        <v>7905</v>
      </c>
      <c r="B676" s="6" t="s">
        <v>7826</v>
      </c>
      <c r="C676" s="5" t="s">
        <v>7827</v>
      </c>
      <c r="D676" s="5" t="s">
        <v>2189</v>
      </c>
      <c r="E676" s="5" t="s">
        <v>7906</v>
      </c>
      <c r="F676" s="5" t="s">
        <v>7907</v>
      </c>
      <c r="G676" s="5" t="s">
        <v>7908</v>
      </c>
      <c r="H676" s="5" t="s">
        <v>7909</v>
      </c>
      <c r="I676" s="5" t="s">
        <v>7910</v>
      </c>
      <c r="J676" s="17" t="s">
        <v>162</v>
      </c>
      <c r="K676" s="17" t="s">
        <v>163</v>
      </c>
      <c r="L676" s="5" t="s">
        <v>7911</v>
      </c>
      <c r="M676" s="6" t="s">
        <v>1494</v>
      </c>
      <c r="N676" s="6" t="s">
        <v>2171</v>
      </c>
      <c r="O676" s="6" t="s">
        <v>162</v>
      </c>
      <c r="P676" s="5" t="s">
        <v>2272</v>
      </c>
      <c r="Q676" s="17" t="s">
        <v>163</v>
      </c>
      <c r="R676" s="5" t="s">
        <v>7912</v>
      </c>
      <c r="S676" s="6" t="s">
        <v>2325</v>
      </c>
      <c r="T676" s="5" t="s">
        <v>2326</v>
      </c>
      <c r="U676" s="6"/>
      <c r="V676" s="6" t="s">
        <v>2327</v>
      </c>
      <c r="W676" s="6" t="s">
        <v>1699</v>
      </c>
      <c r="X676" s="5" t="s">
        <v>409</v>
      </c>
      <c r="Y676" s="5" t="s">
        <v>7134</v>
      </c>
      <c r="Z676" s="5" t="str">
        <f t="shared" si="20"/>
        <v>Low</v>
      </c>
      <c r="AA676" s="5" t="s">
        <v>1319</v>
      </c>
      <c r="AB676" s="6" t="s">
        <v>1355</v>
      </c>
      <c r="AC676" s="6" t="s">
        <v>32</v>
      </c>
      <c r="AD676" s="5" t="s">
        <v>1805</v>
      </c>
      <c r="AE676" s="5" t="s">
        <v>1720</v>
      </c>
      <c r="AF676" s="5" t="s">
        <v>1720</v>
      </c>
      <c r="AG676" s="5" t="s">
        <v>1720</v>
      </c>
      <c r="AH676" s="5" t="s">
        <v>1720</v>
      </c>
      <c r="AI676" s="6" t="str">
        <f t="shared" si="21"/>
        <v>No</v>
      </c>
      <c r="AJ676" s="6" t="s">
        <v>287</v>
      </c>
      <c r="AK676" s="6" t="s">
        <v>204</v>
      </c>
      <c r="AL676" s="6">
        <f>MATCH(AA676,{"Low","Medium","High"},0)*MATCH(AB676,{"Low","Medium","High"},0)*INDEX({3,2,2,1,1},MATCH(X676,{"Core","Vertical extension","Differentiator","Future","Adjacent"},0))</f>
        <v>2</v>
      </c>
      <c r="AM676" s="5"/>
      <c r="AN676" s="5"/>
      <c r="AO676" s="5"/>
      <c r="AP676" s="5"/>
      <c r="AQ676" s="5"/>
      <c r="AR676" s="5"/>
      <c r="AS676" s="5"/>
      <c r="AT676" s="5"/>
      <c r="AU676" s="6" t="s">
        <v>2317</v>
      </c>
      <c r="AV676" s="6" t="s">
        <v>2898</v>
      </c>
      <c r="AW676" s="6" t="s">
        <v>2898</v>
      </c>
      <c r="AX676" s="6" t="s">
        <v>2284</v>
      </c>
      <c r="AY676" s="6" t="s">
        <v>2285</v>
      </c>
      <c r="AZ676" s="6"/>
      <c r="BA676" s="6"/>
      <c r="BB676" s="6"/>
      <c r="BC676" s="6" t="s">
        <v>127</v>
      </c>
      <c r="BD676" s="6" t="s">
        <v>127</v>
      </c>
      <c r="BE676" s="6" t="s">
        <v>1477</v>
      </c>
      <c r="BF676" s="6" t="s">
        <v>288</v>
      </c>
      <c r="BG676" s="6" t="s">
        <v>7913</v>
      </c>
      <c r="BH676" s="6" t="s">
        <v>7914</v>
      </c>
    </row>
    <row r="677" spans="1:60" ht="32" customHeight="1" x14ac:dyDescent="0.35">
      <c r="A677" s="13" t="s">
        <v>7915</v>
      </c>
      <c r="B677" s="6" t="s">
        <v>7826</v>
      </c>
      <c r="C677" s="5" t="s">
        <v>7827</v>
      </c>
      <c r="D677" s="5" t="s">
        <v>2196</v>
      </c>
      <c r="E677" s="5" t="s">
        <v>7916</v>
      </c>
      <c r="F677" s="5" t="s">
        <v>7917</v>
      </c>
      <c r="G677" s="5" t="s">
        <v>7918</v>
      </c>
      <c r="H677" s="5" t="s">
        <v>7919</v>
      </c>
      <c r="I677" s="5" t="s">
        <v>7920</v>
      </c>
      <c r="J677" s="17" t="s">
        <v>162</v>
      </c>
      <c r="K677" s="17" t="s">
        <v>95</v>
      </c>
      <c r="L677" s="5" t="s">
        <v>7921</v>
      </c>
      <c r="M677" s="6" t="s">
        <v>1494</v>
      </c>
      <c r="N677" s="6" t="s">
        <v>2171</v>
      </c>
      <c r="O677" s="6" t="s">
        <v>162</v>
      </c>
      <c r="P677" s="5" t="s">
        <v>2369</v>
      </c>
      <c r="Q677" s="17" t="s">
        <v>95</v>
      </c>
      <c r="R677" s="5" t="s">
        <v>7922</v>
      </c>
      <c r="S677" s="6" t="s">
        <v>2358</v>
      </c>
      <c r="T677" s="5" t="s">
        <v>2359</v>
      </c>
      <c r="U677" s="6"/>
      <c r="V677" s="6" t="s">
        <v>2360</v>
      </c>
      <c r="W677" s="6" t="s">
        <v>1703</v>
      </c>
      <c r="X677" s="5" t="s">
        <v>409</v>
      </c>
      <c r="Y677" s="5" t="s">
        <v>7134</v>
      </c>
      <c r="Z677" s="5" t="str">
        <f t="shared" si="20"/>
        <v>Low</v>
      </c>
      <c r="AA677" s="5" t="s">
        <v>1319</v>
      </c>
      <c r="AB677" s="6" t="s">
        <v>1355</v>
      </c>
      <c r="AC677" s="6" t="s">
        <v>32</v>
      </c>
      <c r="AD677" s="5" t="s">
        <v>95</v>
      </c>
      <c r="AE677" s="5" t="s">
        <v>1720</v>
      </c>
      <c r="AF677" s="5" t="s">
        <v>1720</v>
      </c>
      <c r="AG677" s="5" t="s">
        <v>1720</v>
      </c>
      <c r="AH677" s="5" t="s">
        <v>1720</v>
      </c>
      <c r="AI677" s="6" t="str">
        <f t="shared" si="21"/>
        <v>No</v>
      </c>
      <c r="AJ677" s="6" t="s">
        <v>229</v>
      </c>
      <c r="AK677" s="6" t="s">
        <v>204</v>
      </c>
      <c r="AL677" s="6">
        <f>MATCH(AA677,{"Low","Medium","High"},0)*MATCH(AB677,{"Low","Medium","High"},0)*INDEX({3,2,2,1,1},MATCH(X677,{"Core","Vertical extension","Differentiator","Future","Adjacent"},0))</f>
        <v>2</v>
      </c>
      <c r="AM677" s="5"/>
      <c r="AN677" s="5"/>
      <c r="AO677" s="5"/>
      <c r="AP677" s="5"/>
      <c r="AQ677" s="5"/>
      <c r="AR677" s="5"/>
      <c r="AS677" s="5"/>
      <c r="AT677" s="5"/>
      <c r="AU677" s="6" t="s">
        <v>2317</v>
      </c>
      <c r="AV677" s="6" t="s">
        <v>2898</v>
      </c>
      <c r="AW677" s="6" t="s">
        <v>2898</v>
      </c>
      <c r="AX677" s="6" t="s">
        <v>2374</v>
      </c>
      <c r="AY677" s="6" t="s">
        <v>2285</v>
      </c>
      <c r="AZ677" s="6"/>
      <c r="BA677" s="6"/>
      <c r="BB677" s="6"/>
      <c r="BC677" s="6" t="s">
        <v>127</v>
      </c>
      <c r="BD677" s="6" t="s">
        <v>127</v>
      </c>
      <c r="BE677" s="6" t="s">
        <v>1477</v>
      </c>
      <c r="BF677" s="6" t="s">
        <v>95</v>
      </c>
      <c r="BG677" s="6" t="s">
        <v>7923</v>
      </c>
      <c r="BH677" s="6" t="s">
        <v>7924</v>
      </c>
    </row>
    <row r="678" spans="1:60" ht="32" customHeight="1" x14ac:dyDescent="0.35">
      <c r="A678" s="13" t="s">
        <v>7925</v>
      </c>
      <c r="B678" s="6" t="s">
        <v>7826</v>
      </c>
      <c r="C678" s="5" t="s">
        <v>7827</v>
      </c>
      <c r="D678" s="5" t="s">
        <v>2191</v>
      </c>
      <c r="E678" s="5" t="s">
        <v>7926</v>
      </c>
      <c r="F678" s="5" t="s">
        <v>7221</v>
      </c>
      <c r="G678" s="5" t="s">
        <v>7927</v>
      </c>
      <c r="H678" s="5" t="s">
        <v>7928</v>
      </c>
      <c r="I678" s="5" t="s">
        <v>7929</v>
      </c>
      <c r="J678" s="17" t="s">
        <v>162</v>
      </c>
      <c r="K678" s="17" t="s">
        <v>1477</v>
      </c>
      <c r="L678" s="5" t="s">
        <v>7930</v>
      </c>
      <c r="M678" s="6" t="s">
        <v>1494</v>
      </c>
      <c r="N678" s="6" t="s">
        <v>2171</v>
      </c>
      <c r="O678" s="6" t="s">
        <v>162</v>
      </c>
      <c r="P678" s="5" t="s">
        <v>2272</v>
      </c>
      <c r="Q678" s="18" t="s">
        <v>1482</v>
      </c>
      <c r="R678" s="5" t="s">
        <v>2400</v>
      </c>
      <c r="S678" s="6" t="s">
        <v>2275</v>
      </c>
      <c r="T678" s="5" t="s">
        <v>2276</v>
      </c>
      <c r="U678" s="6"/>
      <c r="V678" s="6" t="s">
        <v>2277</v>
      </c>
      <c r="W678" s="6" t="s">
        <v>1697</v>
      </c>
      <c r="X678" s="5" t="s">
        <v>409</v>
      </c>
      <c r="Y678" s="5" t="s">
        <v>7134</v>
      </c>
      <c r="Z678" s="5" t="str">
        <f t="shared" si="20"/>
        <v>Low</v>
      </c>
      <c r="AA678" s="5" t="s">
        <v>1319</v>
      </c>
      <c r="AB678" s="6" t="s">
        <v>1355</v>
      </c>
      <c r="AC678" s="6" t="s">
        <v>32</v>
      </c>
      <c r="AD678" s="5" t="s">
        <v>2278</v>
      </c>
      <c r="AE678" s="5" t="s">
        <v>1720</v>
      </c>
      <c r="AF678" s="5" t="s">
        <v>1720</v>
      </c>
      <c r="AG678" s="5" t="s">
        <v>1720</v>
      </c>
      <c r="AH678" s="5" t="s">
        <v>1720</v>
      </c>
      <c r="AI678" s="6" t="str">
        <f t="shared" si="21"/>
        <v>No</v>
      </c>
      <c r="AJ678" s="6" t="s">
        <v>2298</v>
      </c>
      <c r="AK678" s="6" t="s">
        <v>204</v>
      </c>
      <c r="AL678" s="6">
        <f>MATCH(AA678,{"Low","Medium","High"},0)*MATCH(AB678,{"Low","Medium","High"},0)*INDEX({3,2,2,1,1},MATCH(X678,{"Core","Vertical extension","Differentiator","Future","Adjacent"},0))</f>
        <v>2</v>
      </c>
      <c r="AM678" s="5"/>
      <c r="AN678" s="5"/>
      <c r="AO678" s="5"/>
      <c r="AP678" s="5"/>
      <c r="AQ678" s="5"/>
      <c r="AR678" s="5"/>
      <c r="AS678" s="5"/>
      <c r="AT678" s="5"/>
      <c r="AU678" s="6" t="s">
        <v>2317</v>
      </c>
      <c r="AV678" s="6" t="s">
        <v>2898</v>
      </c>
      <c r="AW678" s="6" t="s">
        <v>3686</v>
      </c>
      <c r="AX678" s="6" t="s">
        <v>2284</v>
      </c>
      <c r="AY678" s="6" t="s">
        <v>2285</v>
      </c>
      <c r="AZ678" s="6"/>
      <c r="BA678" s="6"/>
      <c r="BB678" s="6"/>
      <c r="BC678" s="6" t="s">
        <v>127</v>
      </c>
      <c r="BD678" s="6" t="s">
        <v>127</v>
      </c>
      <c r="BE678" s="6"/>
      <c r="BF678" s="6"/>
      <c r="BG678" s="6"/>
      <c r="BH678" s="6"/>
    </row>
    <row r="679" spans="1:60" ht="32" customHeight="1" x14ac:dyDescent="0.35">
      <c r="A679" s="13" t="s">
        <v>7931</v>
      </c>
      <c r="B679" s="6" t="s">
        <v>7826</v>
      </c>
      <c r="C679" s="5" t="s">
        <v>7827</v>
      </c>
      <c r="D679" s="5" t="s">
        <v>2185</v>
      </c>
      <c r="E679" s="5" t="s">
        <v>7932</v>
      </c>
      <c r="F679" s="5" t="s">
        <v>3858</v>
      </c>
      <c r="G679" s="5" t="s">
        <v>7933</v>
      </c>
      <c r="H679" s="5" t="s">
        <v>7934</v>
      </c>
      <c r="I679" s="5" t="s">
        <v>7935</v>
      </c>
      <c r="J679" s="16" t="s">
        <v>94</v>
      </c>
      <c r="K679" s="17" t="s">
        <v>1477</v>
      </c>
      <c r="L679" s="5" t="s">
        <v>7936</v>
      </c>
      <c r="M679" s="6" t="s">
        <v>1494</v>
      </c>
      <c r="N679" s="6" t="s">
        <v>2171</v>
      </c>
      <c r="O679" s="6" t="s">
        <v>94</v>
      </c>
      <c r="P679" s="5" t="s">
        <v>2272</v>
      </c>
      <c r="Q679" s="17" t="s">
        <v>2273</v>
      </c>
      <c r="R679" s="5" t="s">
        <v>7937</v>
      </c>
      <c r="S679" s="6" t="s">
        <v>2409</v>
      </c>
      <c r="T679" s="5" t="s">
        <v>2185</v>
      </c>
      <c r="U679" s="6"/>
      <c r="V679" s="6" t="s">
        <v>2410</v>
      </c>
      <c r="W679" s="6" t="s">
        <v>1699</v>
      </c>
      <c r="X679" s="5" t="s">
        <v>409</v>
      </c>
      <c r="Y679" s="5" t="s">
        <v>7134</v>
      </c>
      <c r="Z679" s="5" t="str">
        <f t="shared" si="20"/>
        <v>Medium</v>
      </c>
      <c r="AA679" s="5" t="s">
        <v>1302</v>
      </c>
      <c r="AB679" s="6" t="s">
        <v>1319</v>
      </c>
      <c r="AC679" s="6" t="s">
        <v>99</v>
      </c>
      <c r="AD679" s="5" t="s">
        <v>2278</v>
      </c>
      <c r="AE679" s="5" t="s">
        <v>1720</v>
      </c>
      <c r="AF679" s="5" t="s">
        <v>1720</v>
      </c>
      <c r="AG679" s="5" t="s">
        <v>1720</v>
      </c>
      <c r="AH679" s="5" t="s">
        <v>1720</v>
      </c>
      <c r="AI679" s="6" t="str">
        <f t="shared" si="21"/>
        <v>No</v>
      </c>
      <c r="AJ679" s="6" t="s">
        <v>2279</v>
      </c>
      <c r="AK679" s="6" t="s">
        <v>94</v>
      </c>
      <c r="AL679" s="6">
        <f>MATCH(AA679,{"Low","Medium","High"},0)*MATCH(AB679,{"Low","Medium","High"},0)*INDEX({3,2,2,1,1},MATCH(X679,{"Core","Vertical extension","Differentiator","Future","Adjacent"},0))</f>
        <v>6</v>
      </c>
      <c r="AM679" s="5"/>
      <c r="AN679" s="5"/>
      <c r="AO679" s="5"/>
      <c r="AP679" s="5"/>
      <c r="AQ679" s="5"/>
      <c r="AR679" s="5" t="s">
        <v>7938</v>
      </c>
      <c r="AS679" s="5" t="s">
        <v>1462</v>
      </c>
      <c r="AT679" s="5" t="s">
        <v>2281</v>
      </c>
      <c r="AU679" s="6" t="s">
        <v>2282</v>
      </c>
      <c r="AV679" s="6" t="s">
        <v>2898</v>
      </c>
      <c r="AW679" s="6" t="s">
        <v>2898</v>
      </c>
      <c r="AX679" s="6" t="s">
        <v>2284</v>
      </c>
      <c r="AY679" s="6" t="s">
        <v>2411</v>
      </c>
      <c r="AZ679" s="6"/>
      <c r="BA679" s="6"/>
      <c r="BB679" s="6"/>
      <c r="BC679" s="6" t="s">
        <v>127</v>
      </c>
      <c r="BD679" s="6" t="s">
        <v>127</v>
      </c>
      <c r="BE679" s="6" t="s">
        <v>1477</v>
      </c>
      <c r="BF679" s="6" t="s">
        <v>2286</v>
      </c>
      <c r="BG679" s="6" t="s">
        <v>7939</v>
      </c>
      <c r="BH679" s="6" t="s">
        <v>7940</v>
      </c>
    </row>
    <row r="680" spans="1:60" ht="32" customHeight="1" x14ac:dyDescent="0.35">
      <c r="A680" s="13" t="s">
        <v>7941</v>
      </c>
      <c r="B680" s="6" t="s">
        <v>7826</v>
      </c>
      <c r="C680" s="5" t="s">
        <v>7827</v>
      </c>
      <c r="D680" s="5" t="s">
        <v>2185</v>
      </c>
      <c r="E680" s="5" t="s">
        <v>7942</v>
      </c>
      <c r="F680" s="5" t="s">
        <v>5265</v>
      </c>
      <c r="G680" s="5" t="s">
        <v>7943</v>
      </c>
      <c r="H680" s="5" t="s">
        <v>7944</v>
      </c>
      <c r="I680" s="5" t="s">
        <v>7945</v>
      </c>
      <c r="J680" s="17" t="s">
        <v>162</v>
      </c>
      <c r="K680" s="17" t="s">
        <v>163</v>
      </c>
      <c r="L680" s="5" t="s">
        <v>7946</v>
      </c>
      <c r="M680" s="6" t="s">
        <v>1494</v>
      </c>
      <c r="N680" s="6" t="s">
        <v>2171</v>
      </c>
      <c r="O680" s="6" t="s">
        <v>162</v>
      </c>
      <c r="P680" s="5" t="s">
        <v>2272</v>
      </c>
      <c r="Q680" s="17" t="s">
        <v>163</v>
      </c>
      <c r="R680" s="5" t="s">
        <v>7947</v>
      </c>
      <c r="S680" s="6" t="s">
        <v>2409</v>
      </c>
      <c r="T680" s="5" t="s">
        <v>2185</v>
      </c>
      <c r="U680" s="6"/>
      <c r="V680" s="6" t="s">
        <v>2410</v>
      </c>
      <c r="W680" s="6" t="s">
        <v>1699</v>
      </c>
      <c r="X680" s="5" t="s">
        <v>409</v>
      </c>
      <c r="Y680" s="5" t="s">
        <v>7134</v>
      </c>
      <c r="Z680" s="5" t="str">
        <f t="shared" si="20"/>
        <v>Medium</v>
      </c>
      <c r="AA680" s="5" t="s">
        <v>1319</v>
      </c>
      <c r="AB680" s="6" t="s">
        <v>1319</v>
      </c>
      <c r="AC680" s="6" t="s">
        <v>32</v>
      </c>
      <c r="AD680" s="5" t="s">
        <v>1805</v>
      </c>
      <c r="AE680" s="5" t="s">
        <v>1720</v>
      </c>
      <c r="AF680" s="5" t="s">
        <v>1720</v>
      </c>
      <c r="AG680" s="5" t="s">
        <v>1720</v>
      </c>
      <c r="AH680" s="5" t="s">
        <v>1720</v>
      </c>
      <c r="AI680" s="6" t="str">
        <f t="shared" si="21"/>
        <v>No</v>
      </c>
      <c r="AJ680" s="6" t="s">
        <v>287</v>
      </c>
      <c r="AK680" s="6" t="s">
        <v>204</v>
      </c>
      <c r="AL680" s="6">
        <f>MATCH(AA680,{"Low","Medium","High"},0)*MATCH(AB680,{"Low","Medium","High"},0)*INDEX({3,2,2,1,1},MATCH(X680,{"Core","Vertical extension","Differentiator","Future","Adjacent"},0))</f>
        <v>4</v>
      </c>
      <c r="AM680" s="5"/>
      <c r="AN680" s="5"/>
      <c r="AO680" s="5"/>
      <c r="AP680" s="5"/>
      <c r="AQ680" s="5"/>
      <c r="AR680" s="5"/>
      <c r="AS680" s="5"/>
      <c r="AT680" s="5"/>
      <c r="AU680" s="6" t="s">
        <v>2317</v>
      </c>
      <c r="AV680" s="6" t="s">
        <v>2898</v>
      </c>
      <c r="AW680" s="6" t="s">
        <v>2804</v>
      </c>
      <c r="AX680" s="6" t="s">
        <v>2284</v>
      </c>
      <c r="AY680" s="6" t="s">
        <v>2411</v>
      </c>
      <c r="AZ680" s="6"/>
      <c r="BA680" s="6"/>
      <c r="BB680" s="6"/>
      <c r="BC680" s="6" t="s">
        <v>127</v>
      </c>
      <c r="BD680" s="6" t="s">
        <v>127</v>
      </c>
      <c r="BE680" s="6" t="s">
        <v>1477</v>
      </c>
      <c r="BF680" s="6" t="s">
        <v>288</v>
      </c>
      <c r="BG680" s="6" t="s">
        <v>7948</v>
      </c>
      <c r="BH680" s="6" t="s">
        <v>7949</v>
      </c>
    </row>
    <row r="681" spans="1:60" ht="32" customHeight="1" x14ac:dyDescent="0.35">
      <c r="A681" s="13" t="s">
        <v>7950</v>
      </c>
      <c r="B681" s="6" t="s">
        <v>7826</v>
      </c>
      <c r="C681" s="5" t="s">
        <v>7827</v>
      </c>
      <c r="D681" s="5" t="s">
        <v>2198</v>
      </c>
      <c r="E681" s="5" t="s">
        <v>7951</v>
      </c>
      <c r="F681" s="5" t="s">
        <v>7129</v>
      </c>
      <c r="G681" s="5" t="s">
        <v>7952</v>
      </c>
      <c r="H681" s="5" t="s">
        <v>7953</v>
      </c>
      <c r="I681" s="5" t="s">
        <v>7954</v>
      </c>
      <c r="J681" s="21" t="s">
        <v>213</v>
      </c>
      <c r="K681" s="17" t="s">
        <v>95</v>
      </c>
      <c r="L681" s="5" t="s">
        <v>7955</v>
      </c>
      <c r="M681" s="6" t="s">
        <v>1494</v>
      </c>
      <c r="N681" s="6" t="s">
        <v>2171</v>
      </c>
      <c r="O681" s="6" t="s">
        <v>204</v>
      </c>
      <c r="P681" s="5" t="s">
        <v>6999</v>
      </c>
      <c r="Q681" s="17" t="s">
        <v>95</v>
      </c>
      <c r="R681" s="5" t="s">
        <v>7956</v>
      </c>
      <c r="S681" s="6" t="s">
        <v>2401</v>
      </c>
      <c r="T681" s="5" t="s">
        <v>2402</v>
      </c>
      <c r="U681" s="6"/>
      <c r="V681" s="6" t="s">
        <v>2403</v>
      </c>
      <c r="W681" s="6" t="s">
        <v>1703</v>
      </c>
      <c r="X681" s="5" t="s">
        <v>415</v>
      </c>
      <c r="Y681" s="5" t="s">
        <v>7134</v>
      </c>
      <c r="Z681" s="5" t="str">
        <f t="shared" si="20"/>
        <v>Low</v>
      </c>
      <c r="AA681" s="5" t="s">
        <v>1355</v>
      </c>
      <c r="AB681" s="6" t="s">
        <v>1355</v>
      </c>
      <c r="AC681" s="6" t="s">
        <v>32</v>
      </c>
      <c r="AD681" s="5" t="s">
        <v>95</v>
      </c>
      <c r="AE681" s="5" t="s">
        <v>1720</v>
      </c>
      <c r="AF681" s="5" t="s">
        <v>1720</v>
      </c>
      <c r="AG681" s="5" t="s">
        <v>1720</v>
      </c>
      <c r="AH681" s="5" t="s">
        <v>1720</v>
      </c>
      <c r="AI681" s="6" t="str">
        <f t="shared" si="21"/>
        <v>No</v>
      </c>
      <c r="AJ681" s="6" t="s">
        <v>229</v>
      </c>
      <c r="AK681" s="6" t="s">
        <v>213</v>
      </c>
      <c r="AL681" s="6">
        <f>MATCH(AA681,{"Low","Medium","High"},0)*MATCH(AB681,{"Low","Medium","High"},0)*INDEX({3,2,2,1,1},MATCH(X681,{"Core","Vertical extension","Differentiator","Future","Adjacent"},0))</f>
        <v>1</v>
      </c>
      <c r="AM681" s="5"/>
      <c r="AN681" s="5"/>
      <c r="AO681" s="5"/>
      <c r="AP681" s="5"/>
      <c r="AQ681" s="5"/>
      <c r="AR681" s="5"/>
      <c r="AS681" s="5"/>
      <c r="AT681" s="5"/>
      <c r="AU681" s="6" t="s">
        <v>2317</v>
      </c>
      <c r="AV681" s="6" t="s">
        <v>2898</v>
      </c>
      <c r="AW681" s="6" t="s">
        <v>2813</v>
      </c>
      <c r="AX681" s="6" t="s">
        <v>7001</v>
      </c>
      <c r="AY681" s="6" t="s">
        <v>2285</v>
      </c>
      <c r="AZ681" s="6"/>
      <c r="BA681" s="6"/>
      <c r="BB681" s="6"/>
      <c r="BC681" s="6" t="s">
        <v>127</v>
      </c>
      <c r="BD681" s="6" t="s">
        <v>127</v>
      </c>
      <c r="BE681" s="6" t="s">
        <v>1477</v>
      </c>
      <c r="BF681" s="6" t="s">
        <v>95</v>
      </c>
      <c r="BG681" s="6" t="s">
        <v>7957</v>
      </c>
      <c r="BH681" s="6" t="s">
        <v>7958</v>
      </c>
    </row>
    <row r="682" spans="1:60" ht="32" customHeight="1" x14ac:dyDescent="0.35">
      <c r="A682" s="13" t="s">
        <v>7959</v>
      </c>
      <c r="B682" s="6" t="s">
        <v>7960</v>
      </c>
      <c r="C682" s="5" t="s">
        <v>7961</v>
      </c>
      <c r="D682" s="5" t="s">
        <v>2193</v>
      </c>
      <c r="E682" s="5" t="s">
        <v>7962</v>
      </c>
      <c r="F682" s="5" t="s">
        <v>6679</v>
      </c>
      <c r="G682" s="5" t="s">
        <v>2507</v>
      </c>
      <c r="H682" s="5" t="s">
        <v>7963</v>
      </c>
      <c r="I682" s="5" t="s">
        <v>7964</v>
      </c>
      <c r="J682" s="16" t="s">
        <v>94</v>
      </c>
      <c r="K682" s="17" t="s">
        <v>1477</v>
      </c>
      <c r="L682" s="5" t="s">
        <v>7965</v>
      </c>
      <c r="M682" s="6" t="s">
        <v>1494</v>
      </c>
      <c r="N682" s="6" t="s">
        <v>2171</v>
      </c>
      <c r="O682" s="6" t="s">
        <v>94</v>
      </c>
      <c r="P682" s="5" t="s">
        <v>2272</v>
      </c>
      <c r="Q682" s="17" t="s">
        <v>2273</v>
      </c>
      <c r="R682" s="5" t="s">
        <v>7966</v>
      </c>
      <c r="S682" s="6" t="s">
        <v>2470</v>
      </c>
      <c r="T682" s="5" t="s">
        <v>2471</v>
      </c>
      <c r="U682" s="6"/>
      <c r="V682" s="6" t="s">
        <v>2472</v>
      </c>
      <c r="W682" s="6" t="s">
        <v>1697</v>
      </c>
      <c r="X682" s="5" t="s">
        <v>415</v>
      </c>
      <c r="Y682" s="5" t="s">
        <v>7134</v>
      </c>
      <c r="Z682" s="5" t="str">
        <f t="shared" si="20"/>
        <v>Low</v>
      </c>
      <c r="AA682" s="5" t="s">
        <v>1302</v>
      </c>
      <c r="AB682" s="6" t="s">
        <v>1355</v>
      </c>
      <c r="AC682" s="6" t="s">
        <v>99</v>
      </c>
      <c r="AD682" s="5" t="s">
        <v>2278</v>
      </c>
      <c r="AE682" s="5" t="s">
        <v>1720</v>
      </c>
      <c r="AF682" s="5" t="s">
        <v>1720</v>
      </c>
      <c r="AG682" s="5" t="s">
        <v>1720</v>
      </c>
      <c r="AH682" s="5" t="s">
        <v>1720</v>
      </c>
      <c r="AI682" s="6" t="str">
        <f t="shared" si="21"/>
        <v>No</v>
      </c>
      <c r="AJ682" s="6" t="s">
        <v>2279</v>
      </c>
      <c r="AK682" s="6" t="s">
        <v>94</v>
      </c>
      <c r="AL682" s="6">
        <f>MATCH(AA682,{"Low","Medium","High"},0)*MATCH(AB682,{"Low","Medium","High"},0)*INDEX({3,2,2,1,1},MATCH(X682,{"Core","Vertical extension","Differentiator","Future","Adjacent"},0))</f>
        <v>3</v>
      </c>
      <c r="AM682" s="5"/>
      <c r="AN682" s="5"/>
      <c r="AO682" s="5"/>
      <c r="AP682" s="5"/>
      <c r="AQ682" s="5"/>
      <c r="AR682" s="5" t="s">
        <v>7967</v>
      </c>
      <c r="AS682" s="5" t="s">
        <v>1462</v>
      </c>
      <c r="AT682" s="5" t="s">
        <v>2281</v>
      </c>
      <c r="AU682" s="6" t="s">
        <v>2282</v>
      </c>
      <c r="AV682" s="6" t="s">
        <v>76</v>
      </c>
      <c r="AW682" s="6" t="s">
        <v>76</v>
      </c>
      <c r="AX682" s="6" t="s">
        <v>2284</v>
      </c>
      <c r="AY682" s="6" t="s">
        <v>2285</v>
      </c>
      <c r="AZ682" s="6"/>
      <c r="BA682" s="6"/>
      <c r="BB682" s="6"/>
      <c r="BC682" s="6" t="s">
        <v>127</v>
      </c>
      <c r="BD682" s="6" t="s">
        <v>127</v>
      </c>
      <c r="BE682" s="6" t="s">
        <v>1477</v>
      </c>
      <c r="BF682" s="6" t="s">
        <v>2286</v>
      </c>
      <c r="BG682" s="6" t="s">
        <v>6684</v>
      </c>
      <c r="BH682" s="6" t="s">
        <v>7968</v>
      </c>
    </row>
    <row r="683" spans="1:60" ht="32" customHeight="1" x14ac:dyDescent="0.35">
      <c r="A683" s="13" t="s">
        <v>7969</v>
      </c>
      <c r="B683" s="6" t="s">
        <v>7960</v>
      </c>
      <c r="C683" s="5" t="s">
        <v>7961</v>
      </c>
      <c r="D683" s="5" t="s">
        <v>2191</v>
      </c>
      <c r="E683" s="5" t="s">
        <v>7970</v>
      </c>
      <c r="F683" s="5" t="s">
        <v>7971</v>
      </c>
      <c r="G683" s="5" t="s">
        <v>7972</v>
      </c>
      <c r="H683" s="5" t="s">
        <v>7973</v>
      </c>
      <c r="I683" s="5" t="s">
        <v>7974</v>
      </c>
      <c r="J683" s="21" t="s">
        <v>213</v>
      </c>
      <c r="K683" s="17" t="s">
        <v>163</v>
      </c>
      <c r="L683" s="5" t="s">
        <v>7975</v>
      </c>
      <c r="M683" s="6" t="s">
        <v>1494</v>
      </c>
      <c r="N683" s="6" t="s">
        <v>2171</v>
      </c>
      <c r="O683" s="6" t="s">
        <v>162</v>
      </c>
      <c r="P683" s="5" t="s">
        <v>7976</v>
      </c>
      <c r="Q683" s="17" t="s">
        <v>163</v>
      </c>
      <c r="R683" s="5" t="s">
        <v>7977</v>
      </c>
      <c r="S683" s="6" t="s">
        <v>2275</v>
      </c>
      <c r="T683" s="5" t="s">
        <v>2276</v>
      </c>
      <c r="U683" s="6"/>
      <c r="V683" s="6" t="s">
        <v>2277</v>
      </c>
      <c r="W683" s="6" t="s">
        <v>1697</v>
      </c>
      <c r="X683" s="5" t="s">
        <v>415</v>
      </c>
      <c r="Y683" s="5" t="s">
        <v>7134</v>
      </c>
      <c r="Z683" s="5" t="str">
        <f t="shared" si="20"/>
        <v>Low</v>
      </c>
      <c r="AA683" s="5" t="s">
        <v>1355</v>
      </c>
      <c r="AB683" s="6" t="s">
        <v>1355</v>
      </c>
      <c r="AC683" s="6" t="s">
        <v>32</v>
      </c>
      <c r="AD683" s="5" t="s">
        <v>1805</v>
      </c>
      <c r="AE683" s="5" t="s">
        <v>1720</v>
      </c>
      <c r="AF683" s="5" t="s">
        <v>1720</v>
      </c>
      <c r="AG683" s="5" t="s">
        <v>1720</v>
      </c>
      <c r="AH683" s="5" t="s">
        <v>1720</v>
      </c>
      <c r="AI683" s="6" t="str">
        <f t="shared" si="21"/>
        <v>No</v>
      </c>
      <c r="AJ683" s="6" t="s">
        <v>287</v>
      </c>
      <c r="AK683" s="6" t="s">
        <v>213</v>
      </c>
      <c r="AL683" s="6">
        <f>MATCH(AA683,{"Low","Medium","High"},0)*MATCH(AB683,{"Low","Medium","High"},0)*INDEX({3,2,2,1,1},MATCH(X683,{"Core","Vertical extension","Differentiator","Future","Adjacent"},0))</f>
        <v>1</v>
      </c>
      <c r="AM683" s="5"/>
      <c r="AN683" s="5"/>
      <c r="AO683" s="5"/>
      <c r="AP683" s="5"/>
      <c r="AQ683" s="5"/>
      <c r="AR683" s="5"/>
      <c r="AS683" s="5"/>
      <c r="AT683" s="5"/>
      <c r="AU683" s="6" t="s">
        <v>2317</v>
      </c>
      <c r="AV683" s="6" t="s">
        <v>2283</v>
      </c>
      <c r="AW683" s="6" t="s">
        <v>2283</v>
      </c>
      <c r="AX683" s="6" t="s">
        <v>7001</v>
      </c>
      <c r="AY683" s="6" t="s">
        <v>2285</v>
      </c>
      <c r="AZ683" s="6"/>
      <c r="BA683" s="6"/>
      <c r="BB683" s="6"/>
      <c r="BC683" s="6" t="s">
        <v>127</v>
      </c>
      <c r="BD683" s="6" t="s">
        <v>127</v>
      </c>
      <c r="BE683" s="6" t="s">
        <v>1477</v>
      </c>
      <c r="BF683" s="6" t="s">
        <v>288</v>
      </c>
      <c r="BG683" s="6" t="s">
        <v>7978</v>
      </c>
      <c r="BH683" s="6" t="s">
        <v>7979</v>
      </c>
    </row>
    <row r="684" spans="1:60" ht="32" customHeight="1" x14ac:dyDescent="0.35">
      <c r="A684" s="13" t="s">
        <v>7980</v>
      </c>
      <c r="B684" s="6" t="s">
        <v>7960</v>
      </c>
      <c r="C684" s="5" t="s">
        <v>7961</v>
      </c>
      <c r="D684" s="5" t="s">
        <v>2187</v>
      </c>
      <c r="E684" s="5" t="s">
        <v>7981</v>
      </c>
      <c r="F684" s="5" t="s">
        <v>6688</v>
      </c>
      <c r="G684" s="5" t="s">
        <v>1669</v>
      </c>
      <c r="H684" s="5" t="s">
        <v>7982</v>
      </c>
      <c r="I684" s="5" t="s">
        <v>7983</v>
      </c>
      <c r="J684" s="17" t="s">
        <v>162</v>
      </c>
      <c r="K684" s="17" t="s">
        <v>95</v>
      </c>
      <c r="L684" s="5" t="s">
        <v>7984</v>
      </c>
      <c r="M684" s="6" t="s">
        <v>1494</v>
      </c>
      <c r="N684" s="6" t="s">
        <v>2171</v>
      </c>
      <c r="O684" s="6" t="s">
        <v>162</v>
      </c>
      <c r="P684" s="5" t="s">
        <v>2272</v>
      </c>
      <c r="Q684" s="17" t="s">
        <v>95</v>
      </c>
      <c r="R684" s="5" t="s">
        <v>7985</v>
      </c>
      <c r="S684" s="6" t="s">
        <v>2345</v>
      </c>
      <c r="T684" s="5" t="s">
        <v>2346</v>
      </c>
      <c r="U684" s="6"/>
      <c r="V684" s="6" t="s">
        <v>2347</v>
      </c>
      <c r="W684" s="6" t="s">
        <v>1697</v>
      </c>
      <c r="X684" s="5" t="s">
        <v>415</v>
      </c>
      <c r="Y684" s="5" t="s">
        <v>7134</v>
      </c>
      <c r="Z684" s="5" t="str">
        <f t="shared" si="20"/>
        <v>Low</v>
      </c>
      <c r="AA684" s="5" t="s">
        <v>1302</v>
      </c>
      <c r="AB684" s="6" t="s">
        <v>1355</v>
      </c>
      <c r="AC684" s="6" t="s">
        <v>32</v>
      </c>
      <c r="AD684" s="5" t="s">
        <v>95</v>
      </c>
      <c r="AE684" s="5" t="s">
        <v>1720</v>
      </c>
      <c r="AF684" s="5" t="s">
        <v>1720</v>
      </c>
      <c r="AG684" s="5" t="s">
        <v>1720</v>
      </c>
      <c r="AH684" s="5" t="s">
        <v>1720</v>
      </c>
      <c r="AI684" s="6" t="str">
        <f t="shared" si="21"/>
        <v>No</v>
      </c>
      <c r="AJ684" s="6" t="s">
        <v>229</v>
      </c>
      <c r="AK684" s="6" t="s">
        <v>204</v>
      </c>
      <c r="AL684" s="6">
        <f>MATCH(AA684,{"Low","Medium","High"},0)*MATCH(AB684,{"Low","Medium","High"},0)*INDEX({3,2,2,1,1},MATCH(X684,{"Core","Vertical extension","Differentiator","Future","Adjacent"},0))</f>
        <v>3</v>
      </c>
      <c r="AM684" s="5"/>
      <c r="AN684" s="5"/>
      <c r="AO684" s="5"/>
      <c r="AP684" s="5"/>
      <c r="AQ684" s="5"/>
      <c r="AR684" s="5"/>
      <c r="AS684" s="5"/>
      <c r="AT684" s="5"/>
      <c r="AU684" s="6" t="s">
        <v>2317</v>
      </c>
      <c r="AV684" s="6" t="s">
        <v>3968</v>
      </c>
      <c r="AW684" s="6" t="s">
        <v>3968</v>
      </c>
      <c r="AX684" s="6" t="s">
        <v>2284</v>
      </c>
      <c r="AY684" s="6" t="s">
        <v>2285</v>
      </c>
      <c r="AZ684" s="6"/>
      <c r="BA684" s="6"/>
      <c r="BB684" s="6"/>
      <c r="BC684" s="6" t="s">
        <v>127</v>
      </c>
      <c r="BD684" s="6" t="s">
        <v>127</v>
      </c>
      <c r="BE684" s="6" t="s">
        <v>1477</v>
      </c>
      <c r="BF684" s="6" t="s">
        <v>95</v>
      </c>
      <c r="BG684" s="6" t="s">
        <v>7986</v>
      </c>
      <c r="BH684" s="6" t="s">
        <v>7987</v>
      </c>
    </row>
    <row r="685" spans="1:60" ht="32" customHeight="1" x14ac:dyDescent="0.35">
      <c r="A685" s="13" t="s">
        <v>413</v>
      </c>
      <c r="B685" s="6" t="s">
        <v>7960</v>
      </c>
      <c r="C685" s="5" t="s">
        <v>7961</v>
      </c>
      <c r="D685" s="5" t="s">
        <v>2189</v>
      </c>
      <c r="E685" s="5" t="s">
        <v>414</v>
      </c>
      <c r="F685" s="5" t="s">
        <v>6697</v>
      </c>
      <c r="G685" s="5" t="s">
        <v>2813</v>
      </c>
      <c r="H685" s="5" t="s">
        <v>7988</v>
      </c>
      <c r="I685" s="5" t="s">
        <v>7989</v>
      </c>
      <c r="J685" s="16" t="s">
        <v>94</v>
      </c>
      <c r="K685" s="17" t="s">
        <v>163</v>
      </c>
      <c r="L685" s="5" t="s">
        <v>7990</v>
      </c>
      <c r="M685" s="6" t="s">
        <v>1494</v>
      </c>
      <c r="N685" s="6" t="s">
        <v>2171</v>
      </c>
      <c r="O685" s="6" t="s">
        <v>94</v>
      </c>
      <c r="P685" s="5" t="s">
        <v>2272</v>
      </c>
      <c r="Q685" s="17" t="s">
        <v>163</v>
      </c>
      <c r="R685" s="5" t="s">
        <v>7991</v>
      </c>
      <c r="S685" s="6" t="s">
        <v>2325</v>
      </c>
      <c r="T685" s="5" t="s">
        <v>2326</v>
      </c>
      <c r="U685" s="6"/>
      <c r="V685" s="6" t="s">
        <v>2327</v>
      </c>
      <c r="W685" s="6" t="s">
        <v>1699</v>
      </c>
      <c r="X685" s="5" t="s">
        <v>415</v>
      </c>
      <c r="Y685" s="5" t="s">
        <v>7134</v>
      </c>
      <c r="Z685" s="5" t="str">
        <f t="shared" si="20"/>
        <v>Low</v>
      </c>
      <c r="AA685" s="5" t="s">
        <v>1302</v>
      </c>
      <c r="AB685" s="6" t="s">
        <v>1355</v>
      </c>
      <c r="AC685" s="6" t="s">
        <v>32</v>
      </c>
      <c r="AD685" s="5" t="s">
        <v>1805</v>
      </c>
      <c r="AE685" s="5" t="s">
        <v>1720</v>
      </c>
      <c r="AF685" s="5" t="s">
        <v>1720</v>
      </c>
      <c r="AG685" s="5" t="s">
        <v>1720</v>
      </c>
      <c r="AH685" s="5" t="s">
        <v>1720</v>
      </c>
      <c r="AI685" s="6" t="str">
        <f t="shared" si="21"/>
        <v>No</v>
      </c>
      <c r="AJ685" s="6" t="s">
        <v>229</v>
      </c>
      <c r="AK685" s="6" t="s">
        <v>94</v>
      </c>
      <c r="AL685" s="6">
        <f>MATCH(AA685,{"Low","Medium","High"},0)*MATCH(AB685,{"Low","Medium","High"},0)*INDEX({3,2,2,1,1},MATCH(X685,{"Core","Vertical extension","Differentiator","Future","Adjacent"},0))</f>
        <v>3</v>
      </c>
      <c r="AM685" s="5"/>
      <c r="AN685" s="5"/>
      <c r="AO685" s="5">
        <v>10</v>
      </c>
      <c r="AP685" s="5"/>
      <c r="AQ685" s="5"/>
      <c r="AR685" s="5" t="s">
        <v>7992</v>
      </c>
      <c r="AS685" s="51">
        <v>46300</v>
      </c>
      <c r="AT685" s="5" t="s">
        <v>2760</v>
      </c>
      <c r="AU685" s="6" t="s">
        <v>95</v>
      </c>
      <c r="AV685" s="6" t="s">
        <v>3968</v>
      </c>
      <c r="AW685" s="6" t="s">
        <v>3968</v>
      </c>
      <c r="AX685" s="6" t="s">
        <v>2284</v>
      </c>
      <c r="AY685" s="6" t="s">
        <v>2285</v>
      </c>
      <c r="AZ685" s="6"/>
      <c r="BA685" s="6" t="s">
        <v>7993</v>
      </c>
      <c r="BB685" s="6"/>
      <c r="BC685" s="6" t="s">
        <v>127</v>
      </c>
      <c r="BD685" s="6" t="s">
        <v>127</v>
      </c>
      <c r="BE685" s="6" t="s">
        <v>1477</v>
      </c>
      <c r="BF685" s="6" t="s">
        <v>288</v>
      </c>
      <c r="BG685" s="6" t="s">
        <v>7994</v>
      </c>
      <c r="BH685" s="6" t="s">
        <v>416</v>
      </c>
    </row>
    <row r="686" spans="1:60" ht="32" customHeight="1" x14ac:dyDescent="0.35">
      <c r="A686" s="13" t="s">
        <v>7995</v>
      </c>
      <c r="B686" s="6" t="s">
        <v>7960</v>
      </c>
      <c r="C686" s="5" t="s">
        <v>7961</v>
      </c>
      <c r="D686" s="5" t="s">
        <v>2189</v>
      </c>
      <c r="E686" s="5" t="s">
        <v>7996</v>
      </c>
      <c r="F686" s="5" t="s">
        <v>6703</v>
      </c>
      <c r="G686" s="5" t="s">
        <v>3318</v>
      </c>
      <c r="H686" s="5" t="s">
        <v>7997</v>
      </c>
      <c r="I686" s="5" t="s">
        <v>7998</v>
      </c>
      <c r="J686" s="17" t="s">
        <v>162</v>
      </c>
      <c r="K686" s="17" t="s">
        <v>95</v>
      </c>
      <c r="L686" s="5" t="s">
        <v>7999</v>
      </c>
      <c r="M686" s="6" t="s">
        <v>1494</v>
      </c>
      <c r="N686" s="6" t="s">
        <v>2171</v>
      </c>
      <c r="O686" s="6" t="s">
        <v>162</v>
      </c>
      <c r="P686" s="5" t="s">
        <v>2272</v>
      </c>
      <c r="Q686" s="17" t="s">
        <v>95</v>
      </c>
      <c r="R686" s="5" t="s">
        <v>8000</v>
      </c>
      <c r="S686" s="6" t="s">
        <v>2325</v>
      </c>
      <c r="T686" s="5" t="s">
        <v>2326</v>
      </c>
      <c r="U686" s="6"/>
      <c r="V686" s="6" t="s">
        <v>2327</v>
      </c>
      <c r="W686" s="6" t="s">
        <v>1699</v>
      </c>
      <c r="X686" s="5" t="s">
        <v>415</v>
      </c>
      <c r="Y686" s="5" t="s">
        <v>7134</v>
      </c>
      <c r="Z686" s="5" t="str">
        <f t="shared" si="20"/>
        <v>Low</v>
      </c>
      <c r="AA686" s="5" t="s">
        <v>1319</v>
      </c>
      <c r="AB686" s="6" t="s">
        <v>1355</v>
      </c>
      <c r="AC686" s="6" t="s">
        <v>32</v>
      </c>
      <c r="AD686" s="5" t="s">
        <v>95</v>
      </c>
      <c r="AE686" s="5" t="s">
        <v>1720</v>
      </c>
      <c r="AF686" s="5" t="s">
        <v>1720</v>
      </c>
      <c r="AG686" s="5" t="s">
        <v>1720</v>
      </c>
      <c r="AH686" s="5" t="s">
        <v>1720</v>
      </c>
      <c r="AI686" s="6" t="str">
        <f t="shared" si="21"/>
        <v>No</v>
      </c>
      <c r="AJ686" s="6" t="s">
        <v>229</v>
      </c>
      <c r="AK686" s="6" t="s">
        <v>204</v>
      </c>
      <c r="AL686" s="6">
        <f>MATCH(AA686,{"Low","Medium","High"},0)*MATCH(AB686,{"Low","Medium","High"},0)*INDEX({3,2,2,1,1},MATCH(X686,{"Core","Vertical extension","Differentiator","Future","Adjacent"},0))</f>
        <v>2</v>
      </c>
      <c r="AM686" s="5"/>
      <c r="AN686" s="5"/>
      <c r="AO686" s="5"/>
      <c r="AP686" s="5"/>
      <c r="AQ686" s="5"/>
      <c r="AR686" s="5"/>
      <c r="AS686" s="5"/>
      <c r="AT686" s="5"/>
      <c r="AU686" s="6" t="s">
        <v>2317</v>
      </c>
      <c r="AV686" s="6" t="s">
        <v>3968</v>
      </c>
      <c r="AW686" s="6" t="s">
        <v>3968</v>
      </c>
      <c r="AX686" s="6" t="s">
        <v>2284</v>
      </c>
      <c r="AY686" s="6" t="s">
        <v>2285</v>
      </c>
      <c r="AZ686" s="6"/>
      <c r="BA686" s="6"/>
      <c r="BB686" s="6"/>
      <c r="BC686" s="6" t="s">
        <v>127</v>
      </c>
      <c r="BD686" s="6" t="s">
        <v>127</v>
      </c>
      <c r="BE686" s="6" t="s">
        <v>1477</v>
      </c>
      <c r="BF686" s="6" t="s">
        <v>95</v>
      </c>
      <c r="BG686" s="6" t="s">
        <v>8001</v>
      </c>
      <c r="BH686" s="6" t="s">
        <v>8002</v>
      </c>
    </row>
    <row r="687" spans="1:60" ht="32" customHeight="1" x14ac:dyDescent="0.35">
      <c r="A687" s="13" t="s">
        <v>8003</v>
      </c>
      <c r="B687" s="6" t="s">
        <v>7960</v>
      </c>
      <c r="C687" s="5" t="s">
        <v>7961</v>
      </c>
      <c r="D687" s="5" t="s">
        <v>2201</v>
      </c>
      <c r="E687" s="5" t="s">
        <v>8004</v>
      </c>
      <c r="F687" s="5" t="s">
        <v>6769</v>
      </c>
      <c r="G687" s="5" t="s">
        <v>3734</v>
      </c>
      <c r="H687" s="5" t="s">
        <v>8005</v>
      </c>
      <c r="I687" s="5" t="s">
        <v>8006</v>
      </c>
      <c r="J687" s="17" t="s">
        <v>162</v>
      </c>
      <c r="K687" s="17" t="s">
        <v>95</v>
      </c>
      <c r="L687" s="5" t="s">
        <v>8007</v>
      </c>
      <c r="M687" s="6" t="s">
        <v>1494</v>
      </c>
      <c r="N687" s="6" t="s">
        <v>2171</v>
      </c>
      <c r="O687" s="6" t="s">
        <v>162</v>
      </c>
      <c r="P687" s="5" t="s">
        <v>2272</v>
      </c>
      <c r="Q687" s="17" t="s">
        <v>95</v>
      </c>
      <c r="R687" s="5" t="s">
        <v>8008</v>
      </c>
      <c r="S687" s="6" t="s">
        <v>6358</v>
      </c>
      <c r="T687" s="5" t="s">
        <v>6359</v>
      </c>
      <c r="U687" s="6"/>
      <c r="V687" s="6" t="s">
        <v>2277</v>
      </c>
      <c r="W687" s="6" t="s">
        <v>1697</v>
      </c>
      <c r="X687" s="5" t="s">
        <v>415</v>
      </c>
      <c r="Y687" s="5" t="s">
        <v>7134</v>
      </c>
      <c r="Z687" s="5" t="str">
        <f t="shared" si="20"/>
        <v>Low</v>
      </c>
      <c r="AA687" s="5" t="s">
        <v>1319</v>
      </c>
      <c r="AB687" s="6" t="s">
        <v>1355</v>
      </c>
      <c r="AC687" s="6" t="s">
        <v>32</v>
      </c>
      <c r="AD687" s="5" t="s">
        <v>95</v>
      </c>
      <c r="AE687" s="5" t="s">
        <v>1720</v>
      </c>
      <c r="AF687" s="5" t="s">
        <v>1720</v>
      </c>
      <c r="AG687" s="5" t="s">
        <v>1720</v>
      </c>
      <c r="AH687" s="5" t="s">
        <v>1720</v>
      </c>
      <c r="AI687" s="6" t="str">
        <f t="shared" si="21"/>
        <v>No</v>
      </c>
      <c r="AJ687" s="6" t="s">
        <v>229</v>
      </c>
      <c r="AK687" s="6" t="s">
        <v>204</v>
      </c>
      <c r="AL687" s="6">
        <f>MATCH(AA687,{"Low","Medium","High"},0)*MATCH(AB687,{"Low","Medium","High"},0)*INDEX({3,2,2,1,1},MATCH(X687,{"Core","Vertical extension","Differentiator","Future","Adjacent"},0))</f>
        <v>2</v>
      </c>
      <c r="AM687" s="5"/>
      <c r="AN687" s="5"/>
      <c r="AO687" s="5"/>
      <c r="AP687" s="5"/>
      <c r="AQ687" s="5"/>
      <c r="AR687" s="5"/>
      <c r="AS687" s="5"/>
      <c r="AT687" s="5"/>
      <c r="AU687" s="6" t="s">
        <v>2317</v>
      </c>
      <c r="AV687" s="6" t="s">
        <v>2813</v>
      </c>
      <c r="AW687" s="6" t="s">
        <v>2813</v>
      </c>
      <c r="AX687" s="6" t="s">
        <v>2284</v>
      </c>
      <c r="AY687" s="6" t="s">
        <v>2285</v>
      </c>
      <c r="AZ687" s="6"/>
      <c r="BA687" s="6"/>
      <c r="BB687" s="6"/>
      <c r="BC687" s="6" t="s">
        <v>127</v>
      </c>
      <c r="BD687" s="6" t="s">
        <v>127</v>
      </c>
      <c r="BE687" s="6" t="s">
        <v>1477</v>
      </c>
      <c r="BF687" s="6" t="s">
        <v>95</v>
      </c>
      <c r="BG687" s="6" t="s">
        <v>6361</v>
      </c>
      <c r="BH687" s="6" t="s">
        <v>8009</v>
      </c>
    </row>
    <row r="688" spans="1:60" ht="32" customHeight="1" x14ac:dyDescent="0.35">
      <c r="A688" s="13" t="s">
        <v>8010</v>
      </c>
      <c r="B688" s="6" t="s">
        <v>7960</v>
      </c>
      <c r="C688" s="5" t="s">
        <v>7961</v>
      </c>
      <c r="D688" s="5" t="s">
        <v>2192</v>
      </c>
      <c r="E688" s="5" t="s">
        <v>8011</v>
      </c>
      <c r="F688" s="5" t="s">
        <v>8012</v>
      </c>
      <c r="G688" s="5" t="s">
        <v>8013</v>
      </c>
      <c r="H688" s="5" t="s">
        <v>8014</v>
      </c>
      <c r="I688" s="5" t="s">
        <v>8015</v>
      </c>
      <c r="J688" s="17" t="s">
        <v>162</v>
      </c>
      <c r="K688" s="17" t="s">
        <v>95</v>
      </c>
      <c r="L688" s="5" t="s">
        <v>8016</v>
      </c>
      <c r="M688" s="6" t="s">
        <v>1494</v>
      </c>
      <c r="N688" s="6" t="s">
        <v>2171</v>
      </c>
      <c r="O688" s="6" t="s">
        <v>162</v>
      </c>
      <c r="P688" s="5" t="s">
        <v>2272</v>
      </c>
      <c r="Q688" s="17" t="s">
        <v>95</v>
      </c>
      <c r="R688" s="5" t="s">
        <v>8017</v>
      </c>
      <c r="S688" s="6" t="s">
        <v>2371</v>
      </c>
      <c r="T688" s="5" t="s">
        <v>2372</v>
      </c>
      <c r="U688" s="6"/>
      <c r="V688" s="6" t="s">
        <v>2373</v>
      </c>
      <c r="W688" s="6" t="s">
        <v>1699</v>
      </c>
      <c r="X688" s="5" t="s">
        <v>415</v>
      </c>
      <c r="Y688" s="5" t="s">
        <v>7134</v>
      </c>
      <c r="Z688" s="5" t="str">
        <f t="shared" si="20"/>
        <v>Medium</v>
      </c>
      <c r="AA688" s="5" t="s">
        <v>1302</v>
      </c>
      <c r="AB688" s="6" t="s">
        <v>1319</v>
      </c>
      <c r="AC688" s="6" t="s">
        <v>32</v>
      </c>
      <c r="AD688" s="5" t="s">
        <v>95</v>
      </c>
      <c r="AE688" s="5" t="s">
        <v>1720</v>
      </c>
      <c r="AF688" s="5" t="s">
        <v>1720</v>
      </c>
      <c r="AG688" s="5" t="s">
        <v>1720</v>
      </c>
      <c r="AH688" s="5" t="s">
        <v>1720</v>
      </c>
      <c r="AI688" s="6" t="str">
        <f t="shared" si="21"/>
        <v>No</v>
      </c>
      <c r="AJ688" s="6" t="s">
        <v>229</v>
      </c>
      <c r="AK688" s="6" t="s">
        <v>204</v>
      </c>
      <c r="AL688" s="6">
        <f>MATCH(AA688,{"Low","Medium","High"},0)*MATCH(AB688,{"Low","Medium","High"},0)*INDEX({3,2,2,1,1},MATCH(X688,{"Core","Vertical extension","Differentiator","Future","Adjacent"},0))</f>
        <v>6</v>
      </c>
      <c r="AM688" s="5"/>
      <c r="AN688" s="5"/>
      <c r="AO688" s="5"/>
      <c r="AP688" s="5"/>
      <c r="AQ688" s="5"/>
      <c r="AR688" s="5"/>
      <c r="AS688" s="5"/>
      <c r="AT688" s="5"/>
      <c r="AU688" s="6" t="s">
        <v>2317</v>
      </c>
      <c r="AV688" s="6" t="s">
        <v>3968</v>
      </c>
      <c r="AW688" s="6" t="s">
        <v>3968</v>
      </c>
      <c r="AX688" s="6" t="s">
        <v>2284</v>
      </c>
      <c r="AY688" s="6" t="s">
        <v>2285</v>
      </c>
      <c r="AZ688" s="6"/>
      <c r="BA688" s="6"/>
      <c r="BB688" s="6"/>
      <c r="BC688" s="6" t="s">
        <v>127</v>
      </c>
      <c r="BD688" s="6" t="s">
        <v>127</v>
      </c>
      <c r="BE688" s="6" t="s">
        <v>1477</v>
      </c>
      <c r="BF688" s="6" t="s">
        <v>95</v>
      </c>
      <c r="BG688" s="6" t="s">
        <v>8018</v>
      </c>
      <c r="BH688" s="6" t="s">
        <v>8019</v>
      </c>
    </row>
    <row r="689" spans="1:60" ht="32" customHeight="1" x14ac:dyDescent="0.35">
      <c r="A689" s="13" t="s">
        <v>8020</v>
      </c>
      <c r="B689" s="6" t="s">
        <v>7960</v>
      </c>
      <c r="C689" s="5" t="s">
        <v>7961</v>
      </c>
      <c r="D689" s="5" t="s">
        <v>2193</v>
      </c>
      <c r="E689" s="5" t="s">
        <v>8021</v>
      </c>
      <c r="F689" s="5" t="s">
        <v>6712</v>
      </c>
      <c r="G689" s="5" t="s">
        <v>1669</v>
      </c>
      <c r="H689" s="5" t="s">
        <v>8022</v>
      </c>
      <c r="I689" s="5" t="s">
        <v>8023</v>
      </c>
      <c r="J689" s="17" t="s">
        <v>162</v>
      </c>
      <c r="K689" s="17" t="s">
        <v>95</v>
      </c>
      <c r="L689" s="5" t="s">
        <v>8024</v>
      </c>
      <c r="M689" s="6" t="s">
        <v>1494</v>
      </c>
      <c r="N689" s="6" t="s">
        <v>2171</v>
      </c>
      <c r="O689" s="6" t="s">
        <v>162</v>
      </c>
      <c r="P689" s="5" t="s">
        <v>2272</v>
      </c>
      <c r="Q689" s="17" t="s">
        <v>95</v>
      </c>
      <c r="R689" s="5" t="s">
        <v>8025</v>
      </c>
      <c r="S689" s="6" t="s">
        <v>2470</v>
      </c>
      <c r="T689" s="5" t="s">
        <v>2471</v>
      </c>
      <c r="U689" s="6"/>
      <c r="V689" s="6" t="s">
        <v>2472</v>
      </c>
      <c r="W689" s="6" t="s">
        <v>1697</v>
      </c>
      <c r="X689" s="5" t="s">
        <v>415</v>
      </c>
      <c r="Y689" s="5" t="s">
        <v>7134</v>
      </c>
      <c r="Z689" s="5" t="str">
        <f t="shared" si="20"/>
        <v>Low</v>
      </c>
      <c r="AA689" s="5" t="s">
        <v>1319</v>
      </c>
      <c r="AB689" s="6" t="s">
        <v>1355</v>
      </c>
      <c r="AC689" s="6" t="s">
        <v>32</v>
      </c>
      <c r="AD689" s="5" t="s">
        <v>95</v>
      </c>
      <c r="AE689" s="5" t="s">
        <v>1720</v>
      </c>
      <c r="AF689" s="5" t="s">
        <v>1720</v>
      </c>
      <c r="AG689" s="5" t="s">
        <v>1720</v>
      </c>
      <c r="AH689" s="5" t="s">
        <v>1720</v>
      </c>
      <c r="AI689" s="6" t="str">
        <f t="shared" si="21"/>
        <v>No</v>
      </c>
      <c r="AJ689" s="6" t="s">
        <v>229</v>
      </c>
      <c r="AK689" s="6" t="s">
        <v>204</v>
      </c>
      <c r="AL689" s="6">
        <f>MATCH(AA689,{"Low","Medium","High"},0)*MATCH(AB689,{"Low","Medium","High"},0)*INDEX({3,2,2,1,1},MATCH(X689,{"Core","Vertical extension","Differentiator","Future","Adjacent"},0))</f>
        <v>2</v>
      </c>
      <c r="AM689" s="5"/>
      <c r="AN689" s="5"/>
      <c r="AO689" s="5"/>
      <c r="AP689" s="5"/>
      <c r="AQ689" s="5"/>
      <c r="AR689" s="5"/>
      <c r="AS689" s="5"/>
      <c r="AT689" s="5"/>
      <c r="AU689" s="6" t="s">
        <v>2317</v>
      </c>
      <c r="AV689" s="6" t="s">
        <v>3968</v>
      </c>
      <c r="AW689" s="6" t="s">
        <v>3968</v>
      </c>
      <c r="AX689" s="6" t="s">
        <v>2284</v>
      </c>
      <c r="AY689" s="6" t="s">
        <v>2285</v>
      </c>
      <c r="AZ689" s="6"/>
      <c r="BA689" s="6"/>
      <c r="BB689" s="6"/>
      <c r="BC689" s="6" t="s">
        <v>127</v>
      </c>
      <c r="BD689" s="6" t="s">
        <v>127</v>
      </c>
      <c r="BE689" s="6" t="s">
        <v>1477</v>
      </c>
      <c r="BF689" s="6" t="s">
        <v>95</v>
      </c>
      <c r="BG689" s="6" t="s">
        <v>8026</v>
      </c>
      <c r="BH689" s="6" t="s">
        <v>8027</v>
      </c>
    </row>
    <row r="690" spans="1:60" ht="32" customHeight="1" x14ac:dyDescent="0.35">
      <c r="A690" s="13" t="s">
        <v>8028</v>
      </c>
      <c r="B690" s="6" t="s">
        <v>7960</v>
      </c>
      <c r="C690" s="5" t="s">
        <v>7961</v>
      </c>
      <c r="D690" s="5" t="s">
        <v>2191</v>
      </c>
      <c r="E690" s="5" t="s">
        <v>8029</v>
      </c>
      <c r="F690" s="5" t="s">
        <v>5720</v>
      </c>
      <c r="G690" s="5" t="s">
        <v>4012</v>
      </c>
      <c r="H690" s="5" t="s">
        <v>8030</v>
      </c>
      <c r="I690" s="5" t="s">
        <v>8031</v>
      </c>
      <c r="J690" s="17" t="s">
        <v>162</v>
      </c>
      <c r="K690" s="17" t="s">
        <v>95</v>
      </c>
      <c r="L690" s="5" t="s">
        <v>8032</v>
      </c>
      <c r="M690" s="6" t="s">
        <v>1494</v>
      </c>
      <c r="N690" s="6" t="s">
        <v>2171</v>
      </c>
      <c r="O690" s="6" t="s">
        <v>162</v>
      </c>
      <c r="P690" s="5" t="s">
        <v>2272</v>
      </c>
      <c r="Q690" s="17" t="s">
        <v>95</v>
      </c>
      <c r="R690" s="5" t="s">
        <v>8033</v>
      </c>
      <c r="S690" s="6" t="s">
        <v>2275</v>
      </c>
      <c r="T690" s="5" t="s">
        <v>2276</v>
      </c>
      <c r="U690" s="6"/>
      <c r="V690" s="6" t="s">
        <v>2277</v>
      </c>
      <c r="W690" s="6" t="s">
        <v>1697</v>
      </c>
      <c r="X690" s="5" t="s">
        <v>415</v>
      </c>
      <c r="Y690" s="5" t="s">
        <v>7134</v>
      </c>
      <c r="Z690" s="5" t="str">
        <f t="shared" si="20"/>
        <v>Low</v>
      </c>
      <c r="AA690" s="5" t="s">
        <v>1319</v>
      </c>
      <c r="AB690" s="6" t="s">
        <v>1355</v>
      </c>
      <c r="AC690" s="6" t="s">
        <v>32</v>
      </c>
      <c r="AD690" s="5" t="s">
        <v>95</v>
      </c>
      <c r="AE690" s="5" t="s">
        <v>1720</v>
      </c>
      <c r="AF690" s="5" t="s">
        <v>1720</v>
      </c>
      <c r="AG690" s="5" t="s">
        <v>1720</v>
      </c>
      <c r="AH690" s="5" t="s">
        <v>1720</v>
      </c>
      <c r="AI690" s="6" t="str">
        <f t="shared" si="21"/>
        <v>No</v>
      </c>
      <c r="AJ690" s="6" t="s">
        <v>229</v>
      </c>
      <c r="AK690" s="6" t="s">
        <v>204</v>
      </c>
      <c r="AL690" s="6">
        <f>MATCH(AA690,{"Low","Medium","High"},0)*MATCH(AB690,{"Low","Medium","High"},0)*INDEX({3,2,2,1,1},MATCH(X690,{"Core","Vertical extension","Differentiator","Future","Adjacent"},0))</f>
        <v>2</v>
      </c>
      <c r="AM690" s="5"/>
      <c r="AN690" s="5"/>
      <c r="AO690" s="5"/>
      <c r="AP690" s="5"/>
      <c r="AQ690" s="5"/>
      <c r="AR690" s="5"/>
      <c r="AS690" s="5"/>
      <c r="AT690" s="5"/>
      <c r="AU690" s="6" t="s">
        <v>2317</v>
      </c>
      <c r="AV690" s="6" t="s">
        <v>3968</v>
      </c>
      <c r="AW690" s="6" t="s">
        <v>3968</v>
      </c>
      <c r="AX690" s="6" t="s">
        <v>2284</v>
      </c>
      <c r="AY690" s="6" t="s">
        <v>2285</v>
      </c>
      <c r="AZ690" s="6"/>
      <c r="BA690" s="6"/>
      <c r="BB690" s="6"/>
      <c r="BC690" s="6" t="s">
        <v>127</v>
      </c>
      <c r="BD690" s="6" t="s">
        <v>127</v>
      </c>
      <c r="BE690" s="6" t="s">
        <v>1477</v>
      </c>
      <c r="BF690" s="6" t="s">
        <v>95</v>
      </c>
      <c r="BG690" s="6" t="s">
        <v>8034</v>
      </c>
      <c r="BH690" s="6" t="s">
        <v>8035</v>
      </c>
    </row>
    <row r="691" spans="1:60" ht="32" customHeight="1" x14ac:dyDescent="0.35">
      <c r="A691" s="13" t="s">
        <v>420</v>
      </c>
      <c r="B691" s="6" t="s">
        <v>7960</v>
      </c>
      <c r="C691" s="5" t="s">
        <v>7961</v>
      </c>
      <c r="D691" s="5" t="s">
        <v>2183</v>
      </c>
      <c r="E691" s="5" t="s">
        <v>421</v>
      </c>
      <c r="F691" s="5" t="s">
        <v>8036</v>
      </c>
      <c r="G691" s="5" t="s">
        <v>2973</v>
      </c>
      <c r="H691" s="5" t="s">
        <v>8037</v>
      </c>
      <c r="I691" s="5" t="s">
        <v>8038</v>
      </c>
      <c r="J691" s="16" t="s">
        <v>94</v>
      </c>
      <c r="K691" s="17" t="s">
        <v>163</v>
      </c>
      <c r="L691" s="5" t="s">
        <v>8039</v>
      </c>
      <c r="M691" s="6" t="s">
        <v>1494</v>
      </c>
      <c r="N691" s="6" t="s">
        <v>2171</v>
      </c>
      <c r="O691" s="6" t="s">
        <v>94</v>
      </c>
      <c r="P691" s="5" t="s">
        <v>2272</v>
      </c>
      <c r="Q691" s="17" t="s">
        <v>163</v>
      </c>
      <c r="R691" s="5" t="s">
        <v>8040</v>
      </c>
      <c r="S691" s="6" t="s">
        <v>2438</v>
      </c>
      <c r="T691" s="5" t="s">
        <v>2439</v>
      </c>
      <c r="U691" s="6"/>
      <c r="V691" s="6" t="s">
        <v>2440</v>
      </c>
      <c r="W691" s="6" t="s">
        <v>1699</v>
      </c>
      <c r="X691" s="5" t="s">
        <v>415</v>
      </c>
      <c r="Y691" s="5" t="s">
        <v>7134</v>
      </c>
      <c r="Z691" s="5" t="str">
        <f t="shared" si="20"/>
        <v>High</v>
      </c>
      <c r="AA691" s="5" t="s">
        <v>1302</v>
      </c>
      <c r="AB691" s="6" t="s">
        <v>1302</v>
      </c>
      <c r="AC691" s="6" t="s">
        <v>32</v>
      </c>
      <c r="AD691" s="5" t="s">
        <v>1805</v>
      </c>
      <c r="AE691" s="5" t="s">
        <v>1720</v>
      </c>
      <c r="AF691" s="5" t="s">
        <v>1720</v>
      </c>
      <c r="AG691" s="5" t="s">
        <v>1720</v>
      </c>
      <c r="AH691" s="5" t="s">
        <v>1720</v>
      </c>
      <c r="AI691" s="6" t="str">
        <f t="shared" si="21"/>
        <v>No</v>
      </c>
      <c r="AJ691" s="6" t="s">
        <v>229</v>
      </c>
      <c r="AK691" s="6" t="s">
        <v>94</v>
      </c>
      <c r="AL691" s="6">
        <f>MATCH(AA691,{"Low","Medium","High"},0)*MATCH(AB691,{"Low","Medium","High"},0)*INDEX({3,2,2,1,1},MATCH(X691,{"Core","Vertical extension","Differentiator","Future","Adjacent"},0))</f>
        <v>9</v>
      </c>
      <c r="AM691" s="5"/>
      <c r="AN691" s="5"/>
      <c r="AO691" s="5">
        <v>6</v>
      </c>
      <c r="AP691" s="5"/>
      <c r="AQ691" s="5"/>
      <c r="AR691" s="5" t="s">
        <v>8041</v>
      </c>
      <c r="AS691" s="51">
        <v>46300</v>
      </c>
      <c r="AT691" s="5" t="s">
        <v>2760</v>
      </c>
      <c r="AU691" s="6" t="s">
        <v>95</v>
      </c>
      <c r="AV691" s="6" t="s">
        <v>3968</v>
      </c>
      <c r="AW691" s="6" t="s">
        <v>3968</v>
      </c>
      <c r="AX691" s="6" t="s">
        <v>2284</v>
      </c>
      <c r="AY691" s="6" t="s">
        <v>2285</v>
      </c>
      <c r="AZ691" s="6"/>
      <c r="BA691" s="6" t="s">
        <v>8042</v>
      </c>
      <c r="BB691" s="6"/>
      <c r="BC691" s="6" t="s">
        <v>127</v>
      </c>
      <c r="BD691" s="6" t="s">
        <v>127</v>
      </c>
      <c r="BE691" s="6" t="s">
        <v>1477</v>
      </c>
      <c r="BF691" s="6" t="s">
        <v>288</v>
      </c>
      <c r="BG691" s="6" t="s">
        <v>3223</v>
      </c>
      <c r="BH691" s="6" t="s">
        <v>422</v>
      </c>
    </row>
    <row r="692" spans="1:60" ht="32" customHeight="1" x14ac:dyDescent="0.35">
      <c r="A692" s="13" t="s">
        <v>8043</v>
      </c>
      <c r="B692" s="6" t="s">
        <v>7960</v>
      </c>
      <c r="C692" s="5" t="s">
        <v>7961</v>
      </c>
      <c r="D692" s="5" t="s">
        <v>2191</v>
      </c>
      <c r="E692" s="5" t="s">
        <v>8044</v>
      </c>
      <c r="F692" s="5" t="s">
        <v>8045</v>
      </c>
      <c r="G692" s="5" t="s">
        <v>8046</v>
      </c>
      <c r="H692" s="5" t="s">
        <v>8047</v>
      </c>
      <c r="I692" s="5" t="s">
        <v>8048</v>
      </c>
      <c r="J692" s="17" t="s">
        <v>162</v>
      </c>
      <c r="K692" s="17" t="s">
        <v>1477</v>
      </c>
      <c r="L692" s="5" t="s">
        <v>8049</v>
      </c>
      <c r="M692" s="6" t="s">
        <v>1494</v>
      </c>
      <c r="N692" s="6" t="s">
        <v>2171</v>
      </c>
      <c r="O692" s="6" t="s">
        <v>162</v>
      </c>
      <c r="P692" s="5" t="s">
        <v>2272</v>
      </c>
      <c r="Q692" s="17" t="s">
        <v>2273</v>
      </c>
      <c r="R692" s="5" t="s">
        <v>8050</v>
      </c>
      <c r="S692" s="6" t="s">
        <v>2275</v>
      </c>
      <c r="T692" s="5" t="s">
        <v>2276</v>
      </c>
      <c r="U692" s="6"/>
      <c r="V692" s="6" t="s">
        <v>2277</v>
      </c>
      <c r="W692" s="6" t="s">
        <v>1697</v>
      </c>
      <c r="X692" s="5" t="s">
        <v>415</v>
      </c>
      <c r="Y692" s="5" t="s">
        <v>7134</v>
      </c>
      <c r="Z692" s="5" t="str">
        <f t="shared" si="20"/>
        <v>Low</v>
      </c>
      <c r="AA692" s="5" t="s">
        <v>1319</v>
      </c>
      <c r="AB692" s="6" t="s">
        <v>1355</v>
      </c>
      <c r="AC692" s="6" t="s">
        <v>32</v>
      </c>
      <c r="AD692" s="5" t="s">
        <v>2278</v>
      </c>
      <c r="AE692" s="5" t="s">
        <v>1720</v>
      </c>
      <c r="AF692" s="5" t="s">
        <v>1720</v>
      </c>
      <c r="AG692" s="5" t="s">
        <v>1720</v>
      </c>
      <c r="AH692" s="5" t="s">
        <v>1720</v>
      </c>
      <c r="AI692" s="6" t="str">
        <f t="shared" si="21"/>
        <v>No</v>
      </c>
      <c r="AJ692" s="6" t="s">
        <v>2298</v>
      </c>
      <c r="AK692" s="6" t="s">
        <v>204</v>
      </c>
      <c r="AL692" s="6">
        <f>MATCH(AA692,{"Low","Medium","High"},0)*MATCH(AB692,{"Low","Medium","High"},0)*INDEX({3,2,2,1,1},MATCH(X692,{"Core","Vertical extension","Differentiator","Future","Adjacent"},0))</f>
        <v>2</v>
      </c>
      <c r="AM692" s="5"/>
      <c r="AN692" s="5"/>
      <c r="AO692" s="5"/>
      <c r="AP692" s="5"/>
      <c r="AQ692" s="5"/>
      <c r="AR692" s="5"/>
      <c r="AS692" s="5"/>
      <c r="AT692" s="5"/>
      <c r="AU692" s="6" t="s">
        <v>2317</v>
      </c>
      <c r="AV692" s="6" t="s">
        <v>3686</v>
      </c>
      <c r="AW692" s="6" t="s">
        <v>3686</v>
      </c>
      <c r="AX692" s="6" t="s">
        <v>2284</v>
      </c>
      <c r="AY692" s="6" t="s">
        <v>2285</v>
      </c>
      <c r="AZ692" s="6"/>
      <c r="BA692" s="6"/>
      <c r="BB692" s="6"/>
      <c r="BC692" s="6" t="s">
        <v>127</v>
      </c>
      <c r="BD692" s="6" t="s">
        <v>127</v>
      </c>
      <c r="BE692" s="6" t="s">
        <v>1477</v>
      </c>
      <c r="BF692" s="6" t="s">
        <v>2286</v>
      </c>
      <c r="BG692" s="6" t="s">
        <v>8051</v>
      </c>
      <c r="BH692" s="6" t="s">
        <v>8052</v>
      </c>
    </row>
    <row r="693" spans="1:60" ht="32" customHeight="1" x14ac:dyDescent="0.35">
      <c r="A693" s="13" t="s">
        <v>8053</v>
      </c>
      <c r="B693" s="6" t="s">
        <v>7960</v>
      </c>
      <c r="C693" s="5" t="s">
        <v>7961</v>
      </c>
      <c r="D693" s="5" t="s">
        <v>2187</v>
      </c>
      <c r="E693" s="5" t="s">
        <v>8054</v>
      </c>
      <c r="F693" s="5" t="s">
        <v>8055</v>
      </c>
      <c r="G693" s="5" t="s">
        <v>2813</v>
      </c>
      <c r="H693" s="5" t="s">
        <v>8056</v>
      </c>
      <c r="I693" s="5" t="s">
        <v>8057</v>
      </c>
      <c r="J693" s="21" t="s">
        <v>213</v>
      </c>
      <c r="K693" s="17" t="s">
        <v>95</v>
      </c>
      <c r="L693" s="5" t="s">
        <v>8058</v>
      </c>
      <c r="M693" s="6" t="s">
        <v>1494</v>
      </c>
      <c r="N693" s="6" t="s">
        <v>2171</v>
      </c>
      <c r="O693" s="6" t="s">
        <v>204</v>
      </c>
      <c r="P693" s="5" t="s">
        <v>6999</v>
      </c>
      <c r="Q693" s="17" t="s">
        <v>95</v>
      </c>
      <c r="R693" s="5" t="s">
        <v>8059</v>
      </c>
      <c r="S693" s="6" t="s">
        <v>2345</v>
      </c>
      <c r="T693" s="5" t="s">
        <v>2346</v>
      </c>
      <c r="U693" s="6"/>
      <c r="V693" s="6" t="s">
        <v>2347</v>
      </c>
      <c r="W693" s="6" t="s">
        <v>1697</v>
      </c>
      <c r="X693" s="5" t="s">
        <v>415</v>
      </c>
      <c r="Y693" s="5" t="s">
        <v>7134</v>
      </c>
      <c r="Z693" s="5" t="str">
        <f t="shared" si="20"/>
        <v>Low</v>
      </c>
      <c r="AA693" s="5" t="s">
        <v>1302</v>
      </c>
      <c r="AB693" s="6" t="s">
        <v>1355</v>
      </c>
      <c r="AC693" s="6" t="s">
        <v>32</v>
      </c>
      <c r="AD693" s="5" t="s">
        <v>95</v>
      </c>
      <c r="AE693" s="5" t="s">
        <v>1720</v>
      </c>
      <c r="AF693" s="5" t="s">
        <v>1720</v>
      </c>
      <c r="AG693" s="5" t="s">
        <v>1720</v>
      </c>
      <c r="AH693" s="5" t="s">
        <v>1720</v>
      </c>
      <c r="AI693" s="6" t="str">
        <f t="shared" si="21"/>
        <v>No</v>
      </c>
      <c r="AJ693" s="6" t="s">
        <v>229</v>
      </c>
      <c r="AK693" s="6" t="s">
        <v>213</v>
      </c>
      <c r="AL693" s="6">
        <f>MATCH(AA693,{"Low","Medium","High"},0)*MATCH(AB693,{"Low","Medium","High"},0)*INDEX({3,2,2,1,1},MATCH(X693,{"Core","Vertical extension","Differentiator","Future","Adjacent"},0))</f>
        <v>3</v>
      </c>
      <c r="AM693" s="5"/>
      <c r="AN693" s="5"/>
      <c r="AO693" s="5"/>
      <c r="AP693" s="5"/>
      <c r="AQ693" s="5"/>
      <c r="AR693" s="5"/>
      <c r="AS693" s="5"/>
      <c r="AT693" s="5"/>
      <c r="AU693" s="6" t="s">
        <v>2317</v>
      </c>
      <c r="AV693" s="6" t="s">
        <v>3968</v>
      </c>
      <c r="AW693" s="6" t="s">
        <v>3968</v>
      </c>
      <c r="AX693" s="6" t="s">
        <v>7001</v>
      </c>
      <c r="AY693" s="6" t="s">
        <v>2285</v>
      </c>
      <c r="AZ693" s="6"/>
      <c r="BA693" s="6"/>
      <c r="BB693" s="6"/>
      <c r="BC693" s="6" t="s">
        <v>127</v>
      </c>
      <c r="BD693" s="6" t="s">
        <v>127</v>
      </c>
      <c r="BE693" s="6" t="s">
        <v>1477</v>
      </c>
      <c r="BF693" s="6" t="s">
        <v>95</v>
      </c>
      <c r="BG693" s="6" t="s">
        <v>8060</v>
      </c>
      <c r="BH693" s="6" t="s">
        <v>8061</v>
      </c>
    </row>
    <row r="694" spans="1:60" ht="32" customHeight="1" x14ac:dyDescent="0.35">
      <c r="A694" s="13" t="s">
        <v>425</v>
      </c>
      <c r="B694" s="6" t="s">
        <v>7960</v>
      </c>
      <c r="C694" s="5" t="s">
        <v>7961</v>
      </c>
      <c r="D694" s="5" t="s">
        <v>2196</v>
      </c>
      <c r="E694" s="5" t="s">
        <v>426</v>
      </c>
      <c r="F694" s="5" t="s">
        <v>8062</v>
      </c>
      <c r="G694" s="5" t="s">
        <v>8063</v>
      </c>
      <c r="H694" s="5" t="s">
        <v>8064</v>
      </c>
      <c r="I694" s="5" t="s">
        <v>8065</v>
      </c>
      <c r="J694" s="16" t="s">
        <v>94</v>
      </c>
      <c r="K694" s="17" t="s">
        <v>95</v>
      </c>
      <c r="L694" s="5" t="s">
        <v>8066</v>
      </c>
      <c r="M694" s="6" t="s">
        <v>1494</v>
      </c>
      <c r="N694" s="6" t="s">
        <v>2171</v>
      </c>
      <c r="O694" s="6" t="s">
        <v>94</v>
      </c>
      <c r="P694" s="5" t="s">
        <v>2272</v>
      </c>
      <c r="Q694" s="17" t="s">
        <v>95</v>
      </c>
      <c r="R694" s="5" t="s">
        <v>8067</v>
      </c>
      <c r="S694" s="6" t="s">
        <v>2358</v>
      </c>
      <c r="T694" s="5" t="s">
        <v>2359</v>
      </c>
      <c r="U694" s="6"/>
      <c r="V694" s="6" t="s">
        <v>2360</v>
      </c>
      <c r="W694" s="6" t="s">
        <v>1703</v>
      </c>
      <c r="X694" s="5" t="s">
        <v>415</v>
      </c>
      <c r="Y694" s="5" t="s">
        <v>7134</v>
      </c>
      <c r="Z694" s="5" t="str">
        <f t="shared" si="20"/>
        <v>Low</v>
      </c>
      <c r="AA694" s="5" t="s">
        <v>1302</v>
      </c>
      <c r="AB694" s="6" t="s">
        <v>1355</v>
      </c>
      <c r="AC694" s="6" t="s">
        <v>32</v>
      </c>
      <c r="AD694" s="5" t="s">
        <v>95</v>
      </c>
      <c r="AE694" s="5" t="s">
        <v>1720</v>
      </c>
      <c r="AF694" s="5" t="s">
        <v>1720</v>
      </c>
      <c r="AG694" s="5" t="s">
        <v>1720</v>
      </c>
      <c r="AH694" s="5" t="s">
        <v>1720</v>
      </c>
      <c r="AI694" s="6" t="str">
        <f t="shared" si="21"/>
        <v>No</v>
      </c>
      <c r="AJ694" s="6" t="s">
        <v>229</v>
      </c>
      <c r="AK694" s="6" t="s">
        <v>94</v>
      </c>
      <c r="AL694" s="6">
        <f>MATCH(AA694,{"Low","Medium","High"},0)*MATCH(AB694,{"Low","Medium","High"},0)*INDEX({3,2,2,1,1},MATCH(X694,{"Core","Vertical extension","Differentiator","Future","Adjacent"},0))</f>
        <v>3</v>
      </c>
      <c r="AM694" s="5"/>
      <c r="AN694" s="5"/>
      <c r="AO694" s="5">
        <v>10</v>
      </c>
      <c r="AP694" s="5"/>
      <c r="AQ694" s="5"/>
      <c r="AR694" s="5" t="s">
        <v>8068</v>
      </c>
      <c r="AS694" s="51">
        <v>46300</v>
      </c>
      <c r="AT694" s="5" t="s">
        <v>2760</v>
      </c>
      <c r="AU694" s="6" t="s">
        <v>95</v>
      </c>
      <c r="AV694" s="6" t="s">
        <v>3968</v>
      </c>
      <c r="AW694" s="6" t="s">
        <v>3968</v>
      </c>
      <c r="AX694" s="6" t="s">
        <v>2284</v>
      </c>
      <c r="AY694" s="6" t="s">
        <v>2285</v>
      </c>
      <c r="AZ694" s="6"/>
      <c r="BA694" s="6" t="s">
        <v>8069</v>
      </c>
      <c r="BB694" s="6"/>
      <c r="BC694" s="6" t="s">
        <v>127</v>
      </c>
      <c r="BD694" s="6" t="s">
        <v>127</v>
      </c>
      <c r="BE694" s="6" t="s">
        <v>1477</v>
      </c>
      <c r="BF694" s="6" t="s">
        <v>95</v>
      </c>
      <c r="BG694" s="6" t="s">
        <v>8070</v>
      </c>
      <c r="BH694" s="6" t="s">
        <v>427</v>
      </c>
    </row>
    <row r="695" spans="1:60" ht="32" customHeight="1" x14ac:dyDescent="0.35">
      <c r="A695" s="13" t="s">
        <v>8071</v>
      </c>
      <c r="B695" s="6" t="s">
        <v>7960</v>
      </c>
      <c r="C695" s="5" t="s">
        <v>7961</v>
      </c>
      <c r="D695" s="5" t="s">
        <v>2196</v>
      </c>
      <c r="E695" s="5" t="s">
        <v>8072</v>
      </c>
      <c r="F695" s="5" t="s">
        <v>8073</v>
      </c>
      <c r="G695" s="5" t="s">
        <v>3209</v>
      </c>
      <c r="H695" s="5" t="s">
        <v>8074</v>
      </c>
      <c r="I695" s="5" t="s">
        <v>8075</v>
      </c>
      <c r="J695" s="17" t="s">
        <v>162</v>
      </c>
      <c r="K695" s="17" t="s">
        <v>95</v>
      </c>
      <c r="L695" s="5" t="s">
        <v>8076</v>
      </c>
      <c r="M695" s="6" t="s">
        <v>1494</v>
      </c>
      <c r="N695" s="6" t="s">
        <v>2171</v>
      </c>
      <c r="O695" s="6" t="s">
        <v>162</v>
      </c>
      <c r="P695" s="5" t="s">
        <v>2272</v>
      </c>
      <c r="Q695" s="17" t="s">
        <v>95</v>
      </c>
      <c r="R695" s="5" t="s">
        <v>8077</v>
      </c>
      <c r="S695" s="6" t="s">
        <v>2358</v>
      </c>
      <c r="T695" s="5" t="s">
        <v>2359</v>
      </c>
      <c r="U695" s="6"/>
      <c r="V695" s="6" t="s">
        <v>2360</v>
      </c>
      <c r="W695" s="6" t="s">
        <v>1703</v>
      </c>
      <c r="X695" s="5" t="s">
        <v>415</v>
      </c>
      <c r="Y695" s="5" t="s">
        <v>7134</v>
      </c>
      <c r="Z695" s="5" t="str">
        <f t="shared" si="20"/>
        <v>Low</v>
      </c>
      <c r="AA695" s="5" t="s">
        <v>1319</v>
      </c>
      <c r="AB695" s="6" t="s">
        <v>1355</v>
      </c>
      <c r="AC695" s="6" t="s">
        <v>32</v>
      </c>
      <c r="AD695" s="5" t="s">
        <v>95</v>
      </c>
      <c r="AE695" s="5" t="s">
        <v>1720</v>
      </c>
      <c r="AF695" s="5" t="s">
        <v>1720</v>
      </c>
      <c r="AG695" s="5" t="s">
        <v>1720</v>
      </c>
      <c r="AH695" s="5" t="s">
        <v>1720</v>
      </c>
      <c r="AI695" s="6" t="str">
        <f t="shared" si="21"/>
        <v>No</v>
      </c>
      <c r="AJ695" s="6" t="s">
        <v>229</v>
      </c>
      <c r="AK695" s="6" t="s">
        <v>204</v>
      </c>
      <c r="AL695" s="6">
        <f>MATCH(AA695,{"Low","Medium","High"},0)*MATCH(AB695,{"Low","Medium","High"},0)*INDEX({3,2,2,1,1},MATCH(X695,{"Core","Vertical extension","Differentiator","Future","Adjacent"},0))</f>
        <v>2</v>
      </c>
      <c r="AM695" s="5"/>
      <c r="AN695" s="5"/>
      <c r="AO695" s="5"/>
      <c r="AP695" s="5"/>
      <c r="AQ695" s="5"/>
      <c r="AR695" s="5"/>
      <c r="AS695" s="5"/>
      <c r="AT695" s="5"/>
      <c r="AU695" s="6" t="s">
        <v>2317</v>
      </c>
      <c r="AV695" s="6" t="s">
        <v>3968</v>
      </c>
      <c r="AW695" s="6" t="s">
        <v>3968</v>
      </c>
      <c r="AX695" s="6" t="s">
        <v>2284</v>
      </c>
      <c r="AY695" s="6" t="s">
        <v>2285</v>
      </c>
      <c r="AZ695" s="6"/>
      <c r="BA695" s="6"/>
      <c r="BB695" s="6"/>
      <c r="BC695" s="6" t="s">
        <v>127</v>
      </c>
      <c r="BD695" s="6" t="s">
        <v>127</v>
      </c>
      <c r="BE695" s="6" t="s">
        <v>1477</v>
      </c>
      <c r="BF695" s="6" t="s">
        <v>95</v>
      </c>
      <c r="BG695" s="6" t="s">
        <v>8078</v>
      </c>
      <c r="BH695" s="6" t="s">
        <v>8079</v>
      </c>
    </row>
    <row r="696" spans="1:60" ht="32" customHeight="1" x14ac:dyDescent="0.35">
      <c r="A696" s="13" t="s">
        <v>8080</v>
      </c>
      <c r="B696" s="6" t="s">
        <v>7960</v>
      </c>
      <c r="C696" s="5" t="s">
        <v>7961</v>
      </c>
      <c r="D696" s="5" t="s">
        <v>2189</v>
      </c>
      <c r="E696" s="5" t="s">
        <v>8081</v>
      </c>
      <c r="F696" s="5" t="s">
        <v>8082</v>
      </c>
      <c r="G696" s="5" t="s">
        <v>2813</v>
      </c>
      <c r="H696" s="5" t="s">
        <v>8083</v>
      </c>
      <c r="I696" s="5" t="s">
        <v>8084</v>
      </c>
      <c r="J696" s="17" t="s">
        <v>162</v>
      </c>
      <c r="K696" s="17" t="s">
        <v>1477</v>
      </c>
      <c r="L696" s="5" t="s">
        <v>8085</v>
      </c>
      <c r="M696" s="6" t="s">
        <v>1494</v>
      </c>
      <c r="N696" s="6" t="s">
        <v>2171</v>
      </c>
      <c r="O696" s="6" t="s">
        <v>162</v>
      </c>
      <c r="P696" s="5" t="s">
        <v>8086</v>
      </c>
      <c r="Q696" s="18" t="s">
        <v>1482</v>
      </c>
      <c r="R696" s="5" t="s">
        <v>8087</v>
      </c>
      <c r="S696" s="6" t="s">
        <v>2325</v>
      </c>
      <c r="T696" s="5" t="s">
        <v>2326</v>
      </c>
      <c r="U696" s="6"/>
      <c r="V696" s="6" t="s">
        <v>2327</v>
      </c>
      <c r="W696" s="6" t="s">
        <v>1699</v>
      </c>
      <c r="X696" s="5" t="s">
        <v>415</v>
      </c>
      <c r="Y696" s="5" t="s">
        <v>7134</v>
      </c>
      <c r="Z696" s="5" t="str">
        <f t="shared" si="20"/>
        <v>Low</v>
      </c>
      <c r="AA696" s="5" t="s">
        <v>1319</v>
      </c>
      <c r="AB696" s="6" t="s">
        <v>1355</v>
      </c>
      <c r="AC696" s="6" t="s">
        <v>32</v>
      </c>
      <c r="AD696" s="5" t="s">
        <v>2278</v>
      </c>
      <c r="AE696" s="5" t="s">
        <v>1720</v>
      </c>
      <c r="AF696" s="5" t="s">
        <v>1720</v>
      </c>
      <c r="AG696" s="5" t="s">
        <v>1720</v>
      </c>
      <c r="AH696" s="5" t="s">
        <v>1720</v>
      </c>
      <c r="AI696" s="6" t="str">
        <f t="shared" si="21"/>
        <v>No</v>
      </c>
      <c r="AJ696" s="6" t="s">
        <v>2298</v>
      </c>
      <c r="AK696" s="6" t="s">
        <v>204</v>
      </c>
      <c r="AL696" s="6">
        <f>MATCH(AA696,{"Low","Medium","High"},0)*MATCH(AB696,{"Low","Medium","High"},0)*INDEX({3,2,2,1,1},MATCH(X696,{"Core","Vertical extension","Differentiator","Future","Adjacent"},0))</f>
        <v>2</v>
      </c>
      <c r="AM696" s="5"/>
      <c r="AN696" s="5"/>
      <c r="AO696" s="5"/>
      <c r="AP696" s="5"/>
      <c r="AQ696" s="5"/>
      <c r="AR696" s="5"/>
      <c r="AS696" s="5"/>
      <c r="AT696" s="5"/>
      <c r="AU696" s="6" t="s">
        <v>2317</v>
      </c>
      <c r="AV696" s="6" t="s">
        <v>3968</v>
      </c>
      <c r="AW696" s="6" t="s">
        <v>3968</v>
      </c>
      <c r="AX696" s="6" t="s">
        <v>2374</v>
      </c>
      <c r="AY696" s="6" t="s">
        <v>2285</v>
      </c>
      <c r="AZ696" s="6"/>
      <c r="BA696" s="6"/>
      <c r="BB696" s="6"/>
      <c r="BC696" s="6" t="s">
        <v>127</v>
      </c>
      <c r="BD696" s="6" t="s">
        <v>127</v>
      </c>
      <c r="BE696" s="6"/>
      <c r="BF696" s="6"/>
      <c r="BG696" s="6"/>
      <c r="BH696" s="6"/>
    </row>
    <row r="697" spans="1:60" ht="32" customHeight="1" x14ac:dyDescent="0.35">
      <c r="A697" s="13" t="s">
        <v>8088</v>
      </c>
      <c r="B697" s="6" t="s">
        <v>7960</v>
      </c>
      <c r="C697" s="5" t="s">
        <v>7961</v>
      </c>
      <c r="D697" s="5" t="s">
        <v>2201</v>
      </c>
      <c r="E697" s="5" t="s">
        <v>8089</v>
      </c>
      <c r="F697" s="5" t="s">
        <v>8090</v>
      </c>
      <c r="G697" s="5" t="s">
        <v>3036</v>
      </c>
      <c r="H697" s="5" t="s">
        <v>8091</v>
      </c>
      <c r="I697" s="5" t="s">
        <v>8092</v>
      </c>
      <c r="J697" s="21" t="s">
        <v>213</v>
      </c>
      <c r="K697" s="17" t="s">
        <v>163</v>
      </c>
      <c r="L697" s="5" t="s">
        <v>8093</v>
      </c>
      <c r="M697" s="6" t="s">
        <v>1494</v>
      </c>
      <c r="N697" s="6" t="s">
        <v>2171</v>
      </c>
      <c r="O697" s="6" t="s">
        <v>204</v>
      </c>
      <c r="P697" s="5" t="s">
        <v>6999</v>
      </c>
      <c r="Q697" s="17" t="s">
        <v>163</v>
      </c>
      <c r="R697" s="5" t="s">
        <v>8094</v>
      </c>
      <c r="S697" s="6" t="s">
        <v>6358</v>
      </c>
      <c r="T697" s="5" t="s">
        <v>6359</v>
      </c>
      <c r="U697" s="6"/>
      <c r="V697" s="6" t="s">
        <v>2277</v>
      </c>
      <c r="W697" s="6" t="s">
        <v>1697</v>
      </c>
      <c r="X697" s="5" t="s">
        <v>415</v>
      </c>
      <c r="Y697" s="5" t="s">
        <v>7134</v>
      </c>
      <c r="Z697" s="5" t="str">
        <f t="shared" si="20"/>
        <v>Low</v>
      </c>
      <c r="AA697" s="5" t="s">
        <v>1355</v>
      </c>
      <c r="AB697" s="6" t="s">
        <v>1355</v>
      </c>
      <c r="AC697" s="6" t="s">
        <v>32</v>
      </c>
      <c r="AD697" s="5" t="s">
        <v>1805</v>
      </c>
      <c r="AE697" s="5" t="s">
        <v>1720</v>
      </c>
      <c r="AF697" s="5" t="s">
        <v>1720</v>
      </c>
      <c r="AG697" s="5" t="s">
        <v>1720</v>
      </c>
      <c r="AH697" s="5" t="s">
        <v>1720</v>
      </c>
      <c r="AI697" s="6" t="str">
        <f t="shared" si="21"/>
        <v>No</v>
      </c>
      <c r="AJ697" s="6" t="s">
        <v>287</v>
      </c>
      <c r="AK697" s="6" t="s">
        <v>213</v>
      </c>
      <c r="AL697" s="6">
        <f>MATCH(AA697,{"Low","Medium","High"},0)*MATCH(AB697,{"Low","Medium","High"},0)*INDEX({3,2,2,1,1},MATCH(X697,{"Core","Vertical extension","Differentiator","Future","Adjacent"},0))</f>
        <v>1</v>
      </c>
      <c r="AM697" s="5"/>
      <c r="AN697" s="5"/>
      <c r="AO697" s="5"/>
      <c r="AP697" s="5"/>
      <c r="AQ697" s="5"/>
      <c r="AR697" s="5"/>
      <c r="AS697" s="5"/>
      <c r="AT697" s="5"/>
      <c r="AU697" s="6" t="s">
        <v>2317</v>
      </c>
      <c r="AV697" s="6" t="s">
        <v>3968</v>
      </c>
      <c r="AW697" s="6" t="s">
        <v>3968</v>
      </c>
      <c r="AX697" s="6" t="s">
        <v>7001</v>
      </c>
      <c r="AY697" s="6" t="s">
        <v>2285</v>
      </c>
      <c r="AZ697" s="6"/>
      <c r="BA697" s="6"/>
      <c r="BB697" s="6"/>
      <c r="BC697" s="6" t="s">
        <v>127</v>
      </c>
      <c r="BD697" s="6" t="s">
        <v>127</v>
      </c>
      <c r="BE697" s="6" t="s">
        <v>1477</v>
      </c>
      <c r="BF697" s="6" t="s">
        <v>288</v>
      </c>
      <c r="BG697" s="6" t="s">
        <v>8095</v>
      </c>
      <c r="BH697" s="6" t="s">
        <v>8096</v>
      </c>
    </row>
    <row r="698" spans="1:60" ht="32" customHeight="1" x14ac:dyDescent="0.35">
      <c r="A698" s="13" t="s">
        <v>8097</v>
      </c>
      <c r="B698" s="6" t="s">
        <v>7960</v>
      </c>
      <c r="C698" s="5" t="s">
        <v>7961</v>
      </c>
      <c r="D698" s="5" t="s">
        <v>2191</v>
      </c>
      <c r="E698" s="5" t="s">
        <v>8098</v>
      </c>
      <c r="F698" s="5" t="s">
        <v>8099</v>
      </c>
      <c r="G698" s="5" t="s">
        <v>8100</v>
      </c>
      <c r="H698" s="5" t="s">
        <v>8101</v>
      </c>
      <c r="I698" s="5" t="s">
        <v>8102</v>
      </c>
      <c r="J698" s="17" t="s">
        <v>162</v>
      </c>
      <c r="K698" s="17" t="s">
        <v>95</v>
      </c>
      <c r="L698" s="5" t="s">
        <v>8103</v>
      </c>
      <c r="M698" s="6" t="s">
        <v>1494</v>
      </c>
      <c r="N698" s="6" t="s">
        <v>2171</v>
      </c>
      <c r="O698" s="6" t="s">
        <v>162</v>
      </c>
      <c r="P698" s="5" t="s">
        <v>2272</v>
      </c>
      <c r="Q698" s="17" t="s">
        <v>95</v>
      </c>
      <c r="R698" s="5" t="s">
        <v>8104</v>
      </c>
      <c r="S698" s="6" t="s">
        <v>2275</v>
      </c>
      <c r="T698" s="5" t="s">
        <v>2276</v>
      </c>
      <c r="U698" s="6"/>
      <c r="V698" s="6" t="s">
        <v>2277</v>
      </c>
      <c r="W698" s="6" t="s">
        <v>1697</v>
      </c>
      <c r="X698" s="5" t="s">
        <v>415</v>
      </c>
      <c r="Y698" s="5" t="s">
        <v>7134</v>
      </c>
      <c r="Z698" s="5" t="str">
        <f t="shared" si="20"/>
        <v>Low</v>
      </c>
      <c r="AA698" s="5" t="s">
        <v>1319</v>
      </c>
      <c r="AB698" s="6" t="s">
        <v>1355</v>
      </c>
      <c r="AC698" s="6" t="s">
        <v>32</v>
      </c>
      <c r="AD698" s="5" t="s">
        <v>95</v>
      </c>
      <c r="AE698" s="5" t="s">
        <v>1720</v>
      </c>
      <c r="AF698" s="5" t="s">
        <v>1720</v>
      </c>
      <c r="AG698" s="5" t="s">
        <v>1720</v>
      </c>
      <c r="AH698" s="5" t="s">
        <v>1720</v>
      </c>
      <c r="AI698" s="6" t="str">
        <f t="shared" si="21"/>
        <v>No</v>
      </c>
      <c r="AJ698" s="6" t="s">
        <v>229</v>
      </c>
      <c r="AK698" s="6" t="s">
        <v>204</v>
      </c>
      <c r="AL698" s="6">
        <f>MATCH(AA698,{"Low","Medium","High"},0)*MATCH(AB698,{"Low","Medium","High"},0)*INDEX({3,2,2,1,1},MATCH(X698,{"Core","Vertical extension","Differentiator","Future","Adjacent"},0))</f>
        <v>2</v>
      </c>
      <c r="AM698" s="5"/>
      <c r="AN698" s="5"/>
      <c r="AO698" s="5"/>
      <c r="AP698" s="5"/>
      <c r="AQ698" s="5"/>
      <c r="AR698" s="5"/>
      <c r="AS698" s="5"/>
      <c r="AT698" s="5"/>
      <c r="AU698" s="6" t="s">
        <v>2317</v>
      </c>
      <c r="AV698" s="6" t="s">
        <v>74</v>
      </c>
      <c r="AW698" s="6" t="s">
        <v>74</v>
      </c>
      <c r="AX698" s="6" t="s">
        <v>2284</v>
      </c>
      <c r="AY698" s="6" t="s">
        <v>2285</v>
      </c>
      <c r="AZ698" s="6"/>
      <c r="BA698" s="6"/>
      <c r="BB698" s="6"/>
      <c r="BC698" s="6" t="s">
        <v>127</v>
      </c>
      <c r="BD698" s="6" t="s">
        <v>127</v>
      </c>
      <c r="BE698" s="6" t="s">
        <v>1477</v>
      </c>
      <c r="BF698" s="6" t="s">
        <v>95</v>
      </c>
      <c r="BG698" s="6" t="s">
        <v>3693</v>
      </c>
      <c r="BH698" s="6" t="s">
        <v>8105</v>
      </c>
    </row>
    <row r="699" spans="1:60" ht="32" customHeight="1" x14ac:dyDescent="0.35">
      <c r="A699" s="13" t="s">
        <v>8106</v>
      </c>
      <c r="B699" s="6" t="s">
        <v>7960</v>
      </c>
      <c r="C699" s="5" t="s">
        <v>7961</v>
      </c>
      <c r="D699" s="5" t="s">
        <v>2185</v>
      </c>
      <c r="E699" s="5" t="s">
        <v>8107</v>
      </c>
      <c r="F699" s="5" t="s">
        <v>8108</v>
      </c>
      <c r="G699" s="5" t="s">
        <v>4582</v>
      </c>
      <c r="H699" s="5" t="s">
        <v>8109</v>
      </c>
      <c r="I699" s="5" t="s">
        <v>8110</v>
      </c>
      <c r="J699" s="17" t="s">
        <v>162</v>
      </c>
      <c r="K699" s="17" t="s">
        <v>95</v>
      </c>
      <c r="L699" s="5" t="s">
        <v>8111</v>
      </c>
      <c r="M699" s="6" t="s">
        <v>1494</v>
      </c>
      <c r="N699" s="6" t="s">
        <v>2171</v>
      </c>
      <c r="O699" s="6" t="s">
        <v>162</v>
      </c>
      <c r="P699" s="5" t="s">
        <v>2272</v>
      </c>
      <c r="Q699" s="17" t="s">
        <v>95</v>
      </c>
      <c r="R699" s="5" t="s">
        <v>8112</v>
      </c>
      <c r="S699" s="6" t="s">
        <v>2409</v>
      </c>
      <c r="T699" s="5" t="s">
        <v>2185</v>
      </c>
      <c r="U699" s="6"/>
      <c r="V699" s="6" t="s">
        <v>2373</v>
      </c>
      <c r="W699" s="6" t="s">
        <v>1699</v>
      </c>
      <c r="X699" s="5" t="s">
        <v>415</v>
      </c>
      <c r="Y699" s="5" t="s">
        <v>7134</v>
      </c>
      <c r="Z699" s="5" t="str">
        <f t="shared" si="20"/>
        <v>Medium</v>
      </c>
      <c r="AA699" s="5" t="s">
        <v>1319</v>
      </c>
      <c r="AB699" s="6" t="s">
        <v>1319</v>
      </c>
      <c r="AC699" s="6" t="s">
        <v>32</v>
      </c>
      <c r="AD699" s="5" t="s">
        <v>95</v>
      </c>
      <c r="AE699" s="5" t="s">
        <v>1720</v>
      </c>
      <c r="AF699" s="5" t="s">
        <v>1720</v>
      </c>
      <c r="AG699" s="5" t="s">
        <v>1720</v>
      </c>
      <c r="AH699" s="5" t="s">
        <v>1720</v>
      </c>
      <c r="AI699" s="6" t="str">
        <f t="shared" si="21"/>
        <v>No</v>
      </c>
      <c r="AJ699" s="6" t="s">
        <v>229</v>
      </c>
      <c r="AK699" s="6" t="s">
        <v>204</v>
      </c>
      <c r="AL699" s="6">
        <f>MATCH(AA699,{"Low","Medium","High"},0)*MATCH(AB699,{"Low","Medium","High"},0)*INDEX({3,2,2,1,1},MATCH(X699,{"Core","Vertical extension","Differentiator","Future","Adjacent"},0))</f>
        <v>4</v>
      </c>
      <c r="AM699" s="5"/>
      <c r="AN699" s="5"/>
      <c r="AO699" s="5"/>
      <c r="AP699" s="5"/>
      <c r="AQ699" s="5"/>
      <c r="AR699" s="5"/>
      <c r="AS699" s="5"/>
      <c r="AT699" s="5"/>
      <c r="AU699" s="6" t="s">
        <v>2317</v>
      </c>
      <c r="AV699" s="6" t="s">
        <v>3968</v>
      </c>
      <c r="AW699" s="6" t="s">
        <v>3968</v>
      </c>
      <c r="AX699" s="6" t="s">
        <v>2284</v>
      </c>
      <c r="AY699" s="6" t="s">
        <v>2411</v>
      </c>
      <c r="AZ699" s="6"/>
      <c r="BA699" s="6"/>
      <c r="BB699" s="6"/>
      <c r="BC699" s="6" t="s">
        <v>127</v>
      </c>
      <c r="BD699" s="6" t="s">
        <v>127</v>
      </c>
      <c r="BE699" s="6" t="s">
        <v>1477</v>
      </c>
      <c r="BF699" s="6" t="s">
        <v>95</v>
      </c>
      <c r="BG699" s="6" t="s">
        <v>4489</v>
      </c>
      <c r="BH699" s="6" t="s">
        <v>8113</v>
      </c>
    </row>
    <row r="700" spans="1:60" ht="32" customHeight="1" x14ac:dyDescent="0.35">
      <c r="A700" s="13" t="s">
        <v>8114</v>
      </c>
      <c r="B700" s="6" t="s">
        <v>7960</v>
      </c>
      <c r="C700" s="5" t="s">
        <v>7961</v>
      </c>
      <c r="D700" s="5" t="s">
        <v>2189</v>
      </c>
      <c r="E700" s="5" t="s">
        <v>8115</v>
      </c>
      <c r="F700" s="5" t="s">
        <v>8116</v>
      </c>
      <c r="G700" s="5" t="s">
        <v>2798</v>
      </c>
      <c r="H700" s="5" t="s">
        <v>8117</v>
      </c>
      <c r="I700" s="5" t="s">
        <v>8118</v>
      </c>
      <c r="J700" s="21" t="s">
        <v>213</v>
      </c>
      <c r="K700" s="17" t="s">
        <v>95</v>
      </c>
      <c r="L700" s="5" t="s">
        <v>8119</v>
      </c>
      <c r="M700" s="6" t="s">
        <v>1494</v>
      </c>
      <c r="N700" s="6" t="s">
        <v>2171</v>
      </c>
      <c r="O700" s="6" t="s">
        <v>204</v>
      </c>
      <c r="P700" s="5" t="s">
        <v>6999</v>
      </c>
      <c r="Q700" s="17" t="s">
        <v>95</v>
      </c>
      <c r="R700" s="5" t="s">
        <v>8120</v>
      </c>
      <c r="S700" s="6" t="s">
        <v>2325</v>
      </c>
      <c r="T700" s="5" t="s">
        <v>2326</v>
      </c>
      <c r="U700" s="6"/>
      <c r="V700" s="6" t="s">
        <v>2327</v>
      </c>
      <c r="W700" s="6" t="s">
        <v>1699</v>
      </c>
      <c r="X700" s="5" t="s">
        <v>415</v>
      </c>
      <c r="Y700" s="5" t="s">
        <v>7134</v>
      </c>
      <c r="Z700" s="5" t="str">
        <f t="shared" si="20"/>
        <v>Low</v>
      </c>
      <c r="AA700" s="5" t="s">
        <v>1355</v>
      </c>
      <c r="AB700" s="6" t="s">
        <v>1355</v>
      </c>
      <c r="AC700" s="6" t="s">
        <v>32</v>
      </c>
      <c r="AD700" s="5" t="s">
        <v>95</v>
      </c>
      <c r="AE700" s="5" t="s">
        <v>1720</v>
      </c>
      <c r="AF700" s="5" t="s">
        <v>1720</v>
      </c>
      <c r="AG700" s="5" t="s">
        <v>1720</v>
      </c>
      <c r="AH700" s="5" t="s">
        <v>1720</v>
      </c>
      <c r="AI700" s="6" t="str">
        <f t="shared" si="21"/>
        <v>No</v>
      </c>
      <c r="AJ700" s="6" t="s">
        <v>229</v>
      </c>
      <c r="AK700" s="6" t="s">
        <v>213</v>
      </c>
      <c r="AL700" s="6">
        <f>MATCH(AA700,{"Low","Medium","High"},0)*MATCH(AB700,{"Low","Medium","High"},0)*INDEX({3,2,2,1,1},MATCH(X700,{"Core","Vertical extension","Differentiator","Future","Adjacent"},0))</f>
        <v>1</v>
      </c>
      <c r="AM700" s="5"/>
      <c r="AN700" s="5"/>
      <c r="AO700" s="5"/>
      <c r="AP700" s="5"/>
      <c r="AQ700" s="5"/>
      <c r="AR700" s="5"/>
      <c r="AS700" s="5"/>
      <c r="AT700" s="5"/>
      <c r="AU700" s="6" t="s">
        <v>2317</v>
      </c>
      <c r="AV700" s="6" t="s">
        <v>3968</v>
      </c>
      <c r="AW700" s="6" t="s">
        <v>3968</v>
      </c>
      <c r="AX700" s="6" t="s">
        <v>7001</v>
      </c>
      <c r="AY700" s="6" t="s">
        <v>2285</v>
      </c>
      <c r="AZ700" s="6"/>
      <c r="BA700" s="6"/>
      <c r="BB700" s="6"/>
      <c r="BC700" s="6" t="s">
        <v>127</v>
      </c>
      <c r="BD700" s="6" t="s">
        <v>127</v>
      </c>
      <c r="BE700" s="6" t="s">
        <v>1477</v>
      </c>
      <c r="BF700" s="6" t="s">
        <v>95</v>
      </c>
      <c r="BG700" s="6" t="s">
        <v>5298</v>
      </c>
      <c r="BH700" s="6" t="s">
        <v>8121</v>
      </c>
    </row>
    <row r="701" spans="1:60" ht="32" customHeight="1" x14ac:dyDescent="0.35">
      <c r="A701" s="13" t="s">
        <v>8122</v>
      </c>
      <c r="B701" s="6" t="s">
        <v>7960</v>
      </c>
      <c r="C701" s="5" t="s">
        <v>7961</v>
      </c>
      <c r="D701" s="5" t="s">
        <v>2198</v>
      </c>
      <c r="E701" s="5" t="s">
        <v>8123</v>
      </c>
      <c r="F701" s="5" t="s">
        <v>8124</v>
      </c>
      <c r="G701" s="5" t="s">
        <v>8125</v>
      </c>
      <c r="H701" s="5" t="s">
        <v>8126</v>
      </c>
      <c r="I701" s="5" t="s">
        <v>8127</v>
      </c>
      <c r="J701" s="21" t="s">
        <v>213</v>
      </c>
      <c r="K701" s="17" t="s">
        <v>163</v>
      </c>
      <c r="L701" s="5" t="s">
        <v>8128</v>
      </c>
      <c r="M701" s="6" t="s">
        <v>1494</v>
      </c>
      <c r="N701" s="6" t="s">
        <v>2171</v>
      </c>
      <c r="O701" s="6" t="s">
        <v>204</v>
      </c>
      <c r="P701" s="5" t="s">
        <v>6999</v>
      </c>
      <c r="Q701" s="17" t="s">
        <v>163</v>
      </c>
      <c r="R701" s="5" t="s">
        <v>8129</v>
      </c>
      <c r="S701" s="6" t="s">
        <v>2401</v>
      </c>
      <c r="T701" s="5" t="s">
        <v>2402</v>
      </c>
      <c r="U701" s="6"/>
      <c r="V701" s="6" t="s">
        <v>2403</v>
      </c>
      <c r="W701" s="6" t="s">
        <v>1703</v>
      </c>
      <c r="X701" s="5" t="s">
        <v>415</v>
      </c>
      <c r="Y701" s="5" t="s">
        <v>7134</v>
      </c>
      <c r="Z701" s="5" t="str">
        <f t="shared" si="20"/>
        <v>Low</v>
      </c>
      <c r="AA701" s="5" t="s">
        <v>1355</v>
      </c>
      <c r="AB701" s="6" t="s">
        <v>1355</v>
      </c>
      <c r="AC701" s="6" t="s">
        <v>32</v>
      </c>
      <c r="AD701" s="5" t="s">
        <v>1805</v>
      </c>
      <c r="AE701" s="5" t="s">
        <v>1720</v>
      </c>
      <c r="AF701" s="5" t="s">
        <v>1720</v>
      </c>
      <c r="AG701" s="5" t="s">
        <v>1720</v>
      </c>
      <c r="AH701" s="5" t="s">
        <v>1720</v>
      </c>
      <c r="AI701" s="6" t="str">
        <f t="shared" si="21"/>
        <v>No</v>
      </c>
      <c r="AJ701" s="6" t="s">
        <v>287</v>
      </c>
      <c r="AK701" s="6" t="s">
        <v>213</v>
      </c>
      <c r="AL701" s="6">
        <f>MATCH(AA701,{"Low","Medium","High"},0)*MATCH(AB701,{"Low","Medium","High"},0)*INDEX({3,2,2,1,1},MATCH(X701,{"Core","Vertical extension","Differentiator","Future","Adjacent"},0))</f>
        <v>1</v>
      </c>
      <c r="AM701" s="5"/>
      <c r="AN701" s="5"/>
      <c r="AO701" s="5"/>
      <c r="AP701" s="5"/>
      <c r="AQ701" s="5"/>
      <c r="AR701" s="5"/>
      <c r="AS701" s="5"/>
      <c r="AT701" s="5"/>
      <c r="AU701" s="6" t="s">
        <v>2317</v>
      </c>
      <c r="AV701" s="6" t="s">
        <v>3968</v>
      </c>
      <c r="AW701" s="6" t="s">
        <v>3968</v>
      </c>
      <c r="AX701" s="6" t="s">
        <v>7001</v>
      </c>
      <c r="AY701" s="6" t="s">
        <v>2285</v>
      </c>
      <c r="AZ701" s="6"/>
      <c r="BA701" s="6"/>
      <c r="BB701" s="6"/>
      <c r="BC701" s="6" t="s">
        <v>127</v>
      </c>
      <c r="BD701" s="6" t="s">
        <v>127</v>
      </c>
      <c r="BE701" s="6" t="s">
        <v>1477</v>
      </c>
      <c r="BF701" s="6" t="s">
        <v>288</v>
      </c>
      <c r="BG701" s="6" t="s">
        <v>8130</v>
      </c>
      <c r="BH701" s="6" t="s">
        <v>8131</v>
      </c>
    </row>
    <row r="702" spans="1:60" ht="32" customHeight="1" x14ac:dyDescent="0.35">
      <c r="A702" s="13" t="s">
        <v>8132</v>
      </c>
      <c r="B702" s="6" t="s">
        <v>3901</v>
      </c>
      <c r="C702" s="5" t="s">
        <v>1652</v>
      </c>
      <c r="D702" s="5" t="s">
        <v>2191</v>
      </c>
      <c r="E702" s="5" t="s">
        <v>8133</v>
      </c>
      <c r="F702" s="5" t="s">
        <v>8134</v>
      </c>
      <c r="G702" s="5" t="s">
        <v>2396</v>
      </c>
      <c r="H702" s="5" t="s">
        <v>8135</v>
      </c>
      <c r="I702" s="5" t="s">
        <v>8136</v>
      </c>
      <c r="J702" s="16" t="s">
        <v>94</v>
      </c>
      <c r="K702" s="17" t="s">
        <v>1477</v>
      </c>
      <c r="L702" s="5" t="s">
        <v>8137</v>
      </c>
      <c r="M702" s="6" t="s">
        <v>1494</v>
      </c>
      <c r="N702" s="6" t="s">
        <v>2170</v>
      </c>
      <c r="O702" s="6" t="s">
        <v>94</v>
      </c>
      <c r="P702" s="5" t="s">
        <v>2272</v>
      </c>
      <c r="Q702" s="18" t="s">
        <v>1482</v>
      </c>
      <c r="R702" s="5" t="s">
        <v>2648</v>
      </c>
      <c r="S702" s="6" t="s">
        <v>2275</v>
      </c>
      <c r="T702" s="5" t="s">
        <v>2276</v>
      </c>
      <c r="U702" s="6"/>
      <c r="V702" s="6" t="s">
        <v>2277</v>
      </c>
      <c r="W702" s="6" t="s">
        <v>1697</v>
      </c>
      <c r="X702" s="5" t="s">
        <v>228</v>
      </c>
      <c r="Y702" s="5" t="s">
        <v>2170</v>
      </c>
      <c r="Z702" s="5" t="str">
        <f t="shared" si="20"/>
        <v>High</v>
      </c>
      <c r="AA702" s="5" t="s">
        <v>1302</v>
      </c>
      <c r="AB702" s="6" t="s">
        <v>1355</v>
      </c>
      <c r="AC702" s="6" t="s">
        <v>99</v>
      </c>
      <c r="AD702" s="5" t="s">
        <v>2278</v>
      </c>
      <c r="AE702" s="5" t="s">
        <v>1720</v>
      </c>
      <c r="AF702" s="5" t="s">
        <v>1720</v>
      </c>
      <c r="AG702" s="5" t="s">
        <v>1720</v>
      </c>
      <c r="AH702" s="5" t="s">
        <v>1720</v>
      </c>
      <c r="AI702" s="6" t="str">
        <f t="shared" si="21"/>
        <v>No</v>
      </c>
      <c r="AJ702" s="6" t="s">
        <v>2279</v>
      </c>
      <c r="AK702" s="6" t="s">
        <v>94</v>
      </c>
      <c r="AL702" s="6">
        <f>MATCH(AA702,{"Low","Medium","High"},0)*MATCH(AB702,{"Low","Medium","High"},0)*INDEX({3,2,2,1,1},MATCH(X702,{"Core","Vertical extension","Differentiator","Future","Adjacent"},0))</f>
        <v>9</v>
      </c>
      <c r="AM702" s="5"/>
      <c r="AN702" s="5"/>
      <c r="AO702" s="5"/>
      <c r="AP702" s="5"/>
      <c r="AQ702" s="5"/>
      <c r="AR702" s="5" t="s">
        <v>7060</v>
      </c>
      <c r="AS702" s="5" t="s">
        <v>1462</v>
      </c>
      <c r="AT702" s="5" t="s">
        <v>2281</v>
      </c>
      <c r="AU702" s="6" t="s">
        <v>2282</v>
      </c>
      <c r="AV702" s="6" t="s">
        <v>3968</v>
      </c>
      <c r="AW702" s="6" t="s">
        <v>3968</v>
      </c>
      <c r="AX702" s="6" t="s">
        <v>2284</v>
      </c>
      <c r="AY702" s="6" t="s">
        <v>2285</v>
      </c>
      <c r="AZ702" s="6"/>
      <c r="BA702" s="6" t="s">
        <v>2348</v>
      </c>
      <c r="BB702" s="6" t="s">
        <v>2349</v>
      </c>
      <c r="BC702" s="6" t="s">
        <v>127</v>
      </c>
      <c r="BD702" s="6" t="s">
        <v>127</v>
      </c>
      <c r="BE702" s="6"/>
      <c r="BF702" s="6"/>
      <c r="BG702" s="6"/>
      <c r="BH702" s="6"/>
    </row>
    <row r="703" spans="1:60" ht="32" customHeight="1" x14ac:dyDescent="0.35">
      <c r="A703" s="13" t="s">
        <v>430</v>
      </c>
      <c r="B703" s="6" t="s">
        <v>3901</v>
      </c>
      <c r="C703" s="5" t="s">
        <v>1652</v>
      </c>
      <c r="D703" s="5" t="s">
        <v>2191</v>
      </c>
      <c r="E703" s="5" t="s">
        <v>431</v>
      </c>
      <c r="F703" s="5" t="s">
        <v>8138</v>
      </c>
      <c r="G703" s="5" t="s">
        <v>2396</v>
      </c>
      <c r="H703" s="5" t="s">
        <v>8139</v>
      </c>
      <c r="I703" s="5" t="s">
        <v>8140</v>
      </c>
      <c r="J703" s="16" t="s">
        <v>94</v>
      </c>
      <c r="K703" s="17" t="s">
        <v>95</v>
      </c>
      <c r="L703" s="5" t="s">
        <v>8141</v>
      </c>
      <c r="M703" s="6" t="s">
        <v>1494</v>
      </c>
      <c r="N703" s="6" t="s">
        <v>2170</v>
      </c>
      <c r="O703" s="6" t="s">
        <v>162</v>
      </c>
      <c r="P703" s="5" t="s">
        <v>7107</v>
      </c>
      <c r="Q703" s="17" t="s">
        <v>95</v>
      </c>
      <c r="R703" s="5" t="s">
        <v>8142</v>
      </c>
      <c r="S703" s="6" t="s">
        <v>2275</v>
      </c>
      <c r="T703" s="5" t="s">
        <v>2276</v>
      </c>
      <c r="U703" s="6"/>
      <c r="V703" s="6" t="s">
        <v>2277</v>
      </c>
      <c r="W703" s="6" t="s">
        <v>1697</v>
      </c>
      <c r="X703" s="5" t="s">
        <v>228</v>
      </c>
      <c r="Y703" s="5" t="s">
        <v>2170</v>
      </c>
      <c r="Z703" s="5" t="str">
        <f t="shared" si="20"/>
        <v>High</v>
      </c>
      <c r="AA703" s="5" t="s">
        <v>1302</v>
      </c>
      <c r="AB703" s="6" t="s">
        <v>1355</v>
      </c>
      <c r="AC703" s="6" t="s">
        <v>99</v>
      </c>
      <c r="AD703" s="5" t="s">
        <v>95</v>
      </c>
      <c r="AE703" s="5" t="s">
        <v>1720</v>
      </c>
      <c r="AF703" s="5" t="s">
        <v>1720</v>
      </c>
      <c r="AG703" s="5" t="s">
        <v>1720</v>
      </c>
      <c r="AH703" s="5" t="s">
        <v>1720</v>
      </c>
      <c r="AI703" s="6" t="str">
        <f t="shared" si="21"/>
        <v>No</v>
      </c>
      <c r="AJ703" s="6" t="s">
        <v>229</v>
      </c>
      <c r="AK703" s="6" t="s">
        <v>94</v>
      </c>
      <c r="AL703" s="6">
        <f>MATCH(AA703,{"Low","Medium","High"},0)*MATCH(AB703,{"Low","Medium","High"},0)*INDEX({3,2,2,1,1},MATCH(X703,{"Core","Vertical extension","Differentiator","Future","Adjacent"},0))</f>
        <v>9</v>
      </c>
      <c r="AM703" s="5"/>
      <c r="AN703" s="5"/>
      <c r="AO703" s="5">
        <v>3</v>
      </c>
      <c r="AP703" s="5"/>
      <c r="AQ703" s="5"/>
      <c r="AR703" s="5" t="s">
        <v>8143</v>
      </c>
      <c r="AS703" s="51">
        <v>46300</v>
      </c>
      <c r="AT703" s="5" t="s">
        <v>2760</v>
      </c>
      <c r="AU703" s="6" t="s">
        <v>95</v>
      </c>
      <c r="AV703" s="6" t="s">
        <v>2813</v>
      </c>
      <c r="AW703" s="6" t="s">
        <v>2813</v>
      </c>
      <c r="AX703" s="6" t="s">
        <v>7001</v>
      </c>
      <c r="AY703" s="6" t="s">
        <v>2285</v>
      </c>
      <c r="AZ703" s="6"/>
      <c r="BA703" s="6" t="s">
        <v>8144</v>
      </c>
      <c r="BB703" s="6"/>
      <c r="BC703" s="6" t="s">
        <v>127</v>
      </c>
      <c r="BD703" s="6" t="s">
        <v>127</v>
      </c>
      <c r="BE703" s="6" t="s">
        <v>1477</v>
      </c>
      <c r="BF703" s="6" t="s">
        <v>95</v>
      </c>
      <c r="BG703" s="6" t="s">
        <v>8145</v>
      </c>
      <c r="BH703" s="6" t="s">
        <v>432</v>
      </c>
    </row>
    <row r="704" spans="1:60" ht="32" customHeight="1" x14ac:dyDescent="0.35">
      <c r="A704" s="13" t="s">
        <v>8146</v>
      </c>
      <c r="B704" s="6" t="s">
        <v>3901</v>
      </c>
      <c r="C704" s="5" t="s">
        <v>1652</v>
      </c>
      <c r="D704" s="5" t="s">
        <v>2195</v>
      </c>
      <c r="E704" s="5" t="s">
        <v>8147</v>
      </c>
      <c r="F704" s="5" t="s">
        <v>2828</v>
      </c>
      <c r="G704" s="5" t="s">
        <v>2396</v>
      </c>
      <c r="H704" s="5" t="s">
        <v>8148</v>
      </c>
      <c r="I704" s="5" t="s">
        <v>8149</v>
      </c>
      <c r="J704" s="17" t="s">
        <v>162</v>
      </c>
      <c r="K704" s="17" t="s">
        <v>1477</v>
      </c>
      <c r="L704" s="5" t="s">
        <v>8150</v>
      </c>
      <c r="M704" s="6" t="s">
        <v>1494</v>
      </c>
      <c r="N704" s="6" t="s">
        <v>2170</v>
      </c>
      <c r="O704" s="6" t="s">
        <v>162</v>
      </c>
      <c r="P704" s="5" t="s">
        <v>2272</v>
      </c>
      <c r="Q704" s="18" t="s">
        <v>1482</v>
      </c>
      <c r="R704" s="5" t="s">
        <v>4007</v>
      </c>
      <c r="S704" s="6" t="s">
        <v>2295</v>
      </c>
      <c r="T704" s="5" t="s">
        <v>2296</v>
      </c>
      <c r="U704" s="6"/>
      <c r="V704" s="6" t="s">
        <v>2297</v>
      </c>
      <c r="W704" s="6" t="s">
        <v>1697</v>
      </c>
      <c r="X704" s="5" t="s">
        <v>228</v>
      </c>
      <c r="Y704" s="5" t="s">
        <v>2170</v>
      </c>
      <c r="Z704" s="5" t="str">
        <f t="shared" si="20"/>
        <v>High</v>
      </c>
      <c r="AA704" s="5" t="s">
        <v>1302</v>
      </c>
      <c r="AB704" s="6" t="s">
        <v>1355</v>
      </c>
      <c r="AC704" s="6" t="s">
        <v>135</v>
      </c>
      <c r="AD704" s="5" t="s">
        <v>2278</v>
      </c>
      <c r="AE704" s="5" t="s">
        <v>1720</v>
      </c>
      <c r="AF704" s="5" t="s">
        <v>1720</v>
      </c>
      <c r="AG704" s="5" t="s">
        <v>1720</v>
      </c>
      <c r="AH704" s="5" t="s">
        <v>1720</v>
      </c>
      <c r="AI704" s="6" t="str">
        <f t="shared" si="21"/>
        <v>No</v>
      </c>
      <c r="AJ704" s="6" t="s">
        <v>2298</v>
      </c>
      <c r="AK704" s="6" t="s">
        <v>162</v>
      </c>
      <c r="AL704" s="6">
        <f>MATCH(AA704,{"Low","Medium","High"},0)*MATCH(AB704,{"Low","Medium","High"},0)*INDEX({3,2,2,1,1},MATCH(X704,{"Core","Vertical extension","Differentiator","Future","Adjacent"},0))</f>
        <v>9</v>
      </c>
      <c r="AM704" s="5"/>
      <c r="AN704" s="5"/>
      <c r="AO704" s="5"/>
      <c r="AP704" s="5"/>
      <c r="AQ704" s="5"/>
      <c r="AR704" s="5"/>
      <c r="AS704" s="5"/>
      <c r="AT704" s="5"/>
      <c r="AU704" s="6" t="s">
        <v>2317</v>
      </c>
      <c r="AV704" s="6" t="s">
        <v>76</v>
      </c>
      <c r="AW704" s="6" t="s">
        <v>76</v>
      </c>
      <c r="AX704" s="6" t="s">
        <v>2284</v>
      </c>
      <c r="AY704" s="6" t="s">
        <v>2285</v>
      </c>
      <c r="AZ704" s="6"/>
      <c r="BA704" s="6" t="s">
        <v>4008</v>
      </c>
      <c r="BB704" s="6" t="s">
        <v>4009</v>
      </c>
      <c r="BC704" s="6" t="s">
        <v>127</v>
      </c>
      <c r="BD704" s="6" t="s">
        <v>127</v>
      </c>
      <c r="BE704" s="6"/>
      <c r="BF704" s="6"/>
      <c r="BG704" s="6"/>
      <c r="BH704" s="6"/>
    </row>
    <row r="705" spans="1:60" ht="32" customHeight="1" x14ac:dyDescent="0.35">
      <c r="A705" s="13" t="s">
        <v>8151</v>
      </c>
      <c r="B705" s="6" t="s">
        <v>3901</v>
      </c>
      <c r="C705" s="5" t="s">
        <v>1652</v>
      </c>
      <c r="D705" s="5" t="s">
        <v>2193</v>
      </c>
      <c r="E705" s="5" t="s">
        <v>8152</v>
      </c>
      <c r="F705" s="5" t="s">
        <v>6184</v>
      </c>
      <c r="G705" s="5" t="s">
        <v>2507</v>
      </c>
      <c r="H705" s="5" t="s">
        <v>8153</v>
      </c>
      <c r="I705" s="5" t="s">
        <v>8154</v>
      </c>
      <c r="J705" s="17" t="s">
        <v>162</v>
      </c>
      <c r="K705" s="17" t="s">
        <v>95</v>
      </c>
      <c r="L705" s="5" t="s">
        <v>8155</v>
      </c>
      <c r="M705" s="6" t="s">
        <v>1494</v>
      </c>
      <c r="N705" s="6" t="s">
        <v>2170</v>
      </c>
      <c r="O705" s="6" t="s">
        <v>162</v>
      </c>
      <c r="P705" s="5" t="s">
        <v>2272</v>
      </c>
      <c r="Q705" s="17" t="s">
        <v>163</v>
      </c>
      <c r="R705" s="5" t="s">
        <v>8156</v>
      </c>
      <c r="S705" s="6" t="s">
        <v>2470</v>
      </c>
      <c r="T705" s="5" t="s">
        <v>2471</v>
      </c>
      <c r="U705" s="6"/>
      <c r="V705" s="6" t="s">
        <v>2472</v>
      </c>
      <c r="W705" s="6" t="s">
        <v>1697</v>
      </c>
      <c r="X705" s="5" t="s">
        <v>228</v>
      </c>
      <c r="Y705" s="5" t="s">
        <v>2170</v>
      </c>
      <c r="Z705" s="5" t="str">
        <f t="shared" si="20"/>
        <v>Medium</v>
      </c>
      <c r="AA705" s="5" t="s">
        <v>1319</v>
      </c>
      <c r="AB705" s="6" t="s">
        <v>1355</v>
      </c>
      <c r="AC705" s="6" t="s">
        <v>135</v>
      </c>
      <c r="AD705" s="5" t="s">
        <v>1805</v>
      </c>
      <c r="AE705" s="5" t="s">
        <v>1720</v>
      </c>
      <c r="AF705" s="5" t="s">
        <v>1720</v>
      </c>
      <c r="AG705" s="5" t="s">
        <v>1720</v>
      </c>
      <c r="AH705" s="5" t="s">
        <v>1720</v>
      </c>
      <c r="AI705" s="6" t="str">
        <f t="shared" si="21"/>
        <v>No</v>
      </c>
      <c r="AJ705" s="6" t="s">
        <v>229</v>
      </c>
      <c r="AK705" s="6" t="s">
        <v>162</v>
      </c>
      <c r="AL705" s="6">
        <f>MATCH(AA705,{"Low","Medium","High"},0)*MATCH(AB705,{"Low","Medium","High"},0)*INDEX({3,2,2,1,1},MATCH(X705,{"Core","Vertical extension","Differentiator","Future","Adjacent"},0))</f>
        <v>6</v>
      </c>
      <c r="AM705" s="5"/>
      <c r="AN705" s="5"/>
      <c r="AO705" s="5"/>
      <c r="AP705" s="5"/>
      <c r="AQ705" s="5"/>
      <c r="AR705" s="5"/>
      <c r="AS705" s="5"/>
      <c r="AT705" s="5"/>
      <c r="AU705" s="6" t="s">
        <v>2317</v>
      </c>
      <c r="AV705" s="6" t="s">
        <v>76</v>
      </c>
      <c r="AW705" s="6" t="s">
        <v>76</v>
      </c>
      <c r="AX705" s="6" t="s">
        <v>2284</v>
      </c>
      <c r="AY705" s="6" t="s">
        <v>2285</v>
      </c>
      <c r="AZ705" s="6"/>
      <c r="BA705" s="6"/>
      <c r="BB705" s="6"/>
      <c r="BC705" s="6" t="s">
        <v>127</v>
      </c>
      <c r="BD705" s="6" t="s">
        <v>127</v>
      </c>
      <c r="BE705" s="6" t="s">
        <v>1477</v>
      </c>
      <c r="BF705" s="6" t="s">
        <v>288</v>
      </c>
      <c r="BG705" s="6" t="s">
        <v>8157</v>
      </c>
      <c r="BH705" s="6" t="s">
        <v>8158</v>
      </c>
    </row>
    <row r="706" spans="1:60" ht="32" customHeight="1" x14ac:dyDescent="0.35">
      <c r="A706" s="13" t="s">
        <v>8159</v>
      </c>
      <c r="B706" s="6" t="s">
        <v>3901</v>
      </c>
      <c r="C706" s="5" t="s">
        <v>1652</v>
      </c>
      <c r="D706" s="5" t="s">
        <v>2199</v>
      </c>
      <c r="E706" s="5" t="s">
        <v>8160</v>
      </c>
      <c r="F706" s="5" t="s">
        <v>8161</v>
      </c>
      <c r="G706" s="5" t="s">
        <v>2396</v>
      </c>
      <c r="H706" s="5" t="s">
        <v>8162</v>
      </c>
      <c r="I706" s="5" t="s">
        <v>8163</v>
      </c>
      <c r="J706" s="17" t="s">
        <v>162</v>
      </c>
      <c r="K706" s="17" t="s">
        <v>1477</v>
      </c>
      <c r="L706" s="5" t="s">
        <v>8164</v>
      </c>
      <c r="M706" s="6" t="s">
        <v>1494</v>
      </c>
      <c r="N706" s="6" t="s">
        <v>2170</v>
      </c>
      <c r="O706" s="6" t="s">
        <v>162</v>
      </c>
      <c r="P706" s="5" t="s">
        <v>2272</v>
      </c>
      <c r="Q706" s="18" t="s">
        <v>1482</v>
      </c>
      <c r="R706" s="5" t="s">
        <v>2870</v>
      </c>
      <c r="S706" s="6" t="s">
        <v>2416</v>
      </c>
      <c r="T706" s="5" t="s">
        <v>2417</v>
      </c>
      <c r="U706" s="6"/>
      <c r="V706" s="6" t="s">
        <v>2277</v>
      </c>
      <c r="W706" s="6" t="s">
        <v>1697</v>
      </c>
      <c r="X706" s="5" t="s">
        <v>228</v>
      </c>
      <c r="Y706" s="5" t="s">
        <v>2170</v>
      </c>
      <c r="Z706" s="5" t="str">
        <f t="shared" ref="Z706:Z771" si="22">IF(AL706&gt;=18,"Critical",IF(AL706&gt;=9,"High",IF(AL706&gt;=4,"Medium","Low")))</f>
        <v>Medium</v>
      </c>
      <c r="AA706" s="5" t="s">
        <v>1319</v>
      </c>
      <c r="AB706" s="6" t="s">
        <v>1355</v>
      </c>
      <c r="AC706" s="6" t="s">
        <v>135</v>
      </c>
      <c r="AD706" s="5" t="s">
        <v>2278</v>
      </c>
      <c r="AE706" s="5" t="s">
        <v>1720</v>
      </c>
      <c r="AF706" s="5" t="s">
        <v>1720</v>
      </c>
      <c r="AG706" s="5" t="s">
        <v>1720</v>
      </c>
      <c r="AH706" s="5" t="s">
        <v>1720</v>
      </c>
      <c r="AI706" s="6" t="str">
        <f t="shared" ref="AI706:AI769" si="23">IF(AND(AU706="Pass",AE706&lt;&gt;"Not verified",AF706&lt;&gt;"Not verified",AG706&lt;&gt;"Not verified",AH706&lt;&gt;"Not verified",BC706="Yes",BD706="Yes"),"Yes","No")</f>
        <v>No</v>
      </c>
      <c r="AJ706" s="6" t="s">
        <v>2298</v>
      </c>
      <c r="AK706" s="6" t="s">
        <v>162</v>
      </c>
      <c r="AL706" s="6">
        <f>MATCH(AA706,{"Low","Medium","High"},0)*MATCH(AB706,{"Low","Medium","High"},0)*INDEX({3,2,2,1,1},MATCH(X706,{"Core","Vertical extension","Differentiator","Future","Adjacent"},0))</f>
        <v>6</v>
      </c>
      <c r="AM706" s="5"/>
      <c r="AN706" s="5"/>
      <c r="AO706" s="5"/>
      <c r="AP706" s="5"/>
      <c r="AQ706" s="5"/>
      <c r="AR706" s="5"/>
      <c r="AS706" s="5"/>
      <c r="AT706" s="5"/>
      <c r="AU706" s="6" t="s">
        <v>2317</v>
      </c>
      <c r="AV706" s="6" t="s">
        <v>5260</v>
      </c>
      <c r="AW706" s="6" t="s">
        <v>5260</v>
      </c>
      <c r="AX706" s="6" t="s">
        <v>2284</v>
      </c>
      <c r="AY706" s="6" t="s">
        <v>2285</v>
      </c>
      <c r="AZ706" s="6"/>
      <c r="BA706" s="6" t="s">
        <v>8165</v>
      </c>
      <c r="BB706" s="6" t="s">
        <v>2872</v>
      </c>
      <c r="BC706" s="6" t="s">
        <v>127</v>
      </c>
      <c r="BD706" s="6" t="s">
        <v>127</v>
      </c>
      <c r="BE706" s="6"/>
      <c r="BF706" s="6"/>
      <c r="BG706" s="6"/>
      <c r="BH706" s="6"/>
    </row>
    <row r="707" spans="1:60" ht="32" customHeight="1" x14ac:dyDescent="0.35">
      <c r="A707" s="13" t="s">
        <v>435</v>
      </c>
      <c r="B707" s="6" t="s">
        <v>3901</v>
      </c>
      <c r="C707" s="5" t="s">
        <v>1652</v>
      </c>
      <c r="D707" s="5" t="s">
        <v>2197</v>
      </c>
      <c r="E707" s="5" t="s">
        <v>436</v>
      </c>
      <c r="F707" s="5" t="s">
        <v>2788</v>
      </c>
      <c r="G707" s="5" t="s">
        <v>8166</v>
      </c>
      <c r="H707" s="5" t="s">
        <v>8167</v>
      </c>
      <c r="I707" s="5" t="s">
        <v>8168</v>
      </c>
      <c r="J707" s="16" t="s">
        <v>94</v>
      </c>
      <c r="K707" s="17" t="s">
        <v>163</v>
      </c>
      <c r="L707" s="5" t="s">
        <v>8169</v>
      </c>
      <c r="M707" s="6" t="s">
        <v>1494</v>
      </c>
      <c r="N707" s="6" t="s">
        <v>2170</v>
      </c>
      <c r="O707" s="6" t="s">
        <v>162</v>
      </c>
      <c r="P707" s="5" t="s">
        <v>7107</v>
      </c>
      <c r="Q707" s="17" t="s">
        <v>163</v>
      </c>
      <c r="R707" s="5" t="s">
        <v>8170</v>
      </c>
      <c r="S707" s="6" t="s">
        <v>2861</v>
      </c>
      <c r="T707" s="5" t="s">
        <v>2862</v>
      </c>
      <c r="U707" s="6"/>
      <c r="V707" s="6" t="s">
        <v>2347</v>
      </c>
      <c r="W707" s="6" t="s">
        <v>1697</v>
      </c>
      <c r="X707" s="5" t="s">
        <v>228</v>
      </c>
      <c r="Y707" s="5" t="s">
        <v>2170</v>
      </c>
      <c r="Z707" s="5" t="str">
        <f t="shared" si="22"/>
        <v>High</v>
      </c>
      <c r="AA707" s="5" t="s">
        <v>1302</v>
      </c>
      <c r="AB707" s="6" t="s">
        <v>1355</v>
      </c>
      <c r="AC707" s="6" t="s">
        <v>135</v>
      </c>
      <c r="AD707" s="5" t="s">
        <v>1805</v>
      </c>
      <c r="AE707" s="5" t="s">
        <v>1720</v>
      </c>
      <c r="AF707" s="5" t="s">
        <v>1720</v>
      </c>
      <c r="AG707" s="5" t="s">
        <v>1720</v>
      </c>
      <c r="AH707" s="5" t="s">
        <v>1720</v>
      </c>
      <c r="AI707" s="6" t="str">
        <f t="shared" si="23"/>
        <v>No</v>
      </c>
      <c r="AJ707" s="6" t="s">
        <v>229</v>
      </c>
      <c r="AK707" s="6" t="s">
        <v>94</v>
      </c>
      <c r="AL707" s="6">
        <f>MATCH(AA707,{"Low","Medium","High"},0)*MATCH(AB707,{"Low","Medium","High"},0)*INDEX({3,2,2,1,1},MATCH(X707,{"Core","Vertical extension","Differentiator","Future","Adjacent"},0))</f>
        <v>9</v>
      </c>
      <c r="AM707" s="5"/>
      <c r="AN707" s="5"/>
      <c r="AO707" s="5">
        <v>3</v>
      </c>
      <c r="AP707" s="5"/>
      <c r="AQ707" s="5"/>
      <c r="AR707" s="5"/>
      <c r="AS707" s="5"/>
      <c r="AT707" s="5"/>
      <c r="AU707" s="6" t="s">
        <v>2317</v>
      </c>
      <c r="AV707" s="6" t="s">
        <v>2794</v>
      </c>
      <c r="AW707" s="6" t="s">
        <v>2794</v>
      </c>
      <c r="AX707" s="6" t="s">
        <v>7001</v>
      </c>
      <c r="AY707" s="6" t="s">
        <v>2285</v>
      </c>
      <c r="AZ707" s="6"/>
      <c r="BA707" s="6" t="s">
        <v>8171</v>
      </c>
      <c r="BB707" s="6"/>
      <c r="BC707" s="6" t="s">
        <v>127</v>
      </c>
      <c r="BD707" s="6" t="s">
        <v>127</v>
      </c>
      <c r="BE707" s="6" t="s">
        <v>1477</v>
      </c>
      <c r="BF707" s="6" t="s">
        <v>288</v>
      </c>
      <c r="BG707" s="6" t="s">
        <v>8172</v>
      </c>
      <c r="BH707" s="6" t="s">
        <v>437</v>
      </c>
    </row>
    <row r="708" spans="1:60" ht="32" customHeight="1" x14ac:dyDescent="0.35">
      <c r="A708" s="13" t="s">
        <v>440</v>
      </c>
      <c r="B708" s="6" t="s">
        <v>3901</v>
      </c>
      <c r="C708" s="5" t="s">
        <v>1652</v>
      </c>
      <c r="D708" s="5" t="s">
        <v>2183</v>
      </c>
      <c r="E708" s="5" t="s">
        <v>441</v>
      </c>
      <c r="F708" s="5" t="s">
        <v>8036</v>
      </c>
      <c r="G708" s="5" t="s">
        <v>6184</v>
      </c>
      <c r="H708" s="5" t="s">
        <v>8173</v>
      </c>
      <c r="I708" s="5" t="s">
        <v>8174</v>
      </c>
      <c r="J708" s="16" t="s">
        <v>94</v>
      </c>
      <c r="K708" s="17" t="s">
        <v>95</v>
      </c>
      <c r="L708" s="5" t="s">
        <v>8175</v>
      </c>
      <c r="M708" s="6" t="s">
        <v>1494</v>
      </c>
      <c r="N708" s="6" t="s">
        <v>2170</v>
      </c>
      <c r="O708" s="6" t="s">
        <v>94</v>
      </c>
      <c r="P708" s="5" t="s">
        <v>2272</v>
      </c>
      <c r="Q708" s="17" t="s">
        <v>95</v>
      </c>
      <c r="R708" s="5" t="s">
        <v>8176</v>
      </c>
      <c r="S708" s="6" t="s">
        <v>2438</v>
      </c>
      <c r="T708" s="5" t="s">
        <v>2439</v>
      </c>
      <c r="U708" s="6"/>
      <c r="V708" s="6" t="s">
        <v>2440</v>
      </c>
      <c r="W708" s="6" t="s">
        <v>1699</v>
      </c>
      <c r="X708" s="5" t="s">
        <v>228</v>
      </c>
      <c r="Y708" s="5" t="s">
        <v>2170</v>
      </c>
      <c r="Z708" s="5" t="str">
        <f t="shared" si="22"/>
        <v>Critical</v>
      </c>
      <c r="AA708" s="5" t="s">
        <v>1302</v>
      </c>
      <c r="AB708" s="6" t="s">
        <v>1302</v>
      </c>
      <c r="AC708" s="6" t="s">
        <v>99</v>
      </c>
      <c r="AD708" s="5" t="s">
        <v>95</v>
      </c>
      <c r="AE708" s="5" t="s">
        <v>1720</v>
      </c>
      <c r="AF708" s="5" t="s">
        <v>1720</v>
      </c>
      <c r="AG708" s="5" t="s">
        <v>1720</v>
      </c>
      <c r="AH708" s="5" t="s">
        <v>1720</v>
      </c>
      <c r="AI708" s="6" t="str">
        <f t="shared" si="23"/>
        <v>No</v>
      </c>
      <c r="AJ708" s="6" t="s">
        <v>229</v>
      </c>
      <c r="AK708" s="6" t="s">
        <v>94</v>
      </c>
      <c r="AL708" s="6">
        <f>MATCH(AA708,{"Low","Medium","High"},0)*MATCH(AB708,{"Low","Medium","High"},0)*INDEX({3,2,2,1,1},MATCH(X708,{"Core","Vertical extension","Differentiator","Future","Adjacent"},0))</f>
        <v>27</v>
      </c>
      <c r="AM708" s="5"/>
      <c r="AN708" s="5"/>
      <c r="AO708" s="5">
        <v>3</v>
      </c>
      <c r="AP708" s="5"/>
      <c r="AQ708" s="5"/>
      <c r="AR708" s="5" t="s">
        <v>8177</v>
      </c>
      <c r="AS708" s="51">
        <v>46300</v>
      </c>
      <c r="AT708" s="5" t="s">
        <v>2760</v>
      </c>
      <c r="AU708" s="6" t="s">
        <v>95</v>
      </c>
      <c r="AV708" s="6" t="s">
        <v>3968</v>
      </c>
      <c r="AW708" s="6" t="s">
        <v>3968</v>
      </c>
      <c r="AX708" s="6" t="s">
        <v>2284</v>
      </c>
      <c r="AY708" s="6" t="s">
        <v>2285</v>
      </c>
      <c r="AZ708" s="6"/>
      <c r="BA708" s="6" t="s">
        <v>8178</v>
      </c>
      <c r="BB708" s="6"/>
      <c r="BC708" s="6" t="s">
        <v>127</v>
      </c>
      <c r="BD708" s="6" t="s">
        <v>127</v>
      </c>
      <c r="BE708" s="6" t="s">
        <v>1477</v>
      </c>
      <c r="BF708" s="6" t="s">
        <v>95</v>
      </c>
      <c r="BG708" s="6" t="s">
        <v>8179</v>
      </c>
      <c r="BH708" s="6" t="s">
        <v>442</v>
      </c>
    </row>
    <row r="709" spans="1:60" ht="32" customHeight="1" x14ac:dyDescent="0.35">
      <c r="A709" s="13" t="s">
        <v>8180</v>
      </c>
      <c r="B709" s="6" t="s">
        <v>3901</v>
      </c>
      <c r="C709" s="5" t="s">
        <v>1652</v>
      </c>
      <c r="D709" s="5" t="s">
        <v>2185</v>
      </c>
      <c r="E709" s="5" t="s">
        <v>8181</v>
      </c>
      <c r="F709" s="5" t="s">
        <v>2267</v>
      </c>
      <c r="G709" s="5" t="s">
        <v>2268</v>
      </c>
      <c r="H709" s="5" t="s">
        <v>8182</v>
      </c>
      <c r="I709" s="5" t="s">
        <v>8183</v>
      </c>
      <c r="J709" s="17" t="s">
        <v>162</v>
      </c>
      <c r="K709" s="17" t="s">
        <v>95</v>
      </c>
      <c r="L709" s="5" t="s">
        <v>8184</v>
      </c>
      <c r="M709" s="6" t="s">
        <v>1494</v>
      </c>
      <c r="N709" s="6" t="s">
        <v>2170</v>
      </c>
      <c r="O709" s="6" t="s">
        <v>162</v>
      </c>
      <c r="P709" s="5" t="s">
        <v>2272</v>
      </c>
      <c r="Q709" s="17" t="s">
        <v>95</v>
      </c>
      <c r="R709" s="5" t="s">
        <v>8185</v>
      </c>
      <c r="S709" s="6" t="s">
        <v>2409</v>
      </c>
      <c r="T709" s="5" t="s">
        <v>2185</v>
      </c>
      <c r="U709" s="6"/>
      <c r="V709" s="6" t="s">
        <v>2277</v>
      </c>
      <c r="W709" s="6" t="s">
        <v>1699</v>
      </c>
      <c r="X709" s="5" t="s">
        <v>228</v>
      </c>
      <c r="Y709" s="5" t="s">
        <v>2170</v>
      </c>
      <c r="Z709" s="5" t="str">
        <f t="shared" si="22"/>
        <v>High</v>
      </c>
      <c r="AA709" s="5" t="s">
        <v>1319</v>
      </c>
      <c r="AB709" s="6" t="s">
        <v>1319</v>
      </c>
      <c r="AC709" s="6" t="s">
        <v>135</v>
      </c>
      <c r="AD709" s="5" t="s">
        <v>95</v>
      </c>
      <c r="AE709" s="5" t="s">
        <v>1720</v>
      </c>
      <c r="AF709" s="5" t="s">
        <v>1720</v>
      </c>
      <c r="AG709" s="5" t="s">
        <v>1720</v>
      </c>
      <c r="AH709" s="5" t="s">
        <v>1720</v>
      </c>
      <c r="AI709" s="6" t="str">
        <f t="shared" si="23"/>
        <v>No</v>
      </c>
      <c r="AJ709" s="6" t="s">
        <v>229</v>
      </c>
      <c r="AK709" s="6" t="s">
        <v>162</v>
      </c>
      <c r="AL709" s="6">
        <f>MATCH(AA709,{"Low","Medium","High"},0)*MATCH(AB709,{"Low","Medium","High"},0)*INDEX({3,2,2,1,1},MATCH(X709,{"Core","Vertical extension","Differentiator","Future","Adjacent"},0))</f>
        <v>12</v>
      </c>
      <c r="AM709" s="5"/>
      <c r="AN709" s="5"/>
      <c r="AO709" s="5"/>
      <c r="AP709" s="5"/>
      <c r="AQ709" s="5"/>
      <c r="AR709" s="5"/>
      <c r="AS709" s="5"/>
      <c r="AT709" s="5"/>
      <c r="AU709" s="6" t="s">
        <v>2317</v>
      </c>
      <c r="AV709" s="6" t="s">
        <v>2283</v>
      </c>
      <c r="AW709" s="6" t="s">
        <v>2283</v>
      </c>
      <c r="AX709" s="6" t="s">
        <v>2284</v>
      </c>
      <c r="AY709" s="6" t="s">
        <v>2411</v>
      </c>
      <c r="AZ709" s="6"/>
      <c r="BA709" s="6"/>
      <c r="BB709" s="6"/>
      <c r="BC709" s="6" t="s">
        <v>127</v>
      </c>
      <c r="BD709" s="6" t="s">
        <v>127</v>
      </c>
      <c r="BE709" s="6" t="s">
        <v>1477</v>
      </c>
      <c r="BF709" s="6" t="s">
        <v>95</v>
      </c>
      <c r="BG709" s="6" t="s">
        <v>8186</v>
      </c>
      <c r="BH709" s="6" t="s">
        <v>8187</v>
      </c>
    </row>
    <row r="710" spans="1:60" ht="32" customHeight="1" x14ac:dyDescent="0.35">
      <c r="A710" s="13" t="s">
        <v>8188</v>
      </c>
      <c r="B710" s="6" t="s">
        <v>3901</v>
      </c>
      <c r="C710" s="5" t="s">
        <v>1652</v>
      </c>
      <c r="D710" s="5" t="s">
        <v>2192</v>
      </c>
      <c r="E710" s="5" t="s">
        <v>8189</v>
      </c>
      <c r="F710" s="5" t="s">
        <v>8190</v>
      </c>
      <c r="G710" s="5" t="s">
        <v>2396</v>
      </c>
      <c r="H710" s="5" t="s">
        <v>8191</v>
      </c>
      <c r="I710" s="5" t="s">
        <v>8192</v>
      </c>
      <c r="J710" s="17" t="s">
        <v>162</v>
      </c>
      <c r="K710" s="17" t="s">
        <v>163</v>
      </c>
      <c r="L710" s="5" t="s">
        <v>8193</v>
      </c>
      <c r="M710" s="6" t="s">
        <v>1494</v>
      </c>
      <c r="N710" s="6" t="s">
        <v>2170</v>
      </c>
      <c r="O710" s="6" t="s">
        <v>162</v>
      </c>
      <c r="P710" s="5" t="s">
        <v>2369</v>
      </c>
      <c r="Q710" s="17" t="s">
        <v>163</v>
      </c>
      <c r="R710" s="5" t="s">
        <v>8194</v>
      </c>
      <c r="S710" s="6" t="s">
        <v>2371</v>
      </c>
      <c r="T710" s="5" t="s">
        <v>2372</v>
      </c>
      <c r="U710" s="6"/>
      <c r="V710" s="6" t="s">
        <v>2373</v>
      </c>
      <c r="W710" s="6" t="s">
        <v>1699</v>
      </c>
      <c r="X710" s="5" t="s">
        <v>228</v>
      </c>
      <c r="Y710" s="5" t="s">
        <v>2170</v>
      </c>
      <c r="Z710" s="5" t="str">
        <f t="shared" si="22"/>
        <v>Critical</v>
      </c>
      <c r="AA710" s="5" t="s">
        <v>1302</v>
      </c>
      <c r="AB710" s="6" t="s">
        <v>1319</v>
      </c>
      <c r="AC710" s="6" t="s">
        <v>135</v>
      </c>
      <c r="AD710" s="5" t="s">
        <v>1805</v>
      </c>
      <c r="AE710" s="5" t="s">
        <v>1720</v>
      </c>
      <c r="AF710" s="5" t="s">
        <v>1720</v>
      </c>
      <c r="AG710" s="5" t="s">
        <v>1720</v>
      </c>
      <c r="AH710" s="5" t="s">
        <v>1720</v>
      </c>
      <c r="AI710" s="6" t="str">
        <f t="shared" si="23"/>
        <v>No</v>
      </c>
      <c r="AJ710" s="6" t="s">
        <v>287</v>
      </c>
      <c r="AK710" s="6" t="s">
        <v>162</v>
      </c>
      <c r="AL710" s="6">
        <f>MATCH(AA710,{"Low","Medium","High"},0)*MATCH(AB710,{"Low","Medium","High"},0)*INDEX({3,2,2,1,1},MATCH(X710,{"Core","Vertical extension","Differentiator","Future","Adjacent"},0))</f>
        <v>18</v>
      </c>
      <c r="AM710" s="5"/>
      <c r="AN710" s="5"/>
      <c r="AO710" s="5"/>
      <c r="AP710" s="5"/>
      <c r="AQ710" s="5"/>
      <c r="AR710" s="5"/>
      <c r="AS710" s="5"/>
      <c r="AT710" s="5"/>
      <c r="AU710" s="6" t="s">
        <v>2317</v>
      </c>
      <c r="AV710" s="6" t="s">
        <v>76</v>
      </c>
      <c r="AW710" s="6" t="s">
        <v>76</v>
      </c>
      <c r="AX710" s="6" t="s">
        <v>2374</v>
      </c>
      <c r="AY710" s="6" t="s">
        <v>2285</v>
      </c>
      <c r="AZ710" s="6"/>
      <c r="BA710" s="6"/>
      <c r="BB710" s="6"/>
      <c r="BC710" s="6" t="s">
        <v>127</v>
      </c>
      <c r="BD710" s="6" t="s">
        <v>127</v>
      </c>
      <c r="BE710" s="6" t="s">
        <v>1477</v>
      </c>
      <c r="BF710" s="6" t="s">
        <v>288</v>
      </c>
      <c r="BG710" s="6" t="s">
        <v>8195</v>
      </c>
      <c r="BH710" s="6" t="s">
        <v>8196</v>
      </c>
    </row>
    <row r="711" spans="1:60" ht="32" customHeight="1" x14ac:dyDescent="0.35">
      <c r="A711" s="13" t="s">
        <v>8197</v>
      </c>
      <c r="B711" s="6" t="s">
        <v>3901</v>
      </c>
      <c r="C711" s="5" t="s">
        <v>1652</v>
      </c>
      <c r="D711" s="5" t="s">
        <v>2187</v>
      </c>
      <c r="E711" s="5" t="s">
        <v>8198</v>
      </c>
      <c r="F711" s="5" t="s">
        <v>8199</v>
      </c>
      <c r="G711" s="5" t="s">
        <v>8200</v>
      </c>
      <c r="H711" s="5" t="s">
        <v>8201</v>
      </c>
      <c r="I711" s="5" t="s">
        <v>8202</v>
      </c>
      <c r="J711" s="16" t="s">
        <v>94</v>
      </c>
      <c r="K711" s="17" t="s">
        <v>1477</v>
      </c>
      <c r="L711" s="5" t="s">
        <v>8203</v>
      </c>
      <c r="M711" s="6" t="s">
        <v>1494</v>
      </c>
      <c r="N711" s="6" t="s">
        <v>2170</v>
      </c>
      <c r="O711" s="6" t="s">
        <v>94</v>
      </c>
      <c r="P711" s="5" t="s">
        <v>2272</v>
      </c>
      <c r="Q711" s="18" t="s">
        <v>1482</v>
      </c>
      <c r="R711" s="5" t="s">
        <v>8204</v>
      </c>
      <c r="S711" s="6" t="s">
        <v>2345</v>
      </c>
      <c r="T711" s="5" t="s">
        <v>2346</v>
      </c>
      <c r="U711" s="6"/>
      <c r="V711" s="6" t="s">
        <v>2347</v>
      </c>
      <c r="W711" s="6" t="s">
        <v>1697</v>
      </c>
      <c r="X711" s="5" t="s">
        <v>228</v>
      </c>
      <c r="Y711" s="5" t="s">
        <v>2170</v>
      </c>
      <c r="Z711" s="5" t="str">
        <f t="shared" si="22"/>
        <v>High</v>
      </c>
      <c r="AA711" s="5" t="s">
        <v>1302</v>
      </c>
      <c r="AB711" s="6" t="s">
        <v>1355</v>
      </c>
      <c r="AC711" s="6" t="s">
        <v>99</v>
      </c>
      <c r="AD711" s="5" t="s">
        <v>2278</v>
      </c>
      <c r="AE711" s="5" t="s">
        <v>1720</v>
      </c>
      <c r="AF711" s="5" t="s">
        <v>1720</v>
      </c>
      <c r="AG711" s="5" t="s">
        <v>1720</v>
      </c>
      <c r="AH711" s="5" t="s">
        <v>1720</v>
      </c>
      <c r="AI711" s="6" t="str">
        <f t="shared" si="23"/>
        <v>No</v>
      </c>
      <c r="AJ711" s="6" t="s">
        <v>2298</v>
      </c>
      <c r="AK711" s="6" t="s">
        <v>94</v>
      </c>
      <c r="AL711" s="6">
        <f>MATCH(AA711,{"Low","Medium","High"},0)*MATCH(AB711,{"Low","Medium","High"},0)*INDEX({3,2,2,1,1},MATCH(X711,{"Core","Vertical extension","Differentiator","Future","Adjacent"},0))</f>
        <v>9</v>
      </c>
      <c r="AM711" s="5"/>
      <c r="AN711" s="5"/>
      <c r="AO711" s="5"/>
      <c r="AP711" s="5"/>
      <c r="AQ711" s="5"/>
      <c r="AR711" s="5"/>
      <c r="AS711" s="5"/>
      <c r="AT711" s="5"/>
      <c r="AU711" s="6" t="s">
        <v>2317</v>
      </c>
      <c r="AV711" s="6" t="s">
        <v>3968</v>
      </c>
      <c r="AW711" s="6" t="s">
        <v>3968</v>
      </c>
      <c r="AX711" s="6" t="s">
        <v>2284</v>
      </c>
      <c r="AY711" s="6" t="s">
        <v>2285</v>
      </c>
      <c r="AZ711" s="6"/>
      <c r="BA711" s="6"/>
      <c r="BB711" s="6"/>
      <c r="BC711" s="6" t="s">
        <v>127</v>
      </c>
      <c r="BD711" s="6" t="s">
        <v>127</v>
      </c>
      <c r="BE711" s="6"/>
      <c r="BF711" s="6"/>
      <c r="BG711" s="6"/>
      <c r="BH711" s="6"/>
    </row>
    <row r="712" spans="1:60" ht="32" customHeight="1" x14ac:dyDescent="0.35">
      <c r="A712" s="13" t="s">
        <v>8205</v>
      </c>
      <c r="B712" s="6" t="s">
        <v>3901</v>
      </c>
      <c r="C712" s="5" t="s">
        <v>1652</v>
      </c>
      <c r="D712" s="5" t="s">
        <v>2194</v>
      </c>
      <c r="E712" s="5" t="s">
        <v>8206</v>
      </c>
      <c r="F712" s="5" t="s">
        <v>8207</v>
      </c>
      <c r="G712" s="5" t="s">
        <v>2974</v>
      </c>
      <c r="H712" s="5" t="s">
        <v>8208</v>
      </c>
      <c r="I712" s="5" t="s">
        <v>8209</v>
      </c>
      <c r="J712" s="17" t="s">
        <v>162</v>
      </c>
      <c r="K712" s="17" t="s">
        <v>1477</v>
      </c>
      <c r="L712" s="5" t="s">
        <v>8210</v>
      </c>
      <c r="M712" s="6" t="s">
        <v>1494</v>
      </c>
      <c r="N712" s="6" t="s">
        <v>2170</v>
      </c>
      <c r="O712" s="6" t="s">
        <v>162</v>
      </c>
      <c r="P712" s="5" t="s">
        <v>2272</v>
      </c>
      <c r="Q712" s="18" t="s">
        <v>1482</v>
      </c>
      <c r="R712" s="5" t="s">
        <v>8211</v>
      </c>
      <c r="S712" s="6" t="s">
        <v>2449</v>
      </c>
      <c r="T712" s="5" t="s">
        <v>2450</v>
      </c>
      <c r="U712" s="6"/>
      <c r="V712" s="6" t="s">
        <v>2440</v>
      </c>
      <c r="W712" s="6" t="s">
        <v>1699</v>
      </c>
      <c r="X712" s="5" t="s">
        <v>228</v>
      </c>
      <c r="Y712" s="5" t="s">
        <v>2170</v>
      </c>
      <c r="Z712" s="5" t="str">
        <f t="shared" si="22"/>
        <v>Medium</v>
      </c>
      <c r="AA712" s="5" t="s">
        <v>1319</v>
      </c>
      <c r="AB712" s="6" t="s">
        <v>1355</v>
      </c>
      <c r="AC712" s="6" t="s">
        <v>135</v>
      </c>
      <c r="AD712" s="5" t="s">
        <v>2278</v>
      </c>
      <c r="AE712" s="5" t="s">
        <v>1720</v>
      </c>
      <c r="AF712" s="5" t="s">
        <v>1720</v>
      </c>
      <c r="AG712" s="5" t="s">
        <v>1720</v>
      </c>
      <c r="AH712" s="5" t="s">
        <v>1720</v>
      </c>
      <c r="AI712" s="6" t="str">
        <f t="shared" si="23"/>
        <v>No</v>
      </c>
      <c r="AJ712" s="6" t="s">
        <v>2298</v>
      </c>
      <c r="AK712" s="6" t="s">
        <v>162</v>
      </c>
      <c r="AL712" s="6">
        <f>MATCH(AA712,{"Low","Medium","High"},0)*MATCH(AB712,{"Low","Medium","High"},0)*INDEX({3,2,2,1,1},MATCH(X712,{"Core","Vertical extension","Differentiator","Future","Adjacent"},0))</f>
        <v>6</v>
      </c>
      <c r="AM712" s="5"/>
      <c r="AN712" s="5"/>
      <c r="AO712" s="5"/>
      <c r="AP712" s="5"/>
      <c r="AQ712" s="5"/>
      <c r="AR712" s="5"/>
      <c r="AS712" s="5"/>
      <c r="AT712" s="5"/>
      <c r="AU712" s="6" t="s">
        <v>2317</v>
      </c>
      <c r="AV712" s="6" t="s">
        <v>2813</v>
      </c>
      <c r="AW712" s="6" t="s">
        <v>2813</v>
      </c>
      <c r="AX712" s="6" t="s">
        <v>2284</v>
      </c>
      <c r="AY712" s="6" t="s">
        <v>2285</v>
      </c>
      <c r="AZ712" s="6"/>
      <c r="BA712" s="6" t="s">
        <v>6339</v>
      </c>
      <c r="BB712" s="6" t="s">
        <v>6340</v>
      </c>
      <c r="BC712" s="6" t="s">
        <v>127</v>
      </c>
      <c r="BD712" s="6" t="s">
        <v>127</v>
      </c>
      <c r="BE712" s="6"/>
      <c r="BF712" s="6"/>
      <c r="BG712" s="6"/>
      <c r="BH712" s="6"/>
    </row>
    <row r="713" spans="1:60" ht="32" customHeight="1" x14ac:dyDescent="0.35">
      <c r="A713" s="13" t="s">
        <v>8212</v>
      </c>
      <c r="B713" s="6" t="s">
        <v>3901</v>
      </c>
      <c r="C713" s="5" t="s">
        <v>1652</v>
      </c>
      <c r="D713" s="5" t="s">
        <v>2185</v>
      </c>
      <c r="E713" s="5" t="s">
        <v>8213</v>
      </c>
      <c r="F713" s="5" t="s">
        <v>4012</v>
      </c>
      <c r="G713" s="5" t="s">
        <v>2396</v>
      </c>
      <c r="H713" s="5" t="s">
        <v>8214</v>
      </c>
      <c r="I713" s="5" t="s">
        <v>8215</v>
      </c>
      <c r="J713" s="17" t="s">
        <v>162</v>
      </c>
      <c r="K713" s="17" t="s">
        <v>163</v>
      </c>
      <c r="L713" s="5" t="s">
        <v>8216</v>
      </c>
      <c r="M713" s="6" t="s">
        <v>1494</v>
      </c>
      <c r="N713" s="6" t="s">
        <v>2170</v>
      </c>
      <c r="O713" s="6" t="s">
        <v>162</v>
      </c>
      <c r="P713" s="5" t="s">
        <v>2272</v>
      </c>
      <c r="Q713" s="17" t="s">
        <v>163</v>
      </c>
      <c r="R713" s="5" t="s">
        <v>8217</v>
      </c>
      <c r="S713" s="6" t="s">
        <v>2409</v>
      </c>
      <c r="T713" s="5" t="s">
        <v>2185</v>
      </c>
      <c r="U713" s="6"/>
      <c r="V713" s="6" t="s">
        <v>2440</v>
      </c>
      <c r="W713" s="6" t="s">
        <v>1699</v>
      </c>
      <c r="X713" s="5" t="s">
        <v>228</v>
      </c>
      <c r="Y713" s="5" t="s">
        <v>2170</v>
      </c>
      <c r="Z713" s="5" t="str">
        <f t="shared" si="22"/>
        <v>High</v>
      </c>
      <c r="AA713" s="5" t="s">
        <v>1319</v>
      </c>
      <c r="AB713" s="6" t="s">
        <v>1319</v>
      </c>
      <c r="AC713" s="6" t="s">
        <v>135</v>
      </c>
      <c r="AD713" s="5" t="s">
        <v>1805</v>
      </c>
      <c r="AE713" s="5" t="s">
        <v>1720</v>
      </c>
      <c r="AF713" s="5" t="s">
        <v>1720</v>
      </c>
      <c r="AG713" s="5" t="s">
        <v>1720</v>
      </c>
      <c r="AH713" s="5" t="s">
        <v>1720</v>
      </c>
      <c r="AI713" s="6" t="str">
        <f t="shared" si="23"/>
        <v>No</v>
      </c>
      <c r="AJ713" s="6" t="s">
        <v>287</v>
      </c>
      <c r="AK713" s="6" t="s">
        <v>162</v>
      </c>
      <c r="AL713" s="6">
        <f>MATCH(AA713,{"Low","Medium","High"},0)*MATCH(AB713,{"Low","Medium","High"},0)*INDEX({3,2,2,1,1},MATCH(X713,{"Core","Vertical extension","Differentiator","Future","Adjacent"},0))</f>
        <v>12</v>
      </c>
      <c r="AM713" s="5"/>
      <c r="AN713" s="5"/>
      <c r="AO713" s="5"/>
      <c r="AP713" s="5"/>
      <c r="AQ713" s="5"/>
      <c r="AR713" s="5"/>
      <c r="AS713" s="5"/>
      <c r="AT713" s="5"/>
      <c r="AU713" s="6" t="s">
        <v>2317</v>
      </c>
      <c r="AV713" s="6" t="s">
        <v>2283</v>
      </c>
      <c r="AW713" s="6" t="s">
        <v>2283</v>
      </c>
      <c r="AX713" s="6" t="s">
        <v>2284</v>
      </c>
      <c r="AY713" s="6" t="s">
        <v>2411</v>
      </c>
      <c r="AZ713" s="6"/>
      <c r="BA713" s="6"/>
      <c r="BB713" s="6"/>
      <c r="BC713" s="6" t="s">
        <v>127</v>
      </c>
      <c r="BD713" s="6" t="s">
        <v>127</v>
      </c>
      <c r="BE713" s="6" t="s">
        <v>1477</v>
      </c>
      <c r="BF713" s="6" t="s">
        <v>288</v>
      </c>
      <c r="BG713" s="6" t="s">
        <v>8218</v>
      </c>
      <c r="BH713" s="6" t="s">
        <v>8219</v>
      </c>
    </row>
    <row r="714" spans="1:60" ht="32" customHeight="1" x14ac:dyDescent="0.35">
      <c r="A714" s="13" t="s">
        <v>445</v>
      </c>
      <c r="B714" s="6" t="s">
        <v>3901</v>
      </c>
      <c r="C714" s="5" t="s">
        <v>1652</v>
      </c>
      <c r="D714" s="5" t="s">
        <v>2195</v>
      </c>
      <c r="E714" s="5" t="s">
        <v>446</v>
      </c>
      <c r="F714" s="5" t="s">
        <v>2973</v>
      </c>
      <c r="G714" s="5" t="s">
        <v>6652</v>
      </c>
      <c r="H714" s="5" t="s">
        <v>8220</v>
      </c>
      <c r="I714" s="5" t="s">
        <v>8221</v>
      </c>
      <c r="J714" s="16" t="s">
        <v>94</v>
      </c>
      <c r="K714" s="17" t="s">
        <v>95</v>
      </c>
      <c r="L714" s="5" t="s">
        <v>8222</v>
      </c>
      <c r="M714" s="6" t="s">
        <v>1494</v>
      </c>
      <c r="N714" s="6" t="s">
        <v>2170</v>
      </c>
      <c r="O714" s="6" t="s">
        <v>94</v>
      </c>
      <c r="P714" s="5" t="s">
        <v>2272</v>
      </c>
      <c r="Q714" s="17" t="s">
        <v>95</v>
      </c>
      <c r="R714" s="5" t="s">
        <v>8223</v>
      </c>
      <c r="S714" s="6" t="s">
        <v>2295</v>
      </c>
      <c r="T714" s="5" t="s">
        <v>2296</v>
      </c>
      <c r="U714" s="6"/>
      <c r="V714" s="6" t="s">
        <v>2297</v>
      </c>
      <c r="W714" s="6" t="s">
        <v>1697</v>
      </c>
      <c r="X714" s="5" t="s">
        <v>228</v>
      </c>
      <c r="Y714" s="5" t="s">
        <v>2170</v>
      </c>
      <c r="Z714" s="5" t="str">
        <f t="shared" si="22"/>
        <v>High</v>
      </c>
      <c r="AA714" s="5" t="s">
        <v>1302</v>
      </c>
      <c r="AB714" s="6" t="s">
        <v>1355</v>
      </c>
      <c r="AC714" s="6" t="s">
        <v>99</v>
      </c>
      <c r="AD714" s="5" t="s">
        <v>95</v>
      </c>
      <c r="AE714" s="5" t="s">
        <v>1720</v>
      </c>
      <c r="AF714" s="5" t="s">
        <v>1720</v>
      </c>
      <c r="AG714" s="5" t="s">
        <v>1720</v>
      </c>
      <c r="AH714" s="5" t="s">
        <v>1720</v>
      </c>
      <c r="AI714" s="6" t="str">
        <f t="shared" si="23"/>
        <v>No</v>
      </c>
      <c r="AJ714" s="6" t="s">
        <v>2279</v>
      </c>
      <c r="AK714" s="6" t="s">
        <v>94</v>
      </c>
      <c r="AL714" s="6">
        <f>MATCH(AA714,{"Low","Medium","High"},0)*MATCH(AB714,{"Low","Medium","High"},0)*INDEX({3,2,2,1,1},MATCH(X714,{"Core","Vertical extension","Differentiator","Future","Adjacent"},0))</f>
        <v>9</v>
      </c>
      <c r="AM714" s="5"/>
      <c r="AN714" s="5"/>
      <c r="AO714" s="5">
        <v>2</v>
      </c>
      <c r="AP714" s="5"/>
      <c r="AQ714" s="5"/>
      <c r="AR714" s="5" t="s">
        <v>8224</v>
      </c>
      <c r="AS714" s="51">
        <v>46300</v>
      </c>
      <c r="AT714" s="5" t="s">
        <v>2760</v>
      </c>
      <c r="AU714" s="6" t="s">
        <v>2282</v>
      </c>
      <c r="AV714" s="6" t="s">
        <v>76</v>
      </c>
      <c r="AW714" s="6" t="s">
        <v>76</v>
      </c>
      <c r="AX714" s="6" t="s">
        <v>2284</v>
      </c>
      <c r="AY714" s="6" t="s">
        <v>2285</v>
      </c>
      <c r="AZ714" s="6"/>
      <c r="BA714" s="6" t="s">
        <v>8225</v>
      </c>
      <c r="BB714" s="6"/>
      <c r="BC714" s="6" t="s">
        <v>127</v>
      </c>
      <c r="BD714" s="6" t="s">
        <v>127</v>
      </c>
      <c r="BE714" s="6" t="s">
        <v>1477</v>
      </c>
      <c r="BF714" s="6" t="s">
        <v>95</v>
      </c>
      <c r="BG714" s="6" t="s">
        <v>6659</v>
      </c>
      <c r="BH714" s="6" t="s">
        <v>447</v>
      </c>
    </row>
    <row r="715" spans="1:60" ht="32" customHeight="1" x14ac:dyDescent="0.35">
      <c r="A715" s="13" t="s">
        <v>8226</v>
      </c>
      <c r="B715" s="6" t="s">
        <v>3901</v>
      </c>
      <c r="C715" s="5" t="s">
        <v>1652</v>
      </c>
      <c r="D715" s="5" t="s">
        <v>2201</v>
      </c>
      <c r="E715" s="5" t="s">
        <v>8227</v>
      </c>
      <c r="F715" s="5" t="s">
        <v>8228</v>
      </c>
      <c r="G715" s="5" t="s">
        <v>8229</v>
      </c>
      <c r="H715" s="5" t="s">
        <v>8230</v>
      </c>
      <c r="I715" s="5" t="s">
        <v>8231</v>
      </c>
      <c r="J715" s="17" t="s">
        <v>162</v>
      </c>
      <c r="K715" s="17" t="s">
        <v>95</v>
      </c>
      <c r="L715" s="5" t="s">
        <v>8232</v>
      </c>
      <c r="M715" s="6" t="s">
        <v>1494</v>
      </c>
      <c r="N715" s="6" t="s">
        <v>2170</v>
      </c>
      <c r="O715" s="6" t="s">
        <v>162</v>
      </c>
      <c r="P715" s="5" t="s">
        <v>2272</v>
      </c>
      <c r="Q715" s="17" t="s">
        <v>95</v>
      </c>
      <c r="R715" s="5" t="s">
        <v>8233</v>
      </c>
      <c r="S715" s="6" t="s">
        <v>6358</v>
      </c>
      <c r="T715" s="5" t="s">
        <v>6359</v>
      </c>
      <c r="U715" s="6"/>
      <c r="V715" s="6" t="s">
        <v>2277</v>
      </c>
      <c r="W715" s="6" t="s">
        <v>1697</v>
      </c>
      <c r="X715" s="5" t="s">
        <v>228</v>
      </c>
      <c r="Y715" s="5" t="s">
        <v>2170</v>
      </c>
      <c r="Z715" s="5" t="str">
        <f t="shared" si="22"/>
        <v>Medium</v>
      </c>
      <c r="AA715" s="5" t="s">
        <v>1319</v>
      </c>
      <c r="AB715" s="6" t="s">
        <v>1355</v>
      </c>
      <c r="AC715" s="6" t="s">
        <v>135</v>
      </c>
      <c r="AD715" s="5" t="s">
        <v>95</v>
      </c>
      <c r="AE715" s="5" t="s">
        <v>1720</v>
      </c>
      <c r="AF715" s="5" t="s">
        <v>1720</v>
      </c>
      <c r="AG715" s="5" t="s">
        <v>1720</v>
      </c>
      <c r="AH715" s="5" t="s">
        <v>1720</v>
      </c>
      <c r="AI715" s="6" t="str">
        <f t="shared" si="23"/>
        <v>No</v>
      </c>
      <c r="AJ715" s="6" t="s">
        <v>229</v>
      </c>
      <c r="AK715" s="6" t="s">
        <v>162</v>
      </c>
      <c r="AL715" s="6">
        <f>MATCH(AA715,{"Low","Medium","High"},0)*MATCH(AB715,{"Low","Medium","High"},0)*INDEX({3,2,2,1,1},MATCH(X715,{"Core","Vertical extension","Differentiator","Future","Adjacent"},0))</f>
        <v>6</v>
      </c>
      <c r="AM715" s="5"/>
      <c r="AN715" s="5"/>
      <c r="AO715" s="5"/>
      <c r="AP715" s="5"/>
      <c r="AQ715" s="5"/>
      <c r="AR715" s="5"/>
      <c r="AS715" s="5"/>
      <c r="AT715" s="5"/>
      <c r="AU715" s="6" t="s">
        <v>2317</v>
      </c>
      <c r="AV715" s="6" t="s">
        <v>76</v>
      </c>
      <c r="AW715" s="6" t="s">
        <v>76</v>
      </c>
      <c r="AX715" s="6" t="s">
        <v>2284</v>
      </c>
      <c r="AY715" s="6" t="s">
        <v>2285</v>
      </c>
      <c r="AZ715" s="6"/>
      <c r="BA715" s="6"/>
      <c r="BB715" s="6"/>
      <c r="BC715" s="6" t="s">
        <v>127</v>
      </c>
      <c r="BD715" s="6" t="s">
        <v>127</v>
      </c>
      <c r="BE715" s="6" t="s">
        <v>1477</v>
      </c>
      <c r="BF715" s="6" t="s">
        <v>95</v>
      </c>
      <c r="BG715" s="6" t="s">
        <v>6748</v>
      </c>
      <c r="BH715" s="6" t="s">
        <v>8234</v>
      </c>
    </row>
    <row r="716" spans="1:60" ht="32" customHeight="1" x14ac:dyDescent="0.35">
      <c r="A716" s="13" t="s">
        <v>450</v>
      </c>
      <c r="B716" s="6" t="s">
        <v>3901</v>
      </c>
      <c r="C716" s="5" t="s">
        <v>1652</v>
      </c>
      <c r="D716" s="5" t="s">
        <v>2196</v>
      </c>
      <c r="E716" s="5" t="s">
        <v>451</v>
      </c>
      <c r="F716" s="5" t="s">
        <v>8235</v>
      </c>
      <c r="G716" s="5" t="s">
        <v>2396</v>
      </c>
      <c r="H716" s="5" t="s">
        <v>8236</v>
      </c>
      <c r="I716" s="5" t="s">
        <v>8237</v>
      </c>
      <c r="J716" s="16" t="s">
        <v>94</v>
      </c>
      <c r="K716" s="17" t="s">
        <v>95</v>
      </c>
      <c r="L716" s="5" t="s">
        <v>8238</v>
      </c>
      <c r="M716" s="6" t="s">
        <v>1494</v>
      </c>
      <c r="N716" s="6" t="s">
        <v>2170</v>
      </c>
      <c r="O716" s="6" t="s">
        <v>94</v>
      </c>
      <c r="P716" s="5" t="s">
        <v>2272</v>
      </c>
      <c r="Q716" s="17" t="s">
        <v>95</v>
      </c>
      <c r="R716" s="5" t="s">
        <v>8239</v>
      </c>
      <c r="S716" s="6" t="s">
        <v>2358</v>
      </c>
      <c r="T716" s="5" t="s">
        <v>2359</v>
      </c>
      <c r="U716" s="6"/>
      <c r="V716" s="6" t="s">
        <v>2360</v>
      </c>
      <c r="W716" s="6" t="s">
        <v>1703</v>
      </c>
      <c r="X716" s="5" t="s">
        <v>228</v>
      </c>
      <c r="Y716" s="5" t="s">
        <v>2170</v>
      </c>
      <c r="Z716" s="5" t="str">
        <f t="shared" si="22"/>
        <v>High</v>
      </c>
      <c r="AA716" s="5" t="s">
        <v>1302</v>
      </c>
      <c r="AB716" s="6" t="s">
        <v>1355</v>
      </c>
      <c r="AC716" s="6" t="s">
        <v>99</v>
      </c>
      <c r="AD716" s="5" t="s">
        <v>95</v>
      </c>
      <c r="AE716" s="5" t="s">
        <v>1720</v>
      </c>
      <c r="AF716" s="5" t="s">
        <v>1720</v>
      </c>
      <c r="AG716" s="5" t="s">
        <v>1720</v>
      </c>
      <c r="AH716" s="5" t="s">
        <v>1720</v>
      </c>
      <c r="AI716" s="6" t="str">
        <f t="shared" si="23"/>
        <v>No</v>
      </c>
      <c r="AJ716" s="6" t="s">
        <v>229</v>
      </c>
      <c r="AK716" s="6" t="s">
        <v>94</v>
      </c>
      <c r="AL716" s="6">
        <f>MATCH(AA716,{"Low","Medium","High"},0)*MATCH(AB716,{"Low","Medium","High"},0)*INDEX({3,2,2,1,1},MATCH(X716,{"Core","Vertical extension","Differentiator","Future","Adjacent"},0))</f>
        <v>9</v>
      </c>
      <c r="AM716" s="5"/>
      <c r="AN716" s="5"/>
      <c r="AO716" s="5">
        <v>2</v>
      </c>
      <c r="AP716" s="5"/>
      <c r="AQ716" s="5"/>
      <c r="AR716" s="5" t="s">
        <v>8240</v>
      </c>
      <c r="AS716" s="51">
        <v>46300</v>
      </c>
      <c r="AT716" s="5" t="s">
        <v>2760</v>
      </c>
      <c r="AU716" s="6" t="s">
        <v>95</v>
      </c>
      <c r="AV716" s="6" t="s">
        <v>2898</v>
      </c>
      <c r="AW716" s="6" t="s">
        <v>2898</v>
      </c>
      <c r="AX716" s="6" t="s">
        <v>2284</v>
      </c>
      <c r="AY716" s="6" t="s">
        <v>2285</v>
      </c>
      <c r="AZ716" s="6"/>
      <c r="BA716" s="6" t="s">
        <v>8241</v>
      </c>
      <c r="BB716" s="6" t="s">
        <v>2300</v>
      </c>
      <c r="BC716" s="6" t="s">
        <v>127</v>
      </c>
      <c r="BD716" s="6" t="s">
        <v>127</v>
      </c>
      <c r="BE716" s="6" t="s">
        <v>1477</v>
      </c>
      <c r="BF716" s="6" t="s">
        <v>95</v>
      </c>
      <c r="BG716" s="6" t="s">
        <v>5691</v>
      </c>
      <c r="BH716" s="6" t="s">
        <v>452</v>
      </c>
    </row>
    <row r="717" spans="1:60" ht="32" customHeight="1" x14ac:dyDescent="0.35">
      <c r="A717" s="13" t="s">
        <v>8242</v>
      </c>
      <c r="B717" s="6" t="s">
        <v>8243</v>
      </c>
      <c r="C717" s="5" t="s">
        <v>8244</v>
      </c>
      <c r="D717" s="5" t="s">
        <v>2207</v>
      </c>
      <c r="E717" s="5" t="s">
        <v>8245</v>
      </c>
      <c r="F717" s="5" t="s">
        <v>8246</v>
      </c>
      <c r="G717" s="5" t="s">
        <v>8247</v>
      </c>
      <c r="H717" s="5" t="s">
        <v>8248</v>
      </c>
      <c r="I717" s="5" t="s">
        <v>8249</v>
      </c>
      <c r="J717" s="17" t="s">
        <v>162</v>
      </c>
      <c r="K717" s="19" t="s">
        <v>124</v>
      </c>
      <c r="L717" s="5" t="s">
        <v>8250</v>
      </c>
      <c r="M717" s="6" t="s">
        <v>1495</v>
      </c>
      <c r="N717" s="6" t="s">
        <v>2169</v>
      </c>
      <c r="O717" s="6" t="s">
        <v>162</v>
      </c>
      <c r="P717" s="5" t="s">
        <v>2272</v>
      </c>
      <c r="Q717" s="18" t="s">
        <v>1482</v>
      </c>
      <c r="R717" s="5" t="s">
        <v>8251</v>
      </c>
      <c r="S717" s="6" t="s">
        <v>8252</v>
      </c>
      <c r="T717" s="5" t="s">
        <v>8253</v>
      </c>
      <c r="U717" s="6"/>
      <c r="V717" s="6" t="s">
        <v>3425</v>
      </c>
      <c r="W717" s="6" t="s">
        <v>1701</v>
      </c>
      <c r="X717" s="5" t="s">
        <v>228</v>
      </c>
      <c r="Y717" s="5" t="s">
        <v>8254</v>
      </c>
      <c r="Z717" s="5" t="str">
        <f t="shared" si="22"/>
        <v>Medium</v>
      </c>
      <c r="AA717" s="5" t="s">
        <v>1319</v>
      </c>
      <c r="AB717" s="6" t="s">
        <v>1355</v>
      </c>
      <c r="AC717" s="6" t="s">
        <v>32</v>
      </c>
      <c r="AD717" s="5" t="s">
        <v>2278</v>
      </c>
      <c r="AE717" s="5" t="s">
        <v>1720</v>
      </c>
      <c r="AF717" s="5" t="s">
        <v>1720</v>
      </c>
      <c r="AG717" s="5" t="s">
        <v>1720</v>
      </c>
      <c r="AH717" s="5" t="s">
        <v>1720</v>
      </c>
      <c r="AI717" s="6" t="str">
        <f t="shared" si="23"/>
        <v>No</v>
      </c>
      <c r="AJ717" s="6" t="s">
        <v>2298</v>
      </c>
      <c r="AK717" s="6" t="s">
        <v>204</v>
      </c>
      <c r="AL717" s="6">
        <f>MATCH(AA717,{"Low","Medium","High"},0)*MATCH(AB717,{"Low","Medium","High"},0)*INDEX({3,2,2,1,1},MATCH(X717,{"Core","Vertical extension","Differentiator","Future","Adjacent"},0))</f>
        <v>6</v>
      </c>
      <c r="AM717" s="5"/>
      <c r="AN717" s="5"/>
      <c r="AO717" s="5"/>
      <c r="AP717" s="5"/>
      <c r="AQ717" s="5"/>
      <c r="AR717" s="5"/>
      <c r="AS717" s="5"/>
      <c r="AT717" s="5"/>
      <c r="AU717" s="6" t="s">
        <v>2317</v>
      </c>
      <c r="AV717" s="6" t="s">
        <v>2804</v>
      </c>
      <c r="AW717" s="6" t="s">
        <v>2804</v>
      </c>
      <c r="AX717" s="6" t="s">
        <v>2284</v>
      </c>
      <c r="AY717" s="6" t="s">
        <v>2285</v>
      </c>
      <c r="AZ717" s="6"/>
      <c r="BA717" s="6"/>
      <c r="BB717" s="6"/>
      <c r="BC717" s="6" t="s">
        <v>127</v>
      </c>
      <c r="BD717" s="6" t="s">
        <v>127</v>
      </c>
      <c r="BE717" s="6"/>
      <c r="BF717" s="6"/>
      <c r="BG717" s="6"/>
      <c r="BH717" s="6"/>
    </row>
    <row r="718" spans="1:60" ht="32" customHeight="1" x14ac:dyDescent="0.35">
      <c r="A718" s="13" t="s">
        <v>8255</v>
      </c>
      <c r="B718" s="6" t="s">
        <v>8243</v>
      </c>
      <c r="C718" s="5" t="s">
        <v>8244</v>
      </c>
      <c r="D718" s="5" t="s">
        <v>2207</v>
      </c>
      <c r="E718" s="5" t="s">
        <v>8256</v>
      </c>
      <c r="F718" s="5" t="s">
        <v>8246</v>
      </c>
      <c r="G718" s="5" t="s">
        <v>5201</v>
      </c>
      <c r="H718" s="5" t="s">
        <v>8257</v>
      </c>
      <c r="I718" s="5" t="s">
        <v>8258</v>
      </c>
      <c r="J718" s="17" t="s">
        <v>162</v>
      </c>
      <c r="K718" s="19" t="s">
        <v>124</v>
      </c>
      <c r="L718" s="5" t="s">
        <v>8259</v>
      </c>
      <c r="M718" s="6" t="s">
        <v>1495</v>
      </c>
      <c r="N718" s="6" t="s">
        <v>2169</v>
      </c>
      <c r="O718" s="6" t="s">
        <v>162</v>
      </c>
      <c r="P718" s="5" t="s">
        <v>2272</v>
      </c>
      <c r="Q718" s="18" t="s">
        <v>1482</v>
      </c>
      <c r="R718" s="5" t="s">
        <v>8260</v>
      </c>
      <c r="S718" s="6" t="s">
        <v>8252</v>
      </c>
      <c r="T718" s="5" t="s">
        <v>8253</v>
      </c>
      <c r="U718" s="6"/>
      <c r="V718" s="6" t="s">
        <v>3425</v>
      </c>
      <c r="W718" s="6" t="s">
        <v>1701</v>
      </c>
      <c r="X718" s="5" t="s">
        <v>228</v>
      </c>
      <c r="Y718" s="5" t="s">
        <v>8254</v>
      </c>
      <c r="Z718" s="5" t="str">
        <f t="shared" si="22"/>
        <v>Medium</v>
      </c>
      <c r="AA718" s="5" t="s">
        <v>1319</v>
      </c>
      <c r="AB718" s="6" t="s">
        <v>1355</v>
      </c>
      <c r="AC718" s="6" t="s">
        <v>32</v>
      </c>
      <c r="AD718" s="5" t="s">
        <v>2278</v>
      </c>
      <c r="AE718" s="5" t="s">
        <v>1720</v>
      </c>
      <c r="AF718" s="5" t="s">
        <v>1720</v>
      </c>
      <c r="AG718" s="5" t="s">
        <v>1720</v>
      </c>
      <c r="AH718" s="5" t="s">
        <v>1720</v>
      </c>
      <c r="AI718" s="6" t="str">
        <f t="shared" si="23"/>
        <v>No</v>
      </c>
      <c r="AJ718" s="6" t="s">
        <v>2298</v>
      </c>
      <c r="AK718" s="6" t="s">
        <v>204</v>
      </c>
      <c r="AL718" s="6">
        <f>MATCH(AA718,{"Low","Medium","High"},0)*MATCH(AB718,{"Low","Medium","High"},0)*INDEX({3,2,2,1,1},MATCH(X718,{"Core","Vertical extension","Differentiator","Future","Adjacent"},0))</f>
        <v>6</v>
      </c>
      <c r="AM718" s="5"/>
      <c r="AN718" s="5"/>
      <c r="AO718" s="5"/>
      <c r="AP718" s="5"/>
      <c r="AQ718" s="5"/>
      <c r="AR718" s="5"/>
      <c r="AS718" s="5"/>
      <c r="AT718" s="5"/>
      <c r="AU718" s="6" t="s">
        <v>2317</v>
      </c>
      <c r="AV718" s="6" t="s">
        <v>2804</v>
      </c>
      <c r="AW718" s="6" t="s">
        <v>2804</v>
      </c>
      <c r="AX718" s="6" t="s">
        <v>2284</v>
      </c>
      <c r="AY718" s="6" t="s">
        <v>2285</v>
      </c>
      <c r="AZ718" s="6"/>
      <c r="BA718" s="6"/>
      <c r="BB718" s="6"/>
      <c r="BC718" s="6" t="s">
        <v>127</v>
      </c>
      <c r="BD718" s="6" t="s">
        <v>127</v>
      </c>
      <c r="BE718" s="6"/>
      <c r="BF718" s="6"/>
      <c r="BG718" s="6"/>
      <c r="BH718" s="6"/>
    </row>
    <row r="719" spans="1:60" ht="32" customHeight="1" x14ac:dyDescent="0.35">
      <c r="A719" s="13" t="s">
        <v>8261</v>
      </c>
      <c r="B719" s="6" t="s">
        <v>8243</v>
      </c>
      <c r="C719" s="5" t="s">
        <v>8244</v>
      </c>
      <c r="D719" s="5" t="s">
        <v>2207</v>
      </c>
      <c r="E719" s="5" t="s">
        <v>8262</v>
      </c>
      <c r="F719" s="5" t="s">
        <v>8246</v>
      </c>
      <c r="G719" s="5" t="s">
        <v>8263</v>
      </c>
      <c r="H719" s="5" t="s">
        <v>8264</v>
      </c>
      <c r="I719" s="5" t="s">
        <v>8265</v>
      </c>
      <c r="J719" s="17" t="s">
        <v>162</v>
      </c>
      <c r="K719" s="19" t="s">
        <v>124</v>
      </c>
      <c r="L719" s="5" t="s">
        <v>8266</v>
      </c>
      <c r="M719" s="6" t="s">
        <v>1495</v>
      </c>
      <c r="N719" s="6" t="s">
        <v>2169</v>
      </c>
      <c r="O719" s="6" t="s">
        <v>162</v>
      </c>
      <c r="P719" s="5" t="s">
        <v>2272</v>
      </c>
      <c r="Q719" s="18" t="s">
        <v>1482</v>
      </c>
      <c r="R719" s="5" t="s">
        <v>8267</v>
      </c>
      <c r="S719" s="6" t="s">
        <v>8252</v>
      </c>
      <c r="T719" s="5" t="s">
        <v>8253</v>
      </c>
      <c r="U719" s="6"/>
      <c r="V719" s="6" t="s">
        <v>3425</v>
      </c>
      <c r="W719" s="6" t="s">
        <v>1701</v>
      </c>
      <c r="X719" s="5" t="s">
        <v>228</v>
      </c>
      <c r="Y719" s="5" t="s">
        <v>8254</v>
      </c>
      <c r="Z719" s="5" t="str">
        <f t="shared" si="22"/>
        <v>Medium</v>
      </c>
      <c r="AA719" s="5" t="s">
        <v>1319</v>
      </c>
      <c r="AB719" s="6" t="s">
        <v>1355</v>
      </c>
      <c r="AC719" s="6" t="s">
        <v>32</v>
      </c>
      <c r="AD719" s="5" t="s">
        <v>2278</v>
      </c>
      <c r="AE719" s="5" t="s">
        <v>1720</v>
      </c>
      <c r="AF719" s="5" t="s">
        <v>1720</v>
      </c>
      <c r="AG719" s="5" t="s">
        <v>1720</v>
      </c>
      <c r="AH719" s="5" t="s">
        <v>1720</v>
      </c>
      <c r="AI719" s="6" t="str">
        <f t="shared" si="23"/>
        <v>No</v>
      </c>
      <c r="AJ719" s="6" t="s">
        <v>2298</v>
      </c>
      <c r="AK719" s="6" t="s">
        <v>204</v>
      </c>
      <c r="AL719" s="6">
        <f>MATCH(AA719,{"Low","Medium","High"},0)*MATCH(AB719,{"Low","Medium","High"},0)*INDEX({3,2,2,1,1},MATCH(X719,{"Core","Vertical extension","Differentiator","Future","Adjacent"},0))</f>
        <v>6</v>
      </c>
      <c r="AM719" s="5"/>
      <c r="AN719" s="5"/>
      <c r="AO719" s="5"/>
      <c r="AP719" s="5"/>
      <c r="AQ719" s="5"/>
      <c r="AR719" s="5"/>
      <c r="AS719" s="5"/>
      <c r="AT719" s="5"/>
      <c r="AU719" s="6" t="s">
        <v>2317</v>
      </c>
      <c r="AV719" s="6" t="s">
        <v>2804</v>
      </c>
      <c r="AW719" s="6" t="s">
        <v>2804</v>
      </c>
      <c r="AX719" s="6" t="s">
        <v>2284</v>
      </c>
      <c r="AY719" s="6" t="s">
        <v>2285</v>
      </c>
      <c r="AZ719" s="6"/>
      <c r="BA719" s="6"/>
      <c r="BB719" s="6"/>
      <c r="BC719" s="6" t="s">
        <v>127</v>
      </c>
      <c r="BD719" s="6" t="s">
        <v>127</v>
      </c>
      <c r="BE719" s="6"/>
      <c r="BF719" s="6"/>
      <c r="BG719" s="6"/>
      <c r="BH719" s="6"/>
    </row>
    <row r="720" spans="1:60" ht="32" customHeight="1" x14ac:dyDescent="0.35">
      <c r="A720" s="13" t="s">
        <v>8268</v>
      </c>
      <c r="B720" s="6" t="s">
        <v>8243</v>
      </c>
      <c r="C720" s="5" t="s">
        <v>8244</v>
      </c>
      <c r="D720" s="5" t="s">
        <v>2207</v>
      </c>
      <c r="E720" s="5" t="s">
        <v>8269</v>
      </c>
      <c r="F720" s="5" t="s">
        <v>8246</v>
      </c>
      <c r="G720" s="5" t="s">
        <v>8270</v>
      </c>
      <c r="H720" s="5" t="s">
        <v>8271</v>
      </c>
      <c r="I720" s="5" t="s">
        <v>8272</v>
      </c>
      <c r="J720" s="19" t="s">
        <v>204</v>
      </c>
      <c r="K720" s="19" t="s">
        <v>124</v>
      </c>
      <c r="L720" s="5" t="s">
        <v>8273</v>
      </c>
      <c r="M720" s="6" t="s">
        <v>1495</v>
      </c>
      <c r="N720" s="6" t="s">
        <v>2169</v>
      </c>
      <c r="O720" s="6" t="s">
        <v>204</v>
      </c>
      <c r="P720" s="5" t="s">
        <v>2272</v>
      </c>
      <c r="Q720" s="17" t="s">
        <v>1478</v>
      </c>
      <c r="R720" s="5"/>
      <c r="S720" s="6" t="s">
        <v>8252</v>
      </c>
      <c r="T720" s="5" t="s">
        <v>8253</v>
      </c>
      <c r="U720" s="6"/>
      <c r="V720" s="6" t="s">
        <v>3425</v>
      </c>
      <c r="W720" s="6" t="s">
        <v>1701</v>
      </c>
      <c r="X720" s="5" t="s">
        <v>228</v>
      </c>
      <c r="Y720" s="5" t="s">
        <v>8254</v>
      </c>
      <c r="Z720" s="5" t="str">
        <f t="shared" si="22"/>
        <v>Medium</v>
      </c>
      <c r="AA720" s="5" t="s">
        <v>1319</v>
      </c>
      <c r="AB720" s="6" t="s">
        <v>1355</v>
      </c>
      <c r="AC720" s="6" t="s">
        <v>32</v>
      </c>
      <c r="AD720" s="5" t="s">
        <v>2278</v>
      </c>
      <c r="AE720" s="5" t="s">
        <v>1720</v>
      </c>
      <c r="AF720" s="5" t="s">
        <v>1720</v>
      </c>
      <c r="AG720" s="5" t="s">
        <v>1720</v>
      </c>
      <c r="AH720" s="5" t="s">
        <v>1720</v>
      </c>
      <c r="AI720" s="6" t="str">
        <f t="shared" si="23"/>
        <v>No</v>
      </c>
      <c r="AJ720" s="6" t="s">
        <v>2298</v>
      </c>
      <c r="AK720" s="6" t="s">
        <v>204</v>
      </c>
      <c r="AL720" s="6">
        <f>MATCH(AA720,{"Low","Medium","High"},0)*MATCH(AB720,{"Low","Medium","High"},0)*INDEX({3,2,2,1,1},MATCH(X720,{"Core","Vertical extension","Differentiator","Future","Adjacent"},0))</f>
        <v>6</v>
      </c>
      <c r="AM720" s="5"/>
      <c r="AN720" s="5"/>
      <c r="AO720" s="5"/>
      <c r="AP720" s="5"/>
      <c r="AQ720" s="5"/>
      <c r="AR720" s="5"/>
      <c r="AS720" s="5"/>
      <c r="AT720" s="5"/>
      <c r="AU720" s="6" t="s">
        <v>2317</v>
      </c>
      <c r="AV720" s="6" t="s">
        <v>2804</v>
      </c>
      <c r="AW720" s="6" t="s">
        <v>2804</v>
      </c>
      <c r="AX720" s="6" t="s">
        <v>2284</v>
      </c>
      <c r="AY720" s="6" t="s">
        <v>2285</v>
      </c>
      <c r="AZ720" s="6"/>
      <c r="BA720" s="6"/>
      <c r="BB720" s="6"/>
      <c r="BC720" s="6" t="s">
        <v>127</v>
      </c>
      <c r="BD720" s="6" t="s">
        <v>127</v>
      </c>
      <c r="BE720" s="6"/>
      <c r="BF720" s="6"/>
      <c r="BG720" s="6"/>
      <c r="BH720" s="6"/>
    </row>
    <row r="721" spans="1:60" ht="32" customHeight="1" x14ac:dyDescent="0.35">
      <c r="A721" s="13" t="s">
        <v>8274</v>
      </c>
      <c r="B721" s="6" t="s">
        <v>8243</v>
      </c>
      <c r="C721" s="5" t="s">
        <v>8275</v>
      </c>
      <c r="D721" s="5" t="s">
        <v>2208</v>
      </c>
      <c r="E721" s="5" t="s">
        <v>8276</v>
      </c>
      <c r="F721" s="5" t="s">
        <v>8275</v>
      </c>
      <c r="G721" s="5" t="s">
        <v>3173</v>
      </c>
      <c r="H721" s="5" t="s">
        <v>8277</v>
      </c>
      <c r="I721" s="5" t="s">
        <v>8278</v>
      </c>
      <c r="J721" s="17" t="s">
        <v>162</v>
      </c>
      <c r="K721" s="19" t="s">
        <v>124</v>
      </c>
      <c r="L721" s="5" t="s">
        <v>8279</v>
      </c>
      <c r="M721" s="6" t="s">
        <v>1495</v>
      </c>
      <c r="N721" s="6" t="s">
        <v>2169</v>
      </c>
      <c r="O721" s="6" t="s">
        <v>162</v>
      </c>
      <c r="P721" s="5" t="s">
        <v>2272</v>
      </c>
      <c r="Q721" s="18" t="s">
        <v>1482</v>
      </c>
      <c r="R721" s="5" t="s">
        <v>8280</v>
      </c>
      <c r="S721" s="6" t="s">
        <v>8281</v>
      </c>
      <c r="T721" s="5" t="s">
        <v>8282</v>
      </c>
      <c r="U721" s="6"/>
      <c r="V721" s="6" t="s">
        <v>3425</v>
      </c>
      <c r="W721" s="6" t="s">
        <v>1701</v>
      </c>
      <c r="X721" s="5" t="s">
        <v>228</v>
      </c>
      <c r="Y721" s="5" t="s">
        <v>8254</v>
      </c>
      <c r="Z721" s="5" t="str">
        <f t="shared" si="22"/>
        <v>Medium</v>
      </c>
      <c r="AA721" s="5" t="s">
        <v>1319</v>
      </c>
      <c r="AB721" s="6" t="s">
        <v>1355</v>
      </c>
      <c r="AC721" s="6" t="s">
        <v>32</v>
      </c>
      <c r="AD721" s="5" t="s">
        <v>2278</v>
      </c>
      <c r="AE721" s="5" t="s">
        <v>1720</v>
      </c>
      <c r="AF721" s="5" t="s">
        <v>1720</v>
      </c>
      <c r="AG721" s="5" t="s">
        <v>1720</v>
      </c>
      <c r="AH721" s="5" t="s">
        <v>1720</v>
      </c>
      <c r="AI721" s="6" t="str">
        <f t="shared" si="23"/>
        <v>No</v>
      </c>
      <c r="AJ721" s="6" t="s">
        <v>2298</v>
      </c>
      <c r="AK721" s="6" t="s">
        <v>204</v>
      </c>
      <c r="AL721" s="6">
        <f>MATCH(AA721,{"Low","Medium","High"},0)*MATCH(AB721,{"Low","Medium","High"},0)*INDEX({3,2,2,1,1},MATCH(X721,{"Core","Vertical extension","Differentiator","Future","Adjacent"},0))</f>
        <v>6</v>
      </c>
      <c r="AM721" s="5"/>
      <c r="AN721" s="5"/>
      <c r="AO721" s="5"/>
      <c r="AP721" s="5"/>
      <c r="AQ721" s="5"/>
      <c r="AR721" s="5"/>
      <c r="AS721" s="5"/>
      <c r="AT721" s="5"/>
      <c r="AU721" s="6" t="s">
        <v>2317</v>
      </c>
      <c r="AV721" s="6" t="s">
        <v>2804</v>
      </c>
      <c r="AW721" s="6" t="s">
        <v>2804</v>
      </c>
      <c r="AX721" s="6" t="s">
        <v>2284</v>
      </c>
      <c r="AY721" s="6" t="s">
        <v>2285</v>
      </c>
      <c r="AZ721" s="6"/>
      <c r="BA721" s="6"/>
      <c r="BB721" s="6"/>
      <c r="BC721" s="6" t="s">
        <v>127</v>
      </c>
      <c r="BD721" s="6" t="s">
        <v>127</v>
      </c>
      <c r="BE721" s="6"/>
      <c r="BF721" s="6"/>
      <c r="BG721" s="6"/>
      <c r="BH721" s="6"/>
    </row>
    <row r="722" spans="1:60" ht="32" customHeight="1" x14ac:dyDescent="0.35">
      <c r="A722" s="13" t="s">
        <v>145</v>
      </c>
      <c r="B722" s="6" t="s">
        <v>8243</v>
      </c>
      <c r="C722" s="5" t="s">
        <v>8275</v>
      </c>
      <c r="D722" s="5" t="s">
        <v>2208</v>
      </c>
      <c r="E722" s="5" t="s">
        <v>8283</v>
      </c>
      <c r="F722" s="5" t="s">
        <v>8275</v>
      </c>
      <c r="G722" s="5" t="s">
        <v>5201</v>
      </c>
      <c r="H722" s="5" t="s">
        <v>8284</v>
      </c>
      <c r="I722" s="5" t="s">
        <v>8285</v>
      </c>
      <c r="J722" s="16" t="s">
        <v>94</v>
      </c>
      <c r="K722" s="19" t="s">
        <v>124</v>
      </c>
      <c r="L722" s="5" t="s">
        <v>8286</v>
      </c>
      <c r="M722" s="6" t="s">
        <v>1495</v>
      </c>
      <c r="N722" s="6" t="s">
        <v>2169</v>
      </c>
      <c r="O722" s="6" t="s">
        <v>94</v>
      </c>
      <c r="P722" s="5" t="s">
        <v>2272</v>
      </c>
      <c r="Q722" s="17" t="s">
        <v>1478</v>
      </c>
      <c r="R722" s="5"/>
      <c r="S722" s="6" t="s">
        <v>8281</v>
      </c>
      <c r="T722" s="5" t="s">
        <v>8282</v>
      </c>
      <c r="U722" s="6"/>
      <c r="V722" s="6" t="s">
        <v>3425</v>
      </c>
      <c r="W722" s="6" t="s">
        <v>1701</v>
      </c>
      <c r="X722" s="5" t="s">
        <v>228</v>
      </c>
      <c r="Y722" s="5" t="s">
        <v>8254</v>
      </c>
      <c r="Z722" s="5" t="str">
        <f t="shared" si="22"/>
        <v>High</v>
      </c>
      <c r="AA722" s="5" t="s">
        <v>1302</v>
      </c>
      <c r="AB722" s="6" t="s">
        <v>1355</v>
      </c>
      <c r="AC722" s="6" t="s">
        <v>99</v>
      </c>
      <c r="AD722" s="5" t="s">
        <v>2278</v>
      </c>
      <c r="AE722" s="5" t="s">
        <v>1720</v>
      </c>
      <c r="AF722" s="5" t="s">
        <v>1720</v>
      </c>
      <c r="AG722" s="5" t="s">
        <v>1720</v>
      </c>
      <c r="AH722" s="5" t="s">
        <v>1720</v>
      </c>
      <c r="AI722" s="6" t="str">
        <f t="shared" si="23"/>
        <v>No</v>
      </c>
      <c r="AJ722" s="6" t="s">
        <v>2279</v>
      </c>
      <c r="AK722" s="6" t="s">
        <v>94</v>
      </c>
      <c r="AL722" s="6">
        <f>MATCH(AA722,{"Low","Medium","High"},0)*MATCH(AB722,{"Low","Medium","High"},0)*INDEX({3,2,2,1,1},MATCH(X722,{"Core","Vertical extension","Differentiator","Future","Adjacent"},0))</f>
        <v>9</v>
      </c>
      <c r="AM722" s="5"/>
      <c r="AN722" s="5"/>
      <c r="AO722" s="5"/>
      <c r="AP722" s="5"/>
      <c r="AQ722" s="5"/>
      <c r="AR722" s="5" t="s">
        <v>8287</v>
      </c>
      <c r="AS722" s="51">
        <v>46300</v>
      </c>
      <c r="AT722" s="5" t="s">
        <v>2760</v>
      </c>
      <c r="AU722" s="6" t="s">
        <v>2282</v>
      </c>
      <c r="AV722" s="6" t="s">
        <v>2804</v>
      </c>
      <c r="AW722" s="6" t="s">
        <v>2804</v>
      </c>
      <c r="AX722" s="6" t="s">
        <v>2284</v>
      </c>
      <c r="AY722" s="6" t="s">
        <v>2285</v>
      </c>
      <c r="AZ722" s="6"/>
      <c r="BA722" s="6" t="s">
        <v>8288</v>
      </c>
      <c r="BB722" s="6"/>
      <c r="BC722" s="6" t="s">
        <v>127</v>
      </c>
      <c r="BD722" s="6" t="s">
        <v>127</v>
      </c>
      <c r="BE722" s="6"/>
      <c r="BF722" s="6"/>
      <c r="BG722" s="6"/>
      <c r="BH722" s="6"/>
    </row>
    <row r="723" spans="1:60" ht="32" customHeight="1" x14ac:dyDescent="0.35">
      <c r="A723" s="13" t="s">
        <v>8289</v>
      </c>
      <c r="B723" s="6" t="s">
        <v>8243</v>
      </c>
      <c r="C723" s="5" t="s">
        <v>8290</v>
      </c>
      <c r="D723" s="5" t="s">
        <v>2208</v>
      </c>
      <c r="E723" s="5" t="s">
        <v>8291</v>
      </c>
      <c r="F723" s="5" t="s">
        <v>8290</v>
      </c>
      <c r="G723" s="5" t="s">
        <v>5201</v>
      </c>
      <c r="H723" s="5" t="s">
        <v>8292</v>
      </c>
      <c r="I723" s="5" t="s">
        <v>8293</v>
      </c>
      <c r="J723" s="17" t="s">
        <v>162</v>
      </c>
      <c r="K723" s="19" t="s">
        <v>124</v>
      </c>
      <c r="L723" s="5" t="s">
        <v>8294</v>
      </c>
      <c r="M723" s="6" t="s">
        <v>1495</v>
      </c>
      <c r="N723" s="6" t="s">
        <v>2169</v>
      </c>
      <c r="O723" s="6" t="s">
        <v>162</v>
      </c>
      <c r="P723" s="5" t="s">
        <v>2272</v>
      </c>
      <c r="Q723" s="17" t="s">
        <v>1478</v>
      </c>
      <c r="R723" s="5"/>
      <c r="S723" s="6" t="s">
        <v>8281</v>
      </c>
      <c r="T723" s="5" t="s">
        <v>8282</v>
      </c>
      <c r="U723" s="6"/>
      <c r="V723" s="6" t="s">
        <v>3425</v>
      </c>
      <c r="W723" s="6" t="s">
        <v>1701</v>
      </c>
      <c r="X723" s="5" t="s">
        <v>228</v>
      </c>
      <c r="Y723" s="5" t="s">
        <v>3426</v>
      </c>
      <c r="Z723" s="5" t="str">
        <f t="shared" si="22"/>
        <v>Medium</v>
      </c>
      <c r="AA723" s="5" t="s">
        <v>1319</v>
      </c>
      <c r="AB723" s="6" t="s">
        <v>1355</v>
      </c>
      <c r="AC723" s="6" t="s">
        <v>32</v>
      </c>
      <c r="AD723" s="5" t="s">
        <v>2278</v>
      </c>
      <c r="AE723" s="5" t="s">
        <v>1720</v>
      </c>
      <c r="AF723" s="5" t="s">
        <v>1720</v>
      </c>
      <c r="AG723" s="5" t="s">
        <v>1720</v>
      </c>
      <c r="AH723" s="5" t="s">
        <v>1720</v>
      </c>
      <c r="AI723" s="6" t="str">
        <f t="shared" si="23"/>
        <v>No</v>
      </c>
      <c r="AJ723" s="6" t="s">
        <v>2298</v>
      </c>
      <c r="AK723" s="6" t="s">
        <v>204</v>
      </c>
      <c r="AL723" s="6">
        <f>MATCH(AA723,{"Low","Medium","High"},0)*MATCH(AB723,{"Low","Medium","High"},0)*INDEX({3,2,2,1,1},MATCH(X723,{"Core","Vertical extension","Differentiator","Future","Adjacent"},0))</f>
        <v>6</v>
      </c>
      <c r="AM723" s="5"/>
      <c r="AN723" s="5"/>
      <c r="AO723" s="5"/>
      <c r="AP723" s="5"/>
      <c r="AQ723" s="5"/>
      <c r="AR723" s="5"/>
      <c r="AS723" s="5"/>
      <c r="AT723" s="5"/>
      <c r="AU723" s="6" t="s">
        <v>2317</v>
      </c>
      <c r="AV723" s="6" t="s">
        <v>2804</v>
      </c>
      <c r="AW723" s="6" t="s">
        <v>2804</v>
      </c>
      <c r="AX723" s="6" t="s">
        <v>2284</v>
      </c>
      <c r="AY723" s="6" t="s">
        <v>2285</v>
      </c>
      <c r="AZ723" s="6"/>
      <c r="BA723" s="6"/>
      <c r="BB723" s="6"/>
      <c r="BC723" s="6" t="s">
        <v>127</v>
      </c>
      <c r="BD723" s="6" t="s">
        <v>127</v>
      </c>
      <c r="BE723" s="6"/>
      <c r="BF723" s="6"/>
      <c r="BG723" s="6"/>
      <c r="BH723" s="6"/>
    </row>
    <row r="724" spans="1:60" ht="32" customHeight="1" x14ac:dyDescent="0.35">
      <c r="A724" s="13" t="s">
        <v>8295</v>
      </c>
      <c r="B724" s="6" t="s">
        <v>8243</v>
      </c>
      <c r="C724" s="5" t="s">
        <v>5201</v>
      </c>
      <c r="D724" s="5" t="s">
        <v>2208</v>
      </c>
      <c r="E724" s="5" t="s">
        <v>8296</v>
      </c>
      <c r="F724" s="5" t="s">
        <v>5201</v>
      </c>
      <c r="G724" s="5" t="s">
        <v>8297</v>
      </c>
      <c r="H724" s="5" t="s">
        <v>8298</v>
      </c>
      <c r="I724" s="5" t="s">
        <v>8299</v>
      </c>
      <c r="J724" s="17" t="s">
        <v>162</v>
      </c>
      <c r="K724" s="19" t="s">
        <v>124</v>
      </c>
      <c r="L724" s="5" t="s">
        <v>8300</v>
      </c>
      <c r="M724" s="6" t="s">
        <v>1495</v>
      </c>
      <c r="N724" s="6" t="s">
        <v>2169</v>
      </c>
      <c r="O724" s="6" t="s">
        <v>162</v>
      </c>
      <c r="P724" s="5" t="s">
        <v>2272</v>
      </c>
      <c r="Q724" s="18" t="s">
        <v>1482</v>
      </c>
      <c r="R724" s="5" t="s">
        <v>8301</v>
      </c>
      <c r="S724" s="6" t="s">
        <v>8281</v>
      </c>
      <c r="T724" s="5" t="s">
        <v>8282</v>
      </c>
      <c r="U724" s="6"/>
      <c r="V724" s="6" t="s">
        <v>3425</v>
      </c>
      <c r="W724" s="6" t="s">
        <v>1701</v>
      </c>
      <c r="X724" s="5" t="s">
        <v>228</v>
      </c>
      <c r="Y724" s="5" t="s">
        <v>3426</v>
      </c>
      <c r="Z724" s="5" t="str">
        <f t="shared" si="22"/>
        <v>Medium</v>
      </c>
      <c r="AA724" s="5" t="s">
        <v>1319</v>
      </c>
      <c r="AB724" s="6" t="s">
        <v>1355</v>
      </c>
      <c r="AC724" s="6" t="s">
        <v>32</v>
      </c>
      <c r="AD724" s="5" t="s">
        <v>2278</v>
      </c>
      <c r="AE724" s="5" t="s">
        <v>1720</v>
      </c>
      <c r="AF724" s="5" t="s">
        <v>1720</v>
      </c>
      <c r="AG724" s="5" t="s">
        <v>1720</v>
      </c>
      <c r="AH724" s="5" t="s">
        <v>1720</v>
      </c>
      <c r="AI724" s="6" t="str">
        <f t="shared" si="23"/>
        <v>No</v>
      </c>
      <c r="AJ724" s="6" t="s">
        <v>2298</v>
      </c>
      <c r="AK724" s="6" t="s">
        <v>204</v>
      </c>
      <c r="AL724" s="6">
        <f>MATCH(AA724,{"Low","Medium","High"},0)*MATCH(AB724,{"Low","Medium","High"},0)*INDEX({3,2,2,1,1},MATCH(X724,{"Core","Vertical extension","Differentiator","Future","Adjacent"},0))</f>
        <v>6</v>
      </c>
      <c r="AM724" s="5"/>
      <c r="AN724" s="5"/>
      <c r="AO724" s="5"/>
      <c r="AP724" s="5"/>
      <c r="AQ724" s="5"/>
      <c r="AR724" s="5"/>
      <c r="AS724" s="5"/>
      <c r="AT724" s="5"/>
      <c r="AU724" s="6" t="s">
        <v>2317</v>
      </c>
      <c r="AV724" s="6" t="s">
        <v>2804</v>
      </c>
      <c r="AW724" s="6" t="s">
        <v>2804</v>
      </c>
      <c r="AX724" s="6" t="s">
        <v>2284</v>
      </c>
      <c r="AY724" s="6" t="s">
        <v>2285</v>
      </c>
      <c r="AZ724" s="6"/>
      <c r="BA724" s="6" t="s">
        <v>8302</v>
      </c>
      <c r="BB724" s="6" t="s">
        <v>8303</v>
      </c>
      <c r="BC724" s="6" t="s">
        <v>127</v>
      </c>
      <c r="BD724" s="6" t="s">
        <v>127</v>
      </c>
      <c r="BE724" s="6"/>
      <c r="BF724" s="6"/>
      <c r="BG724" s="6"/>
      <c r="BH724" s="6"/>
    </row>
    <row r="725" spans="1:60" ht="32" customHeight="1" x14ac:dyDescent="0.35">
      <c r="A725" s="13" t="s">
        <v>8304</v>
      </c>
      <c r="B725" s="6" t="s">
        <v>8243</v>
      </c>
      <c r="C725" s="5" t="s">
        <v>5201</v>
      </c>
      <c r="D725" s="5" t="s">
        <v>2209</v>
      </c>
      <c r="E725" s="5" t="s">
        <v>8305</v>
      </c>
      <c r="F725" s="5" t="s">
        <v>5201</v>
      </c>
      <c r="G725" s="5" t="s">
        <v>1685</v>
      </c>
      <c r="H725" s="5" t="s">
        <v>8306</v>
      </c>
      <c r="I725" s="5" t="s">
        <v>8307</v>
      </c>
      <c r="J725" s="17" t="s">
        <v>162</v>
      </c>
      <c r="K725" s="19" t="s">
        <v>124</v>
      </c>
      <c r="L725" s="5" t="s">
        <v>8308</v>
      </c>
      <c r="M725" s="6" t="s">
        <v>1495</v>
      </c>
      <c r="N725" s="6" t="s">
        <v>2169</v>
      </c>
      <c r="O725" s="6" t="s">
        <v>162</v>
      </c>
      <c r="P725" s="5" t="s">
        <v>2272</v>
      </c>
      <c r="Q725" s="18" t="s">
        <v>1482</v>
      </c>
      <c r="R725" s="5" t="s">
        <v>8309</v>
      </c>
      <c r="S725" s="6" t="s">
        <v>8310</v>
      </c>
      <c r="T725" s="5" t="s">
        <v>8311</v>
      </c>
      <c r="U725" s="6"/>
      <c r="V725" s="6" t="s">
        <v>3425</v>
      </c>
      <c r="W725" s="6" t="s">
        <v>1701</v>
      </c>
      <c r="X725" s="5" t="s">
        <v>228</v>
      </c>
      <c r="Y725" s="5" t="s">
        <v>3426</v>
      </c>
      <c r="Z725" s="5" t="str">
        <f t="shared" si="22"/>
        <v>Medium</v>
      </c>
      <c r="AA725" s="5" t="s">
        <v>1319</v>
      </c>
      <c r="AB725" s="6" t="s">
        <v>1355</v>
      </c>
      <c r="AC725" s="6" t="s">
        <v>32</v>
      </c>
      <c r="AD725" s="5" t="s">
        <v>2278</v>
      </c>
      <c r="AE725" s="5" t="s">
        <v>1720</v>
      </c>
      <c r="AF725" s="5" t="s">
        <v>1720</v>
      </c>
      <c r="AG725" s="5" t="s">
        <v>1720</v>
      </c>
      <c r="AH725" s="5" t="s">
        <v>1720</v>
      </c>
      <c r="AI725" s="6" t="str">
        <f t="shared" si="23"/>
        <v>No</v>
      </c>
      <c r="AJ725" s="6" t="s">
        <v>2298</v>
      </c>
      <c r="AK725" s="6" t="s">
        <v>204</v>
      </c>
      <c r="AL725" s="6">
        <f>MATCH(AA725,{"Low","Medium","High"},0)*MATCH(AB725,{"Low","Medium","High"},0)*INDEX({3,2,2,1,1},MATCH(X725,{"Core","Vertical extension","Differentiator","Future","Adjacent"},0))</f>
        <v>6</v>
      </c>
      <c r="AM725" s="5"/>
      <c r="AN725" s="5"/>
      <c r="AO725" s="5"/>
      <c r="AP725" s="5"/>
      <c r="AQ725" s="5"/>
      <c r="AR725" s="5"/>
      <c r="AS725" s="5"/>
      <c r="AT725" s="5"/>
      <c r="AU725" s="6" t="s">
        <v>2317</v>
      </c>
      <c r="AV725" s="6" t="s">
        <v>2804</v>
      </c>
      <c r="AW725" s="6" t="s">
        <v>2804</v>
      </c>
      <c r="AX725" s="6" t="s">
        <v>2284</v>
      </c>
      <c r="AY725" s="6" t="s">
        <v>2285</v>
      </c>
      <c r="AZ725" s="6"/>
      <c r="BA725" s="6" t="s">
        <v>8312</v>
      </c>
      <c r="BB725" s="6" t="s">
        <v>8313</v>
      </c>
      <c r="BC725" s="6" t="s">
        <v>127</v>
      </c>
      <c r="BD725" s="6" t="s">
        <v>127</v>
      </c>
      <c r="BE725" s="6"/>
      <c r="BF725" s="6"/>
      <c r="BG725" s="6"/>
      <c r="BH725" s="6"/>
    </row>
    <row r="726" spans="1:60" ht="32" customHeight="1" x14ac:dyDescent="0.35">
      <c r="A726" s="13" t="s">
        <v>8314</v>
      </c>
      <c r="B726" s="6" t="s">
        <v>8243</v>
      </c>
      <c r="C726" s="5" t="s">
        <v>8315</v>
      </c>
      <c r="D726" s="5" t="s">
        <v>2209</v>
      </c>
      <c r="E726" s="5" t="s">
        <v>8316</v>
      </c>
      <c r="F726" s="5" t="s">
        <v>8315</v>
      </c>
      <c r="G726" s="5" t="s">
        <v>8263</v>
      </c>
      <c r="H726" s="5" t="s">
        <v>8317</v>
      </c>
      <c r="I726" s="5" t="s">
        <v>8318</v>
      </c>
      <c r="J726" s="17" t="s">
        <v>162</v>
      </c>
      <c r="K726" s="19" t="s">
        <v>124</v>
      </c>
      <c r="L726" s="5" t="s">
        <v>8319</v>
      </c>
      <c r="M726" s="6" t="s">
        <v>1495</v>
      </c>
      <c r="N726" s="6" t="s">
        <v>2169</v>
      </c>
      <c r="O726" s="6" t="s">
        <v>162</v>
      </c>
      <c r="P726" s="5" t="s">
        <v>2272</v>
      </c>
      <c r="Q726" s="18" t="s">
        <v>1482</v>
      </c>
      <c r="R726" s="5" t="s">
        <v>8320</v>
      </c>
      <c r="S726" s="6" t="s">
        <v>8310</v>
      </c>
      <c r="T726" s="5" t="s">
        <v>8311</v>
      </c>
      <c r="U726" s="6"/>
      <c r="V726" s="6" t="s">
        <v>3425</v>
      </c>
      <c r="W726" s="6" t="s">
        <v>1701</v>
      </c>
      <c r="X726" s="5" t="s">
        <v>228</v>
      </c>
      <c r="Y726" s="5" t="s">
        <v>3426</v>
      </c>
      <c r="Z726" s="5" t="str">
        <f t="shared" si="22"/>
        <v>Medium</v>
      </c>
      <c r="AA726" s="5" t="s">
        <v>1319</v>
      </c>
      <c r="AB726" s="6" t="s">
        <v>1355</v>
      </c>
      <c r="AC726" s="6" t="s">
        <v>32</v>
      </c>
      <c r="AD726" s="5" t="s">
        <v>2278</v>
      </c>
      <c r="AE726" s="5" t="s">
        <v>1720</v>
      </c>
      <c r="AF726" s="5" t="s">
        <v>1720</v>
      </c>
      <c r="AG726" s="5" t="s">
        <v>1720</v>
      </c>
      <c r="AH726" s="5" t="s">
        <v>1720</v>
      </c>
      <c r="AI726" s="6" t="str">
        <f t="shared" si="23"/>
        <v>No</v>
      </c>
      <c r="AJ726" s="6" t="s">
        <v>2298</v>
      </c>
      <c r="AK726" s="6" t="s">
        <v>204</v>
      </c>
      <c r="AL726" s="6">
        <f>MATCH(AA726,{"Low","Medium","High"},0)*MATCH(AB726,{"Low","Medium","High"},0)*INDEX({3,2,2,1,1},MATCH(X726,{"Core","Vertical extension","Differentiator","Future","Adjacent"},0))</f>
        <v>6</v>
      </c>
      <c r="AM726" s="5"/>
      <c r="AN726" s="5"/>
      <c r="AO726" s="5"/>
      <c r="AP726" s="5"/>
      <c r="AQ726" s="5"/>
      <c r="AR726" s="5"/>
      <c r="AS726" s="5"/>
      <c r="AT726" s="5"/>
      <c r="AU726" s="6" t="s">
        <v>2317</v>
      </c>
      <c r="AV726" s="6" t="s">
        <v>2804</v>
      </c>
      <c r="AW726" s="6" t="s">
        <v>2804</v>
      </c>
      <c r="AX726" s="6" t="s">
        <v>2284</v>
      </c>
      <c r="AY726" s="6" t="s">
        <v>2285</v>
      </c>
      <c r="AZ726" s="6"/>
      <c r="BA726" s="6"/>
      <c r="BB726" s="6"/>
      <c r="BC726" s="6" t="s">
        <v>127</v>
      </c>
      <c r="BD726" s="6" t="s">
        <v>127</v>
      </c>
      <c r="BE726" s="6"/>
      <c r="BF726" s="6"/>
      <c r="BG726" s="6"/>
      <c r="BH726" s="6"/>
    </row>
    <row r="727" spans="1:60" ht="32" customHeight="1" x14ac:dyDescent="0.35">
      <c r="A727" s="13" t="s">
        <v>8321</v>
      </c>
      <c r="B727" s="6" t="s">
        <v>8243</v>
      </c>
      <c r="C727" s="5" t="s">
        <v>8322</v>
      </c>
      <c r="D727" s="5" t="s">
        <v>2209</v>
      </c>
      <c r="E727" s="5" t="s">
        <v>8323</v>
      </c>
      <c r="F727" s="5" t="s">
        <v>8322</v>
      </c>
      <c r="G727" s="5" t="s">
        <v>8324</v>
      </c>
      <c r="H727" s="5" t="s">
        <v>8325</v>
      </c>
      <c r="I727" s="5" t="s">
        <v>8326</v>
      </c>
      <c r="J727" s="17" t="s">
        <v>162</v>
      </c>
      <c r="K727" s="19" t="s">
        <v>124</v>
      </c>
      <c r="L727" s="5" t="s">
        <v>8327</v>
      </c>
      <c r="M727" s="6" t="s">
        <v>1495</v>
      </c>
      <c r="N727" s="6" t="s">
        <v>2169</v>
      </c>
      <c r="O727" s="6" t="s">
        <v>162</v>
      </c>
      <c r="P727" s="5" t="s">
        <v>2272</v>
      </c>
      <c r="Q727" s="18" t="s">
        <v>1482</v>
      </c>
      <c r="R727" s="5" t="s">
        <v>8328</v>
      </c>
      <c r="S727" s="6" t="s">
        <v>8310</v>
      </c>
      <c r="T727" s="5" t="s">
        <v>8311</v>
      </c>
      <c r="U727" s="6"/>
      <c r="V727" s="6" t="s">
        <v>3425</v>
      </c>
      <c r="W727" s="6" t="s">
        <v>1701</v>
      </c>
      <c r="X727" s="5" t="s">
        <v>228</v>
      </c>
      <c r="Y727" s="5" t="s">
        <v>2168</v>
      </c>
      <c r="Z727" s="5" t="str">
        <f t="shared" si="22"/>
        <v>Medium</v>
      </c>
      <c r="AA727" s="5" t="s">
        <v>1319</v>
      </c>
      <c r="AB727" s="6" t="s">
        <v>1355</v>
      </c>
      <c r="AC727" s="6" t="s">
        <v>32</v>
      </c>
      <c r="AD727" s="5" t="s">
        <v>2278</v>
      </c>
      <c r="AE727" s="5" t="s">
        <v>1720</v>
      </c>
      <c r="AF727" s="5" t="s">
        <v>1720</v>
      </c>
      <c r="AG727" s="5" t="s">
        <v>1720</v>
      </c>
      <c r="AH727" s="5" t="s">
        <v>1720</v>
      </c>
      <c r="AI727" s="6" t="str">
        <f t="shared" si="23"/>
        <v>No</v>
      </c>
      <c r="AJ727" s="6" t="s">
        <v>2298</v>
      </c>
      <c r="AK727" s="6" t="s">
        <v>204</v>
      </c>
      <c r="AL727" s="6">
        <f>MATCH(AA727,{"Low","Medium","High"},0)*MATCH(AB727,{"Low","Medium","High"},0)*INDEX({3,2,2,1,1},MATCH(X727,{"Core","Vertical extension","Differentiator","Future","Adjacent"},0))</f>
        <v>6</v>
      </c>
      <c r="AM727" s="5"/>
      <c r="AN727" s="5"/>
      <c r="AO727" s="5"/>
      <c r="AP727" s="5"/>
      <c r="AQ727" s="5"/>
      <c r="AR727" s="5"/>
      <c r="AS727" s="5"/>
      <c r="AT727" s="5"/>
      <c r="AU727" s="6" t="s">
        <v>2317</v>
      </c>
      <c r="AV727" s="6" t="s">
        <v>76</v>
      </c>
      <c r="AW727" s="6" t="s">
        <v>76</v>
      </c>
      <c r="AX727" s="6" t="s">
        <v>2284</v>
      </c>
      <c r="AY727" s="6" t="s">
        <v>2285</v>
      </c>
      <c r="AZ727" s="6"/>
      <c r="BA727" s="6"/>
      <c r="BB727" s="6"/>
      <c r="BC727" s="6" t="s">
        <v>127</v>
      </c>
      <c r="BD727" s="6" t="s">
        <v>127</v>
      </c>
      <c r="BE727" s="6"/>
      <c r="BF727" s="6"/>
      <c r="BG727" s="6"/>
      <c r="BH727" s="6"/>
    </row>
    <row r="728" spans="1:60" ht="32" customHeight="1" x14ac:dyDescent="0.35">
      <c r="A728" s="13" t="s">
        <v>8329</v>
      </c>
      <c r="B728" s="6" t="s">
        <v>8243</v>
      </c>
      <c r="C728" s="5" t="s">
        <v>8315</v>
      </c>
      <c r="D728" s="5" t="s">
        <v>2209</v>
      </c>
      <c r="E728" s="5" t="s">
        <v>8330</v>
      </c>
      <c r="F728" s="5" t="s">
        <v>8315</v>
      </c>
      <c r="G728" s="5" t="s">
        <v>8331</v>
      </c>
      <c r="H728" s="5" t="s">
        <v>8332</v>
      </c>
      <c r="I728" s="5" t="s">
        <v>8333</v>
      </c>
      <c r="J728" s="19" t="s">
        <v>204</v>
      </c>
      <c r="K728" s="19" t="s">
        <v>124</v>
      </c>
      <c r="L728" s="5" t="s">
        <v>8334</v>
      </c>
      <c r="M728" s="6" t="s">
        <v>1495</v>
      </c>
      <c r="N728" s="6" t="s">
        <v>2169</v>
      </c>
      <c r="O728" s="6" t="s">
        <v>204</v>
      </c>
      <c r="P728" s="5" t="s">
        <v>2272</v>
      </c>
      <c r="Q728" s="18" t="s">
        <v>1482</v>
      </c>
      <c r="R728" s="5" t="s">
        <v>8335</v>
      </c>
      <c r="S728" s="6" t="s">
        <v>8310</v>
      </c>
      <c r="T728" s="5" t="s">
        <v>8311</v>
      </c>
      <c r="U728" s="6"/>
      <c r="V728" s="6" t="s">
        <v>3425</v>
      </c>
      <c r="W728" s="6" t="s">
        <v>1701</v>
      </c>
      <c r="X728" s="5" t="s">
        <v>228</v>
      </c>
      <c r="Y728" s="5" t="s">
        <v>3426</v>
      </c>
      <c r="Z728" s="5" t="str">
        <f t="shared" si="22"/>
        <v>Medium</v>
      </c>
      <c r="AA728" s="5" t="s">
        <v>1319</v>
      </c>
      <c r="AB728" s="6" t="s">
        <v>1355</v>
      </c>
      <c r="AC728" s="6" t="s">
        <v>32</v>
      </c>
      <c r="AD728" s="5" t="s">
        <v>2278</v>
      </c>
      <c r="AE728" s="5" t="s">
        <v>1720</v>
      </c>
      <c r="AF728" s="5" t="s">
        <v>1720</v>
      </c>
      <c r="AG728" s="5" t="s">
        <v>1720</v>
      </c>
      <c r="AH728" s="5" t="s">
        <v>1720</v>
      </c>
      <c r="AI728" s="6" t="str">
        <f t="shared" si="23"/>
        <v>No</v>
      </c>
      <c r="AJ728" s="6" t="s">
        <v>2298</v>
      </c>
      <c r="AK728" s="6" t="s">
        <v>204</v>
      </c>
      <c r="AL728" s="6">
        <f>MATCH(AA728,{"Low","Medium","High"},0)*MATCH(AB728,{"Low","Medium","High"},0)*INDEX({3,2,2,1,1},MATCH(X728,{"Core","Vertical extension","Differentiator","Future","Adjacent"},0))</f>
        <v>6</v>
      </c>
      <c r="AM728" s="5"/>
      <c r="AN728" s="5"/>
      <c r="AO728" s="5"/>
      <c r="AP728" s="5"/>
      <c r="AQ728" s="5"/>
      <c r="AR728" s="5"/>
      <c r="AS728" s="5"/>
      <c r="AT728" s="5"/>
      <c r="AU728" s="6" t="s">
        <v>2317</v>
      </c>
      <c r="AV728" s="6" t="s">
        <v>2804</v>
      </c>
      <c r="AW728" s="6" t="s">
        <v>2804</v>
      </c>
      <c r="AX728" s="6" t="s">
        <v>2284</v>
      </c>
      <c r="AY728" s="6" t="s">
        <v>2285</v>
      </c>
      <c r="AZ728" s="6"/>
      <c r="BA728" s="6"/>
      <c r="BB728" s="6"/>
      <c r="BC728" s="6" t="s">
        <v>127</v>
      </c>
      <c r="BD728" s="6" t="s">
        <v>127</v>
      </c>
      <c r="BE728" s="6"/>
      <c r="BF728" s="6"/>
      <c r="BG728" s="6"/>
      <c r="BH728" s="6"/>
    </row>
    <row r="729" spans="1:60" ht="32" customHeight="1" x14ac:dyDescent="0.35">
      <c r="A729" s="13" t="s">
        <v>8336</v>
      </c>
      <c r="B729" s="6" t="s">
        <v>8243</v>
      </c>
      <c r="C729" s="5" t="s">
        <v>8337</v>
      </c>
      <c r="D729" s="5" t="s">
        <v>2210</v>
      </c>
      <c r="E729" s="5" t="s">
        <v>8338</v>
      </c>
      <c r="F729" s="5" t="s">
        <v>8337</v>
      </c>
      <c r="G729" s="5" t="s">
        <v>5201</v>
      </c>
      <c r="H729" s="5" t="s">
        <v>8339</v>
      </c>
      <c r="I729" s="5" t="s">
        <v>8340</v>
      </c>
      <c r="J729" s="17" t="s">
        <v>162</v>
      </c>
      <c r="K729" s="19" t="s">
        <v>124</v>
      </c>
      <c r="L729" s="5" t="s">
        <v>8341</v>
      </c>
      <c r="M729" s="6" t="s">
        <v>1495</v>
      </c>
      <c r="N729" s="6" t="s">
        <v>2169</v>
      </c>
      <c r="O729" s="6" t="s">
        <v>162</v>
      </c>
      <c r="P729" s="5" t="s">
        <v>2272</v>
      </c>
      <c r="Q729" s="18" t="s">
        <v>1482</v>
      </c>
      <c r="R729" s="5" t="s">
        <v>8342</v>
      </c>
      <c r="S729" s="6" t="s">
        <v>8343</v>
      </c>
      <c r="T729" s="5" t="s">
        <v>8344</v>
      </c>
      <c r="U729" s="6"/>
      <c r="V729" s="6" t="s">
        <v>3425</v>
      </c>
      <c r="W729" s="6" t="s">
        <v>1701</v>
      </c>
      <c r="X729" s="5" t="s">
        <v>228</v>
      </c>
      <c r="Y729" s="5" t="s">
        <v>8254</v>
      </c>
      <c r="Z729" s="5" t="str">
        <f t="shared" si="22"/>
        <v>Medium</v>
      </c>
      <c r="AA729" s="5" t="s">
        <v>1319</v>
      </c>
      <c r="AB729" s="6" t="s">
        <v>1355</v>
      </c>
      <c r="AC729" s="6" t="s">
        <v>32</v>
      </c>
      <c r="AD729" s="5" t="s">
        <v>2278</v>
      </c>
      <c r="AE729" s="5" t="s">
        <v>1720</v>
      </c>
      <c r="AF729" s="5" t="s">
        <v>1720</v>
      </c>
      <c r="AG729" s="5" t="s">
        <v>1720</v>
      </c>
      <c r="AH729" s="5" t="s">
        <v>1720</v>
      </c>
      <c r="AI729" s="6" t="str">
        <f t="shared" si="23"/>
        <v>No</v>
      </c>
      <c r="AJ729" s="6" t="s">
        <v>2298</v>
      </c>
      <c r="AK729" s="6" t="s">
        <v>204</v>
      </c>
      <c r="AL729" s="6">
        <f>MATCH(AA729,{"Low","Medium","High"},0)*MATCH(AB729,{"Low","Medium","High"},0)*INDEX({3,2,2,1,1},MATCH(X729,{"Core","Vertical extension","Differentiator","Future","Adjacent"},0))</f>
        <v>6</v>
      </c>
      <c r="AM729" s="5"/>
      <c r="AN729" s="5"/>
      <c r="AO729" s="5"/>
      <c r="AP729" s="5"/>
      <c r="AQ729" s="5"/>
      <c r="AR729" s="5"/>
      <c r="AS729" s="5"/>
      <c r="AT729" s="5"/>
      <c r="AU729" s="6" t="s">
        <v>2317</v>
      </c>
      <c r="AV729" s="6" t="s">
        <v>2804</v>
      </c>
      <c r="AW729" s="6" t="s">
        <v>2804</v>
      </c>
      <c r="AX729" s="6" t="s">
        <v>2284</v>
      </c>
      <c r="AY729" s="6" t="s">
        <v>2285</v>
      </c>
      <c r="AZ729" s="6"/>
      <c r="BA729" s="6"/>
      <c r="BB729" s="6"/>
      <c r="BC729" s="6" t="s">
        <v>127</v>
      </c>
      <c r="BD729" s="6" t="s">
        <v>127</v>
      </c>
      <c r="BE729" s="6"/>
      <c r="BF729" s="6"/>
      <c r="BG729" s="6"/>
      <c r="BH729" s="6"/>
    </row>
    <row r="730" spans="1:60" ht="32" customHeight="1" x14ac:dyDescent="0.35">
      <c r="A730" s="13" t="s">
        <v>8345</v>
      </c>
      <c r="B730" s="6" t="s">
        <v>8243</v>
      </c>
      <c r="C730" s="5" t="s">
        <v>8346</v>
      </c>
      <c r="D730" s="5" t="s">
        <v>2210</v>
      </c>
      <c r="E730" s="5" t="s">
        <v>8347</v>
      </c>
      <c r="F730" s="5" t="s">
        <v>8346</v>
      </c>
      <c r="G730" s="5" t="s">
        <v>8348</v>
      </c>
      <c r="H730" s="5" t="s">
        <v>8349</v>
      </c>
      <c r="I730" s="5" t="s">
        <v>8350</v>
      </c>
      <c r="J730" s="17" t="s">
        <v>162</v>
      </c>
      <c r="K730" s="19" t="s">
        <v>124</v>
      </c>
      <c r="L730" s="5" t="s">
        <v>8351</v>
      </c>
      <c r="M730" s="6" t="s">
        <v>1495</v>
      </c>
      <c r="N730" s="6" t="s">
        <v>2169</v>
      </c>
      <c r="O730" s="6" t="s">
        <v>162</v>
      </c>
      <c r="P730" s="5" t="s">
        <v>2272</v>
      </c>
      <c r="Q730" s="18" t="s">
        <v>1482</v>
      </c>
      <c r="R730" s="5" t="s">
        <v>8352</v>
      </c>
      <c r="S730" s="6" t="s">
        <v>8343</v>
      </c>
      <c r="T730" s="5" t="s">
        <v>8344</v>
      </c>
      <c r="U730" s="6"/>
      <c r="V730" s="6" t="s">
        <v>3425</v>
      </c>
      <c r="W730" s="6" t="s">
        <v>1701</v>
      </c>
      <c r="X730" s="5" t="s">
        <v>228</v>
      </c>
      <c r="Y730" s="5" t="s">
        <v>1850</v>
      </c>
      <c r="Z730" s="5" t="str">
        <f t="shared" si="22"/>
        <v>Medium</v>
      </c>
      <c r="AA730" s="5" t="s">
        <v>1319</v>
      </c>
      <c r="AB730" s="6" t="s">
        <v>1355</v>
      </c>
      <c r="AC730" s="6" t="s">
        <v>32</v>
      </c>
      <c r="AD730" s="5" t="s">
        <v>2278</v>
      </c>
      <c r="AE730" s="5" t="s">
        <v>1720</v>
      </c>
      <c r="AF730" s="5" t="s">
        <v>1720</v>
      </c>
      <c r="AG730" s="5" t="s">
        <v>1720</v>
      </c>
      <c r="AH730" s="5" t="s">
        <v>1720</v>
      </c>
      <c r="AI730" s="6" t="str">
        <f t="shared" si="23"/>
        <v>No</v>
      </c>
      <c r="AJ730" s="6" t="s">
        <v>2298</v>
      </c>
      <c r="AK730" s="6" t="s">
        <v>204</v>
      </c>
      <c r="AL730" s="6">
        <f>MATCH(AA730,{"Low","Medium","High"},0)*MATCH(AB730,{"Low","Medium","High"},0)*INDEX({3,2,2,1,1},MATCH(X730,{"Core","Vertical extension","Differentiator","Future","Adjacent"},0))</f>
        <v>6</v>
      </c>
      <c r="AM730" s="5"/>
      <c r="AN730" s="5"/>
      <c r="AO730" s="5"/>
      <c r="AP730" s="5"/>
      <c r="AQ730" s="5"/>
      <c r="AR730" s="5"/>
      <c r="AS730" s="5"/>
      <c r="AT730" s="5"/>
      <c r="AU730" s="6" t="s">
        <v>2317</v>
      </c>
      <c r="AV730" s="6" t="s">
        <v>3968</v>
      </c>
      <c r="AW730" s="6" t="s">
        <v>3968</v>
      </c>
      <c r="AX730" s="6" t="s">
        <v>2284</v>
      </c>
      <c r="AY730" s="6" t="s">
        <v>2285</v>
      </c>
      <c r="AZ730" s="6"/>
      <c r="BA730" s="6" t="s">
        <v>8353</v>
      </c>
      <c r="BB730" s="6" t="s">
        <v>8354</v>
      </c>
      <c r="BC730" s="6" t="s">
        <v>127</v>
      </c>
      <c r="BD730" s="6" t="s">
        <v>127</v>
      </c>
      <c r="BE730" s="6"/>
      <c r="BF730" s="6"/>
      <c r="BG730" s="6"/>
      <c r="BH730" s="6"/>
    </row>
    <row r="731" spans="1:60" ht="32" customHeight="1" x14ac:dyDescent="0.35">
      <c r="A731" s="13" t="s">
        <v>8355</v>
      </c>
      <c r="B731" s="6" t="s">
        <v>8243</v>
      </c>
      <c r="C731" s="5" t="s">
        <v>8356</v>
      </c>
      <c r="D731" s="5" t="s">
        <v>2210</v>
      </c>
      <c r="E731" s="5" t="s">
        <v>8357</v>
      </c>
      <c r="F731" s="5" t="s">
        <v>8356</v>
      </c>
      <c r="G731" s="5" t="s">
        <v>2813</v>
      </c>
      <c r="H731" s="5" t="s">
        <v>8358</v>
      </c>
      <c r="I731" s="5" t="s">
        <v>8359</v>
      </c>
      <c r="J731" s="17" t="s">
        <v>162</v>
      </c>
      <c r="K731" s="19" t="s">
        <v>124</v>
      </c>
      <c r="L731" s="5" t="s">
        <v>8360</v>
      </c>
      <c r="M731" s="6" t="s">
        <v>1495</v>
      </c>
      <c r="N731" s="6" t="s">
        <v>2169</v>
      </c>
      <c r="O731" s="6" t="s">
        <v>162</v>
      </c>
      <c r="P731" s="5" t="s">
        <v>2272</v>
      </c>
      <c r="Q731" s="18" t="s">
        <v>1482</v>
      </c>
      <c r="R731" s="5" t="s">
        <v>8361</v>
      </c>
      <c r="S731" s="6" t="s">
        <v>8343</v>
      </c>
      <c r="T731" s="5" t="s">
        <v>8344</v>
      </c>
      <c r="U731" s="6"/>
      <c r="V731" s="6" t="s">
        <v>3425</v>
      </c>
      <c r="W731" s="6" t="s">
        <v>1701</v>
      </c>
      <c r="X731" s="5" t="s">
        <v>228</v>
      </c>
      <c r="Y731" s="5" t="s">
        <v>2168</v>
      </c>
      <c r="Z731" s="5" t="str">
        <f t="shared" si="22"/>
        <v>Medium</v>
      </c>
      <c r="AA731" s="5" t="s">
        <v>1319</v>
      </c>
      <c r="AB731" s="6" t="s">
        <v>1355</v>
      </c>
      <c r="AC731" s="6" t="s">
        <v>32</v>
      </c>
      <c r="AD731" s="5" t="s">
        <v>2278</v>
      </c>
      <c r="AE731" s="5" t="s">
        <v>1720</v>
      </c>
      <c r="AF731" s="5" t="s">
        <v>1720</v>
      </c>
      <c r="AG731" s="5" t="s">
        <v>1720</v>
      </c>
      <c r="AH731" s="5" t="s">
        <v>1720</v>
      </c>
      <c r="AI731" s="6" t="str">
        <f t="shared" si="23"/>
        <v>No</v>
      </c>
      <c r="AJ731" s="6" t="s">
        <v>2298</v>
      </c>
      <c r="AK731" s="6" t="s">
        <v>204</v>
      </c>
      <c r="AL731" s="6">
        <f>MATCH(AA731,{"Low","Medium","High"},0)*MATCH(AB731,{"Low","Medium","High"},0)*INDEX({3,2,2,1,1},MATCH(X731,{"Core","Vertical extension","Differentiator","Future","Adjacent"},0))</f>
        <v>6</v>
      </c>
      <c r="AM731" s="5"/>
      <c r="AN731" s="5"/>
      <c r="AO731" s="5"/>
      <c r="AP731" s="5"/>
      <c r="AQ731" s="5"/>
      <c r="AR731" s="5"/>
      <c r="AS731" s="5"/>
      <c r="AT731" s="5"/>
      <c r="AU731" s="6" t="s">
        <v>2317</v>
      </c>
      <c r="AV731" s="6" t="s">
        <v>76</v>
      </c>
      <c r="AW731" s="6" t="s">
        <v>76</v>
      </c>
      <c r="AX731" s="6" t="s">
        <v>2284</v>
      </c>
      <c r="AY731" s="6" t="s">
        <v>2285</v>
      </c>
      <c r="AZ731" s="6"/>
      <c r="BA731" s="6"/>
      <c r="BB731" s="6"/>
      <c r="BC731" s="6" t="s">
        <v>127</v>
      </c>
      <c r="BD731" s="6" t="s">
        <v>127</v>
      </c>
      <c r="BE731" s="6"/>
      <c r="BF731" s="6"/>
      <c r="BG731" s="6"/>
      <c r="BH731" s="6"/>
    </row>
    <row r="732" spans="1:60" ht="32" customHeight="1" x14ac:dyDescent="0.35">
      <c r="A732" s="13" t="s">
        <v>8362</v>
      </c>
      <c r="B732" s="6" t="s">
        <v>8243</v>
      </c>
      <c r="C732" s="5" t="s">
        <v>8363</v>
      </c>
      <c r="D732" s="5" t="s">
        <v>2210</v>
      </c>
      <c r="E732" s="5" t="s">
        <v>8364</v>
      </c>
      <c r="F732" s="5" t="s">
        <v>8363</v>
      </c>
      <c r="G732" s="5" t="s">
        <v>2813</v>
      </c>
      <c r="H732" s="5" t="s">
        <v>8365</v>
      </c>
      <c r="I732" s="5" t="s">
        <v>8366</v>
      </c>
      <c r="J732" s="19" t="s">
        <v>204</v>
      </c>
      <c r="K732" s="19" t="s">
        <v>124</v>
      </c>
      <c r="L732" s="5" t="s">
        <v>8367</v>
      </c>
      <c r="M732" s="6" t="s">
        <v>1495</v>
      </c>
      <c r="N732" s="6" t="s">
        <v>2169</v>
      </c>
      <c r="O732" s="6" t="s">
        <v>204</v>
      </c>
      <c r="P732" s="5" t="s">
        <v>2272</v>
      </c>
      <c r="Q732" s="18" t="s">
        <v>1482</v>
      </c>
      <c r="R732" s="5" t="s">
        <v>8368</v>
      </c>
      <c r="S732" s="6" t="s">
        <v>8343</v>
      </c>
      <c r="T732" s="5" t="s">
        <v>8344</v>
      </c>
      <c r="U732" s="6"/>
      <c r="V732" s="6" t="s">
        <v>3425</v>
      </c>
      <c r="W732" s="6" t="s">
        <v>1701</v>
      </c>
      <c r="X732" s="5" t="s">
        <v>228</v>
      </c>
      <c r="Y732" s="5" t="s">
        <v>8254</v>
      </c>
      <c r="Z732" s="5" t="str">
        <f t="shared" si="22"/>
        <v>Medium</v>
      </c>
      <c r="AA732" s="5" t="s">
        <v>1319</v>
      </c>
      <c r="AB732" s="6" t="s">
        <v>1355</v>
      </c>
      <c r="AC732" s="6" t="s">
        <v>32</v>
      </c>
      <c r="AD732" s="5" t="s">
        <v>2278</v>
      </c>
      <c r="AE732" s="5" t="s">
        <v>1720</v>
      </c>
      <c r="AF732" s="5" t="s">
        <v>1720</v>
      </c>
      <c r="AG732" s="5" t="s">
        <v>1720</v>
      </c>
      <c r="AH732" s="5" t="s">
        <v>1720</v>
      </c>
      <c r="AI732" s="6" t="str">
        <f t="shared" si="23"/>
        <v>No</v>
      </c>
      <c r="AJ732" s="6" t="s">
        <v>2298</v>
      </c>
      <c r="AK732" s="6" t="s">
        <v>204</v>
      </c>
      <c r="AL732" s="6">
        <f>MATCH(AA732,{"Low","Medium","High"},0)*MATCH(AB732,{"Low","Medium","High"},0)*INDEX({3,2,2,1,1},MATCH(X732,{"Core","Vertical extension","Differentiator","Future","Adjacent"},0))</f>
        <v>6</v>
      </c>
      <c r="AM732" s="5"/>
      <c r="AN732" s="5"/>
      <c r="AO732" s="5"/>
      <c r="AP732" s="5"/>
      <c r="AQ732" s="5"/>
      <c r="AR732" s="5"/>
      <c r="AS732" s="5"/>
      <c r="AT732" s="5"/>
      <c r="AU732" s="6" t="s">
        <v>2317</v>
      </c>
      <c r="AV732" s="6" t="s">
        <v>2804</v>
      </c>
      <c r="AW732" s="6" t="s">
        <v>2804</v>
      </c>
      <c r="AX732" s="6" t="s">
        <v>2284</v>
      </c>
      <c r="AY732" s="6" t="s">
        <v>2285</v>
      </c>
      <c r="AZ732" s="6"/>
      <c r="BA732" s="6"/>
      <c r="BB732" s="6"/>
      <c r="BC732" s="6" t="s">
        <v>127</v>
      </c>
      <c r="BD732" s="6" t="s">
        <v>127</v>
      </c>
      <c r="BE732" s="6"/>
      <c r="BF732" s="6"/>
      <c r="BG732" s="6"/>
      <c r="BH732" s="6"/>
    </row>
    <row r="733" spans="1:60" ht="32" customHeight="1" x14ac:dyDescent="0.35">
      <c r="A733" s="13" t="s">
        <v>8369</v>
      </c>
      <c r="B733" s="6" t="s">
        <v>8243</v>
      </c>
      <c r="C733" s="5" t="s">
        <v>8370</v>
      </c>
      <c r="D733" s="5" t="s">
        <v>2211</v>
      </c>
      <c r="E733" s="5" t="s">
        <v>8371</v>
      </c>
      <c r="F733" s="5" t="s">
        <v>8370</v>
      </c>
      <c r="G733" s="5" t="s">
        <v>8348</v>
      </c>
      <c r="H733" s="5" t="s">
        <v>8372</v>
      </c>
      <c r="I733" s="5" t="s">
        <v>8373</v>
      </c>
      <c r="J733" s="17" t="s">
        <v>162</v>
      </c>
      <c r="K733" s="19" t="s">
        <v>124</v>
      </c>
      <c r="L733" s="5" t="s">
        <v>8374</v>
      </c>
      <c r="M733" s="6" t="s">
        <v>1495</v>
      </c>
      <c r="N733" s="6" t="s">
        <v>2169</v>
      </c>
      <c r="O733" s="6" t="s">
        <v>162</v>
      </c>
      <c r="P733" s="5" t="s">
        <v>2272</v>
      </c>
      <c r="Q733" s="18" t="s">
        <v>1482</v>
      </c>
      <c r="R733" s="5" t="s">
        <v>8375</v>
      </c>
      <c r="S733" s="6" t="s">
        <v>8376</v>
      </c>
      <c r="T733" s="5" t="s">
        <v>8377</v>
      </c>
      <c r="U733" s="6"/>
      <c r="V733" s="6" t="s">
        <v>8378</v>
      </c>
      <c r="W733" s="6" t="s">
        <v>1701</v>
      </c>
      <c r="X733" s="5" t="s">
        <v>228</v>
      </c>
      <c r="Y733" s="5" t="s">
        <v>2168</v>
      </c>
      <c r="Z733" s="5" t="str">
        <f t="shared" si="22"/>
        <v>Medium</v>
      </c>
      <c r="AA733" s="5" t="s">
        <v>1319</v>
      </c>
      <c r="AB733" s="6" t="s">
        <v>1355</v>
      </c>
      <c r="AC733" s="6" t="s">
        <v>32</v>
      </c>
      <c r="AD733" s="5" t="s">
        <v>2278</v>
      </c>
      <c r="AE733" s="5" t="s">
        <v>1720</v>
      </c>
      <c r="AF733" s="5" t="s">
        <v>1720</v>
      </c>
      <c r="AG733" s="5" t="s">
        <v>1720</v>
      </c>
      <c r="AH733" s="5" t="s">
        <v>1720</v>
      </c>
      <c r="AI733" s="6" t="str">
        <f t="shared" si="23"/>
        <v>No</v>
      </c>
      <c r="AJ733" s="6" t="s">
        <v>2298</v>
      </c>
      <c r="AK733" s="6" t="s">
        <v>204</v>
      </c>
      <c r="AL733" s="6">
        <f>MATCH(AA733,{"Low","Medium","High"},0)*MATCH(AB733,{"Low","Medium","High"},0)*INDEX({3,2,2,1,1},MATCH(X733,{"Core","Vertical extension","Differentiator","Future","Adjacent"},0))</f>
        <v>6</v>
      </c>
      <c r="AM733" s="5"/>
      <c r="AN733" s="5"/>
      <c r="AO733" s="5"/>
      <c r="AP733" s="5"/>
      <c r="AQ733" s="5"/>
      <c r="AR733" s="5"/>
      <c r="AS733" s="5"/>
      <c r="AT733" s="5"/>
      <c r="AU733" s="6" t="s">
        <v>2317</v>
      </c>
      <c r="AV733" s="6" t="s">
        <v>2804</v>
      </c>
      <c r="AW733" s="6" t="s">
        <v>2804</v>
      </c>
      <c r="AX733" s="6" t="s">
        <v>2284</v>
      </c>
      <c r="AY733" s="6" t="s">
        <v>2285</v>
      </c>
      <c r="AZ733" s="6"/>
      <c r="BA733" s="6"/>
      <c r="BB733" s="6"/>
      <c r="BC733" s="6" t="s">
        <v>127</v>
      </c>
      <c r="BD733" s="6" t="s">
        <v>127</v>
      </c>
      <c r="BE733" s="6"/>
      <c r="BF733" s="6"/>
      <c r="BG733" s="6"/>
      <c r="BH733" s="6"/>
    </row>
    <row r="734" spans="1:60" ht="32" customHeight="1" x14ac:dyDescent="0.35">
      <c r="A734" s="13" t="s">
        <v>8379</v>
      </c>
      <c r="B734" s="6" t="s">
        <v>8243</v>
      </c>
      <c r="C734" s="5" t="s">
        <v>8370</v>
      </c>
      <c r="D734" s="5" t="s">
        <v>2211</v>
      </c>
      <c r="E734" s="5" t="s">
        <v>8380</v>
      </c>
      <c r="F734" s="5" t="s">
        <v>8370</v>
      </c>
      <c r="G734" s="5" t="s">
        <v>8381</v>
      </c>
      <c r="H734" s="5" t="s">
        <v>8382</v>
      </c>
      <c r="I734" s="5" t="s">
        <v>8383</v>
      </c>
      <c r="J734" s="17" t="s">
        <v>162</v>
      </c>
      <c r="K734" s="19" t="s">
        <v>124</v>
      </c>
      <c r="L734" s="5" t="s">
        <v>8384</v>
      </c>
      <c r="M734" s="6" t="s">
        <v>1495</v>
      </c>
      <c r="N734" s="6" t="s">
        <v>2169</v>
      </c>
      <c r="O734" s="6" t="s">
        <v>162</v>
      </c>
      <c r="P734" s="5" t="s">
        <v>2272</v>
      </c>
      <c r="Q734" s="18" t="s">
        <v>1482</v>
      </c>
      <c r="R734" s="5" t="s">
        <v>8385</v>
      </c>
      <c r="S734" s="6" t="s">
        <v>8376</v>
      </c>
      <c r="T734" s="5" t="s">
        <v>8377</v>
      </c>
      <c r="U734" s="6"/>
      <c r="V734" s="6" t="s">
        <v>8378</v>
      </c>
      <c r="W734" s="6" t="s">
        <v>1701</v>
      </c>
      <c r="X734" s="5" t="s">
        <v>228</v>
      </c>
      <c r="Y734" s="5" t="s">
        <v>2168</v>
      </c>
      <c r="Z734" s="5" t="str">
        <f t="shared" si="22"/>
        <v>Medium</v>
      </c>
      <c r="AA734" s="5" t="s">
        <v>1319</v>
      </c>
      <c r="AB734" s="6" t="s">
        <v>1355</v>
      </c>
      <c r="AC734" s="6" t="s">
        <v>32</v>
      </c>
      <c r="AD734" s="5" t="s">
        <v>2278</v>
      </c>
      <c r="AE734" s="5" t="s">
        <v>1720</v>
      </c>
      <c r="AF734" s="5" t="s">
        <v>1720</v>
      </c>
      <c r="AG734" s="5" t="s">
        <v>1720</v>
      </c>
      <c r="AH734" s="5" t="s">
        <v>1720</v>
      </c>
      <c r="AI734" s="6" t="str">
        <f t="shared" si="23"/>
        <v>No</v>
      </c>
      <c r="AJ734" s="6" t="s">
        <v>2298</v>
      </c>
      <c r="AK734" s="6" t="s">
        <v>204</v>
      </c>
      <c r="AL734" s="6">
        <f>MATCH(AA734,{"Low","Medium","High"},0)*MATCH(AB734,{"Low","Medium","High"},0)*INDEX({3,2,2,1,1},MATCH(X734,{"Core","Vertical extension","Differentiator","Future","Adjacent"},0))</f>
        <v>6</v>
      </c>
      <c r="AM734" s="5"/>
      <c r="AN734" s="5"/>
      <c r="AO734" s="5"/>
      <c r="AP734" s="5"/>
      <c r="AQ734" s="5"/>
      <c r="AR734" s="5"/>
      <c r="AS734" s="5"/>
      <c r="AT734" s="5"/>
      <c r="AU734" s="6" t="s">
        <v>2317</v>
      </c>
      <c r="AV734" s="6" t="s">
        <v>2804</v>
      </c>
      <c r="AW734" s="6" t="s">
        <v>2804</v>
      </c>
      <c r="AX734" s="6" t="s">
        <v>2284</v>
      </c>
      <c r="AY734" s="6" t="s">
        <v>2285</v>
      </c>
      <c r="AZ734" s="6"/>
      <c r="BA734" s="6"/>
      <c r="BB734" s="6"/>
      <c r="BC734" s="6" t="s">
        <v>127</v>
      </c>
      <c r="BD734" s="6" t="s">
        <v>127</v>
      </c>
      <c r="BE734" s="6"/>
      <c r="BF734" s="6"/>
      <c r="BG734" s="6"/>
      <c r="BH734" s="6"/>
    </row>
    <row r="735" spans="1:60" ht="32" customHeight="1" x14ac:dyDescent="0.35">
      <c r="A735" s="13" t="s">
        <v>8386</v>
      </c>
      <c r="B735" s="6" t="s">
        <v>8243</v>
      </c>
      <c r="C735" s="5" t="s">
        <v>8381</v>
      </c>
      <c r="D735" s="5" t="s">
        <v>2211</v>
      </c>
      <c r="E735" s="5" t="s">
        <v>8387</v>
      </c>
      <c r="F735" s="5" t="s">
        <v>8381</v>
      </c>
      <c r="G735" s="5" t="s">
        <v>5302</v>
      </c>
      <c r="H735" s="5" t="s">
        <v>8388</v>
      </c>
      <c r="I735" s="5" t="s">
        <v>8389</v>
      </c>
      <c r="J735" s="17" t="s">
        <v>162</v>
      </c>
      <c r="K735" s="19" t="s">
        <v>124</v>
      </c>
      <c r="L735" s="5" t="s">
        <v>8390</v>
      </c>
      <c r="M735" s="6" t="s">
        <v>1495</v>
      </c>
      <c r="N735" s="6" t="s">
        <v>2169</v>
      </c>
      <c r="O735" s="6" t="s">
        <v>162</v>
      </c>
      <c r="P735" s="5" t="s">
        <v>2272</v>
      </c>
      <c r="Q735" s="18" t="s">
        <v>1482</v>
      </c>
      <c r="R735" s="5" t="s">
        <v>8391</v>
      </c>
      <c r="S735" s="6" t="s">
        <v>8376</v>
      </c>
      <c r="T735" s="5" t="s">
        <v>8377</v>
      </c>
      <c r="U735" s="6"/>
      <c r="V735" s="6" t="s">
        <v>8378</v>
      </c>
      <c r="W735" s="6" t="s">
        <v>1701</v>
      </c>
      <c r="X735" s="5" t="s">
        <v>228</v>
      </c>
      <c r="Y735" s="5" t="s">
        <v>2168</v>
      </c>
      <c r="Z735" s="5" t="str">
        <f t="shared" si="22"/>
        <v>Medium</v>
      </c>
      <c r="AA735" s="5" t="s">
        <v>1319</v>
      </c>
      <c r="AB735" s="6" t="s">
        <v>1355</v>
      </c>
      <c r="AC735" s="6" t="s">
        <v>32</v>
      </c>
      <c r="AD735" s="5" t="s">
        <v>2278</v>
      </c>
      <c r="AE735" s="5" t="s">
        <v>1720</v>
      </c>
      <c r="AF735" s="5" t="s">
        <v>1720</v>
      </c>
      <c r="AG735" s="5" t="s">
        <v>1720</v>
      </c>
      <c r="AH735" s="5" t="s">
        <v>1720</v>
      </c>
      <c r="AI735" s="6" t="str">
        <f t="shared" si="23"/>
        <v>No</v>
      </c>
      <c r="AJ735" s="6" t="s">
        <v>2298</v>
      </c>
      <c r="AK735" s="6" t="s">
        <v>204</v>
      </c>
      <c r="AL735" s="6">
        <f>MATCH(AA735,{"Low","Medium","High"},0)*MATCH(AB735,{"Low","Medium","High"},0)*INDEX({3,2,2,1,1},MATCH(X735,{"Core","Vertical extension","Differentiator","Future","Adjacent"},0))</f>
        <v>6</v>
      </c>
      <c r="AM735" s="5"/>
      <c r="AN735" s="5"/>
      <c r="AO735" s="5"/>
      <c r="AP735" s="5"/>
      <c r="AQ735" s="5"/>
      <c r="AR735" s="5"/>
      <c r="AS735" s="5"/>
      <c r="AT735" s="5"/>
      <c r="AU735" s="6" t="s">
        <v>2317</v>
      </c>
      <c r="AV735" s="6" t="s">
        <v>5307</v>
      </c>
      <c r="AW735" s="6" t="s">
        <v>5307</v>
      </c>
      <c r="AX735" s="6" t="s">
        <v>2284</v>
      </c>
      <c r="AY735" s="6" t="s">
        <v>2285</v>
      </c>
      <c r="AZ735" s="6"/>
      <c r="BA735" s="6"/>
      <c r="BB735" s="6"/>
      <c r="BC735" s="6" t="s">
        <v>127</v>
      </c>
      <c r="BD735" s="6" t="s">
        <v>127</v>
      </c>
      <c r="BE735" s="6"/>
      <c r="BF735" s="6"/>
      <c r="BG735" s="6"/>
      <c r="BH735" s="6"/>
    </row>
    <row r="736" spans="1:60" ht="32" customHeight="1" x14ac:dyDescent="0.35">
      <c r="A736" s="13" t="s">
        <v>8392</v>
      </c>
      <c r="B736" s="6" t="s">
        <v>8243</v>
      </c>
      <c r="C736" s="5" t="s">
        <v>8393</v>
      </c>
      <c r="D736" s="5" t="s">
        <v>2211</v>
      </c>
      <c r="E736" s="5" t="s">
        <v>8394</v>
      </c>
      <c r="F736" s="5" t="s">
        <v>8393</v>
      </c>
      <c r="G736" s="5" t="s">
        <v>2396</v>
      </c>
      <c r="H736" s="5" t="s">
        <v>8395</v>
      </c>
      <c r="I736" s="5" t="s">
        <v>8396</v>
      </c>
      <c r="J736" s="17" t="s">
        <v>162</v>
      </c>
      <c r="K736" s="19" t="s">
        <v>124</v>
      </c>
      <c r="L736" s="5" t="s">
        <v>8397</v>
      </c>
      <c r="M736" s="6" t="s">
        <v>1495</v>
      </c>
      <c r="N736" s="6" t="s">
        <v>2169</v>
      </c>
      <c r="O736" s="6" t="s">
        <v>162</v>
      </c>
      <c r="P736" s="5" t="s">
        <v>2272</v>
      </c>
      <c r="Q736" s="18" t="s">
        <v>1482</v>
      </c>
      <c r="R736" s="5" t="s">
        <v>8398</v>
      </c>
      <c r="S736" s="6" t="s">
        <v>8376</v>
      </c>
      <c r="T736" s="5" t="s">
        <v>8377</v>
      </c>
      <c r="U736" s="6"/>
      <c r="V736" s="6" t="s">
        <v>8378</v>
      </c>
      <c r="W736" s="6" t="s">
        <v>1701</v>
      </c>
      <c r="X736" s="5" t="s">
        <v>228</v>
      </c>
      <c r="Y736" s="5" t="s">
        <v>2168</v>
      </c>
      <c r="Z736" s="5" t="str">
        <f t="shared" si="22"/>
        <v>Medium</v>
      </c>
      <c r="AA736" s="5" t="s">
        <v>1319</v>
      </c>
      <c r="AB736" s="6" t="s">
        <v>1355</v>
      </c>
      <c r="AC736" s="6" t="s">
        <v>32</v>
      </c>
      <c r="AD736" s="5" t="s">
        <v>2278</v>
      </c>
      <c r="AE736" s="5" t="s">
        <v>1720</v>
      </c>
      <c r="AF736" s="5" t="s">
        <v>1720</v>
      </c>
      <c r="AG736" s="5" t="s">
        <v>1720</v>
      </c>
      <c r="AH736" s="5" t="s">
        <v>1720</v>
      </c>
      <c r="AI736" s="6" t="str">
        <f t="shared" si="23"/>
        <v>No</v>
      </c>
      <c r="AJ736" s="6" t="s">
        <v>2298</v>
      </c>
      <c r="AK736" s="6" t="s">
        <v>204</v>
      </c>
      <c r="AL736" s="6">
        <f>MATCH(AA736,{"Low","Medium","High"},0)*MATCH(AB736,{"Low","Medium","High"},0)*INDEX({3,2,2,1,1},MATCH(X736,{"Core","Vertical extension","Differentiator","Future","Adjacent"},0))</f>
        <v>6</v>
      </c>
      <c r="AM736" s="5"/>
      <c r="AN736" s="5"/>
      <c r="AO736" s="5"/>
      <c r="AP736" s="5"/>
      <c r="AQ736" s="5"/>
      <c r="AR736" s="5"/>
      <c r="AS736" s="5"/>
      <c r="AT736" s="5"/>
      <c r="AU736" s="6" t="s">
        <v>2317</v>
      </c>
      <c r="AV736" s="6" t="s">
        <v>2804</v>
      </c>
      <c r="AW736" s="6" t="s">
        <v>2804</v>
      </c>
      <c r="AX736" s="6" t="s">
        <v>2284</v>
      </c>
      <c r="AY736" s="6" t="s">
        <v>2285</v>
      </c>
      <c r="AZ736" s="6"/>
      <c r="BA736" s="6"/>
      <c r="BB736" s="6"/>
      <c r="BC736" s="6" t="s">
        <v>127</v>
      </c>
      <c r="BD736" s="6" t="s">
        <v>127</v>
      </c>
      <c r="BE736" s="6"/>
      <c r="BF736" s="6"/>
      <c r="BG736" s="6"/>
      <c r="BH736" s="6"/>
    </row>
    <row r="737" spans="1:60" ht="32" customHeight="1" x14ac:dyDescent="0.35">
      <c r="A737" s="13" t="s">
        <v>8399</v>
      </c>
      <c r="B737" s="6" t="s">
        <v>8243</v>
      </c>
      <c r="C737" s="5" t="s">
        <v>8400</v>
      </c>
      <c r="D737" s="5" t="s">
        <v>2212</v>
      </c>
      <c r="E737" s="5" t="s">
        <v>8401</v>
      </c>
      <c r="F737" s="5" t="s">
        <v>8400</v>
      </c>
      <c r="G737" s="5" t="s">
        <v>8402</v>
      </c>
      <c r="H737" s="5" t="s">
        <v>8403</v>
      </c>
      <c r="I737" s="5" t="s">
        <v>8404</v>
      </c>
      <c r="J737" s="17" t="s">
        <v>162</v>
      </c>
      <c r="K737" s="19" t="s">
        <v>124</v>
      </c>
      <c r="L737" s="5" t="s">
        <v>8405</v>
      </c>
      <c r="M737" s="6" t="s">
        <v>1495</v>
      </c>
      <c r="N737" s="6" t="s">
        <v>2169</v>
      </c>
      <c r="O737" s="6" t="s">
        <v>162</v>
      </c>
      <c r="P737" s="5" t="s">
        <v>2272</v>
      </c>
      <c r="Q737" s="18" t="s">
        <v>1482</v>
      </c>
      <c r="R737" s="5" t="s">
        <v>8406</v>
      </c>
      <c r="S737" s="6" t="s">
        <v>8407</v>
      </c>
      <c r="T737" s="5" t="s">
        <v>8408</v>
      </c>
      <c r="U737" s="6"/>
      <c r="V737" s="6" t="s">
        <v>8409</v>
      </c>
      <c r="W737" s="6" t="s">
        <v>1701</v>
      </c>
      <c r="X737" s="5" t="s">
        <v>228</v>
      </c>
      <c r="Y737" s="5" t="s">
        <v>2168</v>
      </c>
      <c r="Z737" s="5" t="str">
        <f t="shared" si="22"/>
        <v>Medium</v>
      </c>
      <c r="AA737" s="5" t="s">
        <v>1319</v>
      </c>
      <c r="AB737" s="6" t="s">
        <v>1355</v>
      </c>
      <c r="AC737" s="6" t="s">
        <v>32</v>
      </c>
      <c r="AD737" s="5" t="s">
        <v>2278</v>
      </c>
      <c r="AE737" s="5" t="s">
        <v>1720</v>
      </c>
      <c r="AF737" s="5" t="s">
        <v>1720</v>
      </c>
      <c r="AG737" s="5" t="s">
        <v>1720</v>
      </c>
      <c r="AH737" s="5" t="s">
        <v>1720</v>
      </c>
      <c r="AI737" s="6" t="str">
        <f t="shared" si="23"/>
        <v>No</v>
      </c>
      <c r="AJ737" s="6" t="s">
        <v>2298</v>
      </c>
      <c r="AK737" s="6" t="s">
        <v>204</v>
      </c>
      <c r="AL737" s="6">
        <f>MATCH(AA737,{"Low","Medium","High"},0)*MATCH(AB737,{"Low","Medium","High"},0)*INDEX({3,2,2,1,1},MATCH(X737,{"Core","Vertical extension","Differentiator","Future","Adjacent"},0))</f>
        <v>6</v>
      </c>
      <c r="AM737" s="5"/>
      <c r="AN737" s="5"/>
      <c r="AO737" s="5"/>
      <c r="AP737" s="5"/>
      <c r="AQ737" s="5"/>
      <c r="AR737" s="5"/>
      <c r="AS737" s="5"/>
      <c r="AT737" s="5"/>
      <c r="AU737" s="6" t="s">
        <v>2317</v>
      </c>
      <c r="AV737" s="6" t="s">
        <v>5260</v>
      </c>
      <c r="AW737" s="6" t="s">
        <v>5260</v>
      </c>
      <c r="AX737" s="6" t="s">
        <v>2284</v>
      </c>
      <c r="AY737" s="6" t="s">
        <v>2285</v>
      </c>
      <c r="AZ737" s="6"/>
      <c r="BA737" s="6"/>
      <c r="BB737" s="6"/>
      <c r="BC737" s="6" t="s">
        <v>127</v>
      </c>
      <c r="BD737" s="6" t="s">
        <v>127</v>
      </c>
      <c r="BE737" s="6"/>
      <c r="BF737" s="6"/>
      <c r="BG737" s="6"/>
      <c r="BH737" s="6"/>
    </row>
    <row r="738" spans="1:60" ht="32" customHeight="1" x14ac:dyDescent="0.35">
      <c r="A738" s="13" t="s">
        <v>151</v>
      </c>
      <c r="B738" s="6" t="s">
        <v>8243</v>
      </c>
      <c r="C738" s="5" t="s">
        <v>8410</v>
      </c>
      <c r="D738" s="5" t="s">
        <v>2212</v>
      </c>
      <c r="E738" s="5" t="s">
        <v>8411</v>
      </c>
      <c r="F738" s="5" t="s">
        <v>8410</v>
      </c>
      <c r="G738" s="5" t="s">
        <v>8412</v>
      </c>
      <c r="H738" s="5" t="s">
        <v>8413</v>
      </c>
      <c r="I738" s="5" t="s">
        <v>8414</v>
      </c>
      <c r="J738" s="16" t="s">
        <v>94</v>
      </c>
      <c r="K738" s="19" t="s">
        <v>124</v>
      </c>
      <c r="L738" s="5" t="s">
        <v>8415</v>
      </c>
      <c r="M738" s="6" t="s">
        <v>1495</v>
      </c>
      <c r="N738" s="6" t="s">
        <v>2169</v>
      </c>
      <c r="O738" s="6" t="s">
        <v>94</v>
      </c>
      <c r="P738" s="5" t="s">
        <v>2272</v>
      </c>
      <c r="Q738" s="18" t="s">
        <v>1482</v>
      </c>
      <c r="R738" s="5" t="s">
        <v>8416</v>
      </c>
      <c r="S738" s="6" t="s">
        <v>8407</v>
      </c>
      <c r="T738" s="5" t="s">
        <v>8408</v>
      </c>
      <c r="U738" s="6"/>
      <c r="V738" s="6" t="s">
        <v>8409</v>
      </c>
      <c r="W738" s="6" t="s">
        <v>1701</v>
      </c>
      <c r="X738" s="5" t="s">
        <v>228</v>
      </c>
      <c r="Y738" s="5" t="s">
        <v>2168</v>
      </c>
      <c r="Z738" s="5" t="str">
        <f t="shared" si="22"/>
        <v>High</v>
      </c>
      <c r="AA738" s="5" t="s">
        <v>1302</v>
      </c>
      <c r="AB738" s="6" t="s">
        <v>1355</v>
      </c>
      <c r="AC738" s="6" t="s">
        <v>99</v>
      </c>
      <c r="AD738" s="5" t="s">
        <v>2278</v>
      </c>
      <c r="AE738" s="5" t="s">
        <v>1720</v>
      </c>
      <c r="AF738" s="5" t="s">
        <v>1720</v>
      </c>
      <c r="AG738" s="5" t="s">
        <v>1720</v>
      </c>
      <c r="AH738" s="5" t="s">
        <v>1720</v>
      </c>
      <c r="AI738" s="6" t="str">
        <f t="shared" si="23"/>
        <v>No</v>
      </c>
      <c r="AJ738" s="6" t="s">
        <v>229</v>
      </c>
      <c r="AK738" s="6" t="s">
        <v>94</v>
      </c>
      <c r="AL738" s="6">
        <f>MATCH(AA738,{"Low","Medium","High"},0)*MATCH(AB738,{"Low","Medium","High"},0)*INDEX({3,2,2,1,1},MATCH(X738,{"Core","Vertical extension","Differentiator","Future","Adjacent"},0))</f>
        <v>9</v>
      </c>
      <c r="AM738" s="5"/>
      <c r="AN738" s="5"/>
      <c r="AO738" s="5"/>
      <c r="AP738" s="5"/>
      <c r="AQ738" s="5"/>
      <c r="AR738" s="5" t="s">
        <v>8417</v>
      </c>
      <c r="AS738" s="51">
        <v>46300</v>
      </c>
      <c r="AT738" s="5" t="s">
        <v>2760</v>
      </c>
      <c r="AU738" s="6" t="s">
        <v>95</v>
      </c>
      <c r="AV738" s="6" t="s">
        <v>76</v>
      </c>
      <c r="AW738" s="6" t="s">
        <v>76</v>
      </c>
      <c r="AX738" s="6" t="s">
        <v>2284</v>
      </c>
      <c r="AY738" s="6" t="s">
        <v>2285</v>
      </c>
      <c r="AZ738" s="6"/>
      <c r="BA738" s="6" t="s">
        <v>8418</v>
      </c>
      <c r="BB738" s="6"/>
      <c r="BC738" s="6" t="s">
        <v>127</v>
      </c>
      <c r="BD738" s="6" t="s">
        <v>127</v>
      </c>
      <c r="BE738" s="6"/>
      <c r="BF738" s="6"/>
      <c r="BG738" s="6"/>
      <c r="BH738" s="6"/>
    </row>
    <row r="739" spans="1:60" ht="32" customHeight="1" x14ac:dyDescent="0.35">
      <c r="A739" s="13" t="s">
        <v>8419</v>
      </c>
      <c r="B739" s="6" t="s">
        <v>8243</v>
      </c>
      <c r="C739" s="5" t="s">
        <v>8420</v>
      </c>
      <c r="D739" s="5" t="s">
        <v>2212</v>
      </c>
      <c r="E739" s="5" t="s">
        <v>8421</v>
      </c>
      <c r="F739" s="5" t="s">
        <v>8420</v>
      </c>
      <c r="G739" s="5" t="s">
        <v>1669</v>
      </c>
      <c r="H739" s="5" t="s">
        <v>8422</v>
      </c>
      <c r="I739" s="5" t="s">
        <v>8423</v>
      </c>
      <c r="J739" s="17" t="s">
        <v>162</v>
      </c>
      <c r="K739" s="19" t="s">
        <v>124</v>
      </c>
      <c r="L739" s="5" t="s">
        <v>8424</v>
      </c>
      <c r="M739" s="6" t="s">
        <v>1495</v>
      </c>
      <c r="N739" s="6" t="s">
        <v>2169</v>
      </c>
      <c r="O739" s="6" t="s">
        <v>162</v>
      </c>
      <c r="P739" s="5" t="s">
        <v>2272</v>
      </c>
      <c r="Q739" s="18" t="s">
        <v>1482</v>
      </c>
      <c r="R739" s="5" t="s">
        <v>8425</v>
      </c>
      <c r="S739" s="6" t="s">
        <v>8407</v>
      </c>
      <c r="T739" s="5" t="s">
        <v>8408</v>
      </c>
      <c r="U739" s="6"/>
      <c r="V739" s="6" t="s">
        <v>8409</v>
      </c>
      <c r="W739" s="6" t="s">
        <v>1701</v>
      </c>
      <c r="X739" s="5" t="s">
        <v>228</v>
      </c>
      <c r="Y739" s="5" t="s">
        <v>2917</v>
      </c>
      <c r="Z739" s="5" t="str">
        <f t="shared" si="22"/>
        <v>Medium</v>
      </c>
      <c r="AA739" s="5" t="s">
        <v>1319</v>
      </c>
      <c r="AB739" s="6" t="s">
        <v>1355</v>
      </c>
      <c r="AC739" s="6" t="s">
        <v>32</v>
      </c>
      <c r="AD739" s="5" t="s">
        <v>2278</v>
      </c>
      <c r="AE739" s="5" t="s">
        <v>1720</v>
      </c>
      <c r="AF739" s="5" t="s">
        <v>1720</v>
      </c>
      <c r="AG739" s="5" t="s">
        <v>1720</v>
      </c>
      <c r="AH739" s="5" t="s">
        <v>1720</v>
      </c>
      <c r="AI739" s="6" t="str">
        <f t="shared" si="23"/>
        <v>No</v>
      </c>
      <c r="AJ739" s="6" t="s">
        <v>2298</v>
      </c>
      <c r="AK739" s="6" t="s">
        <v>204</v>
      </c>
      <c r="AL739" s="6">
        <f>MATCH(AA739,{"Low","Medium","High"},0)*MATCH(AB739,{"Low","Medium","High"},0)*INDEX({3,2,2,1,1},MATCH(X739,{"Core","Vertical extension","Differentiator","Future","Adjacent"},0))</f>
        <v>6</v>
      </c>
      <c r="AM739" s="5"/>
      <c r="AN739" s="5"/>
      <c r="AO739" s="5"/>
      <c r="AP739" s="5"/>
      <c r="AQ739" s="5"/>
      <c r="AR739" s="5"/>
      <c r="AS739" s="5"/>
      <c r="AT739" s="5"/>
      <c r="AU739" s="6" t="s">
        <v>2317</v>
      </c>
      <c r="AV739" s="6" t="s">
        <v>2804</v>
      </c>
      <c r="AW739" s="6" t="s">
        <v>2804</v>
      </c>
      <c r="AX739" s="6" t="s">
        <v>2284</v>
      </c>
      <c r="AY739" s="6" t="s">
        <v>2285</v>
      </c>
      <c r="AZ739" s="6"/>
      <c r="BA739" s="6"/>
      <c r="BB739" s="6"/>
      <c r="BC739" s="6" t="s">
        <v>127</v>
      </c>
      <c r="BD739" s="6" t="s">
        <v>127</v>
      </c>
      <c r="BE739" s="6"/>
      <c r="BF739" s="6"/>
      <c r="BG739" s="6"/>
      <c r="BH739" s="6"/>
    </row>
    <row r="740" spans="1:60" ht="32" customHeight="1" x14ac:dyDescent="0.35">
      <c r="A740" s="13" t="s">
        <v>156</v>
      </c>
      <c r="B740" s="6" t="s">
        <v>8243</v>
      </c>
      <c r="C740" s="5" t="s">
        <v>8426</v>
      </c>
      <c r="D740" s="5" t="s">
        <v>2212</v>
      </c>
      <c r="E740" s="5" t="s">
        <v>8427</v>
      </c>
      <c r="F740" s="5" t="s">
        <v>8426</v>
      </c>
      <c r="G740" s="5" t="s">
        <v>8428</v>
      </c>
      <c r="H740" s="5" t="s">
        <v>8429</v>
      </c>
      <c r="I740" s="5" t="s">
        <v>8430</v>
      </c>
      <c r="J740" s="16" t="s">
        <v>94</v>
      </c>
      <c r="K740" s="19" t="s">
        <v>124</v>
      </c>
      <c r="L740" s="5" t="s">
        <v>8431</v>
      </c>
      <c r="M740" s="6" t="s">
        <v>1495</v>
      </c>
      <c r="N740" s="6" t="s">
        <v>2169</v>
      </c>
      <c r="O740" s="6" t="s">
        <v>94</v>
      </c>
      <c r="P740" s="5" t="s">
        <v>2272</v>
      </c>
      <c r="Q740" s="18" t="s">
        <v>1482</v>
      </c>
      <c r="R740" s="5" t="s">
        <v>8432</v>
      </c>
      <c r="S740" s="6" t="s">
        <v>8407</v>
      </c>
      <c r="T740" s="5" t="s">
        <v>8408</v>
      </c>
      <c r="U740" s="6"/>
      <c r="V740" s="6" t="s">
        <v>8409</v>
      </c>
      <c r="W740" s="6" t="s">
        <v>1701</v>
      </c>
      <c r="X740" s="5" t="s">
        <v>228</v>
      </c>
      <c r="Y740" s="5" t="s">
        <v>3506</v>
      </c>
      <c r="Z740" s="5" t="str">
        <f t="shared" si="22"/>
        <v>High</v>
      </c>
      <c r="AA740" s="5" t="s">
        <v>1302</v>
      </c>
      <c r="AB740" s="6" t="s">
        <v>1355</v>
      </c>
      <c r="AC740" s="6" t="s">
        <v>99</v>
      </c>
      <c r="AD740" s="5" t="s">
        <v>2278</v>
      </c>
      <c r="AE740" s="5" t="s">
        <v>1720</v>
      </c>
      <c r="AF740" s="5" t="s">
        <v>1720</v>
      </c>
      <c r="AG740" s="5" t="s">
        <v>1720</v>
      </c>
      <c r="AH740" s="5" t="s">
        <v>1720</v>
      </c>
      <c r="AI740" s="6" t="str">
        <f t="shared" si="23"/>
        <v>No</v>
      </c>
      <c r="AJ740" s="6" t="s">
        <v>229</v>
      </c>
      <c r="AK740" s="6" t="s">
        <v>94</v>
      </c>
      <c r="AL740" s="6">
        <f>MATCH(AA740,{"Low","Medium","High"},0)*MATCH(AB740,{"Low","Medium","High"},0)*INDEX({3,2,2,1,1},MATCH(X740,{"Core","Vertical extension","Differentiator","Future","Adjacent"},0))</f>
        <v>9</v>
      </c>
      <c r="AM740" s="5"/>
      <c r="AN740" s="5"/>
      <c r="AO740" s="5"/>
      <c r="AP740" s="5"/>
      <c r="AQ740" s="5"/>
      <c r="AR740" s="5" t="s">
        <v>8433</v>
      </c>
      <c r="AS740" s="51">
        <v>46300</v>
      </c>
      <c r="AT740" s="5" t="s">
        <v>2760</v>
      </c>
      <c r="AU740" s="6" t="s">
        <v>95</v>
      </c>
      <c r="AV740" s="6" t="s">
        <v>76</v>
      </c>
      <c r="AW740" s="6" t="s">
        <v>76</v>
      </c>
      <c r="AX740" s="6" t="s">
        <v>2284</v>
      </c>
      <c r="AY740" s="6" t="s">
        <v>2285</v>
      </c>
      <c r="AZ740" s="6"/>
      <c r="BA740" s="6" t="s">
        <v>8434</v>
      </c>
      <c r="BB740" s="6"/>
      <c r="BC740" s="6" t="s">
        <v>127</v>
      </c>
      <c r="BD740" s="6" t="s">
        <v>127</v>
      </c>
      <c r="BE740" s="6"/>
      <c r="BF740" s="6"/>
      <c r="BG740" s="6"/>
      <c r="BH740" s="6"/>
    </row>
    <row r="741" spans="1:60" ht="32" customHeight="1" x14ac:dyDescent="0.35">
      <c r="A741" s="13" t="s">
        <v>8435</v>
      </c>
      <c r="B741" s="6" t="s">
        <v>8243</v>
      </c>
      <c r="C741" s="5" t="s">
        <v>8436</v>
      </c>
      <c r="D741" s="5" t="s">
        <v>2214</v>
      </c>
      <c r="E741" s="5" t="s">
        <v>8437</v>
      </c>
      <c r="F741" s="5" t="s">
        <v>8436</v>
      </c>
      <c r="G741" s="5" t="s">
        <v>8438</v>
      </c>
      <c r="H741" s="5" t="s">
        <v>8439</v>
      </c>
      <c r="I741" s="5" t="s">
        <v>8440</v>
      </c>
      <c r="J741" s="17" t="s">
        <v>162</v>
      </c>
      <c r="K741" s="19" t="s">
        <v>124</v>
      </c>
      <c r="L741" s="5" t="s">
        <v>8441</v>
      </c>
      <c r="M741" s="6" t="s">
        <v>1495</v>
      </c>
      <c r="N741" s="6" t="s">
        <v>2169</v>
      </c>
      <c r="O741" s="6" t="s">
        <v>162</v>
      </c>
      <c r="P741" s="5" t="s">
        <v>2272</v>
      </c>
      <c r="Q741" s="18" t="s">
        <v>1482</v>
      </c>
      <c r="R741" s="5" t="s">
        <v>8442</v>
      </c>
      <c r="S741" s="6" t="s">
        <v>8443</v>
      </c>
      <c r="T741" s="5" t="s">
        <v>8444</v>
      </c>
      <c r="U741" s="6"/>
      <c r="V741" s="6" t="s">
        <v>8445</v>
      </c>
      <c r="W741" s="6" t="s">
        <v>1701</v>
      </c>
      <c r="X741" s="5" t="s">
        <v>228</v>
      </c>
      <c r="Y741" s="5" t="s">
        <v>2168</v>
      </c>
      <c r="Z741" s="5" t="str">
        <f t="shared" si="22"/>
        <v>Medium</v>
      </c>
      <c r="AA741" s="5" t="s">
        <v>1319</v>
      </c>
      <c r="AB741" s="6" t="s">
        <v>1355</v>
      </c>
      <c r="AC741" s="6" t="s">
        <v>32</v>
      </c>
      <c r="AD741" s="5" t="s">
        <v>2278</v>
      </c>
      <c r="AE741" s="5" t="s">
        <v>1720</v>
      </c>
      <c r="AF741" s="5" t="s">
        <v>1720</v>
      </c>
      <c r="AG741" s="5" t="s">
        <v>1720</v>
      </c>
      <c r="AH741" s="5" t="s">
        <v>1720</v>
      </c>
      <c r="AI741" s="6" t="str">
        <f t="shared" si="23"/>
        <v>No</v>
      </c>
      <c r="AJ741" s="6" t="s">
        <v>2298</v>
      </c>
      <c r="AK741" s="6" t="s">
        <v>204</v>
      </c>
      <c r="AL741" s="6">
        <f>MATCH(AA741,{"Low","Medium","High"},0)*MATCH(AB741,{"Low","Medium","High"},0)*INDEX({3,2,2,1,1},MATCH(X741,{"Core","Vertical extension","Differentiator","Future","Adjacent"},0))</f>
        <v>6</v>
      </c>
      <c r="AM741" s="5"/>
      <c r="AN741" s="5"/>
      <c r="AO741" s="5"/>
      <c r="AP741" s="5"/>
      <c r="AQ741" s="5"/>
      <c r="AR741" s="5"/>
      <c r="AS741" s="5"/>
      <c r="AT741" s="5"/>
      <c r="AU741" s="6" t="s">
        <v>2317</v>
      </c>
      <c r="AV741" s="6" t="s">
        <v>2813</v>
      </c>
      <c r="AW741" s="6" t="s">
        <v>2813</v>
      </c>
      <c r="AX741" s="6" t="s">
        <v>2284</v>
      </c>
      <c r="AY741" s="6" t="s">
        <v>2285</v>
      </c>
      <c r="AZ741" s="6"/>
      <c r="BA741" s="6" t="s">
        <v>8446</v>
      </c>
      <c r="BB741" s="6"/>
      <c r="BC741" s="6" t="s">
        <v>127</v>
      </c>
      <c r="BD741" s="6" t="s">
        <v>127</v>
      </c>
      <c r="BE741" s="6"/>
      <c r="BF741" s="6"/>
      <c r="BG741" s="6"/>
      <c r="BH741" s="6"/>
    </row>
    <row r="742" spans="1:60" ht="32" customHeight="1" x14ac:dyDescent="0.35">
      <c r="A742" s="13" t="s">
        <v>8447</v>
      </c>
      <c r="B742" s="6" t="s">
        <v>8448</v>
      </c>
      <c r="C742" s="5" t="s">
        <v>1693</v>
      </c>
      <c r="D742" s="5" t="s">
        <v>2203</v>
      </c>
      <c r="E742" s="5" t="s">
        <v>8449</v>
      </c>
      <c r="F742" s="5" t="s">
        <v>1836</v>
      </c>
      <c r="G742" s="5" t="s">
        <v>8450</v>
      </c>
      <c r="H742" s="5" t="s">
        <v>8451</v>
      </c>
      <c r="I742" s="5" t="s">
        <v>8452</v>
      </c>
      <c r="J742" s="17" t="s">
        <v>162</v>
      </c>
      <c r="K742" s="18" t="s">
        <v>1489</v>
      </c>
      <c r="L742" s="5" t="s">
        <v>8453</v>
      </c>
      <c r="M742" s="6" t="s">
        <v>1496</v>
      </c>
      <c r="N742" s="6" t="s">
        <v>2167</v>
      </c>
      <c r="O742" s="6" t="s">
        <v>162</v>
      </c>
      <c r="P742" s="5" t="s">
        <v>2272</v>
      </c>
      <c r="Q742" s="18" t="s">
        <v>1482</v>
      </c>
      <c r="R742" s="5" t="s">
        <v>8454</v>
      </c>
      <c r="S742" s="6" t="s">
        <v>8455</v>
      </c>
      <c r="T742" s="5" t="s">
        <v>8456</v>
      </c>
      <c r="U742" s="6" t="s">
        <v>1528</v>
      </c>
      <c r="V742" s="6" t="s">
        <v>8457</v>
      </c>
      <c r="W742" s="6" t="s">
        <v>1699</v>
      </c>
      <c r="X742" s="5" t="s">
        <v>8458</v>
      </c>
      <c r="Y742" s="5" t="s">
        <v>1824</v>
      </c>
      <c r="Z742" s="5" t="str">
        <f t="shared" si="22"/>
        <v>Critical</v>
      </c>
      <c r="AA742" s="5" t="s">
        <v>1302</v>
      </c>
      <c r="AB742" s="6" t="s">
        <v>1302</v>
      </c>
      <c r="AC742" s="6" t="s">
        <v>32</v>
      </c>
      <c r="AD742" s="5" t="s">
        <v>2278</v>
      </c>
      <c r="AE742" s="5" t="s">
        <v>1720</v>
      </c>
      <c r="AF742" s="5" t="s">
        <v>1720</v>
      </c>
      <c r="AG742" s="5" t="s">
        <v>1720</v>
      </c>
      <c r="AH742" s="5" t="s">
        <v>1720</v>
      </c>
      <c r="AI742" s="6" t="str">
        <f t="shared" si="23"/>
        <v>No</v>
      </c>
      <c r="AJ742" s="6" t="s">
        <v>2298</v>
      </c>
      <c r="AK742" s="6" t="s">
        <v>204</v>
      </c>
      <c r="AL742" s="6">
        <f>MATCH(AA742,{"Low","Medium","High"},0)*MATCH(AB742,{"Low","Medium","High"},0)*INDEX({3,2,2,1,1},MATCH(X742,{"Core","Vertical extension","Differentiator","Future","Adjacent"},0))</f>
        <v>18</v>
      </c>
      <c r="AM742" s="5"/>
      <c r="AN742" s="5"/>
      <c r="AO742" s="5"/>
      <c r="AP742" s="5"/>
      <c r="AQ742" s="5"/>
      <c r="AR742" s="5"/>
      <c r="AS742" s="5"/>
      <c r="AT742" s="5"/>
      <c r="AU742" s="6" t="s">
        <v>2317</v>
      </c>
      <c r="AV742" s="6" t="s">
        <v>76</v>
      </c>
      <c r="AW742" s="6" t="s">
        <v>76</v>
      </c>
      <c r="AX742" s="6" t="s">
        <v>2284</v>
      </c>
      <c r="AY742" s="6" t="s">
        <v>2285</v>
      </c>
      <c r="AZ742" s="6"/>
      <c r="BA742" s="6"/>
      <c r="BB742" s="6"/>
      <c r="BC742" s="6" t="s">
        <v>127</v>
      </c>
      <c r="BD742" s="6" t="s">
        <v>127</v>
      </c>
      <c r="BE742" s="6"/>
      <c r="BF742" s="6"/>
      <c r="BG742" s="6"/>
      <c r="BH742" s="6"/>
    </row>
    <row r="743" spans="1:60" ht="32" customHeight="1" x14ac:dyDescent="0.35">
      <c r="A743" s="13" t="s">
        <v>8459</v>
      </c>
      <c r="B743" s="6" t="s">
        <v>8448</v>
      </c>
      <c r="C743" s="5" t="s">
        <v>1693</v>
      </c>
      <c r="D743" s="5" t="s">
        <v>2203</v>
      </c>
      <c r="E743" s="5" t="s">
        <v>8460</v>
      </c>
      <c r="F743" s="5" t="s">
        <v>1836</v>
      </c>
      <c r="G743" s="5" t="s">
        <v>2974</v>
      </c>
      <c r="H743" s="5" t="s">
        <v>8461</v>
      </c>
      <c r="I743" s="5" t="s">
        <v>8462</v>
      </c>
      <c r="J743" s="17" t="s">
        <v>162</v>
      </c>
      <c r="K743" s="18" t="s">
        <v>1489</v>
      </c>
      <c r="L743" s="5" t="s">
        <v>8463</v>
      </c>
      <c r="M743" s="6" t="s">
        <v>1496</v>
      </c>
      <c r="N743" s="6" t="s">
        <v>2167</v>
      </c>
      <c r="O743" s="6" t="s">
        <v>162</v>
      </c>
      <c r="P743" s="5" t="s">
        <v>2272</v>
      </c>
      <c r="Q743" s="18" t="s">
        <v>1482</v>
      </c>
      <c r="R743" s="5" t="s">
        <v>8464</v>
      </c>
      <c r="S743" s="6" t="s">
        <v>8455</v>
      </c>
      <c r="T743" s="5" t="s">
        <v>8456</v>
      </c>
      <c r="U743" s="6" t="s">
        <v>1532</v>
      </c>
      <c r="V743" s="6" t="s">
        <v>8457</v>
      </c>
      <c r="W743" s="6" t="s">
        <v>1699</v>
      </c>
      <c r="X743" s="5" t="s">
        <v>8458</v>
      </c>
      <c r="Y743" s="5" t="s">
        <v>1824</v>
      </c>
      <c r="Z743" s="5" t="str">
        <f t="shared" si="22"/>
        <v>Critical</v>
      </c>
      <c r="AA743" s="5" t="s">
        <v>1302</v>
      </c>
      <c r="AB743" s="6" t="s">
        <v>1302</v>
      </c>
      <c r="AC743" s="6" t="s">
        <v>32</v>
      </c>
      <c r="AD743" s="5" t="s">
        <v>2278</v>
      </c>
      <c r="AE743" s="5" t="s">
        <v>1720</v>
      </c>
      <c r="AF743" s="5" t="s">
        <v>1720</v>
      </c>
      <c r="AG743" s="5" t="s">
        <v>1720</v>
      </c>
      <c r="AH743" s="5" t="s">
        <v>1720</v>
      </c>
      <c r="AI743" s="6" t="str">
        <f t="shared" si="23"/>
        <v>No</v>
      </c>
      <c r="AJ743" s="6" t="s">
        <v>2298</v>
      </c>
      <c r="AK743" s="6" t="s">
        <v>204</v>
      </c>
      <c r="AL743" s="6">
        <f>MATCH(AA743,{"Low","Medium","High"},0)*MATCH(AB743,{"Low","Medium","High"},0)*INDEX({3,2,2,1,1},MATCH(X743,{"Core","Vertical extension","Differentiator","Future","Adjacent"},0))</f>
        <v>18</v>
      </c>
      <c r="AM743" s="5"/>
      <c r="AN743" s="5"/>
      <c r="AO743" s="5"/>
      <c r="AP743" s="5" t="s">
        <v>8447</v>
      </c>
      <c r="AQ743" s="5"/>
      <c r="AR743" s="5"/>
      <c r="AS743" s="5"/>
      <c r="AT743" s="5"/>
      <c r="AU743" s="6" t="s">
        <v>2317</v>
      </c>
      <c r="AV743" s="6" t="s">
        <v>76</v>
      </c>
      <c r="AW743" s="6" t="s">
        <v>76</v>
      </c>
      <c r="AX743" s="6" t="s">
        <v>2284</v>
      </c>
      <c r="AY743" s="6" t="s">
        <v>2285</v>
      </c>
      <c r="AZ743" s="6"/>
      <c r="BA743" s="6" t="s">
        <v>8465</v>
      </c>
      <c r="BB743" s="6" t="s">
        <v>8466</v>
      </c>
      <c r="BC743" s="6" t="s">
        <v>127</v>
      </c>
      <c r="BD743" s="6" t="s">
        <v>127</v>
      </c>
      <c r="BE743" s="6"/>
      <c r="BF743" s="6"/>
      <c r="BG743" s="6"/>
      <c r="BH743" s="6"/>
    </row>
    <row r="744" spans="1:60" ht="32" customHeight="1" x14ac:dyDescent="0.35">
      <c r="A744" s="13" t="s">
        <v>8467</v>
      </c>
      <c r="B744" s="6" t="s">
        <v>8448</v>
      </c>
      <c r="C744" s="5" t="s">
        <v>1693</v>
      </c>
      <c r="D744" s="5" t="s">
        <v>2203</v>
      </c>
      <c r="E744" s="5" t="s">
        <v>8468</v>
      </c>
      <c r="F744" s="5" t="s">
        <v>1836</v>
      </c>
      <c r="G744" s="5" t="s">
        <v>2974</v>
      </c>
      <c r="H744" s="5" t="s">
        <v>8469</v>
      </c>
      <c r="I744" s="5" t="s">
        <v>8470</v>
      </c>
      <c r="J744" s="17" t="s">
        <v>162</v>
      </c>
      <c r="K744" s="18" t="s">
        <v>1489</v>
      </c>
      <c r="L744" s="5" t="s">
        <v>8471</v>
      </c>
      <c r="M744" s="6" t="s">
        <v>1496</v>
      </c>
      <c r="N744" s="6" t="s">
        <v>2167</v>
      </c>
      <c r="O744" s="6" t="s">
        <v>162</v>
      </c>
      <c r="P744" s="5" t="s">
        <v>2272</v>
      </c>
      <c r="Q744" s="18" t="s">
        <v>1482</v>
      </c>
      <c r="R744" s="5" t="s">
        <v>8464</v>
      </c>
      <c r="S744" s="6" t="s">
        <v>8455</v>
      </c>
      <c r="T744" s="5" t="s">
        <v>8456</v>
      </c>
      <c r="U744" s="6" t="s">
        <v>1536</v>
      </c>
      <c r="V744" s="6" t="s">
        <v>8457</v>
      </c>
      <c r="W744" s="6" t="s">
        <v>1699</v>
      </c>
      <c r="X744" s="5" t="s">
        <v>8458</v>
      </c>
      <c r="Y744" s="5" t="s">
        <v>1824</v>
      </c>
      <c r="Z744" s="5" t="str">
        <f t="shared" si="22"/>
        <v>Critical</v>
      </c>
      <c r="AA744" s="5" t="s">
        <v>1302</v>
      </c>
      <c r="AB744" s="6" t="s">
        <v>1302</v>
      </c>
      <c r="AC744" s="6" t="s">
        <v>32</v>
      </c>
      <c r="AD744" s="5" t="s">
        <v>2278</v>
      </c>
      <c r="AE744" s="5" t="s">
        <v>1720</v>
      </c>
      <c r="AF744" s="5" t="s">
        <v>1720</v>
      </c>
      <c r="AG744" s="5" t="s">
        <v>1720</v>
      </c>
      <c r="AH744" s="5" t="s">
        <v>1720</v>
      </c>
      <c r="AI744" s="6" t="str">
        <f t="shared" si="23"/>
        <v>No</v>
      </c>
      <c r="AJ744" s="6" t="s">
        <v>2298</v>
      </c>
      <c r="AK744" s="6" t="s">
        <v>204</v>
      </c>
      <c r="AL744" s="6">
        <f>MATCH(AA744,{"Low","Medium","High"},0)*MATCH(AB744,{"Low","Medium","High"},0)*INDEX({3,2,2,1,1},MATCH(X744,{"Core","Vertical extension","Differentiator","Future","Adjacent"},0))</f>
        <v>18</v>
      </c>
      <c r="AM744" s="5"/>
      <c r="AN744" s="5"/>
      <c r="AO744" s="5"/>
      <c r="AP744" s="5" t="s">
        <v>8459</v>
      </c>
      <c r="AQ744" s="5"/>
      <c r="AR744" s="5"/>
      <c r="AS744" s="5"/>
      <c r="AT744" s="5"/>
      <c r="AU744" s="6" t="s">
        <v>2317</v>
      </c>
      <c r="AV744" s="6" t="s">
        <v>76</v>
      </c>
      <c r="AW744" s="6" t="s">
        <v>76</v>
      </c>
      <c r="AX744" s="6" t="s">
        <v>2284</v>
      </c>
      <c r="AY744" s="6" t="s">
        <v>2285</v>
      </c>
      <c r="AZ744" s="6"/>
      <c r="BA744" s="6" t="s">
        <v>8465</v>
      </c>
      <c r="BB744" s="6" t="s">
        <v>8466</v>
      </c>
      <c r="BC744" s="6" t="s">
        <v>127</v>
      </c>
      <c r="BD744" s="6" t="s">
        <v>127</v>
      </c>
      <c r="BE744" s="6"/>
      <c r="BF744" s="6"/>
      <c r="BG744" s="6"/>
      <c r="BH744" s="6"/>
    </row>
    <row r="745" spans="1:60" ht="32" customHeight="1" x14ac:dyDescent="0.35">
      <c r="A745" s="13" t="s">
        <v>8472</v>
      </c>
      <c r="B745" s="6" t="s">
        <v>8448</v>
      </c>
      <c r="C745" s="5" t="s">
        <v>1693</v>
      </c>
      <c r="D745" s="5" t="s">
        <v>2203</v>
      </c>
      <c r="E745" s="5" t="s">
        <v>8473</v>
      </c>
      <c r="F745" s="5" t="s">
        <v>1836</v>
      </c>
      <c r="G745" s="5" t="s">
        <v>8450</v>
      </c>
      <c r="H745" s="5" t="s">
        <v>8474</v>
      </c>
      <c r="I745" s="5" t="s">
        <v>8475</v>
      </c>
      <c r="J745" s="17" t="s">
        <v>162</v>
      </c>
      <c r="K745" s="18" t="s">
        <v>1489</v>
      </c>
      <c r="L745" s="5" t="s">
        <v>8476</v>
      </c>
      <c r="M745" s="6" t="s">
        <v>1496</v>
      </c>
      <c r="N745" s="6" t="s">
        <v>2167</v>
      </c>
      <c r="O745" s="6" t="s">
        <v>162</v>
      </c>
      <c r="P745" s="5" t="s">
        <v>2272</v>
      </c>
      <c r="Q745" s="18" t="s">
        <v>1482</v>
      </c>
      <c r="R745" s="5" t="s">
        <v>8477</v>
      </c>
      <c r="S745" s="6" t="s">
        <v>8455</v>
      </c>
      <c r="T745" s="5" t="s">
        <v>8456</v>
      </c>
      <c r="U745" s="6" t="s">
        <v>1540</v>
      </c>
      <c r="V745" s="6" t="s">
        <v>8457</v>
      </c>
      <c r="W745" s="6" t="s">
        <v>1699</v>
      </c>
      <c r="X745" s="5" t="s">
        <v>8458</v>
      </c>
      <c r="Y745" s="5" t="s">
        <v>1824</v>
      </c>
      <c r="Z745" s="5" t="str">
        <f t="shared" si="22"/>
        <v>Critical</v>
      </c>
      <c r="AA745" s="5" t="s">
        <v>1302</v>
      </c>
      <c r="AB745" s="6" t="s">
        <v>1302</v>
      </c>
      <c r="AC745" s="6" t="s">
        <v>32</v>
      </c>
      <c r="AD745" s="5" t="s">
        <v>2278</v>
      </c>
      <c r="AE745" s="5" t="s">
        <v>1720</v>
      </c>
      <c r="AF745" s="5" t="s">
        <v>1720</v>
      </c>
      <c r="AG745" s="5" t="s">
        <v>1720</v>
      </c>
      <c r="AH745" s="5" t="s">
        <v>1720</v>
      </c>
      <c r="AI745" s="6" t="str">
        <f t="shared" si="23"/>
        <v>No</v>
      </c>
      <c r="AJ745" s="6" t="s">
        <v>2298</v>
      </c>
      <c r="AK745" s="6" t="s">
        <v>204</v>
      </c>
      <c r="AL745" s="6">
        <f>MATCH(AA745,{"Low","Medium","High"},0)*MATCH(AB745,{"Low","Medium","High"},0)*INDEX({3,2,2,1,1},MATCH(X745,{"Core","Vertical extension","Differentiator","Future","Adjacent"},0))</f>
        <v>18</v>
      </c>
      <c r="AM745" s="5"/>
      <c r="AN745" s="5"/>
      <c r="AO745" s="5"/>
      <c r="AP745" s="5" t="s">
        <v>8467</v>
      </c>
      <c r="AQ745" s="5"/>
      <c r="AR745" s="5"/>
      <c r="AS745" s="5"/>
      <c r="AT745" s="5"/>
      <c r="AU745" s="6" t="s">
        <v>2317</v>
      </c>
      <c r="AV745" s="6" t="s">
        <v>76</v>
      </c>
      <c r="AW745" s="6" t="s">
        <v>76</v>
      </c>
      <c r="AX745" s="6" t="s">
        <v>2284</v>
      </c>
      <c r="AY745" s="6" t="s">
        <v>2285</v>
      </c>
      <c r="AZ745" s="6"/>
      <c r="BA745" s="6" t="s">
        <v>8478</v>
      </c>
      <c r="BB745" s="6" t="s">
        <v>8479</v>
      </c>
      <c r="BC745" s="6" t="s">
        <v>127</v>
      </c>
      <c r="BD745" s="6" t="s">
        <v>127</v>
      </c>
      <c r="BE745" s="6"/>
      <c r="BF745" s="6"/>
      <c r="BG745" s="6"/>
      <c r="BH745" s="6"/>
    </row>
    <row r="746" spans="1:60" ht="32" customHeight="1" x14ac:dyDescent="0.35">
      <c r="A746" s="13" t="s">
        <v>8480</v>
      </c>
      <c r="B746" s="6" t="s">
        <v>8448</v>
      </c>
      <c r="C746" s="5" t="s">
        <v>1693</v>
      </c>
      <c r="D746" s="5" t="s">
        <v>2203</v>
      </c>
      <c r="E746" s="5" t="s">
        <v>8481</v>
      </c>
      <c r="F746" s="5" t="s">
        <v>1836</v>
      </c>
      <c r="G746" s="5" t="s">
        <v>8482</v>
      </c>
      <c r="H746" s="5" t="s">
        <v>8483</v>
      </c>
      <c r="I746" s="5" t="s">
        <v>8484</v>
      </c>
      <c r="J746" s="17" t="s">
        <v>162</v>
      </c>
      <c r="K746" s="18" t="s">
        <v>1489</v>
      </c>
      <c r="L746" s="5" t="s">
        <v>8485</v>
      </c>
      <c r="M746" s="6" t="s">
        <v>1496</v>
      </c>
      <c r="N746" s="6" t="s">
        <v>2167</v>
      </c>
      <c r="O746" s="6" t="s">
        <v>162</v>
      </c>
      <c r="P746" s="5" t="s">
        <v>2272</v>
      </c>
      <c r="Q746" s="18" t="s">
        <v>1482</v>
      </c>
      <c r="R746" s="5" t="s">
        <v>8486</v>
      </c>
      <c r="S746" s="6" t="s">
        <v>8455</v>
      </c>
      <c r="T746" s="5" t="s">
        <v>8456</v>
      </c>
      <c r="U746" s="6" t="s">
        <v>1544</v>
      </c>
      <c r="V746" s="6" t="s">
        <v>8457</v>
      </c>
      <c r="W746" s="6" t="s">
        <v>1699</v>
      </c>
      <c r="X746" s="5" t="s">
        <v>8458</v>
      </c>
      <c r="Y746" s="5" t="s">
        <v>1824</v>
      </c>
      <c r="Z746" s="5" t="str">
        <f t="shared" si="22"/>
        <v>Critical</v>
      </c>
      <c r="AA746" s="5" t="s">
        <v>1302</v>
      </c>
      <c r="AB746" s="6" t="s">
        <v>1302</v>
      </c>
      <c r="AC746" s="6" t="s">
        <v>32</v>
      </c>
      <c r="AD746" s="5" t="s">
        <v>2278</v>
      </c>
      <c r="AE746" s="5" t="s">
        <v>1720</v>
      </c>
      <c r="AF746" s="5" t="s">
        <v>1720</v>
      </c>
      <c r="AG746" s="5" t="s">
        <v>1720</v>
      </c>
      <c r="AH746" s="5" t="s">
        <v>1720</v>
      </c>
      <c r="AI746" s="6" t="str">
        <f t="shared" si="23"/>
        <v>No</v>
      </c>
      <c r="AJ746" s="6" t="s">
        <v>2298</v>
      </c>
      <c r="AK746" s="6" t="s">
        <v>204</v>
      </c>
      <c r="AL746" s="6">
        <f>MATCH(AA746,{"Low","Medium","High"},0)*MATCH(AB746,{"Low","Medium","High"},0)*INDEX({3,2,2,1,1},MATCH(X746,{"Core","Vertical extension","Differentiator","Future","Adjacent"},0))</f>
        <v>18</v>
      </c>
      <c r="AM746" s="5"/>
      <c r="AN746" s="5"/>
      <c r="AO746" s="5"/>
      <c r="AP746" s="5" t="s">
        <v>8472</v>
      </c>
      <c r="AQ746" s="5"/>
      <c r="AR746" s="5"/>
      <c r="AS746" s="5"/>
      <c r="AT746" s="5"/>
      <c r="AU746" s="6" t="s">
        <v>2317</v>
      </c>
      <c r="AV746" s="6" t="s">
        <v>76</v>
      </c>
      <c r="AW746" s="6" t="s">
        <v>76</v>
      </c>
      <c r="AX746" s="6" t="s">
        <v>2284</v>
      </c>
      <c r="AY746" s="6" t="s">
        <v>2285</v>
      </c>
      <c r="AZ746" s="6"/>
      <c r="BA746" s="6" t="s">
        <v>8487</v>
      </c>
      <c r="BB746" s="6" t="s">
        <v>8488</v>
      </c>
      <c r="BC746" s="6" t="s">
        <v>127</v>
      </c>
      <c r="BD746" s="6" t="s">
        <v>127</v>
      </c>
      <c r="BE746" s="6"/>
      <c r="BF746" s="6"/>
      <c r="BG746" s="6"/>
      <c r="BH746" s="6"/>
    </row>
    <row r="747" spans="1:60" ht="32" customHeight="1" x14ac:dyDescent="0.35">
      <c r="A747" s="13" t="s">
        <v>8489</v>
      </c>
      <c r="B747" s="6" t="s">
        <v>8448</v>
      </c>
      <c r="C747" s="5" t="s">
        <v>1693</v>
      </c>
      <c r="D747" s="5" t="s">
        <v>2203</v>
      </c>
      <c r="E747" s="5" t="s">
        <v>8490</v>
      </c>
      <c r="F747" s="5" t="s">
        <v>1836</v>
      </c>
      <c r="G747" s="5" t="s">
        <v>8450</v>
      </c>
      <c r="H747" s="5" t="s">
        <v>8491</v>
      </c>
      <c r="I747" s="5" t="s">
        <v>8492</v>
      </c>
      <c r="J747" s="16" t="s">
        <v>94</v>
      </c>
      <c r="K747" s="18" t="s">
        <v>1489</v>
      </c>
      <c r="L747" s="5" t="s">
        <v>8493</v>
      </c>
      <c r="M747" s="6" t="s">
        <v>1496</v>
      </c>
      <c r="N747" s="6" t="s">
        <v>2167</v>
      </c>
      <c r="O747" s="6" t="s">
        <v>94</v>
      </c>
      <c r="P747" s="5" t="s">
        <v>2272</v>
      </c>
      <c r="Q747" s="18" t="s">
        <v>1482</v>
      </c>
      <c r="R747" s="5" t="s">
        <v>8486</v>
      </c>
      <c r="S747" s="6" t="s">
        <v>8455</v>
      </c>
      <c r="T747" s="5" t="s">
        <v>8456</v>
      </c>
      <c r="U747" s="6" t="s">
        <v>810</v>
      </c>
      <c r="V747" s="6" t="s">
        <v>8457</v>
      </c>
      <c r="W747" s="6" t="s">
        <v>1699</v>
      </c>
      <c r="X747" s="5" t="s">
        <v>8458</v>
      </c>
      <c r="Y747" s="5" t="s">
        <v>1824</v>
      </c>
      <c r="Z747" s="5" t="str">
        <f t="shared" si="22"/>
        <v>Critical</v>
      </c>
      <c r="AA747" s="5" t="s">
        <v>1302</v>
      </c>
      <c r="AB747" s="6" t="s">
        <v>1302</v>
      </c>
      <c r="AC747" s="6" t="s">
        <v>99</v>
      </c>
      <c r="AD747" s="5" t="s">
        <v>2278</v>
      </c>
      <c r="AE747" s="5" t="s">
        <v>1720</v>
      </c>
      <c r="AF747" s="5" t="s">
        <v>1720</v>
      </c>
      <c r="AG747" s="5" t="s">
        <v>1720</v>
      </c>
      <c r="AH747" s="5" t="s">
        <v>1720</v>
      </c>
      <c r="AI747" s="6" t="str">
        <f t="shared" si="23"/>
        <v>No</v>
      </c>
      <c r="AJ747" s="6" t="s">
        <v>2279</v>
      </c>
      <c r="AK747" s="6" t="s">
        <v>94</v>
      </c>
      <c r="AL747" s="6">
        <f>MATCH(AA747,{"Low","Medium","High"},0)*MATCH(AB747,{"Low","Medium","High"},0)*INDEX({3,2,2,1,1},MATCH(X747,{"Core","Vertical extension","Differentiator","Future","Adjacent"},0))</f>
        <v>18</v>
      </c>
      <c r="AM747" s="5"/>
      <c r="AN747" s="5"/>
      <c r="AO747" s="5"/>
      <c r="AP747" s="5" t="s">
        <v>8480</v>
      </c>
      <c r="AQ747" s="5"/>
      <c r="AR747" s="5" t="s">
        <v>8494</v>
      </c>
      <c r="AS747" s="5" t="s">
        <v>1462</v>
      </c>
      <c r="AT747" s="5" t="s">
        <v>2281</v>
      </c>
      <c r="AU747" s="6" t="s">
        <v>2282</v>
      </c>
      <c r="AV747" s="6" t="s">
        <v>76</v>
      </c>
      <c r="AW747" s="6" t="s">
        <v>76</v>
      </c>
      <c r="AX747" s="6" t="s">
        <v>2284</v>
      </c>
      <c r="AY747" s="6" t="s">
        <v>2285</v>
      </c>
      <c r="AZ747" s="6"/>
      <c r="BA747" s="6" t="s">
        <v>8487</v>
      </c>
      <c r="BB747" s="6" t="s">
        <v>8488</v>
      </c>
      <c r="BC747" s="6" t="s">
        <v>127</v>
      </c>
      <c r="BD747" s="6" t="s">
        <v>127</v>
      </c>
      <c r="BE747" s="6"/>
      <c r="BF747" s="6"/>
      <c r="BG747" s="6"/>
      <c r="BH747" s="6"/>
    </row>
    <row r="748" spans="1:60" ht="32" customHeight="1" x14ac:dyDescent="0.35">
      <c r="A748" s="13" t="s">
        <v>8495</v>
      </c>
      <c r="B748" s="6" t="s">
        <v>8448</v>
      </c>
      <c r="C748" s="5" t="s">
        <v>1693</v>
      </c>
      <c r="D748" s="5" t="s">
        <v>2203</v>
      </c>
      <c r="E748" s="5" t="s">
        <v>8496</v>
      </c>
      <c r="F748" s="5" t="s">
        <v>1836</v>
      </c>
      <c r="G748" s="5" t="s">
        <v>2974</v>
      </c>
      <c r="H748" s="5" t="s">
        <v>8497</v>
      </c>
      <c r="I748" s="5" t="s">
        <v>8498</v>
      </c>
      <c r="J748" s="17" t="s">
        <v>162</v>
      </c>
      <c r="K748" s="18" t="s">
        <v>1489</v>
      </c>
      <c r="L748" s="5" t="s">
        <v>8499</v>
      </c>
      <c r="M748" s="6" t="s">
        <v>1496</v>
      </c>
      <c r="N748" s="6" t="s">
        <v>2167</v>
      </c>
      <c r="O748" s="6" t="s">
        <v>162</v>
      </c>
      <c r="P748" s="5" t="s">
        <v>2272</v>
      </c>
      <c r="Q748" s="18" t="s">
        <v>1482</v>
      </c>
      <c r="R748" s="5" t="s">
        <v>8500</v>
      </c>
      <c r="S748" s="6" t="s">
        <v>8455</v>
      </c>
      <c r="T748" s="5" t="s">
        <v>8456</v>
      </c>
      <c r="U748" s="6" t="s">
        <v>818</v>
      </c>
      <c r="V748" s="6" t="s">
        <v>8457</v>
      </c>
      <c r="W748" s="6" t="s">
        <v>1699</v>
      </c>
      <c r="X748" s="5" t="s">
        <v>8458</v>
      </c>
      <c r="Y748" s="5" t="s">
        <v>1824</v>
      </c>
      <c r="Z748" s="5" t="str">
        <f t="shared" si="22"/>
        <v>Critical</v>
      </c>
      <c r="AA748" s="5" t="s">
        <v>1302</v>
      </c>
      <c r="AB748" s="6" t="s">
        <v>1302</v>
      </c>
      <c r="AC748" s="6" t="s">
        <v>32</v>
      </c>
      <c r="AD748" s="5" t="s">
        <v>2278</v>
      </c>
      <c r="AE748" s="5" t="s">
        <v>1720</v>
      </c>
      <c r="AF748" s="5" t="s">
        <v>1720</v>
      </c>
      <c r="AG748" s="5" t="s">
        <v>1720</v>
      </c>
      <c r="AH748" s="5" t="s">
        <v>1720</v>
      </c>
      <c r="AI748" s="6" t="str">
        <f t="shared" si="23"/>
        <v>No</v>
      </c>
      <c r="AJ748" s="6" t="s">
        <v>2298</v>
      </c>
      <c r="AK748" s="6" t="s">
        <v>204</v>
      </c>
      <c r="AL748" s="6">
        <f>MATCH(AA748,{"Low","Medium","High"},0)*MATCH(AB748,{"Low","Medium","High"},0)*INDEX({3,2,2,1,1},MATCH(X748,{"Core","Vertical extension","Differentiator","Future","Adjacent"},0))</f>
        <v>18</v>
      </c>
      <c r="AM748" s="5"/>
      <c r="AN748" s="5"/>
      <c r="AO748" s="5"/>
      <c r="AP748" s="5" t="s">
        <v>8489</v>
      </c>
      <c r="AQ748" s="5"/>
      <c r="AR748" s="5"/>
      <c r="AS748" s="5"/>
      <c r="AT748" s="5"/>
      <c r="AU748" s="6" t="s">
        <v>2317</v>
      </c>
      <c r="AV748" s="6" t="s">
        <v>76</v>
      </c>
      <c r="AW748" s="6" t="s">
        <v>76</v>
      </c>
      <c r="AX748" s="6" t="s">
        <v>2284</v>
      </c>
      <c r="AY748" s="6" t="s">
        <v>2285</v>
      </c>
      <c r="AZ748" s="6"/>
      <c r="BA748" s="6" t="s">
        <v>8501</v>
      </c>
      <c r="BB748" s="6" t="s">
        <v>8488</v>
      </c>
      <c r="BC748" s="6" t="s">
        <v>127</v>
      </c>
      <c r="BD748" s="6" t="s">
        <v>127</v>
      </c>
      <c r="BE748" s="6"/>
      <c r="BF748" s="6"/>
      <c r="BG748" s="6"/>
      <c r="BH748" s="6"/>
    </row>
    <row r="749" spans="1:60" ht="32" customHeight="1" x14ac:dyDescent="0.35">
      <c r="A749" s="13" t="s">
        <v>8502</v>
      </c>
      <c r="B749" s="6" t="s">
        <v>8448</v>
      </c>
      <c r="C749" s="5" t="s">
        <v>8503</v>
      </c>
      <c r="D749" s="5" t="s">
        <v>2205</v>
      </c>
      <c r="E749" s="5" t="s">
        <v>8504</v>
      </c>
      <c r="F749" s="5" t="s">
        <v>1834</v>
      </c>
      <c r="G749" s="5" t="s">
        <v>2396</v>
      </c>
      <c r="H749" s="5" t="s">
        <v>8505</v>
      </c>
      <c r="I749" s="5" t="s">
        <v>8506</v>
      </c>
      <c r="J749" s="17" t="s">
        <v>162</v>
      </c>
      <c r="K749" s="18" t="s">
        <v>1489</v>
      </c>
      <c r="L749" s="5" t="s">
        <v>8507</v>
      </c>
      <c r="M749" s="6" t="s">
        <v>1496</v>
      </c>
      <c r="N749" s="6" t="s">
        <v>2168</v>
      </c>
      <c r="O749" s="6" t="s">
        <v>162</v>
      </c>
      <c r="P749" s="5" t="s">
        <v>2272</v>
      </c>
      <c r="Q749" s="18" t="s">
        <v>1482</v>
      </c>
      <c r="R749" s="5" t="s">
        <v>8508</v>
      </c>
      <c r="S749" s="6" t="s">
        <v>8509</v>
      </c>
      <c r="T749" s="5" t="s">
        <v>8510</v>
      </c>
      <c r="U749" s="6" t="s">
        <v>1528</v>
      </c>
      <c r="V749" s="6" t="s">
        <v>8511</v>
      </c>
      <c r="W749" s="6" t="s">
        <v>1697</v>
      </c>
      <c r="X749" s="5" t="s">
        <v>8458</v>
      </c>
      <c r="Y749" s="5" t="s">
        <v>8512</v>
      </c>
      <c r="Z749" s="5" t="str">
        <f t="shared" si="22"/>
        <v>Medium</v>
      </c>
      <c r="AA749" s="5" t="s">
        <v>1319</v>
      </c>
      <c r="AB749" s="6" t="s">
        <v>1355</v>
      </c>
      <c r="AC749" s="6" t="s">
        <v>32</v>
      </c>
      <c r="AD749" s="5" t="s">
        <v>2278</v>
      </c>
      <c r="AE749" s="5" t="s">
        <v>1720</v>
      </c>
      <c r="AF749" s="5" t="s">
        <v>1720</v>
      </c>
      <c r="AG749" s="5" t="s">
        <v>1720</v>
      </c>
      <c r="AH749" s="5" t="s">
        <v>1720</v>
      </c>
      <c r="AI749" s="6" t="str">
        <f t="shared" si="23"/>
        <v>No</v>
      </c>
      <c r="AJ749" s="6" t="s">
        <v>2298</v>
      </c>
      <c r="AK749" s="6" t="s">
        <v>204</v>
      </c>
      <c r="AL749" s="6">
        <f>MATCH(AA749,{"Low","Medium","High"},0)*MATCH(AB749,{"Low","Medium","High"},0)*INDEX({3,2,2,1,1},MATCH(X749,{"Core","Vertical extension","Differentiator","Future","Adjacent"},0))</f>
        <v>4</v>
      </c>
      <c r="AM749" s="5"/>
      <c r="AN749" s="5"/>
      <c r="AO749" s="5"/>
      <c r="AP749" s="5"/>
      <c r="AQ749" s="5"/>
      <c r="AR749" s="5"/>
      <c r="AS749" s="5"/>
      <c r="AT749" s="5"/>
      <c r="AU749" s="6" t="s">
        <v>2317</v>
      </c>
      <c r="AV749" s="6" t="s">
        <v>5307</v>
      </c>
      <c r="AW749" s="6" t="s">
        <v>5307</v>
      </c>
      <c r="AX749" s="6" t="s">
        <v>2284</v>
      </c>
      <c r="AY749" s="6" t="s">
        <v>2285</v>
      </c>
      <c r="AZ749" s="6"/>
      <c r="BA749" s="6" t="s">
        <v>5426</v>
      </c>
      <c r="BB749" s="6" t="s">
        <v>5427</v>
      </c>
      <c r="BC749" s="6" t="s">
        <v>127</v>
      </c>
      <c r="BD749" s="6" t="s">
        <v>127</v>
      </c>
      <c r="BE749" s="6"/>
      <c r="BF749" s="6"/>
      <c r="BG749" s="6"/>
      <c r="BH749" s="6"/>
    </row>
    <row r="750" spans="1:60" ht="32" customHeight="1" x14ac:dyDescent="0.35">
      <c r="A750" s="13" t="s">
        <v>8513</v>
      </c>
      <c r="B750" s="6" t="s">
        <v>8448</v>
      </c>
      <c r="C750" s="5" t="s">
        <v>8503</v>
      </c>
      <c r="D750" s="5" t="s">
        <v>2205</v>
      </c>
      <c r="E750" s="5" t="s">
        <v>8514</v>
      </c>
      <c r="F750" s="5" t="s">
        <v>1834</v>
      </c>
      <c r="G750" s="5" t="s">
        <v>8515</v>
      </c>
      <c r="H750" s="5" t="s">
        <v>8516</v>
      </c>
      <c r="I750" s="5" t="s">
        <v>8517</v>
      </c>
      <c r="J750" s="17" t="s">
        <v>162</v>
      </c>
      <c r="K750" s="18" t="s">
        <v>1489</v>
      </c>
      <c r="L750" s="5" t="s">
        <v>8518</v>
      </c>
      <c r="M750" s="6" t="s">
        <v>1496</v>
      </c>
      <c r="N750" s="6" t="s">
        <v>2168</v>
      </c>
      <c r="O750" s="6" t="s">
        <v>162</v>
      </c>
      <c r="P750" s="5" t="s">
        <v>2272</v>
      </c>
      <c r="Q750" s="18" t="s">
        <v>1482</v>
      </c>
      <c r="R750" s="5" t="s">
        <v>3178</v>
      </c>
      <c r="S750" s="6" t="s">
        <v>8509</v>
      </c>
      <c r="T750" s="5" t="s">
        <v>8510</v>
      </c>
      <c r="U750" s="6" t="s">
        <v>1532</v>
      </c>
      <c r="V750" s="6" t="s">
        <v>8511</v>
      </c>
      <c r="W750" s="6" t="s">
        <v>1697</v>
      </c>
      <c r="X750" s="5" t="s">
        <v>8458</v>
      </c>
      <c r="Y750" s="5" t="s">
        <v>8512</v>
      </c>
      <c r="Z750" s="5" t="str">
        <f t="shared" si="22"/>
        <v>Medium</v>
      </c>
      <c r="AA750" s="5" t="s">
        <v>1319</v>
      </c>
      <c r="AB750" s="6" t="s">
        <v>1355</v>
      </c>
      <c r="AC750" s="6" t="s">
        <v>32</v>
      </c>
      <c r="AD750" s="5" t="s">
        <v>2278</v>
      </c>
      <c r="AE750" s="5" t="s">
        <v>1720</v>
      </c>
      <c r="AF750" s="5" t="s">
        <v>1720</v>
      </c>
      <c r="AG750" s="5" t="s">
        <v>1720</v>
      </c>
      <c r="AH750" s="5" t="s">
        <v>1720</v>
      </c>
      <c r="AI750" s="6" t="str">
        <f t="shared" si="23"/>
        <v>No</v>
      </c>
      <c r="AJ750" s="6" t="s">
        <v>2298</v>
      </c>
      <c r="AK750" s="6" t="s">
        <v>204</v>
      </c>
      <c r="AL750" s="6">
        <f>MATCH(AA750,{"Low","Medium","High"},0)*MATCH(AB750,{"Low","Medium","High"},0)*INDEX({3,2,2,1,1},MATCH(X750,{"Core","Vertical extension","Differentiator","Future","Adjacent"},0))</f>
        <v>4</v>
      </c>
      <c r="AM750" s="5"/>
      <c r="AN750" s="5"/>
      <c r="AO750" s="5"/>
      <c r="AP750" s="5" t="s">
        <v>8502</v>
      </c>
      <c r="AQ750" s="5"/>
      <c r="AR750" s="5"/>
      <c r="AS750" s="5"/>
      <c r="AT750" s="5"/>
      <c r="AU750" s="6" t="s">
        <v>2317</v>
      </c>
      <c r="AV750" s="6" t="s">
        <v>5307</v>
      </c>
      <c r="AW750" s="6" t="s">
        <v>5307</v>
      </c>
      <c r="AX750" s="6" t="s">
        <v>2284</v>
      </c>
      <c r="AY750" s="6" t="s">
        <v>2285</v>
      </c>
      <c r="AZ750" s="6"/>
      <c r="BA750" s="6" t="s">
        <v>8519</v>
      </c>
      <c r="BB750" s="6" t="s">
        <v>5427</v>
      </c>
      <c r="BC750" s="6" t="s">
        <v>127</v>
      </c>
      <c r="BD750" s="6" t="s">
        <v>127</v>
      </c>
      <c r="BE750" s="6"/>
      <c r="BF750" s="6"/>
      <c r="BG750" s="6"/>
      <c r="BH750" s="6"/>
    </row>
    <row r="751" spans="1:60" ht="32" customHeight="1" x14ac:dyDescent="0.35">
      <c r="A751" s="13" t="s">
        <v>8520</v>
      </c>
      <c r="B751" s="6" t="s">
        <v>8448</v>
      </c>
      <c r="C751" s="5" t="s">
        <v>8503</v>
      </c>
      <c r="D751" s="5" t="s">
        <v>2205</v>
      </c>
      <c r="E751" s="5" t="s">
        <v>8521</v>
      </c>
      <c r="F751" s="5" t="s">
        <v>8515</v>
      </c>
      <c r="G751" s="5" t="s">
        <v>1820</v>
      </c>
      <c r="H751" s="5" t="s">
        <v>8522</v>
      </c>
      <c r="I751" s="5" t="s">
        <v>8523</v>
      </c>
      <c r="J751" s="17" t="s">
        <v>162</v>
      </c>
      <c r="K751" s="18" t="s">
        <v>1489</v>
      </c>
      <c r="L751" s="5" t="s">
        <v>8524</v>
      </c>
      <c r="M751" s="6" t="s">
        <v>1496</v>
      </c>
      <c r="N751" s="6" t="s">
        <v>2168</v>
      </c>
      <c r="O751" s="6" t="s">
        <v>162</v>
      </c>
      <c r="P751" s="5" t="s">
        <v>2272</v>
      </c>
      <c r="Q751" s="18" t="s">
        <v>1482</v>
      </c>
      <c r="R751" s="5" t="s">
        <v>8525</v>
      </c>
      <c r="S751" s="6" t="s">
        <v>8509</v>
      </c>
      <c r="T751" s="5" t="s">
        <v>8510</v>
      </c>
      <c r="U751" s="6" t="s">
        <v>1536</v>
      </c>
      <c r="V751" s="6" t="s">
        <v>8511</v>
      </c>
      <c r="W751" s="6" t="s">
        <v>1697</v>
      </c>
      <c r="X751" s="5" t="s">
        <v>8458</v>
      </c>
      <c r="Y751" s="5" t="s">
        <v>8512</v>
      </c>
      <c r="Z751" s="5" t="str">
        <f t="shared" si="22"/>
        <v>Medium</v>
      </c>
      <c r="AA751" s="5" t="s">
        <v>1319</v>
      </c>
      <c r="AB751" s="6" t="s">
        <v>1355</v>
      </c>
      <c r="AC751" s="6" t="s">
        <v>32</v>
      </c>
      <c r="AD751" s="5" t="s">
        <v>2278</v>
      </c>
      <c r="AE751" s="5" t="s">
        <v>1720</v>
      </c>
      <c r="AF751" s="5" t="s">
        <v>1720</v>
      </c>
      <c r="AG751" s="5" t="s">
        <v>1720</v>
      </c>
      <c r="AH751" s="5" t="s">
        <v>1720</v>
      </c>
      <c r="AI751" s="6" t="str">
        <f t="shared" si="23"/>
        <v>No</v>
      </c>
      <c r="AJ751" s="6" t="s">
        <v>2298</v>
      </c>
      <c r="AK751" s="6" t="s">
        <v>204</v>
      </c>
      <c r="AL751" s="6">
        <f>MATCH(AA751,{"Low","Medium","High"},0)*MATCH(AB751,{"Low","Medium","High"},0)*INDEX({3,2,2,1,1},MATCH(X751,{"Core","Vertical extension","Differentiator","Future","Adjacent"},0))</f>
        <v>4</v>
      </c>
      <c r="AM751" s="5"/>
      <c r="AN751" s="5"/>
      <c r="AO751" s="5"/>
      <c r="AP751" s="5" t="s">
        <v>8513</v>
      </c>
      <c r="AQ751" s="5"/>
      <c r="AR751" s="5"/>
      <c r="AS751" s="5"/>
      <c r="AT751" s="5"/>
      <c r="AU751" s="6" t="s">
        <v>2317</v>
      </c>
      <c r="AV751" s="6" t="s">
        <v>5307</v>
      </c>
      <c r="AW751" s="6" t="s">
        <v>5307</v>
      </c>
      <c r="AX751" s="6" t="s">
        <v>2284</v>
      </c>
      <c r="AY751" s="6" t="s">
        <v>2285</v>
      </c>
      <c r="AZ751" s="6"/>
      <c r="BA751" s="6" t="s">
        <v>8526</v>
      </c>
      <c r="BB751" s="6" t="s">
        <v>8527</v>
      </c>
      <c r="BC751" s="6" t="s">
        <v>127</v>
      </c>
      <c r="BD751" s="6" t="s">
        <v>127</v>
      </c>
      <c r="BE751" s="6"/>
      <c r="BF751" s="6"/>
      <c r="BG751" s="6"/>
      <c r="BH751" s="6"/>
    </row>
    <row r="752" spans="1:60" ht="32" customHeight="1" x14ac:dyDescent="0.35">
      <c r="A752" s="13" t="s">
        <v>8528</v>
      </c>
      <c r="B752" s="6" t="s">
        <v>8448</v>
      </c>
      <c r="C752" s="5" t="s">
        <v>8503</v>
      </c>
      <c r="D752" s="5" t="s">
        <v>2205</v>
      </c>
      <c r="E752" s="5" t="s">
        <v>8529</v>
      </c>
      <c r="F752" s="5" t="s">
        <v>1834</v>
      </c>
      <c r="G752" s="5" t="s">
        <v>1822</v>
      </c>
      <c r="H752" s="5" t="s">
        <v>8530</v>
      </c>
      <c r="I752" s="5" t="s">
        <v>8531</v>
      </c>
      <c r="J752" s="17" t="s">
        <v>162</v>
      </c>
      <c r="K752" s="18" t="s">
        <v>1489</v>
      </c>
      <c r="L752" s="5" t="s">
        <v>8532</v>
      </c>
      <c r="M752" s="6" t="s">
        <v>1496</v>
      </c>
      <c r="N752" s="6" t="s">
        <v>2168</v>
      </c>
      <c r="O752" s="6" t="s">
        <v>162</v>
      </c>
      <c r="P752" s="5" t="s">
        <v>2272</v>
      </c>
      <c r="Q752" s="18" t="s">
        <v>1482</v>
      </c>
      <c r="R752" s="5" t="s">
        <v>8533</v>
      </c>
      <c r="S752" s="6" t="s">
        <v>8509</v>
      </c>
      <c r="T752" s="5" t="s">
        <v>8510</v>
      </c>
      <c r="U752" s="6" t="s">
        <v>1540</v>
      </c>
      <c r="V752" s="6" t="s">
        <v>8511</v>
      </c>
      <c r="W752" s="6" t="s">
        <v>1697</v>
      </c>
      <c r="X752" s="5" t="s">
        <v>8458</v>
      </c>
      <c r="Y752" s="5" t="s">
        <v>8512</v>
      </c>
      <c r="Z752" s="5" t="str">
        <f t="shared" si="22"/>
        <v>Medium</v>
      </c>
      <c r="AA752" s="5" t="s">
        <v>1319</v>
      </c>
      <c r="AB752" s="6" t="s">
        <v>1355</v>
      </c>
      <c r="AC752" s="6" t="s">
        <v>32</v>
      </c>
      <c r="AD752" s="5" t="s">
        <v>2278</v>
      </c>
      <c r="AE752" s="5" t="s">
        <v>1720</v>
      </c>
      <c r="AF752" s="5" t="s">
        <v>1720</v>
      </c>
      <c r="AG752" s="5" t="s">
        <v>1720</v>
      </c>
      <c r="AH752" s="5" t="s">
        <v>1720</v>
      </c>
      <c r="AI752" s="6" t="str">
        <f t="shared" si="23"/>
        <v>No</v>
      </c>
      <c r="AJ752" s="6" t="s">
        <v>2298</v>
      </c>
      <c r="AK752" s="6" t="s">
        <v>204</v>
      </c>
      <c r="AL752" s="6">
        <f>MATCH(AA752,{"Low","Medium","High"},0)*MATCH(AB752,{"Low","Medium","High"},0)*INDEX({3,2,2,1,1},MATCH(X752,{"Core","Vertical extension","Differentiator","Future","Adjacent"},0))</f>
        <v>4</v>
      </c>
      <c r="AM752" s="5"/>
      <c r="AN752" s="5"/>
      <c r="AO752" s="5"/>
      <c r="AP752" s="5" t="s">
        <v>8520</v>
      </c>
      <c r="AQ752" s="5"/>
      <c r="AR752" s="5"/>
      <c r="AS752" s="5"/>
      <c r="AT752" s="5"/>
      <c r="AU752" s="6" t="s">
        <v>2317</v>
      </c>
      <c r="AV752" s="6" t="s">
        <v>5307</v>
      </c>
      <c r="AW752" s="6" t="s">
        <v>5307</v>
      </c>
      <c r="AX752" s="6" t="s">
        <v>2284</v>
      </c>
      <c r="AY752" s="6" t="s">
        <v>2285</v>
      </c>
      <c r="AZ752" s="6"/>
      <c r="BA752" s="6" t="s">
        <v>8534</v>
      </c>
      <c r="BB752" s="6" t="s">
        <v>2300</v>
      </c>
      <c r="BC752" s="6" t="s">
        <v>127</v>
      </c>
      <c r="BD752" s="6" t="s">
        <v>127</v>
      </c>
      <c r="BE752" s="6"/>
      <c r="BF752" s="6"/>
      <c r="BG752" s="6"/>
      <c r="BH752" s="6"/>
    </row>
    <row r="753" spans="1:60" ht="32" customHeight="1" x14ac:dyDescent="0.35">
      <c r="A753" s="13" t="s">
        <v>8535</v>
      </c>
      <c r="B753" s="6" t="s">
        <v>8448</v>
      </c>
      <c r="C753" s="5" t="s">
        <v>8503</v>
      </c>
      <c r="D753" s="5" t="s">
        <v>2205</v>
      </c>
      <c r="E753" s="5" t="s">
        <v>8536</v>
      </c>
      <c r="F753" s="5" t="s">
        <v>1834</v>
      </c>
      <c r="G753" s="5" t="s">
        <v>2396</v>
      </c>
      <c r="H753" s="5" t="s">
        <v>8537</v>
      </c>
      <c r="I753" s="5" t="s">
        <v>8538</v>
      </c>
      <c r="J753" s="19" t="s">
        <v>204</v>
      </c>
      <c r="K753" s="18" t="s">
        <v>1489</v>
      </c>
      <c r="L753" s="5" t="s">
        <v>8539</v>
      </c>
      <c r="M753" s="6" t="s">
        <v>1496</v>
      </c>
      <c r="N753" s="6" t="s">
        <v>2168</v>
      </c>
      <c r="O753" s="6" t="s">
        <v>204</v>
      </c>
      <c r="P753" s="5" t="s">
        <v>2272</v>
      </c>
      <c r="Q753" s="18" t="s">
        <v>1482</v>
      </c>
      <c r="R753" s="5" t="s">
        <v>8533</v>
      </c>
      <c r="S753" s="6" t="s">
        <v>8509</v>
      </c>
      <c r="T753" s="5" t="s">
        <v>8510</v>
      </c>
      <c r="U753" s="6" t="s">
        <v>1544</v>
      </c>
      <c r="V753" s="6" t="s">
        <v>8511</v>
      </c>
      <c r="W753" s="6" t="s">
        <v>1697</v>
      </c>
      <c r="X753" s="5" t="s">
        <v>8458</v>
      </c>
      <c r="Y753" s="5" t="s">
        <v>8512</v>
      </c>
      <c r="Z753" s="5" t="str">
        <f t="shared" si="22"/>
        <v>Medium</v>
      </c>
      <c r="AA753" s="5" t="s">
        <v>1319</v>
      </c>
      <c r="AB753" s="6" t="s">
        <v>1355</v>
      </c>
      <c r="AC753" s="6" t="s">
        <v>32</v>
      </c>
      <c r="AD753" s="5" t="s">
        <v>2278</v>
      </c>
      <c r="AE753" s="5" t="s">
        <v>1720</v>
      </c>
      <c r="AF753" s="5" t="s">
        <v>1720</v>
      </c>
      <c r="AG753" s="5" t="s">
        <v>1720</v>
      </c>
      <c r="AH753" s="5" t="s">
        <v>1720</v>
      </c>
      <c r="AI753" s="6" t="str">
        <f t="shared" si="23"/>
        <v>No</v>
      </c>
      <c r="AJ753" s="6" t="s">
        <v>2298</v>
      </c>
      <c r="AK753" s="6" t="s">
        <v>204</v>
      </c>
      <c r="AL753" s="6">
        <f>MATCH(AA753,{"Low","Medium","High"},0)*MATCH(AB753,{"Low","Medium","High"},0)*INDEX({3,2,2,1,1},MATCH(X753,{"Core","Vertical extension","Differentiator","Future","Adjacent"},0))</f>
        <v>4</v>
      </c>
      <c r="AM753" s="5"/>
      <c r="AN753" s="5"/>
      <c r="AO753" s="5"/>
      <c r="AP753" s="5" t="s">
        <v>8528</v>
      </c>
      <c r="AQ753" s="5"/>
      <c r="AR753" s="5"/>
      <c r="AS753" s="5"/>
      <c r="AT753" s="5"/>
      <c r="AU753" s="6" t="s">
        <v>2317</v>
      </c>
      <c r="AV753" s="6" t="s">
        <v>5307</v>
      </c>
      <c r="AW753" s="6" t="s">
        <v>5307</v>
      </c>
      <c r="AX753" s="6" t="s">
        <v>2284</v>
      </c>
      <c r="AY753" s="6" t="s">
        <v>2285</v>
      </c>
      <c r="AZ753" s="6"/>
      <c r="BA753" s="6" t="s">
        <v>5428</v>
      </c>
      <c r="BB753" s="6" t="s">
        <v>5427</v>
      </c>
      <c r="BC753" s="6" t="s">
        <v>127</v>
      </c>
      <c r="BD753" s="6" t="s">
        <v>127</v>
      </c>
      <c r="BE753" s="6"/>
      <c r="BF753" s="6"/>
      <c r="BG753" s="6"/>
      <c r="BH753" s="6"/>
    </row>
    <row r="754" spans="1:60" ht="32" customHeight="1" x14ac:dyDescent="0.35">
      <c r="A754" s="13" t="s">
        <v>8540</v>
      </c>
      <c r="B754" s="6" t="s">
        <v>8448</v>
      </c>
      <c r="C754" s="5" t="s">
        <v>6469</v>
      </c>
      <c r="D754" s="5" t="s">
        <v>2213</v>
      </c>
      <c r="E754" s="5" t="s">
        <v>8541</v>
      </c>
      <c r="F754" s="5" t="s">
        <v>1831</v>
      </c>
      <c r="G754" s="5" t="s">
        <v>8542</v>
      </c>
      <c r="H754" s="5" t="s">
        <v>8543</v>
      </c>
      <c r="I754" s="5" t="s">
        <v>8544</v>
      </c>
      <c r="J754" s="17" t="s">
        <v>162</v>
      </c>
      <c r="K754" s="18" t="s">
        <v>1489</v>
      </c>
      <c r="L754" s="5" t="s">
        <v>8545</v>
      </c>
      <c r="M754" s="6" t="s">
        <v>1496</v>
      </c>
      <c r="N754" s="6" t="s">
        <v>2167</v>
      </c>
      <c r="O754" s="6" t="s">
        <v>162</v>
      </c>
      <c r="P754" s="5" t="s">
        <v>2272</v>
      </c>
      <c r="Q754" s="18" t="s">
        <v>1482</v>
      </c>
      <c r="R754" s="5" t="s">
        <v>8546</v>
      </c>
      <c r="S754" s="6" t="s">
        <v>6476</v>
      </c>
      <c r="T754" s="5" t="s">
        <v>6477</v>
      </c>
      <c r="U754" s="6" t="s">
        <v>1532</v>
      </c>
      <c r="V754" s="6" t="s">
        <v>6478</v>
      </c>
      <c r="W754" s="6" t="s">
        <v>1697</v>
      </c>
      <c r="X754" s="5" t="s">
        <v>8458</v>
      </c>
      <c r="Y754" s="5" t="s">
        <v>6479</v>
      </c>
      <c r="Z754" s="5" t="str">
        <f t="shared" si="22"/>
        <v>Medium</v>
      </c>
      <c r="AA754" s="5" t="s">
        <v>1319</v>
      </c>
      <c r="AB754" s="6" t="s">
        <v>1355</v>
      </c>
      <c r="AC754" s="6" t="s">
        <v>32</v>
      </c>
      <c r="AD754" s="5" t="s">
        <v>2278</v>
      </c>
      <c r="AE754" s="5" t="s">
        <v>1720</v>
      </c>
      <c r="AF754" s="5" t="s">
        <v>1720</v>
      </c>
      <c r="AG754" s="5" t="s">
        <v>1720</v>
      </c>
      <c r="AH754" s="5" t="s">
        <v>1720</v>
      </c>
      <c r="AI754" s="6" t="str">
        <f t="shared" si="23"/>
        <v>No</v>
      </c>
      <c r="AJ754" s="6" t="s">
        <v>2298</v>
      </c>
      <c r="AK754" s="6" t="s">
        <v>204</v>
      </c>
      <c r="AL754" s="6">
        <f>MATCH(AA754,{"Low","Medium","High"},0)*MATCH(AB754,{"Low","Medium","High"},0)*INDEX({3,2,2,1,1},MATCH(X754,{"Core","Vertical extension","Differentiator","Future","Adjacent"},0))</f>
        <v>4</v>
      </c>
      <c r="AM754" s="5"/>
      <c r="AN754" s="5"/>
      <c r="AO754" s="5"/>
      <c r="AP754" s="5" t="s">
        <v>6468</v>
      </c>
      <c r="AQ754" s="5"/>
      <c r="AR754" s="5"/>
      <c r="AS754" s="5"/>
      <c r="AT754" s="5"/>
      <c r="AU754" s="6" t="s">
        <v>2317</v>
      </c>
      <c r="AV754" s="6" t="s">
        <v>5307</v>
      </c>
      <c r="AW754" s="6" t="s">
        <v>5307</v>
      </c>
      <c r="AX754" s="6" t="s">
        <v>2284</v>
      </c>
      <c r="AY754" s="6" t="s">
        <v>2285</v>
      </c>
      <c r="AZ754" s="6"/>
      <c r="BA754" s="6" t="s">
        <v>8547</v>
      </c>
      <c r="BB754" s="6" t="s">
        <v>8548</v>
      </c>
      <c r="BC754" s="6" t="s">
        <v>127</v>
      </c>
      <c r="BD754" s="6" t="s">
        <v>127</v>
      </c>
      <c r="BE754" s="6"/>
      <c r="BF754" s="6"/>
      <c r="BG754" s="6"/>
      <c r="BH754" s="6"/>
    </row>
    <row r="755" spans="1:60" ht="32" customHeight="1" x14ac:dyDescent="0.35">
      <c r="A755" s="13" t="s">
        <v>6488</v>
      </c>
      <c r="B755" s="6" t="s">
        <v>8448</v>
      </c>
      <c r="C755" s="5" t="s">
        <v>6469</v>
      </c>
      <c r="D755" s="5" t="s">
        <v>2213</v>
      </c>
      <c r="E755" s="5" t="s">
        <v>8549</v>
      </c>
      <c r="F755" s="5" t="s">
        <v>1831</v>
      </c>
      <c r="G755" s="5" t="s">
        <v>1820</v>
      </c>
      <c r="H755" s="5" t="s">
        <v>8550</v>
      </c>
      <c r="I755" s="5" t="s">
        <v>8551</v>
      </c>
      <c r="J755" s="17" t="s">
        <v>162</v>
      </c>
      <c r="K755" s="18" t="s">
        <v>1489</v>
      </c>
      <c r="L755" s="5" t="s">
        <v>8552</v>
      </c>
      <c r="M755" s="6" t="s">
        <v>1496</v>
      </c>
      <c r="N755" s="6" t="s">
        <v>2167</v>
      </c>
      <c r="O755" s="6" t="s">
        <v>162</v>
      </c>
      <c r="P755" s="5" t="s">
        <v>2272</v>
      </c>
      <c r="Q755" s="18" t="s">
        <v>1482</v>
      </c>
      <c r="R755" s="5" t="s">
        <v>8553</v>
      </c>
      <c r="S755" s="6" t="s">
        <v>6476</v>
      </c>
      <c r="T755" s="5" t="s">
        <v>6477</v>
      </c>
      <c r="U755" s="6" t="s">
        <v>1536</v>
      </c>
      <c r="V755" s="6" t="s">
        <v>6478</v>
      </c>
      <c r="W755" s="6" t="s">
        <v>1697</v>
      </c>
      <c r="X755" s="5" t="s">
        <v>8458</v>
      </c>
      <c r="Y755" s="5" t="s">
        <v>6479</v>
      </c>
      <c r="Z755" s="5" t="str">
        <f t="shared" si="22"/>
        <v>Medium</v>
      </c>
      <c r="AA755" s="5" t="s">
        <v>1319</v>
      </c>
      <c r="AB755" s="6" t="s">
        <v>1355</v>
      </c>
      <c r="AC755" s="6" t="s">
        <v>32</v>
      </c>
      <c r="AD755" s="5" t="s">
        <v>2278</v>
      </c>
      <c r="AE755" s="5" t="s">
        <v>1720</v>
      </c>
      <c r="AF755" s="5" t="s">
        <v>1720</v>
      </c>
      <c r="AG755" s="5" t="s">
        <v>1720</v>
      </c>
      <c r="AH755" s="5" t="s">
        <v>1720</v>
      </c>
      <c r="AI755" s="6" t="str">
        <f t="shared" si="23"/>
        <v>No</v>
      </c>
      <c r="AJ755" s="6" t="s">
        <v>2298</v>
      </c>
      <c r="AK755" s="6" t="s">
        <v>204</v>
      </c>
      <c r="AL755" s="6">
        <f>MATCH(AA755,{"Low","Medium","High"},0)*MATCH(AB755,{"Low","Medium","High"},0)*INDEX({3,2,2,1,1},MATCH(X755,{"Core","Vertical extension","Differentiator","Future","Adjacent"},0))</f>
        <v>4</v>
      </c>
      <c r="AM755" s="5"/>
      <c r="AN755" s="5"/>
      <c r="AO755" s="5"/>
      <c r="AP755" s="5" t="s">
        <v>8540</v>
      </c>
      <c r="AQ755" s="5"/>
      <c r="AR755" s="5"/>
      <c r="AS755" s="5"/>
      <c r="AT755" s="5"/>
      <c r="AU755" s="6" t="s">
        <v>2317</v>
      </c>
      <c r="AV755" s="6" t="s">
        <v>5307</v>
      </c>
      <c r="AW755" s="6" t="s">
        <v>5307</v>
      </c>
      <c r="AX755" s="6" t="s">
        <v>2284</v>
      </c>
      <c r="AY755" s="6" t="s">
        <v>2285</v>
      </c>
      <c r="AZ755" s="6"/>
      <c r="BA755" s="6" t="s">
        <v>8554</v>
      </c>
      <c r="BB755" s="6" t="s">
        <v>8548</v>
      </c>
      <c r="BC755" s="6" t="s">
        <v>127</v>
      </c>
      <c r="BD755" s="6" t="s">
        <v>127</v>
      </c>
      <c r="BE755" s="6"/>
      <c r="BF755" s="6"/>
      <c r="BG755" s="6"/>
      <c r="BH755" s="6"/>
    </row>
    <row r="756" spans="1:60" ht="32" customHeight="1" x14ac:dyDescent="0.35">
      <c r="A756" s="13" t="s">
        <v>6503</v>
      </c>
      <c r="B756" s="6" t="s">
        <v>8448</v>
      </c>
      <c r="C756" s="5" t="s">
        <v>6469</v>
      </c>
      <c r="D756" s="5" t="s">
        <v>2213</v>
      </c>
      <c r="E756" s="5" t="s">
        <v>8555</v>
      </c>
      <c r="F756" s="5" t="s">
        <v>1831</v>
      </c>
      <c r="G756" s="5" t="s">
        <v>1820</v>
      </c>
      <c r="H756" s="5" t="s">
        <v>8556</v>
      </c>
      <c r="I756" s="5" t="s">
        <v>8557</v>
      </c>
      <c r="J756" s="17" t="s">
        <v>162</v>
      </c>
      <c r="K756" s="18" t="s">
        <v>1489</v>
      </c>
      <c r="L756" s="5" t="s">
        <v>8558</v>
      </c>
      <c r="M756" s="6" t="s">
        <v>1496</v>
      </c>
      <c r="N756" s="6" t="s">
        <v>2167</v>
      </c>
      <c r="O756" s="6" t="s">
        <v>162</v>
      </c>
      <c r="P756" s="5" t="s">
        <v>2272</v>
      </c>
      <c r="Q756" s="18" t="s">
        <v>1482</v>
      </c>
      <c r="R756" s="5" t="s">
        <v>8559</v>
      </c>
      <c r="S756" s="6" t="s">
        <v>6476</v>
      </c>
      <c r="T756" s="5" t="s">
        <v>6477</v>
      </c>
      <c r="U756" s="6" t="s">
        <v>1544</v>
      </c>
      <c r="V756" s="6" t="s">
        <v>6478</v>
      </c>
      <c r="W756" s="6" t="s">
        <v>1697</v>
      </c>
      <c r="X756" s="5" t="s">
        <v>8458</v>
      </c>
      <c r="Y756" s="5" t="s">
        <v>6479</v>
      </c>
      <c r="Z756" s="5" t="str">
        <f t="shared" si="22"/>
        <v>Medium</v>
      </c>
      <c r="AA756" s="5" t="s">
        <v>1319</v>
      </c>
      <c r="AB756" s="6" t="s">
        <v>1355</v>
      </c>
      <c r="AC756" s="6" t="s">
        <v>32</v>
      </c>
      <c r="AD756" s="5" t="s">
        <v>2278</v>
      </c>
      <c r="AE756" s="5" t="s">
        <v>1720</v>
      </c>
      <c r="AF756" s="5" t="s">
        <v>1720</v>
      </c>
      <c r="AG756" s="5" t="s">
        <v>1720</v>
      </c>
      <c r="AH756" s="5" t="s">
        <v>1720</v>
      </c>
      <c r="AI756" s="6" t="str">
        <f t="shared" si="23"/>
        <v>No</v>
      </c>
      <c r="AJ756" s="6" t="s">
        <v>2298</v>
      </c>
      <c r="AK756" s="6" t="s">
        <v>204</v>
      </c>
      <c r="AL756" s="6">
        <f>MATCH(AA756,{"Low","Medium","High"},0)*MATCH(AB756,{"Low","Medium","High"},0)*INDEX({3,2,2,1,1},MATCH(X756,{"Core","Vertical extension","Differentiator","Future","Adjacent"},0))</f>
        <v>4</v>
      </c>
      <c r="AM756" s="5"/>
      <c r="AN756" s="5"/>
      <c r="AO756" s="5"/>
      <c r="AP756" s="5" t="s">
        <v>6482</v>
      </c>
      <c r="AQ756" s="5"/>
      <c r="AR756" s="5"/>
      <c r="AS756" s="5"/>
      <c r="AT756" s="5"/>
      <c r="AU756" s="6" t="s">
        <v>2317</v>
      </c>
      <c r="AV756" s="6" t="s">
        <v>5307</v>
      </c>
      <c r="AW756" s="6" t="s">
        <v>5307</v>
      </c>
      <c r="AX756" s="6" t="s">
        <v>2284</v>
      </c>
      <c r="AY756" s="6" t="s">
        <v>2285</v>
      </c>
      <c r="AZ756" s="6"/>
      <c r="BA756" s="6" t="s">
        <v>8560</v>
      </c>
      <c r="BB756" s="6" t="s">
        <v>8561</v>
      </c>
      <c r="BC756" s="6" t="s">
        <v>127</v>
      </c>
      <c r="BD756" s="6" t="s">
        <v>127</v>
      </c>
      <c r="BE756" s="6"/>
      <c r="BF756" s="6"/>
      <c r="BG756" s="6"/>
      <c r="BH756" s="6"/>
    </row>
    <row r="757" spans="1:60" ht="32" customHeight="1" x14ac:dyDescent="0.35">
      <c r="A757" s="13" t="s">
        <v>8562</v>
      </c>
      <c r="B757" s="6" t="s">
        <v>8448</v>
      </c>
      <c r="C757" s="5" t="s">
        <v>6469</v>
      </c>
      <c r="D757" s="5" t="s">
        <v>2213</v>
      </c>
      <c r="E757" s="5" t="s">
        <v>8563</v>
      </c>
      <c r="F757" s="5" t="s">
        <v>1831</v>
      </c>
      <c r="G757" s="5" t="s">
        <v>1820</v>
      </c>
      <c r="H757" s="5" t="s">
        <v>8564</v>
      </c>
      <c r="I757" s="5" t="s">
        <v>8565</v>
      </c>
      <c r="J757" s="19" t="s">
        <v>204</v>
      </c>
      <c r="K757" s="18" t="s">
        <v>1489</v>
      </c>
      <c r="L757" s="5" t="s">
        <v>8566</v>
      </c>
      <c r="M757" s="6" t="s">
        <v>1496</v>
      </c>
      <c r="N757" s="6" t="s">
        <v>2167</v>
      </c>
      <c r="O757" s="6" t="s">
        <v>204</v>
      </c>
      <c r="P757" s="5" t="s">
        <v>2272</v>
      </c>
      <c r="Q757" s="18" t="s">
        <v>1482</v>
      </c>
      <c r="R757" s="5" t="s">
        <v>6495</v>
      </c>
      <c r="S757" s="6" t="s">
        <v>6476</v>
      </c>
      <c r="T757" s="5" t="s">
        <v>6477</v>
      </c>
      <c r="U757" s="6" t="s">
        <v>818</v>
      </c>
      <c r="V757" s="6" t="s">
        <v>6478</v>
      </c>
      <c r="W757" s="6" t="s">
        <v>1697</v>
      </c>
      <c r="X757" s="5" t="s">
        <v>8458</v>
      </c>
      <c r="Y757" s="5" t="s">
        <v>6479</v>
      </c>
      <c r="Z757" s="5" t="str">
        <f t="shared" si="22"/>
        <v>Medium</v>
      </c>
      <c r="AA757" s="5" t="s">
        <v>1319</v>
      </c>
      <c r="AB757" s="6" t="s">
        <v>1355</v>
      </c>
      <c r="AC757" s="6" t="s">
        <v>32</v>
      </c>
      <c r="AD757" s="5" t="s">
        <v>2278</v>
      </c>
      <c r="AE757" s="5" t="s">
        <v>1720</v>
      </c>
      <c r="AF757" s="5" t="s">
        <v>1720</v>
      </c>
      <c r="AG757" s="5" t="s">
        <v>1720</v>
      </c>
      <c r="AH757" s="5" t="s">
        <v>1720</v>
      </c>
      <c r="AI757" s="6" t="str">
        <f t="shared" si="23"/>
        <v>No</v>
      </c>
      <c r="AJ757" s="6" t="s">
        <v>2298</v>
      </c>
      <c r="AK757" s="6" t="s">
        <v>204</v>
      </c>
      <c r="AL757" s="6">
        <f>MATCH(AA757,{"Low","Medium","High"},0)*MATCH(AB757,{"Low","Medium","High"},0)*INDEX({3,2,2,1,1},MATCH(X757,{"Core","Vertical extension","Differentiator","Future","Adjacent"},0))</f>
        <v>4</v>
      </c>
      <c r="AM757" s="5"/>
      <c r="AN757" s="5"/>
      <c r="AO757" s="5"/>
      <c r="AP757" s="5" t="s">
        <v>6496</v>
      </c>
      <c r="AQ757" s="5"/>
      <c r="AR757" s="5"/>
      <c r="AS757" s="5"/>
      <c r="AT757" s="5"/>
      <c r="AU757" s="6" t="s">
        <v>2317</v>
      </c>
      <c r="AV757" s="6" t="s">
        <v>5307</v>
      </c>
      <c r="AW757" s="6" t="s">
        <v>5307</v>
      </c>
      <c r="AX757" s="6" t="s">
        <v>2284</v>
      </c>
      <c r="AY757" s="6" t="s">
        <v>2285</v>
      </c>
      <c r="AZ757" s="6"/>
      <c r="BA757" s="6" t="s">
        <v>8567</v>
      </c>
      <c r="BB757" s="6" t="s">
        <v>8548</v>
      </c>
      <c r="BC757" s="6" t="s">
        <v>127</v>
      </c>
      <c r="BD757" s="6" t="s">
        <v>127</v>
      </c>
      <c r="BE757" s="6"/>
      <c r="BF757" s="6"/>
      <c r="BG757" s="6"/>
      <c r="BH757" s="6"/>
    </row>
    <row r="758" spans="1:60" ht="32" customHeight="1" x14ac:dyDescent="0.35">
      <c r="A758" s="13" t="s">
        <v>8568</v>
      </c>
      <c r="B758" s="6" t="s">
        <v>8448</v>
      </c>
      <c r="C758" s="5" t="s">
        <v>2813</v>
      </c>
      <c r="D758" s="5" t="s">
        <v>2206</v>
      </c>
      <c r="E758" s="5" t="s">
        <v>8569</v>
      </c>
      <c r="F758" s="5" t="s">
        <v>8570</v>
      </c>
      <c r="G758" s="5" t="s">
        <v>2396</v>
      </c>
      <c r="H758" s="5" t="s">
        <v>8571</v>
      </c>
      <c r="I758" s="5" t="s">
        <v>8572</v>
      </c>
      <c r="J758" s="17" t="s">
        <v>162</v>
      </c>
      <c r="K758" s="18" t="s">
        <v>1489</v>
      </c>
      <c r="L758" s="5" t="s">
        <v>8573</v>
      </c>
      <c r="M758" s="6" t="s">
        <v>1496</v>
      </c>
      <c r="N758" s="6" t="s">
        <v>2167</v>
      </c>
      <c r="O758" s="6" t="s">
        <v>162</v>
      </c>
      <c r="P758" s="5" t="s">
        <v>2272</v>
      </c>
      <c r="Q758" s="18" t="s">
        <v>1482</v>
      </c>
      <c r="R758" s="5" t="s">
        <v>8574</v>
      </c>
      <c r="S758" s="6" t="s">
        <v>8575</v>
      </c>
      <c r="T758" s="5" t="s">
        <v>8576</v>
      </c>
      <c r="U758" s="6" t="s">
        <v>1528</v>
      </c>
      <c r="V758" s="6" t="s">
        <v>8577</v>
      </c>
      <c r="W758" s="6" t="s">
        <v>1697</v>
      </c>
      <c r="X758" s="5" t="s">
        <v>8458</v>
      </c>
      <c r="Y758" s="5" t="s">
        <v>760</v>
      </c>
      <c r="Z758" s="5" t="str">
        <f t="shared" si="22"/>
        <v>Medium</v>
      </c>
      <c r="AA758" s="5" t="s">
        <v>1319</v>
      </c>
      <c r="AB758" s="6" t="s">
        <v>1355</v>
      </c>
      <c r="AC758" s="6" t="s">
        <v>32</v>
      </c>
      <c r="AD758" s="5" t="s">
        <v>2278</v>
      </c>
      <c r="AE758" s="5" t="s">
        <v>1720</v>
      </c>
      <c r="AF758" s="5" t="s">
        <v>1720</v>
      </c>
      <c r="AG758" s="5" t="s">
        <v>1720</v>
      </c>
      <c r="AH758" s="5" t="s">
        <v>1720</v>
      </c>
      <c r="AI758" s="6" t="str">
        <f t="shared" si="23"/>
        <v>No</v>
      </c>
      <c r="AJ758" s="6" t="s">
        <v>2298</v>
      </c>
      <c r="AK758" s="6" t="s">
        <v>204</v>
      </c>
      <c r="AL758" s="6">
        <f>MATCH(AA758,{"Low","Medium","High"},0)*MATCH(AB758,{"Low","Medium","High"},0)*INDEX({3,2,2,1,1},MATCH(X758,{"Core","Vertical extension","Differentiator","Future","Adjacent"},0))</f>
        <v>4</v>
      </c>
      <c r="AM758" s="5"/>
      <c r="AN758" s="5"/>
      <c r="AO758" s="5"/>
      <c r="AP758" s="5"/>
      <c r="AQ758" s="5"/>
      <c r="AR758" s="5"/>
      <c r="AS758" s="5"/>
      <c r="AT758" s="5"/>
      <c r="AU758" s="6" t="s">
        <v>2317</v>
      </c>
      <c r="AV758" s="6" t="s">
        <v>2813</v>
      </c>
      <c r="AW758" s="6" t="s">
        <v>2813</v>
      </c>
      <c r="AX758" s="6" t="s">
        <v>2284</v>
      </c>
      <c r="AY758" s="6" t="s">
        <v>2285</v>
      </c>
      <c r="AZ758" s="6"/>
      <c r="BA758" s="6"/>
      <c r="BB758" s="6"/>
      <c r="BC758" s="6" t="s">
        <v>127</v>
      </c>
      <c r="BD758" s="6" t="s">
        <v>127</v>
      </c>
      <c r="BE758" s="6"/>
      <c r="BF758" s="6"/>
      <c r="BG758" s="6"/>
      <c r="BH758" s="6"/>
    </row>
    <row r="759" spans="1:60" ht="32" customHeight="1" x14ac:dyDescent="0.35">
      <c r="A759" s="13" t="s">
        <v>8578</v>
      </c>
      <c r="B759" s="6" t="s">
        <v>8448</v>
      </c>
      <c r="C759" s="5" t="s">
        <v>2813</v>
      </c>
      <c r="D759" s="5" t="s">
        <v>2206</v>
      </c>
      <c r="E759" s="5" t="s">
        <v>8579</v>
      </c>
      <c r="F759" s="5" t="s">
        <v>8570</v>
      </c>
      <c r="G759" s="5" t="s">
        <v>1824</v>
      </c>
      <c r="H759" s="5" t="s">
        <v>8580</v>
      </c>
      <c r="I759" s="5" t="s">
        <v>8581</v>
      </c>
      <c r="J759" s="17" t="s">
        <v>162</v>
      </c>
      <c r="K759" s="18" t="s">
        <v>1489</v>
      </c>
      <c r="L759" s="5" t="s">
        <v>8582</v>
      </c>
      <c r="M759" s="6" t="s">
        <v>1496</v>
      </c>
      <c r="N759" s="6" t="s">
        <v>2167</v>
      </c>
      <c r="O759" s="6" t="s">
        <v>162</v>
      </c>
      <c r="P759" s="5" t="s">
        <v>2272</v>
      </c>
      <c r="Q759" s="18" t="s">
        <v>1482</v>
      </c>
      <c r="R759" s="5" t="s">
        <v>8583</v>
      </c>
      <c r="S759" s="6" t="s">
        <v>8575</v>
      </c>
      <c r="T759" s="5" t="s">
        <v>8576</v>
      </c>
      <c r="U759" s="6" t="s">
        <v>1532</v>
      </c>
      <c r="V759" s="6" t="s">
        <v>8577</v>
      </c>
      <c r="W759" s="6" t="s">
        <v>1697</v>
      </c>
      <c r="X759" s="5" t="s">
        <v>8458</v>
      </c>
      <c r="Y759" s="5" t="s">
        <v>760</v>
      </c>
      <c r="Z759" s="5" t="str">
        <f t="shared" si="22"/>
        <v>Medium</v>
      </c>
      <c r="AA759" s="5" t="s">
        <v>1319</v>
      </c>
      <c r="AB759" s="6" t="s">
        <v>1355</v>
      </c>
      <c r="AC759" s="6" t="s">
        <v>32</v>
      </c>
      <c r="AD759" s="5" t="s">
        <v>2278</v>
      </c>
      <c r="AE759" s="5" t="s">
        <v>1720</v>
      </c>
      <c r="AF759" s="5" t="s">
        <v>1720</v>
      </c>
      <c r="AG759" s="5" t="s">
        <v>1720</v>
      </c>
      <c r="AH759" s="5" t="s">
        <v>1720</v>
      </c>
      <c r="AI759" s="6" t="str">
        <f t="shared" si="23"/>
        <v>No</v>
      </c>
      <c r="AJ759" s="6" t="s">
        <v>2298</v>
      </c>
      <c r="AK759" s="6" t="s">
        <v>204</v>
      </c>
      <c r="AL759" s="6">
        <f>MATCH(AA759,{"Low","Medium","High"},0)*MATCH(AB759,{"Low","Medium","High"},0)*INDEX({3,2,2,1,1},MATCH(X759,{"Core","Vertical extension","Differentiator","Future","Adjacent"},0))</f>
        <v>4</v>
      </c>
      <c r="AM759" s="5"/>
      <c r="AN759" s="5"/>
      <c r="AO759" s="5"/>
      <c r="AP759" s="5" t="s">
        <v>8568</v>
      </c>
      <c r="AQ759" s="5"/>
      <c r="AR759" s="5"/>
      <c r="AS759" s="5"/>
      <c r="AT759" s="5"/>
      <c r="AU759" s="6" t="s">
        <v>2317</v>
      </c>
      <c r="AV759" s="6" t="s">
        <v>2813</v>
      </c>
      <c r="AW759" s="6" t="s">
        <v>2813</v>
      </c>
      <c r="AX759" s="6" t="s">
        <v>2284</v>
      </c>
      <c r="AY759" s="6" t="s">
        <v>2285</v>
      </c>
      <c r="AZ759" s="6"/>
      <c r="BA759" s="6" t="s">
        <v>8584</v>
      </c>
      <c r="BB759" s="6" t="s">
        <v>8313</v>
      </c>
      <c r="BC759" s="6" t="s">
        <v>127</v>
      </c>
      <c r="BD759" s="6" t="s">
        <v>127</v>
      </c>
      <c r="BE759" s="6"/>
      <c r="BF759" s="6"/>
      <c r="BG759" s="6"/>
      <c r="BH759" s="6"/>
    </row>
    <row r="760" spans="1:60" ht="32" customHeight="1" x14ac:dyDescent="0.35">
      <c r="A760" s="13" t="s">
        <v>8585</v>
      </c>
      <c r="B760" s="6" t="s">
        <v>8448</v>
      </c>
      <c r="C760" s="5" t="s">
        <v>2813</v>
      </c>
      <c r="D760" s="5" t="s">
        <v>2206</v>
      </c>
      <c r="E760" s="5" t="s">
        <v>8586</v>
      </c>
      <c r="F760" s="5" t="s">
        <v>8570</v>
      </c>
      <c r="G760" s="5" t="s">
        <v>1824</v>
      </c>
      <c r="H760" s="5" t="s">
        <v>8587</v>
      </c>
      <c r="I760" s="5" t="s">
        <v>8588</v>
      </c>
      <c r="J760" s="17" t="s">
        <v>162</v>
      </c>
      <c r="K760" s="18" t="s">
        <v>1489</v>
      </c>
      <c r="L760" s="5" t="s">
        <v>8589</v>
      </c>
      <c r="M760" s="6" t="s">
        <v>1496</v>
      </c>
      <c r="N760" s="6" t="s">
        <v>2167</v>
      </c>
      <c r="O760" s="6" t="s">
        <v>162</v>
      </c>
      <c r="P760" s="5" t="s">
        <v>2272</v>
      </c>
      <c r="Q760" s="18" t="s">
        <v>1482</v>
      </c>
      <c r="R760" s="5" t="s">
        <v>8590</v>
      </c>
      <c r="S760" s="6" t="s">
        <v>8575</v>
      </c>
      <c r="T760" s="5" t="s">
        <v>8576</v>
      </c>
      <c r="U760" s="6" t="s">
        <v>1536</v>
      </c>
      <c r="V760" s="6" t="s">
        <v>8577</v>
      </c>
      <c r="W760" s="6" t="s">
        <v>1697</v>
      </c>
      <c r="X760" s="5" t="s">
        <v>8458</v>
      </c>
      <c r="Y760" s="5" t="s">
        <v>760</v>
      </c>
      <c r="Z760" s="5" t="str">
        <f t="shared" si="22"/>
        <v>Medium</v>
      </c>
      <c r="AA760" s="5" t="s">
        <v>1319</v>
      </c>
      <c r="AB760" s="6" t="s">
        <v>1355</v>
      </c>
      <c r="AC760" s="6" t="s">
        <v>32</v>
      </c>
      <c r="AD760" s="5" t="s">
        <v>2278</v>
      </c>
      <c r="AE760" s="5" t="s">
        <v>1720</v>
      </c>
      <c r="AF760" s="5" t="s">
        <v>1720</v>
      </c>
      <c r="AG760" s="5" t="s">
        <v>1720</v>
      </c>
      <c r="AH760" s="5" t="s">
        <v>1720</v>
      </c>
      <c r="AI760" s="6" t="str">
        <f t="shared" si="23"/>
        <v>No</v>
      </c>
      <c r="AJ760" s="6" t="s">
        <v>2298</v>
      </c>
      <c r="AK760" s="6" t="s">
        <v>204</v>
      </c>
      <c r="AL760" s="6">
        <f>MATCH(AA760,{"Low","Medium","High"},0)*MATCH(AB760,{"Low","Medium","High"},0)*INDEX({3,2,2,1,1},MATCH(X760,{"Core","Vertical extension","Differentiator","Future","Adjacent"},0))</f>
        <v>4</v>
      </c>
      <c r="AM760" s="5"/>
      <c r="AN760" s="5"/>
      <c r="AO760" s="5"/>
      <c r="AP760" s="5" t="s">
        <v>8578</v>
      </c>
      <c r="AQ760" s="5"/>
      <c r="AR760" s="5"/>
      <c r="AS760" s="5"/>
      <c r="AT760" s="5"/>
      <c r="AU760" s="6" t="s">
        <v>2317</v>
      </c>
      <c r="AV760" s="6" t="s">
        <v>2813</v>
      </c>
      <c r="AW760" s="6" t="s">
        <v>2813</v>
      </c>
      <c r="AX760" s="6" t="s">
        <v>2284</v>
      </c>
      <c r="AY760" s="6" t="s">
        <v>2285</v>
      </c>
      <c r="AZ760" s="6"/>
      <c r="BA760" s="6" t="s">
        <v>8591</v>
      </c>
      <c r="BB760" s="6" t="s">
        <v>8313</v>
      </c>
      <c r="BC760" s="6" t="s">
        <v>127</v>
      </c>
      <c r="BD760" s="6" t="s">
        <v>127</v>
      </c>
      <c r="BE760" s="6"/>
      <c r="BF760" s="6"/>
      <c r="BG760" s="6"/>
      <c r="BH760" s="6"/>
    </row>
    <row r="761" spans="1:60" ht="32" customHeight="1" x14ac:dyDescent="0.35">
      <c r="A761" s="13" t="s">
        <v>8592</v>
      </c>
      <c r="B761" s="6" t="s">
        <v>8448</v>
      </c>
      <c r="C761" s="5" t="s">
        <v>2813</v>
      </c>
      <c r="D761" s="5" t="s">
        <v>2206</v>
      </c>
      <c r="E761" s="5" t="s">
        <v>8593</v>
      </c>
      <c r="F761" s="5" t="s">
        <v>1824</v>
      </c>
      <c r="G761" s="5" t="s">
        <v>2396</v>
      </c>
      <c r="H761" s="5" t="s">
        <v>8594</v>
      </c>
      <c r="I761" s="5" t="s">
        <v>8595</v>
      </c>
      <c r="J761" s="17" t="s">
        <v>162</v>
      </c>
      <c r="K761" s="18" t="s">
        <v>1489</v>
      </c>
      <c r="L761" s="5" t="s">
        <v>8596</v>
      </c>
      <c r="M761" s="6" t="s">
        <v>1496</v>
      </c>
      <c r="N761" s="6" t="s">
        <v>2167</v>
      </c>
      <c r="O761" s="6" t="s">
        <v>162</v>
      </c>
      <c r="P761" s="5" t="s">
        <v>2272</v>
      </c>
      <c r="Q761" s="18" t="s">
        <v>1482</v>
      </c>
      <c r="R761" s="5" t="s">
        <v>8590</v>
      </c>
      <c r="S761" s="6" t="s">
        <v>8575</v>
      </c>
      <c r="T761" s="5" t="s">
        <v>8576</v>
      </c>
      <c r="U761" s="6" t="s">
        <v>1540</v>
      </c>
      <c r="V761" s="6" t="s">
        <v>8577</v>
      </c>
      <c r="W761" s="6" t="s">
        <v>1697</v>
      </c>
      <c r="X761" s="5" t="s">
        <v>8458</v>
      </c>
      <c r="Y761" s="5" t="s">
        <v>760</v>
      </c>
      <c r="Z761" s="5" t="str">
        <f t="shared" si="22"/>
        <v>Medium</v>
      </c>
      <c r="AA761" s="5" t="s">
        <v>1319</v>
      </c>
      <c r="AB761" s="6" t="s">
        <v>1355</v>
      </c>
      <c r="AC761" s="6" t="s">
        <v>32</v>
      </c>
      <c r="AD761" s="5" t="s">
        <v>2278</v>
      </c>
      <c r="AE761" s="5" t="s">
        <v>1720</v>
      </c>
      <c r="AF761" s="5" t="s">
        <v>1720</v>
      </c>
      <c r="AG761" s="5" t="s">
        <v>1720</v>
      </c>
      <c r="AH761" s="5" t="s">
        <v>1720</v>
      </c>
      <c r="AI761" s="6" t="str">
        <f t="shared" si="23"/>
        <v>No</v>
      </c>
      <c r="AJ761" s="6" t="s">
        <v>2298</v>
      </c>
      <c r="AK761" s="6" t="s">
        <v>204</v>
      </c>
      <c r="AL761" s="6">
        <f>MATCH(AA761,{"Low","Medium","High"},0)*MATCH(AB761,{"Low","Medium","High"},0)*INDEX({3,2,2,1,1},MATCH(X761,{"Core","Vertical extension","Differentiator","Future","Adjacent"},0))</f>
        <v>4</v>
      </c>
      <c r="AM761" s="5"/>
      <c r="AN761" s="5"/>
      <c r="AO761" s="5"/>
      <c r="AP761" s="5" t="s">
        <v>8585</v>
      </c>
      <c r="AQ761" s="5"/>
      <c r="AR761" s="5"/>
      <c r="AS761" s="5"/>
      <c r="AT761" s="5"/>
      <c r="AU761" s="6" t="s">
        <v>2317</v>
      </c>
      <c r="AV761" s="6" t="s">
        <v>2813</v>
      </c>
      <c r="AW761" s="6" t="s">
        <v>76</v>
      </c>
      <c r="AX761" s="6" t="s">
        <v>2284</v>
      </c>
      <c r="AY761" s="6" t="s">
        <v>2285</v>
      </c>
      <c r="AZ761" s="6"/>
      <c r="BA761" s="6" t="s">
        <v>8597</v>
      </c>
      <c r="BB761" s="6"/>
      <c r="BC761" s="6" t="s">
        <v>127</v>
      </c>
      <c r="BD761" s="6" t="s">
        <v>127</v>
      </c>
      <c r="BE761" s="6"/>
      <c r="BF761" s="6"/>
      <c r="BG761" s="6"/>
      <c r="BH761" s="6"/>
    </row>
    <row r="762" spans="1:60" ht="32" customHeight="1" x14ac:dyDescent="0.35">
      <c r="A762" s="13" t="s">
        <v>8598</v>
      </c>
      <c r="B762" s="6" t="s">
        <v>8448</v>
      </c>
      <c r="C762" s="5" t="s">
        <v>2813</v>
      </c>
      <c r="D762" s="5" t="s">
        <v>2206</v>
      </c>
      <c r="E762" s="5" t="s">
        <v>8599</v>
      </c>
      <c r="F762" s="5" t="s">
        <v>8570</v>
      </c>
      <c r="G762" s="5" t="s">
        <v>1824</v>
      </c>
      <c r="H762" s="5" t="s">
        <v>8600</v>
      </c>
      <c r="I762" s="5" t="s">
        <v>8601</v>
      </c>
      <c r="J762" s="19" t="s">
        <v>204</v>
      </c>
      <c r="K762" s="18" t="s">
        <v>1489</v>
      </c>
      <c r="L762" s="5" t="s">
        <v>8602</v>
      </c>
      <c r="M762" s="6" t="s">
        <v>1496</v>
      </c>
      <c r="N762" s="6" t="s">
        <v>2167</v>
      </c>
      <c r="O762" s="6" t="s">
        <v>204</v>
      </c>
      <c r="P762" s="5" t="s">
        <v>2272</v>
      </c>
      <c r="Q762" s="18" t="s">
        <v>1482</v>
      </c>
      <c r="R762" s="5" t="s">
        <v>8590</v>
      </c>
      <c r="S762" s="6" t="s">
        <v>8575</v>
      </c>
      <c r="T762" s="5" t="s">
        <v>8576</v>
      </c>
      <c r="U762" s="6" t="s">
        <v>1544</v>
      </c>
      <c r="V762" s="6" t="s">
        <v>8577</v>
      </c>
      <c r="W762" s="6" t="s">
        <v>1697</v>
      </c>
      <c r="X762" s="5" t="s">
        <v>8458</v>
      </c>
      <c r="Y762" s="5" t="s">
        <v>760</v>
      </c>
      <c r="Z762" s="5" t="str">
        <f t="shared" si="22"/>
        <v>Medium</v>
      </c>
      <c r="AA762" s="5" t="s">
        <v>1319</v>
      </c>
      <c r="AB762" s="6" t="s">
        <v>1355</v>
      </c>
      <c r="AC762" s="6" t="s">
        <v>32</v>
      </c>
      <c r="AD762" s="5" t="s">
        <v>2278</v>
      </c>
      <c r="AE762" s="5" t="s">
        <v>1720</v>
      </c>
      <c r="AF762" s="5" t="s">
        <v>1720</v>
      </c>
      <c r="AG762" s="5" t="s">
        <v>1720</v>
      </c>
      <c r="AH762" s="5" t="s">
        <v>1720</v>
      </c>
      <c r="AI762" s="6" t="str">
        <f t="shared" si="23"/>
        <v>No</v>
      </c>
      <c r="AJ762" s="6" t="s">
        <v>2298</v>
      </c>
      <c r="AK762" s="6" t="s">
        <v>204</v>
      </c>
      <c r="AL762" s="6">
        <f>MATCH(AA762,{"Low","Medium","High"},0)*MATCH(AB762,{"Low","Medium","High"},0)*INDEX({3,2,2,1,1},MATCH(X762,{"Core","Vertical extension","Differentiator","Future","Adjacent"},0))</f>
        <v>4</v>
      </c>
      <c r="AM762" s="5"/>
      <c r="AN762" s="5"/>
      <c r="AO762" s="5"/>
      <c r="AP762" s="5" t="s">
        <v>8592</v>
      </c>
      <c r="AQ762" s="5"/>
      <c r="AR762" s="5"/>
      <c r="AS762" s="5"/>
      <c r="AT762" s="5"/>
      <c r="AU762" s="6" t="s">
        <v>2317</v>
      </c>
      <c r="AV762" s="6" t="s">
        <v>2813</v>
      </c>
      <c r="AW762" s="6" t="s">
        <v>2813</v>
      </c>
      <c r="AX762" s="6" t="s">
        <v>2284</v>
      </c>
      <c r="AY762" s="6" t="s">
        <v>2285</v>
      </c>
      <c r="AZ762" s="6"/>
      <c r="BA762" s="6" t="s">
        <v>8597</v>
      </c>
      <c r="BB762" s="6"/>
      <c r="BC762" s="6" t="s">
        <v>127</v>
      </c>
      <c r="BD762" s="6" t="s">
        <v>127</v>
      </c>
      <c r="BE762" s="6"/>
      <c r="BF762" s="6"/>
      <c r="BG762" s="6"/>
      <c r="BH762" s="6"/>
    </row>
    <row r="763" spans="1:60" ht="32" customHeight="1" x14ac:dyDescent="0.35">
      <c r="A763" s="13" t="s">
        <v>8603</v>
      </c>
      <c r="B763" s="6" t="s">
        <v>8448</v>
      </c>
      <c r="C763" s="5" t="s">
        <v>1679</v>
      </c>
      <c r="D763" s="5" t="s">
        <v>2202</v>
      </c>
      <c r="E763" s="5" t="s">
        <v>8604</v>
      </c>
      <c r="F763" s="5" t="s">
        <v>8605</v>
      </c>
      <c r="G763" s="5" t="s">
        <v>8606</v>
      </c>
      <c r="H763" s="5" t="s">
        <v>8607</v>
      </c>
      <c r="I763" s="5" t="s">
        <v>8608</v>
      </c>
      <c r="J763" s="17" t="s">
        <v>162</v>
      </c>
      <c r="K763" s="18" t="s">
        <v>1489</v>
      </c>
      <c r="L763" s="5" t="s">
        <v>8609</v>
      </c>
      <c r="M763" s="6" t="s">
        <v>1496</v>
      </c>
      <c r="N763" s="6" t="s">
        <v>2167</v>
      </c>
      <c r="O763" s="6" t="s">
        <v>162</v>
      </c>
      <c r="P763" s="5" t="s">
        <v>2272</v>
      </c>
      <c r="Q763" s="18" t="s">
        <v>1482</v>
      </c>
      <c r="R763" s="5" t="s">
        <v>8610</v>
      </c>
      <c r="S763" s="6" t="s">
        <v>8611</v>
      </c>
      <c r="T763" s="5" t="s">
        <v>8612</v>
      </c>
      <c r="U763" s="6" t="s">
        <v>1528</v>
      </c>
      <c r="V763" s="6" t="s">
        <v>8613</v>
      </c>
      <c r="W763" s="6" t="s">
        <v>1701</v>
      </c>
      <c r="X763" s="5" t="s">
        <v>8458</v>
      </c>
      <c r="Y763" s="5" t="s">
        <v>3426</v>
      </c>
      <c r="Z763" s="5" t="str">
        <f t="shared" si="22"/>
        <v>Medium</v>
      </c>
      <c r="AA763" s="5" t="s">
        <v>1319</v>
      </c>
      <c r="AB763" s="6" t="s">
        <v>1355</v>
      </c>
      <c r="AC763" s="6" t="s">
        <v>32</v>
      </c>
      <c r="AD763" s="5" t="s">
        <v>2278</v>
      </c>
      <c r="AE763" s="5" t="s">
        <v>1720</v>
      </c>
      <c r="AF763" s="5" t="s">
        <v>1720</v>
      </c>
      <c r="AG763" s="5" t="s">
        <v>1720</v>
      </c>
      <c r="AH763" s="5" t="s">
        <v>1720</v>
      </c>
      <c r="AI763" s="6" t="str">
        <f t="shared" si="23"/>
        <v>No</v>
      </c>
      <c r="AJ763" s="6" t="s">
        <v>2298</v>
      </c>
      <c r="AK763" s="6" t="s">
        <v>204</v>
      </c>
      <c r="AL763" s="6">
        <f>MATCH(AA763,{"Low","Medium","High"},0)*MATCH(AB763,{"Low","Medium","High"},0)*INDEX({3,2,2,1,1},MATCH(X763,{"Core","Vertical extension","Differentiator","Future","Adjacent"},0))</f>
        <v>4</v>
      </c>
      <c r="AM763" s="5"/>
      <c r="AN763" s="5"/>
      <c r="AO763" s="5"/>
      <c r="AP763" s="5"/>
      <c r="AQ763" s="5"/>
      <c r="AR763" s="5"/>
      <c r="AS763" s="5"/>
      <c r="AT763" s="5"/>
      <c r="AU763" s="6" t="s">
        <v>2317</v>
      </c>
      <c r="AV763" s="6" t="s">
        <v>2804</v>
      </c>
      <c r="AW763" s="6" t="s">
        <v>2804</v>
      </c>
      <c r="AX763" s="6" t="s">
        <v>2284</v>
      </c>
      <c r="AY763" s="6" t="s">
        <v>2285</v>
      </c>
      <c r="AZ763" s="6"/>
      <c r="BA763" s="6" t="s">
        <v>8614</v>
      </c>
      <c r="BB763" s="6" t="s">
        <v>8615</v>
      </c>
      <c r="BC763" s="6" t="s">
        <v>127</v>
      </c>
      <c r="BD763" s="6" t="s">
        <v>127</v>
      </c>
      <c r="BE763" s="6"/>
      <c r="BF763" s="6"/>
      <c r="BG763" s="6"/>
      <c r="BH763" s="6"/>
    </row>
    <row r="764" spans="1:60" ht="32" customHeight="1" x14ac:dyDescent="0.35">
      <c r="A764" s="13" t="s">
        <v>8616</v>
      </c>
      <c r="B764" s="6" t="s">
        <v>8448</v>
      </c>
      <c r="C764" s="5" t="s">
        <v>1679</v>
      </c>
      <c r="D764" s="5" t="s">
        <v>2202</v>
      </c>
      <c r="E764" s="5" t="s">
        <v>8617</v>
      </c>
      <c r="F764" s="5" t="s">
        <v>8605</v>
      </c>
      <c r="G764" s="5" t="s">
        <v>2396</v>
      </c>
      <c r="H764" s="5" t="s">
        <v>8618</v>
      </c>
      <c r="I764" s="5" t="s">
        <v>8619</v>
      </c>
      <c r="J764" s="17" t="s">
        <v>162</v>
      </c>
      <c r="K764" s="18" t="s">
        <v>1489</v>
      </c>
      <c r="L764" s="5" t="s">
        <v>8620</v>
      </c>
      <c r="M764" s="6" t="s">
        <v>1496</v>
      </c>
      <c r="N764" s="6" t="s">
        <v>2167</v>
      </c>
      <c r="O764" s="6" t="s">
        <v>162</v>
      </c>
      <c r="P764" s="5" t="s">
        <v>2272</v>
      </c>
      <c r="Q764" s="18" t="s">
        <v>1482</v>
      </c>
      <c r="R764" s="5" t="s">
        <v>8621</v>
      </c>
      <c r="S764" s="6" t="s">
        <v>8611</v>
      </c>
      <c r="T764" s="5" t="s">
        <v>8612</v>
      </c>
      <c r="U764" s="6" t="s">
        <v>1532</v>
      </c>
      <c r="V764" s="6" t="s">
        <v>8613</v>
      </c>
      <c r="W764" s="6" t="s">
        <v>1701</v>
      </c>
      <c r="X764" s="5" t="s">
        <v>8458</v>
      </c>
      <c r="Y764" s="5" t="s">
        <v>3426</v>
      </c>
      <c r="Z764" s="5" t="str">
        <f t="shared" si="22"/>
        <v>Medium</v>
      </c>
      <c r="AA764" s="5" t="s">
        <v>1319</v>
      </c>
      <c r="AB764" s="6" t="s">
        <v>1355</v>
      </c>
      <c r="AC764" s="6" t="s">
        <v>32</v>
      </c>
      <c r="AD764" s="5" t="s">
        <v>2278</v>
      </c>
      <c r="AE764" s="5" t="s">
        <v>1720</v>
      </c>
      <c r="AF764" s="5" t="s">
        <v>1720</v>
      </c>
      <c r="AG764" s="5" t="s">
        <v>1720</v>
      </c>
      <c r="AH764" s="5" t="s">
        <v>1720</v>
      </c>
      <c r="AI764" s="6" t="str">
        <f t="shared" si="23"/>
        <v>No</v>
      </c>
      <c r="AJ764" s="6" t="s">
        <v>2298</v>
      </c>
      <c r="AK764" s="6" t="s">
        <v>204</v>
      </c>
      <c r="AL764" s="6">
        <f>MATCH(AA764,{"Low","Medium","High"},0)*MATCH(AB764,{"Low","Medium","High"},0)*INDEX({3,2,2,1,1},MATCH(X764,{"Core","Vertical extension","Differentiator","Future","Adjacent"},0))</f>
        <v>4</v>
      </c>
      <c r="AM764" s="5"/>
      <c r="AN764" s="5"/>
      <c r="AO764" s="5"/>
      <c r="AP764" s="5" t="s">
        <v>8603</v>
      </c>
      <c r="AQ764" s="5"/>
      <c r="AR764" s="5"/>
      <c r="AS764" s="5"/>
      <c r="AT764" s="5"/>
      <c r="AU764" s="6" t="s">
        <v>2317</v>
      </c>
      <c r="AV764" s="6" t="s">
        <v>2804</v>
      </c>
      <c r="AW764" s="6" t="s">
        <v>2804</v>
      </c>
      <c r="AX764" s="6" t="s">
        <v>2284</v>
      </c>
      <c r="AY764" s="6" t="s">
        <v>2285</v>
      </c>
      <c r="AZ764" s="6"/>
      <c r="BA764" s="6" t="s">
        <v>8622</v>
      </c>
      <c r="BB764" s="6" t="s">
        <v>8623</v>
      </c>
      <c r="BC764" s="6" t="s">
        <v>127</v>
      </c>
      <c r="BD764" s="6" t="s">
        <v>127</v>
      </c>
      <c r="BE764" s="6"/>
      <c r="BF764" s="6"/>
      <c r="BG764" s="6"/>
      <c r="BH764" s="6"/>
    </row>
    <row r="765" spans="1:60" ht="32" customHeight="1" x14ac:dyDescent="0.35">
      <c r="A765" s="13" t="s">
        <v>8624</v>
      </c>
      <c r="B765" s="6" t="s">
        <v>8448</v>
      </c>
      <c r="C765" s="5" t="s">
        <v>1679</v>
      </c>
      <c r="D765" s="5" t="s">
        <v>2202</v>
      </c>
      <c r="E765" s="5" t="s">
        <v>8625</v>
      </c>
      <c r="F765" s="5" t="s">
        <v>8605</v>
      </c>
      <c r="G765" s="5" t="s">
        <v>2396</v>
      </c>
      <c r="H765" s="5" t="s">
        <v>8626</v>
      </c>
      <c r="I765" s="5" t="s">
        <v>8627</v>
      </c>
      <c r="J765" s="17" t="s">
        <v>162</v>
      </c>
      <c r="K765" s="18" t="s">
        <v>1489</v>
      </c>
      <c r="L765" s="5" t="s">
        <v>8628</v>
      </c>
      <c r="M765" s="6" t="s">
        <v>1496</v>
      </c>
      <c r="N765" s="6" t="s">
        <v>2167</v>
      </c>
      <c r="O765" s="6" t="s">
        <v>162</v>
      </c>
      <c r="P765" s="5" t="s">
        <v>2272</v>
      </c>
      <c r="Q765" s="18" t="s">
        <v>1482</v>
      </c>
      <c r="R765" s="5" t="s">
        <v>8629</v>
      </c>
      <c r="S765" s="6" t="s">
        <v>8611</v>
      </c>
      <c r="T765" s="5" t="s">
        <v>8612</v>
      </c>
      <c r="U765" s="6" t="s">
        <v>1536</v>
      </c>
      <c r="V765" s="6" t="s">
        <v>8613</v>
      </c>
      <c r="W765" s="6" t="s">
        <v>1701</v>
      </c>
      <c r="X765" s="5" t="s">
        <v>8458</v>
      </c>
      <c r="Y765" s="5" t="s">
        <v>3426</v>
      </c>
      <c r="Z765" s="5" t="str">
        <f t="shared" si="22"/>
        <v>Medium</v>
      </c>
      <c r="AA765" s="5" t="s">
        <v>1319</v>
      </c>
      <c r="AB765" s="6" t="s">
        <v>1355</v>
      </c>
      <c r="AC765" s="6" t="s">
        <v>32</v>
      </c>
      <c r="AD765" s="5" t="s">
        <v>2278</v>
      </c>
      <c r="AE765" s="5" t="s">
        <v>1720</v>
      </c>
      <c r="AF765" s="5" t="s">
        <v>1720</v>
      </c>
      <c r="AG765" s="5" t="s">
        <v>1720</v>
      </c>
      <c r="AH765" s="5" t="s">
        <v>1720</v>
      </c>
      <c r="AI765" s="6" t="str">
        <f t="shared" si="23"/>
        <v>No</v>
      </c>
      <c r="AJ765" s="6" t="s">
        <v>2298</v>
      </c>
      <c r="AK765" s="6" t="s">
        <v>204</v>
      </c>
      <c r="AL765" s="6">
        <f>MATCH(AA765,{"Low","Medium","High"},0)*MATCH(AB765,{"Low","Medium","High"},0)*INDEX({3,2,2,1,1},MATCH(X765,{"Core","Vertical extension","Differentiator","Future","Adjacent"},0))</f>
        <v>4</v>
      </c>
      <c r="AM765" s="5"/>
      <c r="AN765" s="5"/>
      <c r="AO765" s="5"/>
      <c r="AP765" s="5" t="s">
        <v>8616</v>
      </c>
      <c r="AQ765" s="5"/>
      <c r="AR765" s="5"/>
      <c r="AS765" s="5"/>
      <c r="AT765" s="5"/>
      <c r="AU765" s="6" t="s">
        <v>2317</v>
      </c>
      <c r="AV765" s="6" t="s">
        <v>2804</v>
      </c>
      <c r="AW765" s="6" t="s">
        <v>2804</v>
      </c>
      <c r="AX765" s="6" t="s">
        <v>2284</v>
      </c>
      <c r="AY765" s="6" t="s">
        <v>2285</v>
      </c>
      <c r="AZ765" s="6"/>
      <c r="BA765" s="6"/>
      <c r="BB765" s="6"/>
      <c r="BC765" s="6" t="s">
        <v>127</v>
      </c>
      <c r="BD765" s="6" t="s">
        <v>127</v>
      </c>
      <c r="BE765" s="6"/>
      <c r="BF765" s="6"/>
      <c r="BG765" s="6"/>
      <c r="BH765" s="6"/>
    </row>
    <row r="766" spans="1:60" ht="32" customHeight="1" x14ac:dyDescent="0.35">
      <c r="A766" s="13" t="s">
        <v>8630</v>
      </c>
      <c r="B766" s="6" t="s">
        <v>8448</v>
      </c>
      <c r="C766" s="5" t="s">
        <v>1679</v>
      </c>
      <c r="D766" s="5" t="s">
        <v>2202</v>
      </c>
      <c r="E766" s="5" t="s">
        <v>8631</v>
      </c>
      <c r="F766" s="5" t="s">
        <v>8605</v>
      </c>
      <c r="G766" s="5" t="s">
        <v>8606</v>
      </c>
      <c r="H766" s="5" t="s">
        <v>8632</v>
      </c>
      <c r="I766" s="5" t="s">
        <v>8633</v>
      </c>
      <c r="J766" s="17" t="s">
        <v>162</v>
      </c>
      <c r="K766" s="18" t="s">
        <v>1489</v>
      </c>
      <c r="L766" s="5" t="s">
        <v>8634</v>
      </c>
      <c r="M766" s="6" t="s">
        <v>1496</v>
      </c>
      <c r="N766" s="6" t="s">
        <v>2167</v>
      </c>
      <c r="O766" s="6" t="s">
        <v>162</v>
      </c>
      <c r="P766" s="5" t="s">
        <v>2272</v>
      </c>
      <c r="Q766" s="18" t="s">
        <v>1482</v>
      </c>
      <c r="R766" s="5" t="s">
        <v>8635</v>
      </c>
      <c r="S766" s="6" t="s">
        <v>8611</v>
      </c>
      <c r="T766" s="5" t="s">
        <v>8612</v>
      </c>
      <c r="U766" s="6" t="s">
        <v>1540</v>
      </c>
      <c r="V766" s="6" t="s">
        <v>8613</v>
      </c>
      <c r="W766" s="6" t="s">
        <v>1701</v>
      </c>
      <c r="X766" s="5" t="s">
        <v>8458</v>
      </c>
      <c r="Y766" s="5" t="s">
        <v>3426</v>
      </c>
      <c r="Z766" s="5" t="str">
        <f t="shared" si="22"/>
        <v>Medium</v>
      </c>
      <c r="AA766" s="5" t="s">
        <v>1319</v>
      </c>
      <c r="AB766" s="6" t="s">
        <v>1355</v>
      </c>
      <c r="AC766" s="6" t="s">
        <v>32</v>
      </c>
      <c r="AD766" s="5" t="s">
        <v>2278</v>
      </c>
      <c r="AE766" s="5" t="s">
        <v>1720</v>
      </c>
      <c r="AF766" s="5" t="s">
        <v>1720</v>
      </c>
      <c r="AG766" s="5" t="s">
        <v>1720</v>
      </c>
      <c r="AH766" s="5" t="s">
        <v>1720</v>
      </c>
      <c r="AI766" s="6" t="str">
        <f t="shared" si="23"/>
        <v>No</v>
      </c>
      <c r="AJ766" s="6" t="s">
        <v>2298</v>
      </c>
      <c r="AK766" s="6" t="s">
        <v>204</v>
      </c>
      <c r="AL766" s="6">
        <f>MATCH(AA766,{"Low","Medium","High"},0)*MATCH(AB766,{"Low","Medium","High"},0)*INDEX({3,2,2,1,1},MATCH(X766,{"Core","Vertical extension","Differentiator","Future","Adjacent"},0))</f>
        <v>4</v>
      </c>
      <c r="AM766" s="5"/>
      <c r="AN766" s="5"/>
      <c r="AO766" s="5"/>
      <c r="AP766" s="5" t="s">
        <v>8624</v>
      </c>
      <c r="AQ766" s="5"/>
      <c r="AR766" s="5"/>
      <c r="AS766" s="5"/>
      <c r="AT766" s="5"/>
      <c r="AU766" s="6" t="s">
        <v>2317</v>
      </c>
      <c r="AV766" s="6" t="s">
        <v>2804</v>
      </c>
      <c r="AW766" s="6" t="s">
        <v>2804</v>
      </c>
      <c r="AX766" s="6" t="s">
        <v>2284</v>
      </c>
      <c r="AY766" s="6" t="s">
        <v>2285</v>
      </c>
      <c r="AZ766" s="6"/>
      <c r="BA766" s="6" t="s">
        <v>8636</v>
      </c>
      <c r="BB766" s="6"/>
      <c r="BC766" s="6" t="s">
        <v>127</v>
      </c>
      <c r="BD766" s="6" t="s">
        <v>127</v>
      </c>
      <c r="BE766" s="6"/>
      <c r="BF766" s="6"/>
      <c r="BG766" s="6"/>
      <c r="BH766" s="6"/>
    </row>
    <row r="767" spans="1:60" ht="32" customHeight="1" x14ac:dyDescent="0.35">
      <c r="A767" s="13" t="s">
        <v>8637</v>
      </c>
      <c r="B767" s="6" t="s">
        <v>8448</v>
      </c>
      <c r="C767" s="5" t="s">
        <v>1693</v>
      </c>
      <c r="D767" s="5" t="s">
        <v>2202</v>
      </c>
      <c r="E767" s="5" t="s">
        <v>8638</v>
      </c>
      <c r="F767" s="5" t="s">
        <v>1824</v>
      </c>
      <c r="G767" s="5" t="s">
        <v>8605</v>
      </c>
      <c r="H767" s="5" t="s">
        <v>8639</v>
      </c>
      <c r="I767" s="5" t="s">
        <v>8640</v>
      </c>
      <c r="J767" s="17" t="s">
        <v>162</v>
      </c>
      <c r="K767" s="18" t="s">
        <v>1489</v>
      </c>
      <c r="L767" s="5" t="s">
        <v>8641</v>
      </c>
      <c r="M767" s="6" t="s">
        <v>1496</v>
      </c>
      <c r="N767" s="6" t="s">
        <v>2167</v>
      </c>
      <c r="O767" s="6" t="s">
        <v>162</v>
      </c>
      <c r="P767" s="5" t="s">
        <v>2272</v>
      </c>
      <c r="Q767" s="18" t="s">
        <v>1482</v>
      </c>
      <c r="R767" s="5" t="s">
        <v>8642</v>
      </c>
      <c r="S767" s="6" t="s">
        <v>8611</v>
      </c>
      <c r="T767" s="5" t="s">
        <v>8612</v>
      </c>
      <c r="U767" s="6" t="s">
        <v>1544</v>
      </c>
      <c r="V767" s="6" t="s">
        <v>8613</v>
      </c>
      <c r="W767" s="6" t="s">
        <v>1701</v>
      </c>
      <c r="X767" s="5" t="s">
        <v>8458</v>
      </c>
      <c r="Y767" s="5" t="s">
        <v>1824</v>
      </c>
      <c r="Z767" s="5" t="str">
        <f t="shared" si="22"/>
        <v>Medium</v>
      </c>
      <c r="AA767" s="5" t="s">
        <v>1319</v>
      </c>
      <c r="AB767" s="6" t="s">
        <v>1355</v>
      </c>
      <c r="AC767" s="6" t="s">
        <v>32</v>
      </c>
      <c r="AD767" s="5" t="s">
        <v>2278</v>
      </c>
      <c r="AE767" s="5" t="s">
        <v>1720</v>
      </c>
      <c r="AF767" s="5" t="s">
        <v>1720</v>
      </c>
      <c r="AG767" s="5" t="s">
        <v>1720</v>
      </c>
      <c r="AH767" s="5" t="s">
        <v>1720</v>
      </c>
      <c r="AI767" s="6" t="str">
        <f t="shared" si="23"/>
        <v>No</v>
      </c>
      <c r="AJ767" s="6" t="s">
        <v>2298</v>
      </c>
      <c r="AK767" s="6" t="s">
        <v>204</v>
      </c>
      <c r="AL767" s="6">
        <f>MATCH(AA767,{"Low","Medium","High"},0)*MATCH(AB767,{"Low","Medium","High"},0)*INDEX({3,2,2,1,1},MATCH(X767,{"Core","Vertical extension","Differentiator","Future","Adjacent"},0))</f>
        <v>4</v>
      </c>
      <c r="AM767" s="5"/>
      <c r="AN767" s="5"/>
      <c r="AO767" s="5"/>
      <c r="AP767" s="5" t="s">
        <v>8630</v>
      </c>
      <c r="AQ767" s="5"/>
      <c r="AR767" s="5"/>
      <c r="AS767" s="5"/>
      <c r="AT767" s="5"/>
      <c r="AU767" s="6" t="s">
        <v>2317</v>
      </c>
      <c r="AV767" s="6" t="s">
        <v>76</v>
      </c>
      <c r="AW767" s="6" t="s">
        <v>76</v>
      </c>
      <c r="AX767" s="6" t="s">
        <v>2284</v>
      </c>
      <c r="AY767" s="6" t="s">
        <v>2285</v>
      </c>
      <c r="AZ767" s="6"/>
      <c r="BA767" s="6" t="s">
        <v>8643</v>
      </c>
      <c r="BB767" s="6" t="s">
        <v>8644</v>
      </c>
      <c r="BC767" s="6" t="s">
        <v>127</v>
      </c>
      <c r="BD767" s="6" t="s">
        <v>127</v>
      </c>
      <c r="BE767" s="6"/>
      <c r="BF767" s="6"/>
      <c r="BG767" s="6"/>
      <c r="BH767" s="6"/>
    </row>
    <row r="768" spans="1:60" ht="32" customHeight="1" x14ac:dyDescent="0.35">
      <c r="A768" s="13" t="s">
        <v>8645</v>
      </c>
      <c r="B768" s="6" t="s">
        <v>8448</v>
      </c>
      <c r="C768" s="5" t="s">
        <v>1693</v>
      </c>
      <c r="D768" s="5" t="s">
        <v>2202</v>
      </c>
      <c r="E768" s="5" t="s">
        <v>8646</v>
      </c>
      <c r="F768" s="5" t="s">
        <v>1824</v>
      </c>
      <c r="G768" s="5" t="s">
        <v>8606</v>
      </c>
      <c r="H768" s="5" t="s">
        <v>8647</v>
      </c>
      <c r="I768" s="5" t="s">
        <v>8648</v>
      </c>
      <c r="J768" s="17" t="s">
        <v>162</v>
      </c>
      <c r="K768" s="18" t="s">
        <v>1489</v>
      </c>
      <c r="L768" s="5" t="s">
        <v>8649</v>
      </c>
      <c r="M768" s="6" t="s">
        <v>1496</v>
      </c>
      <c r="N768" s="6" t="s">
        <v>2167</v>
      </c>
      <c r="O768" s="6" t="s">
        <v>162</v>
      </c>
      <c r="P768" s="5" t="s">
        <v>2272</v>
      </c>
      <c r="Q768" s="18" t="s">
        <v>1482</v>
      </c>
      <c r="R768" s="5" t="s">
        <v>8642</v>
      </c>
      <c r="S768" s="6" t="s">
        <v>8611</v>
      </c>
      <c r="T768" s="5" t="s">
        <v>8612</v>
      </c>
      <c r="U768" s="6" t="s">
        <v>810</v>
      </c>
      <c r="V768" s="6" t="s">
        <v>8613</v>
      </c>
      <c r="W768" s="6" t="s">
        <v>1701</v>
      </c>
      <c r="X768" s="5" t="s">
        <v>8458</v>
      </c>
      <c r="Y768" s="5" t="s">
        <v>1824</v>
      </c>
      <c r="Z768" s="5" t="str">
        <f t="shared" si="22"/>
        <v>Medium</v>
      </c>
      <c r="AA768" s="5" t="s">
        <v>1319</v>
      </c>
      <c r="AB768" s="6" t="s">
        <v>1355</v>
      </c>
      <c r="AC768" s="6" t="s">
        <v>32</v>
      </c>
      <c r="AD768" s="5" t="s">
        <v>2278</v>
      </c>
      <c r="AE768" s="5" t="s">
        <v>1720</v>
      </c>
      <c r="AF768" s="5" t="s">
        <v>1720</v>
      </c>
      <c r="AG768" s="5" t="s">
        <v>1720</v>
      </c>
      <c r="AH768" s="5" t="s">
        <v>1720</v>
      </c>
      <c r="AI768" s="6" t="str">
        <f t="shared" si="23"/>
        <v>No</v>
      </c>
      <c r="AJ768" s="6" t="s">
        <v>2298</v>
      </c>
      <c r="AK768" s="6" t="s">
        <v>204</v>
      </c>
      <c r="AL768" s="6">
        <f>MATCH(AA768,{"Low","Medium","High"},0)*MATCH(AB768,{"Low","Medium","High"},0)*INDEX({3,2,2,1,1},MATCH(X768,{"Core","Vertical extension","Differentiator","Future","Adjacent"},0))</f>
        <v>4</v>
      </c>
      <c r="AM768" s="5"/>
      <c r="AN768" s="5"/>
      <c r="AO768" s="5"/>
      <c r="AP768" s="5" t="s">
        <v>8637</v>
      </c>
      <c r="AQ768" s="5"/>
      <c r="AR768" s="5"/>
      <c r="AS768" s="5"/>
      <c r="AT768" s="5"/>
      <c r="AU768" s="6" t="s">
        <v>2317</v>
      </c>
      <c r="AV768" s="6" t="s">
        <v>76</v>
      </c>
      <c r="AW768" s="6" t="s">
        <v>76</v>
      </c>
      <c r="AX768" s="6" t="s">
        <v>2284</v>
      </c>
      <c r="AY768" s="6" t="s">
        <v>2285</v>
      </c>
      <c r="AZ768" s="6"/>
      <c r="BA768" s="6" t="s">
        <v>8643</v>
      </c>
      <c r="BB768" s="6" t="s">
        <v>8644</v>
      </c>
      <c r="BC768" s="6" t="s">
        <v>127</v>
      </c>
      <c r="BD768" s="6" t="s">
        <v>127</v>
      </c>
      <c r="BE768" s="6"/>
      <c r="BF768" s="6"/>
      <c r="BG768" s="6"/>
      <c r="BH768" s="6"/>
    </row>
    <row r="769" spans="1:60" ht="32" customHeight="1" x14ac:dyDescent="0.35">
      <c r="A769" s="13" t="s">
        <v>8650</v>
      </c>
      <c r="B769" s="6" t="s">
        <v>8448</v>
      </c>
      <c r="C769" s="5" t="s">
        <v>1679</v>
      </c>
      <c r="D769" s="5" t="s">
        <v>2202</v>
      </c>
      <c r="E769" s="5" t="s">
        <v>8651</v>
      </c>
      <c r="F769" s="5" t="s">
        <v>8605</v>
      </c>
      <c r="G769" s="5" t="s">
        <v>2396</v>
      </c>
      <c r="H769" s="5" t="s">
        <v>8652</v>
      </c>
      <c r="I769" s="5" t="s">
        <v>8653</v>
      </c>
      <c r="J769" s="17" t="s">
        <v>162</v>
      </c>
      <c r="K769" s="18" t="s">
        <v>1489</v>
      </c>
      <c r="L769" s="5" t="s">
        <v>8654</v>
      </c>
      <c r="M769" s="6" t="s">
        <v>1496</v>
      </c>
      <c r="N769" s="6" t="s">
        <v>2167</v>
      </c>
      <c r="O769" s="6" t="s">
        <v>162</v>
      </c>
      <c r="P769" s="5" t="s">
        <v>2272</v>
      </c>
      <c r="Q769" s="18" t="s">
        <v>1482</v>
      </c>
      <c r="R769" s="5" t="s">
        <v>8655</v>
      </c>
      <c r="S769" s="6" t="s">
        <v>8611</v>
      </c>
      <c r="T769" s="5" t="s">
        <v>8612</v>
      </c>
      <c r="U769" s="6" t="s">
        <v>818</v>
      </c>
      <c r="V769" s="6" t="s">
        <v>8613</v>
      </c>
      <c r="W769" s="6" t="s">
        <v>1701</v>
      </c>
      <c r="X769" s="5" t="s">
        <v>8458</v>
      </c>
      <c r="Y769" s="5" t="s">
        <v>3426</v>
      </c>
      <c r="Z769" s="5" t="str">
        <f t="shared" si="22"/>
        <v>Medium</v>
      </c>
      <c r="AA769" s="5" t="s">
        <v>1319</v>
      </c>
      <c r="AB769" s="6" t="s">
        <v>1355</v>
      </c>
      <c r="AC769" s="6" t="s">
        <v>32</v>
      </c>
      <c r="AD769" s="5" t="s">
        <v>2278</v>
      </c>
      <c r="AE769" s="5" t="s">
        <v>1720</v>
      </c>
      <c r="AF769" s="5" t="s">
        <v>1720</v>
      </c>
      <c r="AG769" s="5" t="s">
        <v>1720</v>
      </c>
      <c r="AH769" s="5" t="s">
        <v>1720</v>
      </c>
      <c r="AI769" s="6" t="str">
        <f t="shared" si="23"/>
        <v>No</v>
      </c>
      <c r="AJ769" s="6" t="s">
        <v>2298</v>
      </c>
      <c r="AK769" s="6" t="s">
        <v>204</v>
      </c>
      <c r="AL769" s="6">
        <f>MATCH(AA769,{"Low","Medium","High"},0)*MATCH(AB769,{"Low","Medium","High"},0)*INDEX({3,2,2,1,1},MATCH(X769,{"Core","Vertical extension","Differentiator","Future","Adjacent"},0))</f>
        <v>4</v>
      </c>
      <c r="AM769" s="5"/>
      <c r="AN769" s="5"/>
      <c r="AO769" s="5"/>
      <c r="AP769" s="5" t="s">
        <v>8645</v>
      </c>
      <c r="AQ769" s="5"/>
      <c r="AR769" s="5"/>
      <c r="AS769" s="5"/>
      <c r="AT769" s="5"/>
      <c r="AU769" s="6" t="s">
        <v>2317</v>
      </c>
      <c r="AV769" s="6" t="s">
        <v>2804</v>
      </c>
      <c r="AW769" s="6" t="s">
        <v>2804</v>
      </c>
      <c r="AX769" s="6" t="s">
        <v>2284</v>
      </c>
      <c r="AY769" s="6" t="s">
        <v>2285</v>
      </c>
      <c r="AZ769" s="6"/>
      <c r="BA769" s="6" t="s">
        <v>8656</v>
      </c>
      <c r="BB769" s="6"/>
      <c r="BC769" s="6" t="s">
        <v>127</v>
      </c>
      <c r="BD769" s="6" t="s">
        <v>127</v>
      </c>
      <c r="BE769" s="6"/>
      <c r="BF769" s="6"/>
      <c r="BG769" s="6"/>
      <c r="BH769" s="6"/>
    </row>
    <row r="770" spans="1:60" ht="32" customHeight="1" x14ac:dyDescent="0.35">
      <c r="A770" s="13" t="s">
        <v>8657</v>
      </c>
      <c r="B770" s="6" t="s">
        <v>8448</v>
      </c>
      <c r="C770" s="5" t="s">
        <v>1679</v>
      </c>
      <c r="D770" s="5" t="s">
        <v>2202</v>
      </c>
      <c r="E770" s="5" t="s">
        <v>8658</v>
      </c>
      <c r="F770" s="5" t="s">
        <v>8605</v>
      </c>
      <c r="G770" s="5" t="s">
        <v>2396</v>
      </c>
      <c r="H770" s="5" t="s">
        <v>8659</v>
      </c>
      <c r="I770" s="5" t="s">
        <v>8660</v>
      </c>
      <c r="J770" s="17" t="s">
        <v>162</v>
      </c>
      <c r="K770" s="18" t="s">
        <v>1489</v>
      </c>
      <c r="L770" s="5" t="s">
        <v>8661</v>
      </c>
      <c r="M770" s="6" t="s">
        <v>1496</v>
      </c>
      <c r="N770" s="6" t="s">
        <v>2167</v>
      </c>
      <c r="O770" s="6" t="s">
        <v>162</v>
      </c>
      <c r="P770" s="5" t="s">
        <v>2272</v>
      </c>
      <c r="Q770" s="18" t="s">
        <v>1482</v>
      </c>
      <c r="R770" s="5" t="s">
        <v>8662</v>
      </c>
      <c r="S770" s="6" t="s">
        <v>8611</v>
      </c>
      <c r="T770" s="5" t="s">
        <v>8612</v>
      </c>
      <c r="U770" s="6" t="s">
        <v>8663</v>
      </c>
      <c r="V770" s="6" t="s">
        <v>8613</v>
      </c>
      <c r="W770" s="6" t="s">
        <v>1701</v>
      </c>
      <c r="X770" s="5" t="s">
        <v>8458</v>
      </c>
      <c r="Y770" s="5" t="s">
        <v>3426</v>
      </c>
      <c r="Z770" s="5" t="str">
        <f t="shared" si="22"/>
        <v>Medium</v>
      </c>
      <c r="AA770" s="5" t="s">
        <v>1319</v>
      </c>
      <c r="AB770" s="6" t="s">
        <v>1355</v>
      </c>
      <c r="AC770" s="6" t="s">
        <v>32</v>
      </c>
      <c r="AD770" s="5" t="s">
        <v>2278</v>
      </c>
      <c r="AE770" s="5" t="s">
        <v>1720</v>
      </c>
      <c r="AF770" s="5" t="s">
        <v>1720</v>
      </c>
      <c r="AG770" s="5" t="s">
        <v>1720</v>
      </c>
      <c r="AH770" s="5" t="s">
        <v>1720</v>
      </c>
      <c r="AI770" s="6" t="str">
        <f t="shared" ref="AI770:AI833" si="24">IF(AND(AU770="Pass",AE770&lt;&gt;"Not verified",AF770&lt;&gt;"Not verified",AG770&lt;&gt;"Not verified",AH770&lt;&gt;"Not verified",BC770="Yes",BD770="Yes"),"Yes","No")</f>
        <v>No</v>
      </c>
      <c r="AJ770" s="6" t="s">
        <v>2298</v>
      </c>
      <c r="AK770" s="6" t="s">
        <v>204</v>
      </c>
      <c r="AL770" s="6">
        <f>MATCH(AA770,{"Low","Medium","High"},0)*MATCH(AB770,{"Low","Medium","High"},0)*INDEX({3,2,2,1,1},MATCH(X770,{"Core","Vertical extension","Differentiator","Future","Adjacent"},0))</f>
        <v>4</v>
      </c>
      <c r="AM770" s="5"/>
      <c r="AN770" s="5"/>
      <c r="AO770" s="5"/>
      <c r="AP770" s="5" t="s">
        <v>8650</v>
      </c>
      <c r="AQ770" s="5"/>
      <c r="AR770" s="5"/>
      <c r="AS770" s="5"/>
      <c r="AT770" s="5"/>
      <c r="AU770" s="6" t="s">
        <v>2317</v>
      </c>
      <c r="AV770" s="6" t="s">
        <v>2804</v>
      </c>
      <c r="AW770" s="6" t="s">
        <v>2804</v>
      </c>
      <c r="AX770" s="6" t="s">
        <v>2284</v>
      </c>
      <c r="AY770" s="6" t="s">
        <v>2285</v>
      </c>
      <c r="AZ770" s="6"/>
      <c r="BA770" s="6" t="s">
        <v>8664</v>
      </c>
      <c r="BB770" s="6"/>
      <c r="BC770" s="6" t="s">
        <v>127</v>
      </c>
      <c r="BD770" s="6" t="s">
        <v>127</v>
      </c>
      <c r="BE770" s="6"/>
      <c r="BF770" s="6"/>
      <c r="BG770" s="6"/>
      <c r="BH770" s="6"/>
    </row>
    <row r="771" spans="1:60" ht="32" customHeight="1" x14ac:dyDescent="0.35">
      <c r="A771" s="13" t="s">
        <v>8665</v>
      </c>
      <c r="B771" s="6" t="s">
        <v>8448</v>
      </c>
      <c r="C771" s="5" t="s">
        <v>1679</v>
      </c>
      <c r="D771" s="5" t="s">
        <v>2202</v>
      </c>
      <c r="E771" s="5" t="s">
        <v>8666</v>
      </c>
      <c r="F771" s="5" t="s">
        <v>8605</v>
      </c>
      <c r="G771" s="5" t="s">
        <v>2396</v>
      </c>
      <c r="H771" s="5" t="s">
        <v>8667</v>
      </c>
      <c r="I771" s="5" t="s">
        <v>8668</v>
      </c>
      <c r="J771" s="17" t="s">
        <v>162</v>
      </c>
      <c r="K771" s="18" t="s">
        <v>1489</v>
      </c>
      <c r="L771" s="5" t="s">
        <v>8669</v>
      </c>
      <c r="M771" s="6" t="s">
        <v>1496</v>
      </c>
      <c r="N771" s="6" t="s">
        <v>2167</v>
      </c>
      <c r="O771" s="6" t="s">
        <v>162</v>
      </c>
      <c r="P771" s="5" t="s">
        <v>2272</v>
      </c>
      <c r="Q771" s="18" t="s">
        <v>1482</v>
      </c>
      <c r="R771" s="5" t="s">
        <v>8670</v>
      </c>
      <c r="S771" s="6" t="s">
        <v>8611</v>
      </c>
      <c r="T771" s="5" t="s">
        <v>8612</v>
      </c>
      <c r="U771" s="6" t="s">
        <v>798</v>
      </c>
      <c r="V771" s="6" t="s">
        <v>8613</v>
      </c>
      <c r="W771" s="6" t="s">
        <v>1701</v>
      </c>
      <c r="X771" s="5" t="s">
        <v>8458</v>
      </c>
      <c r="Y771" s="5" t="s">
        <v>3426</v>
      </c>
      <c r="Z771" s="5" t="str">
        <f t="shared" si="22"/>
        <v>Medium</v>
      </c>
      <c r="AA771" s="5" t="s">
        <v>1319</v>
      </c>
      <c r="AB771" s="6" t="s">
        <v>1355</v>
      </c>
      <c r="AC771" s="6" t="s">
        <v>32</v>
      </c>
      <c r="AD771" s="5" t="s">
        <v>2278</v>
      </c>
      <c r="AE771" s="5" t="s">
        <v>1720</v>
      </c>
      <c r="AF771" s="5" t="s">
        <v>1720</v>
      </c>
      <c r="AG771" s="5" t="s">
        <v>1720</v>
      </c>
      <c r="AH771" s="5" t="s">
        <v>1720</v>
      </c>
      <c r="AI771" s="6" t="str">
        <f t="shared" si="24"/>
        <v>No</v>
      </c>
      <c r="AJ771" s="6" t="s">
        <v>2298</v>
      </c>
      <c r="AK771" s="6" t="s">
        <v>204</v>
      </c>
      <c r="AL771" s="6">
        <f>MATCH(AA771,{"Low","Medium","High"},0)*MATCH(AB771,{"Low","Medium","High"},0)*INDEX({3,2,2,1,1},MATCH(X771,{"Core","Vertical extension","Differentiator","Future","Adjacent"},0))</f>
        <v>4</v>
      </c>
      <c r="AM771" s="5"/>
      <c r="AN771" s="5"/>
      <c r="AO771" s="5"/>
      <c r="AP771" s="5" t="s">
        <v>8657</v>
      </c>
      <c r="AQ771" s="5"/>
      <c r="AR771" s="5"/>
      <c r="AS771" s="5"/>
      <c r="AT771" s="5"/>
      <c r="AU771" s="6" t="s">
        <v>2317</v>
      </c>
      <c r="AV771" s="6" t="s">
        <v>2804</v>
      </c>
      <c r="AW771" s="6" t="s">
        <v>2804</v>
      </c>
      <c r="AX771" s="6" t="s">
        <v>2284</v>
      </c>
      <c r="AY771" s="6" t="s">
        <v>2285</v>
      </c>
      <c r="AZ771" s="6"/>
      <c r="BA771" s="6" t="s">
        <v>8671</v>
      </c>
      <c r="BB771" s="6"/>
      <c r="BC771" s="6" t="s">
        <v>127</v>
      </c>
      <c r="BD771" s="6" t="s">
        <v>127</v>
      </c>
      <c r="BE771" s="6"/>
      <c r="BF771" s="6"/>
      <c r="BG771" s="6"/>
      <c r="BH771" s="6"/>
    </row>
  </sheetData>
  <conditionalFormatting sqref="AU2:AU771">
    <cfRule type="cellIs" dxfId="1" priority="1" operator="equal">
      <formula>"Pass"</formula>
    </cfRule>
    <cfRule type="cellIs" dxfId="0" priority="2" operator="equal">
      <formula>"Fail"</formula>
    </cfRule>
  </conditionalFormatting>
  <dataValidations count="4">
    <dataValidation type="list" allowBlank="1" showErrorMessage="1" sqref="AU2:AU771" xr:uid="{00000000-0002-0000-2000-000000000000}">
      <formula1>"Not run,Pass,Partial,Fail,Blocked"</formula1>
    </dataValidation>
    <dataValidation type="list" allowBlank="1" showErrorMessage="1" sqref="AJ2:AJ771" xr:uid="{00000000-0002-0000-2000-000001000000}">
      <formula1>"Claimed - unverified,Built - unverified,Built - tested,Built - partial,Gap"</formula1>
    </dataValidation>
    <dataValidation type="list" allowBlank="1" showErrorMessage="1" sqref="AC2:AC771" xr:uid="{00000000-0002-0000-2000-000002000000}">
      <formula1>"MVP,Pilot,Later"</formula1>
    </dataValidation>
    <dataValidation type="list" allowBlank="1" showErrorMessage="1" sqref="BC2:BD771" xr:uid="{00000000-0002-0000-2000-000003000000}">
      <formula1>"Yes,No"</formula1>
    </dataValidation>
  </dataValidations>
  <pageMargins left="0.75" right="0.75" top="1" bottom="1" header="0.5" footer="0.5"/>
  <pageSetup paperSize="3" fitToHeight="0" orientation="landscape"/>
  <headerFooter>
    <oddHeader>&amp;LBizBoard task register</oddHeader>
    <oddFooter>&amp;RPage &amp;P of &amp;N</oddFooter>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277BD"/>
    <pageSetUpPr fitToPage="1"/>
  </sheetPr>
  <dimension ref="A1:G30"/>
  <sheetViews>
    <sheetView showGridLines="0" workbookViewId="0">
      <pane ySplit="3" topLeftCell="A4" activePane="bottomLeft" state="frozen"/>
      <selection pane="bottomLeft"/>
    </sheetView>
  </sheetViews>
  <sheetFormatPr defaultRowHeight="14.5" x14ac:dyDescent="0.35"/>
  <cols>
    <col min="1" max="1" width="14" customWidth="1"/>
    <col min="2" max="2" width="40" customWidth="1"/>
    <col min="3" max="3" width="16" customWidth="1"/>
    <col min="4" max="4" width="12" customWidth="1"/>
    <col min="5" max="6" width="62" customWidth="1"/>
    <col min="7" max="7" width="16" customWidth="1"/>
  </cols>
  <sheetData>
    <row r="1" spans="1:7" ht="21" customHeight="1" x14ac:dyDescent="0.5">
      <c r="A1" s="1" t="s">
        <v>8672</v>
      </c>
    </row>
    <row r="2" spans="1:7" ht="28" customHeight="1" x14ac:dyDescent="0.35">
      <c r="A2" s="61" t="s">
        <v>8673</v>
      </c>
      <c r="B2" s="55"/>
      <c r="C2" s="55"/>
      <c r="D2" s="55"/>
      <c r="E2" s="55"/>
      <c r="F2" s="55"/>
    </row>
    <row r="3" spans="1:7" x14ac:dyDescent="0.35">
      <c r="A3" s="3" t="s">
        <v>2233</v>
      </c>
      <c r="B3" s="3" t="s">
        <v>2234</v>
      </c>
      <c r="C3" s="3" t="s">
        <v>2236</v>
      </c>
      <c r="D3" s="3" t="s">
        <v>26</v>
      </c>
      <c r="E3" s="3" t="s">
        <v>1696</v>
      </c>
      <c r="F3" s="3" t="s">
        <v>8674</v>
      </c>
      <c r="G3" s="3" t="s">
        <v>8675</v>
      </c>
    </row>
    <row r="4" spans="1:7" ht="36" customHeight="1" x14ac:dyDescent="0.35">
      <c r="A4" s="13" t="s">
        <v>8455</v>
      </c>
      <c r="B4" s="5" t="s">
        <v>8456</v>
      </c>
      <c r="C4" s="6" t="s">
        <v>8457</v>
      </c>
      <c r="D4" s="13">
        <f>COUNTIF(TaskRegister[Flow ID],A4)</f>
        <v>7</v>
      </c>
      <c r="E4" s="5" t="s">
        <v>8676</v>
      </c>
      <c r="F4" s="5" t="s">
        <v>8677</v>
      </c>
      <c r="G4" s="5" t="s">
        <v>8678</v>
      </c>
    </row>
    <row r="5" spans="1:7" ht="36" customHeight="1" x14ac:dyDescent="0.35">
      <c r="A5" s="13" t="s">
        <v>8509</v>
      </c>
      <c r="B5" s="5" t="s">
        <v>8510</v>
      </c>
      <c r="C5" s="6" t="s">
        <v>8511</v>
      </c>
      <c r="D5" s="13">
        <f>COUNTIF(TaskRegister[Flow ID],A5)</f>
        <v>5</v>
      </c>
      <c r="E5" s="5" t="s">
        <v>8679</v>
      </c>
      <c r="F5" s="5" t="s">
        <v>8680</v>
      </c>
      <c r="G5" s="5" t="s">
        <v>8678</v>
      </c>
    </row>
    <row r="6" spans="1:7" ht="36" customHeight="1" x14ac:dyDescent="0.35">
      <c r="A6" s="13" t="s">
        <v>6476</v>
      </c>
      <c r="B6" s="5" t="s">
        <v>6477</v>
      </c>
      <c r="C6" s="6" t="s">
        <v>6478</v>
      </c>
      <c r="D6" s="13">
        <f>COUNTIF(TaskRegister[Flow ID],A6)</f>
        <v>7</v>
      </c>
      <c r="E6" s="5" t="s">
        <v>8681</v>
      </c>
      <c r="F6" s="5" t="s">
        <v>8682</v>
      </c>
      <c r="G6" s="5" t="s">
        <v>8678</v>
      </c>
    </row>
    <row r="7" spans="1:7" ht="36" customHeight="1" x14ac:dyDescent="0.35">
      <c r="A7" s="13" t="s">
        <v>8575</v>
      </c>
      <c r="B7" s="5" t="s">
        <v>8576</v>
      </c>
      <c r="C7" s="6" t="s">
        <v>8577</v>
      </c>
      <c r="D7" s="13">
        <f>COUNTIF(TaskRegister[Flow ID],A7)</f>
        <v>5</v>
      </c>
      <c r="E7" s="5" t="s">
        <v>8683</v>
      </c>
      <c r="F7" s="5" t="s">
        <v>8684</v>
      </c>
      <c r="G7" s="5" t="s">
        <v>8678</v>
      </c>
    </row>
    <row r="8" spans="1:7" ht="36" customHeight="1" x14ac:dyDescent="0.35">
      <c r="A8" s="13" t="s">
        <v>8611</v>
      </c>
      <c r="B8" s="5" t="s">
        <v>8612</v>
      </c>
      <c r="C8" s="6" t="s">
        <v>8613</v>
      </c>
      <c r="D8" s="13">
        <f>COUNTIF(TaskRegister[Flow ID],A8)</f>
        <v>9</v>
      </c>
      <c r="E8" s="5" t="s">
        <v>8685</v>
      </c>
      <c r="F8" s="5" t="s">
        <v>8686</v>
      </c>
      <c r="G8" s="5" t="s">
        <v>8678</v>
      </c>
    </row>
    <row r="9" spans="1:7" ht="36" customHeight="1" x14ac:dyDescent="0.35">
      <c r="A9" s="13" t="s">
        <v>2275</v>
      </c>
      <c r="B9" s="5" t="s">
        <v>2276</v>
      </c>
      <c r="C9" s="6" t="s">
        <v>2277</v>
      </c>
      <c r="D9" s="13">
        <f>COUNTIF(TaskRegister[Flow ID],A9)</f>
        <v>60</v>
      </c>
      <c r="E9" s="5" t="s">
        <v>8687</v>
      </c>
      <c r="F9" s="5" t="s">
        <v>8688</v>
      </c>
      <c r="G9" s="5" t="s">
        <v>8689</v>
      </c>
    </row>
    <row r="10" spans="1:7" ht="36" customHeight="1" x14ac:dyDescent="0.35">
      <c r="A10" s="13" t="s">
        <v>2295</v>
      </c>
      <c r="B10" s="5" t="s">
        <v>2296</v>
      </c>
      <c r="C10" s="6" t="s">
        <v>2297</v>
      </c>
      <c r="D10" s="13">
        <f>COUNTIF(TaskRegister[Flow ID],A10)</f>
        <v>36</v>
      </c>
      <c r="E10" s="5" t="s">
        <v>8687</v>
      </c>
      <c r="F10" s="5" t="s">
        <v>8688</v>
      </c>
      <c r="G10" s="5" t="s">
        <v>8689</v>
      </c>
    </row>
    <row r="11" spans="1:7" ht="36" customHeight="1" x14ac:dyDescent="0.35">
      <c r="A11" s="13" t="s">
        <v>2345</v>
      </c>
      <c r="B11" s="5" t="s">
        <v>2346</v>
      </c>
      <c r="C11" s="6" t="s">
        <v>2347</v>
      </c>
      <c r="D11" s="13">
        <f>COUNTIF(TaskRegister[Flow ID],A11)</f>
        <v>70</v>
      </c>
      <c r="E11" s="5" t="s">
        <v>8687</v>
      </c>
      <c r="F11" s="5" t="s">
        <v>8688</v>
      </c>
      <c r="G11" s="5" t="s">
        <v>8689</v>
      </c>
    </row>
    <row r="12" spans="1:7" ht="36" customHeight="1" x14ac:dyDescent="0.35">
      <c r="A12" s="13" t="s">
        <v>2438</v>
      </c>
      <c r="B12" s="5" t="s">
        <v>2439</v>
      </c>
      <c r="C12" s="6" t="s">
        <v>2440</v>
      </c>
      <c r="D12" s="13">
        <f>COUNTIF(TaskRegister[Flow ID],A12)</f>
        <v>92</v>
      </c>
      <c r="E12" s="5" t="s">
        <v>8687</v>
      </c>
      <c r="F12" s="5" t="s">
        <v>8688</v>
      </c>
      <c r="G12" s="5" t="s">
        <v>8689</v>
      </c>
    </row>
    <row r="13" spans="1:7" ht="36" customHeight="1" x14ac:dyDescent="0.35">
      <c r="A13" s="13" t="s">
        <v>2371</v>
      </c>
      <c r="B13" s="5" t="s">
        <v>2372</v>
      </c>
      <c r="C13" s="6" t="s">
        <v>2373</v>
      </c>
      <c r="D13" s="13">
        <f>COUNTIF(TaskRegister[Flow ID],A13)</f>
        <v>58</v>
      </c>
      <c r="E13" s="5" t="s">
        <v>8687</v>
      </c>
      <c r="F13" s="5" t="s">
        <v>8688</v>
      </c>
      <c r="G13" s="5" t="s">
        <v>8689</v>
      </c>
    </row>
    <row r="14" spans="1:7" ht="36" customHeight="1" x14ac:dyDescent="0.35">
      <c r="A14" s="13" t="s">
        <v>2325</v>
      </c>
      <c r="B14" s="5" t="s">
        <v>2326</v>
      </c>
      <c r="C14" s="6" t="s">
        <v>2327</v>
      </c>
      <c r="D14" s="13">
        <f>COUNTIF(TaskRegister[Flow ID],A14)</f>
        <v>61</v>
      </c>
      <c r="E14" s="5" t="s">
        <v>8687</v>
      </c>
      <c r="F14" s="5" t="s">
        <v>8688</v>
      </c>
      <c r="G14" s="5" t="s">
        <v>8689</v>
      </c>
    </row>
    <row r="15" spans="1:7" ht="36" customHeight="1" x14ac:dyDescent="0.35">
      <c r="A15" s="13" t="s">
        <v>2470</v>
      </c>
      <c r="B15" s="5" t="s">
        <v>2471</v>
      </c>
      <c r="C15" s="6" t="s">
        <v>2472</v>
      </c>
      <c r="D15" s="13">
        <f>COUNTIF(TaskRegister[Flow ID],A15)</f>
        <v>46</v>
      </c>
      <c r="E15" s="5" t="s">
        <v>8687</v>
      </c>
      <c r="F15" s="5" t="s">
        <v>8688</v>
      </c>
      <c r="G15" s="5" t="s">
        <v>8689</v>
      </c>
    </row>
    <row r="16" spans="1:7" ht="36" customHeight="1" x14ac:dyDescent="0.35">
      <c r="A16" s="13" t="s">
        <v>2449</v>
      </c>
      <c r="B16" s="5" t="s">
        <v>2450</v>
      </c>
      <c r="C16" s="6" t="s">
        <v>2440</v>
      </c>
      <c r="D16" s="13">
        <f>COUNTIF(TaskRegister[Flow ID],A16)</f>
        <v>43</v>
      </c>
      <c r="E16" s="5" t="s">
        <v>8687</v>
      </c>
      <c r="F16" s="5" t="s">
        <v>8688</v>
      </c>
      <c r="G16" s="5" t="s">
        <v>8689</v>
      </c>
    </row>
    <row r="17" spans="1:7" ht="36" customHeight="1" x14ac:dyDescent="0.35">
      <c r="A17" s="13" t="s">
        <v>2358</v>
      </c>
      <c r="B17" s="5" t="s">
        <v>2359</v>
      </c>
      <c r="C17" s="6" t="s">
        <v>2360</v>
      </c>
      <c r="D17" s="13">
        <f>COUNTIF(TaskRegister[Flow ID],A17)</f>
        <v>34</v>
      </c>
      <c r="E17" s="5" t="s">
        <v>8687</v>
      </c>
      <c r="F17" s="5" t="s">
        <v>8688</v>
      </c>
      <c r="G17" s="5" t="s">
        <v>8689</v>
      </c>
    </row>
    <row r="18" spans="1:7" ht="36" customHeight="1" x14ac:dyDescent="0.35">
      <c r="A18" s="13" t="s">
        <v>2861</v>
      </c>
      <c r="B18" s="5" t="s">
        <v>2862</v>
      </c>
      <c r="C18" s="6" t="s">
        <v>2347</v>
      </c>
      <c r="D18" s="13">
        <f>COUNTIF(TaskRegister[Flow ID],A18)</f>
        <v>34</v>
      </c>
      <c r="E18" s="5" t="s">
        <v>8687</v>
      </c>
      <c r="F18" s="5" t="s">
        <v>8688</v>
      </c>
      <c r="G18" s="5" t="s">
        <v>8689</v>
      </c>
    </row>
    <row r="19" spans="1:7" ht="36" customHeight="1" x14ac:dyDescent="0.35">
      <c r="A19" s="13" t="s">
        <v>2401</v>
      </c>
      <c r="B19" s="5" t="s">
        <v>2402</v>
      </c>
      <c r="C19" s="6" t="s">
        <v>2403</v>
      </c>
      <c r="D19" s="13">
        <f>COUNTIF(TaskRegister[Flow ID],A19)</f>
        <v>26</v>
      </c>
      <c r="E19" s="5" t="s">
        <v>8687</v>
      </c>
      <c r="F19" s="5" t="s">
        <v>8688</v>
      </c>
      <c r="G19" s="5" t="s">
        <v>8689</v>
      </c>
    </row>
    <row r="20" spans="1:7" ht="36" customHeight="1" x14ac:dyDescent="0.35">
      <c r="A20" s="13" t="s">
        <v>2416</v>
      </c>
      <c r="B20" s="5" t="s">
        <v>2417</v>
      </c>
      <c r="C20" s="6" t="s">
        <v>2277</v>
      </c>
      <c r="D20" s="13">
        <f>COUNTIF(TaskRegister[Flow ID],A20)</f>
        <v>26</v>
      </c>
      <c r="E20" s="5" t="s">
        <v>8687</v>
      </c>
      <c r="F20" s="5" t="s">
        <v>8688</v>
      </c>
      <c r="G20" s="5" t="s">
        <v>8689</v>
      </c>
    </row>
    <row r="21" spans="1:7" ht="36" customHeight="1" x14ac:dyDescent="0.35">
      <c r="A21" s="13" t="s">
        <v>3423</v>
      </c>
      <c r="B21" s="5" t="s">
        <v>3424</v>
      </c>
      <c r="C21" s="6" t="s">
        <v>3425</v>
      </c>
      <c r="D21" s="13">
        <f>COUNTIF(TaskRegister[Flow ID],A21)</f>
        <v>23</v>
      </c>
      <c r="E21" s="5" t="s">
        <v>8687</v>
      </c>
      <c r="F21" s="5" t="s">
        <v>8688</v>
      </c>
      <c r="G21" s="5" t="s">
        <v>8689</v>
      </c>
    </row>
    <row r="22" spans="1:7" ht="36" customHeight="1" x14ac:dyDescent="0.35">
      <c r="A22" s="13" t="s">
        <v>6358</v>
      </c>
      <c r="B22" s="5" t="s">
        <v>6359</v>
      </c>
      <c r="C22" s="6" t="s">
        <v>2277</v>
      </c>
      <c r="D22" s="13">
        <f>COUNTIF(TaskRegister[Flow ID],A22)</f>
        <v>18</v>
      </c>
      <c r="E22" s="5" t="s">
        <v>8687</v>
      </c>
      <c r="F22" s="5" t="s">
        <v>8688</v>
      </c>
      <c r="G22" s="5" t="s">
        <v>8689</v>
      </c>
    </row>
    <row r="23" spans="1:7" ht="36" customHeight="1" x14ac:dyDescent="0.35">
      <c r="A23" s="13" t="s">
        <v>6442</v>
      </c>
      <c r="B23" s="5" t="s">
        <v>6443</v>
      </c>
      <c r="C23" s="6" t="s">
        <v>2440</v>
      </c>
      <c r="D23" s="13">
        <f>COUNTIF(TaskRegister[Flow ID],A23)</f>
        <v>5</v>
      </c>
      <c r="E23" s="5" t="s">
        <v>8687</v>
      </c>
      <c r="F23" s="5" t="s">
        <v>8688</v>
      </c>
      <c r="G23" s="5" t="s">
        <v>8689</v>
      </c>
    </row>
    <row r="24" spans="1:7" ht="36" customHeight="1" x14ac:dyDescent="0.35">
      <c r="A24" s="13" t="s">
        <v>8252</v>
      </c>
      <c r="B24" s="5" t="s">
        <v>8253</v>
      </c>
      <c r="C24" s="6" t="s">
        <v>3425</v>
      </c>
      <c r="D24" s="13">
        <f>COUNTIF(TaskRegister[Flow ID],A24)</f>
        <v>4</v>
      </c>
      <c r="E24" s="5" t="s">
        <v>8687</v>
      </c>
      <c r="F24" s="5" t="s">
        <v>8688</v>
      </c>
      <c r="G24" s="5" t="s">
        <v>8689</v>
      </c>
    </row>
    <row r="25" spans="1:7" ht="36" customHeight="1" x14ac:dyDescent="0.35">
      <c r="A25" s="13" t="s">
        <v>8281</v>
      </c>
      <c r="B25" s="5" t="s">
        <v>8282</v>
      </c>
      <c r="C25" s="6" t="s">
        <v>3425</v>
      </c>
      <c r="D25" s="13">
        <f>COUNTIF(TaskRegister[Flow ID],A25)</f>
        <v>4</v>
      </c>
      <c r="E25" s="5" t="s">
        <v>8687</v>
      </c>
      <c r="F25" s="5" t="s">
        <v>8688</v>
      </c>
      <c r="G25" s="5" t="s">
        <v>8689</v>
      </c>
    </row>
    <row r="26" spans="1:7" ht="36" customHeight="1" x14ac:dyDescent="0.35">
      <c r="A26" s="13" t="s">
        <v>8310</v>
      </c>
      <c r="B26" s="5" t="s">
        <v>8311</v>
      </c>
      <c r="C26" s="6" t="s">
        <v>3425</v>
      </c>
      <c r="D26" s="13">
        <f>COUNTIF(TaskRegister[Flow ID],A26)</f>
        <v>4</v>
      </c>
      <c r="E26" s="5" t="s">
        <v>8687</v>
      </c>
      <c r="F26" s="5" t="s">
        <v>8688</v>
      </c>
      <c r="G26" s="5" t="s">
        <v>8689</v>
      </c>
    </row>
    <row r="27" spans="1:7" ht="36" customHeight="1" x14ac:dyDescent="0.35">
      <c r="A27" s="13" t="s">
        <v>8343</v>
      </c>
      <c r="B27" s="5" t="s">
        <v>8344</v>
      </c>
      <c r="C27" s="6" t="s">
        <v>3425</v>
      </c>
      <c r="D27" s="13">
        <f>COUNTIF(TaskRegister[Flow ID],A27)</f>
        <v>4</v>
      </c>
      <c r="E27" s="5" t="s">
        <v>8687</v>
      </c>
      <c r="F27" s="5" t="s">
        <v>8688</v>
      </c>
      <c r="G27" s="5" t="s">
        <v>8689</v>
      </c>
    </row>
    <row r="28" spans="1:7" ht="36" customHeight="1" x14ac:dyDescent="0.35">
      <c r="A28" s="13" t="s">
        <v>8376</v>
      </c>
      <c r="B28" s="5" t="s">
        <v>8377</v>
      </c>
      <c r="C28" s="6" t="s">
        <v>8378</v>
      </c>
      <c r="D28" s="13">
        <f>COUNTIF(TaskRegister[Flow ID],A28)</f>
        <v>4</v>
      </c>
      <c r="E28" s="5" t="s">
        <v>8687</v>
      </c>
      <c r="F28" s="5" t="s">
        <v>8688</v>
      </c>
      <c r="G28" s="5" t="s">
        <v>8689</v>
      </c>
    </row>
    <row r="29" spans="1:7" ht="36" customHeight="1" x14ac:dyDescent="0.35">
      <c r="A29" s="13" t="s">
        <v>8407</v>
      </c>
      <c r="B29" s="5" t="s">
        <v>8408</v>
      </c>
      <c r="C29" s="6" t="s">
        <v>8409</v>
      </c>
      <c r="D29" s="13">
        <f>COUNTIF(TaskRegister[Flow ID],A29)</f>
        <v>4</v>
      </c>
      <c r="E29" s="5" t="s">
        <v>8687</v>
      </c>
      <c r="F29" s="5" t="s">
        <v>8688</v>
      </c>
      <c r="G29" s="5" t="s">
        <v>8689</v>
      </c>
    </row>
    <row r="30" spans="1:7" ht="36" customHeight="1" x14ac:dyDescent="0.35">
      <c r="A30" s="13" t="s">
        <v>8443</v>
      </c>
      <c r="B30" s="5" t="s">
        <v>8444</v>
      </c>
      <c r="C30" s="6" t="s">
        <v>8445</v>
      </c>
      <c r="D30" s="13">
        <f>COUNTIF(TaskRegister[Flow ID],A30)</f>
        <v>1</v>
      </c>
      <c r="E30" s="5" t="s">
        <v>8687</v>
      </c>
      <c r="F30" s="5" t="s">
        <v>8688</v>
      </c>
      <c r="G30" s="5" t="s">
        <v>8689</v>
      </c>
    </row>
  </sheetData>
  <autoFilter ref="A3:G30" xr:uid="{00000000-0009-0000-0000-000021000000}"/>
  <mergeCells count="1">
    <mergeCell ref="A2:F2"/>
  </mergeCell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25"/>
  <sheetViews>
    <sheetView showGridLines="0" workbookViewId="0">
      <pane ySplit="3" topLeftCell="A4" activePane="bottomLeft" state="frozen"/>
      <selection pane="bottomLeft"/>
    </sheetView>
  </sheetViews>
  <sheetFormatPr defaultRowHeight="14.5" x14ac:dyDescent="0.35"/>
  <cols>
    <col min="1" max="2" width="36" customWidth="1"/>
    <col min="3" max="3" width="18" customWidth="1"/>
    <col min="4" max="4" width="20" hidden="1" customWidth="1"/>
    <col min="5" max="5" width="28" hidden="1" customWidth="1"/>
    <col min="6" max="6" width="42" customWidth="1"/>
    <col min="7" max="7" width="36" customWidth="1"/>
    <col min="8" max="8" width="40" customWidth="1"/>
  </cols>
  <sheetData>
    <row r="1" spans="1:8" ht="21" customHeight="1" x14ac:dyDescent="0.5">
      <c r="A1" s="1" t="s">
        <v>8690</v>
      </c>
    </row>
    <row r="2" spans="1:8" ht="28" customHeight="1" x14ac:dyDescent="0.35">
      <c r="A2" s="61" t="s">
        <v>8691</v>
      </c>
      <c r="B2" s="55"/>
      <c r="C2" s="55"/>
      <c r="D2" s="55"/>
      <c r="E2" s="55"/>
      <c r="F2" s="55"/>
      <c r="G2" s="55"/>
    </row>
    <row r="3" spans="1:8" x14ac:dyDescent="0.35">
      <c r="A3" s="3" t="s">
        <v>8692</v>
      </c>
      <c r="B3" s="3" t="s">
        <v>8693</v>
      </c>
      <c r="C3" s="3" t="s">
        <v>8694</v>
      </c>
      <c r="D3" s="3" t="s">
        <v>8695</v>
      </c>
      <c r="E3" s="3" t="s">
        <v>8696</v>
      </c>
      <c r="F3" s="3" t="s">
        <v>8697</v>
      </c>
      <c r="G3" s="3" t="s">
        <v>8698</v>
      </c>
      <c r="H3" s="3" t="s">
        <v>8699</v>
      </c>
    </row>
    <row r="4" spans="1:8" ht="30" customHeight="1" x14ac:dyDescent="0.35">
      <c r="A4" s="5" t="s">
        <v>8700</v>
      </c>
      <c r="B4" s="5" t="s">
        <v>2813</v>
      </c>
      <c r="C4" s="13">
        <f>COUNTIF(TaskRegister[Persona / Scope],B4)</f>
        <v>18</v>
      </c>
      <c r="D4" s="13">
        <v>13</v>
      </c>
      <c r="E4" s="13" t="str">
        <f t="shared" ref="E4:E13" si="0">IF(C4=D4,"Matches","Does not match")</f>
        <v>Does not match</v>
      </c>
      <c r="F4" s="5" t="s">
        <v>8701</v>
      </c>
      <c r="G4" s="5" t="s">
        <v>8702</v>
      </c>
      <c r="H4" s="5" t="s">
        <v>8703</v>
      </c>
    </row>
    <row r="5" spans="1:8" ht="30" customHeight="1" x14ac:dyDescent="0.35">
      <c r="A5" s="5" t="s">
        <v>1662</v>
      </c>
      <c r="B5" s="5" t="s">
        <v>1662</v>
      </c>
      <c r="C5" s="13">
        <f>COUNTIF(TaskRegister[Persona / Scope],B5)</f>
        <v>20</v>
      </c>
      <c r="D5" s="13">
        <v>20</v>
      </c>
      <c r="E5" s="13" t="str">
        <f t="shared" si="0"/>
        <v>Matches</v>
      </c>
      <c r="F5" s="5" t="s">
        <v>8704</v>
      </c>
      <c r="G5" s="5" t="s">
        <v>8705</v>
      </c>
      <c r="H5" s="5" t="s">
        <v>8706</v>
      </c>
    </row>
    <row r="6" spans="1:8" ht="30" customHeight="1" x14ac:dyDescent="0.35">
      <c r="A6" s="5" t="s">
        <v>1661</v>
      </c>
      <c r="B6" s="5" t="s">
        <v>1661</v>
      </c>
      <c r="C6" s="13">
        <f>COUNTIF(TaskRegister[Persona / Scope],B6)</f>
        <v>17</v>
      </c>
      <c r="D6" s="13">
        <v>17</v>
      </c>
      <c r="E6" s="13" t="str">
        <f t="shared" si="0"/>
        <v>Matches</v>
      </c>
      <c r="F6" s="5" t="s">
        <v>8707</v>
      </c>
      <c r="G6" s="5" t="s">
        <v>8708</v>
      </c>
      <c r="H6" s="5" t="s">
        <v>8709</v>
      </c>
    </row>
    <row r="7" spans="1:8" ht="30" customHeight="1" x14ac:dyDescent="0.35">
      <c r="A7" s="5" t="s">
        <v>8710</v>
      </c>
      <c r="B7" s="5" t="s">
        <v>1674</v>
      </c>
      <c r="C7" s="13">
        <f>COUNTIF(TaskRegister[Persona / Scope],B7)</f>
        <v>14</v>
      </c>
      <c r="D7" s="13">
        <v>14</v>
      </c>
      <c r="E7" s="13" t="str">
        <f t="shared" si="0"/>
        <v>Matches</v>
      </c>
      <c r="F7" s="5" t="s">
        <v>8711</v>
      </c>
      <c r="G7" s="5" t="s">
        <v>8712</v>
      </c>
      <c r="H7" s="5" t="s">
        <v>8713</v>
      </c>
    </row>
    <row r="8" spans="1:8" ht="30" customHeight="1" x14ac:dyDescent="0.35">
      <c r="A8" s="5" t="s">
        <v>8100</v>
      </c>
      <c r="B8" s="5" t="s">
        <v>75</v>
      </c>
      <c r="C8" s="13">
        <f>COUNTIF(TaskRegister[Persona / Scope],B8)</f>
        <v>16</v>
      </c>
      <c r="D8" s="13">
        <v>16</v>
      </c>
      <c r="E8" s="13" t="str">
        <f t="shared" si="0"/>
        <v>Matches</v>
      </c>
      <c r="F8" s="5" t="s">
        <v>8714</v>
      </c>
      <c r="G8" s="5" t="s">
        <v>8715</v>
      </c>
      <c r="H8" s="5" t="s">
        <v>8716</v>
      </c>
    </row>
    <row r="9" spans="1:8" ht="30" customHeight="1" x14ac:dyDescent="0.35">
      <c r="A9" s="5" t="s">
        <v>1684</v>
      </c>
      <c r="B9" s="5" t="s">
        <v>1684</v>
      </c>
      <c r="C9" s="13">
        <f>COUNTIF(TaskRegister[Persona / Scope],B9)</f>
        <v>11</v>
      </c>
      <c r="D9" s="13">
        <v>11</v>
      </c>
      <c r="E9" s="13" t="str">
        <f t="shared" si="0"/>
        <v>Matches</v>
      </c>
      <c r="F9" s="5" t="s">
        <v>8717</v>
      </c>
      <c r="G9" s="5" t="s">
        <v>8718</v>
      </c>
      <c r="H9" s="5" t="s">
        <v>8719</v>
      </c>
    </row>
    <row r="10" spans="1:8" ht="30" customHeight="1" x14ac:dyDescent="0.35">
      <c r="A10" s="5" t="s">
        <v>2999</v>
      </c>
      <c r="B10" s="5" t="s">
        <v>2999</v>
      </c>
      <c r="C10" s="13">
        <f>COUNTIF(TaskRegister[Persona / Scope],B10)</f>
        <v>10</v>
      </c>
      <c r="D10" s="13">
        <v>10</v>
      </c>
      <c r="E10" s="13" t="str">
        <f t="shared" si="0"/>
        <v>Matches</v>
      </c>
      <c r="F10" s="5" t="s">
        <v>8720</v>
      </c>
      <c r="G10" s="5" t="s">
        <v>8721</v>
      </c>
      <c r="H10" s="5" t="s">
        <v>8722</v>
      </c>
    </row>
    <row r="11" spans="1:8" ht="30" customHeight="1" x14ac:dyDescent="0.35">
      <c r="A11" s="5" t="s">
        <v>3084</v>
      </c>
      <c r="B11" s="5" t="s">
        <v>3084</v>
      </c>
      <c r="C11" s="13">
        <f>COUNTIF(TaskRegister[Persona / Scope],B11)</f>
        <v>11</v>
      </c>
      <c r="D11" s="13">
        <v>11</v>
      </c>
      <c r="E11" s="13" t="str">
        <f t="shared" si="0"/>
        <v>Matches</v>
      </c>
      <c r="F11" s="5" t="s">
        <v>8723</v>
      </c>
      <c r="G11" s="5" t="s">
        <v>8724</v>
      </c>
      <c r="H11" s="5" t="s">
        <v>8725</v>
      </c>
    </row>
    <row r="12" spans="1:8" ht="30" customHeight="1" x14ac:dyDescent="0.35">
      <c r="A12" s="5" t="s">
        <v>8726</v>
      </c>
      <c r="B12" s="5" t="s">
        <v>1693</v>
      </c>
      <c r="C12" s="13">
        <f>COUNTIF(TaskRegister[Persona / Scope],B12)</f>
        <v>25</v>
      </c>
      <c r="D12" s="13">
        <v>16</v>
      </c>
      <c r="E12" s="13" t="str">
        <f t="shared" si="0"/>
        <v>Does not match</v>
      </c>
      <c r="F12" s="5" t="s">
        <v>8727</v>
      </c>
      <c r="G12" s="5" t="s">
        <v>8728</v>
      </c>
      <c r="H12" s="5" t="s">
        <v>8729</v>
      </c>
    </row>
    <row r="13" spans="1:8" ht="30" customHeight="1" x14ac:dyDescent="0.35">
      <c r="A13" s="5" t="s">
        <v>8730</v>
      </c>
      <c r="B13" s="5" t="s">
        <v>1679</v>
      </c>
      <c r="C13" s="13">
        <f>COUNTIF(TaskRegister[Persona / Scope],B13)</f>
        <v>17</v>
      </c>
      <c r="D13" s="13">
        <v>10</v>
      </c>
      <c r="E13" s="13" t="str">
        <f t="shared" si="0"/>
        <v>Does not match</v>
      </c>
      <c r="F13" s="5" t="s">
        <v>8731</v>
      </c>
      <c r="G13" s="5" t="s">
        <v>8732</v>
      </c>
      <c r="H13" s="5" t="s">
        <v>8733</v>
      </c>
    </row>
    <row r="14" spans="1:8" ht="30" customHeight="1" x14ac:dyDescent="0.35">
      <c r="A14" s="5" t="s">
        <v>8246</v>
      </c>
      <c r="B14" s="5"/>
      <c r="C14" s="13"/>
      <c r="D14" s="13">
        <v>10</v>
      </c>
      <c r="E14" s="13" t="s">
        <v>8734</v>
      </c>
      <c r="F14" s="5" t="s">
        <v>8735</v>
      </c>
      <c r="G14" s="5" t="s">
        <v>8736</v>
      </c>
      <c r="H14" s="5" t="s">
        <v>8737</v>
      </c>
    </row>
    <row r="15" spans="1:8" ht="30" customHeight="1" x14ac:dyDescent="0.35">
      <c r="A15" s="5" t="s">
        <v>8738</v>
      </c>
      <c r="B15" s="5"/>
      <c r="C15" s="13"/>
      <c r="D15" s="13">
        <v>9</v>
      </c>
      <c r="E15" s="13" t="s">
        <v>8734</v>
      </c>
      <c r="F15" s="5" t="s">
        <v>8739</v>
      </c>
      <c r="G15" s="5" t="s">
        <v>8740</v>
      </c>
      <c r="H15" s="5" t="s">
        <v>8741</v>
      </c>
    </row>
    <row r="16" spans="1:8" ht="30" customHeight="1" x14ac:dyDescent="0.35">
      <c r="A16" s="5" t="s">
        <v>1669</v>
      </c>
      <c r="B16" s="5" t="s">
        <v>1669</v>
      </c>
      <c r="C16" s="13">
        <f>COUNTIF(TaskRegister[Persona / Scope],B16)</f>
        <v>10</v>
      </c>
      <c r="D16" s="13">
        <v>10</v>
      </c>
      <c r="E16" s="13" t="str">
        <f t="shared" ref="E16:E23" si="1">IF(C16=D16,"Matches","Does not match")</f>
        <v>Matches</v>
      </c>
      <c r="F16" s="5" t="s">
        <v>8742</v>
      </c>
      <c r="G16" s="5" t="s">
        <v>8743</v>
      </c>
      <c r="H16" s="5" t="s">
        <v>8744</v>
      </c>
    </row>
    <row r="17" spans="1:8" ht="30" customHeight="1" x14ac:dyDescent="0.35">
      <c r="A17" s="5" t="s">
        <v>8745</v>
      </c>
      <c r="B17" s="5" t="s">
        <v>1685</v>
      </c>
      <c r="C17" s="13">
        <f>COUNTIF(TaskRegister[Persona / Scope],B17)</f>
        <v>13</v>
      </c>
      <c r="D17" s="13">
        <v>13</v>
      </c>
      <c r="E17" s="13" t="str">
        <f t="shared" si="1"/>
        <v>Matches</v>
      </c>
      <c r="F17" s="5" t="s">
        <v>8746</v>
      </c>
      <c r="G17" s="5" t="s">
        <v>8747</v>
      </c>
      <c r="H17" s="5" t="s">
        <v>8748</v>
      </c>
    </row>
    <row r="18" spans="1:8" ht="30" customHeight="1" x14ac:dyDescent="0.35">
      <c r="A18" s="5" t="s">
        <v>8749</v>
      </c>
      <c r="B18" s="5" t="s">
        <v>6352</v>
      </c>
      <c r="C18" s="13">
        <f>COUNTIF(TaskRegister[Persona / Scope],B18)</f>
        <v>7</v>
      </c>
      <c r="D18" s="13">
        <v>7</v>
      </c>
      <c r="E18" s="13" t="str">
        <f t="shared" si="1"/>
        <v>Matches</v>
      </c>
      <c r="F18" s="5" t="s">
        <v>8750</v>
      </c>
      <c r="G18" s="5" t="s">
        <v>8751</v>
      </c>
      <c r="H18" s="5" t="s">
        <v>8752</v>
      </c>
    </row>
    <row r="19" spans="1:8" ht="30" customHeight="1" x14ac:dyDescent="0.35">
      <c r="A19" s="5" t="s">
        <v>6414</v>
      </c>
      <c r="B19" s="5" t="s">
        <v>6414</v>
      </c>
      <c r="C19" s="13">
        <f>COUNTIF(TaskRegister[Persona / Scope],B19)</f>
        <v>7</v>
      </c>
      <c r="D19" s="13">
        <v>7</v>
      </c>
      <c r="E19" s="13" t="str">
        <f t="shared" si="1"/>
        <v>Matches</v>
      </c>
      <c r="F19" s="5" t="s">
        <v>8753</v>
      </c>
      <c r="G19" s="5" t="s">
        <v>8754</v>
      </c>
      <c r="H19" s="5" t="s">
        <v>8755</v>
      </c>
    </row>
    <row r="20" spans="1:8" ht="30" customHeight="1" x14ac:dyDescent="0.35">
      <c r="A20" s="5" t="s">
        <v>6469</v>
      </c>
      <c r="B20" s="5" t="s">
        <v>6469</v>
      </c>
      <c r="C20" s="13">
        <f>COUNTIF(TaskRegister[Persona / Scope],B20)</f>
        <v>8</v>
      </c>
      <c r="D20" s="13">
        <v>4</v>
      </c>
      <c r="E20" s="13" t="str">
        <f t="shared" si="1"/>
        <v>Does not match</v>
      </c>
      <c r="F20" s="5" t="s">
        <v>8756</v>
      </c>
      <c r="G20" s="5" t="s">
        <v>8757</v>
      </c>
      <c r="H20" s="5" t="s">
        <v>8758</v>
      </c>
    </row>
    <row r="21" spans="1:8" ht="30" customHeight="1" x14ac:dyDescent="0.35">
      <c r="A21" s="5" t="s">
        <v>8759</v>
      </c>
      <c r="B21" s="5" t="s">
        <v>2396</v>
      </c>
      <c r="C21" s="13">
        <f>COUNTIF(TaskRegister[Persona / Scope],B21)</f>
        <v>8</v>
      </c>
      <c r="D21" s="13">
        <v>8</v>
      </c>
      <c r="E21" s="13" t="str">
        <f t="shared" si="1"/>
        <v>Matches</v>
      </c>
      <c r="F21" s="5" t="s">
        <v>8760</v>
      </c>
      <c r="G21" s="5" t="s">
        <v>8761</v>
      </c>
      <c r="H21" s="5" t="s">
        <v>8762</v>
      </c>
    </row>
    <row r="22" spans="1:8" ht="30" customHeight="1" x14ac:dyDescent="0.35">
      <c r="A22" s="5" t="s">
        <v>8763</v>
      </c>
      <c r="B22" s="5" t="s">
        <v>2507</v>
      </c>
      <c r="C22" s="13">
        <f>COUNTIF(TaskRegister[Persona / Scope],B22)</f>
        <v>6</v>
      </c>
      <c r="D22" s="13">
        <v>6</v>
      </c>
      <c r="E22" s="13" t="str">
        <f t="shared" si="1"/>
        <v>Matches</v>
      </c>
      <c r="F22" s="5" t="s">
        <v>8764</v>
      </c>
      <c r="G22" s="5" t="s">
        <v>8765</v>
      </c>
      <c r="H22" s="5" t="s">
        <v>8766</v>
      </c>
    </row>
    <row r="23" spans="1:8" ht="30" customHeight="1" x14ac:dyDescent="0.35">
      <c r="A23" s="5" t="s">
        <v>3173</v>
      </c>
      <c r="B23" s="5" t="s">
        <v>3783</v>
      </c>
      <c r="C23" s="13">
        <f>COUNTIF(TaskRegister[Persona / Scope],B23)</f>
        <v>13</v>
      </c>
      <c r="D23" s="13">
        <v>13</v>
      </c>
      <c r="E23" s="13" t="str">
        <f t="shared" si="1"/>
        <v>Matches</v>
      </c>
      <c r="F23" s="5" t="s">
        <v>8767</v>
      </c>
      <c r="G23" s="5" t="s">
        <v>8768</v>
      </c>
      <c r="H23" s="5" t="s">
        <v>8769</v>
      </c>
    </row>
    <row r="25" spans="1:8" ht="32" customHeight="1" x14ac:dyDescent="0.35">
      <c r="A25" s="56" t="s">
        <v>8770</v>
      </c>
      <c r="B25" s="55"/>
      <c r="C25" s="55"/>
      <c r="D25" s="55"/>
      <c r="E25" s="55"/>
      <c r="F25" s="55"/>
      <c r="G25" s="55"/>
      <c r="H25" s="55"/>
    </row>
  </sheetData>
  <autoFilter ref="A3:H23" xr:uid="{00000000-0009-0000-0000-000022000000}"/>
  <mergeCells count="2">
    <mergeCell ref="A25:H25"/>
    <mergeCell ref="A2:G2"/>
  </mergeCell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2"/>
  <sheetViews>
    <sheetView workbookViewId="0">
      <pane ySplit="3" topLeftCell="A4" activePane="bottomLeft" state="frozen"/>
      <selection pane="bottomLeft"/>
    </sheetView>
  </sheetViews>
  <sheetFormatPr defaultRowHeight="14.5" x14ac:dyDescent="0.35"/>
  <cols>
    <col min="1" max="1" width="38" customWidth="1"/>
    <col min="2" max="2" width="16" customWidth="1"/>
    <col min="3" max="3" width="10" customWidth="1"/>
    <col min="4" max="4" width="14" customWidth="1"/>
    <col min="5" max="5" width="12" customWidth="1"/>
    <col min="6" max="6" width="16" customWidth="1"/>
  </cols>
  <sheetData>
    <row r="1" spans="1:6" ht="21" customHeight="1" x14ac:dyDescent="0.5">
      <c r="A1" s="1" t="s">
        <v>8771</v>
      </c>
    </row>
    <row r="2" spans="1:6" ht="65" customHeight="1" x14ac:dyDescent="0.35">
      <c r="A2" s="2" t="s">
        <v>8772</v>
      </c>
    </row>
    <row r="3" spans="1:6" ht="29" customHeight="1" x14ac:dyDescent="0.35">
      <c r="A3" s="3" t="s">
        <v>1604</v>
      </c>
      <c r="B3" s="3" t="s">
        <v>8773</v>
      </c>
      <c r="C3" s="3" t="s">
        <v>94</v>
      </c>
      <c r="D3" s="3" t="s">
        <v>8774</v>
      </c>
      <c r="E3" s="3" t="s">
        <v>8775</v>
      </c>
      <c r="F3" s="3" t="s">
        <v>8776</v>
      </c>
    </row>
    <row r="4" spans="1:6" x14ac:dyDescent="0.35">
      <c r="A4" s="23" t="s">
        <v>2813</v>
      </c>
      <c r="B4" s="23">
        <f>COUNTIF(TaskRegister[Persona canonical],A4)</f>
        <v>52</v>
      </c>
      <c r="C4" s="23">
        <f>COUNTIFS(TaskRegister[Persona canonical],A4,TaskRegister[Priority],"P0")</f>
        <v>6</v>
      </c>
      <c r="D4" s="23">
        <f>COUNTIFS(TaskRegister[Persona canonical],A4,TaskRegister[Proposed priority],"P1")</f>
        <v>29</v>
      </c>
      <c r="E4" s="23">
        <f>COUNTIFS(TaskRegister[Persona canonical],A4,TaskRegister[Work status],"Gap")+COUNTIFS(TaskRegister[Persona canonical],A4,TaskRegister[Work status],"Built - partial")</f>
        <v>32</v>
      </c>
      <c r="F4" s="23">
        <f>COUNTIF(TaskRegister[Primary actor canonical],A4)</f>
        <v>65</v>
      </c>
    </row>
    <row r="5" spans="1:6" x14ac:dyDescent="0.35">
      <c r="A5" s="23" t="s">
        <v>74</v>
      </c>
      <c r="B5" s="23">
        <f>COUNTIF(TaskRegister[Persona canonical],A5)</f>
        <v>39</v>
      </c>
      <c r="C5" s="23">
        <f>COUNTIFS(TaskRegister[Persona canonical],A5,TaskRegister[Priority],"P0")</f>
        <v>6</v>
      </c>
      <c r="D5" s="23">
        <f>COUNTIFS(TaskRegister[Persona canonical],A5,TaskRegister[Proposed priority],"P1")</f>
        <v>23</v>
      </c>
      <c r="E5" s="23">
        <f>COUNTIFS(TaskRegister[Persona canonical],A5,TaskRegister[Work status],"Gap")+COUNTIFS(TaskRegister[Persona canonical],A5,TaskRegister[Work status],"Built - partial")</f>
        <v>8</v>
      </c>
      <c r="F5" s="23">
        <f>COUNTIF(TaskRegister[Primary actor canonical],A5)</f>
        <v>32</v>
      </c>
    </row>
    <row r="6" spans="1:6" x14ac:dyDescent="0.35">
      <c r="A6" s="23" t="s">
        <v>2636</v>
      </c>
      <c r="B6" s="23">
        <f>COUNTIF(TaskRegister[Persona canonical],A6)</f>
        <v>15</v>
      </c>
      <c r="C6" s="23">
        <f>COUNTIFS(TaskRegister[Persona canonical],A6,TaskRegister[Priority],"P0")</f>
        <v>8</v>
      </c>
      <c r="D6" s="23">
        <f>COUNTIFS(TaskRegister[Persona canonical],A6,TaskRegister[Proposed priority],"P1")</f>
        <v>5</v>
      </c>
      <c r="E6" s="23">
        <f>COUNTIFS(TaskRegister[Persona canonical],A6,TaskRegister[Work status],"Gap")+COUNTIFS(TaskRegister[Persona canonical],A6,TaskRegister[Work status],"Built - partial")</f>
        <v>5</v>
      </c>
      <c r="F6" s="23">
        <f>COUNTIF(TaskRegister[Primary actor canonical],A6)</f>
        <v>15</v>
      </c>
    </row>
    <row r="7" spans="1:6" x14ac:dyDescent="0.35">
      <c r="A7" s="23" t="s">
        <v>75</v>
      </c>
      <c r="B7" s="23">
        <f>COUNTIF(TaskRegister[Persona canonical],A7)</f>
        <v>37</v>
      </c>
      <c r="C7" s="23">
        <f>COUNTIFS(TaskRegister[Persona canonical],A7,TaskRegister[Priority],"P0")</f>
        <v>5</v>
      </c>
      <c r="D7" s="23">
        <f>COUNTIFS(TaskRegister[Persona canonical],A7,TaskRegister[Proposed priority],"P1")</f>
        <v>25</v>
      </c>
      <c r="E7" s="23">
        <f>COUNTIFS(TaskRegister[Persona canonical],A7,TaskRegister[Work status],"Gap")+COUNTIFS(TaskRegister[Persona canonical],A7,TaskRegister[Work status],"Built - partial")</f>
        <v>13</v>
      </c>
      <c r="F7" s="23">
        <f>COUNTIF(TaskRegister[Primary actor canonical],A7)</f>
        <v>2</v>
      </c>
    </row>
    <row r="8" spans="1:6" x14ac:dyDescent="0.35">
      <c r="A8" s="23" t="s">
        <v>3084</v>
      </c>
      <c r="B8" s="23">
        <f>COUNTIF(TaskRegister[Persona canonical],A8)</f>
        <v>12</v>
      </c>
      <c r="C8" s="23">
        <f>COUNTIFS(TaskRegister[Persona canonical],A8,TaskRegister[Priority],"P0")</f>
        <v>2</v>
      </c>
      <c r="D8" s="23">
        <f>COUNTIFS(TaskRegister[Persona canonical],A8,TaskRegister[Proposed priority],"P1")</f>
        <v>7</v>
      </c>
      <c r="E8" s="23">
        <f>COUNTIFS(TaskRegister[Persona canonical],A8,TaskRegister[Work status],"Gap")+COUNTIFS(TaskRegister[Persona canonical],A8,TaskRegister[Work status],"Built - partial")</f>
        <v>8</v>
      </c>
      <c r="F8" s="23">
        <f>COUNTIF(TaskRegister[Primary actor canonical],A8)</f>
        <v>2</v>
      </c>
    </row>
    <row r="9" spans="1:6" x14ac:dyDescent="0.35">
      <c r="A9" s="23" t="s">
        <v>76</v>
      </c>
      <c r="B9" s="23">
        <f>COUNTIF(TaskRegister[Persona canonical],A9)</f>
        <v>146</v>
      </c>
      <c r="C9" s="23">
        <f>COUNTIFS(TaskRegister[Persona canonical],A9,TaskRegister[Priority],"P0")</f>
        <v>17</v>
      </c>
      <c r="D9" s="23">
        <f>COUNTIFS(TaskRegister[Persona canonical],A9,TaskRegister[Proposed priority],"P1")</f>
        <v>107</v>
      </c>
      <c r="E9" s="23">
        <f>COUNTIFS(TaskRegister[Persona canonical],A9,TaskRegister[Work status],"Gap")+COUNTIFS(TaskRegister[Persona canonical],A9,TaskRegister[Work status],"Built - partial")</f>
        <v>66</v>
      </c>
      <c r="F9" s="23">
        <f>COUNTIF(TaskRegister[Primary actor canonical],A9)</f>
        <v>157</v>
      </c>
    </row>
    <row r="10" spans="1:6" x14ac:dyDescent="0.35">
      <c r="A10" s="23" t="s">
        <v>2283</v>
      </c>
      <c r="B10" s="23">
        <f>COUNTIF(TaskRegister[Persona canonical],A10)</f>
        <v>29</v>
      </c>
      <c r="C10" s="23">
        <f>COUNTIFS(TaskRegister[Persona canonical],A10,TaskRegister[Priority],"P0")</f>
        <v>4</v>
      </c>
      <c r="D10" s="23">
        <f>COUNTIFS(TaskRegister[Persona canonical],A10,TaskRegister[Proposed priority],"P1")</f>
        <v>11</v>
      </c>
      <c r="E10" s="23">
        <f>COUNTIFS(TaskRegister[Persona canonical],A10,TaskRegister[Work status],"Gap")+COUNTIFS(TaskRegister[Persona canonical],A10,TaskRegister[Work status],"Built - partial")</f>
        <v>14</v>
      </c>
      <c r="F10" s="23">
        <f>COUNTIF(TaskRegister[Primary actor canonical],A10)</f>
        <v>42</v>
      </c>
    </row>
    <row r="11" spans="1:6" x14ac:dyDescent="0.35">
      <c r="A11" s="23" t="s">
        <v>2804</v>
      </c>
      <c r="B11" s="23">
        <f>COUNTIF(TaskRegister[Persona canonical],A11)</f>
        <v>56</v>
      </c>
      <c r="C11" s="23">
        <f>COUNTIFS(TaskRegister[Persona canonical],A11,TaskRegister[Priority],"P0")</f>
        <v>2</v>
      </c>
      <c r="D11" s="23">
        <f>COUNTIFS(TaskRegister[Persona canonical],A11,TaskRegister[Proposed priority],"P1")</f>
        <v>14</v>
      </c>
      <c r="E11" s="23">
        <f>COUNTIFS(TaskRegister[Persona canonical],A11,TaskRegister[Work status],"Gap")+COUNTIFS(TaskRegister[Persona canonical],A11,TaskRegister[Work status],"Built - partial")</f>
        <v>19</v>
      </c>
      <c r="F11" s="23">
        <f>COUNTIF(TaskRegister[Primary actor canonical],A11)</f>
        <v>59</v>
      </c>
    </row>
    <row r="12" spans="1:6" x14ac:dyDescent="0.35">
      <c r="A12" s="23" t="s">
        <v>1669</v>
      </c>
      <c r="B12" s="23">
        <f>COUNTIF(TaskRegister[Persona canonical],A12)</f>
        <v>13</v>
      </c>
      <c r="C12" s="23">
        <f>COUNTIFS(TaskRegister[Persona canonical],A12,TaskRegister[Priority],"P0")</f>
        <v>0</v>
      </c>
      <c r="D12" s="23">
        <f>COUNTIFS(TaskRegister[Persona canonical],A12,TaskRegister[Proposed priority],"P1")</f>
        <v>11</v>
      </c>
      <c r="E12" s="23">
        <f>COUNTIFS(TaskRegister[Persona canonical],A12,TaskRegister[Work status],"Gap")+COUNTIFS(TaskRegister[Persona canonical],A12,TaskRegister[Work status],"Built - partial")</f>
        <v>8</v>
      </c>
      <c r="F12" s="23">
        <f>COUNTIF(TaskRegister[Primary actor canonical],A12)</f>
        <v>13</v>
      </c>
    </row>
    <row r="13" spans="1:6" x14ac:dyDescent="0.35">
      <c r="A13" s="23" t="s">
        <v>2784</v>
      </c>
      <c r="B13" s="23">
        <f>COUNTIF(TaskRegister[Persona canonical],A13)</f>
        <v>43</v>
      </c>
      <c r="C13" s="23">
        <f>COUNTIFS(TaskRegister[Persona canonical],A13,TaskRegister[Priority],"P0")</f>
        <v>3</v>
      </c>
      <c r="D13" s="23">
        <f>COUNTIFS(TaskRegister[Persona canonical],A13,TaskRegister[Proposed priority],"P1")</f>
        <v>38</v>
      </c>
      <c r="E13" s="23">
        <f>COUNTIFS(TaskRegister[Persona canonical],A13,TaskRegister[Work status],"Gap")+COUNTIFS(TaskRegister[Persona canonical],A13,TaskRegister[Work status],"Built - partial")</f>
        <v>19</v>
      </c>
      <c r="F13" s="23">
        <f>COUNTIF(TaskRegister[Primary actor canonical],A13)</f>
        <v>59</v>
      </c>
    </row>
    <row r="14" spans="1:6" x14ac:dyDescent="0.35">
      <c r="A14" s="23" t="s">
        <v>2794</v>
      </c>
      <c r="B14" s="23">
        <f>COUNTIF(TaskRegister[Persona canonical],A14)</f>
        <v>22</v>
      </c>
      <c r="C14" s="23">
        <f>COUNTIFS(TaskRegister[Persona canonical],A14,TaskRegister[Priority],"P0")</f>
        <v>4</v>
      </c>
      <c r="D14" s="23">
        <f>COUNTIFS(TaskRegister[Persona canonical],A14,TaskRegister[Proposed priority],"P1")</f>
        <v>16</v>
      </c>
      <c r="E14" s="23">
        <f>COUNTIFS(TaskRegister[Persona canonical],A14,TaskRegister[Work status],"Gap")+COUNTIFS(TaskRegister[Persona canonical],A14,TaskRegister[Work status],"Built - partial")</f>
        <v>15</v>
      </c>
      <c r="F14" s="23">
        <f>COUNTIF(TaskRegister[Primary actor canonical],A14)</f>
        <v>29</v>
      </c>
    </row>
    <row r="15" spans="1:6" x14ac:dyDescent="0.35">
      <c r="A15" s="23" t="s">
        <v>5307</v>
      </c>
      <c r="B15" s="23">
        <f>COUNTIF(TaskRegister[Persona canonical],A15)</f>
        <v>17</v>
      </c>
      <c r="C15" s="23">
        <f>COUNTIFS(TaskRegister[Persona canonical],A15,TaskRegister[Priority],"P0")</f>
        <v>0</v>
      </c>
      <c r="D15" s="23">
        <f>COUNTIFS(TaskRegister[Persona canonical],A15,TaskRegister[Proposed priority],"P1")</f>
        <v>6</v>
      </c>
      <c r="E15" s="23">
        <f>COUNTIFS(TaskRegister[Persona canonical],A15,TaskRegister[Work status],"Gap")+COUNTIFS(TaskRegister[Persona canonical],A15,TaskRegister[Work status],"Built - partial")</f>
        <v>4</v>
      </c>
      <c r="F15" s="23">
        <f>COUNTIF(TaskRegister[Primary actor canonical],A15)</f>
        <v>16</v>
      </c>
    </row>
    <row r="16" spans="1:6" x14ac:dyDescent="0.35">
      <c r="A16" s="23" t="s">
        <v>5260</v>
      </c>
      <c r="B16" s="23">
        <f>COUNTIF(TaskRegister[Persona canonical],A16)</f>
        <v>7</v>
      </c>
      <c r="C16" s="23">
        <f>COUNTIFS(TaskRegister[Persona canonical],A16,TaskRegister[Priority],"P0")</f>
        <v>0</v>
      </c>
      <c r="D16" s="23">
        <f>COUNTIFS(TaskRegister[Persona canonical],A16,TaskRegister[Proposed priority],"P1")</f>
        <v>3</v>
      </c>
      <c r="E16" s="23">
        <f>COUNTIFS(TaskRegister[Persona canonical],A16,TaskRegister[Work status],"Gap")+COUNTIFS(TaskRegister[Persona canonical],A16,TaskRegister[Work status],"Built - partial")</f>
        <v>1</v>
      </c>
      <c r="F16" s="23">
        <f>COUNTIF(TaskRegister[Primary actor canonical],A16)</f>
        <v>7</v>
      </c>
    </row>
    <row r="17" spans="1:6" x14ac:dyDescent="0.35">
      <c r="A17" s="23" t="s">
        <v>3073</v>
      </c>
      <c r="B17" s="23">
        <f>COUNTIF(TaskRegister[Persona canonical],A17)</f>
        <v>9</v>
      </c>
      <c r="C17" s="23">
        <f>COUNTIFS(TaskRegister[Persona canonical],A17,TaskRegister[Priority],"P0")</f>
        <v>4</v>
      </c>
      <c r="D17" s="23">
        <f>COUNTIFS(TaskRegister[Persona canonical],A17,TaskRegister[Proposed priority],"P1")</f>
        <v>5</v>
      </c>
      <c r="E17" s="23">
        <f>COUNTIFS(TaskRegister[Persona canonical],A17,TaskRegister[Work status],"Gap")+COUNTIFS(TaskRegister[Persona canonical],A17,TaskRegister[Work status],"Built - partial")</f>
        <v>7</v>
      </c>
      <c r="F17" s="23">
        <f>COUNTIF(TaskRegister[Primary actor canonical],A17)</f>
        <v>11</v>
      </c>
    </row>
    <row r="18" spans="1:6" x14ac:dyDescent="0.35">
      <c r="A18" s="23" t="s">
        <v>3686</v>
      </c>
      <c r="B18" s="23">
        <f>COUNTIF(TaskRegister[Persona canonical],A18)</f>
        <v>15</v>
      </c>
      <c r="C18" s="23">
        <f>COUNTIFS(TaskRegister[Persona canonical],A18,TaskRegister[Priority],"P0")</f>
        <v>0</v>
      </c>
      <c r="D18" s="23">
        <f>COUNTIFS(TaskRegister[Persona canonical],A18,TaskRegister[Proposed priority],"P1")</f>
        <v>8</v>
      </c>
      <c r="E18" s="23">
        <f>COUNTIFS(TaskRegister[Persona canonical],A18,TaskRegister[Work status],"Gap")+COUNTIFS(TaskRegister[Persona canonical],A18,TaskRegister[Work status],"Built - partial")</f>
        <v>4</v>
      </c>
      <c r="F18" s="23">
        <f>COUNTIF(TaskRegister[Primary actor canonical],A18)</f>
        <v>16</v>
      </c>
    </row>
    <row r="19" spans="1:6" x14ac:dyDescent="0.35">
      <c r="A19" s="23" t="s">
        <v>2898</v>
      </c>
      <c r="B19" s="23">
        <f>COUNTIF(TaskRegister[Persona canonical],A19)</f>
        <v>78</v>
      </c>
      <c r="C19" s="23">
        <f>COUNTIFS(TaskRegister[Persona canonical],A19,TaskRegister[Priority],"P0")</f>
        <v>23</v>
      </c>
      <c r="D19" s="23">
        <f>COUNTIFS(TaskRegister[Persona canonical],A19,TaskRegister[Proposed priority],"P1")</f>
        <v>33</v>
      </c>
      <c r="E19" s="23">
        <f>COUNTIFS(TaskRegister[Persona canonical],A19,TaskRegister[Work status],"Gap")+COUNTIFS(TaskRegister[Persona canonical],A19,TaskRegister[Work status],"Built - partial")</f>
        <v>39</v>
      </c>
      <c r="F19" s="23">
        <f>COUNTIF(TaskRegister[Primary actor canonical],A19)</f>
        <v>56</v>
      </c>
    </row>
    <row r="20" spans="1:6" x14ac:dyDescent="0.35">
      <c r="A20" s="23" t="s">
        <v>3968</v>
      </c>
      <c r="B20" s="23">
        <f>COUNTIF(TaskRegister[Persona canonical],A20)</f>
        <v>180</v>
      </c>
      <c r="C20" s="23">
        <f>COUNTIFS(TaskRegister[Persona canonical],A20,TaskRegister[Priority],"P0")</f>
        <v>32</v>
      </c>
      <c r="D20" s="23">
        <f>COUNTIFS(TaskRegister[Persona canonical],A20,TaskRegister[Proposed priority],"P1")</f>
        <v>96</v>
      </c>
      <c r="E20" s="23">
        <f>COUNTIFS(TaskRegister[Persona canonical],A20,TaskRegister[Work status],"Gap")+COUNTIFS(TaskRegister[Persona canonical],A20,TaskRegister[Work status],"Built - partial")</f>
        <v>86</v>
      </c>
      <c r="F20" s="23">
        <f>COUNTIF(TaskRegister[Primary actor canonical],A20)</f>
        <v>185</v>
      </c>
    </row>
    <row r="21" spans="1:6" x14ac:dyDescent="0.35">
      <c r="A21" s="23" t="s">
        <v>2771</v>
      </c>
      <c r="B21" s="23">
        <f>COUNTIF(TaskRegister[Persona canonical],A21)</f>
        <v>0</v>
      </c>
      <c r="C21" s="23">
        <f>COUNTIFS(TaskRegister[Persona canonical],A21,TaskRegister[Priority],"P0")</f>
        <v>0</v>
      </c>
      <c r="D21" s="23">
        <f>COUNTIFS(TaskRegister[Persona canonical],A21,TaskRegister[Proposed priority],"P1")</f>
        <v>0</v>
      </c>
      <c r="E21" s="23">
        <f>COUNTIFS(TaskRegister[Persona canonical],A21,TaskRegister[Work status],"Gap")+COUNTIFS(TaskRegister[Persona canonical],A21,TaskRegister[Work status],"Built - partial")</f>
        <v>0</v>
      </c>
      <c r="F21" s="23">
        <f>COUNTIF(TaskRegister[Primary actor canonical],A21)</f>
        <v>4</v>
      </c>
    </row>
    <row r="22" spans="1:6" x14ac:dyDescent="0.35">
      <c r="A22" s="23" t="s">
        <v>1242</v>
      </c>
      <c r="B22" s="23">
        <f>SUM(B4:B21)</f>
        <v>770</v>
      </c>
      <c r="C22" s="23">
        <f>SUM(C4:C21)</f>
        <v>116</v>
      </c>
      <c r="D22" s="23">
        <f>SUM(D4:D21)</f>
        <v>437</v>
      </c>
      <c r="E22" s="23">
        <f>SUM(E4:E21)</f>
        <v>348</v>
      </c>
      <c r="F22" s="23">
        <f>SUM(F4:F21)</f>
        <v>770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C77"/>
  <sheetViews>
    <sheetView showGridLines="0" workbookViewId="0">
      <pane ySplit="3" topLeftCell="A4" activePane="bottomLeft" state="frozen"/>
      <selection pane="bottomLeft"/>
    </sheetView>
  </sheetViews>
  <sheetFormatPr defaultRowHeight="14.5" x14ac:dyDescent="0.35"/>
  <cols>
    <col min="1" max="1" width="42" customWidth="1"/>
    <col min="2" max="2" width="28" customWidth="1"/>
    <col min="3" max="3" width="12" customWidth="1"/>
  </cols>
  <sheetData>
    <row r="1" spans="1:3" ht="21" customHeight="1" x14ac:dyDescent="0.5">
      <c r="A1" s="1" t="s">
        <v>8777</v>
      </c>
    </row>
    <row r="2" spans="1:3" x14ac:dyDescent="0.35">
      <c r="A2" s="10" t="s">
        <v>8778</v>
      </c>
    </row>
    <row r="3" spans="1:3" x14ac:dyDescent="0.35">
      <c r="A3" s="3" t="s">
        <v>2221</v>
      </c>
      <c r="B3" s="3" t="s">
        <v>2166</v>
      </c>
      <c r="C3" s="3" t="s">
        <v>26</v>
      </c>
    </row>
    <row r="4" spans="1:3" ht="20" customHeight="1" x14ac:dyDescent="0.35">
      <c r="A4" s="5" t="s">
        <v>1652</v>
      </c>
      <c r="B4" s="5" t="s">
        <v>2170</v>
      </c>
      <c r="C4" s="13">
        <f>COUNTIF(TaskRegister[Persona / Scope],A4)</f>
        <v>369</v>
      </c>
    </row>
    <row r="5" spans="1:3" ht="20" customHeight="1" x14ac:dyDescent="0.35">
      <c r="A5" s="5" t="s">
        <v>1693</v>
      </c>
      <c r="B5" s="5" t="s">
        <v>2167</v>
      </c>
      <c r="C5" s="13">
        <f>COUNTIF(TaskRegister[Persona / Scope],A5)</f>
        <v>25</v>
      </c>
    </row>
    <row r="6" spans="1:3" ht="20" customHeight="1" x14ac:dyDescent="0.35">
      <c r="A6" s="5" t="s">
        <v>1662</v>
      </c>
      <c r="B6" s="5" t="s">
        <v>2167</v>
      </c>
      <c r="C6" s="13">
        <f>COUNTIF(TaskRegister[Persona / Scope],A6)</f>
        <v>20</v>
      </c>
    </row>
    <row r="7" spans="1:3" ht="20" customHeight="1" x14ac:dyDescent="0.35">
      <c r="A7" s="5" t="s">
        <v>7279</v>
      </c>
      <c r="B7" s="5" t="s">
        <v>2171</v>
      </c>
      <c r="C7" s="13">
        <f>COUNTIF(TaskRegister[Persona / Scope],A7)</f>
        <v>20</v>
      </c>
    </row>
    <row r="8" spans="1:3" ht="20" customHeight="1" x14ac:dyDescent="0.35">
      <c r="A8" s="5" t="s">
        <v>7961</v>
      </c>
      <c r="B8" s="5" t="s">
        <v>2171</v>
      </c>
      <c r="C8" s="13">
        <f>COUNTIF(TaskRegister[Persona / Scope],A8)</f>
        <v>20</v>
      </c>
    </row>
    <row r="9" spans="1:3" ht="20" customHeight="1" x14ac:dyDescent="0.35">
      <c r="A9" s="5" t="s">
        <v>2813</v>
      </c>
      <c r="B9" s="5" t="s">
        <v>2167</v>
      </c>
      <c r="C9" s="13">
        <f>COUNTIF(TaskRegister[Persona / Scope],A9)</f>
        <v>18</v>
      </c>
    </row>
    <row r="10" spans="1:3" ht="20" customHeight="1" x14ac:dyDescent="0.35">
      <c r="A10" s="5" t="s">
        <v>1661</v>
      </c>
      <c r="B10" s="5" t="s">
        <v>2167</v>
      </c>
      <c r="C10" s="13">
        <f>COUNTIF(TaskRegister[Persona / Scope],A10)</f>
        <v>17</v>
      </c>
    </row>
    <row r="11" spans="1:3" ht="20" customHeight="1" x14ac:dyDescent="0.35">
      <c r="A11" s="5" t="s">
        <v>1679</v>
      </c>
      <c r="B11" s="5" t="s">
        <v>2167</v>
      </c>
      <c r="C11" s="13">
        <f>COUNTIF(TaskRegister[Persona / Scope],A11)</f>
        <v>17</v>
      </c>
    </row>
    <row r="12" spans="1:3" ht="20" customHeight="1" x14ac:dyDescent="0.35">
      <c r="A12" s="5" t="s">
        <v>75</v>
      </c>
      <c r="B12" s="5" t="s">
        <v>2167</v>
      </c>
      <c r="C12" s="13">
        <f>COUNTIF(TaskRegister[Persona / Scope],A12)</f>
        <v>16</v>
      </c>
    </row>
    <row r="13" spans="1:3" ht="20" customHeight="1" x14ac:dyDescent="0.35">
      <c r="A13" s="5" t="s">
        <v>3173</v>
      </c>
      <c r="B13" s="5" t="s">
        <v>2171</v>
      </c>
      <c r="C13" s="13">
        <f>COUNTIF(TaskRegister[Persona / Scope],A13)</f>
        <v>15</v>
      </c>
    </row>
    <row r="14" spans="1:3" ht="20" customHeight="1" x14ac:dyDescent="0.35">
      <c r="A14" s="5" t="s">
        <v>7576</v>
      </c>
      <c r="B14" s="5" t="s">
        <v>2171</v>
      </c>
      <c r="C14" s="13">
        <f>COUNTIF(TaskRegister[Persona / Scope],A14)</f>
        <v>15</v>
      </c>
    </row>
    <row r="15" spans="1:3" ht="20" customHeight="1" x14ac:dyDescent="0.35">
      <c r="A15" s="5" t="s">
        <v>7827</v>
      </c>
      <c r="B15" s="5" t="s">
        <v>2171</v>
      </c>
      <c r="C15" s="13">
        <f>COUNTIF(TaskRegister[Persona / Scope],A15)</f>
        <v>15</v>
      </c>
    </row>
    <row r="16" spans="1:3" ht="20" customHeight="1" x14ac:dyDescent="0.35">
      <c r="A16" s="5" t="s">
        <v>1674</v>
      </c>
      <c r="B16" s="5" t="s">
        <v>2167</v>
      </c>
      <c r="C16" s="13">
        <f>COUNTIF(TaskRegister[Persona / Scope],A16)</f>
        <v>14</v>
      </c>
    </row>
    <row r="17" spans="1:3" ht="20" customHeight="1" x14ac:dyDescent="0.35">
      <c r="A17" s="5" t="s">
        <v>1685</v>
      </c>
      <c r="B17" s="5" t="s">
        <v>2167</v>
      </c>
      <c r="C17" s="13">
        <f>COUNTIF(TaskRegister[Persona / Scope],A17)</f>
        <v>13</v>
      </c>
    </row>
    <row r="18" spans="1:3" ht="20" customHeight="1" x14ac:dyDescent="0.35">
      <c r="A18" s="5" t="s">
        <v>3783</v>
      </c>
      <c r="B18" s="5" t="s">
        <v>2167</v>
      </c>
      <c r="C18" s="13">
        <f>COUNTIF(TaskRegister[Persona / Scope],A18)</f>
        <v>13</v>
      </c>
    </row>
    <row r="19" spans="1:3" ht="20" customHeight="1" x14ac:dyDescent="0.35">
      <c r="A19" s="5" t="s">
        <v>1684</v>
      </c>
      <c r="B19" s="5" t="s">
        <v>2167</v>
      </c>
      <c r="C19" s="13">
        <f>COUNTIF(TaskRegister[Persona / Scope],A19)</f>
        <v>11</v>
      </c>
    </row>
    <row r="20" spans="1:3" ht="20" customHeight="1" x14ac:dyDescent="0.35">
      <c r="A20" s="5" t="s">
        <v>3084</v>
      </c>
      <c r="B20" s="5" t="s">
        <v>2167</v>
      </c>
      <c r="C20" s="13">
        <f>COUNTIF(TaskRegister[Persona / Scope],A20)</f>
        <v>11</v>
      </c>
    </row>
    <row r="21" spans="1:3" ht="20" customHeight="1" x14ac:dyDescent="0.35">
      <c r="A21" s="5" t="s">
        <v>2999</v>
      </c>
      <c r="B21" s="5" t="s">
        <v>2167</v>
      </c>
      <c r="C21" s="13">
        <f>COUNTIF(TaskRegister[Persona / Scope],A21)</f>
        <v>10</v>
      </c>
    </row>
    <row r="22" spans="1:3" ht="20" customHeight="1" x14ac:dyDescent="0.35">
      <c r="A22" s="5" t="s">
        <v>1669</v>
      </c>
      <c r="B22" s="5" t="s">
        <v>2167</v>
      </c>
      <c r="C22" s="13">
        <f>COUNTIF(TaskRegister[Persona / Scope],A22)</f>
        <v>10</v>
      </c>
    </row>
    <row r="23" spans="1:3" ht="20" customHeight="1" x14ac:dyDescent="0.35">
      <c r="A23" s="5" t="s">
        <v>7752</v>
      </c>
      <c r="B23" s="5" t="s">
        <v>2171</v>
      </c>
      <c r="C23" s="13">
        <f>COUNTIF(TaskRegister[Persona / Scope],A23)</f>
        <v>9</v>
      </c>
    </row>
    <row r="24" spans="1:3" ht="20" customHeight="1" x14ac:dyDescent="0.35">
      <c r="A24" s="5" t="s">
        <v>2396</v>
      </c>
      <c r="B24" s="5" t="s">
        <v>2167</v>
      </c>
      <c r="C24" s="13">
        <f>COUNTIF(TaskRegister[Persona / Scope],A24)</f>
        <v>8</v>
      </c>
    </row>
    <row r="25" spans="1:3" ht="20" customHeight="1" x14ac:dyDescent="0.35">
      <c r="A25" s="5" t="s">
        <v>6469</v>
      </c>
      <c r="B25" s="5" t="s">
        <v>2167</v>
      </c>
      <c r="C25" s="13">
        <f>COUNTIF(TaskRegister[Persona / Scope],A25)</f>
        <v>8</v>
      </c>
    </row>
    <row r="26" spans="1:3" ht="20" customHeight="1" x14ac:dyDescent="0.35">
      <c r="A26" s="5" t="s">
        <v>7127</v>
      </c>
      <c r="B26" s="5" t="s">
        <v>2171</v>
      </c>
      <c r="C26" s="13">
        <f>COUNTIF(TaskRegister[Persona / Scope],A26)</f>
        <v>8</v>
      </c>
    </row>
    <row r="27" spans="1:3" ht="20" customHeight="1" x14ac:dyDescent="0.35">
      <c r="A27" s="5" t="s">
        <v>6352</v>
      </c>
      <c r="B27" s="5" t="s">
        <v>2167</v>
      </c>
      <c r="C27" s="13">
        <f>COUNTIF(TaskRegister[Persona / Scope],A27)</f>
        <v>7</v>
      </c>
    </row>
    <row r="28" spans="1:3" ht="20" customHeight="1" x14ac:dyDescent="0.35">
      <c r="A28" s="5" t="s">
        <v>6414</v>
      </c>
      <c r="B28" s="5" t="s">
        <v>2167</v>
      </c>
      <c r="C28" s="13">
        <f>COUNTIF(TaskRegister[Persona / Scope],A28)</f>
        <v>7</v>
      </c>
    </row>
    <row r="29" spans="1:3" ht="20" customHeight="1" x14ac:dyDescent="0.35">
      <c r="A29" s="5" t="s">
        <v>2507</v>
      </c>
      <c r="B29" s="5" t="s">
        <v>2167</v>
      </c>
      <c r="C29" s="13">
        <f>COUNTIF(TaskRegister[Persona / Scope],A29)</f>
        <v>6</v>
      </c>
    </row>
    <row r="30" spans="1:3" ht="20" customHeight="1" x14ac:dyDescent="0.35">
      <c r="A30" s="5" t="s">
        <v>7702</v>
      </c>
      <c r="B30" s="5" t="s">
        <v>2171</v>
      </c>
      <c r="C30" s="13">
        <f>COUNTIF(TaskRegister[Persona / Scope],A30)</f>
        <v>6</v>
      </c>
    </row>
    <row r="31" spans="1:3" ht="20" customHeight="1" x14ac:dyDescent="0.35">
      <c r="A31" s="5" t="s">
        <v>8503</v>
      </c>
      <c r="B31" s="5" t="s">
        <v>2168</v>
      </c>
      <c r="C31" s="13">
        <f>COUNTIF(TaskRegister[Persona / Scope],A31)</f>
        <v>5</v>
      </c>
    </row>
    <row r="32" spans="1:3" ht="20" customHeight="1" x14ac:dyDescent="0.35">
      <c r="A32" s="5" t="s">
        <v>8244</v>
      </c>
      <c r="B32" s="5" t="s">
        <v>2169</v>
      </c>
      <c r="C32" s="13">
        <f>COUNTIF(TaskRegister[Persona / Scope],A32)</f>
        <v>4</v>
      </c>
    </row>
    <row r="33" spans="1:3" ht="20" customHeight="1" x14ac:dyDescent="0.35">
      <c r="A33" s="5" t="s">
        <v>3043</v>
      </c>
      <c r="B33" s="5" t="s">
        <v>2168</v>
      </c>
      <c r="C33" s="13">
        <f>COUNTIF(TaskRegister[Persona / Scope],A33)</f>
        <v>3</v>
      </c>
    </row>
    <row r="34" spans="1:3" ht="20" customHeight="1" x14ac:dyDescent="0.35">
      <c r="A34" s="5" t="s">
        <v>7110</v>
      </c>
      <c r="B34" s="5" t="s">
        <v>2168</v>
      </c>
      <c r="C34" s="13">
        <f>COUNTIF(TaskRegister[Persona / Scope],A34)</f>
        <v>2</v>
      </c>
    </row>
    <row r="35" spans="1:3" ht="20" customHeight="1" x14ac:dyDescent="0.35">
      <c r="A35" s="5" t="s">
        <v>2973</v>
      </c>
      <c r="B35" s="5" t="s">
        <v>2168</v>
      </c>
      <c r="C35" s="13">
        <f>COUNTIF(TaskRegister[Persona / Scope],A35)</f>
        <v>2</v>
      </c>
    </row>
    <row r="36" spans="1:3" ht="20" customHeight="1" x14ac:dyDescent="0.35">
      <c r="A36" s="5" t="s">
        <v>2496</v>
      </c>
      <c r="B36" s="5" t="s">
        <v>2168</v>
      </c>
      <c r="C36" s="13">
        <f>COUNTIF(TaskRegister[Persona / Scope],A36)</f>
        <v>2</v>
      </c>
    </row>
    <row r="37" spans="1:3" ht="20" customHeight="1" x14ac:dyDescent="0.35">
      <c r="A37" s="5" t="s">
        <v>8275</v>
      </c>
      <c r="B37" s="5" t="s">
        <v>2169</v>
      </c>
      <c r="C37" s="13">
        <f>COUNTIF(TaskRegister[Persona / Scope],A37)</f>
        <v>2</v>
      </c>
    </row>
    <row r="38" spans="1:3" ht="20" customHeight="1" x14ac:dyDescent="0.35">
      <c r="A38" s="5" t="s">
        <v>5201</v>
      </c>
      <c r="B38" s="5" t="s">
        <v>2169</v>
      </c>
      <c r="C38" s="13">
        <f>COUNTIF(TaskRegister[Persona / Scope],A38)</f>
        <v>2</v>
      </c>
    </row>
    <row r="39" spans="1:3" ht="20" customHeight="1" x14ac:dyDescent="0.35">
      <c r="A39" s="5" t="s">
        <v>8315</v>
      </c>
      <c r="B39" s="5" t="s">
        <v>2169</v>
      </c>
      <c r="C39" s="13">
        <f>COUNTIF(TaskRegister[Persona / Scope],A39)</f>
        <v>2</v>
      </c>
    </row>
    <row r="40" spans="1:3" ht="20" customHeight="1" x14ac:dyDescent="0.35">
      <c r="A40" s="5" t="s">
        <v>8370</v>
      </c>
      <c r="B40" s="5" t="s">
        <v>2169</v>
      </c>
      <c r="C40" s="13">
        <f>COUNTIF(TaskRegister[Persona / Scope],A40)</f>
        <v>2</v>
      </c>
    </row>
    <row r="41" spans="1:3" ht="20" customHeight="1" x14ac:dyDescent="0.35">
      <c r="A41" s="5" t="s">
        <v>3973</v>
      </c>
      <c r="B41" s="5" t="s">
        <v>2172</v>
      </c>
      <c r="C41" s="13">
        <f>COUNTIF(TaskRegister[Persona / Scope],A41)</f>
        <v>1</v>
      </c>
    </row>
    <row r="42" spans="1:3" ht="20" customHeight="1" x14ac:dyDescent="0.35">
      <c r="A42" s="5" t="s">
        <v>6926</v>
      </c>
      <c r="B42" s="5" t="s">
        <v>2172</v>
      </c>
      <c r="C42" s="13">
        <f>COUNTIF(TaskRegister[Persona / Scope],A42)</f>
        <v>1</v>
      </c>
    </row>
    <row r="43" spans="1:3" ht="20" customHeight="1" x14ac:dyDescent="0.35">
      <c r="A43" s="5" t="s">
        <v>6937</v>
      </c>
      <c r="B43" s="5" t="s">
        <v>2172</v>
      </c>
      <c r="C43" s="13">
        <f>COUNTIF(TaskRegister[Persona / Scope],A43)</f>
        <v>1</v>
      </c>
    </row>
    <row r="44" spans="1:3" ht="20" customHeight="1" x14ac:dyDescent="0.35">
      <c r="A44" s="5" t="s">
        <v>6946</v>
      </c>
      <c r="B44" s="5" t="s">
        <v>2172</v>
      </c>
      <c r="C44" s="13">
        <f>COUNTIF(TaskRegister[Persona / Scope],A44)</f>
        <v>1</v>
      </c>
    </row>
    <row r="45" spans="1:3" ht="20" customHeight="1" x14ac:dyDescent="0.35">
      <c r="A45" s="5" t="s">
        <v>6955</v>
      </c>
      <c r="B45" s="5" t="s">
        <v>2172</v>
      </c>
      <c r="C45" s="13">
        <f>COUNTIF(TaskRegister[Persona / Scope],A45)</f>
        <v>1</v>
      </c>
    </row>
    <row r="46" spans="1:3" ht="20" customHeight="1" x14ac:dyDescent="0.35">
      <c r="A46" s="5" t="s">
        <v>6966</v>
      </c>
      <c r="B46" s="5" t="s">
        <v>2172</v>
      </c>
      <c r="C46" s="13">
        <f>COUNTIF(TaskRegister[Persona / Scope],A46)</f>
        <v>1</v>
      </c>
    </row>
    <row r="47" spans="1:3" ht="20" customHeight="1" x14ac:dyDescent="0.35">
      <c r="A47" s="5" t="s">
        <v>4021</v>
      </c>
      <c r="B47" s="5" t="s">
        <v>2172</v>
      </c>
      <c r="C47" s="13">
        <f>COUNTIF(TaskRegister[Persona / Scope],A47)</f>
        <v>1</v>
      </c>
    </row>
    <row r="48" spans="1:3" ht="20" customHeight="1" x14ac:dyDescent="0.35">
      <c r="A48" s="5" t="s">
        <v>6982</v>
      </c>
      <c r="B48" s="5" t="s">
        <v>2172</v>
      </c>
      <c r="C48" s="13">
        <f>COUNTIF(TaskRegister[Persona / Scope],A48)</f>
        <v>1</v>
      </c>
    </row>
    <row r="49" spans="1:3" ht="20" customHeight="1" x14ac:dyDescent="0.35">
      <c r="A49" s="5" t="s">
        <v>6992</v>
      </c>
      <c r="B49" s="5" t="s">
        <v>2172</v>
      </c>
      <c r="C49" s="13">
        <f>COUNTIF(TaskRegister[Persona / Scope],A49)</f>
        <v>1</v>
      </c>
    </row>
    <row r="50" spans="1:3" ht="20" customHeight="1" x14ac:dyDescent="0.35">
      <c r="A50" s="5" t="s">
        <v>7004</v>
      </c>
      <c r="B50" s="5" t="s">
        <v>2172</v>
      </c>
      <c r="C50" s="13">
        <f>COUNTIF(TaskRegister[Persona / Scope],A50)</f>
        <v>1</v>
      </c>
    </row>
    <row r="51" spans="1:3" ht="20" customHeight="1" x14ac:dyDescent="0.35">
      <c r="A51" s="5" t="s">
        <v>7014</v>
      </c>
      <c r="B51" s="5" t="s">
        <v>2172</v>
      </c>
      <c r="C51" s="13">
        <f>COUNTIF(TaskRegister[Persona / Scope],A51)</f>
        <v>1</v>
      </c>
    </row>
    <row r="52" spans="1:3" ht="20" customHeight="1" x14ac:dyDescent="0.35">
      <c r="A52" s="5" t="s">
        <v>7023</v>
      </c>
      <c r="B52" s="5" t="s">
        <v>2172</v>
      </c>
      <c r="C52" s="13">
        <f>COUNTIF(TaskRegister[Persona / Scope],A52)</f>
        <v>1</v>
      </c>
    </row>
    <row r="53" spans="1:3" ht="20" customHeight="1" x14ac:dyDescent="0.35">
      <c r="A53" s="5" t="s">
        <v>6917</v>
      </c>
      <c r="B53" s="5" t="s">
        <v>2172</v>
      </c>
      <c r="C53" s="13">
        <f>COUNTIF(TaskRegister[Persona / Scope],A53)</f>
        <v>1</v>
      </c>
    </row>
    <row r="54" spans="1:3" ht="20" customHeight="1" x14ac:dyDescent="0.35">
      <c r="A54" s="5" t="s">
        <v>7043</v>
      </c>
      <c r="B54" s="5" t="s">
        <v>2172</v>
      </c>
      <c r="C54" s="13">
        <f>COUNTIF(TaskRegister[Persona / Scope],A54)</f>
        <v>1</v>
      </c>
    </row>
    <row r="55" spans="1:3" ht="20" customHeight="1" x14ac:dyDescent="0.35">
      <c r="A55" s="5" t="s">
        <v>7054</v>
      </c>
      <c r="B55" s="5" t="s">
        <v>2172</v>
      </c>
      <c r="C55" s="13">
        <f>COUNTIF(TaskRegister[Persona / Scope],A55)</f>
        <v>1</v>
      </c>
    </row>
    <row r="56" spans="1:3" ht="20" customHeight="1" x14ac:dyDescent="0.35">
      <c r="A56" s="5" t="s">
        <v>7062</v>
      </c>
      <c r="B56" s="5" t="s">
        <v>2172</v>
      </c>
      <c r="C56" s="13">
        <f>COUNTIF(TaskRegister[Persona / Scope],A56)</f>
        <v>1</v>
      </c>
    </row>
    <row r="57" spans="1:3" ht="20" customHeight="1" x14ac:dyDescent="0.35">
      <c r="A57" s="5" t="s">
        <v>7072</v>
      </c>
      <c r="B57" s="5" t="s">
        <v>2172</v>
      </c>
      <c r="C57" s="13">
        <f>COUNTIF(TaskRegister[Persona / Scope],A57)</f>
        <v>1</v>
      </c>
    </row>
    <row r="58" spans="1:3" ht="20" customHeight="1" x14ac:dyDescent="0.35">
      <c r="A58" s="5" t="s">
        <v>7082</v>
      </c>
      <c r="B58" s="5" t="s">
        <v>2172</v>
      </c>
      <c r="C58" s="13">
        <f>COUNTIF(TaskRegister[Persona / Scope],A58)</f>
        <v>1</v>
      </c>
    </row>
    <row r="59" spans="1:3" ht="20" customHeight="1" x14ac:dyDescent="0.35">
      <c r="A59" s="5" t="s">
        <v>7091</v>
      </c>
      <c r="B59" s="5" t="s">
        <v>2172</v>
      </c>
      <c r="C59" s="13">
        <f>COUNTIF(TaskRegister[Persona / Scope],A59)</f>
        <v>1</v>
      </c>
    </row>
    <row r="60" spans="1:3" ht="20" customHeight="1" x14ac:dyDescent="0.35">
      <c r="A60" s="5" t="s">
        <v>7101</v>
      </c>
      <c r="B60" s="5" t="s">
        <v>2172</v>
      </c>
      <c r="C60" s="13">
        <f>COUNTIF(TaskRegister[Persona / Scope],A60)</f>
        <v>1</v>
      </c>
    </row>
    <row r="61" spans="1:3" ht="20" customHeight="1" x14ac:dyDescent="0.35">
      <c r="A61" s="5" t="s">
        <v>4012</v>
      </c>
      <c r="B61" s="5" t="s">
        <v>2168</v>
      </c>
      <c r="C61" s="13">
        <f>COUNTIF(TaskRegister[Persona / Scope],A61)</f>
        <v>1</v>
      </c>
    </row>
    <row r="62" spans="1:3" ht="20" customHeight="1" x14ac:dyDescent="0.35">
      <c r="A62" s="5" t="s">
        <v>4319</v>
      </c>
      <c r="B62" s="5" t="s">
        <v>2168</v>
      </c>
      <c r="C62" s="13">
        <f>COUNTIF(TaskRegister[Persona / Scope],A62)</f>
        <v>1</v>
      </c>
    </row>
    <row r="63" spans="1:3" ht="20" customHeight="1" x14ac:dyDescent="0.35">
      <c r="A63" s="5" t="s">
        <v>3417</v>
      </c>
      <c r="B63" s="5" t="s">
        <v>2168</v>
      </c>
      <c r="C63" s="13">
        <f>COUNTIF(TaskRegister[Persona / Scope],A63)</f>
        <v>1</v>
      </c>
    </row>
    <row r="64" spans="1:3" ht="20" customHeight="1" x14ac:dyDescent="0.35">
      <c r="A64" s="5" t="s">
        <v>8290</v>
      </c>
      <c r="B64" s="5" t="s">
        <v>2169</v>
      </c>
      <c r="C64" s="13">
        <f>COUNTIF(TaskRegister[Persona / Scope],A64)</f>
        <v>1</v>
      </c>
    </row>
    <row r="65" spans="1:3" ht="20" customHeight="1" x14ac:dyDescent="0.35">
      <c r="A65" s="5" t="s">
        <v>8322</v>
      </c>
      <c r="B65" s="5" t="s">
        <v>2169</v>
      </c>
      <c r="C65" s="13">
        <f>COUNTIF(TaskRegister[Persona / Scope],A65)</f>
        <v>1</v>
      </c>
    </row>
    <row r="66" spans="1:3" ht="20" customHeight="1" x14ac:dyDescent="0.35">
      <c r="A66" s="5" t="s">
        <v>8337</v>
      </c>
      <c r="B66" s="5" t="s">
        <v>2169</v>
      </c>
      <c r="C66" s="13">
        <f>COUNTIF(TaskRegister[Persona / Scope],A66)</f>
        <v>1</v>
      </c>
    </row>
    <row r="67" spans="1:3" ht="20" customHeight="1" x14ac:dyDescent="0.35">
      <c r="A67" s="5" t="s">
        <v>8346</v>
      </c>
      <c r="B67" s="5" t="s">
        <v>2169</v>
      </c>
      <c r="C67" s="13">
        <f>COUNTIF(TaskRegister[Persona / Scope],A67)</f>
        <v>1</v>
      </c>
    </row>
    <row r="68" spans="1:3" ht="20" customHeight="1" x14ac:dyDescent="0.35">
      <c r="A68" s="5" t="s">
        <v>8356</v>
      </c>
      <c r="B68" s="5" t="s">
        <v>2169</v>
      </c>
      <c r="C68" s="13">
        <f>COUNTIF(TaskRegister[Persona / Scope],A68)</f>
        <v>1</v>
      </c>
    </row>
    <row r="69" spans="1:3" ht="20" customHeight="1" x14ac:dyDescent="0.35">
      <c r="A69" s="5" t="s">
        <v>8363</v>
      </c>
      <c r="B69" s="5" t="s">
        <v>2169</v>
      </c>
      <c r="C69" s="13">
        <f>COUNTIF(TaskRegister[Persona / Scope],A69)</f>
        <v>1</v>
      </c>
    </row>
    <row r="70" spans="1:3" ht="20" customHeight="1" x14ac:dyDescent="0.35">
      <c r="A70" s="5" t="s">
        <v>8381</v>
      </c>
      <c r="B70" s="5" t="s">
        <v>2169</v>
      </c>
      <c r="C70" s="13">
        <f>COUNTIF(TaskRegister[Persona / Scope],A70)</f>
        <v>1</v>
      </c>
    </row>
    <row r="71" spans="1:3" ht="20" customHeight="1" x14ac:dyDescent="0.35">
      <c r="A71" s="5" t="s">
        <v>8393</v>
      </c>
      <c r="B71" s="5" t="s">
        <v>2169</v>
      </c>
      <c r="C71" s="13">
        <f>COUNTIF(TaskRegister[Persona / Scope],A71)</f>
        <v>1</v>
      </c>
    </row>
    <row r="72" spans="1:3" ht="20" customHeight="1" x14ac:dyDescent="0.35">
      <c r="A72" s="5" t="s">
        <v>8400</v>
      </c>
      <c r="B72" s="5" t="s">
        <v>2169</v>
      </c>
      <c r="C72" s="13">
        <f>COUNTIF(TaskRegister[Persona / Scope],A72)</f>
        <v>1</v>
      </c>
    </row>
    <row r="73" spans="1:3" ht="20" customHeight="1" x14ac:dyDescent="0.35">
      <c r="A73" s="5" t="s">
        <v>8410</v>
      </c>
      <c r="B73" s="5" t="s">
        <v>2169</v>
      </c>
      <c r="C73" s="13">
        <f>COUNTIF(TaskRegister[Persona / Scope],A73)</f>
        <v>1</v>
      </c>
    </row>
    <row r="74" spans="1:3" ht="20" customHeight="1" x14ac:dyDescent="0.35">
      <c r="A74" s="5" t="s">
        <v>8420</v>
      </c>
      <c r="B74" s="5" t="s">
        <v>2169</v>
      </c>
      <c r="C74" s="13">
        <f>COUNTIF(TaskRegister[Persona / Scope],A74)</f>
        <v>1</v>
      </c>
    </row>
    <row r="75" spans="1:3" ht="20" customHeight="1" x14ac:dyDescent="0.35">
      <c r="A75" s="5" t="s">
        <v>8426</v>
      </c>
      <c r="B75" s="5" t="s">
        <v>2169</v>
      </c>
      <c r="C75" s="13">
        <f>COUNTIF(TaskRegister[Persona / Scope],A75)</f>
        <v>1</v>
      </c>
    </row>
    <row r="76" spans="1:3" ht="20" customHeight="1" x14ac:dyDescent="0.35">
      <c r="A76" s="5" t="s">
        <v>8436</v>
      </c>
      <c r="B76" s="5" t="s">
        <v>2169</v>
      </c>
      <c r="C76" s="13">
        <f>COUNTIF(TaskRegister[Persona / Scope],A76)</f>
        <v>1</v>
      </c>
    </row>
    <row r="77" spans="1:3" x14ac:dyDescent="0.35">
      <c r="A77" s="7" t="s">
        <v>8779</v>
      </c>
      <c r="C77" s="7">
        <f>COUNTA(A4:A76)</f>
        <v>73</v>
      </c>
    </row>
  </sheetData>
  <autoFilter ref="A3:C76" xr:uid="{00000000-0009-0000-0000-000024000000}"/>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F15"/>
  <sheetViews>
    <sheetView showGridLines="0" workbookViewId="0">
      <pane ySplit="3" topLeftCell="A4" activePane="bottomLeft" state="frozen"/>
      <selection pane="bottomLeft"/>
    </sheetView>
  </sheetViews>
  <sheetFormatPr defaultRowHeight="14.5" x14ac:dyDescent="0.35"/>
  <cols>
    <col min="1" max="1" width="24" customWidth="1"/>
    <col min="2" max="3" width="36" customWidth="1"/>
    <col min="4" max="4" width="42" customWidth="1"/>
    <col min="5" max="5" width="40" customWidth="1"/>
    <col min="6" max="6" width="46" customWidth="1"/>
  </cols>
  <sheetData>
    <row r="1" spans="1:6" ht="28" customHeight="1" x14ac:dyDescent="0.5">
      <c r="A1" s="1" t="s">
        <v>8780</v>
      </c>
    </row>
    <row r="3" spans="1:6" x14ac:dyDescent="0.35">
      <c r="A3" s="22" t="s">
        <v>8781</v>
      </c>
      <c r="B3" s="22" t="s">
        <v>8782</v>
      </c>
      <c r="C3" s="22" t="s">
        <v>8783</v>
      </c>
      <c r="D3" s="22" t="s">
        <v>8784</v>
      </c>
      <c r="E3" s="22" t="s">
        <v>8785</v>
      </c>
      <c r="F3" s="22" t="s">
        <v>768</v>
      </c>
    </row>
    <row r="4" spans="1:6" ht="48" customHeight="1" x14ac:dyDescent="0.35">
      <c r="A4" s="4" t="s">
        <v>8786</v>
      </c>
      <c r="B4" s="5" t="s">
        <v>8787</v>
      </c>
      <c r="C4" s="5" t="s">
        <v>8788</v>
      </c>
      <c r="D4" s="5" t="s">
        <v>8789</v>
      </c>
      <c r="E4" s="5" t="s">
        <v>8790</v>
      </c>
      <c r="F4" s="5" t="s">
        <v>8791</v>
      </c>
    </row>
    <row r="5" spans="1:6" ht="48" customHeight="1" x14ac:dyDescent="0.35">
      <c r="A5" s="4" t="s">
        <v>8792</v>
      </c>
      <c r="B5" s="5" t="s">
        <v>8793</v>
      </c>
      <c r="C5" s="5" t="s">
        <v>8794</v>
      </c>
      <c r="D5" s="5" t="s">
        <v>8795</v>
      </c>
      <c r="E5" s="5" t="s">
        <v>8796</v>
      </c>
      <c r="F5" s="5" t="s">
        <v>8797</v>
      </c>
    </row>
    <row r="6" spans="1:6" ht="48" customHeight="1" x14ac:dyDescent="0.35">
      <c r="A6" s="4" t="s">
        <v>8798</v>
      </c>
      <c r="B6" s="5" t="s">
        <v>8799</v>
      </c>
      <c r="C6" s="5" t="s">
        <v>8800</v>
      </c>
      <c r="D6" s="5" t="s">
        <v>8801</v>
      </c>
      <c r="E6" s="5" t="s">
        <v>8802</v>
      </c>
      <c r="F6" s="5" t="s">
        <v>8803</v>
      </c>
    </row>
    <row r="7" spans="1:6" ht="48" customHeight="1" x14ac:dyDescent="0.35">
      <c r="A7" s="4" t="s">
        <v>8804</v>
      </c>
      <c r="B7" s="5" t="s">
        <v>8805</v>
      </c>
      <c r="C7" s="5" t="s">
        <v>8806</v>
      </c>
      <c r="D7" s="5" t="s">
        <v>8807</v>
      </c>
      <c r="E7" s="5" t="s">
        <v>8808</v>
      </c>
      <c r="F7" s="5" t="s">
        <v>8809</v>
      </c>
    </row>
    <row r="8" spans="1:6" ht="48" customHeight="1" x14ac:dyDescent="0.35">
      <c r="A8" s="4" t="s">
        <v>8810</v>
      </c>
      <c r="B8" s="5" t="s">
        <v>8811</v>
      </c>
      <c r="C8" s="5" t="s">
        <v>8812</v>
      </c>
      <c r="D8" s="5" t="s">
        <v>8813</v>
      </c>
      <c r="E8" s="5" t="s">
        <v>8814</v>
      </c>
      <c r="F8" s="5" t="s">
        <v>8815</v>
      </c>
    </row>
    <row r="9" spans="1:6" ht="48" customHeight="1" x14ac:dyDescent="0.35">
      <c r="A9" s="4" t="s">
        <v>8816</v>
      </c>
      <c r="B9" s="5" t="s">
        <v>8817</v>
      </c>
      <c r="C9" s="5" t="s">
        <v>8818</v>
      </c>
      <c r="D9" s="5" t="s">
        <v>8819</v>
      </c>
      <c r="E9" s="5" t="s">
        <v>8820</v>
      </c>
      <c r="F9" s="5" t="s">
        <v>8821</v>
      </c>
    </row>
    <row r="10" spans="1:6" ht="48" customHeight="1" x14ac:dyDescent="0.35">
      <c r="A10" s="4" t="s">
        <v>8822</v>
      </c>
      <c r="B10" s="5" t="s">
        <v>8823</v>
      </c>
      <c r="C10" s="5" t="s">
        <v>8824</v>
      </c>
      <c r="D10" s="5" t="s">
        <v>8825</v>
      </c>
      <c r="E10" s="5" t="s">
        <v>8826</v>
      </c>
      <c r="F10" s="5" t="s">
        <v>8827</v>
      </c>
    </row>
    <row r="11" spans="1:6" ht="48" customHeight="1" x14ac:dyDescent="0.35">
      <c r="A11" s="4" t="s">
        <v>8828</v>
      </c>
      <c r="B11" s="5" t="s">
        <v>8829</v>
      </c>
      <c r="C11" s="5" t="s">
        <v>8830</v>
      </c>
      <c r="D11" s="5" t="s">
        <v>8831</v>
      </c>
      <c r="E11" s="5" t="s">
        <v>8832</v>
      </c>
      <c r="F11" s="5" t="s">
        <v>8809</v>
      </c>
    </row>
    <row r="12" spans="1:6" ht="48" customHeight="1" x14ac:dyDescent="0.35">
      <c r="A12" s="4" t="s">
        <v>8833</v>
      </c>
      <c r="B12" s="5" t="s">
        <v>8834</v>
      </c>
      <c r="C12" s="5" t="s">
        <v>8835</v>
      </c>
      <c r="D12" s="5" t="s">
        <v>8836</v>
      </c>
      <c r="E12" s="5" t="s">
        <v>8837</v>
      </c>
      <c r="F12" s="5" t="s">
        <v>8809</v>
      </c>
    </row>
    <row r="13" spans="1:6" ht="48" customHeight="1" x14ac:dyDescent="0.35">
      <c r="A13" s="4" t="s">
        <v>8838</v>
      </c>
      <c r="B13" s="5" t="s">
        <v>8839</v>
      </c>
      <c r="C13" s="5" t="s">
        <v>8840</v>
      </c>
      <c r="D13" s="5" t="s">
        <v>8841</v>
      </c>
      <c r="E13" s="5" t="s">
        <v>8842</v>
      </c>
      <c r="F13" s="5" t="s">
        <v>8809</v>
      </c>
    </row>
    <row r="14" spans="1:6" ht="48" customHeight="1" x14ac:dyDescent="0.35">
      <c r="A14" s="4" t="s">
        <v>8843</v>
      </c>
      <c r="B14" s="5" t="s">
        <v>8844</v>
      </c>
      <c r="C14" s="5" t="s">
        <v>8845</v>
      </c>
      <c r="D14" s="5" t="s">
        <v>8846</v>
      </c>
      <c r="E14" s="5" t="s">
        <v>8847</v>
      </c>
      <c r="F14" s="5" t="s">
        <v>8809</v>
      </c>
    </row>
    <row r="15" spans="1:6" ht="48" customHeight="1" x14ac:dyDescent="0.35">
      <c r="A15" s="4" t="s">
        <v>726</v>
      </c>
      <c r="B15" s="5" t="s">
        <v>8848</v>
      </c>
      <c r="C15" s="5" t="s">
        <v>8849</v>
      </c>
      <c r="D15" s="5" t="s">
        <v>8850</v>
      </c>
      <c r="E15" s="5" t="s">
        <v>8851</v>
      </c>
      <c r="F15" s="5" t="s">
        <v>8852</v>
      </c>
    </row>
  </sheetData>
  <autoFilter ref="A3:F15" xr:uid="{00000000-0009-0000-0000-000025000000}"/>
  <pageMargins left="0.75" right="0.75" top="1" bottom="1" header="0.5" footer="0.5"/>
  <pageSetup orientation="landscape"/>
  <headerFooter>
    <oddFooter>&amp;RPage &amp;P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F13"/>
  <sheetViews>
    <sheetView showGridLines="0" workbookViewId="0">
      <pane ySplit="3" topLeftCell="A4" activePane="bottomLeft" state="frozen"/>
      <selection pane="bottomLeft"/>
    </sheetView>
  </sheetViews>
  <sheetFormatPr defaultRowHeight="14.5" x14ac:dyDescent="0.35"/>
  <cols>
    <col min="1" max="1" width="28" customWidth="1"/>
    <col min="2" max="2" width="40" customWidth="1"/>
    <col min="3" max="3" width="36" customWidth="1"/>
    <col min="4" max="4" width="40" customWidth="1"/>
    <col min="5" max="5" width="28" customWidth="1"/>
    <col min="6" max="6" width="50" customWidth="1"/>
  </cols>
  <sheetData>
    <row r="1" spans="1:6" ht="28" customHeight="1" x14ac:dyDescent="0.5">
      <c r="A1" s="1" t="s">
        <v>8853</v>
      </c>
    </row>
    <row r="3" spans="1:6" x14ac:dyDescent="0.35">
      <c r="A3" s="22" t="s">
        <v>8854</v>
      </c>
      <c r="B3" s="22" t="s">
        <v>8855</v>
      </c>
      <c r="C3" s="22" t="s">
        <v>8856</v>
      </c>
      <c r="D3" s="22" t="s">
        <v>8857</v>
      </c>
      <c r="E3" s="22" t="s">
        <v>8858</v>
      </c>
      <c r="F3" s="22" t="s">
        <v>768</v>
      </c>
    </row>
    <row r="4" spans="1:6" ht="48" customHeight="1" x14ac:dyDescent="0.35">
      <c r="A4" s="4" t="s">
        <v>8859</v>
      </c>
      <c r="B4" s="5" t="s">
        <v>8860</v>
      </c>
      <c r="C4" s="5" t="s">
        <v>8861</v>
      </c>
      <c r="D4" s="5" t="s">
        <v>8862</v>
      </c>
      <c r="E4" s="5" t="s">
        <v>8863</v>
      </c>
      <c r="F4" s="5" t="s">
        <v>8864</v>
      </c>
    </row>
    <row r="5" spans="1:6" ht="48" customHeight="1" x14ac:dyDescent="0.35">
      <c r="A5" s="4" t="s">
        <v>8865</v>
      </c>
      <c r="B5" s="5" t="s">
        <v>8866</v>
      </c>
      <c r="C5" s="5" t="s">
        <v>8867</v>
      </c>
      <c r="D5" s="5" t="s">
        <v>8868</v>
      </c>
      <c r="E5" s="5" t="s">
        <v>8869</v>
      </c>
      <c r="F5" s="5" t="s">
        <v>8870</v>
      </c>
    </row>
    <row r="6" spans="1:6" ht="48" customHeight="1" x14ac:dyDescent="0.35">
      <c r="A6" s="4" t="s">
        <v>8871</v>
      </c>
      <c r="B6" s="5" t="s">
        <v>8872</v>
      </c>
      <c r="C6" s="5" t="s">
        <v>8873</v>
      </c>
      <c r="D6" s="5" t="s">
        <v>8874</v>
      </c>
      <c r="E6" s="5" t="s">
        <v>8875</v>
      </c>
      <c r="F6" s="5" t="s">
        <v>8876</v>
      </c>
    </row>
    <row r="7" spans="1:6" ht="48" customHeight="1" x14ac:dyDescent="0.35">
      <c r="A7" s="4" t="s">
        <v>8877</v>
      </c>
      <c r="B7" s="5" t="s">
        <v>8878</v>
      </c>
      <c r="C7" s="5" t="s">
        <v>8879</v>
      </c>
      <c r="D7" s="5" t="s">
        <v>8880</v>
      </c>
      <c r="E7" s="5" t="s">
        <v>8881</v>
      </c>
      <c r="F7" s="5" t="s">
        <v>8882</v>
      </c>
    </row>
    <row r="8" spans="1:6" ht="48" customHeight="1" x14ac:dyDescent="0.35">
      <c r="A8" s="4" t="s">
        <v>8883</v>
      </c>
      <c r="B8" s="5" t="s">
        <v>8884</v>
      </c>
      <c r="C8" s="5" t="s">
        <v>8885</v>
      </c>
      <c r="D8" s="5" t="s">
        <v>8886</v>
      </c>
      <c r="E8" s="5" t="s">
        <v>8887</v>
      </c>
      <c r="F8" s="5" t="s">
        <v>8888</v>
      </c>
    </row>
    <row r="9" spans="1:6" ht="48" customHeight="1" x14ac:dyDescent="0.35">
      <c r="A9" s="4" t="s">
        <v>8889</v>
      </c>
      <c r="B9" s="5" t="s">
        <v>8890</v>
      </c>
      <c r="C9" s="5" t="s">
        <v>8891</v>
      </c>
      <c r="D9" s="5" t="s">
        <v>8892</v>
      </c>
      <c r="E9" s="5" t="s">
        <v>8893</v>
      </c>
      <c r="F9" s="5" t="s">
        <v>8894</v>
      </c>
    </row>
    <row r="10" spans="1:6" ht="48" customHeight="1" x14ac:dyDescent="0.35">
      <c r="A10" s="4" t="s">
        <v>8895</v>
      </c>
      <c r="B10" s="5" t="s">
        <v>8896</v>
      </c>
      <c r="C10" s="5" t="s">
        <v>8897</v>
      </c>
      <c r="D10" s="5" t="s">
        <v>8898</v>
      </c>
      <c r="E10" s="5" t="s">
        <v>8899</v>
      </c>
      <c r="F10" s="5" t="s">
        <v>8900</v>
      </c>
    </row>
    <row r="11" spans="1:6" ht="48" customHeight="1" x14ac:dyDescent="0.35">
      <c r="A11" s="4" t="s">
        <v>8901</v>
      </c>
      <c r="B11" s="5" t="s">
        <v>8902</v>
      </c>
      <c r="C11" s="5" t="s">
        <v>8903</v>
      </c>
      <c r="D11" s="5" t="s">
        <v>8904</v>
      </c>
      <c r="E11" s="5" t="s">
        <v>8905</v>
      </c>
      <c r="F11" s="5" t="s">
        <v>8906</v>
      </c>
    </row>
    <row r="12" spans="1:6" ht="48" customHeight="1" x14ac:dyDescent="0.35">
      <c r="A12" s="4" t="s">
        <v>8907</v>
      </c>
      <c r="B12" s="5" t="s">
        <v>8908</v>
      </c>
      <c r="C12" s="5" t="s">
        <v>8909</v>
      </c>
      <c r="D12" s="5" t="s">
        <v>8910</v>
      </c>
      <c r="E12" s="5" t="s">
        <v>8911</v>
      </c>
      <c r="F12" s="5" t="s">
        <v>8876</v>
      </c>
    </row>
    <row r="13" spans="1:6" ht="48" customHeight="1" x14ac:dyDescent="0.35">
      <c r="A13" s="4" t="s">
        <v>8912</v>
      </c>
      <c r="B13" s="5" t="s">
        <v>8913</v>
      </c>
      <c r="C13" s="5" t="s">
        <v>8914</v>
      </c>
      <c r="D13" s="5" t="s">
        <v>8915</v>
      </c>
      <c r="E13" s="5" t="s">
        <v>8916</v>
      </c>
      <c r="F13" s="5" t="s">
        <v>8917</v>
      </c>
    </row>
  </sheetData>
  <autoFilter ref="A3:F13" xr:uid="{00000000-0009-0000-0000-000026000000}"/>
  <pageMargins left="0.75" right="0.75" top="1" bottom="1" header="0.5" footer="0.5"/>
  <pageSetup orientation="landscape"/>
  <headerFooter>
    <oddFooter>&amp;RPage &amp;P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2"/>
  <sheetViews>
    <sheetView showGridLines="0" workbookViewId="0">
      <pane ySplit="3" topLeftCell="A4" activePane="bottomLeft" state="frozen"/>
      <selection pane="bottomLeft"/>
    </sheetView>
  </sheetViews>
  <sheetFormatPr defaultRowHeight="14.5" x14ac:dyDescent="0.35"/>
  <cols>
    <col min="1" max="1" width="24" customWidth="1"/>
    <col min="2" max="2" width="44" customWidth="1"/>
    <col min="3" max="3" width="36" customWidth="1"/>
    <col min="4" max="4" width="32" customWidth="1"/>
    <col min="5" max="5" width="40" customWidth="1"/>
    <col min="6" max="6" width="52" customWidth="1"/>
  </cols>
  <sheetData>
    <row r="1" spans="1:6" ht="28" customHeight="1" x14ac:dyDescent="0.5">
      <c r="A1" s="1" t="s">
        <v>8918</v>
      </c>
    </row>
    <row r="3" spans="1:6" x14ac:dyDescent="0.35">
      <c r="A3" s="22" t="s">
        <v>8919</v>
      </c>
      <c r="B3" s="22" t="s">
        <v>8920</v>
      </c>
      <c r="C3" s="22" t="s">
        <v>8921</v>
      </c>
      <c r="D3" s="22" t="s">
        <v>8922</v>
      </c>
      <c r="E3" s="22" t="s">
        <v>8923</v>
      </c>
      <c r="F3" s="22" t="s">
        <v>768</v>
      </c>
    </row>
    <row r="4" spans="1:6" ht="48" customHeight="1" x14ac:dyDescent="0.35">
      <c r="A4" s="4" t="s">
        <v>8924</v>
      </c>
      <c r="B4" s="5" t="s">
        <v>8925</v>
      </c>
      <c r="C4" s="5" t="s">
        <v>8926</v>
      </c>
      <c r="D4" s="5" t="s">
        <v>8927</v>
      </c>
      <c r="E4" s="5" t="s">
        <v>8928</v>
      </c>
      <c r="F4" s="5" t="s">
        <v>8929</v>
      </c>
    </row>
    <row r="5" spans="1:6" ht="48" customHeight="1" x14ac:dyDescent="0.35">
      <c r="A5" s="4" t="s">
        <v>8930</v>
      </c>
      <c r="B5" s="5" t="s">
        <v>8931</v>
      </c>
      <c r="C5" s="5" t="s">
        <v>8932</v>
      </c>
      <c r="D5" s="5" t="s">
        <v>8933</v>
      </c>
      <c r="E5" s="5" t="s">
        <v>8934</v>
      </c>
      <c r="F5" s="5" t="s">
        <v>8935</v>
      </c>
    </row>
    <row r="6" spans="1:6" ht="48" customHeight="1" x14ac:dyDescent="0.35">
      <c r="A6" s="4" t="s">
        <v>8936</v>
      </c>
      <c r="B6" s="5" t="s">
        <v>8937</v>
      </c>
      <c r="C6" s="5" t="s">
        <v>8938</v>
      </c>
      <c r="D6" s="5" t="s">
        <v>8939</v>
      </c>
      <c r="E6" s="5" t="s">
        <v>8940</v>
      </c>
      <c r="F6" s="5" t="s">
        <v>8876</v>
      </c>
    </row>
    <row r="7" spans="1:6" ht="48" customHeight="1" x14ac:dyDescent="0.35">
      <c r="A7" s="4" t="s">
        <v>8941</v>
      </c>
      <c r="B7" s="5" t="s">
        <v>8942</v>
      </c>
      <c r="C7" s="5" t="s">
        <v>8943</v>
      </c>
      <c r="D7" s="5" t="s">
        <v>8944</v>
      </c>
      <c r="E7" s="5" t="s">
        <v>8945</v>
      </c>
      <c r="F7" s="5" t="s">
        <v>8946</v>
      </c>
    </row>
    <row r="8" spans="1:6" ht="48" customHeight="1" x14ac:dyDescent="0.35">
      <c r="A8" s="4" t="s">
        <v>8947</v>
      </c>
      <c r="B8" s="5" t="s">
        <v>8948</v>
      </c>
      <c r="C8" s="5" t="s">
        <v>8949</v>
      </c>
      <c r="D8" s="5" t="s">
        <v>8950</v>
      </c>
      <c r="E8" s="5" t="s">
        <v>8951</v>
      </c>
      <c r="F8" s="5" t="s">
        <v>8952</v>
      </c>
    </row>
    <row r="9" spans="1:6" ht="48" customHeight="1" x14ac:dyDescent="0.35">
      <c r="A9" s="4" t="s">
        <v>8953</v>
      </c>
      <c r="B9" s="5" t="s">
        <v>8954</v>
      </c>
      <c r="C9" s="5" t="s">
        <v>8955</v>
      </c>
      <c r="D9" s="5" t="s">
        <v>8956</v>
      </c>
      <c r="E9" s="5" t="s">
        <v>8957</v>
      </c>
      <c r="F9" s="5" t="s">
        <v>8958</v>
      </c>
    </row>
    <row r="10" spans="1:6" ht="48" customHeight="1" x14ac:dyDescent="0.35">
      <c r="A10" s="4" t="s">
        <v>8959</v>
      </c>
      <c r="B10" s="5" t="s">
        <v>8960</v>
      </c>
      <c r="C10" s="5" t="s">
        <v>8961</v>
      </c>
      <c r="D10" s="5" t="s">
        <v>8962</v>
      </c>
      <c r="E10" s="5" t="s">
        <v>8963</v>
      </c>
      <c r="F10" s="5" t="s">
        <v>8964</v>
      </c>
    </row>
    <row r="11" spans="1:6" ht="48" customHeight="1" x14ac:dyDescent="0.35">
      <c r="A11" s="4" t="s">
        <v>8965</v>
      </c>
      <c r="B11" s="5" t="s">
        <v>8966</v>
      </c>
      <c r="C11" s="5" t="s">
        <v>8967</v>
      </c>
      <c r="D11" s="5" t="s">
        <v>8968</v>
      </c>
      <c r="E11" s="5" t="s">
        <v>8969</v>
      </c>
      <c r="F11" s="5" t="s">
        <v>8876</v>
      </c>
    </row>
    <row r="12" spans="1:6" ht="48" customHeight="1" x14ac:dyDescent="0.35">
      <c r="A12" s="4" t="s">
        <v>8970</v>
      </c>
      <c r="B12" s="5" t="s">
        <v>8971</v>
      </c>
      <c r="C12" s="5" t="s">
        <v>8972</v>
      </c>
      <c r="D12" s="5" t="s">
        <v>8973</v>
      </c>
      <c r="E12" s="5" t="s">
        <v>8974</v>
      </c>
      <c r="F12" s="5" t="s">
        <v>8975</v>
      </c>
    </row>
  </sheetData>
  <autoFilter ref="A3:F12" xr:uid="{00000000-0009-0000-0000-000027000000}"/>
  <pageMargins left="0.75" right="0.75" top="1" bottom="1" header="0.5" footer="0.5"/>
  <pageSetup orientation="landscape"/>
  <headerFooter>
    <oddFooter>&amp;RPage &amp;P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F63"/>
  <sheetViews>
    <sheetView showGridLines="0" workbookViewId="0">
      <pane ySplit="3" topLeftCell="A4" activePane="bottomLeft" state="frozen"/>
      <selection pane="bottomLeft"/>
    </sheetView>
  </sheetViews>
  <sheetFormatPr defaultRowHeight="14.5" x14ac:dyDescent="0.35"/>
  <cols>
    <col min="1" max="1" width="14" customWidth="1"/>
    <col min="2" max="2" width="55" customWidth="1"/>
    <col min="3" max="3" width="20" customWidth="1"/>
    <col min="4" max="4" width="16" customWidth="1"/>
    <col min="5" max="5" width="22" customWidth="1"/>
    <col min="6" max="6" width="70" customWidth="1"/>
  </cols>
  <sheetData>
    <row r="1" spans="1:6" ht="21" customHeight="1" x14ac:dyDescent="0.5">
      <c r="A1" s="1" t="s">
        <v>8976</v>
      </c>
    </row>
    <row r="2" spans="1:6" x14ac:dyDescent="0.35">
      <c r="A2" s="61" t="s">
        <v>8977</v>
      </c>
      <c r="B2" s="55"/>
      <c r="C2" s="55"/>
      <c r="D2" s="55"/>
      <c r="E2" s="55"/>
      <c r="F2" s="55"/>
    </row>
    <row r="3" spans="1:6" x14ac:dyDescent="0.35">
      <c r="A3" s="3" t="s">
        <v>81</v>
      </c>
      <c r="B3" s="3" t="s">
        <v>218</v>
      </c>
      <c r="C3" s="3" t="s">
        <v>2230</v>
      </c>
      <c r="D3" s="3" t="s">
        <v>8978</v>
      </c>
      <c r="E3" s="3" t="s">
        <v>8979</v>
      </c>
      <c r="F3" s="3" t="s">
        <v>89</v>
      </c>
    </row>
    <row r="4" spans="1:6" ht="30" customHeight="1" x14ac:dyDescent="0.35">
      <c r="A4" s="5" t="s">
        <v>2363</v>
      </c>
      <c r="B4" s="5" t="s">
        <v>2364</v>
      </c>
      <c r="C4" s="5" t="s">
        <v>162</v>
      </c>
      <c r="D4" s="5" t="s">
        <v>162</v>
      </c>
      <c r="E4" s="5" t="s">
        <v>94</v>
      </c>
      <c r="F4" s="5" t="s">
        <v>2369</v>
      </c>
    </row>
    <row r="5" spans="1:6" ht="30" customHeight="1" x14ac:dyDescent="0.35">
      <c r="A5" s="5" t="s">
        <v>2463</v>
      </c>
      <c r="B5" s="5" t="s">
        <v>2464</v>
      </c>
      <c r="C5" s="5" t="s">
        <v>162</v>
      </c>
      <c r="D5" s="5" t="s">
        <v>162</v>
      </c>
      <c r="E5" s="5" t="s">
        <v>94</v>
      </c>
      <c r="F5" s="5" t="s">
        <v>2369</v>
      </c>
    </row>
    <row r="6" spans="1:6" ht="30" customHeight="1" x14ac:dyDescent="0.35">
      <c r="A6" s="5" t="s">
        <v>2519</v>
      </c>
      <c r="B6" s="5" t="s">
        <v>2520</v>
      </c>
      <c r="C6" s="5" t="s">
        <v>204</v>
      </c>
      <c r="D6" s="5" t="s">
        <v>204</v>
      </c>
      <c r="E6" s="5" t="s">
        <v>213</v>
      </c>
      <c r="F6" s="5" t="s">
        <v>2524</v>
      </c>
    </row>
    <row r="7" spans="1:6" ht="30" customHeight="1" x14ac:dyDescent="0.35">
      <c r="A7" s="5" t="s">
        <v>2611</v>
      </c>
      <c r="B7" s="5" t="s">
        <v>2612</v>
      </c>
      <c r="C7" s="5" t="s">
        <v>204</v>
      </c>
      <c r="D7" s="5" t="s">
        <v>204</v>
      </c>
      <c r="E7" s="5" t="s">
        <v>213</v>
      </c>
      <c r="F7" s="5" t="s">
        <v>2524</v>
      </c>
    </row>
    <row r="8" spans="1:6" ht="30" customHeight="1" x14ac:dyDescent="0.35">
      <c r="A8" s="5" t="s">
        <v>3041</v>
      </c>
      <c r="B8" s="5" t="s">
        <v>3042</v>
      </c>
      <c r="C8" s="5" t="s">
        <v>204</v>
      </c>
      <c r="D8" s="5" t="s">
        <v>204</v>
      </c>
      <c r="E8" s="5" t="s">
        <v>213</v>
      </c>
      <c r="F8" s="5" t="s">
        <v>2524</v>
      </c>
    </row>
    <row r="9" spans="1:6" ht="30" customHeight="1" x14ac:dyDescent="0.35">
      <c r="A9" s="5" t="s">
        <v>3051</v>
      </c>
      <c r="B9" s="5" t="s">
        <v>3052</v>
      </c>
      <c r="C9" s="5" t="s">
        <v>204</v>
      </c>
      <c r="D9" s="5" t="s">
        <v>204</v>
      </c>
      <c r="E9" s="5" t="s">
        <v>213</v>
      </c>
      <c r="F9" s="5" t="s">
        <v>2524</v>
      </c>
    </row>
    <row r="10" spans="1:6" ht="30" customHeight="1" x14ac:dyDescent="0.35">
      <c r="A10" s="5" t="s">
        <v>3059</v>
      </c>
      <c r="B10" s="5" t="s">
        <v>3060</v>
      </c>
      <c r="C10" s="5" t="s">
        <v>204</v>
      </c>
      <c r="D10" s="5" t="s">
        <v>204</v>
      </c>
      <c r="E10" s="5" t="s">
        <v>213</v>
      </c>
      <c r="F10" s="5" t="s">
        <v>2524</v>
      </c>
    </row>
    <row r="11" spans="1:6" ht="30" customHeight="1" x14ac:dyDescent="0.35">
      <c r="A11" s="5" t="s">
        <v>3102</v>
      </c>
      <c r="B11" s="5" t="s">
        <v>3103</v>
      </c>
      <c r="C11" s="5" t="s">
        <v>204</v>
      </c>
      <c r="D11" s="5" t="s">
        <v>204</v>
      </c>
      <c r="E11" s="5" t="s">
        <v>213</v>
      </c>
      <c r="F11" s="5" t="s">
        <v>2524</v>
      </c>
    </row>
    <row r="12" spans="1:6" ht="30" customHeight="1" x14ac:dyDescent="0.35">
      <c r="A12" s="5" t="s">
        <v>3153</v>
      </c>
      <c r="B12" s="5" t="s">
        <v>3154</v>
      </c>
      <c r="C12" s="5" t="s">
        <v>204</v>
      </c>
      <c r="D12" s="5" t="s">
        <v>204</v>
      </c>
      <c r="E12" s="5" t="s">
        <v>213</v>
      </c>
      <c r="F12" s="5" t="s">
        <v>2524</v>
      </c>
    </row>
    <row r="13" spans="1:6" ht="30" customHeight="1" x14ac:dyDescent="0.35">
      <c r="A13" s="5" t="s">
        <v>3352</v>
      </c>
      <c r="B13" s="5" t="s">
        <v>3353</v>
      </c>
      <c r="C13" s="5" t="s">
        <v>204</v>
      </c>
      <c r="D13" s="5" t="s">
        <v>204</v>
      </c>
      <c r="E13" s="5" t="s">
        <v>213</v>
      </c>
      <c r="F13" s="5" t="s">
        <v>2524</v>
      </c>
    </row>
    <row r="14" spans="1:6" ht="30" customHeight="1" x14ac:dyDescent="0.35">
      <c r="A14" s="5" t="s">
        <v>3359</v>
      </c>
      <c r="B14" s="5" t="s">
        <v>3360</v>
      </c>
      <c r="C14" s="5" t="s">
        <v>204</v>
      </c>
      <c r="D14" s="5" t="s">
        <v>204</v>
      </c>
      <c r="E14" s="5" t="s">
        <v>213</v>
      </c>
      <c r="F14" s="5" t="s">
        <v>2524</v>
      </c>
    </row>
    <row r="15" spans="1:6" ht="30" customHeight="1" x14ac:dyDescent="0.35">
      <c r="A15" s="5" t="s">
        <v>3367</v>
      </c>
      <c r="B15" s="5" t="s">
        <v>3368</v>
      </c>
      <c r="C15" s="5" t="s">
        <v>204</v>
      </c>
      <c r="D15" s="5" t="s">
        <v>204</v>
      </c>
      <c r="E15" s="5" t="s">
        <v>213</v>
      </c>
      <c r="F15" s="5" t="s">
        <v>2524</v>
      </c>
    </row>
    <row r="16" spans="1:6" ht="30" customHeight="1" x14ac:dyDescent="0.35">
      <c r="A16" s="5" t="s">
        <v>1676</v>
      </c>
      <c r="B16" s="5" t="s">
        <v>1678</v>
      </c>
      <c r="C16" s="5" t="s">
        <v>162</v>
      </c>
      <c r="D16" s="5" t="s">
        <v>162</v>
      </c>
      <c r="E16" s="5" t="s">
        <v>94</v>
      </c>
      <c r="F16" s="5" t="s">
        <v>2369</v>
      </c>
    </row>
    <row r="17" spans="1:6" ht="30" customHeight="1" x14ac:dyDescent="0.35">
      <c r="A17" s="5" t="s">
        <v>3492</v>
      </c>
      <c r="B17" s="5" t="s">
        <v>3493</v>
      </c>
      <c r="C17" s="5" t="s">
        <v>204</v>
      </c>
      <c r="D17" s="5" t="s">
        <v>204</v>
      </c>
      <c r="E17" s="5" t="s">
        <v>213</v>
      </c>
      <c r="F17" s="5" t="s">
        <v>2524</v>
      </c>
    </row>
    <row r="18" spans="1:6" ht="30" customHeight="1" x14ac:dyDescent="0.35">
      <c r="A18" s="5" t="s">
        <v>3562</v>
      </c>
      <c r="B18" s="5" t="s">
        <v>3563</v>
      </c>
      <c r="C18" s="5" t="s">
        <v>204</v>
      </c>
      <c r="D18" s="5" t="s">
        <v>204</v>
      </c>
      <c r="E18" s="5" t="s">
        <v>213</v>
      </c>
      <c r="F18" s="5" t="s">
        <v>2524</v>
      </c>
    </row>
    <row r="19" spans="1:6" ht="30" customHeight="1" x14ac:dyDescent="0.35">
      <c r="A19" s="5" t="s">
        <v>3570</v>
      </c>
      <c r="B19" s="5" t="s">
        <v>3571</v>
      </c>
      <c r="C19" s="5" t="s">
        <v>204</v>
      </c>
      <c r="D19" s="5" t="s">
        <v>204</v>
      </c>
      <c r="E19" s="5" t="s">
        <v>213</v>
      </c>
      <c r="F19" s="5" t="s">
        <v>2524</v>
      </c>
    </row>
    <row r="20" spans="1:6" ht="30" customHeight="1" x14ac:dyDescent="0.35">
      <c r="A20" s="5" t="s">
        <v>3655</v>
      </c>
      <c r="B20" s="5" t="s">
        <v>3656</v>
      </c>
      <c r="C20" s="5" t="s">
        <v>204</v>
      </c>
      <c r="D20" s="5" t="s">
        <v>204</v>
      </c>
      <c r="E20" s="5" t="s">
        <v>213</v>
      </c>
      <c r="F20" s="5" t="s">
        <v>2524</v>
      </c>
    </row>
    <row r="21" spans="1:6" ht="30" customHeight="1" x14ac:dyDescent="0.35">
      <c r="A21" s="5" t="s">
        <v>3687</v>
      </c>
      <c r="B21" s="5" t="s">
        <v>3688</v>
      </c>
      <c r="C21" s="5" t="s">
        <v>204</v>
      </c>
      <c r="D21" s="5" t="s">
        <v>204</v>
      </c>
      <c r="E21" s="5" t="s">
        <v>213</v>
      </c>
      <c r="F21" s="5" t="s">
        <v>2524</v>
      </c>
    </row>
    <row r="22" spans="1:6" ht="30" customHeight="1" x14ac:dyDescent="0.35">
      <c r="A22" s="5" t="s">
        <v>3716</v>
      </c>
      <c r="B22" s="5" t="s">
        <v>3717</v>
      </c>
      <c r="C22" s="5" t="s">
        <v>204</v>
      </c>
      <c r="D22" s="5" t="s">
        <v>204</v>
      </c>
      <c r="E22" s="5" t="s">
        <v>213</v>
      </c>
      <c r="F22" s="5" t="s">
        <v>2524</v>
      </c>
    </row>
    <row r="23" spans="1:6" ht="30" customHeight="1" x14ac:dyDescent="0.35">
      <c r="A23" s="5" t="s">
        <v>3725</v>
      </c>
      <c r="B23" s="5" t="s">
        <v>3726</v>
      </c>
      <c r="C23" s="5" t="s">
        <v>204</v>
      </c>
      <c r="D23" s="5" t="s">
        <v>204</v>
      </c>
      <c r="E23" s="5" t="s">
        <v>213</v>
      </c>
      <c r="F23" s="5" t="s">
        <v>2524</v>
      </c>
    </row>
    <row r="24" spans="1:6" ht="30" customHeight="1" x14ac:dyDescent="0.35">
      <c r="A24" s="5" t="s">
        <v>3732</v>
      </c>
      <c r="B24" s="5" t="s">
        <v>3733</v>
      </c>
      <c r="C24" s="5" t="s">
        <v>204</v>
      </c>
      <c r="D24" s="5" t="s">
        <v>204</v>
      </c>
      <c r="E24" s="5" t="s">
        <v>213</v>
      </c>
      <c r="F24" s="5" t="s">
        <v>2524</v>
      </c>
    </row>
    <row r="25" spans="1:6" ht="30" customHeight="1" x14ac:dyDescent="0.35">
      <c r="A25" s="5" t="s">
        <v>3752</v>
      </c>
      <c r="B25" s="5" t="s">
        <v>3753</v>
      </c>
      <c r="C25" s="5" t="s">
        <v>204</v>
      </c>
      <c r="D25" s="5" t="s">
        <v>204</v>
      </c>
      <c r="E25" s="5" t="s">
        <v>213</v>
      </c>
      <c r="F25" s="5" t="s">
        <v>2524</v>
      </c>
    </row>
    <row r="26" spans="1:6" ht="30" customHeight="1" x14ac:dyDescent="0.35">
      <c r="A26" s="5" t="s">
        <v>3760</v>
      </c>
      <c r="B26" s="5" t="s">
        <v>3761</v>
      </c>
      <c r="C26" s="5" t="s">
        <v>204</v>
      </c>
      <c r="D26" s="5" t="s">
        <v>204</v>
      </c>
      <c r="E26" s="5" t="s">
        <v>213</v>
      </c>
      <c r="F26" s="5" t="s">
        <v>2524</v>
      </c>
    </row>
    <row r="27" spans="1:6" ht="30" customHeight="1" x14ac:dyDescent="0.35">
      <c r="A27" s="5" t="s">
        <v>3842</v>
      </c>
      <c r="B27" s="5" t="s">
        <v>3843</v>
      </c>
      <c r="C27" s="5" t="s">
        <v>204</v>
      </c>
      <c r="D27" s="5" t="s">
        <v>204</v>
      </c>
      <c r="E27" s="5" t="s">
        <v>213</v>
      </c>
      <c r="F27" s="5" t="s">
        <v>2524</v>
      </c>
    </row>
    <row r="28" spans="1:6" ht="30" customHeight="1" x14ac:dyDescent="0.35">
      <c r="A28" s="5" t="s">
        <v>3916</v>
      </c>
      <c r="B28" s="5" t="s">
        <v>3917</v>
      </c>
      <c r="C28" s="5" t="s">
        <v>162</v>
      </c>
      <c r="D28" s="5" t="s">
        <v>162</v>
      </c>
      <c r="E28" s="5" t="s">
        <v>94</v>
      </c>
      <c r="F28" s="5" t="s">
        <v>2369</v>
      </c>
    </row>
    <row r="29" spans="1:6" ht="30" customHeight="1" x14ac:dyDescent="0.35">
      <c r="A29" s="5" t="s">
        <v>3971</v>
      </c>
      <c r="B29" s="5" t="s">
        <v>3972</v>
      </c>
      <c r="C29" s="5" t="s">
        <v>162</v>
      </c>
      <c r="D29" s="5" t="s">
        <v>162</v>
      </c>
      <c r="E29" s="5" t="s">
        <v>94</v>
      </c>
      <c r="F29" s="5" t="s">
        <v>2369</v>
      </c>
    </row>
    <row r="30" spans="1:6" ht="30" customHeight="1" x14ac:dyDescent="0.35">
      <c r="A30" s="5" t="s">
        <v>4045</v>
      </c>
      <c r="B30" s="5" t="s">
        <v>4046</v>
      </c>
      <c r="C30" s="5" t="s">
        <v>162</v>
      </c>
      <c r="D30" s="5" t="s">
        <v>162</v>
      </c>
      <c r="E30" s="5" t="s">
        <v>94</v>
      </c>
      <c r="F30" s="5" t="s">
        <v>2369</v>
      </c>
    </row>
    <row r="31" spans="1:6" ht="30" customHeight="1" x14ac:dyDescent="0.35">
      <c r="A31" s="5" t="s">
        <v>4060</v>
      </c>
      <c r="B31" s="5" t="s">
        <v>4061</v>
      </c>
      <c r="C31" s="5" t="s">
        <v>162</v>
      </c>
      <c r="D31" s="5" t="s">
        <v>162</v>
      </c>
      <c r="E31" s="5" t="s">
        <v>94</v>
      </c>
      <c r="F31" s="5" t="s">
        <v>2369</v>
      </c>
    </row>
    <row r="32" spans="1:6" ht="30" customHeight="1" x14ac:dyDescent="0.35">
      <c r="A32" s="5" t="s">
        <v>4124</v>
      </c>
      <c r="B32" s="5" t="s">
        <v>4125</v>
      </c>
      <c r="C32" s="5" t="s">
        <v>162</v>
      </c>
      <c r="D32" s="5" t="s">
        <v>162</v>
      </c>
      <c r="E32" s="5" t="s">
        <v>94</v>
      </c>
      <c r="F32" s="5" t="s">
        <v>2369</v>
      </c>
    </row>
    <row r="33" spans="1:6" ht="30" customHeight="1" x14ac:dyDescent="0.35">
      <c r="A33" s="5" t="s">
        <v>4191</v>
      </c>
      <c r="B33" s="5" t="s">
        <v>4192</v>
      </c>
      <c r="C33" s="5" t="s">
        <v>162</v>
      </c>
      <c r="D33" s="5" t="s">
        <v>162</v>
      </c>
      <c r="E33" s="5" t="s">
        <v>94</v>
      </c>
      <c r="F33" s="5" t="s">
        <v>2369</v>
      </c>
    </row>
    <row r="34" spans="1:6" ht="30" customHeight="1" x14ac:dyDescent="0.35">
      <c r="A34" s="5" t="s">
        <v>4202</v>
      </c>
      <c r="B34" s="5" t="s">
        <v>4203</v>
      </c>
      <c r="C34" s="5" t="s">
        <v>162</v>
      </c>
      <c r="D34" s="5" t="s">
        <v>162</v>
      </c>
      <c r="E34" s="5" t="s">
        <v>94</v>
      </c>
      <c r="F34" s="5" t="s">
        <v>2369</v>
      </c>
    </row>
    <row r="35" spans="1:6" ht="30" customHeight="1" x14ac:dyDescent="0.35">
      <c r="A35" s="5" t="s">
        <v>4230</v>
      </c>
      <c r="B35" s="5" t="s">
        <v>4231</v>
      </c>
      <c r="C35" s="5" t="s">
        <v>162</v>
      </c>
      <c r="D35" s="5" t="s">
        <v>162</v>
      </c>
      <c r="E35" s="5" t="s">
        <v>94</v>
      </c>
      <c r="F35" s="5" t="s">
        <v>2369</v>
      </c>
    </row>
    <row r="36" spans="1:6" ht="30" customHeight="1" x14ac:dyDescent="0.35">
      <c r="A36" s="5" t="s">
        <v>4244</v>
      </c>
      <c r="B36" s="5" t="s">
        <v>4245</v>
      </c>
      <c r="C36" s="5" t="s">
        <v>162</v>
      </c>
      <c r="D36" s="5" t="s">
        <v>162</v>
      </c>
      <c r="E36" s="5" t="s">
        <v>94</v>
      </c>
      <c r="F36" s="5" t="s">
        <v>2369</v>
      </c>
    </row>
    <row r="37" spans="1:6" ht="30" customHeight="1" x14ac:dyDescent="0.35">
      <c r="A37" s="5" t="s">
        <v>4277</v>
      </c>
      <c r="B37" s="5" t="s">
        <v>4278</v>
      </c>
      <c r="C37" s="5" t="s">
        <v>162</v>
      </c>
      <c r="D37" s="5" t="s">
        <v>162</v>
      </c>
      <c r="E37" s="5" t="s">
        <v>94</v>
      </c>
      <c r="F37" s="5" t="s">
        <v>2369</v>
      </c>
    </row>
    <row r="38" spans="1:6" ht="30" customHeight="1" x14ac:dyDescent="0.35">
      <c r="A38" s="5" t="s">
        <v>4323</v>
      </c>
      <c r="B38" s="5" t="s">
        <v>4324</v>
      </c>
      <c r="C38" s="5" t="s">
        <v>162</v>
      </c>
      <c r="D38" s="5" t="s">
        <v>162</v>
      </c>
      <c r="E38" s="5" t="s">
        <v>94</v>
      </c>
      <c r="F38" s="5" t="s">
        <v>2369</v>
      </c>
    </row>
    <row r="39" spans="1:6" ht="30" customHeight="1" x14ac:dyDescent="0.35">
      <c r="A39" s="5" t="s">
        <v>4344</v>
      </c>
      <c r="B39" s="5" t="s">
        <v>4345</v>
      </c>
      <c r="C39" s="5" t="s">
        <v>94</v>
      </c>
      <c r="D39" s="5" t="s">
        <v>94</v>
      </c>
      <c r="E39" s="5" t="s">
        <v>162</v>
      </c>
      <c r="F39" s="5" t="s">
        <v>4350</v>
      </c>
    </row>
    <row r="40" spans="1:6" ht="30" customHeight="1" x14ac:dyDescent="0.35">
      <c r="A40" s="5" t="s">
        <v>4505</v>
      </c>
      <c r="B40" s="5" t="s">
        <v>4506</v>
      </c>
      <c r="C40" s="5" t="s">
        <v>162</v>
      </c>
      <c r="D40" s="5" t="s">
        <v>162</v>
      </c>
      <c r="E40" s="5" t="s">
        <v>94</v>
      </c>
      <c r="F40" s="5" t="s">
        <v>2369</v>
      </c>
    </row>
    <row r="41" spans="1:6" ht="30" customHeight="1" x14ac:dyDescent="0.35">
      <c r="A41" s="5" t="s">
        <v>4589</v>
      </c>
      <c r="B41" s="5" t="s">
        <v>4590</v>
      </c>
      <c r="C41" s="5" t="s">
        <v>162</v>
      </c>
      <c r="D41" s="5" t="s">
        <v>162</v>
      </c>
      <c r="E41" s="5" t="s">
        <v>94</v>
      </c>
      <c r="F41" s="5" t="s">
        <v>2369</v>
      </c>
    </row>
    <row r="42" spans="1:6" ht="30" customHeight="1" x14ac:dyDescent="0.35">
      <c r="A42" s="5" t="s">
        <v>4657</v>
      </c>
      <c r="B42" s="5" t="s">
        <v>4658</v>
      </c>
      <c r="C42" s="5" t="s">
        <v>162</v>
      </c>
      <c r="D42" s="5" t="s">
        <v>162</v>
      </c>
      <c r="E42" s="5" t="s">
        <v>94</v>
      </c>
      <c r="F42" s="5" t="s">
        <v>2369</v>
      </c>
    </row>
    <row r="43" spans="1:6" ht="30" customHeight="1" x14ac:dyDescent="0.35">
      <c r="A43" s="5" t="s">
        <v>4766</v>
      </c>
      <c r="B43" s="5" t="s">
        <v>4767</v>
      </c>
      <c r="C43" s="5" t="s">
        <v>162</v>
      </c>
      <c r="D43" s="5" t="s">
        <v>162</v>
      </c>
      <c r="E43" s="5" t="s">
        <v>94</v>
      </c>
      <c r="F43" s="5" t="s">
        <v>2369</v>
      </c>
    </row>
    <row r="44" spans="1:6" ht="30" customHeight="1" x14ac:dyDescent="0.35">
      <c r="A44" s="5" t="s">
        <v>4824</v>
      </c>
      <c r="B44" s="5" t="s">
        <v>4825</v>
      </c>
      <c r="C44" s="5" t="s">
        <v>162</v>
      </c>
      <c r="D44" s="5" t="s">
        <v>162</v>
      </c>
      <c r="E44" s="5" t="s">
        <v>94</v>
      </c>
      <c r="F44" s="5" t="s">
        <v>2369</v>
      </c>
    </row>
    <row r="45" spans="1:6" ht="30" customHeight="1" x14ac:dyDescent="0.35">
      <c r="A45" s="5" t="s">
        <v>4942</v>
      </c>
      <c r="B45" s="5" t="s">
        <v>4943</v>
      </c>
      <c r="C45" s="5" t="s">
        <v>162</v>
      </c>
      <c r="D45" s="5" t="s">
        <v>162</v>
      </c>
      <c r="E45" s="5" t="s">
        <v>94</v>
      </c>
      <c r="F45" s="5" t="s">
        <v>2369</v>
      </c>
    </row>
    <row r="46" spans="1:6" ht="30" customHeight="1" x14ac:dyDescent="0.35">
      <c r="A46" s="5" t="s">
        <v>5090</v>
      </c>
      <c r="B46" s="5" t="s">
        <v>5091</v>
      </c>
      <c r="C46" s="5" t="s">
        <v>162</v>
      </c>
      <c r="D46" s="5" t="s">
        <v>162</v>
      </c>
      <c r="E46" s="5" t="s">
        <v>94</v>
      </c>
      <c r="F46" s="5" t="s">
        <v>2369</v>
      </c>
    </row>
    <row r="47" spans="1:6" ht="30" customHeight="1" x14ac:dyDescent="0.35">
      <c r="A47" s="5" t="s">
        <v>5180</v>
      </c>
      <c r="B47" s="5" t="s">
        <v>5181</v>
      </c>
      <c r="C47" s="5" t="s">
        <v>162</v>
      </c>
      <c r="D47" s="5" t="s">
        <v>162</v>
      </c>
      <c r="E47" s="5" t="s">
        <v>94</v>
      </c>
      <c r="F47" s="5" t="s">
        <v>2369</v>
      </c>
    </row>
    <row r="48" spans="1:6" ht="30" customHeight="1" x14ac:dyDescent="0.35">
      <c r="A48" s="5" t="s">
        <v>5354</v>
      </c>
      <c r="B48" s="5" t="s">
        <v>5355</v>
      </c>
      <c r="C48" s="5" t="s">
        <v>162</v>
      </c>
      <c r="D48" s="5" t="s">
        <v>162</v>
      </c>
      <c r="E48" s="5" t="s">
        <v>94</v>
      </c>
      <c r="F48" s="5" t="s">
        <v>2369</v>
      </c>
    </row>
    <row r="49" spans="1:6" ht="30" customHeight="1" x14ac:dyDescent="0.35">
      <c r="A49" s="5" t="s">
        <v>5928</v>
      </c>
      <c r="B49" s="5" t="s">
        <v>5929</v>
      </c>
      <c r="C49" s="5" t="s">
        <v>162</v>
      </c>
      <c r="D49" s="5" t="s">
        <v>162</v>
      </c>
      <c r="E49" s="5" t="s">
        <v>94</v>
      </c>
      <c r="F49" s="5" t="s">
        <v>2369</v>
      </c>
    </row>
    <row r="50" spans="1:6" ht="30" customHeight="1" x14ac:dyDescent="0.35">
      <c r="A50" s="5" t="s">
        <v>5936</v>
      </c>
      <c r="B50" s="5" t="s">
        <v>5937</v>
      </c>
      <c r="C50" s="5" t="s">
        <v>162</v>
      </c>
      <c r="D50" s="5" t="s">
        <v>162</v>
      </c>
      <c r="E50" s="5" t="s">
        <v>94</v>
      </c>
      <c r="F50" s="5" t="s">
        <v>2369</v>
      </c>
    </row>
    <row r="51" spans="1:6" ht="30" customHeight="1" x14ac:dyDescent="0.35">
      <c r="A51" s="5" t="s">
        <v>6021</v>
      </c>
      <c r="B51" s="5" t="s">
        <v>6022</v>
      </c>
      <c r="C51" s="5" t="s">
        <v>162</v>
      </c>
      <c r="D51" s="5" t="s">
        <v>162</v>
      </c>
      <c r="E51" s="5" t="s">
        <v>94</v>
      </c>
      <c r="F51" s="5" t="s">
        <v>2369</v>
      </c>
    </row>
    <row r="52" spans="1:6" ht="30" customHeight="1" x14ac:dyDescent="0.35">
      <c r="A52" s="5" t="s">
        <v>6062</v>
      </c>
      <c r="B52" s="5" t="s">
        <v>6063</v>
      </c>
      <c r="C52" s="5" t="s">
        <v>162</v>
      </c>
      <c r="D52" s="5" t="s">
        <v>162</v>
      </c>
      <c r="E52" s="5" t="s">
        <v>94</v>
      </c>
      <c r="F52" s="5" t="s">
        <v>2369</v>
      </c>
    </row>
    <row r="53" spans="1:6" ht="30" customHeight="1" x14ac:dyDescent="0.35">
      <c r="A53" s="5" t="s">
        <v>6072</v>
      </c>
      <c r="B53" s="5" t="s">
        <v>6073</v>
      </c>
      <c r="C53" s="5" t="s">
        <v>162</v>
      </c>
      <c r="D53" s="5" t="s">
        <v>162</v>
      </c>
      <c r="E53" s="5" t="s">
        <v>94</v>
      </c>
      <c r="F53" s="5" t="s">
        <v>2369</v>
      </c>
    </row>
    <row r="54" spans="1:6" ht="30" customHeight="1" x14ac:dyDescent="0.35">
      <c r="A54" s="5" t="s">
        <v>6080</v>
      </c>
      <c r="B54" s="5" t="s">
        <v>6081</v>
      </c>
      <c r="C54" s="5" t="s">
        <v>162</v>
      </c>
      <c r="D54" s="5" t="s">
        <v>162</v>
      </c>
      <c r="E54" s="5" t="s">
        <v>94</v>
      </c>
      <c r="F54" s="5" t="s">
        <v>2369</v>
      </c>
    </row>
    <row r="55" spans="1:6" ht="30" customHeight="1" x14ac:dyDescent="0.35">
      <c r="A55" s="5" t="s">
        <v>6482</v>
      </c>
      <c r="B55" s="5" t="s">
        <v>6483</v>
      </c>
      <c r="C55" s="5" t="s">
        <v>162</v>
      </c>
      <c r="D55" s="5" t="s">
        <v>162</v>
      </c>
      <c r="E55" s="5" t="s">
        <v>94</v>
      </c>
      <c r="F55" s="5" t="s">
        <v>2369</v>
      </c>
    </row>
    <row r="56" spans="1:6" ht="30" customHeight="1" x14ac:dyDescent="0.35">
      <c r="A56" s="5" t="s">
        <v>6619</v>
      </c>
      <c r="B56" s="5" t="s">
        <v>6620</v>
      </c>
      <c r="C56" s="5" t="s">
        <v>204</v>
      </c>
      <c r="D56" s="5" t="s">
        <v>204</v>
      </c>
      <c r="E56" s="5" t="s">
        <v>213</v>
      </c>
      <c r="F56" s="5" t="s">
        <v>2524</v>
      </c>
    </row>
    <row r="57" spans="1:6" ht="30" customHeight="1" x14ac:dyDescent="0.35">
      <c r="A57" s="5" t="s">
        <v>6767</v>
      </c>
      <c r="B57" s="5" t="s">
        <v>6768</v>
      </c>
      <c r="C57" s="5" t="s">
        <v>204</v>
      </c>
      <c r="D57" s="5" t="s">
        <v>204</v>
      </c>
      <c r="E57" s="5" t="s">
        <v>213</v>
      </c>
      <c r="F57" s="5" t="s">
        <v>2524</v>
      </c>
    </row>
    <row r="58" spans="1:6" ht="30" customHeight="1" x14ac:dyDescent="0.35">
      <c r="A58" s="5" t="s">
        <v>211</v>
      </c>
      <c r="B58" s="5" t="s">
        <v>2145</v>
      </c>
      <c r="C58" s="5" t="s">
        <v>204</v>
      </c>
      <c r="D58" s="5" t="s">
        <v>213</v>
      </c>
      <c r="E58" s="5" t="s">
        <v>204</v>
      </c>
      <c r="F58" s="5" t="s">
        <v>7197</v>
      </c>
    </row>
    <row r="59" spans="1:6" ht="30" customHeight="1" x14ac:dyDescent="0.35">
      <c r="A59" s="5" t="s">
        <v>7211</v>
      </c>
      <c r="B59" s="5" t="s">
        <v>7212</v>
      </c>
      <c r="C59" s="5" t="s">
        <v>204</v>
      </c>
      <c r="D59" s="5" t="s">
        <v>204</v>
      </c>
      <c r="E59" s="5" t="s">
        <v>213</v>
      </c>
      <c r="F59" s="5" t="s">
        <v>2524</v>
      </c>
    </row>
    <row r="60" spans="1:6" ht="30" customHeight="1" x14ac:dyDescent="0.35">
      <c r="A60" s="5" t="s">
        <v>7673</v>
      </c>
      <c r="B60" s="5" t="s">
        <v>7674</v>
      </c>
      <c r="C60" s="5" t="s">
        <v>162</v>
      </c>
      <c r="D60" s="5" t="s">
        <v>162</v>
      </c>
      <c r="E60" s="5" t="s">
        <v>94</v>
      </c>
      <c r="F60" s="5" t="s">
        <v>2369</v>
      </c>
    </row>
    <row r="61" spans="1:6" ht="30" customHeight="1" x14ac:dyDescent="0.35">
      <c r="A61" s="5" t="s">
        <v>7915</v>
      </c>
      <c r="B61" s="5" t="s">
        <v>7916</v>
      </c>
      <c r="C61" s="5" t="s">
        <v>162</v>
      </c>
      <c r="D61" s="5" t="s">
        <v>162</v>
      </c>
      <c r="E61" s="5" t="s">
        <v>94</v>
      </c>
      <c r="F61" s="5" t="s">
        <v>2369</v>
      </c>
    </row>
    <row r="62" spans="1:6" ht="30" customHeight="1" x14ac:dyDescent="0.35">
      <c r="A62" s="5" t="s">
        <v>8080</v>
      </c>
      <c r="B62" s="5" t="s">
        <v>8081</v>
      </c>
      <c r="C62" s="5" t="s">
        <v>162</v>
      </c>
      <c r="D62" s="5" t="s">
        <v>162</v>
      </c>
      <c r="E62" s="5" t="s">
        <v>213</v>
      </c>
      <c r="F62" s="5" t="s">
        <v>8086</v>
      </c>
    </row>
    <row r="63" spans="1:6" ht="30" customHeight="1" x14ac:dyDescent="0.35">
      <c r="A63" s="5" t="s">
        <v>8188</v>
      </c>
      <c r="B63" s="5" t="s">
        <v>8189</v>
      </c>
      <c r="C63" s="5" t="s">
        <v>162</v>
      </c>
      <c r="D63" s="5" t="s">
        <v>162</v>
      </c>
      <c r="E63" s="5" t="s">
        <v>94</v>
      </c>
      <c r="F63" s="5" t="s">
        <v>2369</v>
      </c>
    </row>
  </sheetData>
  <autoFilter ref="A3:F63" xr:uid="{00000000-0009-0000-0000-000028000000}"/>
  <mergeCells count="1">
    <mergeCell ref="A2:F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21</vt:i4>
      </vt:variant>
    </vt:vector>
  </HeadingPairs>
  <TitlesOfParts>
    <vt:vector size="62" baseType="lpstr">
      <vt:lpstr>Truth snapshot</vt:lpstr>
      <vt:lpstr>Founder view</vt:lpstr>
      <vt:lpstr>Pilot readiness</vt:lpstr>
      <vt:lpstr>P0 gap decisions</vt:lpstr>
      <vt:lpstr>MVP scope after review</vt:lpstr>
      <vt:lpstr>Plan guide</vt:lpstr>
      <vt:lpstr>Plan decisions</vt:lpstr>
      <vt:lpstr>Implementation plan</vt:lpstr>
      <vt:lpstr>Plan rollup</vt:lpstr>
      <vt:lpstr>Plan by week</vt:lpstr>
      <vt:lpstr>Plan milestones</vt:lpstr>
      <vt:lpstr>Plan change log</vt:lpstr>
      <vt:lpstr>Code review 2026-10-05</vt:lpstr>
      <vt:lpstr>Weekly snapshot</vt:lpstr>
      <vt:lpstr>How to read</vt:lpstr>
      <vt:lpstr>Review findings</vt:lpstr>
      <vt:lpstr>Review disposition</vt:lpstr>
      <vt:lpstr>Duplicate proposals</vt:lpstr>
      <vt:lpstr>OS architecture</vt:lpstr>
      <vt:lpstr>Business events</vt:lpstr>
      <vt:lpstr>State machines</vt:lpstr>
      <vt:lpstr>Business integrity</vt:lpstr>
      <vt:lpstr>Failure and recovery</vt:lpstr>
      <vt:lpstr>Concurrency</vt:lpstr>
      <vt:lpstr>Security assurance</vt:lpstr>
      <vt:lpstr>Integration reliability</vt:lpstr>
      <vt:lpstr>Performance SLA</vt:lpstr>
      <vt:lpstr>Customer evidence</vt:lpstr>
      <vt:lpstr>Capability evidence</vt:lpstr>
      <vt:lpstr>OS readiness</vt:lpstr>
      <vt:lpstr>Coverage Dashboard</vt:lpstr>
      <vt:lpstr>Priority re-tier</vt:lpstr>
      <vt:lpstr>Task Register</vt:lpstr>
      <vt:lpstr>Flows</vt:lpstr>
      <vt:lpstr>Persona Coverage</vt:lpstr>
      <vt:lpstr>Role rollup</vt:lpstr>
      <vt:lpstr>Scope inventory</vt:lpstr>
      <vt:lpstr>Competitive</vt:lpstr>
      <vt:lpstr>UX and recovery</vt:lpstr>
      <vt:lpstr>Security and SaaS</vt:lpstr>
      <vt:lpstr>Priority decisions</vt:lpstr>
      <vt:lpstr>'Business events'!Print_Titles</vt:lpstr>
      <vt:lpstr>'Business integrity'!Print_Titles</vt:lpstr>
      <vt:lpstr>'Capability evidence'!Print_Titles</vt:lpstr>
      <vt:lpstr>Competitive!Print_Titles</vt:lpstr>
      <vt:lpstr>Concurrency!Print_Titles</vt:lpstr>
      <vt:lpstr>'Customer evidence'!Print_Titles</vt:lpstr>
      <vt:lpstr>'Failure and recovery'!Print_Titles</vt:lpstr>
      <vt:lpstr>Flows!Print_Titles</vt:lpstr>
      <vt:lpstr>'Integration reliability'!Print_Titles</vt:lpstr>
      <vt:lpstr>'Performance SLA'!Print_Titles</vt:lpstr>
      <vt:lpstr>'Persona Coverage'!Print_Titles</vt:lpstr>
      <vt:lpstr>'Priority decisions'!Print_Titles</vt:lpstr>
      <vt:lpstr>'Review disposition'!Print_Titles</vt:lpstr>
      <vt:lpstr>'Review findings'!Print_Titles</vt:lpstr>
      <vt:lpstr>'Scope inventory'!Print_Titles</vt:lpstr>
      <vt:lpstr>'Security and SaaS'!Print_Titles</vt:lpstr>
      <vt:lpstr>'Security assurance'!Print_Titles</vt:lpstr>
      <vt:lpstr>'State machines'!Print_Titles</vt:lpstr>
      <vt:lpstr>'Task Register'!Print_Titles</vt:lpstr>
      <vt:lpstr>'UX and recovery'!Print_Titles</vt:lpstr>
      <vt:lpstr>'Weekly snapshot'!Print_Titles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BizBoard reviewed task register</dc:title>
  <dc:subject>770-task register plus an OS control layer that is not yet proven</dc:subject>
  <dc:creator>BizBoard task register review</dc:creator>
  <cp:lastModifiedBy>paurush kulshrestha</cp:lastModifiedBy>
  <dcterms:created xsi:type="dcterms:W3CDTF">2026-10-04T07:05:36Z</dcterms:created>
  <dcterms:modified xsi:type="dcterms:W3CDTF">2026-10-05T14:06:16Z</dcterms:modified>
</cp:coreProperties>
</file>